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A710A5F3-070D-42C3-9286-5BC2709AF07A}" xr6:coauthVersionLast="47" xr6:coauthVersionMax="47" xr10:uidLastSave="{00000000-0000-0000-0000-000000000000}"/>
  <bookViews>
    <workbookView xWindow="-120" yWindow="-120" windowWidth="29040" windowHeight="15720" firstSheet="16" activeTab="16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Melbourne Company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state="hidden" r:id="rId25"/>
    <sheet name="AU MAR" sheetId="45" state="hidden" r:id="rId26"/>
    <sheet name="APR NZ" sheetId="46" r:id="rId27"/>
    <sheet name="APR AU" sheetId="47" state="hidden" r:id="rId28"/>
    <sheet name="MAY AU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state="hidden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NZ'!$A$1:$Q$45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'MAY AU'!$A$1:$O$84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  <pivotCache cacheId="11" r:id="rId58"/>
    <pivotCache cacheId="12" r:id="rId5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9" i="46" l="1"/>
  <c r="F122" i="48"/>
  <c r="H48" i="46"/>
  <c r="H47" i="46"/>
  <c r="F119" i="48"/>
  <c r="F120" i="48"/>
  <c r="F121" i="48"/>
  <c r="F118" i="48"/>
  <c r="F117" i="48"/>
  <c r="H46" i="46"/>
  <c r="H45" i="46"/>
  <c r="H44" i="46"/>
  <c r="H43" i="46"/>
  <c r="F116" i="48"/>
  <c r="F115" i="48"/>
  <c r="F109" i="48"/>
  <c r="F110" i="48"/>
  <c r="F111" i="48"/>
  <c r="F112" i="48"/>
  <c r="F113" i="48"/>
  <c r="F114" i="48"/>
  <c r="H42" i="46"/>
  <c r="F108" i="48"/>
  <c r="F107" i="48"/>
  <c r="F106" i="48"/>
  <c r="H41" i="46"/>
  <c r="H40" i="46"/>
  <c r="F105" i="48"/>
  <c r="F104" i="48"/>
  <c r="F98" i="48"/>
  <c r="F99" i="48"/>
  <c r="F100" i="48"/>
  <c r="F101" i="48"/>
  <c r="F102" i="48"/>
  <c r="F103" i="48"/>
  <c r="F97" i="48"/>
  <c r="F96" i="48"/>
  <c r="F95" i="48"/>
  <c r="O11" i="44"/>
  <c r="F93" i="48"/>
  <c r="F94" i="48"/>
  <c r="F91" i="48"/>
  <c r="F92" i="48"/>
  <c r="F85" i="48"/>
  <c r="F86" i="48"/>
  <c r="F87" i="48"/>
  <c r="F89" i="48"/>
  <c r="F90" i="48"/>
  <c r="F88" i="48"/>
  <c r="F84" i="48"/>
  <c r="F83" i="48"/>
  <c r="H39" i="46"/>
  <c r="F75" i="48"/>
  <c r="F74" i="48"/>
  <c r="F73" i="48"/>
  <c r="F72" i="48"/>
  <c r="F71" i="48"/>
  <c r="F70" i="48"/>
  <c r="F69" i="48"/>
  <c r="F68" i="48"/>
  <c r="F67" i="48"/>
  <c r="F66" i="48"/>
  <c r="F82" i="48"/>
  <c r="F81" i="48"/>
  <c r="F80" i="48"/>
  <c r="F79" i="48"/>
  <c r="F78" i="48"/>
  <c r="F77" i="48"/>
  <c r="F65" i="48"/>
  <c r="F61" i="48"/>
  <c r="F62" i="48"/>
  <c r="F63" i="48"/>
  <c r="F64" i="48"/>
  <c r="F60" i="48"/>
  <c r="F57" i="48"/>
  <c r="F58" i="48"/>
  <c r="F59" i="48"/>
  <c r="H38" i="46"/>
  <c r="F55" i="48"/>
  <c r="F56" i="48"/>
  <c r="F54" i="48"/>
  <c r="H35" i="46"/>
  <c r="H36" i="46"/>
  <c r="H37" i="46"/>
  <c r="H34" i="46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 l="1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<sst xmlns="http://schemas.openxmlformats.org/spreadsheetml/2006/main" count="5675" uniqueCount="1323">
  <si>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</si>
  <si>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</si>
  <si>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</si>
  <si>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</si>
  <si>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</si>
  <si>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</si>
  <si>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</si>
  <si>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</si>
  <si>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</si>
  <si>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</si>
  <si>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</si>
  <si>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</si>
  <si>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</si>
  <si>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</si>
  <si>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</si>
  <si>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</si>
  <si>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</si>
  <si>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</si>
  <si>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</si>
  <si>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</si>
  <si>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</si>
  <si>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</si>
  <si>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</si>
  <si>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</si>
  <si>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</si>
  <si>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</si>
  <si>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</si>
  <si>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</si>
  <si>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</si>
  <si>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</si>
  <si>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</si>
  <si>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</si>
  <si>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</si>
  <si>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</si>
  <si>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</si>
  <si>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</si>
  <si>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</si>
  <si>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</si>
  <si>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</si>
  <si>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</si>
  <si>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</si>
  <si>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</si>
  <si>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</si>
  <si>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</si>
  <si>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</si>
  <si>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</si>
  <si>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</si>
  <si>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</si>
  <si>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</si>
  <si>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</si>
  <si>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</si>
  <si>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</si>
  <si>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</si>
  <si>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</si>
  <si>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</si>
  <si>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</si>
  <si>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</si>
  <si>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</si>
  <si>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</si>
  <si>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</si>
  <si>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</si>
  <si>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</si>
  <si>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</si>
  <si>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</si>
  <si>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</si>
  <si>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</si>
  <si>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</si>
  <si>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</si>
  <si>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</si>
  <si>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</si>
  <si>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</si>
  <si>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</si>
  <si>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</si>
  <si>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</si>
  <si>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</si>
  <si>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</si>
  <si>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</si>
  <si>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</si>
  <si>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</si>
  <si>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</si>
  <si>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</si>
  <si>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</si>
  <si>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</si>
  <si>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</si>
  <si>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</si>
  <si>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</si>
  <si>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</si>
  <si>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</si>
  <si>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</si>
  <si>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</si>
  <si>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</si>
  <si>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</si>
  <si>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</si>
  <si>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</si>
  <si>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</si>
  <si>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</si>
  <si>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</si>
  <si>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</si>
  <si>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</si>
  <si>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</si>
  <si>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</si>
  <si>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</si>
  <si>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</si>
  <si>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</si>
  <si>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</si>
  <si>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</si>
  <si>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</si>
  <si>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</si>
  <si>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</si>
  <si>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</si>
  <si>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</si>
  <si>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</si>
  <si>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</si>
  <si>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</si>
  <si>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</si>
  <si>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</si>
  <si>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</si>
  <si>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</si>
  <si>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</si>
  <si>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</si>
  <si>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</si>
  <si>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</si>
  <si>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</si>
  <si>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</si>
  <si>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</si>
  <si>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</si>
  <si>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</si>
  <si>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</si>
  <si>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</si>
  <si>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</si>
  <si>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</si>
  <si>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</si>
  <si>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</si>
  <si>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</si>
  <si>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</si>
  <si>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</si>
  <si>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</si>
  <si>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</si>
  <si>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</si>
  <si>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</si>
  <si>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</si>
  <si>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</si>
  <si>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</si>
  <si>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</si>
  <si>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</si>
  <si>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</si>
  <si>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</si>
  <si>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</si>
  <si>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</si>
  <si>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</si>
  <si>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</si>
  <si>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</si>
  <si>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</si>
  <si>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</si>
  <si>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</si>
  <si>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</si>
  <si>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</si>
  <si>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</si>
  <si>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</si>
  <si>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</si>
  <si>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</si>
  <si>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</si>
  <si>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</si>
  <si>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</si>
  <si>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</si>
  <si>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</si>
  <si>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</si>
  <si>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</si>
  <si>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</si>
  <si>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</si>
  <si>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</si>
  <si>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</si>
  <si>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</si>
  <si>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</si>
  <si>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</si>
  <si>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</si>
  <si>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</si>
  <si>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</si>
  <si>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</si>
  <si>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</si>
  <si>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</si>
  <si>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</si>
  <si>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</si>
  <si>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</si>
  <si>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</si>
  <si>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</si>
  <si>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</si>
  <si>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</si>
  <si>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</si>
  <si>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</si>
  <si>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</si>
  <si>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</si>
  <si>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</si>
  <si>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</si>
  <si>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</si>
  <si>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</si>
  <si>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</si>
  <si>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</si>
  <si>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</si>
  <si>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</si>
  <si>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</si>
  <si>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</si>
  <si>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</si>
  <si>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</si>
  <si>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</si>
  <si>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</si>
  <si>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</si>
  <si>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</si>
  <si>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</si>
  <si>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</si>
  <si>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</si>
  <si>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</si>
  <si>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</si>
  <si>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</si>
  <si>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</si>
  <si>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</si>
  <si>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</si>
  <si>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</si>
  <si>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</si>
  <si>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</si>
  <si>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</si>
  <si>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</si>
  <si>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</si>
  <si>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</si>
  <si>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</si>
  <si>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</si>
  <si>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</si>
  <si>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</si>
  <si>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</si>
  <si>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</si>
  <si>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</si>
  <si>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</si>
  <si>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</si>
  <si>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</si>
  <si>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</si>
  <si>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</si>
  <si>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</si>
  <si>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</si>
  <si>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</si>
  <si>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</si>
  <si>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</si>
  <si>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</si>
  <si>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</si>
  <si>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</si>
  <si>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</si>
  <si>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</si>
  <si>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</si>
  <si>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</si>
  <si>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</si>
  <si>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</si>
  <si>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</si>
  <si>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</si>
  <si>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</si>
  <si>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</si>
  <si>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</si>
  <si>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</si>
  <si>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</si>
  <si>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</si>
  <si>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</si>
  <si>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</si>
  <si>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</si>
  <si>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</si>
  <si>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</si>
  <si>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</si>
  <si>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</si>
  <si>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</si>
  <si>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</si>
  <si>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</si>
  <si>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</si>
  <si>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</si>
  <si>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</si>
  <si>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</si>
  <si>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</si>
  <si>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</si>
  <si>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</si>
  <si>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</si>
  <si>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</si>
  <si>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</si>
  <si>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</si>
  <si>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</si>
  <si>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</si>
  <si>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</si>
  <si>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</si>
  <si>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</si>
  <si>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</si>
  <si>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</si>
  <si>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</si>
  <si>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</si>
  <si>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</si>
  <si>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</si>
  <si>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</si>
  <si>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</si>
  <si>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</si>
  <si>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</si>
  <si>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</si>
  <si>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</si>
  <si>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</si>
  <si>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</si>
  <si>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</si>
  <si>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</si>
  <si>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</si>
  <si>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</si>
  <si>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</si>
  <si>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</si>
  <si>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</si>
  <si>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</si>
  <si>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</si>
  <si>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</si>
  <si>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</si>
  <si>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</si>
  <si>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</si>
  <si>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</si>
  <si>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</si>
  <si>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</si>
  <si>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</si>
  <si>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</si>
  <si>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</si>
  <si>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</si>
  <si>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</si>
  <si>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</si>
  <si>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</si>
  <si>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</si>
  <si>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</si>
  <si>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</si>
  <si>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</si>
  <si>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</si>
  <si>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</si>
  <si>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</si>
  <si>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</si>
  <si>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</si>
  <si>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</si>
  <si>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</si>
  <si>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</si>
  <si>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</si>
  <si>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</si>
  <si>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</si>
  <si>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</si>
  <si>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</si>
  <si>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</si>
  <si>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</si>
  <si>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</si>
  <si>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</si>
  <si>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</si>
  <si>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</si>
  <si>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</si>
  <si>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</si>
  <si>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</si>
  <si>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</si>
  <si>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</si>
  <si>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</si>
  <si>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</si>
  <si>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</si>
  <si>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</si>
  <si>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</si>
  <si>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</si>
  <si>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</si>
  <si>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</si>
  <si>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</si>
  <si>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</si>
  <si>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</si>
  <si>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</si>
  <si>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</si>
  <si>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</si>
  <si>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</si>
  <si>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</si>
  <si>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</si>
  <si>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</si>
  <si>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</si>
  <si>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</si>
  <si>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</si>
  <si>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</si>
  <si>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</si>
  <si>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</si>
  <si>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</si>
  <si>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</si>
  <si>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</si>
  <si>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</si>
  <si>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</si>
  <si>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</si>
  <si>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</si>
  <si>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</si>
  <si>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</si>
  <si>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</si>
  <si>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</si>
  <si>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</si>
  <si>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</si>
  <si>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</si>
  <si>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</si>
  <si>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</si>
  <si>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</si>
  <si>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</si>
  <si>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</si>
  <si>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</si>
  <si>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</si>
  <si>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</si>
  <si>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</si>
  <si>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</si>
  <si>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</si>
  <si>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</si>
  <si>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</si>
  <si>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</si>
  <si>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</si>
  <si>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</si>
  <si>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</si>
  <si>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</si>
  <si>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</si>
  <si>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</si>
  <si>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</si>
  <si>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</si>
  <si>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</si>
  <si>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</si>
  <si>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</si>
  <si>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</si>
  <si>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</si>
  <si>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</si>
  <si>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</si>
  <si>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</si>
  <si>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</si>
  <si>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</si>
  <si>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</si>
  <si>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</si>
  <si>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</si>
  <si>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</si>
  <si>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</si>
  <si>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</si>
  <si>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</si>
  <si>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</si>
  <si>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</si>
  <si>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</si>
  <si>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</si>
  <si>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</si>
  <si>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</si>
  <si>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</si>
  <si>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</si>
  <si>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</si>
  <si>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</si>
  <si>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</si>
  <si>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</si>
  <si>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</si>
  <si>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</si>
  <si>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</si>
  <si>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</si>
  <si>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</si>
  <si>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</si>
  <si>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</si>
  <si>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</si>
  <si>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</si>
  <si>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</si>
  <si>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</si>
  <si>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</si>
  <si>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</si>
  <si>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</si>
  <si>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</si>
  <si>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</si>
  <si>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</si>
  <si>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</si>
  <si>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</si>
  <si>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</si>
  <si>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</si>
  <si>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</si>
  <si>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</si>
  <si>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</si>
  <si>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</si>
  <si>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</si>
  <si>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</si>
  <si>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</si>
  <si>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</si>
  <si>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</si>
  <si>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</si>
  <si>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</si>
  <si>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</si>
  <si>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</si>
  <si>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</si>
  <si>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</si>
  <si>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</si>
  <si>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</si>
  <si>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</si>
  <si>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</si>
  <si>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</si>
  <si>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</si>
  <si>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</si>
  <si>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</si>
  <si>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</si>
  <si>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</si>
  <si>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</si>
  <si>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</si>
  <si>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</si>
  <si>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</si>
  <si>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</si>
  <si>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</si>
  <si>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</si>
  <si>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</si>
  <si>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</si>
  <si>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</si>
  <si>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</si>
  <si>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</si>
  <si>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</si>
  <si>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</si>
  <si>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</si>
  <si>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</si>
  <si>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</si>
  <si>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</si>
  <si>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</si>
  <si>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</si>
  <si>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</si>
  <si>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</si>
  <si>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</si>
  <si>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</si>
  <si>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</si>
  <si>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</si>
  <si>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</si>
  <si>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</si>
  <si>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</si>
  <si>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</si>
  <si>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</si>
  <si>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</si>
  <si>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</si>
  <si>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</si>
  <si>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</si>
  <si>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</si>
  <si>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</si>
  <si>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</si>
  <si>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</si>
  <si>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</si>
  <si>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</si>
  <si>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</si>
  <si>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</si>
  <si>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</si>
  <si>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</si>
  <si>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</si>
  <si>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</si>
  <si>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</si>
  <si>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</si>
  <si>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</si>
  <si>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</si>
  <si>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</si>
  <si>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</si>
  <si>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</si>
  <si>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</si>
  <si>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</si>
  <si>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</si>
  <si>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</si>
  <si>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</si>
  <si>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</si>
  <si>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</si>
  <si>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</si>
  <si>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</si>
  <si>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</si>
  <si>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</si>
  <si>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</si>
  <si>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</si>
  <si>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</si>
  <si>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</si>
  <si>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</si>
  <si>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</si>
  <si>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</si>
  <si>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</si>
  <si>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</si>
  <si>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</si>
  <si>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</si>
  <si>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</si>
  <si>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</si>
  <si>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</si>
  <si>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</si>
  <si>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</si>
  <si>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</si>
  <si>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</si>
  <si>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</si>
  <si>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</si>
  <si>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</si>
  <si>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</si>
  <si>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</si>
  <si>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</si>
  <si>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</si>
  <si>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</si>
  <si>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</si>
  <si>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</si>
  <si>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</si>
  <si>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</si>
  <si>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</si>
  <si>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</si>
  <si>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</si>
  <si>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</si>
  <si>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</si>
  <si>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</si>
  <si>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</si>
  <si>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</si>
  <si>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</si>
  <si>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</si>
  <si>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</si>
  <si>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</si>
  <si>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</si>
  <si>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</si>
  <si>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</si>
  <si>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</si>
  <si>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</si>
  <si>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</si>
  <si>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</si>
  <si>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</si>
  <si>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</si>
  <si>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</si>
  <si>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</si>
  <si>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</si>
  <si>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</si>
  <si>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</si>
  <si>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</si>
  <si>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</si>
  <si>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</si>
  <si>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</si>
  <si>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</si>
  <si>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</si>
  <si>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</si>
  <si>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</si>
  <si>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</si>
  <si>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</si>
  <si>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</si>
  <si>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</si>
  <si>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</si>
  <si>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</si>
  <si>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</si>
  <si>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</si>
  <si>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</si>
  <si>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</si>
  <si>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</si>
  <si>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</si>
  <si>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</si>
  <si>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</si>
  <si>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</si>
  <si>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</si>
  <si>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</si>
  <si>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</si>
  <si>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</si>
  <si>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</si>
  <si>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</si>
  <si>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</si>
  <si>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</si>
  <si>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</si>
  <si>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</si>
  <si>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</si>
  <si>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</si>
  <si>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</si>
  <si>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</si>
  <si>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</si>
  <si>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</si>
  <si>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</si>
  <si>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</si>
  <si>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</si>
  <si>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</si>
  <si>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</si>
  <si>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</si>
  <si>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</si>
  <si>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</si>
  <si>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</si>
  <si>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</si>
  <si>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</si>
  <si>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</si>
  <si>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</si>
  <si>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</si>
  <si>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</si>
  <si>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</si>
  <si>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</si>
  <si>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</si>
  <si>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</si>
  <si>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</si>
  <si>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</si>
  <si>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</si>
  <si>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</si>
  <si>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</si>
  <si>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</si>
  <si>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</si>
  <si>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</si>
  <si>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</si>
  <si>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</si>
  <si>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</si>
  <si>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</si>
  <si>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</si>
  <si>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</si>
  <si>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</si>
  <si>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</si>
  <si>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</si>
  <si>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</si>
  <si>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</si>
  <si>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</si>
  <si>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</si>
  <si>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</si>
  <si>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</si>
  <si>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</si>
  <si>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</si>
  <si>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</si>
  <si>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</si>
  <si>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</si>
  <si>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</si>
  <si>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</si>
  <si>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</si>
  <si>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</si>
  <si>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</si>
  <si>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</si>
  <si>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</si>
  <si>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</si>
  <si>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</si>
  <si>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</si>
  <si>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</si>
  <si>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</si>
  <si>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</si>
  <si>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</si>
  <si>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</si>
  <si>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</si>
  <si>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</si>
  <si>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</si>
  <si>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</si>
  <si>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</si>
  <si>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</si>
  <si>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</si>
  <si>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</si>
  <si>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</si>
  <si>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</si>
  <si>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</si>
  <si>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</si>
  <si>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</si>
  <si>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</si>
  <si>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</si>
  <si>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</si>
  <si>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</si>
  <si>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</si>
  <si>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</si>
  <si>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</si>
  <si>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</si>
  <si>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</si>
  <si>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</si>
  <si>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</si>
  <si>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</si>
  <si>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</si>
  <si>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</si>
  <si>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</si>
  <si>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</si>
  <si>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</si>
  <si>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</si>
  <si>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</si>
  <si>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</si>
  <si>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</si>
  <si>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</si>
  <si>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</si>
  <si>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</si>
  <si>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</si>
  <si>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</si>
  <si>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</si>
  <si>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</si>
  <si>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</si>
  <si>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</si>
  <si>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</si>
  <si>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</si>
  <si>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</si>
  <si>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</si>
  <si>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</si>
  <si>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</si>
  <si>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</si>
  <si>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</si>
  <si>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</si>
  <si>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</si>
  <si>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</si>
  <si>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</si>
  <si>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</si>
  <si>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</si>
  <si>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</si>
  <si>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</si>
  <si>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</si>
  <si>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</si>
  <si>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</si>
  <si>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</si>
  <si>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</si>
  <si>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</si>
  <si>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</si>
  <si>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</si>
  <si>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</si>
  <si>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</si>
  <si>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</si>
  <si>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</si>
  <si>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</si>
  <si>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</si>
  <si>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</si>
  <si>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</si>
  <si>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</si>
  <si>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</si>
  <si>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</si>
  <si>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</si>
  <si>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</si>
  <si>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</si>
  <si>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</si>
  <si>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</si>
  <si>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</si>
  <si>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</si>
  <si>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</si>
  <si>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</si>
  <si>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</si>
  <si>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</si>
  <si>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</si>
  <si>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</si>
  <si>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</si>
  <si>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</si>
  <si>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</si>
  <si>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</si>
  <si>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</si>
  <si>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</si>
  <si>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</si>
  <si>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</si>
  <si>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</si>
  <si>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</si>
  <si>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</si>
  <si>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</si>
  <si>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</si>
  <si>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</si>
  <si>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</si>
  <si>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</si>
  <si>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</si>
  <si>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</si>
  <si>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</si>
  <si>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</si>
  <si>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</si>
  <si>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</si>
  <si>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</si>
  <si>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</si>
  <si>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</si>
  <si>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</si>
  <si>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</si>
  <si>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</si>
  <si>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</si>
  <si>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</si>
  <si>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</si>
  <si>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</si>
  <si>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</si>
  <si>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</si>
  <si>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</si>
  <si>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</si>
  <si>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</si>
  <si>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</si>
  <si>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</si>
  <si>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</si>
  <si>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</si>
  <si>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</si>
  <si>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</si>
  <si>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</si>
  <si>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</si>
  <si>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</si>
  <si>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</si>
  <si>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</si>
  <si>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</si>
  <si>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</si>
  <si>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</si>
  <si>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</si>
  <si>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</si>
  <si>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</si>
  <si>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</si>
  <si>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</si>
  <si>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</si>
  <si>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</si>
  <si>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</si>
  <si>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</si>
  <si>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</si>
  <si>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</si>
  <si>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</si>
  <si>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</si>
  <si>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</si>
  <si>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</si>
  <si>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</si>
  <si>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</si>
  <si>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</si>
  <si>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</si>
  <si>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</si>
  <si>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</si>
  <si>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</si>
  <si>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</si>
  <si>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</si>
  <si>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</si>
  <si>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</si>
  <si>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</si>
  <si>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</si>
  <si>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</si>
  <si>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</si>
  <si>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</si>
  <si>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</si>
  <si>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</si>
  <si>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</si>
  <si>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</si>
  <si>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</si>
  <si>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</si>
  <si>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</si>
  <si>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</si>
  <si>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</si>
  <si>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</si>
  <si>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</si>
  <si>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</si>
  <si>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</si>
  <si>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</si>
  <si>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</si>
  <si>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</si>
  <si>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</si>
  <si>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</si>
  <si>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</si>
  <si>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</si>
  <si>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</si>
  <si>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</si>
  <si>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</si>
  <si>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</si>
  <si>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</si>
  <si>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</si>
  <si>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</si>
  <si>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</si>
  <si>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</si>
  <si>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</si>
  <si>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</si>
  <si>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</si>
  <si>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</si>
  <si>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</si>
  <si>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</si>
  <si>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</si>
  <si>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</si>
  <si>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</si>
  <si>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</si>
  <si>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</si>
  <si>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</si>
  <si>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</si>
  <si>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</si>
  <si>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</si>
  <si>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</si>
  <si>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</si>
  <si>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</si>
  <si>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</si>
  <si>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</si>
  <si>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</si>
  <si>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</si>
  <si>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</si>
  <si>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</si>
  <si>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</si>
  <si>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</si>
  <si>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</si>
  <si>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</si>
  <si>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</si>
  <si>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</si>
  <si>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</si>
  <si>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</si>
  <si>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</si>
  <si>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</si>
  <si>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</si>
  <si>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</si>
  <si>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</si>
  <si>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</si>
  <si>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</si>
  <si>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</si>
  <si>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</si>
  <si>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</si>
  <si>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</si>
  <si>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</si>
  <si>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</si>
  <si>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</si>
  <si>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</si>
  <si>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</si>
  <si>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</si>
  <si>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</si>
  <si>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</si>
  <si>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</si>
  <si>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</si>
  <si>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</si>
  <si>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</si>
  <si>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</si>
  <si>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</si>
  <si>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</si>
  <si>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</si>
  <si>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</si>
  <si>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</si>
  <si>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</si>
  <si>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</si>
  <si>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</si>
  <si>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</si>
  <si>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</si>
  <si>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</si>
  <si>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</si>
  <si>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</si>
  <si>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</si>
  <si>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</si>
  <si>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</si>
  <si>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</si>
  <si>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</si>
  <si>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</si>
  <si>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</si>
  <si>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</si>
  <si>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</si>
  <si>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</si>
  <si>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</si>
  <si>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</si>
  <si>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</si>
  <si>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</si>
  <si>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</si>
  <si>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</si>
  <si>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</si>
  <si>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</si>
  <si>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</si>
  <si>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</si>
  <si>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</si>
  <si>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</si>
  <si>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</si>
  <si>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</si>
  <si>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</si>
  <si>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</si>
  <si>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</si>
  <si>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</si>
  <si>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</si>
  <si>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</si>
  <si>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</si>
  <si>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</si>
  <si>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</si>
  <si>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</si>
  <si>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</si>
  <si>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</si>
  <si>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</si>
  <si>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</si>
  <si>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</si>
  <si>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</si>
  <si>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</si>
  <si>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</si>
  <si>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</si>
  <si>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</si>
  <si>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</si>
  <si>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</si>
  <si>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</si>
  <si>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</si>
  <si>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</si>
  <si>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</si>
  <si>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</si>
  <si>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</si>
  <si>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</si>
  <si>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</si>
  <si>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</si>
  <si>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</si>
  <si>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</si>
  <si>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</si>
  <si>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</si>
  <si>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</si>
  <si>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</si>
  <si>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</si>
  <si>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</si>
  <si>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</si>
  <si>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</si>
  <si>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</si>
  <si>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</si>
  <si>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</si>
  <si>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</si>
  <si>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</si>
  <si>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</si>
  <si>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</si>
  <si>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</si>
  <si>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</si>
  <si>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</si>
  <si>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</si>
  <si>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</si>
  <si>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</si>
  <si>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</si>
  <si>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</si>
  <si>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</si>
  <si>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</si>
  <si>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</si>
  <si>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</si>
  <si>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</si>
  <si>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</si>
  <si>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</si>
  <si>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</si>
  <si>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</si>
  <si>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</si>
  <si>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</si>
  <si>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</si>
  <si>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</si>
  <si>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</si>
  <si>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</si>
  <si>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</si>
  <si>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</si>
  <si>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</si>
  <si>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</si>
  <si>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</si>
  <si>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</si>
  <si>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</si>
  <si>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</si>
  <si>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</si>
  <si>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</si>
  <si>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</si>
  <si>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</si>
  <si>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</si>
  <si>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</si>
  <si>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</si>
  <si>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</si>
  <si>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</si>
  <si>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</si>
  <si>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</si>
  <si>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</si>
  <si>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</si>
  <si>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</si>
  <si>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</si>
  <si>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</si>
  <si>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</si>
  <si>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</si>
  <si>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</si>
  <si>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</si>
  <si>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</si>
  <si>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</si>
  <si>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</si>
  <si>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</si>
  <si>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</si>
  <si>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</si>
  <si>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</si>
  <si>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</si>
  <si>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</si>
  <si>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</si>
  <si>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</si>
  <si>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</si>
  <si>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</si>
  <si>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</si>
  <si>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</si>
  <si>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</si>
  <si>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</si>
  <si>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</si>
  <si>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</si>
  <si>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</si>
  <si>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</si>
  <si>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</si>
  <si>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</si>
  <si>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</si>
  <si>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</si>
  <si>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</si>
  <si>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</si>
  <si>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</si>
  <si>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</si>
  <si>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</si>
  <si>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</si>
  <si>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</si>
  <si>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</si>
  <si>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</si>
  <si>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</si>
  <si>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</si>
  <si>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</si>
  <si>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</si>
  <si>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</si>
  <si>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</si>
  <si>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</si>
  <si>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</si>
  <si>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</si>
  <si>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</si>
  <si>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</si>
  <si>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</si>
  <si>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</si>
  <si>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</si>
  <si>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</si>
  <si>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</si>
  <si>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</si>
  <si>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</si>
  <si>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</si>
  <si>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</si>
  <si>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</si>
  <si>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</si>
  <si>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</si>
  <si>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</si>
  <si>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</si>
  <si>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</si>
  <si>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</si>
  <si>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</si>
  <si>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</si>
  <si>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</si>
  <si>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</si>
  <si>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</si>
  <si>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</si>
  <si>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</si>
  <si>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</si>
  <si>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</si>
  <si>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</si>
  <si>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</si>
  <si>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</si>
  <si>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</si>
  <si>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</si>
  <si>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</si>
  <si>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</si>
  <si>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</si>
  <si>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</si>
  <si>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</si>
  <si>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</si>
  <si>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</si>
  <si>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</si>
  <si>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</si>
  <si>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</si>
  <si>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</si>
  <si>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</si>
  <si>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</si>
  <si>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</si>
  <si>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</si>
  <si>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</si>
  <si>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</si>
  <si>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</si>
  <si>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</si>
  <si>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</si>
  <si>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</si>
  <si>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</si>
  <si>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</si>
  <si>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</si>
  <si>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</si>
  <si>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</si>
  <si>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</si>
  <si>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</si>
  <si>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</si>
  <si>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</si>
  <si>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</si>
  <si>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</si>
  <si>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</si>
  <si>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</si>
  <si>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</si>
  <si>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</si>
  <si>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</si>
  <si>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</si>
  <si>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</si>
  <si>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</si>
  <si>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</si>
  <si>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</si>
  <si>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</si>
  <si>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</si>
  <si>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</si>
  <si>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</si>
  <si>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</si>
  <si>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</si>
  <si>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</si>
  <si>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</si>
  <si>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</si>
  <si>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</si>
  <si>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</si>
  <si>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</si>
  <si>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</si>
  <si>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</si>
  <si>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</si>
  <si>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</si>
  <si>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</si>
  <si>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</si>
  <si>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</si>
  <si>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</si>
  <si>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</si>
  <si>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</si>
  <si>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</si>
  <si>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</si>
  <si>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</si>
  <si>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</si>
  <si>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</si>
  <si>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</si>
  <si>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</si>
  <si>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</si>
  <si>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</si>
  <si>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</si>
  <si>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</si>
  <si>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</si>
  <si>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</si>
  <si>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</si>
  <si>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</si>
  <si>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</si>
  <si>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</si>
  <si>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</si>
  <si>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</si>
  <si>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</si>
  <si>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</si>
  <si>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</si>
  <si>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</si>
  <si>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</si>
  <si>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</si>
  <si>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</si>
  <si>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</si>
  <si>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</si>
  <si>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</si>
  <si>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</si>
  <si>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</si>
  <si>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</si>
  <si>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</si>
  <si>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</si>
  <si>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</si>
  <si>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</si>
  <si>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G7X MakIII Silver</t>
  </si>
  <si>
    <t>NGH88QE83</t>
  </si>
  <si>
    <t>CT Freight Sydney</t>
  </si>
  <si>
    <t>Anaconda Penrith</t>
  </si>
  <si>
    <t>BCF penrith</t>
  </si>
  <si>
    <t>Purchased</t>
  </si>
  <si>
    <t>Anaconda  Online</t>
  </si>
  <si>
    <t>BAU005245330</t>
  </si>
  <si>
    <t> BAU005245333</t>
  </si>
  <si>
    <t> BAU005245336</t>
  </si>
  <si>
    <t> 1441008523</t>
  </si>
  <si>
    <t>Storage Charges</t>
  </si>
  <si>
    <t> 1441008661</t>
  </si>
  <si>
    <t> 1442067308</t>
  </si>
  <si>
    <t> BAU005248271</t>
  </si>
  <si>
    <t>BAU005248273</t>
  </si>
  <si>
    <t> BAU005248377</t>
  </si>
  <si>
    <t>Instax mini 13</t>
  </si>
  <si>
    <t>JBHIFI Castle Towers</t>
  </si>
  <si>
    <t>Meta Gen 2 Transitions</t>
  </si>
  <si>
    <t>860 paid on 20-05</t>
  </si>
  <si>
    <t>Storage King Sydney</t>
  </si>
  <si>
    <t>Collected 23/05</t>
  </si>
  <si>
    <t>Asfand Perth Transfer</t>
  </si>
  <si>
    <t>BAU005252836</t>
  </si>
  <si>
    <t>BAU005252837</t>
  </si>
  <si>
    <t>BAU005252843</t>
  </si>
  <si>
    <t> BAU005252848</t>
  </si>
  <si>
    <t>Multiple Stores</t>
  </si>
  <si>
    <t>Adil bhai</t>
  </si>
  <si>
    <t>BAU005257013</t>
  </si>
  <si>
    <t> BAU005257016</t>
  </si>
  <si>
    <t> 1445455982</t>
  </si>
  <si>
    <t>BAU005257265</t>
  </si>
  <si>
    <t>BAU005257270</t>
  </si>
  <si>
    <t>BAU005257275</t>
  </si>
  <si>
    <t>G7X Mark III Black &amp; Silver</t>
  </si>
  <si>
    <t>BAU005262261</t>
  </si>
  <si>
    <t>BAU005262266</t>
  </si>
  <si>
    <t> BAU005262379</t>
  </si>
  <si>
    <r>
      <t> </t>
    </r>
    <r>
      <rPr>
        <sz val="8"/>
        <color rgb="FF2D2D2D"/>
        <rFont val="Arial"/>
        <family val="2"/>
      </rPr>
      <t>192872</t>
    </r>
  </si>
  <si>
    <t>2 Pending/Delivered 03/06</t>
  </si>
  <si>
    <t>JBHIFI ROUSEHILL</t>
  </si>
  <si>
    <t>1 Delivered/ 1 Refunded</t>
  </si>
  <si>
    <t>SOR069462</t>
  </si>
  <si>
    <t>Abdul khan</t>
  </si>
  <si>
    <t>Pick up Waleed Melbourne</t>
  </si>
  <si>
    <t>From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</si>
</sst>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i/>
      <sz val="10"/>
      <color rgb="FF21252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13" fillId="0" borderId="1" xfId="0" applyFont="1" applyBorder="1"/>
    <xf numFmtId="0" fontId="12" fillId="0" borderId="1" xfId="0" applyFont="1" applyBorder="1"/>
    <xf numFmtId="167" fontId="0" fillId="0" borderId="3" xfId="0" applyNumberFormat="1" applyBorder="1"/>
    <xf numFmtId="0" fontId="14" fillId="0" borderId="1" xfId="0" applyFont="1" applyBorder="1"/>
    <xf numFmtId="0" fontId="24" fillId="0" borderId="0" xfId="0" applyFont="1"/>
    <xf numFmtId="16" fontId="0" fillId="9" borderId="1" xfId="0" applyNumberFormat="1" applyFill="1" applyBorder="1"/>
    <xf numFmtId="0" fontId="0" fillId="9" borderId="1" xfId="0" applyFill="1" applyBorder="1"/>
    <xf numFmtId="167" fontId="0" fillId="9" borderId="1" xfId="0" applyNumberFormat="1" applyFill="1" applyBorder="1"/>
    <xf numFmtId="0" fontId="16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6" fillId="9" borderId="0" xfId="0" applyFont="1" applyFill="1"/>
    <xf numFmtId="0" fontId="17" fillId="9" borderId="0" xfId="0" applyFont="1" applyFill="1"/>
    <xf numFmtId="0" fontId="18" fillId="9" borderId="1" xfId="0" applyFont="1" applyFill="1" applyBorder="1"/>
    <xf numFmtId="0" fontId="20" fillId="9" borderId="1" xfId="0" applyFont="1" applyFill="1" applyBorder="1"/>
    <xf numFmtId="0" fontId="20" fillId="9" borderId="0" xfId="0" applyFont="1" applyFill="1"/>
    <xf numFmtId="16" fontId="0" fillId="9" borderId="3" xfId="0" applyNumberFormat="1" applyFill="1" applyBorder="1"/>
    <xf numFmtId="0" fontId="0" fillId="9" borderId="3" xfId="0" applyFill="1" applyBorder="1"/>
    <xf numFmtId="167" fontId="0" fillId="9" borderId="3" xfId="0" applyNumberFormat="1" applyFill="1" applyBorder="1"/>
    <xf numFmtId="0" fontId="23" fillId="9" borderId="1" xfId="0" applyFont="1" applyFill="1" applyBorder="1"/>
    <xf numFmtId="0" fontId="23" fillId="9" borderId="0" xfId="0" applyFont="1" applyFill="1"/>
    <xf numFmtId="0" fontId="25" fillId="9" borderId="0" xfId="0" applyFont="1" applyFill="1"/>
    <xf numFmtId="0" fontId="25" fillId="9" borderId="1" xfId="0" applyFont="1" applyFill="1" applyBorder="1"/>
    <xf numFmtId="0" fontId="13" fillId="9" borderId="1" xfId="0" applyFont="1" applyFill="1" applyBorder="1"/>
    <xf numFmtId="0" fontId="13" fillId="9" borderId="0" xfId="0" applyFont="1" applyFill="1"/>
    <xf numFmtId="0" fontId="26" fillId="9" borderId="0" xfId="0" applyFont="1" applyFill="1"/>
    <xf numFmtId="0" fontId="27" fillId="9" borderId="1" xfId="0" applyFont="1" applyFill="1" applyBorder="1"/>
    <xf numFmtId="0" fontId="27" fillId="9" borderId="0" xfId="0" applyFont="1" applyFill="1"/>
    <xf numFmtId="0" fontId="29" fillId="9" borderId="0" xfId="0" applyFont="1" applyFill="1"/>
    <xf numFmtId="16" fontId="0" fillId="10" borderId="1" xfId="0" applyNumberFormat="1" applyFill="1" applyBorder="1"/>
    <xf numFmtId="0" fontId="0" fillId="10" borderId="1" xfId="0" applyFill="1" applyBorder="1"/>
    <xf numFmtId="167" fontId="0" fillId="10" borderId="1" xfId="0" applyNumberFormat="1" applyFill="1" applyBorder="1"/>
    <xf numFmtId="0" fontId="0" fillId="10" borderId="0" xfId="0" applyFill="1"/>
    <xf numFmtId="0" fontId="13" fillId="10" borderId="1" xfId="0" applyFont="1" applyFill="1" applyBorder="1"/>
    <xf numFmtId="0" fontId="20" fillId="10" borderId="1" xfId="0" applyFont="1" applyFill="1" applyBorder="1"/>
    <xf numFmtId="16" fontId="0" fillId="10" borderId="14" xfId="0" applyNumberFormat="1" applyFill="1" applyBorder="1"/>
    <xf numFmtId="0" fontId="0" fillId="10" borderId="14" xfId="0" applyFill="1" applyBorder="1"/>
    <xf numFmtId="167" fontId="0" fillId="10" borderId="14" xfId="0" applyNumberFormat="1" applyFill="1" applyBorder="1"/>
    <xf numFmtId="0" fontId="18" fillId="10" borderId="14" xfId="0" applyFont="1" applyFill="1" applyBorder="1"/>
    <xf numFmtId="0" fontId="0" fillId="10" borderId="1" xfId="0" applyFill="1" applyBorder="1" applyAlignment="1">
      <alignment horizontal="center"/>
    </xf>
    <xf numFmtId="0" fontId="8" fillId="10" borderId="1" xfId="0" applyFont="1" applyFill="1" applyBorder="1"/>
    <xf numFmtId="0" fontId="9" fillId="10" borderId="1" xfId="0" applyFont="1" applyFill="1" applyBorder="1"/>
    <xf numFmtId="0" fontId="10" fillId="10" borderId="1" xfId="0" applyFont="1" applyFill="1" applyBorder="1"/>
    <xf numFmtId="0" fontId="15" fillId="10" borderId="1" xfId="0" applyFont="1" applyFill="1" applyBorder="1"/>
    <xf numFmtId="0" fontId="19" fillId="10" borderId="1" xfId="0" applyFont="1" applyFill="1" applyBorder="1"/>
    <xf numFmtId="0" fontId="19" fillId="10" borderId="0" xfId="0" applyFont="1" applyFill="1"/>
    <xf numFmtId="0" fontId="22" fillId="10" borderId="1" xfId="0" applyFont="1" applyFill="1" applyBorder="1"/>
    <xf numFmtId="0" fontId="28" fillId="10" borderId="1" xfId="0" applyFont="1" applyFill="1" applyBorder="1"/>
    <xf numFmtId="0" fontId="21" fillId="9" borderId="0" xfId="0" applyFont="1" applyFill="1"/>
    <xf numFmtId="0" fontId="22" fillId="9" borderId="1" xfId="0" applyFont="1" applyFill="1" applyBorder="1"/>
    <xf numFmtId="0" fontId="9" fillId="9" borderId="0" xfId="0" applyFont="1" applyFill="1"/>
    <xf numFmtId="0" fontId="30" fillId="9" borderId="0" xfId="0" applyFont="1" applyFill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5.482150925927" createdVersion="8" refreshedVersion="8" minRefreshableVersion="3" recordCount="50" xr:uid="{0876B01B-7529-41BC-91C0-89A468A29EFE}">
  <cacheSource type="worksheet">
    <worksheetSource ref="A1:K1048576" sheet="APR NZ"/>
  </cacheSource>
  <cacheFields count="11">
    <cacheField name="Date" numFmtId="0">
      <sharedItems containsNonDate="0" containsDate="1" containsString="0" containsBlank="1" minDate="2026-04-01T00:00:00" maxDate="2026-06-03T00:00:00" count="20">
        <d v="2026-04-01T00:00:00"/>
        <d v="2026-04-02T00:00:00"/>
        <d v="2026-04-06T00:00:00"/>
        <d v="2026-04-20T00:00:00"/>
        <d v="2026-04-22T00:00:00"/>
        <d v="2026-04-24T00:00:00"/>
        <d v="2026-04-30T00:00:00"/>
        <d v="2026-05-01T00:00:00"/>
        <d v="2026-05-07T00:00:00"/>
        <d v="2026-05-10T00:00:00"/>
        <d v="2026-05-11T00:00:00"/>
        <d v="2026-05-12T00:00:00"/>
        <d v="2026-05-14T00:00:00"/>
        <d v="2026-05-16T00:00:00"/>
        <d v="2026-05-18T00:00:00"/>
        <d v="2026-05-20T00:00:00"/>
        <d v="2026-05-29T00:00:00"/>
        <d v="2026-06-01T00:00:00"/>
        <d v="2026-06-02T00:00:00"/>
        <m/>
      </sharedItems>
    </cacheField>
    <cacheField name="Qty" numFmtId="0">
      <sharedItems containsString="0" containsBlank="1" containsNumber="1" containsInteger="1" minValue="1" maxValue="40"/>
    </cacheField>
    <cacheField name="Field3" caption="Field3" numFmtId="0">
      <sharedItems containsString="0" containsBlank="1" containsNumber="1" containsInteger="1" minValue="0" maxValue="10"/>
    </cacheField>
    <cacheField name="Field4" caption="Field4" numFmtId="0">
      <sharedItems containsString="0" containsBlank="1" containsNumber="1" containsInteger="1" minValue="1" maxValue="3"/>
    </cacheField>
    <cacheField name="Descriptions" numFmtId="0">
      <sharedItems containsBlank="1" count="15">
        <s v="Starlink V4"/>
        <s v="G7X Mark III Black"/>
        <s v="G7X Mark III Silver"/>
        <s v="SX740"/>
        <s v="Shipping Charges"/>
        <s v="Minelab 1000"/>
        <s v="Minelab GPZ 8000"/>
        <s v="Goldmonster 2000"/>
        <s v="Instax Mini 13"/>
        <s v="Collection Commision"/>
        <s v="G7X MakIII Silver"/>
        <s v="G7X Mark III Black &amp; Silver"/>
        <m/>
        <s v="Mark III Black" u="1"/>
        <s v="G7X Mark III" u="1"/>
      </sharedItems>
    </cacheField>
    <cacheField name="Store" numFmtId="0">
      <sharedItems containsBlank="1"/>
    </cacheField>
    <cacheField name="Price" numFmtId="167">
      <sharedItems containsString="0" containsBlank="1" containsNumber="1" minValue="143" maxValue="17999"/>
    </cacheField>
    <cacheField name="Total" numFmtId="167">
      <sharedItems containsString="0" containsBlank="1" containsNumber="1" minValue="1144" maxValue="19200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8.971791666663" createdVersion="8" refreshedVersion="8" minRefreshableVersion="3" recordCount="153" xr:uid="{DAE1EDFF-A85E-47D0-8505-C58D9007B280}">
  <cacheSource type="worksheet">
    <worksheetSource ref="A1:G1048576" sheet="MAY AU"/>
  </cacheSource>
  <cacheFields count="7">
    <cacheField name="Date" numFmtId="0">
      <sharedItems containsNonDate="0" containsDate="1" containsString="0" containsBlank="1" minDate="2026-05-01T00:00:00" maxDate="2026-06-04T00:00:00" count="26">
        <d v="2026-05-01T00:00:00"/>
        <d v="2026-05-02T00:00:00"/>
        <d v="2026-05-03T00:00:00"/>
        <d v="2026-05-04T00:00:00"/>
        <d v="2026-05-05T00:00:00"/>
        <d v="2026-05-06T00:00:00"/>
        <d v="2026-05-08T00:00:00"/>
        <d v="2026-05-11T00:00:00"/>
        <d v="2026-05-10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5-28T00:00:00"/>
        <d v="2026-05-29T00:00:00"/>
        <d v="2026-06-01T00:00:00"/>
        <d v="2026-06-03T00:00:00"/>
        <m/>
      </sharedItems>
    </cacheField>
    <cacheField name="Qty" numFmtId="0">
      <sharedItems containsString="0" containsBlank="1" containsNumber="1" containsInteger="1" minValue="1" maxValue="19"/>
    </cacheField>
    <cacheField name="Descriptions" numFmtId="0">
      <sharedItems containsBlank="1" count="11">
        <s v="Minelab 1000"/>
        <s v="Macbook Pro M5 16/512"/>
        <s v="Shipping Charges "/>
        <s v="Starlink Standard Kit"/>
        <s v="Collection Charges"/>
        <s v="Iphoe 17 pro max"/>
        <s v="Instax mini 13"/>
        <s v="Meta Gen 2 Transitions"/>
        <s v="G7X Mark III Silver"/>
        <s v="Storage Charges"/>
        <m/>
      </sharedItems>
    </cacheField>
    <cacheField name="Store" numFmtId="0">
      <sharedItems containsBlank="1"/>
    </cacheField>
    <cacheField name="Price" numFmtId="167">
      <sharedItems containsString="0" containsBlank="1" containsNumber="1" minValue="20" maxValue="20905.650000000001"/>
    </cacheField>
    <cacheField name="Total" numFmtId="167">
      <sharedItems containsString="0" containsBlank="1" containsNumber="1" minValue="300" maxValue="2158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m/>
    <m/>
    <x v="0"/>
    <s v="Abdul Noel Leeming"/>
    <n v="469"/>
    <n v="4690"/>
    <s v="Abdul Khan"/>
    <m/>
    <m/>
  </r>
  <r>
    <x v="0"/>
    <n v="8"/>
    <n v="3"/>
    <n v="3"/>
    <x v="1"/>
    <s v="Progear"/>
    <n v="1579"/>
    <n v="12632"/>
    <s v="Peding Confirmation"/>
    <m/>
    <s v="2 Pending"/>
  </r>
  <r>
    <x v="0"/>
    <n v="5"/>
    <n v="4"/>
    <n v="1"/>
    <x v="2"/>
    <s v="Progear"/>
    <n v="1579"/>
    <n v="7895"/>
    <s v="Delivered"/>
    <m/>
    <m/>
  </r>
  <r>
    <x v="0"/>
    <n v="4"/>
    <n v="3"/>
    <n v="1"/>
    <x v="3"/>
    <s v="Progear"/>
    <n v="779"/>
    <n v="3116"/>
    <s v="Delivered"/>
    <m/>
    <m/>
  </r>
  <r>
    <x v="1"/>
    <n v="2"/>
    <n v="2"/>
    <m/>
    <x v="2"/>
    <s v="Auckland Camera"/>
    <n v="1579"/>
    <n v="3158"/>
    <s v="Delivered"/>
    <m/>
    <m/>
  </r>
  <r>
    <x v="0"/>
    <n v="4"/>
    <n v="4"/>
    <m/>
    <x v="1"/>
    <s v="Auckland Camera"/>
    <n v="1579"/>
    <n v="6316"/>
    <s v="Delivered"/>
    <m/>
    <m/>
  </r>
  <r>
    <x v="0"/>
    <n v="3"/>
    <n v="3"/>
    <m/>
    <x v="1"/>
    <s v="Photogear"/>
    <n v="1579"/>
    <n v="4737"/>
    <s v="Delivered"/>
    <m/>
    <m/>
  </r>
  <r>
    <x v="0"/>
    <n v="1"/>
    <n v="1"/>
    <m/>
    <x v="2"/>
    <s v="Ruber Monkey"/>
    <n v="1579"/>
    <n v="1579"/>
    <s v="Delivered"/>
    <m/>
    <m/>
  </r>
  <r>
    <x v="1"/>
    <n v="3"/>
    <n v="3"/>
    <m/>
    <x v="2"/>
    <s v="Photogear"/>
    <n v="1579"/>
    <n v="4737"/>
    <s v="Delivered"/>
    <m/>
    <m/>
  </r>
  <r>
    <x v="1"/>
    <n v="3"/>
    <n v="3"/>
    <m/>
    <x v="1"/>
    <s v="Photogear"/>
    <n v="1579"/>
    <n v="4737"/>
    <s v="Delivered"/>
    <m/>
    <m/>
  </r>
  <r>
    <x v="1"/>
    <n v="1"/>
    <m/>
    <m/>
    <x v="4"/>
    <s v="CT Freight New Zealand"/>
    <n v="2748.46"/>
    <n v="2748.46"/>
    <s v="Expense"/>
    <m/>
    <s v="Paid"/>
  </r>
  <r>
    <x v="2"/>
    <n v="10"/>
    <n v="10"/>
    <m/>
    <x v="0"/>
    <s v="Abdul Khan"/>
    <n v="470"/>
    <n v="4700"/>
    <s v="10 V4 Payment"/>
    <m/>
    <m/>
  </r>
  <r>
    <x v="3"/>
    <n v="1"/>
    <n v="1"/>
    <m/>
    <x v="5"/>
    <s v="Jacobs Digital"/>
    <n v="1649"/>
    <n v="1649"/>
    <s v="Collected Abdul Khan"/>
    <m/>
    <s v="Abdul Rehman Card"/>
  </r>
  <r>
    <x v="3"/>
    <n v="1"/>
    <n v="1"/>
    <m/>
    <x v="6"/>
    <s v="Jacobs Digital"/>
    <n v="17999"/>
    <n v="17999"/>
    <s v="Collected Abdul Khan"/>
    <m/>
    <s v="Abdul Rehman Card"/>
  </r>
  <r>
    <x v="3"/>
    <n v="5"/>
    <n v="5"/>
    <m/>
    <x v="3"/>
    <s v="Noel Leeming"/>
    <n v="786"/>
    <n v="3930"/>
    <s v="Abdul Khan"/>
    <m/>
    <s v="Abdul Khan"/>
  </r>
  <r>
    <x v="4"/>
    <n v="10"/>
    <n v="10"/>
    <m/>
    <x v="1"/>
    <s v="Abdul Khan"/>
    <n v="1579"/>
    <n v="15790"/>
    <s v="Abdul Khan"/>
    <m/>
    <s v="Abdul Khan"/>
  </r>
  <r>
    <x v="5"/>
    <n v="10"/>
    <n v="10"/>
    <m/>
    <x v="1"/>
    <s v="Noel Leeming"/>
    <n v="1489"/>
    <n v="14890"/>
    <s v="Abdul Khan"/>
    <m/>
    <m/>
  </r>
  <r>
    <x v="5"/>
    <n v="10"/>
    <n v="0"/>
    <m/>
    <x v="1"/>
    <s v="Noel Leeming"/>
    <n v="1489"/>
    <n v="14890"/>
    <s v="Abdul Khan"/>
    <m/>
    <m/>
  </r>
  <r>
    <x v="6"/>
    <n v="4"/>
    <m/>
    <m/>
    <x v="1"/>
    <s v="Photogear Online"/>
    <n v="1579"/>
    <n v="6316"/>
    <s v="Abdul Khan"/>
    <m/>
    <m/>
  </r>
  <r>
    <x v="6"/>
    <n v="4"/>
    <m/>
    <m/>
    <x v="1"/>
    <s v="Photo Warehouse"/>
    <n v="1579"/>
    <n v="6316"/>
    <s v="Abdul Khan"/>
    <m/>
    <m/>
  </r>
  <r>
    <x v="7"/>
    <n v="3"/>
    <m/>
    <m/>
    <x v="3"/>
    <s v="Ruber Monkey"/>
    <n v="849"/>
    <n v="2547"/>
    <s v="Abdul Khan"/>
    <m/>
    <m/>
  </r>
  <r>
    <x v="7"/>
    <n v="1"/>
    <m/>
    <m/>
    <x v="1"/>
    <s v="Ruber Monkey"/>
    <n v="1579"/>
    <n v="1579"/>
    <s v="Abdul Khan"/>
    <m/>
    <m/>
  </r>
  <r>
    <x v="8"/>
    <n v="2"/>
    <m/>
    <m/>
    <x v="7"/>
    <s v="Jacobs Digital"/>
    <n v="3299"/>
    <n v="6598"/>
    <s v="Delivered"/>
    <m/>
    <m/>
  </r>
  <r>
    <x v="9"/>
    <n v="4"/>
    <m/>
    <m/>
    <x v="1"/>
    <s v="Photogear Online"/>
    <n v="1579"/>
    <n v="6316"/>
    <s v="Delivered"/>
    <m/>
    <m/>
  </r>
  <r>
    <x v="9"/>
    <n v="4"/>
    <m/>
    <m/>
    <x v="1"/>
    <s v="Photo Warehouse"/>
    <n v="1579"/>
    <n v="6316"/>
    <s v="Delivered"/>
    <m/>
    <m/>
  </r>
  <r>
    <x v="10"/>
    <n v="8"/>
    <m/>
    <m/>
    <x v="8"/>
    <s v="Noel Leeming Online"/>
    <n v="143"/>
    <n v="1144"/>
    <s v="Pending Delivery"/>
    <m/>
    <m/>
  </r>
  <r>
    <x v="11"/>
    <n v="4"/>
    <m/>
    <m/>
    <x v="1"/>
    <s v="Photogear Online"/>
    <n v="1579"/>
    <n v="6316"/>
    <s v="Delivered"/>
    <m/>
    <m/>
  </r>
  <r>
    <x v="11"/>
    <n v="1"/>
    <m/>
    <m/>
    <x v="9"/>
    <s v="Abdul Khan"/>
    <m/>
    <n v="1370"/>
    <s v="All previous bal clear"/>
    <m/>
    <m/>
  </r>
  <r>
    <x v="11"/>
    <n v="20"/>
    <m/>
    <m/>
    <x v="8"/>
    <s v="Abdul Khan"/>
    <n v="143"/>
    <n v="2860"/>
    <s v="2000 Paid only"/>
    <m/>
    <s v="860 paid on 20-05"/>
  </r>
  <r>
    <x v="11"/>
    <n v="1"/>
    <m/>
    <m/>
    <x v="6"/>
    <s v="Jacobs Digital"/>
    <n v="17999"/>
    <n v="17999"/>
    <s v="Delivered"/>
    <m/>
    <m/>
  </r>
  <r>
    <x v="12"/>
    <n v="12"/>
    <m/>
    <m/>
    <x v="5"/>
    <s v="Jacobs Digital"/>
    <n v="1600"/>
    <n v="19200"/>
    <s v="Delivered"/>
    <m/>
    <m/>
  </r>
  <r>
    <x v="12"/>
    <n v="4"/>
    <m/>
    <m/>
    <x v="10"/>
    <s v="Photogear Online"/>
    <n v="1579"/>
    <n v="6316"/>
    <s v="Pending Delivery"/>
    <m/>
    <m/>
  </r>
  <r>
    <x v="12"/>
    <n v="4"/>
    <m/>
    <m/>
    <x v="1"/>
    <s v="Photo Warehouse"/>
    <n v="1579"/>
    <n v="6316"/>
    <s v="Delivered"/>
    <m/>
    <m/>
  </r>
  <r>
    <x v="13"/>
    <n v="1"/>
    <m/>
    <m/>
    <x v="6"/>
    <s v="Jacobs Digital"/>
    <n v="17999"/>
    <n v="17999"/>
    <s v="Pending Delivery"/>
    <m/>
    <m/>
  </r>
  <r>
    <x v="13"/>
    <n v="40"/>
    <m/>
    <m/>
    <x v="8"/>
    <s v="Noel Leeming"/>
    <n v="143"/>
    <n v="5720"/>
    <s v="Pending Delivery"/>
    <m/>
    <m/>
  </r>
  <r>
    <x v="13"/>
    <n v="40"/>
    <m/>
    <m/>
    <x v="8"/>
    <s v="Noel Leeming"/>
    <n v="143"/>
    <n v="5720"/>
    <s v="Pending Delivery"/>
    <m/>
    <m/>
  </r>
  <r>
    <x v="14"/>
    <n v="4"/>
    <m/>
    <m/>
    <x v="10"/>
    <s v="Photo Warehouse"/>
    <n v="1579"/>
    <n v="6316"/>
    <s v="Delivered"/>
    <m/>
    <m/>
  </r>
  <r>
    <x v="15"/>
    <n v="8"/>
    <m/>
    <m/>
    <x v="8"/>
    <s v="Abdul Khan"/>
    <n v="143"/>
    <n v="1144"/>
    <s v="Pending Delivery"/>
    <m/>
    <m/>
  </r>
  <r>
    <x v="16"/>
    <n v="2"/>
    <m/>
    <m/>
    <x v="10"/>
    <s v="Photogear Online"/>
    <n v="1579"/>
    <n v="3158"/>
    <s v="Pending Delivery"/>
    <m/>
    <m/>
  </r>
  <r>
    <x v="16"/>
    <n v="1"/>
    <m/>
    <m/>
    <x v="1"/>
    <s v="Photogear Online"/>
    <n v="1579"/>
    <n v="1579"/>
    <s v="Pending Delivery"/>
    <m/>
    <m/>
  </r>
  <r>
    <x v="16"/>
    <n v="9"/>
    <m/>
    <m/>
    <x v="11"/>
    <s v="Progear"/>
    <n v="1540"/>
    <n v="13860"/>
    <s v="Pending Delivery"/>
    <m/>
    <m/>
  </r>
  <r>
    <x v="17"/>
    <n v="8"/>
    <m/>
    <m/>
    <x v="1"/>
    <s v="Noel Leeming"/>
    <n v="1449"/>
    <n v="11592"/>
    <s v="Abdul Khan"/>
    <m/>
    <m/>
  </r>
  <r>
    <x v="18"/>
    <n v="2"/>
    <m/>
    <m/>
    <x v="1"/>
    <s v="Harvey Norman"/>
    <n v="1579"/>
    <n v="3158"/>
    <s v="Abdul Khan"/>
    <m/>
    <m/>
  </r>
  <r>
    <x v="18"/>
    <n v="18"/>
    <m/>
    <m/>
    <x v="8"/>
    <s v="Abdul Khan"/>
    <n v="143"/>
    <n v="2574"/>
    <s v="Abdul Khan"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1"/>
    <n v="5"/>
    <x v="1"/>
    <s v="JBHIFI Bankstown"/>
    <n v="1999"/>
    <n v="9995"/>
    <s v="Collected"/>
  </r>
  <r>
    <x v="1"/>
    <n v="7"/>
    <x v="1"/>
    <s v="JBHIFI Roselands"/>
    <n v="1982"/>
    <n v="13874"/>
    <s v="Collected"/>
  </r>
  <r>
    <x v="2"/>
    <n v="4"/>
    <x v="1"/>
    <s v="JBHIFI Merrylands"/>
    <n v="1999"/>
    <n v="7996"/>
    <s v="Collected"/>
  </r>
  <r>
    <x v="2"/>
    <n v="10"/>
    <x v="1"/>
    <s v="JBHIFI Parramatta"/>
    <n v="1999"/>
    <n v="19990"/>
    <s v="Collected"/>
  </r>
  <r>
    <x v="2"/>
    <n v="8"/>
    <x v="1"/>
    <s v="JBHIFI Macquarie"/>
    <n v="1950"/>
    <n v="15600"/>
    <s v="Collected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5"/>
    <n v="10"/>
    <x v="0"/>
    <s v="Anaconda Chullora"/>
    <n v="1205"/>
    <n v="12050"/>
    <s v="Collected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1"/>
    <x v="2"/>
    <s v="CT Freight Melbourne"/>
    <n v="20905.650000000001"/>
    <n v="20905.650000000001"/>
    <s v="Paid"/>
  </r>
  <r>
    <x v="6"/>
    <n v="10"/>
    <x v="1"/>
    <s v="JBHIFI Bankstown"/>
    <n v="1897"/>
    <n v="18970"/>
    <s v="Collected"/>
  </r>
  <r>
    <x v="6"/>
    <n v="7"/>
    <x v="1"/>
    <s v="JBHIFI Homebush"/>
    <n v="1897"/>
    <n v="13279"/>
    <s v="Collected"/>
  </r>
  <r>
    <x v="6"/>
    <n v="2"/>
    <x v="3"/>
    <s v="JBHIFI Homebush"/>
    <n v="394"/>
    <n v="788"/>
    <s v="Collected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8"/>
    <m/>
    <x v="4"/>
    <s v="Waleed Perth"/>
    <n v="400"/>
    <n v="400"/>
    <m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10"/>
    <n v="4"/>
    <x v="0"/>
    <s v="Anaconda Marsden Park"/>
    <n v="1199"/>
    <n v="4796"/>
    <s v="Collected"/>
  </r>
  <r>
    <x v="10"/>
    <n v="1"/>
    <x v="0"/>
    <s v="Eastern Creek"/>
    <n v="1199"/>
    <n v="1199"/>
    <s v="Collected"/>
  </r>
  <r>
    <x v="10"/>
    <n v="2"/>
    <x v="0"/>
    <s v="Anaconda Penrith"/>
    <n v="1199"/>
    <n v="2398"/>
    <s v="Collected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4"/>
    <x v="5"/>
    <s v="Harvey Norman Adil Bhai"/>
    <n v="2199"/>
    <n v="8796"/>
    <s v="Collected"/>
  </r>
  <r>
    <x v="11"/>
    <n v="4"/>
    <x v="0"/>
    <s v="BCF Online Adil Bhai"/>
    <n v="1199"/>
    <n v="4796"/>
    <s v="Pending"/>
  </r>
  <r>
    <x v="11"/>
    <n v="2"/>
    <x v="0"/>
    <s v="Asfand Perth Transfer"/>
    <n v="1199"/>
    <n v="2400"/>
    <s v="Purchased"/>
  </r>
  <r>
    <x v="12"/>
    <n v="2"/>
    <x v="0"/>
    <s v="Asfand Perth Transfer"/>
    <n v="1199"/>
    <n v="7200"/>
    <s v="Purchased"/>
  </r>
  <r>
    <x v="12"/>
    <n v="1"/>
    <x v="2"/>
    <s v="CT Freight Sydney"/>
    <n v="8926.7000000000007"/>
    <n v="8926.7000000000007"/>
    <s v="Paid"/>
  </r>
  <r>
    <x v="13"/>
    <n v="1"/>
    <x v="0"/>
    <s v="Anaconda Penrith"/>
    <n v="1199"/>
    <n v="1199"/>
    <s v="Collected"/>
  </r>
  <r>
    <x v="13"/>
    <n v="2"/>
    <x v="0"/>
    <s v="BCF penrith"/>
    <n v="1199"/>
    <n v="2398"/>
    <s v="Collected"/>
  </r>
  <r>
    <x v="13"/>
    <n v="1"/>
    <x v="0"/>
    <s v="Anaconda Marsden Park"/>
    <n v="1199"/>
    <n v="1199"/>
    <s v="Collected"/>
  </r>
  <r>
    <x v="14"/>
    <n v="7"/>
    <x v="0"/>
    <s v="Asfand Perth Transfer"/>
    <n v="1200"/>
    <n v="8400"/>
    <s v="Purchased"/>
  </r>
  <r>
    <x v="14"/>
    <n v="4"/>
    <x v="0"/>
    <s v="BCF Online Adil Bhai"/>
    <n v="1199"/>
    <n v="4796"/>
    <s v="Pending"/>
  </r>
  <r>
    <x v="14"/>
    <n v="2"/>
    <x v="0"/>
    <s v="Anaconda  Online"/>
    <n v="1199"/>
    <n v="2398"/>
    <s v="Pending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6"/>
    <n v="5"/>
    <x v="0"/>
    <s v="Anaconda Chullora"/>
    <n v="1199"/>
    <n v="5995"/>
    <s v="Collected"/>
  </r>
  <r>
    <x v="16"/>
    <n v="3"/>
    <x v="1"/>
    <s v="JBHIFI Roselands"/>
    <n v="1897"/>
    <n v="5691"/>
    <s v="Collected"/>
  </r>
  <r>
    <x v="16"/>
    <n v="3"/>
    <x v="6"/>
    <s v="JBHIFI Roselands"/>
    <n v="105"/>
    <n v="315"/>
    <s v="Collected"/>
  </r>
  <r>
    <x v="16"/>
    <n v="3"/>
    <x v="1"/>
    <s v="JBHIFI Roselands"/>
    <n v="1897"/>
    <n v="5691"/>
    <s v="Collected 23/05"/>
  </r>
  <r>
    <x v="16"/>
    <n v="2"/>
    <x v="1"/>
    <s v="JBHIFI Roselands"/>
    <n v="1897"/>
    <n v="3794"/>
    <s v="Collected 23/05"/>
  </r>
  <r>
    <x v="16"/>
    <n v="3"/>
    <x v="7"/>
    <s v="JBHIFI Roselands"/>
    <n v="549"/>
    <n v="1647"/>
    <s v="Pending Collection"/>
  </r>
  <r>
    <x v="16"/>
    <n v="1"/>
    <x v="7"/>
    <s v="JBHIFI Roselands"/>
    <n v="549"/>
    <n v="549"/>
    <s v="Pending Collection"/>
  </r>
  <r>
    <x v="16"/>
    <n v="2"/>
    <x v="1"/>
    <s v="JBHIFI Parramatta"/>
    <n v="1897"/>
    <n v="3794"/>
    <s v="Collected"/>
  </r>
  <r>
    <x v="16"/>
    <n v="19"/>
    <x v="6"/>
    <s v="JBHIFI Parramatta"/>
    <n v="105"/>
    <n v="1995"/>
    <s v="Collected"/>
  </r>
  <r>
    <x v="16"/>
    <n v="2"/>
    <x v="8"/>
    <s v="JBHIFI Parramatta"/>
    <n v="1298"/>
    <n v="2596"/>
    <s v="Collected"/>
  </r>
  <r>
    <x v="17"/>
    <m/>
    <x v="9"/>
    <s v="Storage King Sydney"/>
    <m/>
    <n v="457"/>
    <m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8"/>
    <n v="4"/>
    <x v="0"/>
    <s v="Asfand Perth Transfer"/>
    <n v="1199"/>
    <n v="4796"/>
    <s v="Purchased"/>
  </r>
  <r>
    <x v="18"/>
    <n v="4"/>
    <x v="1"/>
    <s v="JBHIFI Castle Hills"/>
    <n v="1897"/>
    <n v="7588"/>
    <s v="Collected"/>
  </r>
  <r>
    <x v="19"/>
    <n v="6"/>
    <x v="1"/>
    <s v="JBHIFI Macquarie"/>
    <n v="1897"/>
    <n v="11382"/>
    <s v="Collected"/>
  </r>
  <r>
    <x v="19"/>
    <n v="4"/>
    <x v="1"/>
    <s v="JBHIFI Macquarie"/>
    <n v="1897"/>
    <n v="7588"/>
    <s v="Collected"/>
  </r>
  <r>
    <x v="19"/>
    <n v="4"/>
    <x v="1"/>
    <s v="JBHIFI Macquarie"/>
    <n v="1897"/>
    <n v="7588"/>
    <s v="Collected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BCF Online"/>
    <n v="1199"/>
    <n v="2398"/>
    <s v="Pending Delivery"/>
  </r>
  <r>
    <x v="20"/>
    <n v="2"/>
    <x v="0"/>
    <s v="BCF Online"/>
    <n v="1199"/>
    <n v="2398"/>
    <s v="Pending Delivery"/>
  </r>
  <r>
    <x v="20"/>
    <n v="1"/>
    <x v="0"/>
    <s v="BCF Online"/>
    <n v="1199"/>
    <n v="1199"/>
    <s v="Pending Delivery"/>
  </r>
  <r>
    <x v="20"/>
    <n v="2"/>
    <x v="0"/>
    <s v="BCF Online"/>
    <n v="1199"/>
    <n v="2398"/>
    <s v="Pending Delivery"/>
  </r>
  <r>
    <x v="21"/>
    <n v="15"/>
    <x v="0"/>
    <s v="Multiple Stores"/>
    <n v="1199"/>
    <n v="17985"/>
    <s v="Collected"/>
  </r>
  <r>
    <x v="21"/>
    <n v="15"/>
    <x v="4"/>
    <s v="Adil bhai"/>
    <n v="20"/>
    <n v="300"/>
    <s v="Expense"/>
  </r>
  <r>
    <x v="21"/>
    <n v="2"/>
    <x v="1"/>
    <s v="JBHIFI Parramatta"/>
    <n v="1897"/>
    <n v="3794"/>
    <s v="Collected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5"/>
    <x v="1"/>
    <s v="JBHIFI Parramatta"/>
    <n v="1930"/>
    <n v="9650"/>
    <s v="Collected"/>
  </r>
  <r>
    <x v="21"/>
    <n v="8"/>
    <x v="6"/>
    <s v="JBHIFI Parramatta"/>
    <n v="105"/>
    <n v="840"/>
    <s v="Collected"/>
  </r>
  <r>
    <x v="22"/>
    <n v="4"/>
    <x v="0"/>
    <s v="Anaconda Chullora"/>
    <n v="1210"/>
    <n v="4840"/>
    <s v="Collected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3"/>
    <x v="1"/>
    <s v="JBHIFI Roselands"/>
    <n v="1897"/>
    <n v="5691"/>
    <s v="Collected"/>
  </r>
  <r>
    <x v="23"/>
    <n v="2"/>
    <x v="1"/>
    <s v="JBHIFI Roselands"/>
    <n v="1897"/>
    <n v="3794"/>
    <s v="Collected"/>
  </r>
  <r>
    <x v="24"/>
    <n v="18"/>
    <x v="0"/>
    <s v="Anaconda Chullora"/>
    <n v="1199"/>
    <n v="21582"/>
    <s v="Collected"/>
  </r>
  <r>
    <x v="24"/>
    <n v="4"/>
    <x v="1"/>
    <s v="JBHIFI Roselands"/>
    <n v="1897"/>
    <n v="7588"/>
    <s v="Collected"/>
  </r>
  <r>
    <x v="24"/>
    <n v="4"/>
    <x v="1"/>
    <s v="JBHIFI Roselands"/>
    <n v="1897"/>
    <n v="7588"/>
    <s v="Collected"/>
  </r>
  <r>
    <x v="24"/>
    <n v="2"/>
    <x v="1"/>
    <s v="JBHIFI Roselands"/>
    <n v="1897"/>
    <n v="3794"/>
    <s v="Collected"/>
  </r>
  <r>
    <x v="24"/>
    <n v="1"/>
    <x v="1"/>
    <s v="JBHIFI Roselands"/>
    <n v="1987"/>
    <n v="1987"/>
    <s v="Collected"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A7D7E-E159-4B87-84CB-C8B8592C583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11" firstHeaderRow="0" firstDataRow="1" firstDataCol="1" rowPageCount="1" colPageCount="1"/>
  <pivotFields count="11">
    <pivotField axis="axisPage" multipleItemSelectionAllowed="1" showAll="0">
      <items count="21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dataField="1" showAll="0"/>
    <pivotField showAll="0"/>
    <pivotField showAll="0"/>
    <pivotField axis="axisRow" showAll="0">
      <items count="16">
        <item h="1" x="9"/>
        <item x="10"/>
        <item m="1" x="14"/>
        <item x="1"/>
        <item x="11"/>
        <item x="2"/>
        <item x="7"/>
        <item x="8"/>
        <item m="1" x="13"/>
        <item x="5"/>
        <item x="6"/>
        <item x="4"/>
        <item x="0"/>
        <item x="3"/>
        <item h="1" x="1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 v="1"/>
    </i>
    <i>
      <x v="3"/>
    </i>
    <i>
      <x v="4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4980-3A82-41CB-B5BA-00A60FDD6FB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 rowPageCount="1" colPageCount="1"/>
  <pivotFields count="7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h="1" x="8"/>
        <item h="1" x="7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5"/>
        <item x="24"/>
        <item t="default"/>
      </items>
    </pivotField>
    <pivotField dataField="1" showAll="0"/>
    <pivotField axis="axisRow" showAll="0">
      <items count="12">
        <item h="1" x="4"/>
        <item x="8"/>
        <item x="6"/>
        <item x="5"/>
        <item x="1"/>
        <item x="7"/>
        <item x="0"/>
        <item h="1" x="2"/>
        <item x="3"/>
        <item h="1" x="9"/>
        <item h="1" x="1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64">
        <v>45746</v>
      </c>
      <c r="C1" s="164"/>
      <c r="D1" s="164"/>
      <c r="E1" s="164"/>
      <c r="F1" s="164"/>
      <c r="G1" s="164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65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65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66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66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66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66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67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67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68" t="s">
        <v>299</v>
      </c>
      <c r="B1" s="168"/>
      <c r="C1" s="168"/>
      <c r="D1" s="168"/>
      <c r="E1" s="168"/>
      <c r="F1" s="168"/>
      <c r="G1" s="168"/>
      <c r="H1" s="168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69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69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69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tabSelected="1" workbookViewId="0">
      <selection activeCell="G25" sqref="G25"/>
    </sheetView>
  </sheetViews>
  <sheetFormatPr defaultRowHeight="15" x14ac:dyDescent="0.25"/>
  <cols>
    <col min="1" max="1" width="12" customWidth="1"/>
    <col min="2" max="2" width="28.140625" customWidth="1"/>
    <col min="3" max="3" width="20" customWidth="1"/>
    <col min="4" max="4" width="7.42578125" bestFit="1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68">
        <v>46142</v>
      </c>
      <c r="B2" s="2" t="s">
        <v>1231</v>
      </c>
      <c r="C2" s="2" t="s">
        <v>777</v>
      </c>
      <c r="D2" s="2">
        <v>5000</v>
      </c>
      <c r="E2" s="2"/>
    </row>
    <row r="3" spans="1:5" x14ac:dyDescent="0.25">
      <c r="A3" s="68">
        <v>46148</v>
      </c>
      <c r="B3" s="2" t="s">
        <v>1234</v>
      </c>
      <c r="C3" s="2" t="s">
        <v>1232</v>
      </c>
      <c r="D3" s="2">
        <v>850</v>
      </c>
      <c r="E3" s="2"/>
    </row>
    <row r="4" spans="1:5" x14ac:dyDescent="0.25">
      <c r="A4" s="68">
        <v>46153</v>
      </c>
      <c r="B4" s="2" t="s">
        <v>1250</v>
      </c>
      <c r="C4" s="2" t="s">
        <v>777</v>
      </c>
      <c r="D4" s="2">
        <v>1000</v>
      </c>
      <c r="E4" s="2"/>
    </row>
    <row r="5" spans="1:5" x14ac:dyDescent="0.25">
      <c r="A5" s="2"/>
      <c r="B5" s="2" t="s">
        <v>1175</v>
      </c>
      <c r="C5" s="2" t="s">
        <v>1270</v>
      </c>
      <c r="D5" s="2">
        <v>450</v>
      </c>
      <c r="E5" s="2"/>
    </row>
    <row r="6" spans="1:5" x14ac:dyDescent="0.25">
      <c r="A6" s="8">
        <v>46180</v>
      </c>
      <c r="B6" s="2" t="s">
        <v>1322</v>
      </c>
      <c r="C6" s="2"/>
      <c r="D6" s="2">
        <v>1400</v>
      </c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70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70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17" workbookViewId="0">
      <selection activeCell="D40" sqref="D4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68">
        <v>46055</v>
      </c>
      <c r="B2" s="2">
        <v>11</v>
      </c>
      <c r="C2" s="2" t="s">
        <v>664</v>
      </c>
      <c r="D2" s="2" t="s">
        <v>490</v>
      </c>
      <c r="E2" s="65">
        <v>398</v>
      </c>
      <c r="F2" s="65">
        <f t="shared" ref="F2:F32" si="0">E2*B2</f>
        <v>4378</v>
      </c>
      <c r="G2" s="2" t="s">
        <v>8</v>
      </c>
      <c r="H2" s="2"/>
      <c r="I2" s="2"/>
      <c r="J2" s="2"/>
    </row>
    <row r="3" spans="1:12" x14ac:dyDescent="0.25">
      <c r="A3" s="68">
        <v>46055</v>
      </c>
      <c r="B3" s="2">
        <v>4</v>
      </c>
      <c r="C3" s="2" t="s">
        <v>664</v>
      </c>
      <c r="D3" s="2" t="s">
        <v>496</v>
      </c>
      <c r="E3" s="3">
        <v>431</v>
      </c>
      <c r="F3" s="65">
        <f t="shared" si="0"/>
        <v>1724</v>
      </c>
      <c r="G3" s="2" t="s">
        <v>8</v>
      </c>
      <c r="H3" s="2"/>
      <c r="I3" s="2"/>
      <c r="J3" s="2"/>
    </row>
    <row r="4" spans="1:12" x14ac:dyDescent="0.25">
      <c r="A4" s="68">
        <v>46056</v>
      </c>
      <c r="B4" s="2">
        <v>3</v>
      </c>
      <c r="C4" s="2" t="s">
        <v>664</v>
      </c>
      <c r="D4" s="2" t="s">
        <v>495</v>
      </c>
      <c r="E4" s="3">
        <v>431</v>
      </c>
      <c r="F4" s="65">
        <f t="shared" si="0"/>
        <v>1293</v>
      </c>
      <c r="G4" s="2" t="s">
        <v>8</v>
      </c>
      <c r="H4" s="2"/>
      <c r="I4" s="2"/>
      <c r="J4" s="2"/>
      <c r="L4">
        <v>21250</v>
      </c>
    </row>
    <row r="5" spans="1:12" x14ac:dyDescent="0.25">
      <c r="A5" s="68">
        <v>46056</v>
      </c>
      <c r="B5" s="2">
        <v>8</v>
      </c>
      <c r="C5" s="2" t="s">
        <v>664</v>
      </c>
      <c r="D5" s="2" t="s">
        <v>1134</v>
      </c>
      <c r="E5" s="3">
        <v>440</v>
      </c>
      <c r="F5" s="65">
        <f t="shared" si="0"/>
        <v>3520</v>
      </c>
      <c r="G5" s="2" t="s">
        <v>8</v>
      </c>
      <c r="H5" s="2"/>
      <c r="I5" s="2"/>
      <c r="J5" s="2"/>
    </row>
    <row r="6" spans="1:12" x14ac:dyDescent="0.25">
      <c r="A6" s="68">
        <v>46056</v>
      </c>
      <c r="B6" s="2">
        <v>5</v>
      </c>
      <c r="C6" s="2" t="s">
        <v>664</v>
      </c>
      <c r="D6" s="2" t="s">
        <v>731</v>
      </c>
      <c r="E6" s="3">
        <v>440</v>
      </c>
      <c r="F6" s="65">
        <f t="shared" si="0"/>
        <v>2200</v>
      </c>
      <c r="G6" s="2" t="s">
        <v>8</v>
      </c>
      <c r="H6" s="2"/>
      <c r="I6" s="2"/>
      <c r="J6" s="2"/>
    </row>
    <row r="7" spans="1:12" x14ac:dyDescent="0.25">
      <c r="A7" s="68">
        <v>46056</v>
      </c>
      <c r="B7" s="2">
        <v>6</v>
      </c>
      <c r="C7" s="2" t="s">
        <v>664</v>
      </c>
      <c r="D7" s="2" t="s">
        <v>760</v>
      </c>
      <c r="E7" s="3">
        <v>440</v>
      </c>
      <c r="F7" s="65">
        <f t="shared" si="0"/>
        <v>2640</v>
      </c>
      <c r="G7" s="2" t="s">
        <v>8</v>
      </c>
      <c r="H7" s="2"/>
      <c r="I7" s="2"/>
      <c r="J7" s="2"/>
    </row>
    <row r="8" spans="1:12" x14ac:dyDescent="0.25">
      <c r="A8" s="68">
        <v>46056</v>
      </c>
      <c r="B8" s="2">
        <v>3</v>
      </c>
      <c r="C8" s="2" t="s">
        <v>1135</v>
      </c>
      <c r="D8" s="2" t="s">
        <v>760</v>
      </c>
      <c r="E8" s="3">
        <v>398</v>
      </c>
      <c r="F8" s="65">
        <f t="shared" si="0"/>
        <v>1194</v>
      </c>
      <c r="G8" s="2" t="s">
        <v>8</v>
      </c>
      <c r="H8" s="2"/>
      <c r="I8" s="2"/>
      <c r="J8" s="2"/>
    </row>
    <row r="9" spans="1:12" x14ac:dyDescent="0.25">
      <c r="A9" s="68">
        <v>46056</v>
      </c>
      <c r="B9" s="2">
        <v>3</v>
      </c>
      <c r="C9" s="2" t="s">
        <v>1135</v>
      </c>
      <c r="D9" s="2" t="s">
        <v>1134</v>
      </c>
      <c r="E9" s="3">
        <v>398</v>
      </c>
      <c r="F9" s="65">
        <f t="shared" si="0"/>
        <v>1194</v>
      </c>
      <c r="G9" s="2" t="s">
        <v>8</v>
      </c>
      <c r="H9" s="2"/>
      <c r="I9" s="2"/>
      <c r="J9" s="2"/>
    </row>
    <row r="10" spans="1:12" x14ac:dyDescent="0.25">
      <c r="A10" s="68">
        <v>46056</v>
      </c>
      <c r="B10" s="2">
        <v>2</v>
      </c>
      <c r="C10" s="2" t="s">
        <v>1135</v>
      </c>
      <c r="D10" s="2" t="s">
        <v>1136</v>
      </c>
      <c r="E10" s="3">
        <v>398</v>
      </c>
      <c r="F10" s="65">
        <f t="shared" si="0"/>
        <v>796</v>
      </c>
      <c r="G10" s="2" t="s">
        <v>8</v>
      </c>
      <c r="H10" s="2"/>
      <c r="I10" s="2"/>
      <c r="J10" s="2"/>
    </row>
    <row r="11" spans="1:12" x14ac:dyDescent="0.25">
      <c r="A11" s="68">
        <v>46056</v>
      </c>
      <c r="B11" s="2">
        <v>1</v>
      </c>
      <c r="C11" s="2" t="s">
        <v>1137</v>
      </c>
      <c r="D11" s="2" t="s">
        <v>1136</v>
      </c>
      <c r="E11" s="3">
        <v>7</v>
      </c>
      <c r="F11" s="65">
        <f t="shared" si="0"/>
        <v>7</v>
      </c>
      <c r="G11" s="2" t="s">
        <v>8</v>
      </c>
      <c r="H11" s="2"/>
      <c r="I11" s="2"/>
      <c r="J11" s="2"/>
    </row>
    <row r="12" spans="1:12" x14ac:dyDescent="0.25">
      <c r="A12" s="68">
        <v>46056</v>
      </c>
      <c r="B12" s="2">
        <v>2</v>
      </c>
      <c r="C12" s="2" t="s">
        <v>1132</v>
      </c>
      <c r="D12" s="2" t="s">
        <v>677</v>
      </c>
      <c r="E12" s="3">
        <v>2197</v>
      </c>
      <c r="F12" s="65">
        <f t="shared" si="0"/>
        <v>4394</v>
      </c>
      <c r="G12" s="2" t="s">
        <v>348</v>
      </c>
      <c r="H12" s="2"/>
      <c r="I12" s="2" t="s">
        <v>1138</v>
      </c>
      <c r="J12" s="10" t="s">
        <v>115</v>
      </c>
    </row>
    <row r="13" spans="1:12" x14ac:dyDescent="0.25">
      <c r="A13" s="68">
        <v>46056</v>
      </c>
      <c r="B13" s="2">
        <v>5</v>
      </c>
      <c r="C13" s="2" t="s">
        <v>898</v>
      </c>
      <c r="D13" s="2" t="s">
        <v>335</v>
      </c>
      <c r="E13" s="3">
        <v>2490</v>
      </c>
      <c r="F13" s="65">
        <f t="shared" si="0"/>
        <v>12450</v>
      </c>
      <c r="G13" s="2" t="s">
        <v>1141</v>
      </c>
      <c r="H13" s="2"/>
      <c r="I13" s="2"/>
      <c r="J13" s="2"/>
    </row>
    <row r="14" spans="1:12" x14ac:dyDescent="0.25">
      <c r="A14" s="68">
        <v>46057</v>
      </c>
      <c r="B14" s="2">
        <v>3</v>
      </c>
      <c r="C14" s="2" t="s">
        <v>1135</v>
      </c>
      <c r="D14" s="2" t="s">
        <v>749</v>
      </c>
      <c r="E14" s="2">
        <v>397</v>
      </c>
      <c r="F14" s="65">
        <f t="shared" si="0"/>
        <v>1191</v>
      </c>
      <c r="G14" s="2" t="s">
        <v>8</v>
      </c>
      <c r="H14" s="2"/>
      <c r="I14" s="2" t="s">
        <v>1139</v>
      </c>
      <c r="J14" s="2"/>
    </row>
    <row r="15" spans="1:12" x14ac:dyDescent="0.25">
      <c r="A15" s="68">
        <v>46057</v>
      </c>
      <c r="B15" s="2">
        <v>4</v>
      </c>
      <c r="C15" s="2" t="s">
        <v>664</v>
      </c>
      <c r="D15" s="2" t="s">
        <v>665</v>
      </c>
      <c r="E15" s="2">
        <v>454</v>
      </c>
      <c r="F15" s="65">
        <f t="shared" si="0"/>
        <v>1816</v>
      </c>
      <c r="G15" s="2" t="s">
        <v>8</v>
      </c>
      <c r="H15" s="2"/>
      <c r="I15" s="2"/>
      <c r="J15" s="2"/>
    </row>
    <row r="16" spans="1:12" x14ac:dyDescent="0.25">
      <c r="A16" s="68">
        <v>46057</v>
      </c>
      <c r="B16" s="2">
        <v>4</v>
      </c>
      <c r="C16" s="2" t="s">
        <v>664</v>
      </c>
      <c r="D16" s="2" t="s">
        <v>749</v>
      </c>
      <c r="E16" s="2">
        <v>450</v>
      </c>
      <c r="F16" s="65">
        <f t="shared" si="0"/>
        <v>1800</v>
      </c>
      <c r="G16" s="2" t="s">
        <v>8</v>
      </c>
      <c r="H16" s="2"/>
      <c r="I16" s="2"/>
      <c r="J16" s="2"/>
    </row>
    <row r="17" spans="1:14" x14ac:dyDescent="0.25">
      <c r="A17" s="80">
        <v>46058</v>
      </c>
      <c r="B17" s="10">
        <v>50</v>
      </c>
      <c r="C17" s="10" t="s">
        <v>1135</v>
      </c>
      <c r="D17" s="10" t="s">
        <v>881</v>
      </c>
      <c r="E17" s="10">
        <v>397</v>
      </c>
      <c r="F17" s="66">
        <f t="shared" si="0"/>
        <v>19850</v>
      </c>
      <c r="G17" s="10" t="s">
        <v>348</v>
      </c>
      <c r="H17" s="2" t="s">
        <v>1159</v>
      </c>
      <c r="I17" s="10" t="s">
        <v>1150</v>
      </c>
      <c r="J17" s="2"/>
      <c r="N17">
        <v>149</v>
      </c>
    </row>
    <row r="18" spans="1:14" x14ac:dyDescent="0.25">
      <c r="A18" s="68">
        <v>46059</v>
      </c>
      <c r="B18" s="2">
        <v>2</v>
      </c>
      <c r="C18" s="2" t="s">
        <v>664</v>
      </c>
      <c r="D18" s="2" t="s">
        <v>665</v>
      </c>
      <c r="E18" s="2">
        <v>450</v>
      </c>
      <c r="F18" s="65">
        <f t="shared" si="0"/>
        <v>900</v>
      </c>
      <c r="G18" s="2" t="s">
        <v>8</v>
      </c>
      <c r="H18" s="2"/>
      <c r="I18" s="2"/>
      <c r="J18" s="2"/>
      <c r="N18">
        <v>4198</v>
      </c>
    </row>
    <row r="19" spans="1:14" x14ac:dyDescent="0.25">
      <c r="A19" s="68">
        <v>46066</v>
      </c>
      <c r="B19" s="18">
        <v>1</v>
      </c>
      <c r="C19" s="18" t="s">
        <v>1142</v>
      </c>
      <c r="D19" s="18" t="s">
        <v>101</v>
      </c>
      <c r="E19" s="18">
        <v>2949</v>
      </c>
      <c r="F19" s="18">
        <f t="shared" si="0"/>
        <v>2949</v>
      </c>
      <c r="G19" s="18" t="s">
        <v>8</v>
      </c>
      <c r="H19" s="18" t="s">
        <v>1163</v>
      </c>
      <c r="I19" s="2" t="s">
        <v>1148</v>
      </c>
      <c r="J19" s="2"/>
      <c r="N19">
        <v>4648</v>
      </c>
    </row>
    <row r="20" spans="1:14" x14ac:dyDescent="0.25">
      <c r="A20" s="68">
        <v>46066</v>
      </c>
      <c r="B20" s="18">
        <v>1</v>
      </c>
      <c r="C20" s="18" t="s">
        <v>1147</v>
      </c>
      <c r="D20" s="18" t="s">
        <v>101</v>
      </c>
      <c r="E20" s="18">
        <v>0</v>
      </c>
      <c r="F20" s="18">
        <f t="shared" si="0"/>
        <v>0</v>
      </c>
      <c r="G20" s="18" t="s">
        <v>8</v>
      </c>
      <c r="H20" s="18" t="s">
        <v>1163</v>
      </c>
      <c r="I20" s="2"/>
      <c r="J20" s="2"/>
      <c r="N20">
        <v>4648</v>
      </c>
    </row>
    <row r="21" spans="1:14" x14ac:dyDescent="0.25">
      <c r="A21" s="68">
        <v>46066</v>
      </c>
      <c r="B21" s="18">
        <v>1</v>
      </c>
      <c r="C21" s="18" t="s">
        <v>963</v>
      </c>
      <c r="D21" s="18" t="s">
        <v>101</v>
      </c>
      <c r="E21" s="18">
        <v>4400</v>
      </c>
      <c r="F21" s="18">
        <f t="shared" si="0"/>
        <v>4400</v>
      </c>
      <c r="G21" s="18" t="s">
        <v>8</v>
      </c>
      <c r="H21" s="18" t="s">
        <v>1163</v>
      </c>
      <c r="I21" s="2"/>
      <c r="J21" s="2"/>
      <c r="N21">
        <v>4648</v>
      </c>
    </row>
    <row r="22" spans="1:14" x14ac:dyDescent="0.25">
      <c r="A22" s="68">
        <v>46066</v>
      </c>
      <c r="B22" s="18">
        <v>1</v>
      </c>
      <c r="C22" s="18" t="s">
        <v>1143</v>
      </c>
      <c r="D22" s="18" t="s">
        <v>101</v>
      </c>
      <c r="E22" s="18">
        <v>3300</v>
      </c>
      <c r="F22" s="18">
        <f t="shared" si="0"/>
        <v>3300</v>
      </c>
      <c r="G22" s="18" t="s">
        <v>8</v>
      </c>
      <c r="H22" s="18" t="s">
        <v>1163</v>
      </c>
      <c r="I22" s="2"/>
      <c r="J22" s="2"/>
      <c r="N22">
        <v>2000</v>
      </c>
    </row>
    <row r="23" spans="1:14" x14ac:dyDescent="0.25">
      <c r="A23" s="68">
        <v>46066</v>
      </c>
      <c r="B23" s="18">
        <v>2</v>
      </c>
      <c r="C23" s="18" t="s">
        <v>1144</v>
      </c>
      <c r="D23" s="18" t="s">
        <v>101</v>
      </c>
      <c r="E23" s="18">
        <v>1400</v>
      </c>
      <c r="F23" s="18">
        <f t="shared" si="0"/>
        <v>2800</v>
      </c>
      <c r="G23" s="18" t="s">
        <v>8</v>
      </c>
      <c r="H23" s="18" t="s">
        <v>1163</v>
      </c>
      <c r="I23" s="2"/>
      <c r="J23" s="2"/>
      <c r="N23">
        <v>2000</v>
      </c>
    </row>
    <row r="24" spans="1:14" x14ac:dyDescent="0.25">
      <c r="A24" s="68">
        <v>46066</v>
      </c>
      <c r="B24" s="18">
        <v>3</v>
      </c>
      <c r="C24" s="18" t="s">
        <v>546</v>
      </c>
      <c r="D24" s="18" t="s">
        <v>101</v>
      </c>
      <c r="E24" s="18">
        <v>520</v>
      </c>
      <c r="F24" s="18">
        <f t="shared" si="0"/>
        <v>1560</v>
      </c>
      <c r="G24" s="18" t="s">
        <v>8</v>
      </c>
      <c r="H24" s="18" t="s">
        <v>1163</v>
      </c>
      <c r="I24" s="2"/>
      <c r="J24" s="2"/>
      <c r="N24">
        <v>500</v>
      </c>
    </row>
    <row r="25" spans="1:14" x14ac:dyDescent="0.25">
      <c r="A25" s="68">
        <v>46066</v>
      </c>
      <c r="B25" s="2">
        <v>1</v>
      </c>
      <c r="C25" s="2" t="s">
        <v>1145</v>
      </c>
      <c r="D25" s="2" t="s">
        <v>101</v>
      </c>
      <c r="E25" s="2">
        <v>1299</v>
      </c>
      <c r="F25" s="2">
        <f t="shared" si="0"/>
        <v>1299</v>
      </c>
      <c r="G25" s="2" t="s">
        <v>8</v>
      </c>
      <c r="H25" s="18" t="s">
        <v>1162</v>
      </c>
      <c r="I25" s="2"/>
      <c r="J25" s="2"/>
      <c r="N25">
        <f>SUM(N17:N24)</f>
        <v>22791</v>
      </c>
    </row>
    <row r="26" spans="1:14" x14ac:dyDescent="0.25">
      <c r="A26" s="68">
        <v>46066</v>
      </c>
      <c r="B26" s="2">
        <v>5</v>
      </c>
      <c r="C26" s="2" t="s">
        <v>1146</v>
      </c>
      <c r="D26" s="2" t="s">
        <v>101</v>
      </c>
      <c r="E26" s="2">
        <v>30</v>
      </c>
      <c r="F26" s="2">
        <f t="shared" si="0"/>
        <v>150</v>
      </c>
      <c r="G26" s="2" t="s">
        <v>8</v>
      </c>
      <c r="H26" s="2"/>
      <c r="I26" s="2"/>
      <c r="J26" s="2"/>
    </row>
    <row r="27" spans="1:14" x14ac:dyDescent="0.25">
      <c r="A27" s="68">
        <v>46073</v>
      </c>
      <c r="B27" s="2">
        <v>80</v>
      </c>
      <c r="C27" s="2" t="s">
        <v>664</v>
      </c>
      <c r="D27" s="2" t="s">
        <v>526</v>
      </c>
      <c r="E27" s="2">
        <v>400</v>
      </c>
      <c r="F27" s="2">
        <f t="shared" si="0"/>
        <v>32000</v>
      </c>
      <c r="G27" s="2" t="s">
        <v>348</v>
      </c>
      <c r="H27" s="2"/>
      <c r="I27" s="2" t="s">
        <v>1159</v>
      </c>
      <c r="J27" s="2"/>
    </row>
    <row r="28" spans="1:14" x14ac:dyDescent="0.25">
      <c r="A28" s="68">
        <v>46072</v>
      </c>
      <c r="B28" s="2">
        <v>60</v>
      </c>
      <c r="C28" s="2" t="s">
        <v>664</v>
      </c>
      <c r="D28" s="2" t="s">
        <v>1151</v>
      </c>
      <c r="E28" s="2">
        <v>400</v>
      </c>
      <c r="F28" s="2">
        <f t="shared" si="0"/>
        <v>24000</v>
      </c>
      <c r="G28" s="2" t="s">
        <v>348</v>
      </c>
      <c r="H28" s="2"/>
      <c r="I28" s="2" t="s">
        <v>1159</v>
      </c>
      <c r="J28" s="2"/>
    </row>
    <row r="29" spans="1:14" x14ac:dyDescent="0.25">
      <c r="A29" s="68">
        <v>46074</v>
      </c>
      <c r="B29" s="2">
        <v>10</v>
      </c>
      <c r="C29" s="2" t="s">
        <v>969</v>
      </c>
      <c r="D29" s="2" t="s">
        <v>101</v>
      </c>
      <c r="E29" s="2">
        <v>2100</v>
      </c>
      <c r="F29" s="2">
        <f t="shared" si="0"/>
        <v>21000</v>
      </c>
      <c r="G29" s="2" t="s">
        <v>8</v>
      </c>
      <c r="H29" s="2"/>
      <c r="I29" s="2"/>
      <c r="J29" s="2"/>
    </row>
    <row r="30" spans="1:14" x14ac:dyDescent="0.25">
      <c r="A30" s="68">
        <v>46074</v>
      </c>
      <c r="B30" s="2">
        <v>4</v>
      </c>
      <c r="C30" s="2" t="s">
        <v>664</v>
      </c>
      <c r="D30" s="2" t="s">
        <v>101</v>
      </c>
      <c r="E30" s="2">
        <v>450</v>
      </c>
      <c r="F30" s="2">
        <f t="shared" si="0"/>
        <v>1800</v>
      </c>
      <c r="G30" s="2" t="s">
        <v>8</v>
      </c>
      <c r="H30" s="2"/>
      <c r="I30" s="2"/>
      <c r="J30" s="2"/>
    </row>
    <row r="31" spans="1:14" x14ac:dyDescent="0.25">
      <c r="A31" s="68">
        <v>46074</v>
      </c>
      <c r="B31" s="2">
        <v>4</v>
      </c>
      <c r="C31" s="2" t="s">
        <v>969</v>
      </c>
      <c r="D31" s="2" t="s">
        <v>1152</v>
      </c>
      <c r="E31" s="2">
        <v>2099</v>
      </c>
      <c r="F31" s="2">
        <f t="shared" si="0"/>
        <v>8396</v>
      </c>
      <c r="G31" s="2" t="s">
        <v>8</v>
      </c>
      <c r="H31" s="2"/>
      <c r="I31" s="2"/>
      <c r="J31" s="2"/>
    </row>
    <row r="32" spans="1:14" x14ac:dyDescent="0.25">
      <c r="A32" s="68">
        <v>46074</v>
      </c>
      <c r="B32" s="2">
        <v>5</v>
      </c>
      <c r="C32" s="2" t="s">
        <v>664</v>
      </c>
      <c r="D32" s="2" t="s">
        <v>1152</v>
      </c>
      <c r="E32" s="2">
        <v>450</v>
      </c>
      <c r="F32" s="2">
        <f t="shared" si="0"/>
        <v>2250</v>
      </c>
      <c r="G32" s="2" t="s">
        <v>8</v>
      </c>
      <c r="H32" s="2"/>
      <c r="I32" s="2"/>
      <c r="J32" s="2"/>
    </row>
    <row r="33" spans="1:10" x14ac:dyDescent="0.25">
      <c r="A33" s="68">
        <v>46069</v>
      </c>
      <c r="B33" s="2">
        <v>1</v>
      </c>
      <c r="C33" s="2" t="s">
        <v>542</v>
      </c>
      <c r="D33" s="2" t="s">
        <v>686</v>
      </c>
      <c r="E33" s="2">
        <v>21250.35</v>
      </c>
      <c r="F33" s="2">
        <v>21250.35</v>
      </c>
      <c r="G33" s="2"/>
      <c r="H33" s="2"/>
      <c r="I33" s="2" t="s">
        <v>1033</v>
      </c>
      <c r="J33" s="2"/>
    </row>
    <row r="34" spans="1:10" x14ac:dyDescent="0.25">
      <c r="A34" s="68">
        <v>46078</v>
      </c>
      <c r="B34" s="2">
        <v>40</v>
      </c>
      <c r="C34" s="2" t="s">
        <v>664</v>
      </c>
      <c r="D34" s="2" t="s">
        <v>1158</v>
      </c>
      <c r="E34" s="2">
        <v>398</v>
      </c>
      <c r="F34" s="2">
        <f>B34*E34</f>
        <v>15920</v>
      </c>
      <c r="G34" s="2" t="s">
        <v>62</v>
      </c>
      <c r="H34" s="2" t="s">
        <v>348</v>
      </c>
      <c r="I34" s="2"/>
      <c r="J34" s="2"/>
    </row>
    <row r="35" spans="1:10" x14ac:dyDescent="0.25">
      <c r="A35" s="68">
        <v>46080</v>
      </c>
      <c r="B35" s="2">
        <v>60</v>
      </c>
      <c r="C35" s="2" t="s">
        <v>664</v>
      </c>
      <c r="D35" s="2" t="s">
        <v>492</v>
      </c>
      <c r="E35" s="2">
        <v>400</v>
      </c>
      <c r="F35" s="2">
        <f t="shared" ref="F35:F37" si="1">B35*E35</f>
        <v>24000</v>
      </c>
      <c r="G35" s="2" t="s">
        <v>348</v>
      </c>
      <c r="H35" s="2" t="s">
        <v>1160</v>
      </c>
      <c r="I35" s="68">
        <v>46083</v>
      </c>
      <c r="J35" s="2"/>
    </row>
    <row r="36" spans="1:10" x14ac:dyDescent="0.25">
      <c r="A36" s="68">
        <v>46081</v>
      </c>
      <c r="B36" s="2">
        <v>4</v>
      </c>
      <c r="C36" s="2" t="s">
        <v>1161</v>
      </c>
      <c r="D36" s="2" t="s">
        <v>331</v>
      </c>
      <c r="E36" s="2">
        <v>590</v>
      </c>
      <c r="F36" s="2">
        <f t="shared" si="1"/>
        <v>2360</v>
      </c>
      <c r="G36" s="2" t="s">
        <v>8</v>
      </c>
      <c r="H36" s="2"/>
      <c r="I36" s="2"/>
      <c r="J36" s="2"/>
    </row>
    <row r="37" spans="1:10" x14ac:dyDescent="0.25">
      <c r="A37" s="68">
        <v>46081</v>
      </c>
      <c r="B37" s="2">
        <v>1</v>
      </c>
      <c r="C37" s="2" t="s">
        <v>969</v>
      </c>
      <c r="D37" s="2" t="s">
        <v>331</v>
      </c>
      <c r="E37" s="2">
        <v>2099</v>
      </c>
      <c r="F37" s="2">
        <f t="shared" si="1"/>
        <v>2099</v>
      </c>
      <c r="G37" s="2" t="s">
        <v>8</v>
      </c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V50"/>
  <sheetViews>
    <sheetView workbookViewId="0">
      <selection activeCell="A49" sqref="A49:M49"/>
    </sheetView>
  </sheetViews>
  <sheetFormatPr defaultRowHeight="15" x14ac:dyDescent="0.25"/>
  <cols>
    <col min="1" max="1" width="7.28515625" bestFit="1" customWidth="1"/>
    <col min="2" max="2" width="4" bestFit="1" customWidth="1"/>
    <col min="3" max="4" width="4" customWidth="1"/>
    <col min="5" max="5" width="22.7109375" bestFit="1" customWidth="1"/>
    <col min="6" max="6" width="20.28515625" bestFit="1" customWidth="1"/>
    <col min="7" max="8" width="10" style="60" bestFit="1" customWidth="1"/>
    <col min="9" max="9" width="17.7109375" bestFit="1" customWidth="1"/>
    <col min="10" max="10" width="7.85546875" bestFit="1" customWidth="1"/>
    <col min="11" max="11" width="22.7109375" bestFit="1" customWidth="1"/>
    <col min="12" max="12" width="9" bestFit="1" customWidth="1"/>
    <col min="13" max="13" width="11.28515625" bestFit="1" customWidth="1"/>
    <col min="14" max="14" width="28.7109375" bestFit="1" customWidth="1"/>
    <col min="15" max="18" width="0" hidden="1" customWidth="1"/>
    <col min="20" max="20" width="22.7109375" bestFit="1" customWidth="1"/>
    <col min="21" max="21" width="16.140625" bestFit="1" customWidth="1"/>
    <col min="22" max="22" width="11.7109375" bestFit="1" customWidth="1"/>
  </cols>
  <sheetData>
    <row r="1" spans="1:22" x14ac:dyDescent="0.25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  <c r="T1" s="13" t="s">
        <v>65</v>
      </c>
      <c r="U1" t="s">
        <v>147</v>
      </c>
    </row>
    <row r="2" spans="1:22" x14ac:dyDescent="0.25">
      <c r="A2" s="141">
        <v>46113</v>
      </c>
      <c r="B2" s="142">
        <v>10</v>
      </c>
      <c r="C2" s="142"/>
      <c r="D2" s="142"/>
      <c r="E2" s="142" t="s">
        <v>295</v>
      </c>
      <c r="F2" s="142" t="s">
        <v>1169</v>
      </c>
      <c r="G2" s="143">
        <v>469</v>
      </c>
      <c r="H2" s="143">
        <f>B2*G2</f>
        <v>4690</v>
      </c>
      <c r="I2" s="142" t="s">
        <v>464</v>
      </c>
      <c r="J2" s="142"/>
      <c r="K2" s="142"/>
      <c r="L2" s="142"/>
      <c r="M2" s="142"/>
    </row>
    <row r="3" spans="1:22" x14ac:dyDescent="0.25">
      <c r="A3" s="141">
        <v>46113</v>
      </c>
      <c r="B3" s="142">
        <v>8</v>
      </c>
      <c r="C3" s="142">
        <v>3</v>
      </c>
      <c r="D3" s="142">
        <v>3</v>
      </c>
      <c r="E3" s="142" t="s">
        <v>639</v>
      </c>
      <c r="F3" s="142" t="s">
        <v>383</v>
      </c>
      <c r="G3" s="143">
        <v>1579</v>
      </c>
      <c r="H3" s="143">
        <f>B3*G3</f>
        <v>12632</v>
      </c>
      <c r="I3" s="142" t="s">
        <v>1167</v>
      </c>
      <c r="J3" s="142"/>
      <c r="K3" s="142" t="s">
        <v>1316</v>
      </c>
      <c r="L3" s="142"/>
      <c r="M3" s="142"/>
      <c r="T3" s="13" t="s">
        <v>78</v>
      </c>
      <c r="U3" t="s">
        <v>81</v>
      </c>
      <c r="V3" t="s">
        <v>146</v>
      </c>
    </row>
    <row r="4" spans="1:22" x14ac:dyDescent="0.25">
      <c r="A4" s="141">
        <v>46113</v>
      </c>
      <c r="B4" s="142">
        <v>5</v>
      </c>
      <c r="C4" s="142">
        <v>4</v>
      </c>
      <c r="D4" s="142">
        <v>1</v>
      </c>
      <c r="E4" s="142" t="s">
        <v>406</v>
      </c>
      <c r="F4" s="142" t="s">
        <v>383</v>
      </c>
      <c r="G4" s="143">
        <v>1579</v>
      </c>
      <c r="H4" s="143">
        <f t="shared" ref="H4:H5" si="0">B4*G4</f>
        <v>7895</v>
      </c>
      <c r="I4" s="142" t="s">
        <v>348</v>
      </c>
      <c r="J4" s="142"/>
      <c r="K4" s="142"/>
      <c r="L4" s="142"/>
      <c r="M4" s="142"/>
      <c r="P4" t="s">
        <v>1221</v>
      </c>
      <c r="Q4">
        <v>23</v>
      </c>
      <c r="R4">
        <v>30</v>
      </c>
      <c r="T4" s="14" t="s">
        <v>1275</v>
      </c>
      <c r="U4">
        <v>10</v>
      </c>
      <c r="V4">
        <v>15790</v>
      </c>
    </row>
    <row r="5" spans="1:22" x14ac:dyDescent="0.25">
      <c r="A5" s="141">
        <v>46113</v>
      </c>
      <c r="B5" s="142">
        <v>4</v>
      </c>
      <c r="C5" s="142">
        <v>3</v>
      </c>
      <c r="D5" s="142">
        <v>1</v>
      </c>
      <c r="E5" s="142" t="s">
        <v>378</v>
      </c>
      <c r="F5" s="142" t="s">
        <v>383</v>
      </c>
      <c r="G5" s="143">
        <v>779</v>
      </c>
      <c r="H5" s="143">
        <f t="shared" si="0"/>
        <v>3116</v>
      </c>
      <c r="I5" s="142" t="s">
        <v>348</v>
      </c>
      <c r="J5" s="142"/>
      <c r="K5" s="142"/>
      <c r="L5" s="142"/>
      <c r="M5" s="142"/>
      <c r="Q5">
        <v>11</v>
      </c>
      <c r="T5" s="14" t="s">
        <v>639</v>
      </c>
      <c r="U5">
        <v>27</v>
      </c>
      <c r="V5">
        <v>41593</v>
      </c>
    </row>
    <row r="6" spans="1:22" x14ac:dyDescent="0.25">
      <c r="A6" s="141">
        <v>46114</v>
      </c>
      <c r="B6" s="142">
        <v>2</v>
      </c>
      <c r="C6" s="142">
        <v>2</v>
      </c>
      <c r="D6" s="142"/>
      <c r="E6" s="142" t="s">
        <v>406</v>
      </c>
      <c r="F6" s="142" t="s">
        <v>460</v>
      </c>
      <c r="G6" s="143">
        <v>1579</v>
      </c>
      <c r="H6" s="143">
        <f t="shared" ref="H6:H12" si="1">B6*G6</f>
        <v>3158</v>
      </c>
      <c r="I6" s="142" t="s">
        <v>348</v>
      </c>
      <c r="J6" s="142"/>
      <c r="K6" s="142"/>
      <c r="L6" s="142"/>
      <c r="M6" s="152">
        <v>102958</v>
      </c>
      <c r="P6" t="s">
        <v>871</v>
      </c>
      <c r="Q6">
        <v>3</v>
      </c>
      <c r="R6">
        <v>5</v>
      </c>
      <c r="T6" s="14" t="s">
        <v>1311</v>
      </c>
      <c r="U6">
        <v>9</v>
      </c>
      <c r="V6">
        <v>13860</v>
      </c>
    </row>
    <row r="7" spans="1:22" x14ac:dyDescent="0.25">
      <c r="A7" s="141">
        <v>46113</v>
      </c>
      <c r="B7" s="142">
        <v>4</v>
      </c>
      <c r="C7" s="142">
        <v>4</v>
      </c>
      <c r="D7" s="142"/>
      <c r="E7" s="142" t="s">
        <v>639</v>
      </c>
      <c r="F7" s="142" t="s">
        <v>460</v>
      </c>
      <c r="G7" s="143">
        <v>1579</v>
      </c>
      <c r="H7" s="143">
        <f t="shared" si="1"/>
        <v>6316</v>
      </c>
      <c r="I7" s="142" t="s">
        <v>348</v>
      </c>
      <c r="J7" s="142"/>
      <c r="K7" s="142"/>
      <c r="L7" s="142"/>
      <c r="M7" s="142"/>
      <c r="T7" s="14" t="s">
        <v>1235</v>
      </c>
      <c r="U7">
        <v>2</v>
      </c>
      <c r="V7">
        <v>6598</v>
      </c>
    </row>
    <row r="8" spans="1:22" x14ac:dyDescent="0.25">
      <c r="A8" s="141">
        <v>46113</v>
      </c>
      <c r="B8" s="142">
        <v>3</v>
      </c>
      <c r="C8" s="142">
        <v>3</v>
      </c>
      <c r="D8" s="142"/>
      <c r="E8" s="142" t="s">
        <v>639</v>
      </c>
      <c r="F8" s="142" t="s">
        <v>433</v>
      </c>
      <c r="G8" s="143">
        <v>1579</v>
      </c>
      <c r="H8" s="143">
        <f t="shared" si="1"/>
        <v>4737</v>
      </c>
      <c r="I8" s="142" t="s">
        <v>348</v>
      </c>
      <c r="J8" s="142"/>
      <c r="K8" s="142"/>
      <c r="L8" s="142"/>
      <c r="M8" s="153">
        <v>186022</v>
      </c>
      <c r="T8" s="14" t="s">
        <v>1253</v>
      </c>
      <c r="U8">
        <v>134</v>
      </c>
      <c r="V8">
        <v>19162</v>
      </c>
    </row>
    <row r="9" spans="1:22" x14ac:dyDescent="0.25">
      <c r="A9" s="141">
        <v>46113</v>
      </c>
      <c r="B9" s="142">
        <v>1</v>
      </c>
      <c r="C9" s="142">
        <v>1</v>
      </c>
      <c r="D9" s="142"/>
      <c r="E9" s="142" t="s">
        <v>406</v>
      </c>
      <c r="F9" s="142" t="s">
        <v>1168</v>
      </c>
      <c r="G9" s="143">
        <v>1579</v>
      </c>
      <c r="H9" s="143">
        <f t="shared" si="1"/>
        <v>1579</v>
      </c>
      <c r="I9" s="142" t="s">
        <v>348</v>
      </c>
      <c r="J9" s="142"/>
      <c r="K9" s="142"/>
      <c r="L9" s="142"/>
      <c r="M9" s="142"/>
      <c r="T9" s="14" t="s">
        <v>1172</v>
      </c>
      <c r="U9">
        <v>12</v>
      </c>
      <c r="V9">
        <v>19200</v>
      </c>
    </row>
    <row r="10" spans="1:22" x14ac:dyDescent="0.25">
      <c r="A10" s="141">
        <v>46114</v>
      </c>
      <c r="B10" s="142">
        <v>3</v>
      </c>
      <c r="C10" s="142">
        <v>3</v>
      </c>
      <c r="D10" s="142"/>
      <c r="E10" s="142" t="s">
        <v>406</v>
      </c>
      <c r="F10" s="142" t="s">
        <v>433</v>
      </c>
      <c r="G10" s="143">
        <v>1579</v>
      </c>
      <c r="H10" s="143">
        <f t="shared" si="1"/>
        <v>4737</v>
      </c>
      <c r="I10" s="142" t="s">
        <v>348</v>
      </c>
      <c r="J10" s="142"/>
      <c r="K10" s="142"/>
      <c r="L10" s="142"/>
      <c r="M10" s="153">
        <v>186169</v>
      </c>
      <c r="T10" s="14" t="s">
        <v>1184</v>
      </c>
      <c r="U10">
        <v>2</v>
      </c>
      <c r="V10">
        <v>35998</v>
      </c>
    </row>
    <row r="11" spans="1:22" x14ac:dyDescent="0.25">
      <c r="A11" s="141">
        <v>46114</v>
      </c>
      <c r="B11" s="142">
        <v>3</v>
      </c>
      <c r="C11" s="142">
        <v>3</v>
      </c>
      <c r="D11" s="142"/>
      <c r="E11" s="142" t="s">
        <v>639</v>
      </c>
      <c r="F11" s="142" t="s">
        <v>433</v>
      </c>
      <c r="G11" s="143">
        <v>1579</v>
      </c>
      <c r="H11" s="143">
        <f t="shared" si="1"/>
        <v>4737</v>
      </c>
      <c r="I11" s="142" t="s">
        <v>348</v>
      </c>
      <c r="J11" s="142"/>
      <c r="K11" s="142"/>
      <c r="L11" s="142"/>
      <c r="M11" s="153">
        <v>186171</v>
      </c>
      <c r="T11" s="14" t="s">
        <v>80</v>
      </c>
      <c r="U11">
        <v>196</v>
      </c>
      <c r="V11">
        <v>152201</v>
      </c>
    </row>
    <row r="12" spans="1:22" x14ac:dyDescent="0.25">
      <c r="A12" s="141">
        <v>46114</v>
      </c>
      <c r="B12" s="142">
        <v>1</v>
      </c>
      <c r="C12" s="142"/>
      <c r="D12" s="142"/>
      <c r="E12" s="142" t="s">
        <v>542</v>
      </c>
      <c r="F12" s="142" t="s">
        <v>1170</v>
      </c>
      <c r="G12" s="143">
        <v>2748.46</v>
      </c>
      <c r="H12" s="143">
        <f t="shared" si="1"/>
        <v>2748.46</v>
      </c>
      <c r="I12" s="142" t="s">
        <v>85</v>
      </c>
      <c r="J12" s="142"/>
      <c r="K12" s="142" t="s">
        <v>622</v>
      </c>
      <c r="L12" s="142"/>
      <c r="M12" s="142"/>
    </row>
    <row r="13" spans="1:22" x14ac:dyDescent="0.25">
      <c r="A13" s="141">
        <v>46118</v>
      </c>
      <c r="B13" s="142">
        <v>10</v>
      </c>
      <c r="C13" s="142">
        <v>10</v>
      </c>
      <c r="D13" s="142"/>
      <c r="E13" s="142" t="s">
        <v>295</v>
      </c>
      <c r="F13" s="142" t="s">
        <v>464</v>
      </c>
      <c r="G13" s="143">
        <v>470</v>
      </c>
      <c r="H13" s="143">
        <v>4700</v>
      </c>
      <c r="I13" s="142" t="s">
        <v>1171</v>
      </c>
      <c r="J13" s="142"/>
      <c r="K13" s="142"/>
      <c r="L13" s="142"/>
      <c r="M13" s="142"/>
    </row>
    <row r="14" spans="1:22" x14ac:dyDescent="0.25">
      <c r="A14" s="141">
        <v>46132</v>
      </c>
      <c r="B14" s="142">
        <v>1</v>
      </c>
      <c r="C14" s="142">
        <v>1</v>
      </c>
      <c r="D14" s="142"/>
      <c r="E14" s="142" t="s">
        <v>1172</v>
      </c>
      <c r="F14" s="142" t="s">
        <v>1185</v>
      </c>
      <c r="G14" s="143">
        <v>1649</v>
      </c>
      <c r="H14" s="143">
        <v>1649</v>
      </c>
      <c r="I14" s="142" t="s">
        <v>1200</v>
      </c>
      <c r="J14" s="142"/>
      <c r="K14" s="142" t="s">
        <v>1186</v>
      </c>
      <c r="L14" s="142"/>
      <c r="M14" s="142"/>
    </row>
    <row r="15" spans="1:22" x14ac:dyDescent="0.25">
      <c r="A15" s="141">
        <v>46132</v>
      </c>
      <c r="B15" s="142">
        <v>1</v>
      </c>
      <c r="C15" s="142">
        <v>1</v>
      </c>
      <c r="D15" s="142"/>
      <c r="E15" s="142" t="s">
        <v>1184</v>
      </c>
      <c r="F15" s="142" t="s">
        <v>1185</v>
      </c>
      <c r="G15" s="143">
        <v>17999</v>
      </c>
      <c r="H15" s="143">
        <v>17999</v>
      </c>
      <c r="I15" s="142" t="s">
        <v>1200</v>
      </c>
      <c r="J15" s="142"/>
      <c r="K15" s="142" t="s">
        <v>1186</v>
      </c>
      <c r="L15" s="142"/>
      <c r="M15" s="142"/>
    </row>
    <row r="16" spans="1:22" x14ac:dyDescent="0.25">
      <c r="A16" s="141">
        <v>46132</v>
      </c>
      <c r="B16" s="142">
        <v>5</v>
      </c>
      <c r="C16" s="142">
        <v>5</v>
      </c>
      <c r="D16" s="142"/>
      <c r="E16" s="142" t="s">
        <v>378</v>
      </c>
      <c r="F16" s="142" t="s">
        <v>291</v>
      </c>
      <c r="G16" s="143">
        <v>786</v>
      </c>
      <c r="H16" s="143">
        <f>B16*G16</f>
        <v>3930</v>
      </c>
      <c r="I16" s="142" t="s">
        <v>464</v>
      </c>
      <c r="J16" s="142"/>
      <c r="K16" s="142" t="s">
        <v>464</v>
      </c>
      <c r="L16" s="142"/>
      <c r="M16" s="154"/>
      <c r="Q16">
        <v>69148</v>
      </c>
      <c r="R16">
        <f>Q16*2.3</f>
        <v>159040.4</v>
      </c>
    </row>
    <row r="17" spans="1:18" x14ac:dyDescent="0.25">
      <c r="A17" s="141">
        <v>46134</v>
      </c>
      <c r="B17" s="142">
        <v>10</v>
      </c>
      <c r="C17" s="142">
        <v>10</v>
      </c>
      <c r="D17" s="142"/>
      <c r="E17" s="142" t="s">
        <v>639</v>
      </c>
      <c r="F17" s="142" t="s">
        <v>464</v>
      </c>
      <c r="G17" s="143">
        <v>1579</v>
      </c>
      <c r="H17" s="143">
        <f t="shared" ref="H17:H28" si="2">B17*G17</f>
        <v>15790</v>
      </c>
      <c r="I17" s="142" t="s">
        <v>464</v>
      </c>
      <c r="J17" s="142"/>
      <c r="K17" s="142" t="s">
        <v>464</v>
      </c>
      <c r="L17" s="142"/>
      <c r="M17" s="142"/>
      <c r="N17" t="s">
        <v>1199</v>
      </c>
      <c r="Q17">
        <v>124588</v>
      </c>
      <c r="R17">
        <f>Q17*2.6</f>
        <v>323928.8</v>
      </c>
    </row>
    <row r="18" spans="1:18" x14ac:dyDescent="0.25">
      <c r="A18" s="141">
        <v>46136</v>
      </c>
      <c r="B18" s="142">
        <v>10</v>
      </c>
      <c r="C18" s="142">
        <v>10</v>
      </c>
      <c r="D18" s="142"/>
      <c r="E18" s="142" t="s">
        <v>639</v>
      </c>
      <c r="F18" s="142" t="s">
        <v>291</v>
      </c>
      <c r="G18" s="143">
        <v>1489</v>
      </c>
      <c r="H18" s="143">
        <f t="shared" si="2"/>
        <v>14890</v>
      </c>
      <c r="I18" s="142" t="s">
        <v>464</v>
      </c>
      <c r="J18" s="142"/>
      <c r="K18" s="142"/>
      <c r="L18" s="142"/>
      <c r="M18" s="142"/>
      <c r="R18">
        <f>SUM(R16:R17)</f>
        <v>482969.19999999995</v>
      </c>
    </row>
    <row r="19" spans="1:18" x14ac:dyDescent="0.25">
      <c r="A19" s="141">
        <v>46136</v>
      </c>
      <c r="B19" s="142">
        <v>10</v>
      </c>
      <c r="C19" s="142">
        <v>0</v>
      </c>
      <c r="D19" s="142"/>
      <c r="E19" s="142" t="s">
        <v>639</v>
      </c>
      <c r="F19" s="142" t="s">
        <v>291</v>
      </c>
      <c r="G19" s="143">
        <v>1489</v>
      </c>
      <c r="H19" s="143">
        <f t="shared" si="2"/>
        <v>14890</v>
      </c>
      <c r="I19" s="142" t="s">
        <v>464</v>
      </c>
      <c r="J19" s="142"/>
      <c r="K19" s="142"/>
      <c r="L19" s="142"/>
      <c r="M19" s="142"/>
      <c r="Q19">
        <v>100800</v>
      </c>
      <c r="R19">
        <f>Q19*2.54</f>
        <v>256032</v>
      </c>
    </row>
    <row r="20" spans="1:18" x14ac:dyDescent="0.25">
      <c r="A20" s="141">
        <v>46142</v>
      </c>
      <c r="B20" s="142">
        <v>4</v>
      </c>
      <c r="C20" s="142"/>
      <c r="D20" s="142"/>
      <c r="E20" s="142" t="s">
        <v>639</v>
      </c>
      <c r="F20" s="142" t="s">
        <v>1225</v>
      </c>
      <c r="G20" s="143">
        <v>1579</v>
      </c>
      <c r="H20" s="143">
        <f t="shared" si="2"/>
        <v>6316</v>
      </c>
      <c r="I20" s="142" t="s">
        <v>464</v>
      </c>
      <c r="J20" s="142"/>
      <c r="K20" s="142"/>
      <c r="L20" s="142"/>
      <c r="M20" s="155">
        <v>189018</v>
      </c>
      <c r="R20">
        <f>R18-R19</f>
        <v>226937.19999999995</v>
      </c>
    </row>
    <row r="21" spans="1:18" x14ac:dyDescent="0.25">
      <c r="A21" s="141">
        <v>46142</v>
      </c>
      <c r="B21" s="142">
        <v>4</v>
      </c>
      <c r="C21" s="142"/>
      <c r="D21" s="142"/>
      <c r="E21" s="142" t="s">
        <v>639</v>
      </c>
      <c r="F21" s="142" t="s">
        <v>635</v>
      </c>
      <c r="G21" s="143">
        <v>1579</v>
      </c>
      <c r="H21" s="143">
        <f t="shared" si="2"/>
        <v>6316</v>
      </c>
      <c r="I21" s="142" t="s">
        <v>464</v>
      </c>
      <c r="J21" s="142"/>
      <c r="K21" s="142"/>
      <c r="L21" s="142"/>
      <c r="M21" s="142"/>
      <c r="R21">
        <v>1641981</v>
      </c>
    </row>
    <row r="22" spans="1:18" x14ac:dyDescent="0.25">
      <c r="A22" s="141">
        <v>46143</v>
      </c>
      <c r="B22" s="142">
        <v>3</v>
      </c>
      <c r="C22" s="142"/>
      <c r="D22" s="142"/>
      <c r="E22" s="142" t="s">
        <v>871</v>
      </c>
      <c r="F22" s="142" t="s">
        <v>1168</v>
      </c>
      <c r="G22" s="143">
        <v>849</v>
      </c>
      <c r="H22" s="143">
        <f t="shared" si="2"/>
        <v>2547</v>
      </c>
      <c r="I22" s="142" t="s">
        <v>464</v>
      </c>
      <c r="J22" s="142"/>
      <c r="K22" s="142"/>
      <c r="L22" s="142"/>
      <c r="M22" s="142"/>
      <c r="R22">
        <f>SUM(R20:R21)</f>
        <v>1868918.2</v>
      </c>
    </row>
    <row r="23" spans="1:18" x14ac:dyDescent="0.25">
      <c r="A23" s="141">
        <v>46143</v>
      </c>
      <c r="B23" s="142">
        <v>1</v>
      </c>
      <c r="C23" s="142"/>
      <c r="D23" s="142"/>
      <c r="E23" s="142" t="s">
        <v>639</v>
      </c>
      <c r="F23" s="142" t="s">
        <v>1168</v>
      </c>
      <c r="G23" s="143">
        <v>1579</v>
      </c>
      <c r="H23" s="143">
        <f t="shared" si="2"/>
        <v>1579</v>
      </c>
      <c r="I23" s="142" t="s">
        <v>464</v>
      </c>
      <c r="J23" s="142"/>
      <c r="K23" s="142"/>
      <c r="L23" s="142"/>
      <c r="M23" s="142"/>
    </row>
    <row r="24" spans="1:18" x14ac:dyDescent="0.25">
      <c r="A24" s="141">
        <v>46149</v>
      </c>
      <c r="B24" s="142">
        <v>2</v>
      </c>
      <c r="C24" s="142"/>
      <c r="D24" s="142"/>
      <c r="E24" s="142" t="s">
        <v>1235</v>
      </c>
      <c r="F24" s="142" t="s">
        <v>1185</v>
      </c>
      <c r="G24" s="143">
        <v>3299</v>
      </c>
      <c r="H24" s="143">
        <f t="shared" si="2"/>
        <v>6598</v>
      </c>
      <c r="I24" s="142" t="s">
        <v>348</v>
      </c>
      <c r="J24" s="142"/>
      <c r="K24" s="142"/>
      <c r="L24" s="142"/>
      <c r="M24" s="142"/>
    </row>
    <row r="25" spans="1:18" x14ac:dyDescent="0.25">
      <c r="A25" s="141">
        <v>46152</v>
      </c>
      <c r="B25" s="142">
        <v>4</v>
      </c>
      <c r="C25" s="142"/>
      <c r="D25" s="142"/>
      <c r="E25" s="142" t="s">
        <v>639</v>
      </c>
      <c r="F25" s="142" t="s">
        <v>1225</v>
      </c>
      <c r="G25" s="143">
        <v>1579</v>
      </c>
      <c r="H25" s="143">
        <f t="shared" si="2"/>
        <v>6316</v>
      </c>
      <c r="I25" s="142" t="s">
        <v>348</v>
      </c>
      <c r="J25" s="142"/>
      <c r="K25" s="142"/>
      <c r="L25" s="142"/>
      <c r="M25" s="156">
        <v>189973</v>
      </c>
    </row>
    <row r="26" spans="1:18" x14ac:dyDescent="0.25">
      <c r="A26" s="141">
        <v>46152</v>
      </c>
      <c r="B26" s="142">
        <v>4</v>
      </c>
      <c r="C26" s="142"/>
      <c r="D26" s="142"/>
      <c r="E26" s="142" t="s">
        <v>639</v>
      </c>
      <c r="F26" s="142" t="s">
        <v>635</v>
      </c>
      <c r="G26" s="143">
        <v>1579</v>
      </c>
      <c r="H26" s="143">
        <f t="shared" si="2"/>
        <v>6316</v>
      </c>
      <c r="I26" s="142" t="s">
        <v>348</v>
      </c>
      <c r="J26" s="142"/>
      <c r="K26" s="142"/>
      <c r="L26" s="142"/>
      <c r="M26" s="142">
        <v>39495173</v>
      </c>
    </row>
    <row r="27" spans="1:18" x14ac:dyDescent="0.25">
      <c r="A27" s="118">
        <v>46153</v>
      </c>
      <c r="B27" s="119">
        <v>8</v>
      </c>
      <c r="C27" s="119"/>
      <c r="D27" s="119"/>
      <c r="E27" s="119" t="s">
        <v>1253</v>
      </c>
      <c r="F27" s="119" t="s">
        <v>1254</v>
      </c>
      <c r="G27" s="120">
        <v>143</v>
      </c>
      <c r="H27" s="120">
        <f t="shared" si="2"/>
        <v>1144</v>
      </c>
      <c r="I27" s="119" t="s">
        <v>62</v>
      </c>
      <c r="J27" s="119"/>
      <c r="K27" s="119"/>
      <c r="L27" s="119"/>
      <c r="M27" s="160" t="s">
        <v>1252</v>
      </c>
    </row>
    <row r="28" spans="1:18" x14ac:dyDescent="0.25">
      <c r="A28" s="141">
        <v>46154</v>
      </c>
      <c r="B28" s="142">
        <v>4</v>
      </c>
      <c r="C28" s="142"/>
      <c r="D28" s="142"/>
      <c r="E28" s="142" t="s">
        <v>639</v>
      </c>
      <c r="F28" s="142" t="s">
        <v>1225</v>
      </c>
      <c r="G28" s="143">
        <v>1579</v>
      </c>
      <c r="H28" s="143">
        <f t="shared" si="2"/>
        <v>6316</v>
      </c>
      <c r="I28" s="142" t="s">
        <v>348</v>
      </c>
      <c r="J28" s="142"/>
      <c r="K28" s="142"/>
      <c r="L28" s="142"/>
      <c r="M28" s="157">
        <v>190211</v>
      </c>
    </row>
    <row r="29" spans="1:18" x14ac:dyDescent="0.25">
      <c r="A29" s="141">
        <v>46154</v>
      </c>
      <c r="B29" s="142">
        <v>1</v>
      </c>
      <c r="C29" s="142"/>
      <c r="D29" s="142"/>
      <c r="E29" s="142" t="s">
        <v>776</v>
      </c>
      <c r="F29" s="142" t="s">
        <v>464</v>
      </c>
      <c r="G29" s="143"/>
      <c r="H29" s="143">
        <v>1370</v>
      </c>
      <c r="I29" s="142" t="s">
        <v>1269</v>
      </c>
      <c r="J29" s="142"/>
      <c r="K29" s="142"/>
      <c r="L29" s="142"/>
      <c r="M29" s="142"/>
    </row>
    <row r="30" spans="1:18" x14ac:dyDescent="0.25">
      <c r="A30" s="141">
        <v>46154</v>
      </c>
      <c r="B30" s="142">
        <v>20</v>
      </c>
      <c r="C30" s="142"/>
      <c r="D30" s="142"/>
      <c r="E30" s="142" t="s">
        <v>1253</v>
      </c>
      <c r="F30" s="142" t="s">
        <v>464</v>
      </c>
      <c r="G30" s="143">
        <v>143</v>
      </c>
      <c r="H30" s="143">
        <v>2860</v>
      </c>
      <c r="I30" s="142" t="s">
        <v>1255</v>
      </c>
      <c r="J30" s="142"/>
      <c r="K30" s="142" t="s">
        <v>1295</v>
      </c>
      <c r="L30" s="142"/>
      <c r="M30" s="142"/>
    </row>
    <row r="31" spans="1:18" x14ac:dyDescent="0.25">
      <c r="A31" s="141">
        <v>46154</v>
      </c>
      <c r="B31" s="142">
        <v>1</v>
      </c>
      <c r="C31" s="142"/>
      <c r="D31" s="142"/>
      <c r="E31" s="142" t="s">
        <v>1184</v>
      </c>
      <c r="F31" s="142" t="s">
        <v>1185</v>
      </c>
      <c r="G31" s="143">
        <v>17999</v>
      </c>
      <c r="H31" s="143">
        <v>17999</v>
      </c>
      <c r="I31" s="142" t="s">
        <v>348</v>
      </c>
      <c r="J31" s="142"/>
      <c r="K31" s="142"/>
      <c r="L31" s="142"/>
      <c r="M31" s="158" t="s">
        <v>1261</v>
      </c>
    </row>
    <row r="32" spans="1:18" x14ac:dyDescent="0.25">
      <c r="A32" s="141">
        <v>46156</v>
      </c>
      <c r="B32" s="142">
        <v>12</v>
      </c>
      <c r="C32" s="142"/>
      <c r="D32" s="142"/>
      <c r="E32" s="142" t="s">
        <v>1172</v>
      </c>
      <c r="F32" s="142" t="s">
        <v>1185</v>
      </c>
      <c r="G32" s="143">
        <v>1600</v>
      </c>
      <c r="H32" s="143">
        <v>19200</v>
      </c>
      <c r="I32" s="142" t="s">
        <v>348</v>
      </c>
      <c r="J32" s="142"/>
      <c r="K32" s="142"/>
      <c r="L32" s="142"/>
      <c r="M32" s="142"/>
    </row>
    <row r="33" spans="1:14" x14ac:dyDescent="0.25">
      <c r="A33" s="118">
        <v>46156</v>
      </c>
      <c r="B33" s="119">
        <v>4</v>
      </c>
      <c r="C33" s="119"/>
      <c r="D33" s="119"/>
      <c r="E33" s="119" t="s">
        <v>1275</v>
      </c>
      <c r="F33" s="119" t="s">
        <v>1225</v>
      </c>
      <c r="G33" s="120">
        <v>1579</v>
      </c>
      <c r="H33" s="120">
        <f>B33*G33</f>
        <v>6316</v>
      </c>
      <c r="I33" s="119" t="s">
        <v>62</v>
      </c>
      <c r="J33" s="119"/>
      <c r="K33" s="119"/>
      <c r="L33" s="119"/>
      <c r="M33" s="119">
        <v>190476</v>
      </c>
    </row>
    <row r="34" spans="1:14" x14ac:dyDescent="0.25">
      <c r="A34" s="141">
        <v>46156</v>
      </c>
      <c r="B34" s="142">
        <v>4</v>
      </c>
      <c r="C34" s="142"/>
      <c r="D34" s="142"/>
      <c r="E34" s="142" t="s">
        <v>639</v>
      </c>
      <c r="F34" s="142" t="s">
        <v>635</v>
      </c>
      <c r="G34" s="143">
        <v>1579</v>
      </c>
      <c r="H34" s="143">
        <f>B34*G34</f>
        <v>6316</v>
      </c>
      <c r="I34" s="142" t="s">
        <v>348</v>
      </c>
      <c r="J34" s="142"/>
      <c r="K34" s="142"/>
      <c r="L34" s="142"/>
      <c r="M34" s="142">
        <v>39561974</v>
      </c>
      <c r="N34" s="117">
        <v>39561974</v>
      </c>
    </row>
    <row r="35" spans="1:14" x14ac:dyDescent="0.25">
      <c r="A35" s="118">
        <v>46158</v>
      </c>
      <c r="B35" s="119">
        <v>1</v>
      </c>
      <c r="C35" s="119"/>
      <c r="D35" s="119"/>
      <c r="E35" s="119" t="s">
        <v>1184</v>
      </c>
      <c r="F35" s="119" t="s">
        <v>1185</v>
      </c>
      <c r="G35" s="120">
        <v>17999</v>
      </c>
      <c r="H35" s="120">
        <f t="shared" ref="H35:H49" si="3">B35*G35</f>
        <v>17999</v>
      </c>
      <c r="I35" s="119" t="s">
        <v>62</v>
      </c>
      <c r="J35" s="119"/>
      <c r="K35" s="119"/>
      <c r="L35" s="119"/>
      <c r="M35" s="161" t="s">
        <v>1276</v>
      </c>
    </row>
    <row r="36" spans="1:14" x14ac:dyDescent="0.25">
      <c r="A36" s="141">
        <v>46158</v>
      </c>
      <c r="B36" s="142">
        <v>40</v>
      </c>
      <c r="C36" s="142"/>
      <c r="D36" s="142"/>
      <c r="E36" s="142" t="s">
        <v>1253</v>
      </c>
      <c r="F36" s="142" t="s">
        <v>291</v>
      </c>
      <c r="G36" s="143">
        <v>143</v>
      </c>
      <c r="H36" s="143">
        <f t="shared" si="3"/>
        <v>5720</v>
      </c>
      <c r="I36" s="142" t="s">
        <v>348</v>
      </c>
      <c r="J36" s="142"/>
      <c r="K36" s="142"/>
      <c r="L36" s="142"/>
      <c r="M36" s="142"/>
    </row>
    <row r="37" spans="1:14" x14ac:dyDescent="0.25">
      <c r="A37" s="141">
        <v>46158</v>
      </c>
      <c r="B37" s="142">
        <v>40</v>
      </c>
      <c r="C37" s="142"/>
      <c r="D37" s="142"/>
      <c r="E37" s="142" t="s">
        <v>1253</v>
      </c>
      <c r="F37" s="142" t="s">
        <v>291</v>
      </c>
      <c r="G37" s="143">
        <v>143</v>
      </c>
      <c r="H37" s="143">
        <f t="shared" si="3"/>
        <v>5720</v>
      </c>
      <c r="I37" s="142" t="s">
        <v>348</v>
      </c>
      <c r="J37" s="142"/>
      <c r="K37" s="142"/>
      <c r="L37" s="142"/>
      <c r="M37" s="142"/>
    </row>
    <row r="38" spans="1:14" x14ac:dyDescent="0.25">
      <c r="A38" s="141">
        <v>46160</v>
      </c>
      <c r="B38" s="142">
        <v>4</v>
      </c>
      <c r="C38" s="142"/>
      <c r="D38" s="142"/>
      <c r="E38" s="142" t="s">
        <v>1275</v>
      </c>
      <c r="F38" s="142" t="s">
        <v>635</v>
      </c>
      <c r="G38" s="143">
        <v>1579</v>
      </c>
      <c r="H38" s="143">
        <f t="shared" si="3"/>
        <v>6316</v>
      </c>
      <c r="I38" s="142" t="s">
        <v>348</v>
      </c>
      <c r="J38" s="142"/>
      <c r="K38" s="142"/>
      <c r="L38" s="142"/>
      <c r="M38" s="142">
        <v>39616641</v>
      </c>
    </row>
    <row r="39" spans="1:14" x14ac:dyDescent="0.25">
      <c r="A39" s="141">
        <v>46162</v>
      </c>
      <c r="B39" s="142">
        <v>8</v>
      </c>
      <c r="C39" s="142"/>
      <c r="D39" s="142"/>
      <c r="E39" s="142" t="s">
        <v>1253</v>
      </c>
      <c r="F39" s="142" t="s">
        <v>464</v>
      </c>
      <c r="G39" s="143">
        <v>143</v>
      </c>
      <c r="H39" s="143">
        <f t="shared" si="3"/>
        <v>1144</v>
      </c>
      <c r="I39" s="142" t="s">
        <v>348</v>
      </c>
      <c r="J39" s="142"/>
      <c r="K39" s="142"/>
      <c r="L39" s="142"/>
      <c r="M39" s="142"/>
    </row>
    <row r="40" spans="1:14" x14ac:dyDescent="0.25">
      <c r="A40" s="141">
        <v>46171</v>
      </c>
      <c r="B40" s="142">
        <v>2</v>
      </c>
      <c r="C40" s="142"/>
      <c r="D40" s="142"/>
      <c r="E40" s="142" t="s">
        <v>1275</v>
      </c>
      <c r="F40" s="142" t="s">
        <v>1225</v>
      </c>
      <c r="G40" s="143">
        <v>1579</v>
      </c>
      <c r="H40" s="143">
        <f t="shared" si="3"/>
        <v>3158</v>
      </c>
      <c r="I40" s="142" t="s">
        <v>348</v>
      </c>
      <c r="J40" s="142"/>
      <c r="K40" s="142"/>
      <c r="L40" s="142"/>
      <c r="M40" s="159">
        <v>192105</v>
      </c>
    </row>
    <row r="41" spans="1:14" x14ac:dyDescent="0.25">
      <c r="A41" s="141">
        <v>46171</v>
      </c>
      <c r="B41" s="142">
        <v>1</v>
      </c>
      <c r="C41" s="142"/>
      <c r="D41" s="142"/>
      <c r="E41" s="142" t="s">
        <v>639</v>
      </c>
      <c r="F41" s="142" t="s">
        <v>1225</v>
      </c>
      <c r="G41" s="143">
        <v>1579</v>
      </c>
      <c r="H41" s="143">
        <f t="shared" si="3"/>
        <v>1579</v>
      </c>
      <c r="I41" s="142" t="s">
        <v>348</v>
      </c>
      <c r="J41" s="142"/>
      <c r="K41" s="142"/>
      <c r="L41" s="142"/>
      <c r="M41" s="159">
        <v>192105</v>
      </c>
    </row>
    <row r="42" spans="1:14" x14ac:dyDescent="0.25">
      <c r="A42" s="141">
        <v>46171</v>
      </c>
      <c r="B42" s="142">
        <v>9</v>
      </c>
      <c r="C42" s="142"/>
      <c r="D42" s="142"/>
      <c r="E42" s="142" t="s">
        <v>1311</v>
      </c>
      <c r="F42" s="142" t="s">
        <v>383</v>
      </c>
      <c r="G42" s="143">
        <v>1540</v>
      </c>
      <c r="H42" s="143">
        <f t="shared" si="3"/>
        <v>13860</v>
      </c>
      <c r="I42" s="142" t="s">
        <v>348</v>
      </c>
      <c r="J42" s="142"/>
      <c r="K42" s="142"/>
      <c r="L42" s="142"/>
      <c r="M42" s="142"/>
    </row>
    <row r="43" spans="1:14" x14ac:dyDescent="0.25">
      <c r="A43" s="141">
        <v>46174</v>
      </c>
      <c r="B43" s="142">
        <v>8</v>
      </c>
      <c r="C43" s="142"/>
      <c r="D43" s="142"/>
      <c r="E43" s="142" t="s">
        <v>639</v>
      </c>
      <c r="F43" s="142" t="s">
        <v>291</v>
      </c>
      <c r="G43" s="143">
        <v>1449</v>
      </c>
      <c r="H43" s="143">
        <f t="shared" si="3"/>
        <v>11592</v>
      </c>
      <c r="I43" s="142" t="s">
        <v>464</v>
      </c>
      <c r="J43" s="142"/>
      <c r="K43" s="142"/>
      <c r="L43" s="142"/>
      <c r="M43" s="142"/>
    </row>
    <row r="44" spans="1:14" x14ac:dyDescent="0.25">
      <c r="A44" s="141">
        <v>46175</v>
      </c>
      <c r="B44" s="142">
        <v>2</v>
      </c>
      <c r="C44" s="142"/>
      <c r="D44" s="142"/>
      <c r="E44" s="142" t="s">
        <v>639</v>
      </c>
      <c r="F44" s="142" t="s">
        <v>302</v>
      </c>
      <c r="G44" s="143">
        <v>1579</v>
      </c>
      <c r="H44" s="143">
        <f t="shared" si="3"/>
        <v>3158</v>
      </c>
      <c r="I44" s="142" t="s">
        <v>464</v>
      </c>
      <c r="J44" s="142"/>
      <c r="K44" s="142"/>
      <c r="L44" s="142"/>
      <c r="M44" s="142"/>
    </row>
    <row r="45" spans="1:14" x14ac:dyDescent="0.25">
      <c r="A45" s="141">
        <v>46175</v>
      </c>
      <c r="B45" s="142">
        <v>18</v>
      </c>
      <c r="C45" s="142"/>
      <c r="D45" s="142"/>
      <c r="E45" s="142" t="s">
        <v>1253</v>
      </c>
      <c r="F45" s="142" t="s">
        <v>464</v>
      </c>
      <c r="G45" s="143">
        <v>143</v>
      </c>
      <c r="H45" s="143">
        <f t="shared" si="3"/>
        <v>2574</v>
      </c>
      <c r="I45" s="142" t="s">
        <v>464</v>
      </c>
      <c r="J45" s="142"/>
      <c r="K45" s="142"/>
      <c r="L45" s="142"/>
      <c r="M45" s="142"/>
    </row>
    <row r="46" spans="1:14" x14ac:dyDescent="0.25">
      <c r="A46" s="118">
        <v>46178</v>
      </c>
      <c r="B46" s="119">
        <v>4</v>
      </c>
      <c r="C46" s="119"/>
      <c r="D46" s="119"/>
      <c r="E46" s="119" t="s">
        <v>639</v>
      </c>
      <c r="F46" s="119" t="s">
        <v>1225</v>
      </c>
      <c r="G46" s="120">
        <v>1579</v>
      </c>
      <c r="H46" s="120">
        <f t="shared" si="3"/>
        <v>6316</v>
      </c>
      <c r="I46" s="119" t="s">
        <v>62</v>
      </c>
      <c r="J46" s="119"/>
      <c r="K46" s="119"/>
      <c r="L46" s="119"/>
      <c r="M46" s="162" t="s">
        <v>1315</v>
      </c>
    </row>
    <row r="47" spans="1:14" ht="16.149999999999999" customHeight="1" x14ac:dyDescent="0.25">
      <c r="A47" s="118">
        <v>46178</v>
      </c>
      <c r="B47" s="119">
        <v>4</v>
      </c>
      <c r="C47" s="119"/>
      <c r="D47" s="119"/>
      <c r="E47" s="119" t="s">
        <v>639</v>
      </c>
      <c r="F47" s="119" t="s">
        <v>383</v>
      </c>
      <c r="G47" s="120">
        <v>1579</v>
      </c>
      <c r="H47" s="120">
        <f t="shared" si="3"/>
        <v>6316</v>
      </c>
      <c r="I47" s="119" t="s">
        <v>62</v>
      </c>
      <c r="J47" s="119"/>
      <c r="K47" s="119"/>
      <c r="L47" s="119"/>
      <c r="M47" s="163" t="s">
        <v>1319</v>
      </c>
    </row>
    <row r="48" spans="1:14" x14ac:dyDescent="0.25">
      <c r="A48" s="141">
        <v>46178</v>
      </c>
      <c r="B48" s="142">
        <v>32</v>
      </c>
      <c r="C48" s="142"/>
      <c r="D48" s="142"/>
      <c r="E48" s="142" t="s">
        <v>1253</v>
      </c>
      <c r="F48" s="142" t="s">
        <v>1320</v>
      </c>
      <c r="G48" s="143">
        <v>143</v>
      </c>
      <c r="H48" s="143">
        <f t="shared" si="3"/>
        <v>4576</v>
      </c>
      <c r="I48" s="142" t="s">
        <v>622</v>
      </c>
      <c r="J48" s="142"/>
      <c r="K48" s="142"/>
      <c r="L48" s="142"/>
      <c r="M48" s="142"/>
    </row>
    <row r="49" spans="1:13" x14ac:dyDescent="0.25">
      <c r="A49" s="118">
        <v>46181</v>
      </c>
      <c r="B49" s="119">
        <v>2</v>
      </c>
      <c r="C49" s="119"/>
      <c r="D49" s="119"/>
      <c r="E49" s="119" t="s">
        <v>1235</v>
      </c>
      <c r="F49" s="119" t="s">
        <v>1185</v>
      </c>
      <c r="G49" s="120">
        <v>3299</v>
      </c>
      <c r="H49" s="120">
        <f t="shared" si="3"/>
        <v>6598</v>
      </c>
      <c r="I49" s="119" t="s">
        <v>62</v>
      </c>
      <c r="J49" s="119"/>
      <c r="K49" s="119"/>
      <c r="L49" s="119"/>
      <c r="M49" s="119"/>
    </row>
    <row r="50" spans="1:13" x14ac:dyDescent="0.25">
      <c r="A50" s="2"/>
      <c r="B50" s="2"/>
      <c r="C50" s="2"/>
      <c r="D50" s="2"/>
      <c r="E50" s="2"/>
      <c r="F50" s="2"/>
      <c r="G50" s="3"/>
      <c r="H50" s="3"/>
      <c r="I50" s="2"/>
      <c r="J50" s="2"/>
      <c r="K50" s="2"/>
      <c r="L50" s="2"/>
      <c r="M50" s="2"/>
    </row>
  </sheetData>
  <autoFilter ref="A1:Q45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opLeftCell="A48" workbookViewId="0">
      <selection activeCell="G72" sqref="G72"/>
    </sheetView>
  </sheetViews>
  <sheetFormatPr defaultRowHeight="15" x14ac:dyDescent="0.25"/>
  <cols>
    <col min="1" max="1" width="6.42578125" bestFit="1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68">
        <v>46120</v>
      </c>
      <c r="B9" s="2">
        <v>2</v>
      </c>
      <c r="C9" s="2" t="s">
        <v>969</v>
      </c>
      <c r="D9" s="2" t="s">
        <v>811</v>
      </c>
      <c r="E9" s="65">
        <v>2199</v>
      </c>
      <c r="F9" s="65">
        <f t="shared" si="0"/>
        <v>4398</v>
      </c>
      <c r="G9" s="2" t="s">
        <v>62</v>
      </c>
      <c r="H9" s="2"/>
      <c r="I9" s="2"/>
      <c r="J9" s="107">
        <v>0.1</v>
      </c>
    </row>
    <row r="10" spans="1:16" x14ac:dyDescent="0.25">
      <c r="A10" s="68">
        <v>46120</v>
      </c>
      <c r="B10" s="2">
        <v>2</v>
      </c>
      <c r="C10" s="2" t="s">
        <v>1095</v>
      </c>
      <c r="D10" s="2" t="s">
        <v>811</v>
      </c>
      <c r="E10" s="65">
        <v>2199</v>
      </c>
      <c r="F10" s="65">
        <f t="shared" si="0"/>
        <v>4398</v>
      </c>
      <c r="G10" s="2" t="s">
        <v>62</v>
      </c>
      <c r="H10" s="2"/>
      <c r="I10" s="2"/>
      <c r="J10" s="107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50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1242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50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68">
        <v>46138</v>
      </c>
      <c r="B31" s="2">
        <v>2</v>
      </c>
      <c r="C31" s="2" t="s">
        <v>1172</v>
      </c>
      <c r="D31" s="2" t="s">
        <v>1180</v>
      </c>
      <c r="E31" s="3">
        <v>1199</v>
      </c>
      <c r="F31" s="3">
        <f t="shared" si="1"/>
        <v>2398</v>
      </c>
      <c r="G31" s="2" t="s">
        <v>62</v>
      </c>
      <c r="H31" s="2"/>
      <c r="I31" s="2" t="s">
        <v>1183</v>
      </c>
      <c r="J31" s="2"/>
      <c r="K31" s="110" t="s">
        <v>1203</v>
      </c>
      <c r="L31" s="111" t="s">
        <v>1205</v>
      </c>
      <c r="O31" t="s">
        <v>1243</v>
      </c>
      <c r="P31">
        <v>14</v>
      </c>
      <c r="Q31">
        <v>22</v>
      </c>
      <c r="R31">
        <v>8</v>
      </c>
    </row>
    <row r="32" spans="1:18" x14ac:dyDescent="0.25">
      <c r="A32" s="68">
        <v>46138</v>
      </c>
      <c r="B32" s="2">
        <v>2</v>
      </c>
      <c r="C32" s="2" t="s">
        <v>1172</v>
      </c>
      <c r="D32" s="2" t="s">
        <v>1180</v>
      </c>
      <c r="E32" s="3">
        <v>1199</v>
      </c>
      <c r="F32" s="3">
        <f t="shared" si="1"/>
        <v>2398</v>
      </c>
      <c r="G32" s="2" t="s">
        <v>62</v>
      </c>
      <c r="H32" s="2"/>
      <c r="I32" s="2" t="s">
        <v>1183</v>
      </c>
      <c r="J32" s="2"/>
      <c r="K32" s="110" t="s">
        <v>1204</v>
      </c>
      <c r="L32" s="111" t="s">
        <v>1205</v>
      </c>
      <c r="O32" t="s">
        <v>1244</v>
      </c>
      <c r="P32">
        <v>2</v>
      </c>
    </row>
    <row r="33" spans="1:16" x14ac:dyDescent="0.25">
      <c r="A33" s="68">
        <v>46138</v>
      </c>
      <c r="B33" s="2">
        <v>2</v>
      </c>
      <c r="C33" s="2" t="s">
        <v>1172</v>
      </c>
      <c r="D33" s="2" t="s">
        <v>1180</v>
      </c>
      <c r="E33" s="3">
        <v>1199</v>
      </c>
      <c r="F33" s="3">
        <f t="shared" si="1"/>
        <v>2398</v>
      </c>
      <c r="G33" s="2" t="s">
        <v>62</v>
      </c>
      <c r="H33" s="2"/>
      <c r="I33" s="2" t="s">
        <v>1183</v>
      </c>
      <c r="J33" s="2"/>
      <c r="K33" s="110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82">
        <v>46138</v>
      </c>
      <c r="B36" s="24">
        <v>2</v>
      </c>
      <c r="C36" s="24" t="s">
        <v>1172</v>
      </c>
      <c r="D36" s="24" t="s">
        <v>1207</v>
      </c>
      <c r="E36" s="115">
        <v>1199</v>
      </c>
      <c r="F36" s="115">
        <f t="shared" si="1"/>
        <v>2398</v>
      </c>
      <c r="G36" s="24" t="s">
        <v>62</v>
      </c>
      <c r="H36" s="24"/>
      <c r="I36" s="24" t="s">
        <v>1182</v>
      </c>
      <c r="J36" s="24"/>
      <c r="K36" s="112">
        <v>1429956430</v>
      </c>
    </row>
    <row r="37" spans="1:16" x14ac:dyDescent="0.25">
      <c r="A37" s="68">
        <v>46138</v>
      </c>
      <c r="B37" s="2">
        <v>2</v>
      </c>
      <c r="C37" s="2" t="s">
        <v>1172</v>
      </c>
      <c r="D37" s="2" t="s">
        <v>1207</v>
      </c>
      <c r="E37" s="3">
        <v>1199</v>
      </c>
      <c r="F37" s="3">
        <f t="shared" si="1"/>
        <v>2398</v>
      </c>
      <c r="G37" s="2" t="s">
        <v>62</v>
      </c>
      <c r="H37" s="2"/>
      <c r="I37" s="2" t="s">
        <v>1182</v>
      </c>
      <c r="J37" s="2"/>
      <c r="K37" s="113">
        <v>1429956552</v>
      </c>
      <c r="L37" s="2"/>
    </row>
    <row r="38" spans="1:16" x14ac:dyDescent="0.25">
      <c r="A38" s="68">
        <v>46138</v>
      </c>
      <c r="B38" s="2">
        <v>2</v>
      </c>
      <c r="C38" s="2" t="s">
        <v>1172</v>
      </c>
      <c r="D38" s="2" t="s">
        <v>1180</v>
      </c>
      <c r="E38" s="3">
        <v>1199</v>
      </c>
      <c r="F38" s="3">
        <f t="shared" si="1"/>
        <v>2398</v>
      </c>
      <c r="G38" s="2" t="s">
        <v>62</v>
      </c>
      <c r="H38" s="2"/>
      <c r="I38" s="2" t="s">
        <v>1183</v>
      </c>
      <c r="J38" s="2"/>
      <c r="K38" s="114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68">
        <v>46139</v>
      </c>
      <c r="B59" s="2">
        <v>1</v>
      </c>
      <c r="C59" s="2" t="s">
        <v>378</v>
      </c>
      <c r="D59" s="2" t="s">
        <v>364</v>
      </c>
      <c r="E59" s="3">
        <v>695</v>
      </c>
      <c r="F59" s="3">
        <f t="shared" si="1"/>
        <v>695</v>
      </c>
      <c r="G59" s="2" t="s">
        <v>8</v>
      </c>
      <c r="H59" s="2"/>
      <c r="I59" s="2"/>
      <c r="J59" s="2"/>
      <c r="K59" s="2"/>
      <c r="L59" s="2"/>
    </row>
    <row r="60" spans="1:12" x14ac:dyDescent="0.25">
      <c r="A60" s="68">
        <v>46139</v>
      </c>
      <c r="B60" s="2">
        <v>1</v>
      </c>
      <c r="C60" s="2" t="s">
        <v>405</v>
      </c>
      <c r="D60" s="2" t="s">
        <v>364</v>
      </c>
      <c r="E60" s="3">
        <v>1298</v>
      </c>
      <c r="F60" s="3">
        <f t="shared" si="1"/>
        <v>1298</v>
      </c>
      <c r="G60" s="2" t="s">
        <v>8</v>
      </c>
      <c r="H60" s="2"/>
      <c r="I60" s="2"/>
      <c r="J60" s="2"/>
      <c r="K60" s="2"/>
      <c r="L60" s="2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68">
        <v>46142</v>
      </c>
      <c r="B63" s="2">
        <v>2</v>
      </c>
      <c r="C63" s="2" t="s">
        <v>1172</v>
      </c>
      <c r="D63" s="2" t="s">
        <v>1207</v>
      </c>
      <c r="E63" s="3">
        <v>1199</v>
      </c>
      <c r="F63" s="3">
        <f t="shared" si="1"/>
        <v>2398</v>
      </c>
      <c r="G63" s="2" t="s">
        <v>62</v>
      </c>
      <c r="H63" s="2"/>
      <c r="I63" s="116">
        <v>1432029973</v>
      </c>
      <c r="J63" s="2"/>
      <c r="K63" s="2"/>
      <c r="L63" s="2"/>
    </row>
    <row r="64" spans="1:12" x14ac:dyDescent="0.25">
      <c r="A64" s="68">
        <v>46142</v>
      </c>
      <c r="B64" s="2">
        <v>2</v>
      </c>
      <c r="C64" s="2" t="s">
        <v>1172</v>
      </c>
      <c r="D64" s="2" t="s">
        <v>1207</v>
      </c>
      <c r="E64" s="3">
        <v>1199</v>
      </c>
      <c r="F64" s="3">
        <f t="shared" si="1"/>
        <v>2398</v>
      </c>
      <c r="G64" s="2" t="s">
        <v>62</v>
      </c>
      <c r="H64" s="2"/>
      <c r="I64" s="116">
        <v>1432029553</v>
      </c>
      <c r="J64" s="2"/>
      <c r="K64" s="2"/>
      <c r="L64" s="2"/>
    </row>
    <row r="65" spans="1:12" x14ac:dyDescent="0.25">
      <c r="A65" s="68">
        <v>46142</v>
      </c>
      <c r="B65" s="2">
        <v>2</v>
      </c>
      <c r="C65" s="2" t="s">
        <v>1172</v>
      </c>
      <c r="D65" s="2" t="s">
        <v>1207</v>
      </c>
      <c r="E65" s="3">
        <v>1199</v>
      </c>
      <c r="F65" s="3">
        <f t="shared" si="1"/>
        <v>2398</v>
      </c>
      <c r="G65" s="2" t="s">
        <v>62</v>
      </c>
      <c r="H65" s="2"/>
      <c r="I65" s="116">
        <v>1429956894</v>
      </c>
      <c r="J65" s="2"/>
      <c r="K65" s="2"/>
      <c r="L65" s="2"/>
    </row>
    <row r="66" spans="1:12" x14ac:dyDescent="0.25">
      <c r="A66" s="68">
        <v>46142</v>
      </c>
      <c r="B66" s="2">
        <v>2</v>
      </c>
      <c r="C66" s="2" t="s">
        <v>1223</v>
      </c>
      <c r="D66" s="2" t="s">
        <v>1224</v>
      </c>
      <c r="E66" s="3">
        <v>999</v>
      </c>
      <c r="F66" s="3">
        <f t="shared" si="1"/>
        <v>1998</v>
      </c>
      <c r="G66" s="2" t="s">
        <v>1318</v>
      </c>
      <c r="H66" s="2"/>
      <c r="I66" s="116">
        <v>1429956894</v>
      </c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S153"/>
  <sheetViews>
    <sheetView topLeftCell="A97" workbookViewId="0">
      <selection activeCell="D134" sqref="D134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21.5703125" bestFit="1" customWidth="1"/>
    <col min="4" max="4" width="25.140625" customWidth="1"/>
    <col min="5" max="5" width="10" style="60" bestFit="1" customWidth="1"/>
    <col min="6" max="6" width="10.140625" style="60" bestFit="1" customWidth="1"/>
    <col min="7" max="7" width="29.85546875" customWidth="1"/>
    <col min="8" max="8" width="12.7109375" customWidth="1"/>
    <col min="9" max="9" width="18.140625" bestFit="1" customWidth="1"/>
    <col min="10" max="10" width="12.140625" bestFit="1" customWidth="1"/>
    <col min="11" max="11" width="13.28515625" bestFit="1" customWidth="1"/>
    <col min="17" max="17" width="21.5703125" bestFit="1" customWidth="1"/>
    <col min="18" max="18" width="16.140625" bestFit="1" customWidth="1"/>
    <col min="19" max="19" width="11.7109375" bestFit="1" customWidth="1"/>
  </cols>
  <sheetData>
    <row r="1" spans="1:1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  <c r="P1">
        <v>62</v>
      </c>
      <c r="Q1" s="13" t="s">
        <v>65</v>
      </c>
      <c r="R1" t="s">
        <v>147</v>
      </c>
    </row>
    <row r="2" spans="1:19" x14ac:dyDescent="0.25">
      <c r="A2" s="118">
        <v>46143</v>
      </c>
      <c r="B2" s="119">
        <v>2</v>
      </c>
      <c r="C2" s="119" t="s">
        <v>1172</v>
      </c>
      <c r="D2" s="119" t="s">
        <v>1207</v>
      </c>
      <c r="E2" s="120">
        <v>1199</v>
      </c>
      <c r="F2" s="120">
        <f t="shared" ref="F2:F10" si="0">E2*B2</f>
        <v>2398</v>
      </c>
      <c r="G2" s="119" t="s">
        <v>62</v>
      </c>
      <c r="H2" s="119"/>
      <c r="I2" s="121">
        <v>1432044182</v>
      </c>
      <c r="J2" s="119"/>
      <c r="K2" s="119"/>
      <c r="P2">
        <v>114</v>
      </c>
    </row>
    <row r="3" spans="1:19" x14ac:dyDescent="0.25">
      <c r="A3" s="118">
        <v>46143</v>
      </c>
      <c r="B3" s="119">
        <v>2</v>
      </c>
      <c r="C3" s="119" t="s">
        <v>1172</v>
      </c>
      <c r="D3" s="119" t="s">
        <v>1207</v>
      </c>
      <c r="E3" s="120">
        <v>1199</v>
      </c>
      <c r="F3" s="120">
        <f t="shared" si="0"/>
        <v>2398</v>
      </c>
      <c r="G3" s="119" t="s">
        <v>62</v>
      </c>
      <c r="H3" s="119"/>
      <c r="I3" s="121">
        <v>1432352506</v>
      </c>
      <c r="J3" s="119"/>
      <c r="K3" s="119"/>
      <c r="Q3" s="13" t="s">
        <v>78</v>
      </c>
      <c r="R3" t="s">
        <v>81</v>
      </c>
      <c r="S3" t="s">
        <v>146</v>
      </c>
    </row>
    <row r="4" spans="1:19" x14ac:dyDescent="0.25">
      <c r="A4" s="118">
        <v>46143</v>
      </c>
      <c r="B4" s="119">
        <v>2</v>
      </c>
      <c r="C4" s="119" t="s">
        <v>1172</v>
      </c>
      <c r="D4" s="119" t="s">
        <v>1207</v>
      </c>
      <c r="E4" s="120">
        <v>1199</v>
      </c>
      <c r="F4" s="120">
        <f t="shared" si="0"/>
        <v>2398</v>
      </c>
      <c r="G4" s="119" t="s">
        <v>62</v>
      </c>
      <c r="H4" s="119"/>
      <c r="I4" s="121" t="s">
        <v>1226</v>
      </c>
      <c r="J4" s="119"/>
      <c r="K4" s="119"/>
      <c r="Q4" s="14" t="s">
        <v>406</v>
      </c>
      <c r="R4">
        <v>2</v>
      </c>
      <c r="S4">
        <v>2596</v>
      </c>
    </row>
    <row r="5" spans="1:19" x14ac:dyDescent="0.25">
      <c r="A5" s="118">
        <v>46143</v>
      </c>
      <c r="B5" s="119">
        <v>2</v>
      </c>
      <c r="C5" s="119" t="s">
        <v>1172</v>
      </c>
      <c r="D5" s="119" t="s">
        <v>1207</v>
      </c>
      <c r="E5" s="120">
        <v>1199</v>
      </c>
      <c r="F5" s="120">
        <f t="shared" si="0"/>
        <v>2398</v>
      </c>
      <c r="G5" s="119" t="s">
        <v>62</v>
      </c>
      <c r="H5" s="119"/>
      <c r="I5" s="122">
        <v>1432379120</v>
      </c>
      <c r="J5" s="119"/>
      <c r="K5" s="119"/>
      <c r="Q5" s="14" t="s">
        <v>1292</v>
      </c>
      <c r="R5">
        <v>30</v>
      </c>
      <c r="S5">
        <v>3150</v>
      </c>
    </row>
    <row r="6" spans="1:19" x14ac:dyDescent="0.25">
      <c r="A6" s="141">
        <v>46144</v>
      </c>
      <c r="B6" s="142">
        <v>5</v>
      </c>
      <c r="C6" s="142" t="s">
        <v>1227</v>
      </c>
      <c r="D6" s="142" t="s">
        <v>101</v>
      </c>
      <c r="E6" s="143">
        <v>1999</v>
      </c>
      <c r="F6" s="143">
        <f t="shared" si="0"/>
        <v>9995</v>
      </c>
      <c r="G6" s="142" t="s">
        <v>8</v>
      </c>
      <c r="H6" s="142"/>
      <c r="I6" s="151"/>
      <c r="J6" s="142"/>
      <c r="K6" s="142"/>
      <c r="Q6" s="14" t="s">
        <v>1227</v>
      </c>
      <c r="R6">
        <v>51</v>
      </c>
      <c r="S6">
        <v>97002</v>
      </c>
    </row>
    <row r="7" spans="1:19" x14ac:dyDescent="0.25">
      <c r="A7" s="141">
        <v>46144</v>
      </c>
      <c r="B7" s="142">
        <v>7</v>
      </c>
      <c r="C7" s="142" t="s">
        <v>1227</v>
      </c>
      <c r="D7" s="142" t="s">
        <v>688</v>
      </c>
      <c r="E7" s="143">
        <v>1982</v>
      </c>
      <c r="F7" s="143">
        <f t="shared" si="0"/>
        <v>13874</v>
      </c>
      <c r="G7" s="142" t="s">
        <v>8</v>
      </c>
      <c r="H7" s="142"/>
      <c r="I7" s="151"/>
      <c r="J7" s="142"/>
      <c r="K7" s="142"/>
      <c r="Q7" s="14" t="s">
        <v>1294</v>
      </c>
      <c r="R7">
        <v>4</v>
      </c>
      <c r="S7">
        <v>2196</v>
      </c>
    </row>
    <row r="8" spans="1:19" x14ac:dyDescent="0.25">
      <c r="A8" s="141">
        <v>46145</v>
      </c>
      <c r="B8" s="142">
        <v>4</v>
      </c>
      <c r="C8" s="142" t="s">
        <v>1227</v>
      </c>
      <c r="D8" s="142" t="s">
        <v>318</v>
      </c>
      <c r="E8" s="143">
        <v>1999</v>
      </c>
      <c r="F8" s="143">
        <f t="shared" si="0"/>
        <v>7996</v>
      </c>
      <c r="G8" s="142" t="s">
        <v>8</v>
      </c>
      <c r="H8" s="142"/>
      <c r="I8" s="151"/>
      <c r="J8" s="142"/>
      <c r="K8" s="142"/>
      <c r="Q8" s="14" t="s">
        <v>1172</v>
      </c>
      <c r="R8">
        <v>130</v>
      </c>
      <c r="S8">
        <v>160723</v>
      </c>
    </row>
    <row r="9" spans="1:19" x14ac:dyDescent="0.25">
      <c r="A9" s="141">
        <v>46145</v>
      </c>
      <c r="B9" s="142">
        <v>10</v>
      </c>
      <c r="C9" s="142" t="s">
        <v>1227</v>
      </c>
      <c r="D9" s="142" t="s">
        <v>364</v>
      </c>
      <c r="E9" s="143">
        <v>1999</v>
      </c>
      <c r="F9" s="143">
        <f t="shared" si="0"/>
        <v>19990</v>
      </c>
      <c r="G9" s="142" t="s">
        <v>8</v>
      </c>
      <c r="H9" s="142"/>
      <c r="I9" s="151"/>
      <c r="J9" s="142"/>
      <c r="K9" s="142"/>
      <c r="Q9" s="14" t="s">
        <v>80</v>
      </c>
      <c r="R9">
        <v>217</v>
      </c>
      <c r="S9">
        <v>265667</v>
      </c>
    </row>
    <row r="10" spans="1:19" x14ac:dyDescent="0.25">
      <c r="A10" s="141">
        <v>46145</v>
      </c>
      <c r="B10" s="142">
        <v>8</v>
      </c>
      <c r="C10" s="142" t="s">
        <v>1227</v>
      </c>
      <c r="D10" s="142" t="s">
        <v>491</v>
      </c>
      <c r="E10" s="143">
        <v>1950</v>
      </c>
      <c r="F10" s="143">
        <f t="shared" si="0"/>
        <v>15600</v>
      </c>
      <c r="G10" s="142" t="s">
        <v>8</v>
      </c>
      <c r="H10" s="142"/>
      <c r="I10" s="151"/>
      <c r="J10" s="142"/>
      <c r="K10" s="142"/>
    </row>
    <row r="11" spans="1:19" x14ac:dyDescent="0.25">
      <c r="A11" s="118">
        <v>46146</v>
      </c>
      <c r="B11" s="119">
        <v>2</v>
      </c>
      <c r="C11" s="119" t="s">
        <v>1172</v>
      </c>
      <c r="D11" s="119" t="s">
        <v>1207</v>
      </c>
      <c r="E11" s="120">
        <v>1199</v>
      </c>
      <c r="F11" s="120">
        <f t="shared" ref="F11:F34" si="1">E11*B11</f>
        <v>2398</v>
      </c>
      <c r="G11" s="119" t="s">
        <v>62</v>
      </c>
      <c r="H11" s="119"/>
      <c r="I11" s="122">
        <v>1432379220</v>
      </c>
      <c r="J11" s="119"/>
      <c r="K11" s="119"/>
    </row>
    <row r="12" spans="1:19" x14ac:dyDescent="0.25">
      <c r="A12" s="118">
        <v>46146</v>
      </c>
      <c r="B12" s="119">
        <v>2</v>
      </c>
      <c r="C12" s="119" t="s">
        <v>1172</v>
      </c>
      <c r="D12" s="119" t="s">
        <v>1207</v>
      </c>
      <c r="E12" s="120">
        <v>1199</v>
      </c>
      <c r="F12" s="120">
        <f t="shared" si="1"/>
        <v>2398</v>
      </c>
      <c r="G12" s="119" t="s">
        <v>62</v>
      </c>
      <c r="H12" s="119"/>
      <c r="I12" s="122" t="s">
        <v>1228</v>
      </c>
      <c r="J12" s="119"/>
      <c r="K12" s="119"/>
    </row>
    <row r="13" spans="1:19" x14ac:dyDescent="0.25">
      <c r="A13" s="118">
        <v>46146</v>
      </c>
      <c r="B13" s="119">
        <v>2</v>
      </c>
      <c r="C13" s="119" t="s">
        <v>1172</v>
      </c>
      <c r="D13" s="119" t="s">
        <v>1207</v>
      </c>
      <c r="E13" s="120">
        <v>1199</v>
      </c>
      <c r="F13" s="120">
        <f t="shared" si="1"/>
        <v>2398</v>
      </c>
      <c r="G13" s="119" t="s">
        <v>62</v>
      </c>
      <c r="H13" s="119"/>
      <c r="I13" s="122" t="s">
        <v>1229</v>
      </c>
      <c r="J13" s="119"/>
      <c r="K13" s="119"/>
    </row>
    <row r="14" spans="1:19" x14ac:dyDescent="0.25">
      <c r="A14" s="118">
        <v>46146</v>
      </c>
      <c r="B14" s="119">
        <v>2</v>
      </c>
      <c r="C14" s="119" t="s">
        <v>1172</v>
      </c>
      <c r="D14" s="119" t="s">
        <v>1207</v>
      </c>
      <c r="E14" s="120">
        <v>1199</v>
      </c>
      <c r="F14" s="120">
        <f t="shared" si="1"/>
        <v>2398</v>
      </c>
      <c r="G14" s="119" t="s">
        <v>62</v>
      </c>
      <c r="H14" s="119"/>
      <c r="I14" s="122">
        <v>1433864271</v>
      </c>
      <c r="J14" s="119"/>
      <c r="K14" s="119"/>
    </row>
    <row r="15" spans="1:19" x14ac:dyDescent="0.25">
      <c r="A15" s="118">
        <v>46146</v>
      </c>
      <c r="B15" s="119">
        <v>2</v>
      </c>
      <c r="C15" s="119" t="s">
        <v>1172</v>
      </c>
      <c r="D15" s="119" t="s">
        <v>1207</v>
      </c>
      <c r="E15" s="120">
        <v>1199</v>
      </c>
      <c r="F15" s="120">
        <f t="shared" si="1"/>
        <v>2398</v>
      </c>
      <c r="G15" s="119" t="s">
        <v>62</v>
      </c>
      <c r="H15" s="119"/>
      <c r="I15" s="121">
        <v>1433864456</v>
      </c>
      <c r="J15" s="119"/>
      <c r="K15" s="119"/>
      <c r="O15">
        <v>184</v>
      </c>
    </row>
    <row r="16" spans="1:19" x14ac:dyDescent="0.25">
      <c r="A16" s="118">
        <v>46147</v>
      </c>
      <c r="B16" s="119">
        <v>2</v>
      </c>
      <c r="C16" s="119" t="s">
        <v>1172</v>
      </c>
      <c r="D16" s="119" t="s">
        <v>1207</v>
      </c>
      <c r="E16" s="120">
        <v>1199</v>
      </c>
      <c r="F16" s="120">
        <f t="shared" si="1"/>
        <v>2398</v>
      </c>
      <c r="G16" s="119" t="s">
        <v>62</v>
      </c>
      <c r="H16" s="119"/>
      <c r="I16" s="123">
        <v>1433864587</v>
      </c>
      <c r="J16" s="119"/>
      <c r="K16" s="119"/>
      <c r="O16">
        <v>176</v>
      </c>
    </row>
    <row r="17" spans="1:18" x14ac:dyDescent="0.25">
      <c r="A17" s="118">
        <v>46147</v>
      </c>
      <c r="B17" s="119">
        <v>2</v>
      </c>
      <c r="C17" s="119" t="s">
        <v>1172</v>
      </c>
      <c r="D17" s="119" t="s">
        <v>1207</v>
      </c>
      <c r="E17" s="120">
        <v>1199</v>
      </c>
      <c r="F17" s="120">
        <f t="shared" si="1"/>
        <v>2398</v>
      </c>
      <c r="G17" s="119" t="s">
        <v>62</v>
      </c>
      <c r="H17" s="119"/>
      <c r="I17" s="123">
        <v>1434329710</v>
      </c>
      <c r="J17" s="119"/>
      <c r="K17" s="119"/>
    </row>
    <row r="18" spans="1:18" x14ac:dyDescent="0.25">
      <c r="A18" s="118">
        <v>46147</v>
      </c>
      <c r="B18" s="119">
        <v>2</v>
      </c>
      <c r="C18" s="119" t="s">
        <v>1172</v>
      </c>
      <c r="D18" s="119" t="s">
        <v>1207</v>
      </c>
      <c r="E18" s="120">
        <v>1199</v>
      </c>
      <c r="F18" s="120">
        <f t="shared" si="1"/>
        <v>2398</v>
      </c>
      <c r="G18" s="119" t="s">
        <v>62</v>
      </c>
      <c r="H18" s="119"/>
      <c r="I18" s="124">
        <v>1434329761</v>
      </c>
      <c r="J18" s="119"/>
      <c r="K18" s="119"/>
    </row>
    <row r="19" spans="1:18" x14ac:dyDescent="0.25">
      <c r="A19" s="118">
        <v>46147</v>
      </c>
      <c r="B19" s="119">
        <v>2</v>
      </c>
      <c r="C19" s="119" t="s">
        <v>1172</v>
      </c>
      <c r="D19" s="119" t="s">
        <v>1207</v>
      </c>
      <c r="E19" s="120">
        <v>1199</v>
      </c>
      <c r="F19" s="120">
        <f t="shared" si="1"/>
        <v>2398</v>
      </c>
      <c r="G19" s="119" t="s">
        <v>62</v>
      </c>
      <c r="H19" s="119"/>
      <c r="I19" s="123">
        <v>1434329812</v>
      </c>
      <c r="J19" s="119"/>
      <c r="K19" s="119"/>
    </row>
    <row r="20" spans="1:18" x14ac:dyDescent="0.25">
      <c r="A20" s="118">
        <v>46147</v>
      </c>
      <c r="B20" s="119">
        <v>2</v>
      </c>
      <c r="C20" s="119" t="s">
        <v>1172</v>
      </c>
      <c r="D20" s="119" t="s">
        <v>1207</v>
      </c>
      <c r="E20" s="120">
        <v>1199</v>
      </c>
      <c r="F20" s="120">
        <f t="shared" si="1"/>
        <v>2398</v>
      </c>
      <c r="G20" s="119" t="s">
        <v>62</v>
      </c>
      <c r="H20" s="119"/>
      <c r="I20" s="123">
        <v>1434329863</v>
      </c>
      <c r="J20" s="119"/>
      <c r="K20" s="119"/>
      <c r="R20">
        <v>130</v>
      </c>
    </row>
    <row r="21" spans="1:18" x14ac:dyDescent="0.25">
      <c r="A21" s="141">
        <v>46148</v>
      </c>
      <c r="B21" s="142">
        <v>10</v>
      </c>
      <c r="C21" s="142" t="s">
        <v>1172</v>
      </c>
      <c r="D21" s="142" t="s">
        <v>1230</v>
      </c>
      <c r="E21" s="143">
        <v>1205</v>
      </c>
      <c r="F21" s="143">
        <f t="shared" si="1"/>
        <v>12050</v>
      </c>
      <c r="G21" s="142" t="s">
        <v>8</v>
      </c>
      <c r="H21" s="142"/>
      <c r="I21" s="142"/>
      <c r="J21" s="142"/>
      <c r="K21" s="142"/>
      <c r="R21">
        <v>90</v>
      </c>
    </row>
    <row r="22" spans="1:18" x14ac:dyDescent="0.25">
      <c r="A22" s="118">
        <v>46150</v>
      </c>
      <c r="B22" s="119">
        <v>2</v>
      </c>
      <c r="C22" s="119" t="s">
        <v>1172</v>
      </c>
      <c r="D22" s="119" t="s">
        <v>1237</v>
      </c>
      <c r="E22" s="120">
        <v>1199</v>
      </c>
      <c r="F22" s="120">
        <f t="shared" si="1"/>
        <v>2398</v>
      </c>
      <c r="G22" s="119" t="s">
        <v>62</v>
      </c>
      <c r="H22" s="119"/>
      <c r="I22" s="125" t="s">
        <v>1236</v>
      </c>
      <c r="J22" s="119"/>
      <c r="K22" s="119"/>
      <c r="R22">
        <v>45</v>
      </c>
    </row>
    <row r="23" spans="1:18" x14ac:dyDescent="0.25">
      <c r="A23" s="118">
        <v>46150</v>
      </c>
      <c r="B23" s="119">
        <v>2</v>
      </c>
      <c r="C23" s="119" t="s">
        <v>1172</v>
      </c>
      <c r="D23" s="119" t="s">
        <v>1237</v>
      </c>
      <c r="E23" s="120">
        <v>1199</v>
      </c>
      <c r="F23" s="120">
        <f t="shared" si="1"/>
        <v>2398</v>
      </c>
      <c r="G23" s="119" t="s">
        <v>62</v>
      </c>
      <c r="H23" s="119"/>
      <c r="I23" s="125" t="s">
        <v>1238</v>
      </c>
      <c r="J23" s="119"/>
      <c r="K23" s="119"/>
    </row>
    <row r="24" spans="1:18" x14ac:dyDescent="0.25">
      <c r="A24" s="118">
        <v>46150</v>
      </c>
      <c r="B24" s="119">
        <v>2</v>
      </c>
      <c r="C24" s="119" t="s">
        <v>1172</v>
      </c>
      <c r="D24" s="119" t="s">
        <v>1237</v>
      </c>
      <c r="E24" s="120">
        <v>1199</v>
      </c>
      <c r="F24" s="120">
        <f t="shared" si="1"/>
        <v>2398</v>
      </c>
      <c r="G24" s="119" t="s">
        <v>62</v>
      </c>
      <c r="H24" s="119"/>
      <c r="I24" s="125" t="s">
        <v>1239</v>
      </c>
      <c r="J24" s="119"/>
      <c r="K24" s="119"/>
    </row>
    <row r="25" spans="1:18" x14ac:dyDescent="0.25">
      <c r="A25" s="118">
        <v>46150</v>
      </c>
      <c r="B25" s="119">
        <v>2</v>
      </c>
      <c r="C25" s="119" t="s">
        <v>1172</v>
      </c>
      <c r="D25" s="119" t="s">
        <v>1237</v>
      </c>
      <c r="E25" s="120">
        <v>1199</v>
      </c>
      <c r="F25" s="120">
        <f t="shared" si="1"/>
        <v>2398</v>
      </c>
      <c r="G25" s="119" t="s">
        <v>62</v>
      </c>
      <c r="H25" s="119"/>
      <c r="I25" s="125" t="s">
        <v>1240</v>
      </c>
      <c r="J25" s="119"/>
      <c r="K25" s="119"/>
    </row>
    <row r="26" spans="1:18" x14ac:dyDescent="0.25">
      <c r="A26" s="147">
        <v>46150</v>
      </c>
      <c r="B26" s="148">
        <v>1</v>
      </c>
      <c r="C26" s="148" t="s">
        <v>1241</v>
      </c>
      <c r="D26" s="148" t="s">
        <v>1159</v>
      </c>
      <c r="E26" s="149">
        <v>20905.650000000001</v>
      </c>
      <c r="F26" s="149">
        <f t="shared" si="1"/>
        <v>20905.650000000001</v>
      </c>
      <c r="G26" s="148" t="s">
        <v>622</v>
      </c>
      <c r="H26" s="148"/>
      <c r="I26" s="150" t="s">
        <v>1033</v>
      </c>
      <c r="J26" s="148"/>
      <c r="K26" s="148"/>
    </row>
    <row r="27" spans="1:18" x14ac:dyDescent="0.25">
      <c r="A27" s="141">
        <v>46150</v>
      </c>
      <c r="B27" s="142">
        <v>10</v>
      </c>
      <c r="C27" s="142" t="s">
        <v>1227</v>
      </c>
      <c r="D27" s="142" t="s">
        <v>101</v>
      </c>
      <c r="E27" s="143">
        <v>1897</v>
      </c>
      <c r="F27" s="143">
        <f t="shared" si="1"/>
        <v>18970</v>
      </c>
      <c r="G27" s="142" t="s">
        <v>8</v>
      </c>
      <c r="H27" s="142"/>
      <c r="I27" s="142"/>
      <c r="J27" s="142"/>
      <c r="K27" s="142"/>
    </row>
    <row r="28" spans="1:18" x14ac:dyDescent="0.25">
      <c r="A28" s="141">
        <v>46150</v>
      </c>
      <c r="B28" s="142">
        <v>7</v>
      </c>
      <c r="C28" s="142" t="s">
        <v>1227</v>
      </c>
      <c r="D28" s="142" t="s">
        <v>808</v>
      </c>
      <c r="E28" s="143">
        <v>1897</v>
      </c>
      <c r="F28" s="143">
        <f t="shared" si="1"/>
        <v>13279</v>
      </c>
      <c r="G28" s="142" t="s">
        <v>8</v>
      </c>
      <c r="H28" s="142"/>
      <c r="I28" s="142"/>
      <c r="J28" s="142"/>
      <c r="K28" s="142"/>
    </row>
    <row r="29" spans="1:18" x14ac:dyDescent="0.25">
      <c r="A29" s="141">
        <v>46150</v>
      </c>
      <c r="B29" s="142">
        <v>2</v>
      </c>
      <c r="C29" s="142" t="s">
        <v>664</v>
      </c>
      <c r="D29" s="142" t="s">
        <v>808</v>
      </c>
      <c r="E29" s="143">
        <v>394</v>
      </c>
      <c r="F29" s="143">
        <f t="shared" si="1"/>
        <v>788</v>
      </c>
      <c r="G29" s="142" t="s">
        <v>8</v>
      </c>
      <c r="H29" s="142"/>
      <c r="I29" s="142"/>
      <c r="J29" s="142"/>
      <c r="K29" s="142"/>
    </row>
    <row r="30" spans="1:18" x14ac:dyDescent="0.25">
      <c r="A30" s="118">
        <v>46153</v>
      </c>
      <c r="B30" s="119">
        <v>2</v>
      </c>
      <c r="C30" s="119" t="s">
        <v>1172</v>
      </c>
      <c r="D30" s="119" t="s">
        <v>1237</v>
      </c>
      <c r="E30" s="120">
        <v>1199</v>
      </c>
      <c r="F30" s="120">
        <f t="shared" si="1"/>
        <v>2398</v>
      </c>
      <c r="G30" s="119" t="s">
        <v>62</v>
      </c>
      <c r="H30" s="119"/>
      <c r="I30" s="126" t="s">
        <v>1245</v>
      </c>
      <c r="J30" s="119" t="s">
        <v>1205</v>
      </c>
      <c r="K30" s="119"/>
    </row>
    <row r="31" spans="1:18" x14ac:dyDescent="0.25">
      <c r="A31" s="118">
        <v>46153</v>
      </c>
      <c r="B31" s="119">
        <v>2</v>
      </c>
      <c r="C31" s="119" t="s">
        <v>1172</v>
      </c>
      <c r="D31" s="119" t="s">
        <v>1237</v>
      </c>
      <c r="E31" s="120">
        <v>1199</v>
      </c>
      <c r="F31" s="120">
        <f t="shared" si="1"/>
        <v>2398</v>
      </c>
      <c r="G31" s="119" t="s">
        <v>62</v>
      </c>
      <c r="H31" s="119"/>
      <c r="I31" s="126" t="s">
        <v>1246</v>
      </c>
      <c r="J31" s="119" t="s">
        <v>1205</v>
      </c>
      <c r="K31" s="119"/>
    </row>
    <row r="32" spans="1:18" x14ac:dyDescent="0.25">
      <c r="A32" s="118">
        <v>46153</v>
      </c>
      <c r="B32" s="119">
        <v>2</v>
      </c>
      <c r="C32" s="119" t="s">
        <v>1172</v>
      </c>
      <c r="D32" s="119" t="s">
        <v>1237</v>
      </c>
      <c r="E32" s="120">
        <v>1199</v>
      </c>
      <c r="F32" s="120">
        <f t="shared" si="1"/>
        <v>2398</v>
      </c>
      <c r="G32" s="119" t="s">
        <v>62</v>
      </c>
      <c r="H32" s="119"/>
      <c r="I32" s="126" t="s">
        <v>1247</v>
      </c>
      <c r="J32" s="119"/>
      <c r="K32" s="119"/>
    </row>
    <row r="33" spans="1:11" x14ac:dyDescent="0.25">
      <c r="A33" s="118">
        <v>46153</v>
      </c>
      <c r="B33" s="119">
        <v>2</v>
      </c>
      <c r="C33" s="119" t="s">
        <v>1172</v>
      </c>
      <c r="D33" s="119" t="s">
        <v>1237</v>
      </c>
      <c r="E33" s="120">
        <v>1199</v>
      </c>
      <c r="F33" s="120">
        <f t="shared" si="1"/>
        <v>2398</v>
      </c>
      <c r="G33" s="119" t="s">
        <v>62</v>
      </c>
      <c r="H33" s="119"/>
      <c r="I33" s="126" t="s">
        <v>1248</v>
      </c>
      <c r="J33" s="119"/>
      <c r="K33" s="119"/>
    </row>
    <row r="34" spans="1:11" x14ac:dyDescent="0.25">
      <c r="A34" s="118">
        <v>46153</v>
      </c>
      <c r="B34" s="119">
        <v>2</v>
      </c>
      <c r="C34" s="119" t="s">
        <v>1172</v>
      </c>
      <c r="D34" s="119" t="s">
        <v>1237</v>
      </c>
      <c r="E34" s="120">
        <v>1199</v>
      </c>
      <c r="F34" s="120">
        <f t="shared" si="1"/>
        <v>2398</v>
      </c>
      <c r="G34" s="119" t="s">
        <v>62</v>
      </c>
      <c r="H34" s="119"/>
      <c r="I34" s="126" t="s">
        <v>1249</v>
      </c>
      <c r="J34" s="119"/>
      <c r="K34" s="119"/>
    </row>
    <row r="35" spans="1:11" x14ac:dyDescent="0.25">
      <c r="A35" s="141">
        <v>46152</v>
      </c>
      <c r="B35" s="142"/>
      <c r="C35" s="142" t="s">
        <v>1251</v>
      </c>
      <c r="D35" s="142" t="s">
        <v>981</v>
      </c>
      <c r="E35" s="143">
        <v>400</v>
      </c>
      <c r="F35" s="143">
        <v>400</v>
      </c>
      <c r="G35" s="142"/>
      <c r="H35" s="142"/>
      <c r="I35" s="146" t="s">
        <v>85</v>
      </c>
      <c r="J35" s="142"/>
      <c r="K35" s="142"/>
    </row>
    <row r="36" spans="1:11" x14ac:dyDescent="0.25">
      <c r="A36" s="118">
        <v>46154</v>
      </c>
      <c r="B36" s="119">
        <v>2</v>
      </c>
      <c r="C36" s="119" t="s">
        <v>1172</v>
      </c>
      <c r="D36" s="119" t="s">
        <v>1237</v>
      </c>
      <c r="E36" s="120">
        <v>1199</v>
      </c>
      <c r="F36" s="120">
        <v>2398</v>
      </c>
      <c r="G36" s="119" t="s">
        <v>62</v>
      </c>
      <c r="H36" s="119"/>
      <c r="I36" s="127" t="s">
        <v>1256</v>
      </c>
      <c r="J36" s="119"/>
      <c r="K36" s="119"/>
    </row>
    <row r="37" spans="1:11" x14ac:dyDescent="0.25">
      <c r="A37" s="118">
        <v>46154</v>
      </c>
      <c r="B37" s="119">
        <v>2</v>
      </c>
      <c r="C37" s="119" t="s">
        <v>1172</v>
      </c>
      <c r="D37" s="119" t="s">
        <v>1237</v>
      </c>
      <c r="E37" s="120">
        <v>1199</v>
      </c>
      <c r="F37" s="120">
        <v>2398</v>
      </c>
      <c r="G37" s="119" t="s">
        <v>62</v>
      </c>
      <c r="H37" s="119"/>
      <c r="I37" s="127" t="s">
        <v>1257</v>
      </c>
      <c r="J37" s="119"/>
      <c r="K37" s="119"/>
    </row>
    <row r="38" spans="1:11" x14ac:dyDescent="0.25">
      <c r="A38" s="118">
        <v>46154</v>
      </c>
      <c r="B38" s="119">
        <v>2</v>
      </c>
      <c r="C38" s="119" t="s">
        <v>1172</v>
      </c>
      <c r="D38" s="119" t="s">
        <v>1237</v>
      </c>
      <c r="E38" s="120">
        <v>1199</v>
      </c>
      <c r="F38" s="120">
        <v>2398</v>
      </c>
      <c r="G38" s="119" t="s">
        <v>62</v>
      </c>
      <c r="H38" s="119"/>
      <c r="I38" s="127" t="s">
        <v>1258</v>
      </c>
      <c r="J38" s="119"/>
      <c r="K38" s="119"/>
    </row>
    <row r="39" spans="1:11" x14ac:dyDescent="0.25">
      <c r="A39" s="118">
        <v>46154</v>
      </c>
      <c r="B39" s="119">
        <v>2</v>
      </c>
      <c r="C39" s="119" t="s">
        <v>1172</v>
      </c>
      <c r="D39" s="119" t="s">
        <v>1237</v>
      </c>
      <c r="E39" s="120">
        <v>1199</v>
      </c>
      <c r="F39" s="120">
        <v>2398</v>
      </c>
      <c r="G39" s="119" t="s">
        <v>62</v>
      </c>
      <c r="H39" s="119"/>
      <c r="I39" s="127" t="s">
        <v>1259</v>
      </c>
      <c r="J39" s="119"/>
      <c r="K39" s="119"/>
    </row>
    <row r="40" spans="1:11" x14ac:dyDescent="0.25">
      <c r="A40" s="128">
        <v>46154</v>
      </c>
      <c r="B40" s="129">
        <v>2</v>
      </c>
      <c r="C40" s="129" t="s">
        <v>1172</v>
      </c>
      <c r="D40" s="129" t="s">
        <v>1237</v>
      </c>
      <c r="E40" s="130">
        <v>1199</v>
      </c>
      <c r="F40" s="130">
        <v>2398</v>
      </c>
      <c r="G40" s="129" t="s">
        <v>62</v>
      </c>
      <c r="H40" s="129"/>
      <c r="I40" s="127" t="s">
        <v>1260</v>
      </c>
      <c r="J40" s="129"/>
      <c r="K40" s="129"/>
    </row>
    <row r="41" spans="1:11" x14ac:dyDescent="0.25">
      <c r="A41" s="141">
        <v>46155</v>
      </c>
      <c r="B41" s="142">
        <v>4</v>
      </c>
      <c r="C41" s="142" t="s">
        <v>1172</v>
      </c>
      <c r="D41" s="142" t="s">
        <v>1262</v>
      </c>
      <c r="E41" s="143">
        <v>1199</v>
      </c>
      <c r="F41" s="143">
        <f>B41*E41</f>
        <v>4796</v>
      </c>
      <c r="G41" s="142" t="s">
        <v>8</v>
      </c>
      <c r="H41" s="142"/>
      <c r="I41" s="145">
        <v>1435395225</v>
      </c>
      <c r="J41" s="142"/>
      <c r="K41" s="142"/>
    </row>
    <row r="42" spans="1:11" x14ac:dyDescent="0.25">
      <c r="A42" s="141">
        <v>46155</v>
      </c>
      <c r="B42" s="142">
        <v>1</v>
      </c>
      <c r="C42" s="142" t="s">
        <v>1172</v>
      </c>
      <c r="D42" s="142" t="s">
        <v>1263</v>
      </c>
      <c r="E42" s="143">
        <v>1199</v>
      </c>
      <c r="F42" s="143">
        <f t="shared" ref="F42:F50" si="2">B42*E42</f>
        <v>1199</v>
      </c>
      <c r="G42" s="142" t="s">
        <v>8</v>
      </c>
      <c r="H42" s="142"/>
      <c r="I42" s="145">
        <v>1438250292</v>
      </c>
      <c r="J42" s="142"/>
      <c r="K42" s="142"/>
    </row>
    <row r="43" spans="1:11" x14ac:dyDescent="0.25">
      <c r="A43" s="141">
        <v>46155</v>
      </c>
      <c r="B43" s="142">
        <v>2</v>
      </c>
      <c r="C43" s="142" t="s">
        <v>1172</v>
      </c>
      <c r="D43" s="142" t="s">
        <v>1278</v>
      </c>
      <c r="E43" s="143">
        <v>1199</v>
      </c>
      <c r="F43" s="143">
        <f t="shared" si="2"/>
        <v>2398</v>
      </c>
      <c r="G43" s="142" t="s">
        <v>8</v>
      </c>
      <c r="H43" s="142"/>
      <c r="I43" s="142">
        <v>1438250325</v>
      </c>
      <c r="J43" s="142"/>
      <c r="K43" s="142"/>
    </row>
    <row r="44" spans="1:11" x14ac:dyDescent="0.25">
      <c r="A44" s="118">
        <v>46156</v>
      </c>
      <c r="B44" s="119">
        <v>2</v>
      </c>
      <c r="C44" s="119" t="s">
        <v>1172</v>
      </c>
      <c r="D44" s="119" t="s">
        <v>1237</v>
      </c>
      <c r="E44" s="120">
        <v>1199</v>
      </c>
      <c r="F44" s="120">
        <f t="shared" si="2"/>
        <v>2398</v>
      </c>
      <c r="G44" s="119" t="s">
        <v>62</v>
      </c>
      <c r="H44" s="119"/>
      <c r="I44" s="131" t="s">
        <v>1264</v>
      </c>
      <c r="J44" s="119"/>
      <c r="K44" s="119"/>
    </row>
    <row r="45" spans="1:11" x14ac:dyDescent="0.25">
      <c r="A45" s="118">
        <v>46156</v>
      </c>
      <c r="B45" s="119">
        <v>2</v>
      </c>
      <c r="C45" s="119" t="s">
        <v>1172</v>
      </c>
      <c r="D45" s="119" t="s">
        <v>1237</v>
      </c>
      <c r="E45" s="120">
        <v>1199</v>
      </c>
      <c r="F45" s="120">
        <f t="shared" si="2"/>
        <v>2398</v>
      </c>
      <c r="G45" s="119" t="s">
        <v>62</v>
      </c>
      <c r="H45" s="119"/>
      <c r="I45" s="132" t="s">
        <v>1265</v>
      </c>
      <c r="J45" s="119"/>
      <c r="K45" s="119"/>
    </row>
    <row r="46" spans="1:11" x14ac:dyDescent="0.25">
      <c r="A46" s="118">
        <v>46156</v>
      </c>
      <c r="B46" s="119">
        <v>2</v>
      </c>
      <c r="C46" s="119" t="s">
        <v>1172</v>
      </c>
      <c r="D46" s="119" t="s">
        <v>1237</v>
      </c>
      <c r="E46" s="120">
        <v>1199</v>
      </c>
      <c r="F46" s="120">
        <f t="shared" si="2"/>
        <v>2398</v>
      </c>
      <c r="G46" s="119" t="s">
        <v>62</v>
      </c>
      <c r="H46" s="119"/>
      <c r="I46" s="132" t="s">
        <v>1266</v>
      </c>
      <c r="J46" s="119"/>
      <c r="K46" s="119"/>
    </row>
    <row r="47" spans="1:11" x14ac:dyDescent="0.25">
      <c r="A47" s="118">
        <v>46156</v>
      </c>
      <c r="B47" s="119">
        <v>2</v>
      </c>
      <c r="C47" s="119" t="s">
        <v>1172</v>
      </c>
      <c r="D47" s="119" t="s">
        <v>1237</v>
      </c>
      <c r="E47" s="120">
        <v>1199</v>
      </c>
      <c r="F47" s="120">
        <f t="shared" si="2"/>
        <v>2398</v>
      </c>
      <c r="G47" s="119" t="s">
        <v>62</v>
      </c>
      <c r="H47" s="119"/>
      <c r="I47" s="132" t="s">
        <v>1267</v>
      </c>
      <c r="J47" s="119"/>
      <c r="K47" s="119"/>
    </row>
    <row r="48" spans="1:11" x14ac:dyDescent="0.25">
      <c r="A48" s="118">
        <v>46156</v>
      </c>
      <c r="B48" s="119">
        <v>2</v>
      </c>
      <c r="C48" s="119" t="s">
        <v>1172</v>
      </c>
      <c r="D48" s="119" t="s">
        <v>1237</v>
      </c>
      <c r="E48" s="120">
        <v>1199</v>
      </c>
      <c r="F48" s="120">
        <f t="shared" si="2"/>
        <v>2398</v>
      </c>
      <c r="G48" s="119" t="s">
        <v>62</v>
      </c>
      <c r="H48" s="119"/>
      <c r="I48" s="132" t="s">
        <v>1268</v>
      </c>
      <c r="J48" s="119"/>
      <c r="K48" s="119"/>
    </row>
    <row r="49" spans="1:16" x14ac:dyDescent="0.25">
      <c r="A49" s="141">
        <v>46156</v>
      </c>
      <c r="B49" s="142">
        <v>4</v>
      </c>
      <c r="C49" s="142" t="s">
        <v>1271</v>
      </c>
      <c r="D49" s="142" t="s">
        <v>1274</v>
      </c>
      <c r="E49" s="143">
        <v>2199</v>
      </c>
      <c r="F49" s="143">
        <f t="shared" si="2"/>
        <v>8796</v>
      </c>
      <c r="G49" s="142" t="s">
        <v>8</v>
      </c>
      <c r="H49" s="142" t="s">
        <v>857</v>
      </c>
      <c r="I49" s="142" t="s">
        <v>1272</v>
      </c>
      <c r="J49" s="142" t="s">
        <v>115</v>
      </c>
      <c r="K49" s="142"/>
    </row>
    <row r="50" spans="1:16" x14ac:dyDescent="0.25">
      <c r="A50" s="118">
        <v>46156</v>
      </c>
      <c r="B50" s="119">
        <v>4</v>
      </c>
      <c r="C50" s="119" t="s">
        <v>1172</v>
      </c>
      <c r="D50" s="119" t="s">
        <v>1273</v>
      </c>
      <c r="E50" s="120">
        <v>1199</v>
      </c>
      <c r="F50" s="120">
        <f t="shared" si="2"/>
        <v>4796</v>
      </c>
      <c r="G50" s="119" t="s">
        <v>47</v>
      </c>
      <c r="H50" s="119" t="s">
        <v>857</v>
      </c>
      <c r="I50" s="119" t="s">
        <v>1272</v>
      </c>
      <c r="J50" s="119"/>
      <c r="K50" s="119"/>
    </row>
    <row r="51" spans="1:16" x14ac:dyDescent="0.25">
      <c r="A51" s="141">
        <v>46156</v>
      </c>
      <c r="B51" s="142">
        <v>2</v>
      </c>
      <c r="C51" s="142" t="s">
        <v>1172</v>
      </c>
      <c r="D51" s="142" t="s">
        <v>1298</v>
      </c>
      <c r="E51" s="143">
        <v>1199</v>
      </c>
      <c r="F51" s="143">
        <v>2400</v>
      </c>
      <c r="G51" s="142" t="s">
        <v>1280</v>
      </c>
      <c r="H51" s="142"/>
      <c r="I51" s="142" t="s">
        <v>1175</v>
      </c>
      <c r="J51" s="142"/>
      <c r="K51" s="142"/>
    </row>
    <row r="52" spans="1:16" x14ac:dyDescent="0.25">
      <c r="A52" s="141">
        <v>46157</v>
      </c>
      <c r="B52" s="142">
        <v>2</v>
      </c>
      <c r="C52" s="142" t="s">
        <v>1172</v>
      </c>
      <c r="D52" s="142" t="s">
        <v>1298</v>
      </c>
      <c r="E52" s="143">
        <v>1199</v>
      </c>
      <c r="F52" s="143">
        <v>7200</v>
      </c>
      <c r="G52" s="142" t="s">
        <v>1280</v>
      </c>
      <c r="H52" s="142"/>
      <c r="I52" s="142" t="s">
        <v>1175</v>
      </c>
      <c r="J52" s="142"/>
      <c r="K52" s="142"/>
    </row>
    <row r="53" spans="1:16" x14ac:dyDescent="0.25">
      <c r="A53" s="141">
        <v>46157</v>
      </c>
      <c r="B53" s="142">
        <v>1</v>
      </c>
      <c r="C53" s="142" t="s">
        <v>1241</v>
      </c>
      <c r="D53" s="142" t="s">
        <v>1277</v>
      </c>
      <c r="E53" s="143">
        <v>8926.7000000000007</v>
      </c>
      <c r="F53" s="143">
        <v>8926.7000000000007</v>
      </c>
      <c r="G53" s="142" t="s">
        <v>622</v>
      </c>
      <c r="H53" s="142"/>
      <c r="I53" s="142" t="s">
        <v>85</v>
      </c>
      <c r="J53" s="142"/>
      <c r="K53" s="142"/>
    </row>
    <row r="54" spans="1:16" x14ac:dyDescent="0.25">
      <c r="A54" s="141">
        <v>46159</v>
      </c>
      <c r="B54" s="142">
        <v>1</v>
      </c>
      <c r="C54" s="142" t="s">
        <v>1172</v>
      </c>
      <c r="D54" s="142" t="s">
        <v>1278</v>
      </c>
      <c r="E54" s="143">
        <v>1199</v>
      </c>
      <c r="F54" s="143">
        <f>B54*E54</f>
        <v>1199</v>
      </c>
      <c r="G54" s="142" t="s">
        <v>8</v>
      </c>
      <c r="H54" s="142"/>
      <c r="I54" s="142"/>
      <c r="J54" s="142"/>
      <c r="K54" s="142"/>
    </row>
    <row r="55" spans="1:16" x14ac:dyDescent="0.25">
      <c r="A55" s="141">
        <v>46159</v>
      </c>
      <c r="B55" s="142">
        <v>2</v>
      </c>
      <c r="C55" s="142" t="s">
        <v>1172</v>
      </c>
      <c r="D55" s="142" t="s">
        <v>1279</v>
      </c>
      <c r="E55" s="143">
        <v>1199</v>
      </c>
      <c r="F55" s="143">
        <f t="shared" ref="F55:F75" si="3">B55*E55</f>
        <v>2398</v>
      </c>
      <c r="G55" s="142" t="s">
        <v>8</v>
      </c>
      <c r="H55" s="142"/>
      <c r="I55" s="142"/>
      <c r="J55" s="142"/>
      <c r="K55" s="142"/>
      <c r="P55">
        <v>17</v>
      </c>
    </row>
    <row r="56" spans="1:16" x14ac:dyDescent="0.25">
      <c r="A56" s="141">
        <v>46159</v>
      </c>
      <c r="B56" s="142">
        <v>1</v>
      </c>
      <c r="C56" s="142" t="s">
        <v>1172</v>
      </c>
      <c r="D56" s="142" t="s">
        <v>1262</v>
      </c>
      <c r="E56" s="143">
        <v>1199</v>
      </c>
      <c r="F56" s="143">
        <f t="shared" si="3"/>
        <v>1199</v>
      </c>
      <c r="G56" s="142" t="s">
        <v>8</v>
      </c>
      <c r="H56" s="142"/>
      <c r="I56" s="142"/>
      <c r="J56" s="142"/>
      <c r="K56" s="142"/>
      <c r="P56">
        <v>11</v>
      </c>
    </row>
    <row r="57" spans="1:16" x14ac:dyDescent="0.25">
      <c r="A57" s="141">
        <v>46160</v>
      </c>
      <c r="B57" s="142">
        <v>7</v>
      </c>
      <c r="C57" s="142" t="s">
        <v>1172</v>
      </c>
      <c r="D57" s="142" t="s">
        <v>1298</v>
      </c>
      <c r="E57" s="143">
        <v>1200</v>
      </c>
      <c r="F57" s="143">
        <f t="shared" si="3"/>
        <v>8400</v>
      </c>
      <c r="G57" s="142" t="s">
        <v>1280</v>
      </c>
      <c r="H57" s="142"/>
      <c r="I57" s="142" t="s">
        <v>1175</v>
      </c>
      <c r="J57" s="142"/>
      <c r="K57" s="142"/>
      <c r="P57">
        <v>23</v>
      </c>
    </row>
    <row r="58" spans="1:16" x14ac:dyDescent="0.25">
      <c r="A58" s="118">
        <v>46160</v>
      </c>
      <c r="B58" s="119">
        <v>4</v>
      </c>
      <c r="C58" s="119" t="s">
        <v>1172</v>
      </c>
      <c r="D58" s="119" t="s">
        <v>1273</v>
      </c>
      <c r="E58" s="120">
        <v>1199</v>
      </c>
      <c r="F58" s="120">
        <f t="shared" si="3"/>
        <v>4796</v>
      </c>
      <c r="G58" s="119" t="s">
        <v>47</v>
      </c>
      <c r="H58" s="119" t="s">
        <v>857</v>
      </c>
      <c r="I58" s="119" t="s">
        <v>1272</v>
      </c>
      <c r="J58" s="119"/>
      <c r="K58" s="119"/>
    </row>
    <row r="59" spans="1:16" x14ac:dyDescent="0.25">
      <c r="A59" s="118">
        <v>46160</v>
      </c>
      <c r="B59" s="119">
        <v>2</v>
      </c>
      <c r="C59" s="119" t="s">
        <v>1172</v>
      </c>
      <c r="D59" s="119" t="s">
        <v>1281</v>
      </c>
      <c r="E59" s="120">
        <v>1199</v>
      </c>
      <c r="F59" s="120">
        <f t="shared" si="3"/>
        <v>2398</v>
      </c>
      <c r="G59" s="119" t="s">
        <v>47</v>
      </c>
      <c r="H59" s="119" t="s">
        <v>857</v>
      </c>
      <c r="I59" s="119" t="s">
        <v>1272</v>
      </c>
      <c r="J59" s="119"/>
      <c r="K59" s="119"/>
    </row>
    <row r="60" spans="1:16" x14ac:dyDescent="0.25">
      <c r="A60" s="128">
        <v>46161</v>
      </c>
      <c r="B60" s="129">
        <v>2</v>
      </c>
      <c r="C60" s="129" t="s">
        <v>1172</v>
      </c>
      <c r="D60" s="129" t="s">
        <v>1237</v>
      </c>
      <c r="E60" s="130">
        <v>1199</v>
      </c>
      <c r="F60" s="130">
        <f t="shared" si="3"/>
        <v>2398</v>
      </c>
      <c r="G60" s="129" t="s">
        <v>62</v>
      </c>
      <c r="H60" s="129"/>
      <c r="I60" s="133" t="s">
        <v>1282</v>
      </c>
      <c r="J60" s="129"/>
      <c r="K60" s="129"/>
    </row>
    <row r="61" spans="1:16" x14ac:dyDescent="0.25">
      <c r="A61" s="118">
        <v>46161</v>
      </c>
      <c r="B61" s="119">
        <v>2</v>
      </c>
      <c r="C61" s="119" t="s">
        <v>1172</v>
      </c>
      <c r="D61" s="119" t="s">
        <v>1237</v>
      </c>
      <c r="E61" s="120">
        <v>1199</v>
      </c>
      <c r="F61" s="120">
        <f t="shared" si="3"/>
        <v>2398</v>
      </c>
      <c r="G61" s="119" t="s">
        <v>62</v>
      </c>
      <c r="H61" s="119"/>
      <c r="I61" s="134" t="s">
        <v>1283</v>
      </c>
      <c r="J61" s="119"/>
      <c r="K61" s="119"/>
    </row>
    <row r="62" spans="1:16" x14ac:dyDescent="0.25">
      <c r="A62" s="118">
        <v>46161</v>
      </c>
      <c r="B62" s="119">
        <v>2</v>
      </c>
      <c r="C62" s="119" t="s">
        <v>1172</v>
      </c>
      <c r="D62" s="119" t="s">
        <v>1237</v>
      </c>
      <c r="E62" s="120">
        <v>1199</v>
      </c>
      <c r="F62" s="120">
        <f t="shared" si="3"/>
        <v>2398</v>
      </c>
      <c r="G62" s="119" t="s">
        <v>62</v>
      </c>
      <c r="H62" s="119"/>
      <c r="I62" s="134" t="s">
        <v>1284</v>
      </c>
      <c r="J62" s="119"/>
      <c r="K62" s="119"/>
    </row>
    <row r="63" spans="1:16" x14ac:dyDescent="0.25">
      <c r="A63" s="141">
        <v>46161</v>
      </c>
      <c r="B63" s="142">
        <v>2</v>
      </c>
      <c r="C63" s="142" t="s">
        <v>1172</v>
      </c>
      <c r="D63" s="142" t="s">
        <v>1281</v>
      </c>
      <c r="E63" s="143">
        <v>1199</v>
      </c>
      <c r="F63" s="143">
        <f t="shared" si="3"/>
        <v>2398</v>
      </c>
      <c r="G63" s="142" t="s">
        <v>348</v>
      </c>
      <c r="H63" s="142"/>
      <c r="I63" s="145">
        <v>1438692841</v>
      </c>
      <c r="J63" s="142"/>
      <c r="K63" s="142"/>
    </row>
    <row r="64" spans="1:16" x14ac:dyDescent="0.25">
      <c r="A64" s="141">
        <v>46161</v>
      </c>
      <c r="B64" s="142">
        <v>2</v>
      </c>
      <c r="C64" s="142" t="s">
        <v>1172</v>
      </c>
      <c r="D64" s="142" t="s">
        <v>1281</v>
      </c>
      <c r="E64" s="143">
        <v>1199</v>
      </c>
      <c r="F64" s="143">
        <f t="shared" si="3"/>
        <v>2398</v>
      </c>
      <c r="G64" s="142" t="s">
        <v>348</v>
      </c>
      <c r="H64" s="142"/>
      <c r="I64" s="145" t="s">
        <v>1285</v>
      </c>
      <c r="J64" s="142"/>
      <c r="K64" s="142"/>
    </row>
    <row r="65" spans="1:11" x14ac:dyDescent="0.25">
      <c r="A65" s="141">
        <v>46161</v>
      </c>
      <c r="B65" s="142">
        <v>2</v>
      </c>
      <c r="C65" s="142" t="s">
        <v>1172</v>
      </c>
      <c r="D65" s="142" t="s">
        <v>1281</v>
      </c>
      <c r="E65" s="143">
        <v>1199</v>
      </c>
      <c r="F65" s="143">
        <f t="shared" si="3"/>
        <v>2398</v>
      </c>
      <c r="G65" s="142" t="s">
        <v>348</v>
      </c>
      <c r="H65" s="142"/>
      <c r="I65" s="145">
        <v>1441008586</v>
      </c>
      <c r="J65" s="142"/>
      <c r="K65" s="142"/>
    </row>
    <row r="66" spans="1:11" x14ac:dyDescent="0.25">
      <c r="A66" s="141">
        <v>46162</v>
      </c>
      <c r="B66" s="142">
        <v>5</v>
      </c>
      <c r="C66" s="142" t="s">
        <v>1172</v>
      </c>
      <c r="D66" s="142" t="s">
        <v>1230</v>
      </c>
      <c r="E66" s="143">
        <v>1199</v>
      </c>
      <c r="F66" s="143">
        <f t="shared" si="3"/>
        <v>5995</v>
      </c>
      <c r="G66" s="142" t="s">
        <v>8</v>
      </c>
      <c r="H66" s="142"/>
      <c r="I66" s="145"/>
      <c r="J66" s="142"/>
      <c r="K66" s="142"/>
    </row>
    <row r="67" spans="1:11" x14ac:dyDescent="0.25">
      <c r="A67" s="141">
        <v>46162</v>
      </c>
      <c r="B67" s="142">
        <v>3</v>
      </c>
      <c r="C67" s="142" t="s">
        <v>1227</v>
      </c>
      <c r="D67" s="142" t="s">
        <v>688</v>
      </c>
      <c r="E67" s="143">
        <v>1897</v>
      </c>
      <c r="F67" s="143">
        <f t="shared" si="3"/>
        <v>5691</v>
      </c>
      <c r="G67" s="142" t="s">
        <v>8</v>
      </c>
      <c r="H67" s="142"/>
      <c r="I67" s="145"/>
      <c r="J67" s="142"/>
      <c r="K67" s="142"/>
    </row>
    <row r="68" spans="1:11" x14ac:dyDescent="0.25">
      <c r="A68" s="141">
        <v>46162</v>
      </c>
      <c r="B68" s="142">
        <v>3</v>
      </c>
      <c r="C68" s="142" t="s">
        <v>1292</v>
      </c>
      <c r="D68" s="142" t="s">
        <v>688</v>
      </c>
      <c r="E68" s="143">
        <v>105</v>
      </c>
      <c r="F68" s="143">
        <f t="shared" si="3"/>
        <v>315</v>
      </c>
      <c r="G68" s="142" t="s">
        <v>8</v>
      </c>
      <c r="H68" s="142"/>
      <c r="I68" s="145"/>
      <c r="J68" s="142"/>
      <c r="K68" s="142"/>
    </row>
    <row r="69" spans="1:11" x14ac:dyDescent="0.25">
      <c r="A69" s="141">
        <v>46162</v>
      </c>
      <c r="B69" s="142">
        <v>3</v>
      </c>
      <c r="C69" s="142" t="s">
        <v>1227</v>
      </c>
      <c r="D69" s="142" t="s">
        <v>688</v>
      </c>
      <c r="E69" s="143">
        <v>1897</v>
      </c>
      <c r="F69" s="143">
        <f t="shared" si="3"/>
        <v>5691</v>
      </c>
      <c r="G69" s="142" t="s">
        <v>1297</v>
      </c>
      <c r="H69" s="142"/>
      <c r="I69" s="145" t="s">
        <v>7</v>
      </c>
      <c r="J69" s="142"/>
      <c r="K69" s="142"/>
    </row>
    <row r="70" spans="1:11" x14ac:dyDescent="0.25">
      <c r="A70" s="141">
        <v>46162</v>
      </c>
      <c r="B70" s="142">
        <v>2</v>
      </c>
      <c r="C70" s="142" t="s">
        <v>1227</v>
      </c>
      <c r="D70" s="142" t="s">
        <v>688</v>
      </c>
      <c r="E70" s="143">
        <v>1897</v>
      </c>
      <c r="F70" s="143">
        <f t="shared" si="3"/>
        <v>3794</v>
      </c>
      <c r="G70" s="142" t="s">
        <v>1297</v>
      </c>
      <c r="H70" s="142"/>
      <c r="I70" s="145" t="s">
        <v>1293</v>
      </c>
      <c r="J70" s="142"/>
      <c r="K70" s="142"/>
    </row>
    <row r="71" spans="1:11" x14ac:dyDescent="0.25">
      <c r="A71" s="118">
        <v>46162</v>
      </c>
      <c r="B71" s="119">
        <v>3</v>
      </c>
      <c r="C71" s="119" t="s">
        <v>1294</v>
      </c>
      <c r="D71" s="119" t="s">
        <v>688</v>
      </c>
      <c r="E71" s="120">
        <v>549</v>
      </c>
      <c r="F71" s="120">
        <f t="shared" si="3"/>
        <v>1647</v>
      </c>
      <c r="G71" s="119" t="s">
        <v>24</v>
      </c>
      <c r="H71" s="119"/>
      <c r="I71" s="135" t="s">
        <v>808</v>
      </c>
      <c r="J71" s="119"/>
      <c r="K71" s="119"/>
    </row>
    <row r="72" spans="1:11" x14ac:dyDescent="0.25">
      <c r="A72" s="118">
        <v>46162</v>
      </c>
      <c r="B72" s="119">
        <v>1</v>
      </c>
      <c r="C72" s="119" t="s">
        <v>1294</v>
      </c>
      <c r="D72" s="119" t="s">
        <v>688</v>
      </c>
      <c r="E72" s="120">
        <v>549</v>
      </c>
      <c r="F72" s="120">
        <f t="shared" si="3"/>
        <v>549</v>
      </c>
      <c r="G72" s="119" t="s">
        <v>24</v>
      </c>
      <c r="H72" s="119"/>
      <c r="I72" s="135" t="s">
        <v>491</v>
      </c>
      <c r="J72" s="119"/>
      <c r="K72" s="119"/>
    </row>
    <row r="73" spans="1:11" x14ac:dyDescent="0.25">
      <c r="A73" s="141">
        <v>46162</v>
      </c>
      <c r="B73" s="142">
        <v>2</v>
      </c>
      <c r="C73" s="142" t="s">
        <v>1227</v>
      </c>
      <c r="D73" s="142" t="s">
        <v>364</v>
      </c>
      <c r="E73" s="143">
        <v>1897</v>
      </c>
      <c r="F73" s="143">
        <f t="shared" si="3"/>
        <v>3794</v>
      </c>
      <c r="G73" s="142" t="s">
        <v>8</v>
      </c>
      <c r="H73" s="142"/>
      <c r="I73" s="145"/>
      <c r="J73" s="142"/>
      <c r="K73" s="142"/>
    </row>
    <row r="74" spans="1:11" x14ac:dyDescent="0.25">
      <c r="A74" s="141">
        <v>46162</v>
      </c>
      <c r="B74" s="142">
        <v>19</v>
      </c>
      <c r="C74" s="142" t="s">
        <v>1292</v>
      </c>
      <c r="D74" s="142" t="s">
        <v>364</v>
      </c>
      <c r="E74" s="143">
        <v>105</v>
      </c>
      <c r="F74" s="143">
        <f t="shared" si="3"/>
        <v>1995</v>
      </c>
      <c r="G74" s="142" t="s">
        <v>8</v>
      </c>
      <c r="H74" s="142"/>
      <c r="I74" s="145"/>
      <c r="J74" s="142"/>
      <c r="K74" s="142"/>
    </row>
    <row r="75" spans="1:11" x14ac:dyDescent="0.25">
      <c r="A75" s="141">
        <v>46162</v>
      </c>
      <c r="B75" s="142">
        <v>2</v>
      </c>
      <c r="C75" s="142" t="s">
        <v>406</v>
      </c>
      <c r="D75" s="142" t="s">
        <v>364</v>
      </c>
      <c r="E75" s="143">
        <v>1298</v>
      </c>
      <c r="F75" s="143">
        <f t="shared" si="3"/>
        <v>2596</v>
      </c>
      <c r="G75" s="142" t="s">
        <v>8</v>
      </c>
      <c r="H75" s="142"/>
      <c r="I75" s="145"/>
      <c r="J75" s="142"/>
      <c r="K75" s="142"/>
    </row>
    <row r="76" spans="1:11" x14ac:dyDescent="0.25">
      <c r="A76" s="141">
        <v>46163</v>
      </c>
      <c r="B76" s="142"/>
      <c r="C76" s="142" t="s">
        <v>1286</v>
      </c>
      <c r="D76" s="142" t="s">
        <v>1296</v>
      </c>
      <c r="E76" s="143"/>
      <c r="F76" s="143">
        <v>457</v>
      </c>
      <c r="G76" s="142"/>
      <c r="H76" s="142" t="s">
        <v>85</v>
      </c>
      <c r="I76" s="142"/>
      <c r="J76" s="142"/>
      <c r="K76" s="142"/>
    </row>
    <row r="77" spans="1:11" x14ac:dyDescent="0.25">
      <c r="A77" s="118">
        <v>46163</v>
      </c>
      <c r="B77" s="119">
        <v>2</v>
      </c>
      <c r="C77" s="119" t="s">
        <v>1172</v>
      </c>
      <c r="D77" s="119" t="s">
        <v>1281</v>
      </c>
      <c r="E77" s="120">
        <v>1199</v>
      </c>
      <c r="F77" s="120">
        <f t="shared" ref="F77:F87" si="4">B77*E77</f>
        <v>2398</v>
      </c>
      <c r="G77" s="119" t="s">
        <v>62</v>
      </c>
      <c r="H77" s="119"/>
      <c r="I77" s="136" t="s">
        <v>1287</v>
      </c>
      <c r="J77" s="119"/>
      <c r="K77" s="119"/>
    </row>
    <row r="78" spans="1:11" x14ac:dyDescent="0.25">
      <c r="A78" s="118">
        <v>46163</v>
      </c>
      <c r="B78" s="119">
        <v>2</v>
      </c>
      <c r="C78" s="119" t="s">
        <v>1172</v>
      </c>
      <c r="D78" s="119" t="s">
        <v>1281</v>
      </c>
      <c r="E78" s="120">
        <v>1199</v>
      </c>
      <c r="F78" s="120">
        <f t="shared" si="4"/>
        <v>2398</v>
      </c>
      <c r="G78" s="119" t="s">
        <v>62</v>
      </c>
      <c r="H78" s="119"/>
      <c r="I78" s="136">
        <v>1442067221</v>
      </c>
      <c r="J78" s="119"/>
      <c r="K78" s="119"/>
    </row>
    <row r="79" spans="1:11" x14ac:dyDescent="0.25">
      <c r="A79" s="118">
        <v>46163</v>
      </c>
      <c r="B79" s="119">
        <v>2</v>
      </c>
      <c r="C79" s="119" t="s">
        <v>1172</v>
      </c>
      <c r="D79" s="119" t="s">
        <v>1281</v>
      </c>
      <c r="E79" s="120">
        <v>1199</v>
      </c>
      <c r="F79" s="120">
        <f t="shared" si="4"/>
        <v>2398</v>
      </c>
      <c r="G79" s="119" t="s">
        <v>62</v>
      </c>
      <c r="H79" s="119"/>
      <c r="I79" s="136" t="s">
        <v>1288</v>
      </c>
      <c r="J79" s="119"/>
      <c r="K79" s="119"/>
    </row>
    <row r="80" spans="1:11" x14ac:dyDescent="0.25">
      <c r="A80" s="118">
        <v>46163</v>
      </c>
      <c r="B80" s="129">
        <v>2</v>
      </c>
      <c r="C80" s="129" t="s">
        <v>1172</v>
      </c>
      <c r="D80" s="129" t="s">
        <v>1237</v>
      </c>
      <c r="E80" s="130">
        <v>1199</v>
      </c>
      <c r="F80" s="130">
        <f t="shared" si="4"/>
        <v>2398</v>
      </c>
      <c r="G80" s="129" t="s">
        <v>62</v>
      </c>
      <c r="H80" s="119"/>
      <c r="I80" s="133" t="s">
        <v>1289</v>
      </c>
      <c r="J80" s="119"/>
      <c r="K80" s="119"/>
    </row>
    <row r="81" spans="1:11" x14ac:dyDescent="0.25">
      <c r="A81" s="118">
        <v>46163</v>
      </c>
      <c r="B81" s="119">
        <v>2</v>
      </c>
      <c r="C81" s="119" t="s">
        <v>1172</v>
      </c>
      <c r="D81" s="119" t="s">
        <v>1237</v>
      </c>
      <c r="E81" s="120">
        <v>1199</v>
      </c>
      <c r="F81" s="120">
        <f t="shared" si="4"/>
        <v>2398</v>
      </c>
      <c r="G81" s="119" t="s">
        <v>62</v>
      </c>
      <c r="H81" s="119"/>
      <c r="I81" s="133" t="s">
        <v>1290</v>
      </c>
      <c r="J81" s="119"/>
      <c r="K81" s="119"/>
    </row>
    <row r="82" spans="1:11" x14ac:dyDescent="0.25">
      <c r="A82" s="118">
        <v>46163</v>
      </c>
      <c r="B82" s="119">
        <v>2</v>
      </c>
      <c r="C82" s="119" t="s">
        <v>1172</v>
      </c>
      <c r="D82" s="119" t="s">
        <v>1237</v>
      </c>
      <c r="E82" s="120">
        <v>1199</v>
      </c>
      <c r="F82" s="120">
        <f t="shared" si="4"/>
        <v>2398</v>
      </c>
      <c r="G82" s="119" t="s">
        <v>62</v>
      </c>
      <c r="H82" s="119"/>
      <c r="I82" s="133" t="s">
        <v>1291</v>
      </c>
      <c r="J82" s="119"/>
      <c r="K82" s="119"/>
    </row>
    <row r="83" spans="1:11" x14ac:dyDescent="0.25">
      <c r="A83" s="141">
        <v>46165</v>
      </c>
      <c r="B83" s="142">
        <v>4</v>
      </c>
      <c r="C83" s="142" t="s">
        <v>1172</v>
      </c>
      <c r="D83" s="142" t="s">
        <v>1298</v>
      </c>
      <c r="E83" s="143">
        <v>1199</v>
      </c>
      <c r="F83" s="143">
        <f t="shared" si="4"/>
        <v>4796</v>
      </c>
      <c r="G83" s="142" t="s">
        <v>1280</v>
      </c>
      <c r="H83" s="142"/>
      <c r="I83" s="142" t="s">
        <v>1175</v>
      </c>
      <c r="J83" s="142"/>
      <c r="K83" s="142"/>
    </row>
    <row r="84" spans="1:11" x14ac:dyDescent="0.25">
      <c r="A84" s="141">
        <v>46165</v>
      </c>
      <c r="B84" s="142">
        <v>4</v>
      </c>
      <c r="C84" s="142" t="s">
        <v>1227</v>
      </c>
      <c r="D84" s="142" t="s">
        <v>7</v>
      </c>
      <c r="E84" s="143">
        <v>1897</v>
      </c>
      <c r="F84" s="143">
        <f t="shared" si="4"/>
        <v>7588</v>
      </c>
      <c r="G84" s="142" t="s">
        <v>8</v>
      </c>
      <c r="H84" s="142"/>
      <c r="I84" s="142"/>
      <c r="J84" s="142"/>
      <c r="K84" s="142"/>
    </row>
    <row r="85" spans="1:11" x14ac:dyDescent="0.25">
      <c r="A85" s="141">
        <v>46166</v>
      </c>
      <c r="B85" s="142">
        <v>6</v>
      </c>
      <c r="C85" s="142" t="s">
        <v>1227</v>
      </c>
      <c r="D85" s="142" t="s">
        <v>491</v>
      </c>
      <c r="E85" s="143">
        <v>1897</v>
      </c>
      <c r="F85" s="143">
        <f t="shared" si="4"/>
        <v>11382</v>
      </c>
      <c r="G85" s="142" t="s">
        <v>8</v>
      </c>
      <c r="H85" s="142"/>
      <c r="I85" s="142"/>
      <c r="J85" s="142"/>
      <c r="K85" s="142"/>
    </row>
    <row r="86" spans="1:11" x14ac:dyDescent="0.25">
      <c r="A86" s="141">
        <v>46166</v>
      </c>
      <c r="B86" s="142">
        <v>4</v>
      </c>
      <c r="C86" s="142" t="s">
        <v>1227</v>
      </c>
      <c r="D86" s="142" t="s">
        <v>491</v>
      </c>
      <c r="E86" s="143">
        <v>1897</v>
      </c>
      <c r="F86" s="143">
        <f t="shared" si="4"/>
        <v>7588</v>
      </c>
      <c r="G86" s="142" t="s">
        <v>8</v>
      </c>
      <c r="H86" s="142"/>
      <c r="I86" s="142"/>
      <c r="J86" s="142"/>
      <c r="K86" s="142"/>
    </row>
    <row r="87" spans="1:11" x14ac:dyDescent="0.25">
      <c r="A87" s="141">
        <v>46166</v>
      </c>
      <c r="B87" s="142">
        <v>4</v>
      </c>
      <c r="C87" s="142" t="s">
        <v>1227</v>
      </c>
      <c r="D87" s="142" t="s">
        <v>491</v>
      </c>
      <c r="E87" s="143">
        <v>1897</v>
      </c>
      <c r="F87" s="143">
        <f t="shared" si="4"/>
        <v>7588</v>
      </c>
      <c r="G87" s="142" t="s">
        <v>8</v>
      </c>
      <c r="H87" s="142"/>
      <c r="I87" s="142"/>
      <c r="J87" s="142"/>
      <c r="K87" s="142"/>
    </row>
    <row r="88" spans="1:11" x14ac:dyDescent="0.25">
      <c r="A88" s="118">
        <v>46167</v>
      </c>
      <c r="B88" s="119">
        <v>2</v>
      </c>
      <c r="C88" s="119" t="s">
        <v>1172</v>
      </c>
      <c r="D88" s="119" t="s">
        <v>1281</v>
      </c>
      <c r="E88" s="120">
        <v>1199</v>
      </c>
      <c r="F88" s="120">
        <f t="shared" ref="F88:F122" si="5">B88*E88</f>
        <v>2398</v>
      </c>
      <c r="G88" s="119" t="s">
        <v>62</v>
      </c>
      <c r="H88" s="119"/>
      <c r="I88" s="136">
        <v>1442067388</v>
      </c>
      <c r="J88" s="119"/>
      <c r="K88" s="119"/>
    </row>
    <row r="89" spans="1:11" x14ac:dyDescent="0.25">
      <c r="A89" s="118">
        <v>46167</v>
      </c>
      <c r="B89" s="119">
        <v>2</v>
      </c>
      <c r="C89" s="119" t="s">
        <v>1172</v>
      </c>
      <c r="D89" s="119" t="s">
        <v>1281</v>
      </c>
      <c r="E89" s="120">
        <v>1199</v>
      </c>
      <c r="F89" s="120">
        <f t="shared" si="5"/>
        <v>2398</v>
      </c>
      <c r="G89" s="119" t="s">
        <v>62</v>
      </c>
      <c r="H89" s="119"/>
      <c r="I89" s="136">
        <v>1443889633</v>
      </c>
      <c r="J89" s="119"/>
      <c r="K89" s="119"/>
    </row>
    <row r="90" spans="1:11" x14ac:dyDescent="0.25">
      <c r="A90" s="118">
        <v>46167</v>
      </c>
      <c r="B90" s="119">
        <v>2</v>
      </c>
      <c r="C90" s="119" t="s">
        <v>1172</v>
      </c>
      <c r="D90" s="119" t="s">
        <v>1281</v>
      </c>
      <c r="E90" s="120">
        <v>1199</v>
      </c>
      <c r="F90" s="120">
        <f t="shared" si="5"/>
        <v>2398</v>
      </c>
      <c r="G90" s="119" t="s">
        <v>62</v>
      </c>
      <c r="H90" s="119"/>
      <c r="I90" s="123">
        <v>1443889779</v>
      </c>
      <c r="J90" s="119"/>
      <c r="K90" s="119"/>
    </row>
    <row r="91" spans="1:11" x14ac:dyDescent="0.25">
      <c r="A91" s="118">
        <v>46167</v>
      </c>
      <c r="B91" s="119">
        <v>2</v>
      </c>
      <c r="C91" s="119" t="s">
        <v>1172</v>
      </c>
      <c r="D91" s="129" t="s">
        <v>1237</v>
      </c>
      <c r="E91" s="130">
        <v>1199</v>
      </c>
      <c r="F91" s="120">
        <f t="shared" si="5"/>
        <v>2398</v>
      </c>
      <c r="G91" s="119" t="s">
        <v>62</v>
      </c>
      <c r="H91" s="119"/>
      <c r="I91" s="137" t="s">
        <v>1299</v>
      </c>
      <c r="J91" s="119"/>
      <c r="K91" s="119"/>
    </row>
    <row r="92" spans="1:11" x14ac:dyDescent="0.25">
      <c r="A92" s="118">
        <v>46167</v>
      </c>
      <c r="B92" s="119">
        <v>2</v>
      </c>
      <c r="C92" s="119" t="s">
        <v>1172</v>
      </c>
      <c r="D92" s="119" t="s">
        <v>1237</v>
      </c>
      <c r="E92" s="120">
        <v>1199</v>
      </c>
      <c r="F92" s="120">
        <f t="shared" si="5"/>
        <v>2398</v>
      </c>
      <c r="G92" s="119" t="s">
        <v>62</v>
      </c>
      <c r="H92" s="119"/>
      <c r="I92" s="137" t="s">
        <v>1300</v>
      </c>
      <c r="J92" s="119"/>
      <c r="K92" s="119"/>
    </row>
    <row r="93" spans="1:11" x14ac:dyDescent="0.25">
      <c r="A93" s="118">
        <v>46167</v>
      </c>
      <c r="B93" s="119">
        <v>1</v>
      </c>
      <c r="C93" s="119" t="s">
        <v>1172</v>
      </c>
      <c r="D93" s="119" t="s">
        <v>1237</v>
      </c>
      <c r="E93" s="120">
        <v>1199</v>
      </c>
      <c r="F93" s="120">
        <f t="shared" si="5"/>
        <v>1199</v>
      </c>
      <c r="G93" s="119" t="s">
        <v>62</v>
      </c>
      <c r="H93" s="119"/>
      <c r="I93" s="137" t="s">
        <v>1301</v>
      </c>
      <c r="J93" s="119"/>
      <c r="K93" s="119"/>
    </row>
    <row r="94" spans="1:11" x14ac:dyDescent="0.25">
      <c r="A94" s="118">
        <v>46167</v>
      </c>
      <c r="B94" s="119">
        <v>2</v>
      </c>
      <c r="C94" s="119" t="s">
        <v>1172</v>
      </c>
      <c r="D94" s="119" t="s">
        <v>1237</v>
      </c>
      <c r="E94" s="120">
        <v>1199</v>
      </c>
      <c r="F94" s="120">
        <f t="shared" si="5"/>
        <v>2398</v>
      </c>
      <c r="G94" s="119" t="s">
        <v>62</v>
      </c>
      <c r="H94" s="119"/>
      <c r="I94" s="137" t="s">
        <v>1302</v>
      </c>
      <c r="J94" s="119"/>
      <c r="K94" s="119"/>
    </row>
    <row r="95" spans="1:11" x14ac:dyDescent="0.25">
      <c r="A95" s="141">
        <v>46170</v>
      </c>
      <c r="B95" s="142">
        <v>15</v>
      </c>
      <c r="C95" s="142" t="s">
        <v>1172</v>
      </c>
      <c r="D95" s="142" t="s">
        <v>1303</v>
      </c>
      <c r="E95" s="143">
        <v>1199</v>
      </c>
      <c r="F95" s="143">
        <f t="shared" si="5"/>
        <v>17985</v>
      </c>
      <c r="G95" s="142" t="s">
        <v>8</v>
      </c>
      <c r="H95" s="142"/>
      <c r="I95" s="142" t="s">
        <v>857</v>
      </c>
      <c r="J95" s="142"/>
      <c r="K95" s="142"/>
    </row>
    <row r="96" spans="1:11" x14ac:dyDescent="0.25">
      <c r="A96" s="141">
        <v>46170</v>
      </c>
      <c r="B96" s="142">
        <v>15</v>
      </c>
      <c r="C96" s="142" t="s">
        <v>1251</v>
      </c>
      <c r="D96" s="142" t="s">
        <v>1304</v>
      </c>
      <c r="E96" s="143">
        <v>20</v>
      </c>
      <c r="F96" s="143">
        <f t="shared" si="5"/>
        <v>300</v>
      </c>
      <c r="G96" s="142" t="s">
        <v>85</v>
      </c>
      <c r="H96" s="142"/>
      <c r="I96" s="142" t="s">
        <v>857</v>
      </c>
      <c r="J96" s="142"/>
      <c r="K96" s="142"/>
    </row>
    <row r="97" spans="1:11" x14ac:dyDescent="0.25">
      <c r="A97" s="141">
        <v>46170</v>
      </c>
      <c r="B97" s="142">
        <v>2</v>
      </c>
      <c r="C97" s="142" t="s">
        <v>1227</v>
      </c>
      <c r="D97" s="142" t="s">
        <v>364</v>
      </c>
      <c r="E97" s="143">
        <v>1897</v>
      </c>
      <c r="F97" s="143">
        <f t="shared" si="5"/>
        <v>3794</v>
      </c>
      <c r="G97" s="142" t="s">
        <v>8</v>
      </c>
      <c r="H97" s="142"/>
      <c r="I97" s="142"/>
      <c r="J97" s="142"/>
      <c r="K97" s="142"/>
    </row>
    <row r="98" spans="1:11" x14ac:dyDescent="0.25">
      <c r="A98" s="118">
        <v>46170</v>
      </c>
      <c r="B98" s="119">
        <v>2</v>
      </c>
      <c r="C98" s="119" t="s">
        <v>1172</v>
      </c>
      <c r="D98" s="119" t="s">
        <v>1281</v>
      </c>
      <c r="E98" s="120">
        <v>1199</v>
      </c>
      <c r="F98" s="120">
        <f t="shared" si="5"/>
        <v>2398</v>
      </c>
      <c r="G98" s="119" t="s">
        <v>62</v>
      </c>
      <c r="H98" s="119"/>
      <c r="I98" s="135">
        <v>1443889822</v>
      </c>
      <c r="J98" s="119"/>
      <c r="K98" s="119"/>
    </row>
    <row r="99" spans="1:11" x14ac:dyDescent="0.25">
      <c r="A99" s="118">
        <v>46170</v>
      </c>
      <c r="B99" s="119">
        <v>2</v>
      </c>
      <c r="C99" s="119" t="s">
        <v>1172</v>
      </c>
      <c r="D99" s="119" t="s">
        <v>1281</v>
      </c>
      <c r="E99" s="120">
        <v>1199</v>
      </c>
      <c r="F99" s="120">
        <f t="shared" si="5"/>
        <v>2398</v>
      </c>
      <c r="G99" s="119" t="s">
        <v>62</v>
      </c>
      <c r="H99" s="119"/>
      <c r="I99" s="135" t="s">
        <v>1307</v>
      </c>
      <c r="J99" s="119"/>
      <c r="K99" s="119"/>
    </row>
    <row r="100" spans="1:11" x14ac:dyDescent="0.25">
      <c r="A100" s="118">
        <v>46170</v>
      </c>
      <c r="B100" s="119">
        <v>2</v>
      </c>
      <c r="C100" s="119" t="s">
        <v>1172</v>
      </c>
      <c r="D100" s="119" t="s">
        <v>1281</v>
      </c>
      <c r="E100" s="120">
        <v>1199</v>
      </c>
      <c r="F100" s="120">
        <f t="shared" si="5"/>
        <v>2398</v>
      </c>
      <c r="G100" s="119" t="s">
        <v>62</v>
      </c>
      <c r="H100" s="119"/>
      <c r="I100" s="135">
        <v>1445491026</v>
      </c>
      <c r="J100" s="119"/>
      <c r="K100" s="119"/>
    </row>
    <row r="101" spans="1:11" x14ac:dyDescent="0.25">
      <c r="A101" s="118">
        <v>46170</v>
      </c>
      <c r="B101" s="119">
        <v>2</v>
      </c>
      <c r="C101" s="119" t="s">
        <v>1172</v>
      </c>
      <c r="D101" s="119" t="s">
        <v>1237</v>
      </c>
      <c r="E101" s="120">
        <v>1199</v>
      </c>
      <c r="F101" s="120">
        <f t="shared" si="5"/>
        <v>2398</v>
      </c>
      <c r="G101" s="119" t="s">
        <v>62</v>
      </c>
      <c r="H101" s="119"/>
      <c r="I101" s="138" t="s">
        <v>1305</v>
      </c>
      <c r="J101" s="119"/>
      <c r="K101" s="119"/>
    </row>
    <row r="102" spans="1:11" x14ac:dyDescent="0.25">
      <c r="A102" s="118">
        <v>46170</v>
      </c>
      <c r="B102" s="119">
        <v>2</v>
      </c>
      <c r="C102" s="119" t="s">
        <v>1172</v>
      </c>
      <c r="D102" s="119" t="s">
        <v>1237</v>
      </c>
      <c r="E102" s="120">
        <v>1199</v>
      </c>
      <c r="F102" s="120">
        <f t="shared" si="5"/>
        <v>2398</v>
      </c>
      <c r="G102" s="119" t="s">
        <v>62</v>
      </c>
      <c r="H102" s="119"/>
      <c r="I102" s="138" t="s">
        <v>1306</v>
      </c>
      <c r="J102" s="119"/>
      <c r="K102" s="119"/>
    </row>
    <row r="103" spans="1:11" x14ac:dyDescent="0.25">
      <c r="A103" s="118">
        <v>46170</v>
      </c>
      <c r="B103" s="119">
        <v>2</v>
      </c>
      <c r="C103" s="119" t="s">
        <v>1172</v>
      </c>
      <c r="D103" s="119" t="s">
        <v>1237</v>
      </c>
      <c r="E103" s="120">
        <v>1199</v>
      </c>
      <c r="F103" s="120">
        <f t="shared" si="5"/>
        <v>2398</v>
      </c>
      <c r="G103" s="119" t="s">
        <v>62</v>
      </c>
      <c r="H103" s="119"/>
      <c r="I103" s="138" t="s">
        <v>1308</v>
      </c>
      <c r="J103" s="119"/>
      <c r="K103" s="119"/>
    </row>
    <row r="104" spans="1:11" x14ac:dyDescent="0.25">
      <c r="A104" s="128">
        <v>46170</v>
      </c>
      <c r="B104" s="129">
        <v>2</v>
      </c>
      <c r="C104" s="129" t="s">
        <v>1172</v>
      </c>
      <c r="D104" s="129" t="s">
        <v>1237</v>
      </c>
      <c r="E104" s="130">
        <v>1199</v>
      </c>
      <c r="F104" s="130">
        <f t="shared" si="5"/>
        <v>2398</v>
      </c>
      <c r="G104" s="129" t="s">
        <v>62</v>
      </c>
      <c r="H104" s="129"/>
      <c r="I104" s="139" t="s">
        <v>1309</v>
      </c>
      <c r="J104" s="129"/>
      <c r="K104" s="129"/>
    </row>
    <row r="105" spans="1:11" x14ac:dyDescent="0.25">
      <c r="A105" s="118">
        <v>46170</v>
      </c>
      <c r="B105" s="119">
        <v>2</v>
      </c>
      <c r="C105" s="119" t="s">
        <v>1172</v>
      </c>
      <c r="D105" s="119" t="s">
        <v>1237</v>
      </c>
      <c r="E105" s="120">
        <v>1199</v>
      </c>
      <c r="F105" s="120">
        <f t="shared" si="5"/>
        <v>2398</v>
      </c>
      <c r="G105" s="119" t="s">
        <v>62</v>
      </c>
      <c r="H105" s="119"/>
      <c r="I105" s="138" t="s">
        <v>1310</v>
      </c>
      <c r="J105" s="119"/>
      <c r="K105" s="119"/>
    </row>
    <row r="106" spans="1:11" x14ac:dyDescent="0.25">
      <c r="A106" s="141">
        <v>46170</v>
      </c>
      <c r="B106" s="142">
        <v>5</v>
      </c>
      <c r="C106" s="142" t="s">
        <v>1227</v>
      </c>
      <c r="D106" s="142" t="s">
        <v>364</v>
      </c>
      <c r="E106" s="143">
        <v>1930</v>
      </c>
      <c r="F106" s="143">
        <f t="shared" si="5"/>
        <v>9650</v>
      </c>
      <c r="G106" s="142" t="s">
        <v>8</v>
      </c>
      <c r="H106" s="142"/>
      <c r="I106" s="142"/>
      <c r="J106" s="142"/>
      <c r="K106" s="142"/>
    </row>
    <row r="107" spans="1:11" x14ac:dyDescent="0.25">
      <c r="A107" s="141">
        <v>46170</v>
      </c>
      <c r="B107" s="142">
        <v>8</v>
      </c>
      <c r="C107" s="142" t="s">
        <v>1292</v>
      </c>
      <c r="D107" s="142" t="s">
        <v>364</v>
      </c>
      <c r="E107" s="143">
        <v>105</v>
      </c>
      <c r="F107" s="143">
        <f t="shared" si="5"/>
        <v>840</v>
      </c>
      <c r="G107" s="142" t="s">
        <v>8</v>
      </c>
      <c r="H107" s="142"/>
      <c r="I107" s="142"/>
      <c r="J107" s="142"/>
      <c r="K107" s="142"/>
    </row>
    <row r="108" spans="1:11" x14ac:dyDescent="0.25">
      <c r="A108" s="141">
        <v>46171</v>
      </c>
      <c r="B108" s="142">
        <v>4</v>
      </c>
      <c r="C108" s="142" t="s">
        <v>1172</v>
      </c>
      <c r="D108" s="142" t="s">
        <v>1230</v>
      </c>
      <c r="E108" s="143">
        <v>1210</v>
      </c>
      <c r="F108" s="143">
        <f t="shared" si="5"/>
        <v>4840</v>
      </c>
      <c r="G108" s="142" t="s">
        <v>8</v>
      </c>
      <c r="H108" s="142"/>
      <c r="I108" s="144"/>
      <c r="J108" s="142"/>
      <c r="K108" s="142"/>
    </row>
    <row r="109" spans="1:11" x14ac:dyDescent="0.25">
      <c r="A109" s="118">
        <v>46174</v>
      </c>
      <c r="B109" s="119">
        <v>2</v>
      </c>
      <c r="C109" s="119" t="s">
        <v>1172</v>
      </c>
      <c r="D109" s="119" t="s">
        <v>1237</v>
      </c>
      <c r="E109" s="120">
        <v>1199</v>
      </c>
      <c r="F109" s="120">
        <f t="shared" si="5"/>
        <v>2398</v>
      </c>
      <c r="G109" s="119" t="s">
        <v>62</v>
      </c>
      <c r="H109" s="119"/>
      <c r="I109" s="140" t="s">
        <v>1312</v>
      </c>
      <c r="J109" s="119"/>
      <c r="K109" s="119"/>
    </row>
    <row r="110" spans="1:11" x14ac:dyDescent="0.25">
      <c r="A110" s="118">
        <v>46174</v>
      </c>
      <c r="B110" s="119">
        <v>2</v>
      </c>
      <c r="C110" s="119" t="s">
        <v>1172</v>
      </c>
      <c r="D110" s="119" t="s">
        <v>1237</v>
      </c>
      <c r="E110" s="120">
        <v>1199</v>
      </c>
      <c r="F110" s="120">
        <f t="shared" si="5"/>
        <v>2398</v>
      </c>
      <c r="G110" s="119" t="s">
        <v>62</v>
      </c>
      <c r="H110" s="119"/>
      <c r="I110" s="140" t="s">
        <v>1313</v>
      </c>
      <c r="J110" s="119"/>
      <c r="K110" s="119"/>
    </row>
    <row r="111" spans="1:11" x14ac:dyDescent="0.25">
      <c r="A111" s="118">
        <v>46174</v>
      </c>
      <c r="B111" s="119">
        <v>2</v>
      </c>
      <c r="C111" s="119" t="s">
        <v>1172</v>
      </c>
      <c r="D111" s="119" t="s">
        <v>1237</v>
      </c>
      <c r="E111" s="120">
        <v>1199</v>
      </c>
      <c r="F111" s="120">
        <f t="shared" si="5"/>
        <v>2398</v>
      </c>
      <c r="G111" s="119" t="s">
        <v>62</v>
      </c>
      <c r="H111" s="119"/>
      <c r="I111" s="140" t="s">
        <v>1314</v>
      </c>
      <c r="J111" s="119"/>
      <c r="K111" s="119"/>
    </row>
    <row r="112" spans="1:11" x14ac:dyDescent="0.25">
      <c r="A112" s="118">
        <v>46174</v>
      </c>
      <c r="B112" s="119">
        <v>2</v>
      </c>
      <c r="C112" s="119" t="s">
        <v>1172</v>
      </c>
      <c r="D112" s="119" t="s">
        <v>1281</v>
      </c>
      <c r="E112" s="120">
        <v>1199</v>
      </c>
      <c r="F112" s="120">
        <f t="shared" si="5"/>
        <v>2398</v>
      </c>
      <c r="G112" s="129" t="s">
        <v>62</v>
      </c>
      <c r="H112" s="119"/>
      <c r="I112" s="136">
        <v>1445491081</v>
      </c>
      <c r="J112" s="119"/>
      <c r="K112" s="119"/>
    </row>
    <row r="113" spans="1:11" x14ac:dyDescent="0.25">
      <c r="A113" s="118">
        <v>46174</v>
      </c>
      <c r="B113" s="119">
        <v>2</v>
      </c>
      <c r="C113" s="129" t="s">
        <v>1172</v>
      </c>
      <c r="D113" s="119" t="s">
        <v>1281</v>
      </c>
      <c r="E113" s="120">
        <v>1199</v>
      </c>
      <c r="F113" s="120">
        <f t="shared" si="5"/>
        <v>2398</v>
      </c>
      <c r="G113" s="119" t="s">
        <v>62</v>
      </c>
      <c r="H113" s="119"/>
      <c r="I113" s="136">
        <v>1447392733</v>
      </c>
      <c r="J113" s="119"/>
      <c r="K113" s="119"/>
    </row>
    <row r="114" spans="1:11" x14ac:dyDescent="0.25">
      <c r="A114" s="118">
        <v>46174</v>
      </c>
      <c r="B114" s="119">
        <v>2</v>
      </c>
      <c r="C114" s="119" t="s">
        <v>1172</v>
      </c>
      <c r="D114" s="119" t="s">
        <v>1281</v>
      </c>
      <c r="E114" s="120">
        <v>1199</v>
      </c>
      <c r="F114" s="120">
        <f t="shared" si="5"/>
        <v>2398</v>
      </c>
      <c r="G114" s="119" t="s">
        <v>62</v>
      </c>
      <c r="H114" s="119"/>
      <c r="I114" s="136">
        <v>1447392771</v>
      </c>
      <c r="J114" s="119"/>
      <c r="K114" s="119"/>
    </row>
    <row r="115" spans="1:11" x14ac:dyDescent="0.25">
      <c r="A115" s="141">
        <v>46174</v>
      </c>
      <c r="B115" s="142">
        <v>3</v>
      </c>
      <c r="C115" s="142" t="s">
        <v>1227</v>
      </c>
      <c r="D115" s="142" t="s">
        <v>688</v>
      </c>
      <c r="E115" s="143">
        <v>1897</v>
      </c>
      <c r="F115" s="143">
        <f t="shared" si="5"/>
        <v>5691</v>
      </c>
      <c r="G115" s="142" t="s">
        <v>8</v>
      </c>
      <c r="H115" s="142"/>
      <c r="I115" s="142"/>
      <c r="J115" s="142"/>
      <c r="K115" s="142"/>
    </row>
    <row r="116" spans="1:11" x14ac:dyDescent="0.25">
      <c r="A116" s="141">
        <v>46174</v>
      </c>
      <c r="B116" s="142">
        <v>2</v>
      </c>
      <c r="C116" s="142" t="s">
        <v>1227</v>
      </c>
      <c r="D116" s="142" t="s">
        <v>688</v>
      </c>
      <c r="E116" s="143">
        <v>1897</v>
      </c>
      <c r="F116" s="143">
        <f t="shared" si="5"/>
        <v>3794</v>
      </c>
      <c r="G116" s="142" t="s">
        <v>8</v>
      </c>
      <c r="H116" s="142"/>
      <c r="I116" s="142"/>
      <c r="J116" s="142"/>
      <c r="K116" s="142"/>
    </row>
    <row r="117" spans="1:11" x14ac:dyDescent="0.25">
      <c r="A117" s="141">
        <v>46176</v>
      </c>
      <c r="B117" s="142">
        <v>18</v>
      </c>
      <c r="C117" s="142" t="s">
        <v>1172</v>
      </c>
      <c r="D117" s="142" t="s">
        <v>1230</v>
      </c>
      <c r="E117" s="143">
        <v>1199</v>
      </c>
      <c r="F117" s="143">
        <f t="shared" si="5"/>
        <v>21582</v>
      </c>
      <c r="G117" s="142" t="s">
        <v>8</v>
      </c>
      <c r="H117" s="142"/>
      <c r="I117" s="142"/>
      <c r="J117" s="142"/>
      <c r="K117" s="142"/>
    </row>
    <row r="118" spans="1:11" x14ac:dyDescent="0.25">
      <c r="A118" s="141">
        <v>46176</v>
      </c>
      <c r="B118" s="142">
        <v>4</v>
      </c>
      <c r="C118" s="142" t="s">
        <v>1227</v>
      </c>
      <c r="D118" s="142" t="s">
        <v>688</v>
      </c>
      <c r="E118" s="143">
        <v>1897</v>
      </c>
      <c r="F118" s="143">
        <f t="shared" si="5"/>
        <v>7588</v>
      </c>
      <c r="G118" s="142" t="s">
        <v>8</v>
      </c>
      <c r="H118" s="142"/>
      <c r="I118" s="142" t="s">
        <v>1317</v>
      </c>
      <c r="J118" s="142"/>
      <c r="K118" s="142"/>
    </row>
    <row r="119" spans="1:11" x14ac:dyDescent="0.25">
      <c r="A119" s="141">
        <v>46176</v>
      </c>
      <c r="B119" s="142">
        <v>4</v>
      </c>
      <c r="C119" s="142" t="s">
        <v>1227</v>
      </c>
      <c r="D119" s="142" t="s">
        <v>688</v>
      </c>
      <c r="E119" s="143">
        <v>1897</v>
      </c>
      <c r="F119" s="143">
        <f t="shared" si="5"/>
        <v>7588</v>
      </c>
      <c r="G119" s="142" t="s">
        <v>8</v>
      </c>
      <c r="H119" s="142"/>
      <c r="I119" s="142" t="s">
        <v>1317</v>
      </c>
      <c r="J119" s="142"/>
      <c r="K119" s="142"/>
    </row>
    <row r="120" spans="1:11" x14ac:dyDescent="0.25">
      <c r="A120" s="141">
        <v>46176</v>
      </c>
      <c r="B120" s="142">
        <v>2</v>
      </c>
      <c r="C120" s="142" t="s">
        <v>1227</v>
      </c>
      <c r="D120" s="142" t="s">
        <v>688</v>
      </c>
      <c r="E120" s="143">
        <v>1897</v>
      </c>
      <c r="F120" s="143">
        <f t="shared" si="5"/>
        <v>3794</v>
      </c>
      <c r="G120" s="142" t="s">
        <v>8</v>
      </c>
      <c r="H120" s="142"/>
      <c r="I120" s="142" t="s">
        <v>1293</v>
      </c>
      <c r="J120" s="142"/>
      <c r="K120" s="142"/>
    </row>
    <row r="121" spans="1:11" x14ac:dyDescent="0.25">
      <c r="A121" s="141">
        <v>46176</v>
      </c>
      <c r="B121" s="142">
        <v>1</v>
      </c>
      <c r="C121" s="142" t="s">
        <v>1227</v>
      </c>
      <c r="D121" s="142" t="s">
        <v>688</v>
      </c>
      <c r="E121" s="143">
        <v>1987</v>
      </c>
      <c r="F121" s="143">
        <f t="shared" si="5"/>
        <v>1987</v>
      </c>
      <c r="G121" s="142" t="s">
        <v>8</v>
      </c>
      <c r="H121" s="142"/>
      <c r="I121" s="142" t="s">
        <v>1293</v>
      </c>
      <c r="J121" s="142"/>
      <c r="K121" s="142"/>
    </row>
    <row r="122" spans="1:11" x14ac:dyDescent="0.25">
      <c r="A122" s="141">
        <v>46178</v>
      </c>
      <c r="B122" s="142">
        <v>20</v>
      </c>
      <c r="C122" s="142" t="s">
        <v>664</v>
      </c>
      <c r="D122" s="142" t="s">
        <v>608</v>
      </c>
      <c r="E122" s="143">
        <v>398</v>
      </c>
      <c r="F122" s="143">
        <f t="shared" si="5"/>
        <v>7960</v>
      </c>
      <c r="G122" s="142" t="s">
        <v>1321</v>
      </c>
      <c r="H122" s="142"/>
      <c r="I122" s="142" t="s">
        <v>1124</v>
      </c>
      <c r="J122" s="142"/>
      <c r="K122" s="142"/>
    </row>
    <row r="123" spans="1:11" x14ac:dyDescent="0.25">
      <c r="A123" s="2"/>
      <c r="B123" s="2"/>
      <c r="C123" s="2"/>
      <c r="D123" s="2"/>
      <c r="E123" s="3"/>
      <c r="F123" s="3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3"/>
      <c r="F124" s="3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3"/>
      <c r="F125" s="3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3"/>
      <c r="F126" s="3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3"/>
      <c r="F127" s="3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</row>
  </sheetData>
  <autoFilter ref="A1:O84" xr:uid="{E289719B-B45B-4953-A262-E8A1302D2B32}"/>
  <phoneticPr fontId="3" type="noConversion"/>
  <pageMargins left="0.7" right="0.7" top="0.75" bottom="0.75" header="0.3" footer="0.3"/>
  <pageSetup paperSize="9" orientation="portrait" horizontalDpi="0" verticalDpi="0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71" t="s">
        <v>1025</v>
      </c>
      <c r="B54" s="171"/>
      <c r="C54" s="171"/>
      <c r="D54" s="171"/>
      <c r="E54" s="171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O12"/>
  <sheetViews>
    <sheetView workbookViewId="0">
      <selection activeCell="I13" sqref="I13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5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5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5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5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  <c r="N5" s="2"/>
      <c r="O5" s="2" t="s">
        <v>773</v>
      </c>
    </row>
    <row r="6" spans="1:15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  <c r="N6" s="2"/>
      <c r="O6" s="2">
        <v>20000</v>
      </c>
    </row>
    <row r="7" spans="1:15" x14ac:dyDescent="0.25">
      <c r="N7" s="2"/>
      <c r="O7" s="2">
        <v>12000</v>
      </c>
    </row>
    <row r="8" spans="1:15" x14ac:dyDescent="0.25">
      <c r="N8" s="2"/>
      <c r="O8" s="2">
        <v>10600</v>
      </c>
    </row>
    <row r="9" spans="1:15" x14ac:dyDescent="0.25">
      <c r="N9" s="2"/>
      <c r="O9" s="2">
        <v>18000</v>
      </c>
    </row>
    <row r="10" spans="1:15" x14ac:dyDescent="0.25">
      <c r="N10" s="2"/>
      <c r="O10" s="2">
        <v>101000</v>
      </c>
    </row>
    <row r="11" spans="1:15" x14ac:dyDescent="0.25">
      <c r="N11" s="2" t="s">
        <v>4</v>
      </c>
      <c r="O11" s="2">
        <f>SUM(O6:O10)</f>
        <v>161600</v>
      </c>
    </row>
    <row r="12" spans="1:15" x14ac:dyDescent="0.25">
      <c r="O12" s="22">
        <v>13400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Melbourne Company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2026-06-22T12:34:13Z</dcterms:modified>
</cp:coreProperties>
</file>