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wnloads\"/>
    </mc:Choice>
  </mc:AlternateContent>
  <xr:revisionPtr revIDLastSave="0" documentId="13_ncr:1_{881C8EB6-77E8-4D92-8DB1-170E1164FB8C}" xr6:coauthVersionLast="47" xr6:coauthVersionMax="47" xr10:uidLastSave="{00000000-0000-0000-0000-000000000000}"/>
  <bookViews>
    <workbookView xWindow="-108" yWindow="-108" windowWidth="23256" windowHeight="13896" firstSheet="18" activeTab="22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r:id="rId19"/>
    <sheet name="AU July" sheetId="18" r:id="rId20"/>
    <sheet name="AU SEP" sheetId="23" r:id="rId21"/>
    <sheet name="AU OCT" sheetId="24" r:id="rId22"/>
    <sheet name="AU NOV" sheetId="27" r:id="rId23"/>
    <sheet name="NZ OCT" sheetId="25" r:id="rId24"/>
    <sheet name="NZ NOV" sheetId="26" r:id="rId25"/>
    <sheet name="Sheet3" sheetId="31" state="hidden" r:id="rId26"/>
    <sheet name="Sheet2" sheetId="30" state="hidden" r:id="rId27"/>
    <sheet name="NZ visit expense" sheetId="17" state="hidden" r:id="rId28"/>
    <sheet name="Abdul Rafey" sheetId="5" state="hidden" r:id="rId29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NOV'!$A$1:$I$41</definedName>
    <definedName name="_xlnm._FilterDatabase" localSheetId="21" hidden="1">'AU OCT'!$A$1:$G$24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</definedNames>
  <calcPr calcId="191029"/>
  <pivotCaches>
    <pivotCache cacheId="7" r:id="rId30"/>
    <pivotCache cacheId="8" r:id="rId31"/>
    <pivotCache cacheId="9" r:id="rId32"/>
    <pivotCache cacheId="10" r:id="rId33"/>
    <pivotCache cacheId="11" r:id="rId34"/>
    <pivotCache cacheId="12" r:id="rId35"/>
    <pivotCache cacheId="13" r:id="rId3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4" i="27" l="1"/>
  <c r="F53" i="27"/>
  <c r="F52" i="27"/>
  <c r="F51" i="27"/>
  <c r="F50" i="27"/>
  <c r="F49" i="27"/>
  <c r="F48" i="27"/>
  <c r="F47" i="27"/>
  <c r="F46" i="27"/>
  <c r="F45" i="27"/>
  <c r="F44" i="27"/>
  <c r="F43" i="27"/>
  <c r="F42" i="27"/>
  <c r="O1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E11" i="29" l="1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<sst xmlns="http://schemas.openxmlformats.org/spreadsheetml/2006/main" count="2364" uniqueCount="706">
  <si>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</si>
  <si>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</si>
  <si>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</si>
  <si>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</si>
  <si>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</si>
  <si>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</si>
  <si>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</si>
  <si>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</si>
  <si>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</si>
  <si>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</si>
  <si>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</si>
  <si>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</si>
  <si>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</si>
  <si>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</si>
  <si>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</si>
  <si>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</si>
  <si>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</si>
  <si>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</si>
  <si>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</si>
  <si>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</si>
  <si>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</si>
  <si>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</si>
  <si>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</si>
  <si>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</si>
  <si>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</si>
  <si>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</si>
  <si>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</si>
  <si>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</si>
  <si>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</si>
  <si>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</si>
  <si>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</si>
  <si>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</si>
  <si>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</si>
  <si>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</si>
  <si>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</si>
  <si>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</si>
  <si>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</si>
  <si>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</si>
  <si>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</si>
  <si>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</si>
  <si>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</si>
  <si>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</si>
  <si>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</si>
  <si>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</si>
  <si>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</si>
  <si>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</si>
  <si>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</si>
  <si>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</si>
  <si>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</si>
  <si>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</si>
  <si>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</si>
  <si>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</si>
  <si>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</si>
  <si>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</si>
  <si>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</si>
  <si>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</si>
  <si>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</si>
  <si>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</si>
  <si>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</si>
  <si>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</si>
  <si>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</si>
  <si>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</si>
  <si>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</si>
  <si>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</si>
  <si>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</si>
  <si>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</si>
  <si>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</si>
  <si>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</si>
  <si>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</si>
  <si>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</si>
  <si>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</si>
  <si>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</si>
  <si>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</si>
  <si>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</si>
  <si>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</si>
  <si>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</si>
  <si>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</si>
  <si>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</si>
  <si>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</si>
  <si>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</si>
  <si>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</si>
  <si>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</si>
  <si>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</si>
  <si>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</si>
  <si>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</si>
  <si>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</si>
  <si>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</si>
  <si>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</si>
  <si>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</si>
  <si>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</si>
  <si>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</si>
  <si>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</si>
  <si>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</si>
  <si>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</si>
  <si>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</si>
  <si>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</si>
  <si>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</si>
  <si>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</si>
  <si>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</si>
  <si>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</si>
  <si>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</si>
  <si>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</si>
  <si>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</si>
  <si>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</si>
  <si>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</si>
  <si>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</si>
  <si>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</si>
  <si>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</si>
  <si>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</si>
  <si>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</si>
  <si>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</si>
  <si>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</si>
  <si>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</si>
  <si>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</si>
  <si>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</si>
  <si>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</si>
  <si>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</si>
  <si>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</si>
  <si>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</si>
  <si>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</si>
  <si>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</si>
  <si>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</si>
  <si>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</si>
  <si>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</si>
  <si>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</si>
  <si>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</si>
  <si>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</si>
  <si>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</si>
  <si>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</si>
  <si>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</si>
  <si>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</si>
  <si>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</si>
  <si>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</si>
  <si>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</si>
  <si>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</si>
  <si>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</si>
  <si>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</si>
  <si>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</si>
  <si>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</si>
  <si>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</si>
  <si>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</si>
  <si>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</si>
  <si>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</si>
  <si>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</si>
  <si>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</si>
  <si>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</si>
  <si>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</si>
  <si>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</si>
  <si>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</si>
  <si>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</si>
  <si>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</si>
  <si>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</si>
  <si>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</si>
  <si>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</si>
  <si>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</si>
  <si>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</si>
  <si>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</si>
  <si>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</si>
  <si>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</si>
  <si>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</si>
  <si>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</si>
  <si>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</si>
  <si>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</si>
  <si>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</si>
  <si>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</si>
  <si>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</si>
  <si>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</si>
  <si>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</si>
  <si>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</si>
  <si>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</si>
  <si>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</si>
  <si>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</si>
  <si>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</si>
  <si>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</si>
  <si>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</si>
  <si>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</si>
  <si>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</si>
  <si>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</si>
  <si>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</si>
  <si>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</si>
  <si>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</si>
  <si>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</si>
  <si>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</si>
  <si>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</si>
  <si>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</si>
  <si>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</si>
  <si>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</si>
  <si>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</si>
  <si>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</si>
  <si>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</si>
  <si>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</si>
  <si>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</si>
  <si>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</si>
  <si>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</si>
  <si>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</si>
  <si>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</si>
  <si>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</si>
  <si>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</si>
  <si>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</si>
  <si>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</si>
  <si>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</si>
  <si>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</si>
  <si>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</si>
  <si>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</si>
  <si>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</si>
  <si>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</si>
  <si>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</si>
  <si>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</si>
  <si>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</si>
  <si>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</si>
  <si>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</si>
  <si>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</si>
  <si>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</si>
  <si>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</si>
  <si>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</si>
  <si>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</si>
  <si>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</si>
  <si>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</si>
  <si>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</si>
  <si>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</si>
  <si>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</si>
  <si>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</si>
  <si>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</si>
  <si>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</si>
  <si>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</si>
  <si>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</si>
  <si>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</si>
  <si>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</si>
  <si>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</si>
  <si>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</si>
  <si>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</si>
  <si>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</si>
  <si>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</si>
  <si>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</si>
  <si>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</si>
  <si>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</si>
  <si>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</si>
  <si>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</si>
  <si>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</si>
  <si>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</si>
  <si>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</si>
  <si>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</si>
  <si>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</si>
  <si>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</si>
  <si>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</si>
  <si>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</si>
  <si>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</si>
  <si>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</si>
  <si>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</si>
  <si>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</si>
  <si>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</si>
  <si>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</si>
  <si>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</si>
  <si>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</si>
  <si>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</si>
  <si>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</si>
  <si>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</si>
  <si>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</si>
  <si>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</si>
  <si>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</si>
  <si>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</si>
  <si>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</si>
  <si>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</si>
  <si>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</si>
  <si>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</si>
  <si>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</si>
  <si>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</si>
  <si>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</si>
  <si>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</si>
  <si>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</si>
  <si>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</si>
  <si>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</si>
  <si>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</si>
  <si>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</si>
  <si>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</si>
  <si>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</si>
  <si>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</si>
  <si>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</si>
  <si>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</si>
  <si>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</si>
  <si>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</si>
  <si>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</si>
  <si>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</si>
  <si>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</si>
  <si>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</si>
  <si>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</si>
  <si>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</si>
  <si>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</si>
  <si>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</si>
  <si>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</si>
  <si>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</si>
  <si>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</si>
  <si>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</si>
  <si>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</si>
  <si>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</si>
  <si>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</si>
  <si>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</si>
  <si>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</si>
  <si>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</si>
  <si>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</si>
  <si>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</si>
  <si>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</si>
  <si>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</si>
  <si>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</si>
  <si>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</si>
  <si>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</si>
  <si>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</si>
  <si>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</si>
  <si>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</si>
  <si>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</si>
  <si>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</si>
  <si>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</si>
  <si>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</si>
  <si>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</si>
  <si>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</si>
  <si>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</si>
  <si>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</si>
  <si>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</si>
  <si>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</si>
  <si>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</si>
  <si>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</si>
  <si>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</si>
  <si>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</si>
  <si>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</si>
  <si>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</si>
  <si>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</si>
  <si>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</si>
  <si>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</si>
  <si>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</si>
  <si>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</si>
  <si>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</si>
  <si>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</si>
  <si>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</si>
  <si>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</si>
  <si>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</si>
  <si>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</si>
  <si>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</si>
  <si>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</si>
  <si>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</si>
  <si>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</si>
  <si>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</si>
  <si>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</si>
  <si>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</si>
  <si>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</si>
  <si>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</si>
  <si>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</si>
  <si>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</si>
  <si>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</si>
  <si>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</si>
  <si>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</si>
  <si>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</si>
  <si>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</si>
  <si>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</si>
  <si>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</si>
  <si>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</si>
  <si>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</si>
  <si>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</si>
  <si>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</si>
  <si>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</si>
  <si>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</si>
  <si>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</si>
  <si>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</si>
  <si>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</si>
  <si>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</si>
  <si>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</si>
  <si>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</si>
  <si>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</si>
  <si>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</si>
  <si>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</si>
  <si>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</si>
  <si>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</si>
  <si>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</si>
  <si>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</si>
  <si>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</si>
  <si>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</si>
  <si>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</si>
  <si>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</si>
  <si>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</si>
  <si>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</si>
  <si>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</si>
  <si>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</si>
  <si>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</si>
  <si>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</si>
  <si>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</si>
  <si>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</si>
  <si>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</si>
  <si>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</si>
  <si>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</si>
  <si>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</si>
  <si>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</si>
  <si>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</si>
  <si>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</si>
  <si>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</si>
  <si>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</si>
  <si>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</si>
  <si>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</si>
  <si>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</si>
  <si>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</si>
  <si>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</si>
  <si>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</si>
  <si>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</si>
  <si>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</si>
  <si>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</si>
  <si>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</si>
  <si>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</si>
  <si>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</si>
  <si>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</si>
  <si>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</si>
  <si>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</si>
  <si>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</si>
  <si>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</si>
  <si>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</si>
  <si>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</si>
  <si>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</si>
  <si>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</si>
  <si>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</si>
  <si>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</si>
  <si>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</si>
  <si>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</si>
  <si>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</si>
  <si>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</si>
  <si>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</si>
  <si>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</si>
  <si>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</si>
  <si>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</si>
  <si>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</si>
  <si>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</si>
  <si>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</si>
  <si>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</si>
  <si>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</si>
  <si>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</si>
  <si>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</si>
  <si>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</si>
  <si>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</si>
  <si>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</si>
  <si>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</si>
  <si>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</si>
  <si>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</si>
  <si>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</si>
  <si>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</si>
  <si>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</si>
  <si>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</si>
  <si>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</si>
  <si>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</si>
  <si>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</si>
  <si>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</si>
  <si>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</si>
  <si>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</si>
  <si>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</si>
  <si>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</si>
  <si>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</si>
  <si>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</si>
  <si>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</si>
  <si>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</si>
  <si>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</si>
  <si>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</si>
  <si>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</si>
  <si>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</si>
  <si>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</si>
  <si>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</si>
  <si>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</si>
  <si>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</si>
  <si>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</si>
  <si>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</si>
  <si>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</si>
  <si>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</si>
  <si>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</si>
  <si>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</si>
  <si>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</si>
  <si>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</si>
  <si>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</si>
  <si>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</si>
  <si>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</si>
  <si>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</si>
  <si>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</si>
  <si>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</si>
  <si>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</si>
  <si>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</si>
  <si>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</si>
  <si>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</si>
  <si>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</si>
  <si>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</si>
  <si>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</si>
  <si>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</si>
  <si>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</si>
  <si>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</si>
  <si>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</si>
  <si>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</si>
  <si>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</si>
  <si>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</si>
  <si>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</si>
  <si>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</si>
  <si>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</si>
  <si>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</si>
  <si>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</si>
  <si>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</si>
  <si>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</si>
  <si>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</si>
  <si>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</si>
  <si>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</si>
  <si>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</si>
  <si>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</si>
  <si>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</si>
  <si>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</si>
  <si>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</si>
  <si>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</si>
  <si>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</si>
  <si>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</si>
  <si>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</si>
  <si>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</si>
  <si>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</si>
  <si>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</si>
  <si>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</si>
  <si>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</si>
  <si>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</si>
  <si>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</si>
  <si>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</si>
  <si>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</si>
  <si>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</si>
  <si>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</si>
  <si>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</si>
  <si>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</si>
  <si>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</si>
  <si>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</si>
  <si>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</si>
  <si>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</si>
  <si>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</si>
  <si>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</si>
  <si>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</si>
  <si>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</si>
  <si>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</si>
  <si>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</si>
  <si>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</si>
  <si>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</si>
  <si>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</si>
  <si>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</si>
  <si>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</si>
  <si>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</si>
  <si>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</si>
  <si>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</si>
  <si>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</si>
  <si>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</si>
  <si>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</si>
  <si>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</si>
  <si>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</si>
  <si>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</si>
  <si>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</si>
  <si>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</si>
  <si>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</si>
  <si>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</si>
  <si>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</si>
  <si>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</si>
  <si>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</si>
  <si>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</si>
  <si>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</si>
  <si>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</si>
  <si>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</si>
  <si>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</si>
  <si>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</si>
  <si>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</si>
  <si>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</si>
  <si>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</si>
  <si>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</si>
  <si>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</si>
  <si>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</si>
  <si>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</si>
  <si>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</si>
  <si>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</si>
  <si>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</si>
  <si>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</si>
  <si>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</si>
  <si>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</si>
  <si>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</si>
  <si>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</si>
  <si>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</si>
  <si>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</si>
  <si>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</si>
  <si>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</si>
  <si>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</si>
  <si>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</si>
  <si>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</si>
  <si>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</si>
  <si>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</si>
  <si>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</si>
  <si>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</si>
  <si>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</si>
  <si>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</si>
  <si>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</si>
  <si>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</si>
  <si>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</si>
  <si>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</si>
  <si>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</si>
  <si>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</si>
  <si>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</si>
  <si>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</si>
  <si>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</si>
  <si>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</si>
  <si>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</si>
  <si>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</si>
  <si>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</si>
  <si>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</si>
  <si>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</si>
  <si>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</si>
  <si>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</si>
  <si>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</si>
  <si>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</si>
  <si>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</si>
  <si>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</si>
  <si>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</si>
  <si>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</si>
  <si>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</si>
  <si>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</si>
  <si>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</si>
  <si>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</si>
  <si>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</si>
  <si>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</si>
  <si>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</si>
  <si>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</si>
  <si>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</si>
  <si>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</si>
  <si>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</si>
  <si>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</si>
  <si>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</si>
  <si>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</si>
  <si>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</si>
  <si>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</si>
  <si>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</si>
  <si>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</si>
  <si>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</si>
  <si>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</si>
  <si>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</si>
  <si>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</si>
  <si>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</si>
  <si>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</si>
  <si>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</si>
  <si>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</si>
  <si>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</si>
  <si>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</si>
  <si>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</si>
  <si>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</si>
  <si>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</si>
  <si>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</si>
  <si>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</si>
  <si>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</si>
  <si>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</si>
  <si>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</si>
  <si>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</si>
  <si>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</si>
  <si>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</si>
  <si>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</si>
  <si>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</si>
  <si>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</si>
  <si>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</si>
  <si>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Mini 4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</si>
  <si>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</si>
  <si>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</si>
  <si>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</si>
  <si>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</si>
  <si>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</si>
  <si>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</si>
  <si>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</si>
  <si>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</si>
  <si>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</si>
  <si>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</si>
  <si>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</si>
  <si>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</si>
  <si>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</si>
  <si>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</si>
  <si>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</si>
  <si>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</si>
  <si>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</si>
  <si>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</si>
  <si>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</si>
  <si>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</si>
  <si>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</si>
  <si>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</si>
  <si>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</si>
  <si>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</si>
  <si>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</si>
  <si>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</si>
  <si>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</si>
  <si>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</si>
  <si>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</si>
  <si>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Google Pixel 8 pro 128</t>
  </si>
  <si>
    <t>Collected 17-11</t>
  </si>
  <si>
    <t>Collected 17-12</t>
  </si>
  <si>
    <t>Collected 17-13</t>
  </si>
  <si>
    <t>Collected 17-14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</si>
  <si>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</si>
  <si>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</si>
  <si>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</si>
  <si>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</si>
  <si>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</si>
  <si>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</si>
  <si>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</si>
  <si>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</si>
  <si>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</si>
  <si>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</si>
  <si>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</si>
  <si>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</si>
  <si>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</si>
  <si>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 xml:space="preserve">Osmo Pocket 3  Creator Combo </t>
  </si>
  <si>
    <t>Osmo Pocket 3 Creator Combo</t>
  </si>
  <si>
    <t>JBL Charge 6</t>
  </si>
  <si>
    <t>Ninetendo Switch 2 Bundle</t>
  </si>
  <si>
    <t>Eb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</si>
</sst>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;[Red]\-&quot;$&quot;#,##0"/>
    <numFmt numFmtId="165" formatCode="&quot;$&quot;#,##0.00"/>
    <numFmt numFmtId="166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5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5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5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5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5" fontId="5" fillId="0" borderId="1" xfId="0" applyNumberFormat="1" applyFont="1" applyBorder="1"/>
    <xf numFmtId="165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5" fontId="2" fillId="2" borderId="1" xfId="0" applyNumberFormat="1" applyFont="1" applyFill="1" applyBorder="1"/>
    <xf numFmtId="0" fontId="0" fillId="7" borderId="1" xfId="0" applyFill="1" applyBorder="1"/>
    <xf numFmtId="166" fontId="0" fillId="0" borderId="1" xfId="0" applyNumberFormat="1" applyBorder="1"/>
    <xf numFmtId="166" fontId="0" fillId="2" borderId="1" xfId="0" applyNumberFormat="1" applyFill="1" applyBorder="1"/>
    <xf numFmtId="166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6" fontId="2" fillId="2" borderId="1" xfId="0" applyNumberFormat="1" applyFont="1" applyFill="1" applyBorder="1" applyAlignment="1">
      <alignment vertical="center"/>
    </xf>
    <xf numFmtId="166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6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/>
    </xf>
    <xf numFmtId="16" fontId="0" fillId="8" borderId="1" xfId="0" applyNumberFormat="1" applyFill="1" applyBorder="1"/>
    <xf numFmtId="0" fontId="0" fillId="8" borderId="1" xfId="0" applyFill="1" applyBorder="1"/>
    <xf numFmtId="165" fontId="0" fillId="8" borderId="1" xfId="0" applyNumberFormat="1" applyFill="1" applyBorder="1"/>
    <xf numFmtId="16" fontId="0" fillId="9" borderId="1" xfId="0" applyNumberFormat="1" applyFill="1" applyBorder="1"/>
    <xf numFmtId="0" fontId="0" fillId="9" borderId="1" xfId="0" applyFill="1" applyBorder="1"/>
    <xf numFmtId="165" fontId="0" fillId="9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3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1.xml"/><Relationship Id="rId35" Type="http://schemas.openxmlformats.org/officeDocument/2006/relationships/pivotCacheDefinition" Target="pivotCache/pivotCacheDefinition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4.xml"/><Relationship Id="rId38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workbookViewId="0">
      <selection activeCell="D34" sqref="D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4" workbookViewId="0">
      <selection activeCell="E40" sqref="E40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78">
        <v>45746</v>
      </c>
      <c r="C1" s="78"/>
      <c r="D1" s="78"/>
      <c r="E1" s="78"/>
      <c r="F1" s="78"/>
      <c r="G1" s="78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79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79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76" workbookViewId="0">
      <selection activeCell="H98" sqref="H98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80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80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80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80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2" t="s">
        <v>367</v>
      </c>
      <c r="B1" s="52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81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81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4.4" x14ac:dyDescent="0.3"/>
  <cols>
    <col min="1" max="1" width="10.5546875" bestFit="1" customWidth="1"/>
    <col min="3" max="3" width="20" bestFit="1" customWidth="1"/>
    <col min="4" max="4" width="22.77734375" bestFit="1" customWidth="1"/>
    <col min="6" max="6" width="10" bestFit="1" customWidth="1"/>
    <col min="7" max="7" width="16.109375" bestFit="1" customWidth="1"/>
    <col min="8" max="8" width="13.77734375" bestFit="1" customWidth="1"/>
    <col min="12" max="12" width="24.109375" bestFit="1" customWidth="1"/>
    <col min="13" max="13" width="11.5546875" bestFit="1" customWidth="1"/>
  </cols>
  <sheetData>
    <row r="1" spans="1:1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3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3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3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3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3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3">
      <c r="L7" s="74" t="s">
        <v>352</v>
      </c>
      <c r="M7">
        <v>3750</v>
      </c>
    </row>
    <row r="8" spans="1:13" x14ac:dyDescent="0.3">
      <c r="L8" s="14">
        <v>8</v>
      </c>
      <c r="M8">
        <v>6635</v>
      </c>
    </row>
    <row r="9" spans="1:13" x14ac:dyDescent="0.3">
      <c r="L9" s="74" t="s">
        <v>508</v>
      </c>
      <c r="M9">
        <v>3750</v>
      </c>
    </row>
    <row r="10" spans="1:13" x14ac:dyDescent="0.3">
      <c r="L10" s="74" t="s">
        <v>351</v>
      </c>
      <c r="M10">
        <v>2885</v>
      </c>
    </row>
    <row r="11" spans="1:13" x14ac:dyDescent="0.3">
      <c r="L11" s="14" t="s">
        <v>80</v>
      </c>
      <c r="M11">
        <v>13544</v>
      </c>
    </row>
    <row r="16" spans="1:13" x14ac:dyDescent="0.3">
      <c r="F16">
        <v>84235</v>
      </c>
    </row>
    <row r="17" spans="6:6" x14ac:dyDescent="0.3">
      <c r="F17">
        <f>F16*10%</f>
        <v>8423.5</v>
      </c>
    </row>
    <row r="18" spans="6:6" x14ac:dyDescent="0.3">
      <c r="F18">
        <v>9000</v>
      </c>
    </row>
    <row r="19" spans="6:6" x14ac:dyDescent="0.3">
      <c r="F19">
        <f>F17+F18</f>
        <v>17423.5</v>
      </c>
    </row>
    <row r="20" spans="6:6" x14ac:dyDescent="0.3">
      <c r="F20">
        <v>6000</v>
      </c>
    </row>
    <row r="21" spans="6:6" x14ac:dyDescent="0.3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4.4" x14ac:dyDescent="0.3"/>
  <cols>
    <col min="2" max="2" width="32.77734375" bestFit="1" customWidth="1"/>
  </cols>
  <sheetData>
    <row r="1" spans="2:7" x14ac:dyDescent="0.3">
      <c r="B1" s="44" t="s">
        <v>663</v>
      </c>
      <c r="C1" s="44" t="s">
        <v>0</v>
      </c>
    </row>
    <row r="2" spans="2:7" x14ac:dyDescent="0.3">
      <c r="B2" s="2" t="s">
        <v>659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3">
      <c r="B3" s="2" t="s">
        <v>660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3">
      <c r="B4" s="2" t="s">
        <v>661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3">
      <c r="B5" s="2" t="s">
        <v>662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3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3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3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3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3">
      <c r="B10" s="2" t="s">
        <v>658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3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82" t="s">
        <v>299</v>
      </c>
      <c r="B1" s="82"/>
      <c r="C1" s="82"/>
      <c r="D1" s="82"/>
      <c r="E1" s="82"/>
      <c r="F1" s="82"/>
      <c r="G1" s="82"/>
      <c r="H1" s="82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3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3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3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3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workbookViewId="0">
      <selection activeCell="H50" sqref="H50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6640625" bestFit="1" customWidth="1"/>
    <col min="5" max="5" width="9" style="60" bestFit="1" customWidth="1"/>
    <col min="6" max="6" width="11" style="60" bestFit="1" customWidth="1"/>
    <col min="7" max="7" width="23.88671875" bestFit="1" customWidth="1"/>
    <col min="8" max="8" width="22.33203125" bestFit="1" customWidth="1"/>
    <col min="10" max="10" width="10.218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3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3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3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3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3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3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3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3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3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3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3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3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3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3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3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3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3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3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3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3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3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3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3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3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3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3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3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3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3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3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3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3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3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3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3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3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3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83" t="s">
        <v>471</v>
      </c>
      <c r="H38" s="10" t="s">
        <v>470</v>
      </c>
      <c r="I38" s="2"/>
    </row>
    <row r="39" spans="1:9" x14ac:dyDescent="0.3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83"/>
      <c r="H39" s="10" t="s">
        <v>470</v>
      </c>
      <c r="I39" s="2"/>
    </row>
    <row r="40" spans="1:9" x14ac:dyDescent="0.3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83"/>
      <c r="H40" s="10" t="s">
        <v>470</v>
      </c>
      <c r="I40" s="2"/>
    </row>
    <row r="41" spans="1:9" x14ac:dyDescent="0.3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3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3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3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B23" activeCellId="1" sqref="B16:B19 B23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5546875" bestFit="1" customWidth="1"/>
    <col min="5" max="5" width="9" bestFit="1" customWidth="1"/>
    <col min="6" max="6" width="10" bestFit="1" customWidth="1"/>
    <col min="7" max="7" width="17.5546875" bestFit="1" customWidth="1"/>
    <col min="8" max="8" width="15" bestFit="1" customWidth="1"/>
    <col min="9" max="9" width="21.886718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3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3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3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3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3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3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3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3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3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3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3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3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3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3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3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3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3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3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3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3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3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3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3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E25" sqref="E25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18.6640625" bestFit="1" customWidth="1"/>
    <col min="4" max="4" width="15.21875" bestFit="1" customWidth="1"/>
    <col min="5" max="5" width="9" bestFit="1" customWidth="1"/>
    <col min="6" max="6" width="11" bestFit="1" customWidth="1"/>
    <col min="7" max="7" width="18.7773437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3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3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3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3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3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3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3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3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3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4.4" x14ac:dyDescent="0.3"/>
  <sheetData>
    <row r="3" spans="1:1" x14ac:dyDescent="0.3">
      <c r="A3">
        <v>3000</v>
      </c>
    </row>
    <row r="4" spans="1:1" x14ac:dyDescent="0.3">
      <c r="A4">
        <v>5000</v>
      </c>
    </row>
    <row r="5" spans="1:1" x14ac:dyDescent="0.3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8.33203125" bestFit="1" customWidth="1"/>
    <col min="8" max="8" width="27.109375" bestFit="1" customWidth="1"/>
    <col min="9" max="9" width="19.1093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3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3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3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3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3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3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3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3">
      <c r="A29" s="2"/>
      <c r="B29" s="2"/>
      <c r="C29" s="2"/>
      <c r="D29" s="2"/>
      <c r="E29" s="2"/>
      <c r="F29" s="2"/>
      <c r="G29" s="2"/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4" workbookViewId="0">
      <selection activeCell="D26" sqref="D26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6.44140625" bestFit="1" customWidth="1"/>
    <col min="4" max="4" width="30.77734375" bestFit="1" customWidth="1"/>
    <col min="5" max="5" width="8.88671875" style="60"/>
    <col min="6" max="6" width="15.88671875" style="60" bestFit="1" customWidth="1"/>
    <col min="7" max="7" width="33.33203125" bestFit="1" customWidth="1"/>
    <col min="8" max="8" width="20.77734375" bestFit="1" customWidth="1"/>
  </cols>
  <sheetData>
    <row r="1" spans="1: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3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3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3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3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3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3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3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3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3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3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3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3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3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3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3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3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3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3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3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3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3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3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3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3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3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3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3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3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3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3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3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3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3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3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3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3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3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3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3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3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3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3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3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3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9" zoomScaleNormal="100" workbookViewId="0">
      <selection activeCell="N36" sqref="N36"/>
    </sheetView>
  </sheetViews>
  <sheetFormatPr defaultRowHeight="14.4" x14ac:dyDescent="0.3"/>
  <cols>
    <col min="1" max="1" width="10.5546875" bestFit="1" customWidth="1"/>
    <col min="3" max="3" width="26.6640625" bestFit="1" customWidth="1"/>
    <col min="4" max="4" width="29.6640625" bestFit="1" customWidth="1"/>
    <col min="5" max="5" width="10" style="60" bestFit="1" customWidth="1"/>
    <col min="6" max="6" width="10" bestFit="1" customWidth="1"/>
    <col min="7" max="7" width="26.109375" bestFit="1" customWidth="1"/>
    <col min="8" max="8" width="13.5546875" bestFit="1" customWidth="1"/>
    <col min="10" max="10" width="10.21875" bestFit="1" customWidth="1"/>
    <col min="11" max="11" width="19.1093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3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3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3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3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3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3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3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3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3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3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3">
      <c r="A12" s="49">
        <v>45860</v>
      </c>
      <c r="B12" s="10">
        <v>4</v>
      </c>
      <c r="C12" s="10" t="s">
        <v>419</v>
      </c>
      <c r="D12" s="10" t="s">
        <v>424</v>
      </c>
      <c r="E12" s="84">
        <v>400</v>
      </c>
      <c r="F12" s="50">
        <v>400</v>
      </c>
      <c r="G12" s="10" t="s">
        <v>565</v>
      </c>
      <c r="H12" s="2"/>
    </row>
    <row r="13" spans="1:13" x14ac:dyDescent="0.3">
      <c r="A13" s="49">
        <v>45860</v>
      </c>
      <c r="B13" s="10">
        <v>4</v>
      </c>
      <c r="C13" s="10" t="s">
        <v>425</v>
      </c>
      <c r="D13" s="10" t="s">
        <v>424</v>
      </c>
      <c r="E13" s="84"/>
      <c r="F13" s="50">
        <f t="shared" si="0"/>
        <v>0</v>
      </c>
      <c r="G13" s="10" t="s">
        <v>565</v>
      </c>
      <c r="H13" s="2"/>
    </row>
    <row r="14" spans="1:13" x14ac:dyDescent="0.3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3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3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3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3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3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3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3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3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3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3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3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3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3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3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3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3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3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3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3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3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3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3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3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3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3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3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3">
      <c r="C42" s="2"/>
      <c r="D42" s="2"/>
    </row>
    <row r="43" spans="1:8" x14ac:dyDescent="0.3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5" workbookViewId="0">
      <selection sqref="A1:I1"/>
    </sheetView>
  </sheetViews>
  <sheetFormatPr defaultRowHeight="14.4" x14ac:dyDescent="0.3"/>
  <cols>
    <col min="1" max="2" width="10.5546875" bestFit="1" customWidth="1"/>
    <col min="3" max="3" width="33" bestFit="1" customWidth="1"/>
    <col min="4" max="4" width="31.109375" bestFit="1" customWidth="1"/>
    <col min="5" max="5" width="7.5546875" customWidth="1"/>
    <col min="6" max="6" width="10" customWidth="1"/>
    <col min="7" max="7" width="34" bestFit="1" customWidth="1"/>
    <col min="8" max="8" width="10.5546875" customWidth="1"/>
    <col min="9" max="9" width="18.218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3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3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3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3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3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3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3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3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3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3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3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3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3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3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3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3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3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3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3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3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3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3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3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3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3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3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3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3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3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3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3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3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3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topLeftCell="A7" workbookViewId="0">
      <selection activeCell="L24" sqref="L24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32.77734375" bestFit="1" customWidth="1"/>
    <col min="4" max="4" width="29" bestFit="1" customWidth="1"/>
    <col min="5" max="5" width="9" bestFit="1" customWidth="1"/>
    <col min="6" max="6" width="10" bestFit="1" customWidth="1"/>
    <col min="7" max="7" width="19.109375" bestFit="1" customWidth="1"/>
    <col min="8" max="8" width="15.109375" bestFit="1" customWidth="1"/>
    <col min="9" max="9" width="17.55468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3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3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3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3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3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3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3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3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3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3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3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3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3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3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3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3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3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3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3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3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3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3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3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3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695</v>
      </c>
    </row>
    <row r="26" spans="1:9" x14ac:dyDescent="0.3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695</v>
      </c>
    </row>
    <row r="27" spans="1:9" x14ac:dyDescent="0.3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695</v>
      </c>
    </row>
    <row r="28" spans="1:9" x14ac:dyDescent="0.3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695</v>
      </c>
    </row>
    <row r="29" spans="1:9" x14ac:dyDescent="0.3">
      <c r="A29" s="68"/>
      <c r="B29" s="2"/>
      <c r="C29" s="2"/>
      <c r="D29" s="2"/>
      <c r="E29" s="65"/>
      <c r="F29" s="65"/>
      <c r="G29" s="2"/>
      <c r="H29" s="2"/>
      <c r="I29" s="2"/>
    </row>
  </sheetData>
  <autoFilter ref="A1:G24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O55"/>
  <sheetViews>
    <sheetView tabSelected="1" workbookViewId="0">
      <selection activeCell="C9" sqref="C9"/>
    </sheetView>
  </sheetViews>
  <sheetFormatPr defaultRowHeight="14.4" x14ac:dyDescent="0.3"/>
  <cols>
    <col min="1" max="1" width="7" bestFit="1" customWidth="1"/>
    <col min="2" max="2" width="8.44140625" bestFit="1" customWidth="1"/>
    <col min="3" max="3" width="33.77734375" customWidth="1"/>
    <col min="4" max="4" width="23.6640625" bestFit="1" customWidth="1"/>
    <col min="5" max="5" width="9" style="60" bestFit="1" customWidth="1"/>
    <col min="6" max="6" width="10" style="60" bestFit="1" customWidth="1"/>
    <col min="7" max="7" width="22.5546875" bestFit="1" customWidth="1"/>
    <col min="8" max="8" width="7.88671875" bestFit="1" customWidth="1"/>
    <col min="9" max="9" width="12.88671875" bestFit="1" customWidth="1"/>
    <col min="12" max="12" width="22.44140625" hidden="1" customWidth="1"/>
    <col min="13" max="13" width="12.77734375" hidden="1" customWidth="1"/>
    <col min="14" max="15" width="0" hidden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5" x14ac:dyDescent="0.3">
      <c r="A2" s="85">
        <v>45964</v>
      </c>
      <c r="B2" s="86">
        <v>10</v>
      </c>
      <c r="C2" s="86" t="s">
        <v>647</v>
      </c>
      <c r="D2" s="86" t="s">
        <v>335</v>
      </c>
      <c r="E2" s="87">
        <v>410</v>
      </c>
      <c r="F2" s="87">
        <f>E2*B2</f>
        <v>4100</v>
      </c>
      <c r="G2" s="86" t="s">
        <v>648</v>
      </c>
      <c r="H2" s="85">
        <v>45966</v>
      </c>
      <c r="I2" s="86"/>
      <c r="L2" s="76" t="s">
        <v>697</v>
      </c>
      <c r="M2" s="77">
        <v>45979</v>
      </c>
    </row>
    <row r="3" spans="1:15" x14ac:dyDescent="0.3">
      <c r="A3" s="85">
        <v>45964</v>
      </c>
      <c r="B3" s="86">
        <v>7</v>
      </c>
      <c r="C3" s="86" t="s">
        <v>642</v>
      </c>
      <c r="D3" s="86" t="s">
        <v>59</v>
      </c>
      <c r="E3" s="87">
        <v>150</v>
      </c>
      <c r="F3" s="87">
        <f>E3*B3</f>
        <v>1050</v>
      </c>
      <c r="G3" s="86" t="s">
        <v>648</v>
      </c>
      <c r="H3" s="85">
        <v>45966</v>
      </c>
      <c r="I3" s="86"/>
      <c r="L3" s="44"/>
      <c r="M3" s="44"/>
    </row>
    <row r="4" spans="1:15" x14ac:dyDescent="0.3">
      <c r="A4" s="85">
        <v>45963</v>
      </c>
      <c r="B4" s="86">
        <v>4</v>
      </c>
      <c r="C4" s="86" t="s">
        <v>642</v>
      </c>
      <c r="D4" s="86" t="s">
        <v>30</v>
      </c>
      <c r="E4" s="87">
        <v>150</v>
      </c>
      <c r="F4" s="87">
        <f t="shared" ref="F4:F54" si="0">E4*B4</f>
        <v>600</v>
      </c>
      <c r="G4" s="86" t="s">
        <v>649</v>
      </c>
      <c r="H4" s="85">
        <v>45966</v>
      </c>
      <c r="I4" s="86"/>
      <c r="L4" s="44" t="s">
        <v>1</v>
      </c>
      <c r="M4" s="44" t="s">
        <v>81</v>
      </c>
    </row>
    <row r="5" spans="1:15" x14ac:dyDescent="0.3">
      <c r="A5" s="85">
        <v>45963</v>
      </c>
      <c r="B5" s="86">
        <v>4</v>
      </c>
      <c r="C5" s="86" t="s">
        <v>643</v>
      </c>
      <c r="D5" s="86" t="s">
        <v>30</v>
      </c>
      <c r="E5" s="87">
        <v>150</v>
      </c>
      <c r="F5" s="87">
        <f t="shared" si="0"/>
        <v>600</v>
      </c>
      <c r="G5" s="86" t="s">
        <v>649</v>
      </c>
      <c r="H5" s="85">
        <v>45966</v>
      </c>
      <c r="I5" s="86"/>
      <c r="L5" s="2" t="s">
        <v>682</v>
      </c>
      <c r="M5" s="2">
        <v>10</v>
      </c>
      <c r="N5">
        <v>3300</v>
      </c>
      <c r="O5">
        <f>M5*N5</f>
        <v>33000</v>
      </c>
    </row>
    <row r="6" spans="1:15" x14ac:dyDescent="0.3">
      <c r="A6" s="85">
        <v>45965</v>
      </c>
      <c r="B6" s="86">
        <v>20</v>
      </c>
      <c r="C6" s="86" t="s">
        <v>653</v>
      </c>
      <c r="D6" s="86" t="s">
        <v>349</v>
      </c>
      <c r="E6" s="87">
        <v>1063</v>
      </c>
      <c r="F6" s="87">
        <f t="shared" si="0"/>
        <v>21260</v>
      </c>
      <c r="G6" s="86" t="s">
        <v>657</v>
      </c>
      <c r="H6" s="85">
        <v>45966</v>
      </c>
      <c r="I6" s="86" t="s">
        <v>655</v>
      </c>
      <c r="L6" s="2" t="s">
        <v>681</v>
      </c>
      <c r="M6" s="2">
        <v>5</v>
      </c>
      <c r="N6">
        <v>2500</v>
      </c>
      <c r="O6">
        <f t="shared" ref="O6:O11" si="1">M6*N6</f>
        <v>12500</v>
      </c>
    </row>
    <row r="7" spans="1:15" x14ac:dyDescent="0.3">
      <c r="A7" s="85">
        <v>45965</v>
      </c>
      <c r="B7" s="86">
        <v>12</v>
      </c>
      <c r="C7" s="86" t="s">
        <v>654</v>
      </c>
      <c r="D7" s="86" t="s">
        <v>118</v>
      </c>
      <c r="E7" s="87">
        <v>3375</v>
      </c>
      <c r="F7" s="87">
        <f t="shared" si="0"/>
        <v>40500</v>
      </c>
      <c r="G7" s="86" t="s">
        <v>657</v>
      </c>
      <c r="H7" s="85">
        <v>45966</v>
      </c>
      <c r="I7" s="86"/>
      <c r="L7" s="2" t="s">
        <v>696</v>
      </c>
      <c r="M7" s="2">
        <v>62</v>
      </c>
      <c r="N7">
        <v>410</v>
      </c>
      <c r="O7">
        <f t="shared" si="1"/>
        <v>25420</v>
      </c>
    </row>
    <row r="8" spans="1:15" x14ac:dyDescent="0.3">
      <c r="A8" s="85">
        <v>45965</v>
      </c>
      <c r="B8" s="86">
        <v>2</v>
      </c>
      <c r="C8" s="86" t="s">
        <v>664</v>
      </c>
      <c r="D8" s="86" t="s">
        <v>118</v>
      </c>
      <c r="E8" s="87">
        <v>88</v>
      </c>
      <c r="F8" s="87">
        <f t="shared" si="0"/>
        <v>176</v>
      </c>
      <c r="G8" s="86" t="s">
        <v>657</v>
      </c>
      <c r="H8" s="85">
        <v>45966</v>
      </c>
      <c r="I8" s="86" t="s">
        <v>656</v>
      </c>
      <c r="L8" s="2" t="s">
        <v>645</v>
      </c>
      <c r="M8" s="2">
        <v>5</v>
      </c>
      <c r="N8">
        <v>1400</v>
      </c>
      <c r="O8">
        <f t="shared" si="1"/>
        <v>7000</v>
      </c>
    </row>
    <row r="9" spans="1:15" x14ac:dyDescent="0.3">
      <c r="A9" s="85">
        <v>45966</v>
      </c>
      <c r="B9" s="86">
        <v>30</v>
      </c>
      <c r="C9" s="86" t="s">
        <v>696</v>
      </c>
      <c r="D9" s="86" t="s">
        <v>335</v>
      </c>
      <c r="E9" s="87">
        <v>410</v>
      </c>
      <c r="F9" s="87">
        <f t="shared" si="0"/>
        <v>12300</v>
      </c>
      <c r="G9" s="86" t="s">
        <v>680</v>
      </c>
      <c r="H9" s="85">
        <v>45979</v>
      </c>
      <c r="I9" s="86"/>
      <c r="L9" s="2" t="s">
        <v>673</v>
      </c>
      <c r="M9" s="2">
        <v>1</v>
      </c>
      <c r="N9">
        <v>1257</v>
      </c>
      <c r="O9">
        <f t="shared" si="1"/>
        <v>1257</v>
      </c>
    </row>
    <row r="10" spans="1:15" x14ac:dyDescent="0.3">
      <c r="A10" s="85">
        <v>45969</v>
      </c>
      <c r="B10" s="86">
        <v>1</v>
      </c>
      <c r="C10" s="86" t="s">
        <v>665</v>
      </c>
      <c r="D10" s="86" t="s">
        <v>496</v>
      </c>
      <c r="E10" s="87">
        <v>450</v>
      </c>
      <c r="F10" s="87">
        <f t="shared" si="0"/>
        <v>450</v>
      </c>
      <c r="G10" s="86" t="s">
        <v>365</v>
      </c>
      <c r="H10" s="85">
        <v>45979</v>
      </c>
      <c r="I10" s="86"/>
      <c r="L10" s="2" t="s">
        <v>674</v>
      </c>
      <c r="M10" s="2">
        <v>7</v>
      </c>
      <c r="N10">
        <v>1357</v>
      </c>
      <c r="O10">
        <f t="shared" si="1"/>
        <v>9499</v>
      </c>
    </row>
    <row r="11" spans="1:15" x14ac:dyDescent="0.3">
      <c r="A11" s="85">
        <v>45969</v>
      </c>
      <c r="B11" s="86">
        <v>1</v>
      </c>
      <c r="C11" s="86" t="s">
        <v>665</v>
      </c>
      <c r="D11" s="86" t="s">
        <v>492</v>
      </c>
      <c r="E11" s="87">
        <v>450</v>
      </c>
      <c r="F11" s="87">
        <f t="shared" si="0"/>
        <v>450</v>
      </c>
      <c r="G11" s="86" t="s">
        <v>365</v>
      </c>
      <c r="H11" s="85">
        <v>45979</v>
      </c>
      <c r="I11" s="86"/>
      <c r="L11" s="2" t="s">
        <v>665</v>
      </c>
      <c r="M11" s="2">
        <v>36</v>
      </c>
      <c r="N11">
        <v>449</v>
      </c>
      <c r="O11">
        <f t="shared" si="1"/>
        <v>16164</v>
      </c>
    </row>
    <row r="12" spans="1:15" x14ac:dyDescent="0.3">
      <c r="A12" s="85">
        <v>45969</v>
      </c>
      <c r="B12" s="86">
        <v>4</v>
      </c>
      <c r="C12" s="86" t="s">
        <v>665</v>
      </c>
      <c r="D12" s="86" t="s">
        <v>493</v>
      </c>
      <c r="E12" s="87">
        <v>450</v>
      </c>
      <c r="F12" s="87">
        <f t="shared" si="0"/>
        <v>1800</v>
      </c>
      <c r="G12" s="86" t="s">
        <v>365</v>
      </c>
      <c r="H12" s="85">
        <v>45979</v>
      </c>
      <c r="I12" s="86"/>
      <c r="L12" s="2" t="s">
        <v>80</v>
      </c>
      <c r="M12" s="2">
        <v>128</v>
      </c>
      <c r="O12">
        <f>SUM(O5:O11)</f>
        <v>104840</v>
      </c>
    </row>
    <row r="13" spans="1:15" x14ac:dyDescent="0.3">
      <c r="A13" s="85">
        <v>45969</v>
      </c>
      <c r="B13" s="86">
        <v>5</v>
      </c>
      <c r="C13" s="86" t="s">
        <v>665</v>
      </c>
      <c r="D13" s="86" t="s">
        <v>666</v>
      </c>
      <c r="E13" s="87">
        <v>450</v>
      </c>
      <c r="F13" s="87">
        <f t="shared" si="0"/>
        <v>2250</v>
      </c>
      <c r="G13" s="86" t="s">
        <v>365</v>
      </c>
      <c r="H13" s="85">
        <v>45979</v>
      </c>
      <c r="I13" s="86"/>
    </row>
    <row r="14" spans="1:15" x14ac:dyDescent="0.3">
      <c r="A14" s="85">
        <v>45969</v>
      </c>
      <c r="B14" s="86">
        <v>11</v>
      </c>
      <c r="C14" s="86" t="s">
        <v>665</v>
      </c>
      <c r="D14" s="86" t="s">
        <v>494</v>
      </c>
      <c r="E14" s="87">
        <v>450</v>
      </c>
      <c r="F14" s="87">
        <f t="shared" si="0"/>
        <v>4950</v>
      </c>
      <c r="G14" s="86" t="s">
        <v>365</v>
      </c>
      <c r="H14" s="85">
        <v>45979</v>
      </c>
      <c r="I14" s="86"/>
    </row>
    <row r="15" spans="1:15" x14ac:dyDescent="0.3">
      <c r="A15" s="85">
        <v>45970</v>
      </c>
      <c r="B15" s="86">
        <v>10</v>
      </c>
      <c r="C15" s="86" t="s">
        <v>665</v>
      </c>
      <c r="D15" s="86" t="s">
        <v>501</v>
      </c>
      <c r="E15" s="87">
        <v>450</v>
      </c>
      <c r="F15" s="87">
        <f t="shared" si="0"/>
        <v>4500</v>
      </c>
      <c r="G15" s="86" t="s">
        <v>365</v>
      </c>
      <c r="H15" s="85">
        <v>45979</v>
      </c>
      <c r="I15" s="86"/>
    </row>
    <row r="16" spans="1:15" x14ac:dyDescent="0.3">
      <c r="A16" s="85">
        <v>45970</v>
      </c>
      <c r="B16" s="86">
        <v>1</v>
      </c>
      <c r="C16" s="86" t="s">
        <v>673</v>
      </c>
      <c r="D16" s="86" t="s">
        <v>120</v>
      </c>
      <c r="E16" s="87">
        <v>1358</v>
      </c>
      <c r="F16" s="87">
        <f t="shared" si="0"/>
        <v>1358</v>
      </c>
      <c r="G16" s="86" t="s">
        <v>365</v>
      </c>
      <c r="H16" s="85">
        <v>45979</v>
      </c>
      <c r="I16" s="86" t="s">
        <v>115</v>
      </c>
    </row>
    <row r="17" spans="1:9" x14ac:dyDescent="0.3">
      <c r="A17" s="85">
        <v>45970</v>
      </c>
      <c r="B17" s="86">
        <v>2</v>
      </c>
      <c r="C17" s="86" t="s">
        <v>674</v>
      </c>
      <c r="D17" s="86" t="s">
        <v>675</v>
      </c>
      <c r="E17" s="87">
        <v>1403</v>
      </c>
      <c r="F17" s="87">
        <f t="shared" si="0"/>
        <v>2806</v>
      </c>
      <c r="G17" s="86" t="s">
        <v>365</v>
      </c>
      <c r="H17" s="85">
        <v>45979</v>
      </c>
      <c r="I17" s="86"/>
    </row>
    <row r="18" spans="1:9" x14ac:dyDescent="0.3">
      <c r="A18" s="85">
        <v>45970</v>
      </c>
      <c r="B18" s="86">
        <v>1</v>
      </c>
      <c r="C18" s="86" t="s">
        <v>665</v>
      </c>
      <c r="D18" s="86" t="s">
        <v>675</v>
      </c>
      <c r="E18" s="87">
        <v>474</v>
      </c>
      <c r="F18" s="87">
        <f t="shared" si="0"/>
        <v>474</v>
      </c>
      <c r="G18" s="86" t="s">
        <v>365</v>
      </c>
      <c r="H18" s="85">
        <v>45979</v>
      </c>
      <c r="I18" s="86"/>
    </row>
    <row r="19" spans="1:9" x14ac:dyDescent="0.3">
      <c r="A19" s="85">
        <v>45970</v>
      </c>
      <c r="B19" s="86">
        <v>1</v>
      </c>
      <c r="C19" s="86" t="s">
        <v>674</v>
      </c>
      <c r="D19" s="86" t="s">
        <v>19</v>
      </c>
      <c r="E19" s="87">
        <v>1403</v>
      </c>
      <c r="F19" s="87">
        <f t="shared" si="0"/>
        <v>1403</v>
      </c>
      <c r="G19" s="86" t="s">
        <v>8</v>
      </c>
      <c r="H19" s="85">
        <v>45979</v>
      </c>
      <c r="I19" s="86"/>
    </row>
    <row r="20" spans="1:9" x14ac:dyDescent="0.3">
      <c r="A20" s="85">
        <v>45970</v>
      </c>
      <c r="B20" s="86">
        <v>1</v>
      </c>
      <c r="C20" s="86" t="s">
        <v>674</v>
      </c>
      <c r="D20" s="86" t="s">
        <v>19</v>
      </c>
      <c r="E20" s="87">
        <v>1403</v>
      </c>
      <c r="F20" s="87">
        <f t="shared" si="0"/>
        <v>1403</v>
      </c>
      <c r="G20" s="86" t="s">
        <v>688</v>
      </c>
      <c r="H20" s="85">
        <v>45979</v>
      </c>
      <c r="I20" s="86"/>
    </row>
    <row r="21" spans="1:9" x14ac:dyDescent="0.3">
      <c r="A21" s="85">
        <v>45970</v>
      </c>
      <c r="B21" s="86">
        <v>2</v>
      </c>
      <c r="C21" s="86" t="s">
        <v>665</v>
      </c>
      <c r="D21" s="86" t="s">
        <v>496</v>
      </c>
      <c r="E21" s="87">
        <v>450</v>
      </c>
      <c r="F21" s="87">
        <f t="shared" si="0"/>
        <v>900</v>
      </c>
      <c r="G21" s="86" t="s">
        <v>8</v>
      </c>
      <c r="H21" s="85">
        <v>45979</v>
      </c>
      <c r="I21" s="86"/>
    </row>
    <row r="22" spans="1:9" x14ac:dyDescent="0.3">
      <c r="A22" s="85">
        <v>45970</v>
      </c>
      <c r="B22" s="86">
        <v>1</v>
      </c>
      <c r="C22" s="86" t="s">
        <v>674</v>
      </c>
      <c r="D22" s="86" t="s">
        <v>676</v>
      </c>
      <c r="E22" s="87">
        <v>1403</v>
      </c>
      <c r="F22" s="87">
        <f t="shared" si="0"/>
        <v>1403</v>
      </c>
      <c r="G22" s="86" t="s">
        <v>8</v>
      </c>
      <c r="H22" s="85">
        <v>45979</v>
      </c>
      <c r="I22" s="86"/>
    </row>
    <row r="23" spans="1:9" x14ac:dyDescent="0.3">
      <c r="A23" s="85">
        <v>45970</v>
      </c>
      <c r="B23" s="86">
        <v>1</v>
      </c>
      <c r="C23" s="86" t="s">
        <v>674</v>
      </c>
      <c r="D23" s="86" t="s">
        <v>677</v>
      </c>
      <c r="E23" s="87">
        <v>1403</v>
      </c>
      <c r="F23" s="87">
        <f t="shared" si="0"/>
        <v>1403</v>
      </c>
      <c r="G23" s="86" t="s">
        <v>8</v>
      </c>
      <c r="H23" s="85">
        <v>45979</v>
      </c>
      <c r="I23" s="86"/>
    </row>
    <row r="24" spans="1:9" x14ac:dyDescent="0.3">
      <c r="A24" s="85">
        <v>45970</v>
      </c>
      <c r="B24" s="86">
        <v>1</v>
      </c>
      <c r="C24" s="86" t="s">
        <v>674</v>
      </c>
      <c r="D24" s="86" t="s">
        <v>677</v>
      </c>
      <c r="E24" s="87">
        <v>1403</v>
      </c>
      <c r="F24" s="87">
        <f t="shared" si="0"/>
        <v>1403</v>
      </c>
      <c r="G24" s="86" t="s">
        <v>8</v>
      </c>
      <c r="H24" s="85">
        <v>45979</v>
      </c>
      <c r="I24" s="86"/>
    </row>
    <row r="25" spans="1:9" x14ac:dyDescent="0.3">
      <c r="A25" s="85">
        <v>45970</v>
      </c>
      <c r="B25" s="86">
        <v>5</v>
      </c>
      <c r="C25" s="86" t="s">
        <v>665</v>
      </c>
      <c r="D25" s="86" t="s">
        <v>495</v>
      </c>
      <c r="E25" s="87">
        <v>450</v>
      </c>
      <c r="F25" s="87">
        <f t="shared" si="0"/>
        <v>2250</v>
      </c>
      <c r="G25" s="86" t="s">
        <v>8</v>
      </c>
      <c r="H25" s="86"/>
      <c r="I25" s="86"/>
    </row>
    <row r="26" spans="1:9" x14ac:dyDescent="0.3">
      <c r="A26" s="88">
        <v>45970</v>
      </c>
      <c r="B26" s="89">
        <v>3</v>
      </c>
      <c r="C26" s="89" t="s">
        <v>673</v>
      </c>
      <c r="D26" s="89" t="s">
        <v>678</v>
      </c>
      <c r="E26" s="90">
        <v>1358</v>
      </c>
      <c r="F26" s="90">
        <f t="shared" si="0"/>
        <v>4074</v>
      </c>
      <c r="G26" s="89" t="s">
        <v>62</v>
      </c>
      <c r="H26" s="89"/>
      <c r="I26" s="89" t="s">
        <v>115</v>
      </c>
    </row>
    <row r="27" spans="1:9" x14ac:dyDescent="0.3">
      <c r="A27" s="88">
        <v>45970</v>
      </c>
      <c r="B27" s="89">
        <v>3</v>
      </c>
      <c r="C27" s="89" t="s">
        <v>674</v>
      </c>
      <c r="D27" s="89" t="s">
        <v>678</v>
      </c>
      <c r="E27" s="90">
        <v>1477</v>
      </c>
      <c r="F27" s="90">
        <f t="shared" si="0"/>
        <v>4431</v>
      </c>
      <c r="G27" s="89" t="s">
        <v>62</v>
      </c>
      <c r="H27" s="89"/>
      <c r="I27" s="89" t="s">
        <v>115</v>
      </c>
    </row>
    <row r="28" spans="1:9" x14ac:dyDescent="0.3">
      <c r="A28" s="85">
        <v>45970</v>
      </c>
      <c r="B28" s="86">
        <v>5</v>
      </c>
      <c r="C28" s="86" t="s">
        <v>696</v>
      </c>
      <c r="D28" s="86" t="s">
        <v>335</v>
      </c>
      <c r="E28" s="87">
        <v>410</v>
      </c>
      <c r="F28" s="87">
        <f t="shared" si="0"/>
        <v>2050</v>
      </c>
      <c r="G28" s="86" t="s">
        <v>694</v>
      </c>
      <c r="H28" s="85">
        <v>45979</v>
      </c>
      <c r="I28" s="86"/>
    </row>
    <row r="29" spans="1:9" x14ac:dyDescent="0.3">
      <c r="A29" s="85">
        <v>45972</v>
      </c>
      <c r="B29" s="86">
        <v>30</v>
      </c>
      <c r="C29" s="86" t="s">
        <v>696</v>
      </c>
      <c r="D29" s="86" t="s">
        <v>335</v>
      </c>
      <c r="E29" s="87">
        <v>410</v>
      </c>
      <c r="F29" s="87">
        <f t="shared" si="0"/>
        <v>12300</v>
      </c>
      <c r="G29" s="86" t="s">
        <v>684</v>
      </c>
      <c r="H29" s="85">
        <v>45979</v>
      </c>
      <c r="I29" s="86"/>
    </row>
    <row r="30" spans="1:9" x14ac:dyDescent="0.3">
      <c r="A30" s="85">
        <v>45972</v>
      </c>
      <c r="B30" s="86">
        <v>5</v>
      </c>
      <c r="C30" s="86" t="s">
        <v>645</v>
      </c>
      <c r="D30" s="86" t="s">
        <v>335</v>
      </c>
      <c r="E30" s="87">
        <v>1400</v>
      </c>
      <c r="F30" s="87">
        <f t="shared" si="0"/>
        <v>7000</v>
      </c>
      <c r="G30" s="86" t="s">
        <v>685</v>
      </c>
      <c r="H30" s="85">
        <v>45979</v>
      </c>
      <c r="I30" s="86"/>
    </row>
    <row r="31" spans="1:9" x14ac:dyDescent="0.3">
      <c r="A31" s="85">
        <v>45972</v>
      </c>
      <c r="B31" s="86">
        <v>5</v>
      </c>
      <c r="C31" s="86" t="s">
        <v>681</v>
      </c>
      <c r="D31" s="86" t="s">
        <v>335</v>
      </c>
      <c r="E31" s="87">
        <v>2500</v>
      </c>
      <c r="F31" s="87">
        <f t="shared" si="0"/>
        <v>12500</v>
      </c>
      <c r="G31" s="86" t="s">
        <v>686</v>
      </c>
      <c r="H31" s="85">
        <v>45979</v>
      </c>
      <c r="I31" s="86"/>
    </row>
    <row r="32" spans="1:9" x14ac:dyDescent="0.3">
      <c r="A32" s="85">
        <v>45972</v>
      </c>
      <c r="B32" s="86">
        <v>10</v>
      </c>
      <c r="C32" s="86" t="s">
        <v>682</v>
      </c>
      <c r="D32" s="86" t="s">
        <v>335</v>
      </c>
      <c r="E32" s="87">
        <v>3300</v>
      </c>
      <c r="F32" s="87">
        <f t="shared" si="0"/>
        <v>33000</v>
      </c>
      <c r="G32" s="86" t="s">
        <v>687</v>
      </c>
      <c r="H32" s="85">
        <v>45979</v>
      </c>
      <c r="I32" s="86"/>
    </row>
    <row r="33" spans="1:9" x14ac:dyDescent="0.3">
      <c r="A33" s="88">
        <v>45978</v>
      </c>
      <c r="B33" s="89">
        <v>9</v>
      </c>
      <c r="C33" s="89" t="s">
        <v>683</v>
      </c>
      <c r="D33" s="89" t="s">
        <v>678</v>
      </c>
      <c r="E33" s="90">
        <v>625</v>
      </c>
      <c r="F33" s="90">
        <f t="shared" si="0"/>
        <v>5625</v>
      </c>
      <c r="G33" s="89" t="s">
        <v>62</v>
      </c>
      <c r="H33" s="89"/>
      <c r="I33" s="89" t="s">
        <v>115</v>
      </c>
    </row>
    <row r="34" spans="1:9" x14ac:dyDescent="0.3">
      <c r="A34" s="85">
        <v>45978</v>
      </c>
      <c r="B34" s="86">
        <v>1</v>
      </c>
      <c r="C34" s="86" t="s">
        <v>690</v>
      </c>
      <c r="D34" s="86" t="s">
        <v>689</v>
      </c>
      <c r="E34" s="87">
        <v>329</v>
      </c>
      <c r="F34" s="87">
        <f t="shared" si="0"/>
        <v>329</v>
      </c>
      <c r="G34" s="86"/>
      <c r="H34" s="86"/>
      <c r="I34" s="86"/>
    </row>
    <row r="35" spans="1:9" x14ac:dyDescent="0.3">
      <c r="A35" s="85">
        <v>45978</v>
      </c>
      <c r="B35" s="86">
        <v>1</v>
      </c>
      <c r="C35" s="86" t="s">
        <v>542</v>
      </c>
      <c r="D35" s="86" t="s">
        <v>691</v>
      </c>
      <c r="E35" s="87">
        <v>5000</v>
      </c>
      <c r="F35" s="87">
        <f t="shared" si="0"/>
        <v>5000</v>
      </c>
      <c r="G35" s="86"/>
      <c r="H35" s="86"/>
      <c r="I35" s="86"/>
    </row>
    <row r="36" spans="1:9" x14ac:dyDescent="0.3">
      <c r="A36" s="88">
        <v>45979</v>
      </c>
      <c r="B36" s="89">
        <v>2</v>
      </c>
      <c r="C36" s="89" t="s">
        <v>692</v>
      </c>
      <c r="D36" s="89" t="s">
        <v>101</v>
      </c>
      <c r="E36" s="90">
        <v>454</v>
      </c>
      <c r="F36" s="90">
        <f t="shared" si="0"/>
        <v>908</v>
      </c>
      <c r="G36" s="89" t="s">
        <v>62</v>
      </c>
      <c r="H36" s="89"/>
      <c r="I36" s="89"/>
    </row>
    <row r="37" spans="1:9" x14ac:dyDescent="0.3">
      <c r="A37" s="88">
        <v>45979</v>
      </c>
      <c r="B37" s="89">
        <v>2</v>
      </c>
      <c r="C37" s="89" t="s">
        <v>692</v>
      </c>
      <c r="D37" s="89" t="s">
        <v>101</v>
      </c>
      <c r="E37" s="90">
        <v>454</v>
      </c>
      <c r="F37" s="90">
        <f t="shared" si="0"/>
        <v>908</v>
      </c>
      <c r="G37" s="89" t="s">
        <v>62</v>
      </c>
      <c r="H37" s="89"/>
      <c r="I37" s="89"/>
    </row>
    <row r="38" spans="1:9" x14ac:dyDescent="0.3">
      <c r="A38" s="88">
        <v>45979</v>
      </c>
      <c r="B38" s="89">
        <v>2</v>
      </c>
      <c r="C38" s="89" t="s">
        <v>692</v>
      </c>
      <c r="D38" s="89" t="s">
        <v>693</v>
      </c>
      <c r="E38" s="90">
        <v>454</v>
      </c>
      <c r="F38" s="90">
        <f t="shared" si="0"/>
        <v>908</v>
      </c>
      <c r="G38" s="89" t="s">
        <v>62</v>
      </c>
      <c r="H38" s="89"/>
      <c r="I38" s="89"/>
    </row>
    <row r="39" spans="1:9" x14ac:dyDescent="0.3">
      <c r="A39" s="88">
        <v>45979</v>
      </c>
      <c r="B39" s="89">
        <v>2</v>
      </c>
      <c r="C39" s="89" t="s">
        <v>692</v>
      </c>
      <c r="D39" s="89" t="s">
        <v>693</v>
      </c>
      <c r="E39" s="90">
        <v>454</v>
      </c>
      <c r="F39" s="90">
        <f t="shared" si="0"/>
        <v>908</v>
      </c>
      <c r="G39" s="89" t="s">
        <v>62</v>
      </c>
      <c r="H39" s="89"/>
      <c r="I39" s="89"/>
    </row>
    <row r="40" spans="1:9" x14ac:dyDescent="0.3">
      <c r="A40" s="88">
        <v>45979</v>
      </c>
      <c r="B40" s="89">
        <v>2</v>
      </c>
      <c r="C40" s="89" t="s">
        <v>692</v>
      </c>
      <c r="D40" s="89" t="s">
        <v>693</v>
      </c>
      <c r="E40" s="90">
        <v>454</v>
      </c>
      <c r="F40" s="90">
        <f t="shared" si="0"/>
        <v>908</v>
      </c>
      <c r="G40" s="89" t="s">
        <v>62</v>
      </c>
      <c r="H40" s="89"/>
      <c r="I40" s="89"/>
    </row>
    <row r="41" spans="1:9" x14ac:dyDescent="0.3">
      <c r="A41" s="85">
        <v>45979</v>
      </c>
      <c r="B41" s="86">
        <v>3</v>
      </c>
      <c r="C41" s="86" t="s">
        <v>642</v>
      </c>
      <c r="D41" s="86" t="s">
        <v>693</v>
      </c>
      <c r="E41" s="87">
        <v>130</v>
      </c>
      <c r="F41" s="87">
        <f t="shared" si="0"/>
        <v>390</v>
      </c>
      <c r="G41" s="86" t="s">
        <v>8</v>
      </c>
      <c r="H41" s="86"/>
      <c r="I41" s="86"/>
    </row>
    <row r="42" spans="1:9" x14ac:dyDescent="0.3">
      <c r="A42" s="85">
        <v>45980</v>
      </c>
      <c r="B42" s="86">
        <v>6</v>
      </c>
      <c r="C42" s="86" t="s">
        <v>642</v>
      </c>
      <c r="D42" s="86" t="s">
        <v>693</v>
      </c>
      <c r="E42" s="87">
        <v>130</v>
      </c>
      <c r="F42" s="87">
        <f t="shared" si="0"/>
        <v>780</v>
      </c>
      <c r="G42" s="86" t="s">
        <v>8</v>
      </c>
      <c r="H42" s="86"/>
      <c r="I42" s="86"/>
    </row>
    <row r="43" spans="1:9" x14ac:dyDescent="0.3">
      <c r="A43" s="85">
        <v>45980</v>
      </c>
      <c r="B43" s="86">
        <v>10</v>
      </c>
      <c r="C43" s="86" t="s">
        <v>559</v>
      </c>
      <c r="D43" s="86" t="s">
        <v>693</v>
      </c>
      <c r="E43" s="87">
        <v>39</v>
      </c>
      <c r="F43" s="87">
        <f t="shared" si="0"/>
        <v>390</v>
      </c>
      <c r="G43" s="86" t="s">
        <v>8</v>
      </c>
      <c r="H43" s="86"/>
      <c r="I43" s="86"/>
    </row>
    <row r="44" spans="1:9" x14ac:dyDescent="0.3">
      <c r="A44" s="85">
        <v>45980</v>
      </c>
      <c r="B44" s="86">
        <v>6</v>
      </c>
      <c r="C44" s="86" t="s">
        <v>702</v>
      </c>
      <c r="D44" s="86" t="s">
        <v>693</v>
      </c>
      <c r="E44" s="87">
        <v>779</v>
      </c>
      <c r="F44" s="87">
        <f t="shared" si="0"/>
        <v>4674</v>
      </c>
      <c r="G44" s="86" t="s">
        <v>8</v>
      </c>
      <c r="H44" s="86"/>
      <c r="I44" s="86"/>
    </row>
    <row r="45" spans="1:9" x14ac:dyDescent="0.3">
      <c r="A45" s="85">
        <v>45980</v>
      </c>
      <c r="B45" s="86">
        <v>6</v>
      </c>
      <c r="C45" s="86" t="s">
        <v>698</v>
      </c>
      <c r="D45" s="86" t="s">
        <v>693</v>
      </c>
      <c r="E45" s="87">
        <v>594</v>
      </c>
      <c r="F45" s="87">
        <f t="shared" si="0"/>
        <v>3564</v>
      </c>
      <c r="G45" s="86" t="s">
        <v>8</v>
      </c>
      <c r="H45" s="86"/>
      <c r="I45" s="86"/>
    </row>
    <row r="46" spans="1:9" x14ac:dyDescent="0.3">
      <c r="A46" s="85">
        <v>45980</v>
      </c>
      <c r="B46" s="86">
        <v>3</v>
      </c>
      <c r="C46" s="86" t="s">
        <v>698</v>
      </c>
      <c r="D46" s="86" t="s">
        <v>693</v>
      </c>
      <c r="E46" s="87">
        <v>594</v>
      </c>
      <c r="F46" s="87">
        <f t="shared" si="0"/>
        <v>1782</v>
      </c>
      <c r="G46" s="86" t="s">
        <v>699</v>
      </c>
      <c r="H46" s="86"/>
      <c r="I46" s="86"/>
    </row>
    <row r="47" spans="1:9" x14ac:dyDescent="0.3">
      <c r="A47" s="88">
        <v>45980</v>
      </c>
      <c r="B47" s="89">
        <v>4</v>
      </c>
      <c r="C47" s="89" t="s">
        <v>692</v>
      </c>
      <c r="D47" s="89" t="s">
        <v>693</v>
      </c>
      <c r="E47" s="90">
        <v>454</v>
      </c>
      <c r="F47" s="90">
        <f t="shared" si="0"/>
        <v>1816</v>
      </c>
      <c r="G47" s="89" t="s">
        <v>62</v>
      </c>
      <c r="H47" s="89"/>
      <c r="I47" s="89"/>
    </row>
    <row r="48" spans="1:9" x14ac:dyDescent="0.3">
      <c r="A48" s="85">
        <v>45980</v>
      </c>
      <c r="B48" s="86">
        <v>10</v>
      </c>
      <c r="C48" s="86" t="s">
        <v>700</v>
      </c>
      <c r="D48" s="86" t="s">
        <v>335</v>
      </c>
      <c r="E48" s="87">
        <v>777</v>
      </c>
      <c r="F48" s="87">
        <f t="shared" si="0"/>
        <v>7770</v>
      </c>
      <c r="G48" s="86" t="s">
        <v>8</v>
      </c>
      <c r="H48" s="86"/>
      <c r="I48" s="86"/>
    </row>
    <row r="49" spans="1:9" x14ac:dyDescent="0.3">
      <c r="A49" s="85">
        <v>45980</v>
      </c>
      <c r="B49" s="86">
        <v>10</v>
      </c>
      <c r="C49" s="86" t="s">
        <v>645</v>
      </c>
      <c r="D49" s="86" t="s">
        <v>335</v>
      </c>
      <c r="E49" s="87">
        <v>1400</v>
      </c>
      <c r="F49" s="87">
        <f t="shared" si="0"/>
        <v>14000</v>
      </c>
      <c r="G49" s="86" t="s">
        <v>8</v>
      </c>
      <c r="H49" s="86"/>
      <c r="I49" s="86"/>
    </row>
    <row r="50" spans="1:9" x14ac:dyDescent="0.3">
      <c r="A50" s="85">
        <v>45980</v>
      </c>
      <c r="B50" s="86">
        <v>7</v>
      </c>
      <c r="C50" s="86" t="s">
        <v>698</v>
      </c>
      <c r="D50" s="86" t="s">
        <v>101</v>
      </c>
      <c r="E50" s="87">
        <v>559</v>
      </c>
      <c r="F50" s="87">
        <f t="shared" si="0"/>
        <v>3913</v>
      </c>
      <c r="G50" s="86" t="s">
        <v>8</v>
      </c>
      <c r="H50" s="86"/>
      <c r="I50" s="86"/>
    </row>
    <row r="51" spans="1:9" x14ac:dyDescent="0.3">
      <c r="A51" s="85">
        <v>45980</v>
      </c>
      <c r="B51" s="86">
        <v>6</v>
      </c>
      <c r="C51" s="86" t="s">
        <v>701</v>
      </c>
      <c r="D51" s="86" t="s">
        <v>101</v>
      </c>
      <c r="E51" s="87">
        <v>779</v>
      </c>
      <c r="F51" s="87">
        <f t="shared" si="0"/>
        <v>4674</v>
      </c>
      <c r="G51" s="86" t="s">
        <v>8</v>
      </c>
      <c r="H51" s="86"/>
      <c r="I51" s="86"/>
    </row>
    <row r="52" spans="1:9" x14ac:dyDescent="0.3">
      <c r="A52" s="85">
        <v>45980</v>
      </c>
      <c r="B52" s="86">
        <v>4</v>
      </c>
      <c r="C52" s="86" t="s">
        <v>703</v>
      </c>
      <c r="D52" s="86" t="s">
        <v>101</v>
      </c>
      <c r="E52" s="87">
        <v>125</v>
      </c>
      <c r="F52" s="87">
        <f t="shared" si="0"/>
        <v>500</v>
      </c>
      <c r="G52" s="86" t="s">
        <v>8</v>
      </c>
      <c r="H52" s="86"/>
      <c r="I52" s="86"/>
    </row>
    <row r="53" spans="1:9" x14ac:dyDescent="0.3">
      <c r="A53" s="88">
        <v>45980</v>
      </c>
      <c r="B53" s="89">
        <v>1</v>
      </c>
      <c r="C53" s="89" t="s">
        <v>704</v>
      </c>
      <c r="D53" s="89" t="s">
        <v>705</v>
      </c>
      <c r="E53" s="90">
        <v>699</v>
      </c>
      <c r="F53" s="90">
        <f t="shared" si="0"/>
        <v>699</v>
      </c>
      <c r="G53" s="89" t="s">
        <v>24</v>
      </c>
      <c r="H53" s="89"/>
      <c r="I53" s="89"/>
    </row>
    <row r="54" spans="1:9" x14ac:dyDescent="0.3">
      <c r="A54" s="88">
        <v>45980</v>
      </c>
      <c r="B54" s="89">
        <v>15</v>
      </c>
      <c r="C54" s="89" t="s">
        <v>703</v>
      </c>
      <c r="D54" s="89" t="s">
        <v>30</v>
      </c>
      <c r="E54" s="90">
        <v>125</v>
      </c>
      <c r="F54" s="90">
        <f t="shared" si="0"/>
        <v>1875</v>
      </c>
      <c r="G54" s="89" t="s">
        <v>24</v>
      </c>
      <c r="H54" s="89"/>
      <c r="I54" s="89"/>
    </row>
    <row r="55" spans="1:9" x14ac:dyDescent="0.3">
      <c r="A55" s="68">
        <v>45980</v>
      </c>
      <c r="B55" s="2"/>
      <c r="C55" s="2"/>
      <c r="D55" s="2"/>
      <c r="E55" s="3"/>
      <c r="F55" s="3"/>
      <c r="G55" s="2"/>
      <c r="H55" s="2"/>
      <c r="I55" s="2"/>
    </row>
  </sheetData>
  <autoFilter ref="A1:I41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J18" sqref="J18"/>
    </sheetView>
  </sheetViews>
  <sheetFormatPr defaultRowHeight="14.4" x14ac:dyDescent="0.3"/>
  <cols>
    <col min="1" max="1" width="6.5546875" bestFit="1" customWidth="1"/>
    <col min="2" max="2" width="4" bestFit="1" customWidth="1"/>
    <col min="3" max="3" width="15.886718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14.44140625" bestFit="1" customWidth="1"/>
    <col min="8" max="8" width="15" bestFit="1" customWidth="1"/>
    <col min="9" max="9" width="12.109375" bestFit="1" customWidth="1"/>
    <col min="12" max="12" width="15.88671875" bestFit="1" customWidth="1"/>
    <col min="13" max="13" width="10.44140625" bestFit="1" customWidth="1"/>
    <col min="15" max="15" width="12.5546875" bestFit="1" customWidth="1"/>
    <col min="16" max="16" width="10.44140625" bestFit="1" customWidth="1"/>
    <col min="18" max="18" width="15.77734375" bestFit="1" customWidth="1"/>
    <col min="19" max="19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3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3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3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3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3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3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3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3">
      <c r="A9" s="2"/>
      <c r="B9" s="2"/>
      <c r="C9" s="2"/>
      <c r="D9" s="2"/>
      <c r="E9" s="2"/>
      <c r="F9" s="2"/>
      <c r="G9" s="2"/>
      <c r="H9" s="2"/>
      <c r="I9" s="2"/>
    </row>
    <row r="10" spans="1:23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9"/>
  <sheetViews>
    <sheetView workbookViewId="0">
      <selection activeCell="E18" sqref="E18"/>
    </sheetView>
  </sheetViews>
  <sheetFormatPr defaultRowHeight="14.4" x14ac:dyDescent="0.3"/>
  <cols>
    <col min="1" max="1" width="9.5546875" bestFit="1" customWidth="1"/>
    <col min="2" max="2" width="4" bestFit="1" customWidth="1"/>
    <col min="3" max="4" width="17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3">
      <c r="A3" s="8">
        <v>45964</v>
      </c>
      <c r="B3" s="2">
        <v>2</v>
      </c>
      <c r="C3" s="2" t="s">
        <v>580</v>
      </c>
      <c r="D3" s="2" t="s">
        <v>460</v>
      </c>
      <c r="E3" s="3">
        <v>1450</v>
      </c>
      <c r="F3" s="3">
        <f t="shared" ref="F3:F7" si="0">B3*E3</f>
        <v>2900</v>
      </c>
      <c r="G3" s="2" t="s">
        <v>348</v>
      </c>
      <c r="H3" s="2" t="s">
        <v>464</v>
      </c>
      <c r="I3" s="2"/>
    </row>
    <row r="4" spans="1:9" x14ac:dyDescent="0.3">
      <c r="A4" s="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3">
      <c r="A5" s="8">
        <v>45964</v>
      </c>
      <c r="B5" s="2">
        <v>4</v>
      </c>
      <c r="C5" s="2" t="s">
        <v>679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3">
      <c r="A6" s="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3">
      <c r="A7" s="68">
        <v>45968</v>
      </c>
      <c r="B7" s="2">
        <v>60</v>
      </c>
      <c r="C7" s="2" t="s">
        <v>667</v>
      </c>
      <c r="D7" s="2" t="s">
        <v>668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4.4" x14ac:dyDescent="0.3"/>
  <sheetData>
    <row r="2" spans="5:15" x14ac:dyDescent="0.3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3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3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3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3">
      <c r="K6">
        <v>5</v>
      </c>
      <c r="N6">
        <v>400</v>
      </c>
      <c r="O6">
        <f t="shared" si="1"/>
        <v>2000</v>
      </c>
    </row>
    <row r="7" spans="5:15" x14ac:dyDescent="0.3">
      <c r="O7">
        <f t="shared" si="1"/>
        <v>0</v>
      </c>
    </row>
    <row r="8" spans="5:15" x14ac:dyDescent="0.3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3">
      <c r="K9">
        <v>20</v>
      </c>
      <c r="N9">
        <v>300</v>
      </c>
      <c r="O9">
        <f t="shared" si="1"/>
        <v>6000</v>
      </c>
    </row>
    <row r="10" spans="5:15" x14ac:dyDescent="0.3">
      <c r="O10">
        <f>SUM(O2:O9)</f>
        <v>32600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4.4" x14ac:dyDescent="0.3"/>
  <sheetData>
    <row r="2" spans="1:4" x14ac:dyDescent="0.3">
      <c r="A2" s="75">
        <v>5</v>
      </c>
      <c r="B2" t="s">
        <v>669</v>
      </c>
      <c r="C2">
        <v>2600</v>
      </c>
      <c r="D2">
        <f>A2*C2</f>
        <v>13000</v>
      </c>
    </row>
    <row r="3" spans="1:4" x14ac:dyDescent="0.3">
      <c r="A3" s="75">
        <v>10</v>
      </c>
      <c r="B3" t="s">
        <v>670</v>
      </c>
      <c r="C3">
        <v>3300</v>
      </c>
      <c r="D3">
        <f t="shared" ref="D3:D5" si="0">A3*C3</f>
        <v>33000</v>
      </c>
    </row>
    <row r="4" spans="1:4" x14ac:dyDescent="0.3">
      <c r="A4" s="75">
        <v>10</v>
      </c>
      <c r="B4" t="s">
        <v>671</v>
      </c>
      <c r="C4">
        <v>1300</v>
      </c>
      <c r="D4">
        <f t="shared" si="0"/>
        <v>13000</v>
      </c>
    </row>
    <row r="5" spans="1:4" x14ac:dyDescent="0.3">
      <c r="A5" s="75">
        <v>20</v>
      </c>
      <c r="B5" t="s">
        <v>672</v>
      </c>
      <c r="C5">
        <v>1400</v>
      </c>
      <c r="D5">
        <f t="shared" si="0"/>
        <v>28000</v>
      </c>
    </row>
    <row r="6" spans="1:4" x14ac:dyDescent="0.3">
      <c r="D6">
        <f>SUM(D2:D5)</f>
        <v>87000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377</v>
      </c>
      <c r="B2" s="11">
        <v>238</v>
      </c>
    </row>
    <row r="3" spans="1:3" x14ac:dyDescent="0.3">
      <c r="A3" t="s">
        <v>380</v>
      </c>
      <c r="B3">
        <v>17.07</v>
      </c>
    </row>
    <row r="4" spans="1:3" x14ac:dyDescent="0.3">
      <c r="A4" t="s">
        <v>380</v>
      </c>
      <c r="B4">
        <v>5.69</v>
      </c>
    </row>
    <row r="5" spans="1:3" x14ac:dyDescent="0.3">
      <c r="A5" t="s">
        <v>381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386</v>
      </c>
      <c r="B10">
        <v>82.62</v>
      </c>
    </row>
    <row r="11" spans="1:3" x14ac:dyDescent="0.3">
      <c r="A11" t="s">
        <v>380</v>
      </c>
      <c r="B11">
        <v>77.959999999999994</v>
      </c>
    </row>
    <row r="12" spans="1:3" x14ac:dyDescent="0.3">
      <c r="A12" t="s">
        <v>389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399</v>
      </c>
      <c r="B16">
        <v>601</v>
      </c>
      <c r="C16" t="s">
        <v>394</v>
      </c>
    </row>
    <row r="17" spans="1:3" x14ac:dyDescent="0.3">
      <c r="A17" t="s">
        <v>399</v>
      </c>
      <c r="B17">
        <v>497</v>
      </c>
      <c r="C17" t="s">
        <v>394</v>
      </c>
    </row>
    <row r="18" spans="1:3" x14ac:dyDescent="0.3">
      <c r="A18" t="s">
        <v>398</v>
      </c>
      <c r="B18">
        <v>58</v>
      </c>
      <c r="C18" t="s">
        <v>397</v>
      </c>
    </row>
    <row r="19" spans="1:3" x14ac:dyDescent="0.3">
      <c r="A19" t="s">
        <v>400</v>
      </c>
      <c r="B19">
        <v>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NZ OCT</vt:lpstr>
      <vt:lpstr>NZ NOV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2025-11-19T17:24:09Z</dcterms:modified>
</cp:coreProperties>
</file>