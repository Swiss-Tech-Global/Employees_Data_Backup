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9420" windowHeight="8940"/>
  </bookViews>
  <sheets>
    <sheet name="Purchases" sheetId="1" r:id="rId1"/>
    <sheet name="Sheet3" sheetId="3" state="hidden" r:id="rId2"/>
    <sheet name="INSTAX RATES" sheetId="2" r:id="rId3"/>
    <sheet name="Sheet1" sheetId="4" r:id="rId4"/>
  </sheets>
  <definedNames>
    <definedName name="_xlnm._FilterDatabase" localSheetId="0" hidden="1">Purchases!$A$1:$O$30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4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G14" i="1" l="1"/>
  <c r="G15"/>
  <c r="G16"/>
  <c r="G17"/>
  <c r="G18"/>
  <c r="G19"/>
  <c r="G20"/>
  <c r="G21"/>
  <c r="G22"/>
  <c r="G23"/>
  <c r="G24"/>
  <c r="G25"/>
  <c r="G26"/>
  <c r="G27"/>
  <c r="G28"/>
  <c r="G12"/>
  <c r="G13"/>
  <c r="G11" l="1"/>
  <c r="G5" i="2"/>
  <c r="E4"/>
  <c r="G4" s="1"/>
  <c r="E5"/>
  <c r="D4"/>
  <c r="D5"/>
  <c r="E7"/>
  <c r="G7" s="1"/>
  <c r="E13"/>
  <c r="G13" s="1"/>
  <c r="E14"/>
  <c r="G14" s="1"/>
  <c r="E15"/>
  <c r="G15" s="1"/>
  <c r="E16"/>
  <c r="G16" s="1"/>
  <c r="D8"/>
  <c r="E8" s="1"/>
  <c r="G8" s="1"/>
  <c r="D9"/>
  <c r="E9" s="1"/>
  <c r="G9" s="1"/>
  <c r="D10"/>
  <c r="E10" s="1"/>
  <c r="G10" s="1"/>
  <c r="D11"/>
  <c r="E11" s="1"/>
  <c r="G11" s="1"/>
  <c r="D12"/>
  <c r="E12" s="1"/>
  <c r="G12" s="1"/>
  <c r="D13"/>
  <c r="D14"/>
  <c r="D15"/>
  <c r="D16"/>
  <c r="D17"/>
  <c r="E17" s="1"/>
  <c r="G17" s="1"/>
  <c r="D18"/>
  <c r="E18" s="1"/>
  <c r="G18" s="1"/>
  <c r="D19"/>
  <c r="E19" s="1"/>
  <c r="G19" s="1"/>
  <c r="D20"/>
  <c r="E20" s="1"/>
  <c r="G20" s="1"/>
  <c r="D21"/>
  <c r="E21" s="1"/>
  <c r="G21" s="1"/>
  <c r="D22"/>
  <c r="E22" s="1"/>
  <c r="G22" s="1"/>
  <c r="D23"/>
  <c r="E23" s="1"/>
  <c r="G23" s="1"/>
  <c r="D6"/>
  <c r="E6" s="1"/>
  <c r="G6" s="1"/>
  <c r="G3" i="1"/>
  <c r="G4"/>
  <c r="G5"/>
  <c r="G6"/>
  <c r="G7"/>
  <c r="G8"/>
  <c r="G9"/>
  <c r="G10"/>
  <c r="G2"/>
</calcChain>
</file>

<file path=xl/sharedStrings.xml><?xml version="1.0" encoding="utf-8"?>
<sst xmlns="http://schemas.openxmlformats.org/spreadsheetml/2006/main" count="388" uniqueCount="113">
  <si>
    <t>Date</t>
  </si>
  <si>
    <t>Description</t>
  </si>
  <si>
    <t>Qty</t>
  </si>
  <si>
    <t>Store</t>
  </si>
  <si>
    <t>Price</t>
  </si>
  <si>
    <t>GST</t>
  </si>
  <si>
    <t>Card</t>
  </si>
  <si>
    <t>Status</t>
  </si>
  <si>
    <t>Apple Store</t>
  </si>
  <si>
    <t>Waheed</t>
  </si>
  <si>
    <t>IMac4</t>
  </si>
  <si>
    <t>Mac Book 4</t>
  </si>
  <si>
    <t>Castle Hill Pickup</t>
  </si>
  <si>
    <t>Zunera CBA CR Card</t>
  </si>
  <si>
    <t>Delivered</t>
  </si>
  <si>
    <t>#</t>
  </si>
  <si>
    <t>Hornsby</t>
  </si>
  <si>
    <t>Waheed NAB CR Card</t>
  </si>
  <si>
    <t>Collected</t>
  </si>
  <si>
    <t>W1515850592</t>
  </si>
  <si>
    <t>Instax Square</t>
  </si>
  <si>
    <t>Instax Square Link</t>
  </si>
  <si>
    <t>Instax Mini 99</t>
  </si>
  <si>
    <t>Instax Mini Link</t>
  </si>
  <si>
    <t>Instax Mini Liplay</t>
  </si>
  <si>
    <t>Instax Mini Link 3</t>
  </si>
  <si>
    <t>Dubai Sale Price Dirham</t>
  </si>
  <si>
    <t>AUD</t>
  </si>
  <si>
    <t>Coversion</t>
  </si>
  <si>
    <t>Cost in Dirham</t>
  </si>
  <si>
    <t>Instax Mini Paper 20PK: $22</t>
  </si>
  <si>
    <t>Instax Mini Paper 60PK: $59</t>
  </si>
  <si>
    <t>Instax Square Paper 20PK: $24</t>
  </si>
  <si>
    <t>Instax Wide Paper 20PK: $31</t>
  </si>
  <si>
    <t>Instax Mini Evo Camera USB-C Black: $249</t>
  </si>
  <si>
    <t>Instax Mini Evo Camera USB-C Brown: $249</t>
  </si>
  <si>
    <t>Instax LiPlay Bluch Gold: $197</t>
  </si>
  <si>
    <t>Instax LiPlay Deep Bronxe: $203</t>
  </si>
  <si>
    <t>Instax LiPlay Elegant Black:$197</t>
  </si>
  <si>
    <t>Instax LiPlay Matcha Green: $203</t>
  </si>
  <si>
    <t>Instax LiPlay Mist White: $203</t>
  </si>
  <si>
    <t>Instax SQ1 Blue: $167</t>
  </si>
  <si>
    <t>Instax SQ1 Orange: $167</t>
  </si>
  <si>
    <t>Instax SQ1 White: $167</t>
  </si>
  <si>
    <t>Canon Pixma TS3665: $51</t>
  </si>
  <si>
    <t>HP Deskjet 2820E: $46</t>
  </si>
  <si>
    <t>W1451174620</t>
  </si>
  <si>
    <t>Delivery</t>
  </si>
  <si>
    <t>Anwar Ali</t>
  </si>
  <si>
    <t>$15 Delivery</t>
  </si>
  <si>
    <t>Anwar.ali2051@outlook.com</t>
  </si>
  <si>
    <t>Noaman.mughal2001@outlook.com</t>
  </si>
  <si>
    <t>Broadway</t>
  </si>
  <si>
    <t>Noaman Mughal</t>
  </si>
  <si>
    <t>W1660860932</t>
  </si>
  <si>
    <t>Delivery date</t>
  </si>
  <si>
    <t>Order #</t>
  </si>
  <si>
    <t>Email</t>
  </si>
  <si>
    <t>W1463493598</t>
  </si>
  <si>
    <t>atiya.hayat2001@outlook.com</t>
  </si>
  <si>
    <t>Atiya Hayat</t>
  </si>
  <si>
    <t xml:space="preserve">Zunera </t>
  </si>
  <si>
    <t>Pickup Name</t>
  </si>
  <si>
    <t>W1405425780</t>
  </si>
  <si>
    <t>amaan.pasha@outlook.com.au</t>
  </si>
  <si>
    <t>Pasha Waheed</t>
  </si>
  <si>
    <t>Saleem Hayat</t>
  </si>
  <si>
    <t>Sydney</t>
  </si>
  <si>
    <t>w1635323833</t>
  </si>
  <si>
    <t>Noureen Mughal</t>
  </si>
  <si>
    <t>Zunera Waheed</t>
  </si>
  <si>
    <t>Iphone2024$</t>
  </si>
  <si>
    <t>Bondi</t>
  </si>
  <si>
    <t>Abdul Shahid</t>
  </si>
  <si>
    <t>Talha Noaman</t>
  </si>
  <si>
    <t>Instore purchase</t>
  </si>
  <si>
    <t>W1513025577</t>
  </si>
  <si>
    <t>W1570700499</t>
  </si>
  <si>
    <t>W1300382577</t>
  </si>
  <si>
    <t>Muhammad.khan2000@outlook.com</t>
  </si>
  <si>
    <t>W1302728463</t>
  </si>
  <si>
    <t>amaans_uk@icloud.com</t>
  </si>
  <si>
    <t>Abdul</t>
  </si>
  <si>
    <t>Zunera</t>
  </si>
  <si>
    <t>W1551522431</t>
  </si>
  <si>
    <t>W1568519608</t>
  </si>
  <si>
    <t>zunerawmy@gmail</t>
  </si>
  <si>
    <t>W1398071991</t>
  </si>
  <si>
    <t>Javed Bhai</t>
  </si>
  <si>
    <t>W1320644753</t>
  </si>
  <si>
    <t>amaan.pasha2323@outlook.com</t>
  </si>
  <si>
    <t>Apple2025$</t>
  </si>
  <si>
    <t>JBHIFI Hornsby</t>
  </si>
  <si>
    <t>JBHIFI Castle Hills</t>
  </si>
  <si>
    <t>Online Apple Store</t>
  </si>
  <si>
    <t>W1600076273</t>
  </si>
  <si>
    <t>Info@swiss-tech.net.au</t>
  </si>
  <si>
    <t>Current status</t>
  </si>
  <si>
    <t>Sent Dubai</t>
  </si>
  <si>
    <t>Shipping Date</t>
  </si>
  <si>
    <t>IMac4  Zunera CBA CR Card</t>
  </si>
  <si>
    <t>IMac4 Waheed NAB CR Card</t>
  </si>
  <si>
    <t>Mac Book 4  Waheed NAB CR Card</t>
  </si>
  <si>
    <t>Mac Book 4  Anwar Ali</t>
  </si>
  <si>
    <t>Mac Book 4  Noaman Mughal</t>
  </si>
  <si>
    <t>Mac Book 4  Atiya Hayat</t>
  </si>
  <si>
    <t>Mac Book 4  Saleem Hayat</t>
  </si>
  <si>
    <t>Mac Book 4 Noureen Mughal</t>
  </si>
  <si>
    <t>Mac Book 4 Abdul Shahid</t>
  </si>
  <si>
    <t>Mac Book 4  Talha Noaman</t>
  </si>
  <si>
    <t>Mac Book 4  Noureen Mughal</t>
  </si>
  <si>
    <t>Mac Book 4  Abdul Shahid</t>
  </si>
  <si>
    <t>IMac4  Waheed NAB CR Card</t>
  </si>
</sst>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&quot;$&quot;#,##0.00;[Red]\-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Segoe UI"/>
      <family val="2"/>
    </font>
    <font>
      <sz val="9"/>
      <color rgb="FFFF0000"/>
      <name val="Segoe UI"/>
      <family val="2"/>
    </font>
    <font>
      <sz val="9"/>
      <color rgb="FF1B1B1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165" fontId="0" fillId="0" borderId="1" xfId="0" applyNumberFormat="1" applyFill="1" applyBorder="1"/>
    <xf numFmtId="0" fontId="2" fillId="0" borderId="1" xfId="1" applyBorder="1"/>
    <xf numFmtId="0" fontId="4" fillId="2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0" fillId="0" borderId="1" xfId="0" applyFill="1" applyBorder="1"/>
    <xf numFmtId="16" fontId="0" fillId="0" borderId="1" xfId="0" applyNumberFormat="1" applyBorder="1"/>
    <xf numFmtId="0" fontId="0" fillId="2" borderId="1" xfId="0" applyFill="1" applyBorder="1"/>
    <xf numFmtId="0" fontId="3" fillId="2" borderId="1" xfId="0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" fontId="0" fillId="3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ple.com/xc/au-edu/vieworder/W1302728463/amaans_uk@icloud.com" TargetMode="External"/><Relationship Id="rId13" Type="http://schemas.openxmlformats.org/officeDocument/2006/relationships/hyperlink" Target="https://www.apple.com/xc/au-edu/vieworder/W1320644753/atiya.hayat2000@outlook.com" TargetMode="External"/><Relationship Id="rId3" Type="http://schemas.openxmlformats.org/officeDocument/2006/relationships/hyperlink" Target="https://www.apple.com/xc/au-edu/vieworder/W1463493598/atiya.hayat2000@outlook.com" TargetMode="External"/><Relationship Id="rId7" Type="http://schemas.openxmlformats.org/officeDocument/2006/relationships/hyperlink" Target="https://www.apple.com/xc/au-edu/vieworder/W1300382577/Muhammad.khan2000@outlook.com" TargetMode="External"/><Relationship Id="rId12" Type="http://schemas.openxmlformats.org/officeDocument/2006/relationships/hyperlink" Target="https://www.apple.com/xc/au-edu/vieworder/W1398071991/Muhammad.khan2000@outlook.com" TargetMode="External"/><Relationship Id="rId2" Type="http://schemas.openxmlformats.org/officeDocument/2006/relationships/hyperlink" Target="mailto:Anwar.ali2051@outlook.com" TargetMode="External"/><Relationship Id="rId1" Type="http://schemas.openxmlformats.org/officeDocument/2006/relationships/hyperlink" Target="https://www.apple.com/xc/au-edu/vieworder/W1451174620/Anwar.ali2051@outlook.com" TargetMode="External"/><Relationship Id="rId6" Type="http://schemas.openxmlformats.org/officeDocument/2006/relationships/hyperlink" Target="mailto:Anwar.ali2051@outlook.com" TargetMode="External"/><Relationship Id="rId11" Type="http://schemas.openxmlformats.org/officeDocument/2006/relationships/hyperlink" Target="mailto:zunerawmy@gmail" TargetMode="External"/><Relationship Id="rId5" Type="http://schemas.openxmlformats.org/officeDocument/2006/relationships/hyperlink" Target="mailto:amaan.pasha@outlook.com.au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zunerawmy@gmail" TargetMode="External"/><Relationship Id="rId4" Type="http://schemas.openxmlformats.org/officeDocument/2006/relationships/hyperlink" Target="https://www.apple.com/xc/au-edu/vieworder/W1405425780/amaan.pasha@outlook.com.au" TargetMode="External"/><Relationship Id="rId9" Type="http://schemas.openxmlformats.org/officeDocument/2006/relationships/hyperlink" Target="mailto:amaans_uk@icloud.com" TargetMode="External"/><Relationship Id="rId14" Type="http://schemas.openxmlformats.org/officeDocument/2006/relationships/hyperlink" Target="mailto:Info@swiss-tech.net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ple.com/xc/au-edu/vieworder/W1302728463/amaans_uk@icloud.com" TargetMode="External"/><Relationship Id="rId13" Type="http://schemas.openxmlformats.org/officeDocument/2006/relationships/hyperlink" Target="https://www.apple.com/xc/au-edu/vieworder/W1320644753/atiya.hayat2000@outlook.com" TargetMode="External"/><Relationship Id="rId3" Type="http://schemas.openxmlformats.org/officeDocument/2006/relationships/hyperlink" Target="https://www.apple.com/xc/au-edu/vieworder/W1463493598/atiya.hayat2000@outlook.com" TargetMode="External"/><Relationship Id="rId7" Type="http://schemas.openxmlformats.org/officeDocument/2006/relationships/hyperlink" Target="https://www.apple.com/xc/au-edu/vieworder/W1300382577/Muhammad.khan2000@outlook.com" TargetMode="External"/><Relationship Id="rId12" Type="http://schemas.openxmlformats.org/officeDocument/2006/relationships/hyperlink" Target="https://www.apple.com/xc/au-edu/vieworder/W1398071991/Muhammad.khan2000@outlook.com" TargetMode="External"/><Relationship Id="rId2" Type="http://schemas.openxmlformats.org/officeDocument/2006/relationships/hyperlink" Target="mailto:Anwar.ali2051@outlook.com" TargetMode="External"/><Relationship Id="rId1" Type="http://schemas.openxmlformats.org/officeDocument/2006/relationships/hyperlink" Target="https://www.apple.com/xc/au-edu/vieworder/W1451174620/Anwar.ali2051@outlook.com" TargetMode="External"/><Relationship Id="rId6" Type="http://schemas.openxmlformats.org/officeDocument/2006/relationships/hyperlink" Target="mailto:Anwar.ali2051@outlook.com" TargetMode="External"/><Relationship Id="rId11" Type="http://schemas.openxmlformats.org/officeDocument/2006/relationships/hyperlink" Target="mailto:zunerawmy@gmail" TargetMode="External"/><Relationship Id="rId5" Type="http://schemas.openxmlformats.org/officeDocument/2006/relationships/hyperlink" Target="mailto:amaan.pasha@outlook.com.au" TargetMode="External"/><Relationship Id="rId10" Type="http://schemas.openxmlformats.org/officeDocument/2006/relationships/hyperlink" Target="mailto:zunerawmy@gmail" TargetMode="External"/><Relationship Id="rId4" Type="http://schemas.openxmlformats.org/officeDocument/2006/relationships/hyperlink" Target="https://www.apple.com/xc/au-edu/vieworder/W1405425780/amaan.pasha@outlook.com.au" TargetMode="External"/><Relationship Id="rId9" Type="http://schemas.openxmlformats.org/officeDocument/2006/relationships/hyperlink" Target="mailto:amaans_uk@icloud.com" TargetMode="External"/><Relationship Id="rId14" Type="http://schemas.openxmlformats.org/officeDocument/2006/relationships/hyperlink" Target="mailto:Info@swiss-tech.net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zoomScale="64" zoomScaleNormal="64" workbookViewId="0">
      <selection activeCell="P32" sqref="P32"/>
    </sheetView>
  </sheetViews>
  <sheetFormatPr defaultRowHeight="14.5"/>
  <cols>
    <col min="2" max="2" width="11.1796875" bestFit="1" customWidth="1"/>
    <col min="3" max="3" width="10.6328125" bestFit="1" customWidth="1"/>
    <col min="5" max="5" width="15.81640625" bestFit="1" customWidth="1"/>
    <col min="8" max="8" width="18.90625" bestFit="1" customWidth="1"/>
    <col min="9" max="9" width="18.90625" hidden="1" customWidth="1"/>
    <col min="10" max="10" width="16.08984375" bestFit="1" customWidth="1"/>
    <col min="11" max="11" width="16.08984375" customWidth="1"/>
    <col min="12" max="12" width="12.81640625" hidden="1" customWidth="1"/>
    <col min="13" max="13" width="11" bestFit="1" customWidth="1"/>
    <col min="14" max="14" width="28.1796875" hidden="1" customWidth="1"/>
    <col min="15" max="15" width="10.81640625" hidden="1" customWidth="1"/>
    <col min="16" max="16" width="13" bestFit="1" customWidth="1"/>
    <col min="17" max="17" width="12.54296875" bestFit="1" customWidth="1"/>
  </cols>
  <sheetData>
    <row r="1" spans="1:17">
      <c r="A1" s="3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62</v>
      </c>
      <c r="J1" s="1" t="s">
        <v>7</v>
      </c>
      <c r="K1" s="1" t="s">
        <v>55</v>
      </c>
      <c r="L1" s="3" t="s">
        <v>56</v>
      </c>
      <c r="M1" s="3"/>
      <c r="N1" s="3" t="s">
        <v>57</v>
      </c>
      <c r="O1" s="3"/>
      <c r="P1" s="12" t="s">
        <v>97</v>
      </c>
      <c r="Q1" s="12" t="s">
        <v>99</v>
      </c>
    </row>
    <row r="2" spans="1:17">
      <c r="A2" s="3">
        <v>1</v>
      </c>
      <c r="B2" s="2">
        <v>45708</v>
      </c>
      <c r="C2" s="3" t="s">
        <v>10</v>
      </c>
      <c r="D2" s="3">
        <v>1</v>
      </c>
      <c r="E2" s="3" t="s">
        <v>8</v>
      </c>
      <c r="F2" s="4">
        <v>1919</v>
      </c>
      <c r="G2" s="5">
        <f>(F2/11)</f>
        <v>174.45454545454547</v>
      </c>
      <c r="H2" s="3" t="s">
        <v>13</v>
      </c>
      <c r="I2" s="3"/>
      <c r="J2" s="3" t="s">
        <v>14</v>
      </c>
      <c r="K2" s="2">
        <v>45708</v>
      </c>
      <c r="L2" s="3"/>
      <c r="M2" s="3"/>
      <c r="N2" s="3"/>
      <c r="O2" s="3"/>
      <c r="P2" s="3" t="s">
        <v>98</v>
      </c>
      <c r="Q2" s="13">
        <v>45714</v>
      </c>
    </row>
    <row r="3" spans="1:17">
      <c r="A3" s="3">
        <v>2</v>
      </c>
      <c r="B3" s="2">
        <v>45709</v>
      </c>
      <c r="C3" s="3" t="s">
        <v>10</v>
      </c>
      <c r="D3" s="3">
        <v>1</v>
      </c>
      <c r="E3" s="3" t="s">
        <v>8</v>
      </c>
      <c r="F3" s="4">
        <v>1934</v>
      </c>
      <c r="G3" s="5">
        <f t="shared" ref="G3:G28" si="0">(F3/11)</f>
        <v>175.81818181818181</v>
      </c>
      <c r="H3" s="3" t="s">
        <v>17</v>
      </c>
      <c r="I3" s="3"/>
      <c r="J3" s="3" t="s">
        <v>14</v>
      </c>
      <c r="K3" s="2"/>
      <c r="L3" s="3"/>
      <c r="M3" s="3" t="s">
        <v>49</v>
      </c>
      <c r="N3" s="3"/>
      <c r="O3" s="3"/>
      <c r="P3" s="3" t="s">
        <v>98</v>
      </c>
      <c r="Q3" s="13">
        <v>45714</v>
      </c>
    </row>
    <row r="4" spans="1:17">
      <c r="A4" s="3">
        <v>3</v>
      </c>
      <c r="B4" s="2">
        <v>45709</v>
      </c>
      <c r="C4" s="3" t="s">
        <v>11</v>
      </c>
      <c r="D4" s="3">
        <v>1</v>
      </c>
      <c r="E4" s="3" t="s">
        <v>12</v>
      </c>
      <c r="F4" s="4">
        <v>2349</v>
      </c>
      <c r="G4" s="5">
        <f t="shared" si="0"/>
        <v>213.54545454545453</v>
      </c>
      <c r="H4" s="3" t="s">
        <v>17</v>
      </c>
      <c r="I4" s="3"/>
      <c r="J4" s="3" t="s">
        <v>18</v>
      </c>
      <c r="K4" s="2">
        <v>45709</v>
      </c>
      <c r="L4" s="3"/>
      <c r="M4" s="3"/>
      <c r="N4" s="3"/>
      <c r="O4" s="3"/>
      <c r="P4" s="3" t="s">
        <v>98</v>
      </c>
      <c r="Q4" s="13">
        <v>45714</v>
      </c>
    </row>
    <row r="5" spans="1:17">
      <c r="A5" s="3">
        <v>4</v>
      </c>
      <c r="B5" s="2">
        <v>45709</v>
      </c>
      <c r="C5" s="3" t="s">
        <v>11</v>
      </c>
      <c r="D5" s="3">
        <v>1</v>
      </c>
      <c r="E5" s="3" t="s">
        <v>12</v>
      </c>
      <c r="F5" s="4">
        <v>2349</v>
      </c>
      <c r="G5" s="5">
        <f t="shared" si="0"/>
        <v>213.54545454545453</v>
      </c>
      <c r="H5" s="3" t="s">
        <v>17</v>
      </c>
      <c r="I5" s="3"/>
      <c r="J5" s="3" t="s">
        <v>18</v>
      </c>
      <c r="K5" s="2">
        <v>45709</v>
      </c>
      <c r="L5" s="3"/>
      <c r="M5" s="3"/>
      <c r="N5" s="3"/>
      <c r="O5" s="3"/>
      <c r="P5" s="3" t="s">
        <v>98</v>
      </c>
      <c r="Q5" s="13">
        <v>45714</v>
      </c>
    </row>
    <row r="6" spans="1:17">
      <c r="A6" s="3">
        <v>5</v>
      </c>
      <c r="B6" s="2">
        <v>45709</v>
      </c>
      <c r="C6" s="3" t="s">
        <v>11</v>
      </c>
      <c r="D6" s="3">
        <v>1</v>
      </c>
      <c r="E6" s="3" t="s">
        <v>12</v>
      </c>
      <c r="F6" s="4">
        <v>2349</v>
      </c>
      <c r="G6" s="5">
        <f t="shared" si="0"/>
        <v>213.54545454545453</v>
      </c>
      <c r="H6" s="3" t="s">
        <v>17</v>
      </c>
      <c r="I6" s="3"/>
      <c r="J6" s="3" t="s">
        <v>18</v>
      </c>
      <c r="K6" s="2">
        <v>45709</v>
      </c>
      <c r="L6" s="3"/>
      <c r="M6" s="3"/>
      <c r="N6" s="3"/>
      <c r="O6" s="3"/>
      <c r="P6" s="3" t="s">
        <v>98</v>
      </c>
      <c r="Q6" s="13">
        <v>45714</v>
      </c>
    </row>
    <row r="7" spans="1:17">
      <c r="A7" s="3">
        <v>6</v>
      </c>
      <c r="B7" s="2">
        <v>45709</v>
      </c>
      <c r="C7" s="3" t="s">
        <v>11</v>
      </c>
      <c r="D7" s="3">
        <v>1</v>
      </c>
      <c r="E7" s="3" t="s">
        <v>12</v>
      </c>
      <c r="F7" s="4">
        <v>2349</v>
      </c>
      <c r="G7" s="5">
        <f t="shared" si="0"/>
        <v>213.54545454545453</v>
      </c>
      <c r="H7" s="3" t="s">
        <v>17</v>
      </c>
      <c r="I7" s="3"/>
      <c r="J7" s="3" t="s">
        <v>18</v>
      </c>
      <c r="K7" s="2">
        <v>45709</v>
      </c>
      <c r="L7" s="3"/>
      <c r="M7" s="3"/>
      <c r="N7" s="3"/>
      <c r="O7" s="3"/>
      <c r="P7" s="3" t="s">
        <v>98</v>
      </c>
      <c r="Q7" s="13">
        <v>45714</v>
      </c>
    </row>
    <row r="8" spans="1:17">
      <c r="A8" s="3">
        <v>7</v>
      </c>
      <c r="B8" s="2">
        <v>45709</v>
      </c>
      <c r="C8" s="3" t="s">
        <v>11</v>
      </c>
      <c r="D8" s="3">
        <v>1</v>
      </c>
      <c r="E8" s="3" t="s">
        <v>16</v>
      </c>
      <c r="F8" s="4">
        <v>2349</v>
      </c>
      <c r="G8" s="5">
        <f t="shared" si="0"/>
        <v>213.54545454545453</v>
      </c>
      <c r="H8" s="3" t="s">
        <v>17</v>
      </c>
      <c r="I8" s="3"/>
      <c r="J8" s="3" t="s">
        <v>18</v>
      </c>
      <c r="K8" s="2">
        <v>45709</v>
      </c>
      <c r="L8" s="3"/>
      <c r="M8" s="3"/>
      <c r="N8" s="3"/>
      <c r="O8" s="3"/>
      <c r="P8" s="3" t="s">
        <v>98</v>
      </c>
      <c r="Q8" s="13">
        <v>45714</v>
      </c>
    </row>
    <row r="9" spans="1:17">
      <c r="A9" s="3">
        <v>8</v>
      </c>
      <c r="B9" s="2">
        <v>45709</v>
      </c>
      <c r="C9" s="3" t="s">
        <v>11</v>
      </c>
      <c r="D9" s="3">
        <v>1</v>
      </c>
      <c r="E9" s="3" t="s">
        <v>16</v>
      </c>
      <c r="F9" s="4">
        <v>2349</v>
      </c>
      <c r="G9" s="5">
        <f t="shared" si="0"/>
        <v>213.54545454545453</v>
      </c>
      <c r="H9" s="3" t="s">
        <v>17</v>
      </c>
      <c r="I9" s="3"/>
      <c r="J9" s="3" t="s">
        <v>18</v>
      </c>
      <c r="K9" s="2">
        <v>45709</v>
      </c>
      <c r="L9" s="3"/>
      <c r="M9" s="3"/>
      <c r="N9" s="3"/>
      <c r="O9" s="3"/>
      <c r="P9" s="3" t="s">
        <v>98</v>
      </c>
      <c r="Q9" s="13">
        <v>45714</v>
      </c>
    </row>
    <row r="10" spans="1:17">
      <c r="A10" s="3">
        <v>9</v>
      </c>
      <c r="B10" s="2">
        <v>45709</v>
      </c>
      <c r="C10" s="3" t="s">
        <v>11</v>
      </c>
      <c r="D10" s="3">
        <v>1</v>
      </c>
      <c r="E10" s="3" t="s">
        <v>16</v>
      </c>
      <c r="F10" s="4">
        <v>2349</v>
      </c>
      <c r="G10" s="5">
        <f t="shared" si="0"/>
        <v>213.54545454545453</v>
      </c>
      <c r="H10" s="3" t="s">
        <v>17</v>
      </c>
      <c r="I10" s="3"/>
      <c r="J10" s="3" t="s">
        <v>18</v>
      </c>
      <c r="K10" s="2">
        <v>45713</v>
      </c>
      <c r="L10" s="3" t="s">
        <v>19</v>
      </c>
      <c r="M10" s="3"/>
      <c r="N10" s="3"/>
      <c r="O10" s="3"/>
      <c r="P10" s="3"/>
      <c r="Q10" s="13"/>
    </row>
    <row r="11" spans="1:17">
      <c r="A11" s="3">
        <v>10</v>
      </c>
      <c r="B11" s="2">
        <v>45710</v>
      </c>
      <c r="C11" s="3" t="s">
        <v>11</v>
      </c>
      <c r="D11" s="3">
        <v>1</v>
      </c>
      <c r="E11" s="3" t="s">
        <v>47</v>
      </c>
      <c r="F11" s="4">
        <v>2364</v>
      </c>
      <c r="G11" s="7">
        <f t="shared" si="0"/>
        <v>214.90909090909091</v>
      </c>
      <c r="H11" s="3" t="s">
        <v>48</v>
      </c>
      <c r="I11" s="3"/>
      <c r="J11" s="3" t="s">
        <v>14</v>
      </c>
      <c r="K11" s="2">
        <v>45710</v>
      </c>
      <c r="L11" s="8" t="s">
        <v>46</v>
      </c>
      <c r="M11" s="3" t="s">
        <v>49</v>
      </c>
      <c r="N11" s="8" t="s">
        <v>50</v>
      </c>
      <c r="O11" s="3"/>
      <c r="P11" s="3" t="s">
        <v>98</v>
      </c>
      <c r="Q11" s="13">
        <v>45714</v>
      </c>
    </row>
    <row r="12" spans="1:17" ht="15">
      <c r="A12" s="3">
        <v>11</v>
      </c>
      <c r="B12" s="2">
        <v>45710</v>
      </c>
      <c r="C12" s="3" t="s">
        <v>11</v>
      </c>
      <c r="D12" s="3">
        <v>1</v>
      </c>
      <c r="E12" s="3" t="s">
        <v>52</v>
      </c>
      <c r="F12" s="4">
        <v>2349</v>
      </c>
      <c r="G12" s="7">
        <f t="shared" si="0"/>
        <v>213.54545454545453</v>
      </c>
      <c r="H12" s="3" t="s">
        <v>53</v>
      </c>
      <c r="I12" s="3" t="s">
        <v>9</v>
      </c>
      <c r="J12" s="3" t="s">
        <v>18</v>
      </c>
      <c r="K12" s="2">
        <v>45710</v>
      </c>
      <c r="L12" s="3" t="s">
        <v>54</v>
      </c>
      <c r="M12" s="3"/>
      <c r="N12" s="9" t="s">
        <v>51</v>
      </c>
      <c r="O12" s="3"/>
      <c r="P12" s="3" t="s">
        <v>98</v>
      </c>
      <c r="Q12" s="13">
        <v>45714</v>
      </c>
    </row>
    <row r="13" spans="1:17" ht="15">
      <c r="A13" s="3">
        <v>12</v>
      </c>
      <c r="B13" s="2">
        <v>45710</v>
      </c>
      <c r="C13" s="3" t="s">
        <v>11</v>
      </c>
      <c r="D13" s="3">
        <v>1</v>
      </c>
      <c r="E13" s="3" t="s">
        <v>52</v>
      </c>
      <c r="F13" s="4">
        <v>2349</v>
      </c>
      <c r="G13" s="7">
        <f t="shared" si="0"/>
        <v>213.54545454545453</v>
      </c>
      <c r="H13" s="10" t="s">
        <v>60</v>
      </c>
      <c r="I13" s="10" t="s">
        <v>61</v>
      </c>
      <c r="J13" s="3" t="s">
        <v>18</v>
      </c>
      <c r="K13" s="2">
        <v>45710</v>
      </c>
      <c r="L13" s="8" t="s">
        <v>58</v>
      </c>
      <c r="M13" s="3"/>
      <c r="N13" s="10" t="s">
        <v>59</v>
      </c>
      <c r="O13" s="3"/>
      <c r="P13" s="3" t="s">
        <v>98</v>
      </c>
      <c r="Q13" s="13">
        <v>45714</v>
      </c>
    </row>
    <row r="14" spans="1:17" ht="15">
      <c r="A14" s="3">
        <v>13</v>
      </c>
      <c r="B14" s="2">
        <v>45710</v>
      </c>
      <c r="C14" s="3" t="s">
        <v>11</v>
      </c>
      <c r="D14" s="3">
        <v>1</v>
      </c>
      <c r="E14" s="3" t="s">
        <v>52</v>
      </c>
      <c r="F14" s="4">
        <v>2349</v>
      </c>
      <c r="G14" s="7">
        <f t="shared" si="0"/>
        <v>213.54545454545453</v>
      </c>
      <c r="H14" s="10" t="s">
        <v>17</v>
      </c>
      <c r="I14" s="10" t="s">
        <v>9</v>
      </c>
      <c r="J14" s="3" t="s">
        <v>75</v>
      </c>
      <c r="K14" s="2">
        <v>45710</v>
      </c>
      <c r="L14" s="8"/>
      <c r="M14" s="3"/>
      <c r="N14" s="10"/>
      <c r="O14" s="3"/>
      <c r="P14" s="3" t="s">
        <v>98</v>
      </c>
      <c r="Q14" s="13">
        <v>45714</v>
      </c>
    </row>
    <row r="15" spans="1:17">
      <c r="A15" s="3">
        <v>14</v>
      </c>
      <c r="B15" s="2">
        <v>45710</v>
      </c>
      <c r="C15" s="3" t="s">
        <v>11</v>
      </c>
      <c r="D15" s="3">
        <v>1</v>
      </c>
      <c r="E15" s="3" t="s">
        <v>67</v>
      </c>
      <c r="F15" s="4">
        <v>2349</v>
      </c>
      <c r="G15" s="7">
        <f t="shared" si="0"/>
        <v>213.54545454545453</v>
      </c>
      <c r="H15" s="3" t="s">
        <v>66</v>
      </c>
      <c r="I15" s="3" t="s">
        <v>65</v>
      </c>
      <c r="J15" s="3" t="s">
        <v>18</v>
      </c>
      <c r="K15" s="2">
        <v>45710</v>
      </c>
      <c r="L15" s="8" t="s">
        <v>63</v>
      </c>
      <c r="M15" s="3"/>
      <c r="N15" s="8" t="s">
        <v>64</v>
      </c>
      <c r="O15" s="3"/>
      <c r="P15" s="3" t="s">
        <v>98</v>
      </c>
      <c r="Q15" s="13">
        <v>45714</v>
      </c>
    </row>
    <row r="16" spans="1:17">
      <c r="A16" s="3">
        <v>15</v>
      </c>
      <c r="B16" s="2">
        <v>45710</v>
      </c>
      <c r="C16" s="3" t="s">
        <v>11</v>
      </c>
      <c r="D16" s="3">
        <v>1</v>
      </c>
      <c r="E16" s="3" t="s">
        <v>67</v>
      </c>
      <c r="F16" s="4">
        <v>2349</v>
      </c>
      <c r="G16" s="7">
        <f t="shared" si="0"/>
        <v>213.54545454545453</v>
      </c>
      <c r="H16" s="3" t="s">
        <v>69</v>
      </c>
      <c r="I16" s="3" t="s">
        <v>70</v>
      </c>
      <c r="J16" s="3" t="s">
        <v>18</v>
      </c>
      <c r="K16" s="2">
        <v>45710</v>
      </c>
      <c r="L16" s="3" t="s">
        <v>68</v>
      </c>
      <c r="M16" s="3"/>
      <c r="N16" s="8" t="s">
        <v>50</v>
      </c>
      <c r="O16" s="3"/>
      <c r="P16" s="3" t="s">
        <v>98</v>
      </c>
      <c r="Q16" s="13">
        <v>45714</v>
      </c>
    </row>
    <row r="17" spans="1:17">
      <c r="A17" s="3">
        <v>16</v>
      </c>
      <c r="B17" s="2">
        <v>45710</v>
      </c>
      <c r="C17" s="3" t="s">
        <v>11</v>
      </c>
      <c r="D17" s="3">
        <v>1</v>
      </c>
      <c r="E17" s="3" t="s">
        <v>72</v>
      </c>
      <c r="F17" s="4">
        <v>2349</v>
      </c>
      <c r="G17" s="7">
        <f t="shared" si="0"/>
        <v>213.54545454545453</v>
      </c>
      <c r="H17" s="3" t="s">
        <v>73</v>
      </c>
      <c r="I17" s="3" t="s">
        <v>9</v>
      </c>
      <c r="J17" s="3" t="s">
        <v>18</v>
      </c>
      <c r="K17" s="2">
        <v>45710</v>
      </c>
      <c r="L17" s="3" t="s">
        <v>76</v>
      </c>
      <c r="M17" s="3"/>
      <c r="N17" s="3"/>
      <c r="O17" s="3"/>
      <c r="P17" s="3" t="s">
        <v>98</v>
      </c>
      <c r="Q17" s="13">
        <v>45714</v>
      </c>
    </row>
    <row r="18" spans="1:17" ht="15">
      <c r="A18" s="3">
        <v>17</v>
      </c>
      <c r="B18" s="2">
        <v>45710</v>
      </c>
      <c r="C18" s="3" t="s">
        <v>11</v>
      </c>
      <c r="D18" s="3">
        <v>1</v>
      </c>
      <c r="E18" s="3" t="s">
        <v>72</v>
      </c>
      <c r="F18" s="4">
        <v>2349</v>
      </c>
      <c r="G18" s="7">
        <f t="shared" si="0"/>
        <v>213.54545454545453</v>
      </c>
      <c r="H18" s="3" t="s">
        <v>74</v>
      </c>
      <c r="I18" s="10" t="s">
        <v>61</v>
      </c>
      <c r="J18" s="3" t="s">
        <v>18</v>
      </c>
      <c r="K18" s="2">
        <v>45710</v>
      </c>
      <c r="L18" s="3" t="s">
        <v>77</v>
      </c>
      <c r="M18" s="3"/>
      <c r="N18" s="3"/>
      <c r="O18" s="3"/>
      <c r="P18" s="3" t="s">
        <v>98</v>
      </c>
      <c r="Q18" s="13">
        <v>45714</v>
      </c>
    </row>
    <row r="19" spans="1:17" ht="15">
      <c r="A19" s="3">
        <v>18</v>
      </c>
      <c r="B19" s="2">
        <v>45711</v>
      </c>
      <c r="C19" s="3" t="s">
        <v>11</v>
      </c>
      <c r="D19" s="3">
        <v>1</v>
      </c>
      <c r="E19" s="3" t="s">
        <v>12</v>
      </c>
      <c r="F19" s="4">
        <v>2349</v>
      </c>
      <c r="G19" s="7">
        <f t="shared" si="0"/>
        <v>213.54545454545453</v>
      </c>
      <c r="H19" s="3" t="s">
        <v>74</v>
      </c>
      <c r="I19" s="3" t="s">
        <v>9</v>
      </c>
      <c r="J19" s="3" t="s">
        <v>18</v>
      </c>
      <c r="K19" s="2">
        <v>45711</v>
      </c>
      <c r="L19" s="8" t="s">
        <v>78</v>
      </c>
      <c r="M19" s="3"/>
      <c r="N19" s="11" t="s">
        <v>79</v>
      </c>
      <c r="O19" s="3">
        <v>421022212</v>
      </c>
      <c r="P19" s="3" t="s">
        <v>98</v>
      </c>
      <c r="Q19" s="13">
        <v>45714</v>
      </c>
    </row>
    <row r="20" spans="1:17">
      <c r="A20" s="3">
        <v>19</v>
      </c>
      <c r="B20" s="2">
        <v>45711</v>
      </c>
      <c r="C20" s="3" t="s">
        <v>11</v>
      </c>
      <c r="D20" s="3">
        <v>1</v>
      </c>
      <c r="E20" s="3" t="s">
        <v>12</v>
      </c>
      <c r="F20" s="4">
        <v>2349</v>
      </c>
      <c r="G20" s="7">
        <f t="shared" si="0"/>
        <v>213.54545454545453</v>
      </c>
      <c r="H20" s="3" t="s">
        <v>69</v>
      </c>
      <c r="I20" s="12" t="s">
        <v>82</v>
      </c>
      <c r="J20" s="3" t="s">
        <v>18</v>
      </c>
      <c r="K20" s="2">
        <v>45711</v>
      </c>
      <c r="L20" s="8" t="s">
        <v>80</v>
      </c>
      <c r="M20" s="3"/>
      <c r="N20" s="8" t="s">
        <v>81</v>
      </c>
      <c r="O20" s="3">
        <v>420733329</v>
      </c>
      <c r="P20" s="3" t="s">
        <v>98</v>
      </c>
      <c r="Q20" s="13">
        <v>45714</v>
      </c>
    </row>
    <row r="21" spans="1:17">
      <c r="A21" s="3">
        <v>20</v>
      </c>
      <c r="B21" s="2">
        <v>45711</v>
      </c>
      <c r="C21" s="3" t="s">
        <v>11</v>
      </c>
      <c r="D21" s="3">
        <v>1</v>
      </c>
      <c r="E21" s="3" t="s">
        <v>12</v>
      </c>
      <c r="F21" s="4">
        <v>2349</v>
      </c>
      <c r="G21" s="7">
        <f t="shared" si="0"/>
        <v>213.54545454545453</v>
      </c>
      <c r="H21" s="3" t="s">
        <v>53</v>
      </c>
      <c r="I21" s="12" t="s">
        <v>61</v>
      </c>
      <c r="J21" s="3" t="s">
        <v>18</v>
      </c>
      <c r="K21" s="2">
        <v>45711</v>
      </c>
      <c r="L21" s="12" t="s">
        <v>84</v>
      </c>
      <c r="M21" s="3"/>
      <c r="N21" s="8" t="s">
        <v>86</v>
      </c>
      <c r="O21" s="3"/>
      <c r="P21" s="3" t="s">
        <v>98</v>
      </c>
      <c r="Q21" s="13">
        <v>45714</v>
      </c>
    </row>
    <row r="22" spans="1:17">
      <c r="A22" s="3">
        <v>21</v>
      </c>
      <c r="B22" s="2">
        <v>45711</v>
      </c>
      <c r="C22" s="3" t="s">
        <v>11</v>
      </c>
      <c r="D22" s="3">
        <v>1</v>
      </c>
      <c r="E22" s="3" t="s">
        <v>12</v>
      </c>
      <c r="F22" s="4">
        <v>2349</v>
      </c>
      <c r="G22" s="7">
        <f t="shared" si="0"/>
        <v>213.54545454545453</v>
      </c>
      <c r="H22" s="3" t="s">
        <v>60</v>
      </c>
      <c r="I22" s="12" t="s">
        <v>83</v>
      </c>
      <c r="J22" s="3" t="s">
        <v>18</v>
      </c>
      <c r="K22" s="2">
        <v>45711</v>
      </c>
      <c r="L22" s="12" t="s">
        <v>85</v>
      </c>
      <c r="M22" s="3"/>
      <c r="N22" s="8" t="s">
        <v>86</v>
      </c>
      <c r="O22" s="3"/>
      <c r="P22" s="3" t="s">
        <v>98</v>
      </c>
      <c r="Q22" s="13">
        <v>45714</v>
      </c>
    </row>
    <row r="23" spans="1:17" ht="15">
      <c r="A23" s="3">
        <v>22</v>
      </c>
      <c r="B23" s="2">
        <v>45711</v>
      </c>
      <c r="C23" s="3" t="s">
        <v>11</v>
      </c>
      <c r="D23" s="3">
        <v>1</v>
      </c>
      <c r="E23" s="3" t="s">
        <v>47</v>
      </c>
      <c r="F23" s="4">
        <v>2364</v>
      </c>
      <c r="G23" s="7">
        <f t="shared" si="0"/>
        <v>214.90909090909091</v>
      </c>
      <c r="H23" s="3" t="s">
        <v>48</v>
      </c>
      <c r="I23" s="12" t="s">
        <v>83</v>
      </c>
      <c r="J23" s="12" t="s">
        <v>14</v>
      </c>
      <c r="K23" s="2">
        <v>45712</v>
      </c>
      <c r="L23" s="8" t="s">
        <v>87</v>
      </c>
      <c r="M23" s="3"/>
      <c r="N23" s="11" t="s">
        <v>79</v>
      </c>
      <c r="O23" s="3" t="s">
        <v>88</v>
      </c>
      <c r="P23" s="3" t="s">
        <v>98</v>
      </c>
      <c r="Q23" s="13">
        <v>45714</v>
      </c>
    </row>
    <row r="24" spans="1:17" ht="15">
      <c r="A24" s="3">
        <v>23</v>
      </c>
      <c r="B24" s="2">
        <v>45711</v>
      </c>
      <c r="C24" s="3" t="s">
        <v>11</v>
      </c>
      <c r="D24" s="3">
        <v>1</v>
      </c>
      <c r="E24" s="3" t="s">
        <v>47</v>
      </c>
      <c r="F24" s="4">
        <v>2364</v>
      </c>
      <c r="G24" s="7">
        <f t="shared" si="0"/>
        <v>214.90909090909091</v>
      </c>
      <c r="H24" s="3" t="s">
        <v>73</v>
      </c>
      <c r="I24" s="12" t="s">
        <v>9</v>
      </c>
      <c r="J24" s="12" t="s">
        <v>14</v>
      </c>
      <c r="K24" s="2">
        <v>45712</v>
      </c>
      <c r="L24" s="8" t="s">
        <v>89</v>
      </c>
      <c r="M24" s="3"/>
      <c r="N24" s="10" t="s">
        <v>59</v>
      </c>
      <c r="O24" s="3" t="s">
        <v>83</v>
      </c>
      <c r="P24" s="3" t="s">
        <v>98</v>
      </c>
      <c r="Q24" s="13">
        <v>45714</v>
      </c>
    </row>
    <row r="25" spans="1:17">
      <c r="A25" s="3">
        <v>24</v>
      </c>
      <c r="B25" s="2">
        <v>45711</v>
      </c>
      <c r="C25" s="3" t="s">
        <v>11</v>
      </c>
      <c r="D25" s="3">
        <v>1</v>
      </c>
      <c r="E25" s="12" t="s">
        <v>16</v>
      </c>
      <c r="F25" s="4">
        <v>2349</v>
      </c>
      <c r="G25" s="7">
        <f t="shared" si="0"/>
        <v>213.54545454545453</v>
      </c>
      <c r="H25" s="3" t="s">
        <v>17</v>
      </c>
      <c r="I25" s="12" t="s">
        <v>9</v>
      </c>
      <c r="J25" s="3" t="s">
        <v>18</v>
      </c>
      <c r="K25" s="2">
        <v>45712</v>
      </c>
      <c r="L25" s="3"/>
      <c r="M25" s="3"/>
      <c r="N25" s="3"/>
      <c r="O25" s="3"/>
      <c r="P25" s="3"/>
      <c r="Q25" s="3"/>
    </row>
    <row r="26" spans="1:17">
      <c r="A26" s="3">
        <v>25</v>
      </c>
      <c r="B26" s="2">
        <v>45711</v>
      </c>
      <c r="C26" s="3" t="s">
        <v>11</v>
      </c>
      <c r="D26" s="3">
        <v>1</v>
      </c>
      <c r="E26" s="12" t="s">
        <v>92</v>
      </c>
      <c r="F26" s="4">
        <v>2349</v>
      </c>
      <c r="G26" s="7">
        <f t="shared" si="0"/>
        <v>213.54545454545453</v>
      </c>
      <c r="H26" s="3" t="s">
        <v>17</v>
      </c>
      <c r="I26" s="12" t="s">
        <v>9</v>
      </c>
      <c r="J26" s="3" t="s">
        <v>18</v>
      </c>
      <c r="K26" s="2">
        <v>45712</v>
      </c>
      <c r="L26" s="3"/>
      <c r="M26" s="3"/>
      <c r="N26" s="3"/>
      <c r="O26" s="3"/>
      <c r="P26" s="3"/>
      <c r="Q26" s="3"/>
    </row>
    <row r="27" spans="1:17">
      <c r="A27" s="3">
        <v>26</v>
      </c>
      <c r="B27" s="2">
        <v>45711</v>
      </c>
      <c r="C27" s="3" t="s">
        <v>11</v>
      </c>
      <c r="D27" s="3">
        <v>1</v>
      </c>
      <c r="E27" s="12" t="s">
        <v>93</v>
      </c>
      <c r="F27" s="4">
        <v>2349</v>
      </c>
      <c r="G27" s="7">
        <f t="shared" si="0"/>
        <v>213.54545454545453</v>
      </c>
      <c r="H27" s="3" t="s">
        <v>17</v>
      </c>
      <c r="I27" s="12" t="s">
        <v>9</v>
      </c>
      <c r="J27" s="3" t="s">
        <v>18</v>
      </c>
      <c r="K27" s="2">
        <v>45712</v>
      </c>
      <c r="L27" s="3"/>
      <c r="M27" s="3"/>
      <c r="N27" s="3"/>
      <c r="O27" s="3"/>
      <c r="P27" s="3"/>
      <c r="Q27" s="3"/>
    </row>
    <row r="28" spans="1:17">
      <c r="A28" s="3">
        <v>27</v>
      </c>
      <c r="B28" s="2">
        <v>45711</v>
      </c>
      <c r="C28" s="3" t="s">
        <v>10</v>
      </c>
      <c r="D28" s="3">
        <v>1</v>
      </c>
      <c r="E28" s="12" t="s">
        <v>94</v>
      </c>
      <c r="F28" s="4">
        <v>2349</v>
      </c>
      <c r="G28" s="7">
        <f t="shared" si="0"/>
        <v>213.54545454545453</v>
      </c>
      <c r="H28" s="3" t="s">
        <v>17</v>
      </c>
      <c r="I28" s="12" t="s">
        <v>83</v>
      </c>
      <c r="J28" s="12" t="s">
        <v>47</v>
      </c>
      <c r="K28" s="3"/>
      <c r="L28" s="3" t="s">
        <v>95</v>
      </c>
      <c r="M28" s="3"/>
      <c r="N28" s="8" t="s">
        <v>96</v>
      </c>
      <c r="O28" s="3">
        <v>430984584</v>
      </c>
      <c r="P28" s="3"/>
      <c r="Q28" s="3"/>
    </row>
    <row r="29" spans="1:17">
      <c r="A29" s="3">
        <v>28</v>
      </c>
      <c r="B29" s="2">
        <v>45711</v>
      </c>
      <c r="C29" s="3"/>
      <c r="D29" s="3"/>
      <c r="E29" s="3"/>
      <c r="F29" s="4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>
        <v>29</v>
      </c>
      <c r="B30" s="2">
        <v>45711</v>
      </c>
      <c r="C30" s="3"/>
      <c r="D30" s="3"/>
      <c r="E30" s="3"/>
      <c r="F30" s="4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</row>
  </sheetData>
  <autoFilter ref="A1:O30"/>
  <hyperlinks>
    <hyperlink ref="L11" r:id="rId1" display="https://www.apple.com/xc/au-edu/vieworder/W1451174620/Anwar.ali2051@outlook.com"/>
    <hyperlink ref="N11" r:id="rId2"/>
    <hyperlink ref="L13" r:id="rId3" display="https://www.apple.com/xc/au-edu/vieworder/W1463493598/atiya.hayat2000@outlook.com"/>
    <hyperlink ref="L15" r:id="rId4" display="https://www.apple.com/xc/au-edu/vieworder/W1405425780/amaan.pasha@outlook.com.au"/>
    <hyperlink ref="N15" r:id="rId5"/>
    <hyperlink ref="N16" r:id="rId6"/>
    <hyperlink ref="L19" r:id="rId7" display="https://www.apple.com/xc/au-edu/vieworder/W1300382577/Muhammad.khan2000@outlook.com"/>
    <hyperlink ref="L20" r:id="rId8" display="https://www.apple.com/xc/au-edu/vieworder/W1302728463/amaans_uk@icloud.com"/>
    <hyperlink ref="N20" r:id="rId9"/>
    <hyperlink ref="N21" r:id="rId10"/>
    <hyperlink ref="N22" r:id="rId11"/>
    <hyperlink ref="L23" r:id="rId12" display="https://www.apple.com/xc/au-edu/vieworder/W1398071991/Muhammad.khan2000@outlook.com"/>
    <hyperlink ref="L24" r:id="rId13" display="https://www.apple.com/xc/au-edu/vieworder/W1320644753/atiya.hayat2000@outlook.com"/>
    <hyperlink ref="N28" r:id="rId14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3" sqref="B3"/>
    </sheetView>
  </sheetViews>
  <sheetFormatPr defaultRowHeight="14.5"/>
  <cols>
    <col min="1" max="1" width="11.6328125" bestFit="1" customWidth="1"/>
    <col min="2" max="2" width="25.1796875" bestFit="1" customWidth="1"/>
  </cols>
  <sheetData>
    <row r="1" spans="1:2">
      <c r="A1" t="s">
        <v>71</v>
      </c>
    </row>
    <row r="3" spans="1:2" ht="15">
      <c r="A3" t="s">
        <v>91</v>
      </c>
      <c r="B3" s="6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23"/>
  <sheetViews>
    <sheetView workbookViewId="0">
      <selection activeCell="E28" sqref="E28"/>
    </sheetView>
  </sheetViews>
  <sheetFormatPr defaultRowHeight="14.5"/>
  <cols>
    <col min="2" max="2" width="37.08984375" bestFit="1" customWidth="1"/>
    <col min="7" max="7" width="12.90625" bestFit="1" customWidth="1"/>
    <col min="8" max="8" width="20.453125" bestFit="1" customWidth="1"/>
  </cols>
  <sheetData>
    <row r="1" spans="2:8">
      <c r="C1" t="s">
        <v>27</v>
      </c>
      <c r="D1" t="s">
        <v>5</v>
      </c>
      <c r="F1" t="s">
        <v>28</v>
      </c>
      <c r="G1" t="s">
        <v>29</v>
      </c>
      <c r="H1" t="s">
        <v>26</v>
      </c>
    </row>
    <row r="2" spans="2:8">
      <c r="B2" t="s">
        <v>21</v>
      </c>
      <c r="H2">
        <v>465</v>
      </c>
    </row>
    <row r="3" spans="2:8">
      <c r="B3" t="s">
        <v>20</v>
      </c>
      <c r="H3">
        <v>385</v>
      </c>
    </row>
    <row r="4" spans="2:8">
      <c r="B4" t="s">
        <v>22</v>
      </c>
      <c r="C4">
        <v>229</v>
      </c>
      <c r="D4">
        <f t="shared" ref="D4:D5" si="0">(C4/11)</f>
        <v>20.818181818181817</v>
      </c>
      <c r="E4">
        <f t="shared" ref="E4:E5" si="1">C4-D4</f>
        <v>208.18181818181819</v>
      </c>
      <c r="F4">
        <v>2.35</v>
      </c>
      <c r="G4">
        <f t="shared" ref="G4:G5" si="2">E4*F4</f>
        <v>489.22727272727275</v>
      </c>
      <c r="H4">
        <v>600</v>
      </c>
    </row>
    <row r="5" spans="2:8">
      <c r="B5" t="s">
        <v>23</v>
      </c>
      <c r="D5">
        <f t="shared" si="0"/>
        <v>0</v>
      </c>
      <c r="E5">
        <f t="shared" si="1"/>
        <v>0</v>
      </c>
      <c r="F5">
        <v>2.35</v>
      </c>
      <c r="G5">
        <f t="shared" si="2"/>
        <v>0</v>
      </c>
      <c r="H5">
        <v>320</v>
      </c>
    </row>
    <row r="6" spans="2:8">
      <c r="B6" t="s">
        <v>24</v>
      </c>
      <c r="C6">
        <v>197</v>
      </c>
      <c r="D6">
        <f>(C6/11)</f>
        <v>17.90909090909091</v>
      </c>
      <c r="E6">
        <f>C6-D6</f>
        <v>179.09090909090909</v>
      </c>
      <c r="F6">
        <v>2.35</v>
      </c>
      <c r="G6">
        <f>E6*F6</f>
        <v>420.86363636363637</v>
      </c>
      <c r="H6">
        <v>550</v>
      </c>
    </row>
    <row r="7" spans="2:8">
      <c r="B7" t="s">
        <v>25</v>
      </c>
      <c r="E7">
        <f t="shared" ref="E7:E23" si="3">C7-D7</f>
        <v>0</v>
      </c>
      <c r="F7">
        <v>2.35</v>
      </c>
      <c r="G7">
        <f t="shared" ref="G7:G23" si="4">E7*F7</f>
        <v>0</v>
      </c>
      <c r="H7">
        <v>390</v>
      </c>
    </row>
    <row r="8" spans="2:8">
      <c r="B8" t="s">
        <v>30</v>
      </c>
      <c r="C8">
        <v>22</v>
      </c>
      <c r="D8">
        <f t="shared" ref="D8:D23" si="5">(C8/11)</f>
        <v>2</v>
      </c>
      <c r="E8">
        <f t="shared" si="3"/>
        <v>20</v>
      </c>
      <c r="F8">
        <v>2.35</v>
      </c>
      <c r="G8">
        <f t="shared" si="4"/>
        <v>47</v>
      </c>
    </row>
    <row r="9" spans="2:8">
      <c r="B9" t="s">
        <v>31</v>
      </c>
      <c r="C9">
        <v>59</v>
      </c>
      <c r="D9">
        <f t="shared" si="5"/>
        <v>5.3636363636363633</v>
      </c>
      <c r="E9">
        <f t="shared" si="3"/>
        <v>53.63636363636364</v>
      </c>
      <c r="F9">
        <v>2.35</v>
      </c>
      <c r="G9">
        <f t="shared" si="4"/>
        <v>126.04545454545456</v>
      </c>
    </row>
    <row r="10" spans="2:8">
      <c r="B10" t="s">
        <v>32</v>
      </c>
      <c r="C10">
        <v>24</v>
      </c>
      <c r="D10">
        <f t="shared" si="5"/>
        <v>2.1818181818181817</v>
      </c>
      <c r="E10">
        <f t="shared" si="3"/>
        <v>21.81818181818182</v>
      </c>
      <c r="F10">
        <v>2.35</v>
      </c>
      <c r="G10">
        <f t="shared" si="4"/>
        <v>51.27272727272728</v>
      </c>
    </row>
    <row r="11" spans="2:8">
      <c r="B11" t="s">
        <v>33</v>
      </c>
      <c r="C11">
        <v>31</v>
      </c>
      <c r="D11">
        <f t="shared" si="5"/>
        <v>2.8181818181818183</v>
      </c>
      <c r="E11">
        <f t="shared" si="3"/>
        <v>28.18181818181818</v>
      </c>
      <c r="F11">
        <v>2.35</v>
      </c>
      <c r="G11">
        <f t="shared" si="4"/>
        <v>66.22727272727272</v>
      </c>
    </row>
    <row r="12" spans="2:8">
      <c r="B12" t="s">
        <v>34</v>
      </c>
      <c r="C12">
        <v>249</v>
      </c>
      <c r="D12">
        <f t="shared" si="5"/>
        <v>22.636363636363637</v>
      </c>
      <c r="E12">
        <f t="shared" si="3"/>
        <v>226.36363636363637</v>
      </c>
      <c r="F12">
        <v>2.35</v>
      </c>
      <c r="G12">
        <f t="shared" si="4"/>
        <v>531.9545454545455</v>
      </c>
    </row>
    <row r="13" spans="2:8">
      <c r="B13" t="s">
        <v>35</v>
      </c>
      <c r="C13">
        <v>249</v>
      </c>
      <c r="D13">
        <f t="shared" si="5"/>
        <v>22.636363636363637</v>
      </c>
      <c r="E13">
        <f t="shared" si="3"/>
        <v>226.36363636363637</v>
      </c>
      <c r="F13">
        <v>2.35</v>
      </c>
      <c r="G13">
        <f t="shared" si="4"/>
        <v>531.9545454545455</v>
      </c>
    </row>
    <row r="14" spans="2:8">
      <c r="B14" t="s">
        <v>36</v>
      </c>
      <c r="C14">
        <v>197</v>
      </c>
      <c r="D14">
        <f t="shared" si="5"/>
        <v>17.90909090909091</v>
      </c>
      <c r="E14">
        <f t="shared" si="3"/>
        <v>179.09090909090909</v>
      </c>
      <c r="F14">
        <v>2.35</v>
      </c>
      <c r="G14">
        <f t="shared" si="4"/>
        <v>420.86363636363637</v>
      </c>
    </row>
    <row r="15" spans="2:8">
      <c r="B15" t="s">
        <v>37</v>
      </c>
      <c r="C15">
        <v>203</v>
      </c>
      <c r="D15">
        <f t="shared" si="5"/>
        <v>18.454545454545453</v>
      </c>
      <c r="E15">
        <f t="shared" si="3"/>
        <v>184.54545454545456</v>
      </c>
      <c r="F15">
        <v>2.35</v>
      </c>
      <c r="G15">
        <f t="shared" si="4"/>
        <v>433.68181818181824</v>
      </c>
    </row>
    <row r="16" spans="2:8">
      <c r="B16" t="s">
        <v>38</v>
      </c>
      <c r="C16">
        <v>197</v>
      </c>
      <c r="D16">
        <f t="shared" si="5"/>
        <v>17.90909090909091</v>
      </c>
      <c r="E16">
        <f t="shared" si="3"/>
        <v>179.09090909090909</v>
      </c>
      <c r="F16">
        <v>2.35</v>
      </c>
      <c r="G16">
        <f t="shared" si="4"/>
        <v>420.86363636363637</v>
      </c>
    </row>
    <row r="17" spans="2:7">
      <c r="B17" t="s">
        <v>39</v>
      </c>
      <c r="C17">
        <v>203</v>
      </c>
      <c r="D17">
        <f t="shared" si="5"/>
        <v>18.454545454545453</v>
      </c>
      <c r="E17">
        <f t="shared" si="3"/>
        <v>184.54545454545456</v>
      </c>
      <c r="F17">
        <v>2.35</v>
      </c>
      <c r="G17">
        <f t="shared" si="4"/>
        <v>433.68181818181824</v>
      </c>
    </row>
    <row r="18" spans="2:7">
      <c r="B18" t="s">
        <v>40</v>
      </c>
      <c r="C18">
        <v>203</v>
      </c>
      <c r="D18">
        <f t="shared" si="5"/>
        <v>18.454545454545453</v>
      </c>
      <c r="E18">
        <f t="shared" si="3"/>
        <v>184.54545454545456</v>
      </c>
      <c r="F18">
        <v>2.35</v>
      </c>
      <c r="G18">
        <f t="shared" si="4"/>
        <v>433.68181818181824</v>
      </c>
    </row>
    <row r="19" spans="2:7">
      <c r="B19" t="s">
        <v>41</v>
      </c>
      <c r="C19">
        <v>167</v>
      </c>
      <c r="D19">
        <f t="shared" si="5"/>
        <v>15.181818181818182</v>
      </c>
      <c r="E19">
        <f t="shared" si="3"/>
        <v>151.81818181818181</v>
      </c>
      <c r="F19">
        <v>2.35</v>
      </c>
      <c r="G19">
        <f t="shared" si="4"/>
        <v>356.77272727272725</v>
      </c>
    </row>
    <row r="20" spans="2:7">
      <c r="B20" t="s">
        <v>42</v>
      </c>
      <c r="C20">
        <v>167</v>
      </c>
      <c r="D20">
        <f t="shared" si="5"/>
        <v>15.181818181818182</v>
      </c>
      <c r="E20">
        <f t="shared" si="3"/>
        <v>151.81818181818181</v>
      </c>
      <c r="F20">
        <v>2.35</v>
      </c>
      <c r="G20">
        <f t="shared" si="4"/>
        <v>356.77272727272725</v>
      </c>
    </row>
    <row r="21" spans="2:7">
      <c r="B21" t="s">
        <v>43</v>
      </c>
      <c r="C21">
        <v>167</v>
      </c>
      <c r="D21">
        <f t="shared" si="5"/>
        <v>15.181818181818182</v>
      </c>
      <c r="E21">
        <f t="shared" si="3"/>
        <v>151.81818181818181</v>
      </c>
      <c r="F21">
        <v>2.35</v>
      </c>
      <c r="G21">
        <f t="shared" si="4"/>
        <v>356.77272727272725</v>
      </c>
    </row>
    <row r="22" spans="2:7">
      <c r="B22" t="s">
        <v>44</v>
      </c>
      <c r="C22">
        <v>51</v>
      </c>
      <c r="D22">
        <f t="shared" si="5"/>
        <v>4.6363636363636367</v>
      </c>
      <c r="E22">
        <f t="shared" si="3"/>
        <v>46.36363636363636</v>
      </c>
      <c r="F22">
        <v>2.35</v>
      </c>
      <c r="G22">
        <f t="shared" si="4"/>
        <v>108.95454545454545</v>
      </c>
    </row>
    <row r="23" spans="2:7">
      <c r="B23" t="s">
        <v>45</v>
      </c>
      <c r="C23">
        <v>46</v>
      </c>
      <c r="D23">
        <f t="shared" si="5"/>
        <v>4.1818181818181817</v>
      </c>
      <c r="E23">
        <f t="shared" si="3"/>
        <v>41.81818181818182</v>
      </c>
      <c r="F23">
        <v>2.35</v>
      </c>
      <c r="G23">
        <f t="shared" si="4"/>
        <v>98.27272727272728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8"/>
  <sheetViews>
    <sheetView zoomScale="53" zoomScaleNormal="53" workbookViewId="0">
      <selection activeCell="D2" sqref="D2:D10"/>
    </sheetView>
  </sheetViews>
  <sheetFormatPr defaultRowHeight="14.5"/>
  <cols>
    <col min="1" max="1" width="4.36328125" customWidth="1"/>
    <col min="2" max="2" width="13.7265625" customWidth="1"/>
    <col min="3" max="3" width="31.90625" customWidth="1"/>
    <col min="7" max="7" width="20.90625" customWidth="1"/>
    <col min="8" max="8" width="19.1796875" customWidth="1"/>
    <col min="10" max="10" width="17.26953125" customWidth="1"/>
    <col min="11" max="11" width="19.81640625" customWidth="1"/>
    <col min="12" max="12" width="15.7265625" customWidth="1"/>
    <col min="13" max="13" width="30.54296875" customWidth="1"/>
    <col min="14" max="14" width="14.08984375" customWidth="1"/>
    <col min="15" max="15" width="13.54296875" customWidth="1"/>
  </cols>
  <sheetData>
    <row r="1" spans="1:16">
      <c r="A1" s="3" t="s">
        <v>15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</v>
      </c>
      <c r="J1" s="1" t="s">
        <v>55</v>
      </c>
      <c r="K1" s="3" t="s">
        <v>56</v>
      </c>
      <c r="L1" s="3"/>
      <c r="M1" s="3" t="s">
        <v>57</v>
      </c>
      <c r="N1" s="3"/>
      <c r="O1" s="12" t="s">
        <v>97</v>
      </c>
      <c r="P1" s="12" t="s">
        <v>99</v>
      </c>
    </row>
    <row r="2" spans="1:16">
      <c r="A2" s="3">
        <v>1</v>
      </c>
      <c r="B2" s="16">
        <v>45708</v>
      </c>
      <c r="C2" s="17" t="s">
        <v>100</v>
      </c>
      <c r="D2" s="17">
        <v>1</v>
      </c>
      <c r="E2" s="18">
        <v>1919</v>
      </c>
      <c r="F2" s="19">
        <f>(E2/11)</f>
        <v>174.45454545454547</v>
      </c>
      <c r="G2" s="17" t="s">
        <v>13</v>
      </c>
      <c r="H2" s="17"/>
      <c r="I2" s="17" t="s">
        <v>14</v>
      </c>
      <c r="J2" s="16">
        <v>45708</v>
      </c>
      <c r="K2" s="17"/>
      <c r="L2" s="17"/>
      <c r="M2" s="17"/>
      <c r="N2" s="17"/>
      <c r="O2" s="17" t="s">
        <v>98</v>
      </c>
      <c r="P2" s="20">
        <v>45714</v>
      </c>
    </row>
    <row r="3" spans="1:16">
      <c r="A3" s="3">
        <v>2</v>
      </c>
      <c r="B3" s="16">
        <v>45709</v>
      </c>
      <c r="C3" s="17" t="s">
        <v>101</v>
      </c>
      <c r="D3" s="17">
        <v>1</v>
      </c>
      <c r="E3" s="18">
        <v>1934</v>
      </c>
      <c r="F3" s="19">
        <f t="shared" ref="F3:F28" si="0">(E3/11)</f>
        <v>175.81818181818181</v>
      </c>
      <c r="G3" s="17" t="s">
        <v>17</v>
      </c>
      <c r="H3" s="17"/>
      <c r="I3" s="17" t="s">
        <v>14</v>
      </c>
      <c r="J3" s="16"/>
      <c r="K3" s="17"/>
      <c r="L3" s="17" t="s">
        <v>49</v>
      </c>
      <c r="M3" s="17"/>
      <c r="N3" s="17"/>
      <c r="O3" s="17" t="s">
        <v>98</v>
      </c>
      <c r="P3" s="20">
        <v>45714</v>
      </c>
    </row>
    <row r="4" spans="1:16">
      <c r="A4" s="3">
        <v>3</v>
      </c>
      <c r="B4" s="16">
        <v>45709</v>
      </c>
      <c r="C4" s="17" t="s">
        <v>102</v>
      </c>
      <c r="D4" s="17">
        <v>1</v>
      </c>
      <c r="E4" s="18">
        <v>2349</v>
      </c>
      <c r="F4" s="19">
        <f t="shared" si="0"/>
        <v>213.54545454545453</v>
      </c>
      <c r="G4" s="17" t="s">
        <v>17</v>
      </c>
      <c r="H4" s="17"/>
      <c r="I4" s="17" t="s">
        <v>18</v>
      </c>
      <c r="J4" s="16">
        <v>45709</v>
      </c>
      <c r="K4" s="17"/>
      <c r="L4" s="17"/>
      <c r="M4" s="17"/>
      <c r="N4" s="17"/>
      <c r="O4" s="17" t="s">
        <v>98</v>
      </c>
      <c r="P4" s="20">
        <v>45714</v>
      </c>
    </row>
    <row r="5" spans="1:16">
      <c r="A5" s="3">
        <v>4</v>
      </c>
      <c r="B5" s="16">
        <v>45709</v>
      </c>
      <c r="C5" s="17" t="s">
        <v>102</v>
      </c>
      <c r="D5" s="17">
        <v>1</v>
      </c>
      <c r="E5" s="18">
        <v>2349</v>
      </c>
      <c r="F5" s="19">
        <f t="shared" si="0"/>
        <v>213.54545454545453</v>
      </c>
      <c r="G5" s="17" t="s">
        <v>17</v>
      </c>
      <c r="H5" s="17"/>
      <c r="I5" s="17" t="s">
        <v>18</v>
      </c>
      <c r="J5" s="16">
        <v>45709</v>
      </c>
      <c r="K5" s="17"/>
      <c r="L5" s="17"/>
      <c r="M5" s="17"/>
      <c r="N5" s="17"/>
      <c r="O5" s="17" t="s">
        <v>98</v>
      </c>
      <c r="P5" s="20">
        <v>45714</v>
      </c>
    </row>
    <row r="6" spans="1:16">
      <c r="A6" s="3">
        <v>5</v>
      </c>
      <c r="B6" s="16">
        <v>45709</v>
      </c>
      <c r="C6" s="17" t="s">
        <v>102</v>
      </c>
      <c r="D6" s="17">
        <v>1</v>
      </c>
      <c r="E6" s="18">
        <v>2349</v>
      </c>
      <c r="F6" s="19">
        <f t="shared" si="0"/>
        <v>213.54545454545453</v>
      </c>
      <c r="G6" s="17" t="s">
        <v>17</v>
      </c>
      <c r="H6" s="17"/>
      <c r="I6" s="17" t="s">
        <v>18</v>
      </c>
      <c r="J6" s="16">
        <v>45709</v>
      </c>
      <c r="K6" s="17"/>
      <c r="L6" s="17"/>
      <c r="M6" s="17"/>
      <c r="N6" s="17"/>
      <c r="O6" s="17" t="s">
        <v>98</v>
      </c>
      <c r="P6" s="20">
        <v>45714</v>
      </c>
    </row>
    <row r="7" spans="1:16">
      <c r="A7" s="3">
        <v>6</v>
      </c>
      <c r="B7" s="16">
        <v>45709</v>
      </c>
      <c r="C7" s="17" t="s">
        <v>102</v>
      </c>
      <c r="D7" s="17">
        <v>1</v>
      </c>
      <c r="E7" s="18">
        <v>2349</v>
      </c>
      <c r="F7" s="19">
        <f t="shared" si="0"/>
        <v>213.54545454545453</v>
      </c>
      <c r="G7" s="17" t="s">
        <v>17</v>
      </c>
      <c r="H7" s="17"/>
      <c r="I7" s="17" t="s">
        <v>18</v>
      </c>
      <c r="J7" s="16">
        <v>45709</v>
      </c>
      <c r="K7" s="17"/>
      <c r="L7" s="17"/>
      <c r="M7" s="17"/>
      <c r="N7" s="17"/>
      <c r="O7" s="17" t="s">
        <v>98</v>
      </c>
      <c r="P7" s="20">
        <v>45714</v>
      </c>
    </row>
    <row r="8" spans="1:16">
      <c r="A8" s="3">
        <v>7</v>
      </c>
      <c r="B8" s="16">
        <v>45709</v>
      </c>
      <c r="C8" s="17" t="s">
        <v>102</v>
      </c>
      <c r="D8" s="17">
        <v>1</v>
      </c>
      <c r="E8" s="18">
        <v>2349</v>
      </c>
      <c r="F8" s="19">
        <f t="shared" si="0"/>
        <v>213.54545454545453</v>
      </c>
      <c r="G8" s="17" t="s">
        <v>17</v>
      </c>
      <c r="H8" s="17"/>
      <c r="I8" s="17" t="s">
        <v>18</v>
      </c>
      <c r="J8" s="16">
        <v>45709</v>
      </c>
      <c r="K8" s="17"/>
      <c r="L8" s="17"/>
      <c r="M8" s="17"/>
      <c r="N8" s="17"/>
      <c r="O8" s="17" t="s">
        <v>98</v>
      </c>
      <c r="P8" s="20">
        <v>45714</v>
      </c>
    </row>
    <row r="9" spans="1:16">
      <c r="A9" s="3">
        <v>8</v>
      </c>
      <c r="B9" s="16">
        <v>45709</v>
      </c>
      <c r="C9" s="17" t="s">
        <v>102</v>
      </c>
      <c r="D9" s="17">
        <v>1</v>
      </c>
      <c r="E9" s="18">
        <v>2349</v>
      </c>
      <c r="F9" s="19">
        <f t="shared" si="0"/>
        <v>213.54545454545453</v>
      </c>
      <c r="G9" s="17" t="s">
        <v>17</v>
      </c>
      <c r="H9" s="17"/>
      <c r="I9" s="17" t="s">
        <v>18</v>
      </c>
      <c r="J9" s="16">
        <v>45709</v>
      </c>
      <c r="K9" s="17"/>
      <c r="L9" s="17"/>
      <c r="M9" s="17"/>
      <c r="N9" s="17"/>
      <c r="O9" s="17" t="s">
        <v>98</v>
      </c>
      <c r="P9" s="20">
        <v>45714</v>
      </c>
    </row>
    <row r="10" spans="1:16">
      <c r="A10" s="3">
        <v>9</v>
      </c>
      <c r="B10" s="16">
        <v>45709</v>
      </c>
      <c r="C10" s="17" t="s">
        <v>102</v>
      </c>
      <c r="D10" s="17">
        <v>1</v>
      </c>
      <c r="E10" s="18">
        <v>2349</v>
      </c>
      <c r="F10" s="19">
        <f t="shared" si="0"/>
        <v>213.54545454545453</v>
      </c>
      <c r="G10" s="17" t="s">
        <v>17</v>
      </c>
      <c r="H10" s="17"/>
      <c r="I10" s="17" t="s">
        <v>18</v>
      </c>
      <c r="J10" s="16">
        <v>45713</v>
      </c>
      <c r="K10" s="17" t="s">
        <v>19</v>
      </c>
      <c r="L10" s="17"/>
      <c r="M10" s="17"/>
      <c r="N10" s="17"/>
      <c r="O10" s="17"/>
      <c r="P10" s="20"/>
    </row>
    <row r="11" spans="1:16">
      <c r="A11" s="3">
        <v>10</v>
      </c>
      <c r="B11" s="2">
        <v>45710</v>
      </c>
      <c r="C11" s="3" t="s">
        <v>103</v>
      </c>
      <c r="D11" s="3">
        <v>1</v>
      </c>
      <c r="E11" s="4">
        <v>2364</v>
      </c>
      <c r="F11" s="7">
        <f t="shared" si="0"/>
        <v>214.90909090909091</v>
      </c>
      <c r="G11" s="3" t="s">
        <v>48</v>
      </c>
      <c r="H11" s="3"/>
      <c r="I11" s="3" t="s">
        <v>14</v>
      </c>
      <c r="J11" s="2">
        <v>45710</v>
      </c>
      <c r="K11" s="8" t="s">
        <v>46</v>
      </c>
      <c r="L11" s="3" t="s">
        <v>49</v>
      </c>
      <c r="M11" s="8" t="s">
        <v>50</v>
      </c>
      <c r="N11" s="3"/>
      <c r="O11" s="3" t="s">
        <v>98</v>
      </c>
      <c r="P11" s="13">
        <v>45714</v>
      </c>
    </row>
    <row r="12" spans="1:16" ht="15">
      <c r="A12" s="3">
        <v>11</v>
      </c>
      <c r="B12" s="2">
        <v>45710</v>
      </c>
      <c r="C12" s="3" t="s">
        <v>104</v>
      </c>
      <c r="D12" s="3">
        <v>1</v>
      </c>
      <c r="E12" s="4">
        <v>2349</v>
      </c>
      <c r="F12" s="7">
        <f t="shared" si="0"/>
        <v>213.54545454545453</v>
      </c>
      <c r="G12" s="3" t="s">
        <v>53</v>
      </c>
      <c r="H12" s="3" t="s">
        <v>9</v>
      </c>
      <c r="I12" s="3" t="s">
        <v>18</v>
      </c>
      <c r="J12" s="2">
        <v>45710</v>
      </c>
      <c r="K12" s="3" t="s">
        <v>54</v>
      </c>
      <c r="L12" s="3"/>
      <c r="M12" s="9" t="s">
        <v>51</v>
      </c>
      <c r="N12" s="3"/>
      <c r="O12" s="3" t="s">
        <v>98</v>
      </c>
      <c r="P12" s="13">
        <v>45714</v>
      </c>
    </row>
    <row r="13" spans="1:16" ht="15">
      <c r="A13" s="3">
        <v>12</v>
      </c>
      <c r="B13" s="2">
        <v>45710</v>
      </c>
      <c r="C13" s="3" t="s">
        <v>105</v>
      </c>
      <c r="D13" s="3">
        <v>1</v>
      </c>
      <c r="E13" s="4">
        <v>2349</v>
      </c>
      <c r="F13" s="7">
        <f t="shared" si="0"/>
        <v>213.54545454545453</v>
      </c>
      <c r="G13" s="10" t="s">
        <v>60</v>
      </c>
      <c r="H13" s="10" t="s">
        <v>61</v>
      </c>
      <c r="I13" s="3" t="s">
        <v>18</v>
      </c>
      <c r="J13" s="2">
        <v>45710</v>
      </c>
      <c r="K13" s="8" t="s">
        <v>58</v>
      </c>
      <c r="L13" s="3"/>
      <c r="M13" s="10" t="s">
        <v>59</v>
      </c>
      <c r="N13" s="3"/>
      <c r="O13" s="3" t="s">
        <v>98</v>
      </c>
      <c r="P13" s="13">
        <v>45714</v>
      </c>
    </row>
    <row r="14" spans="1:16" ht="15">
      <c r="A14" s="3">
        <v>13</v>
      </c>
      <c r="B14" s="2">
        <v>45710</v>
      </c>
      <c r="C14" s="3" t="s">
        <v>102</v>
      </c>
      <c r="D14" s="3">
        <v>1</v>
      </c>
      <c r="E14" s="4">
        <v>2349</v>
      </c>
      <c r="F14" s="7">
        <f t="shared" si="0"/>
        <v>213.54545454545453</v>
      </c>
      <c r="G14" s="15" t="s">
        <v>17</v>
      </c>
      <c r="H14" s="10" t="s">
        <v>9</v>
      </c>
      <c r="I14" s="3" t="s">
        <v>75</v>
      </c>
      <c r="J14" s="2">
        <v>45710</v>
      </c>
      <c r="K14" s="8"/>
      <c r="L14" s="3"/>
      <c r="M14" s="10"/>
      <c r="N14" s="3"/>
      <c r="O14" s="3" t="s">
        <v>98</v>
      </c>
      <c r="P14" s="13">
        <v>45714</v>
      </c>
    </row>
    <row r="15" spans="1:16">
      <c r="A15" s="3">
        <v>14</v>
      </c>
      <c r="B15" s="2">
        <v>45710</v>
      </c>
      <c r="C15" s="3" t="s">
        <v>106</v>
      </c>
      <c r="D15" s="3">
        <v>1</v>
      </c>
      <c r="E15" s="4">
        <v>2349</v>
      </c>
      <c r="F15" s="7">
        <f t="shared" si="0"/>
        <v>213.54545454545453</v>
      </c>
      <c r="G15" s="3" t="s">
        <v>66</v>
      </c>
      <c r="H15" s="3" t="s">
        <v>65</v>
      </c>
      <c r="I15" s="3" t="s">
        <v>18</v>
      </c>
      <c r="J15" s="2">
        <v>45710</v>
      </c>
      <c r="K15" s="8" t="s">
        <v>63</v>
      </c>
      <c r="L15" s="3"/>
      <c r="M15" s="8" t="s">
        <v>64</v>
      </c>
      <c r="N15" s="3"/>
      <c r="O15" s="3" t="s">
        <v>98</v>
      </c>
      <c r="P15" s="13">
        <v>45714</v>
      </c>
    </row>
    <row r="16" spans="1:16">
      <c r="A16" s="3">
        <v>15</v>
      </c>
      <c r="B16" s="2">
        <v>45710</v>
      </c>
      <c r="C16" s="3" t="s">
        <v>107</v>
      </c>
      <c r="D16" s="3">
        <v>1</v>
      </c>
      <c r="E16" s="4">
        <v>2349</v>
      </c>
      <c r="F16" s="7">
        <f t="shared" si="0"/>
        <v>213.54545454545453</v>
      </c>
      <c r="G16" s="3" t="s">
        <v>69</v>
      </c>
      <c r="H16" s="3" t="s">
        <v>70</v>
      </c>
      <c r="I16" s="3" t="s">
        <v>18</v>
      </c>
      <c r="J16" s="2">
        <v>45710</v>
      </c>
      <c r="K16" s="3" t="s">
        <v>68</v>
      </c>
      <c r="L16" s="3"/>
      <c r="M16" s="8" t="s">
        <v>50</v>
      </c>
      <c r="N16" s="3"/>
      <c r="O16" s="3" t="s">
        <v>98</v>
      </c>
      <c r="P16" s="13">
        <v>45714</v>
      </c>
    </row>
    <row r="17" spans="1:16">
      <c r="A17" s="3">
        <v>16</v>
      </c>
      <c r="B17" s="2">
        <v>45710</v>
      </c>
      <c r="C17" s="3" t="s">
        <v>108</v>
      </c>
      <c r="D17" s="3">
        <v>1</v>
      </c>
      <c r="E17" s="4">
        <v>2349</v>
      </c>
      <c r="F17" s="7">
        <f t="shared" si="0"/>
        <v>213.54545454545453</v>
      </c>
      <c r="G17" s="3" t="s">
        <v>73</v>
      </c>
      <c r="H17" s="3" t="s">
        <v>9</v>
      </c>
      <c r="I17" s="3" t="s">
        <v>18</v>
      </c>
      <c r="J17" s="2">
        <v>45710</v>
      </c>
      <c r="K17" s="3" t="s">
        <v>76</v>
      </c>
      <c r="L17" s="3"/>
      <c r="M17" s="3"/>
      <c r="N17" s="3"/>
      <c r="O17" s="3" t="s">
        <v>98</v>
      </c>
      <c r="P17" s="13">
        <v>45714</v>
      </c>
    </row>
    <row r="18" spans="1:16" ht="15">
      <c r="A18" s="3">
        <v>17</v>
      </c>
      <c r="B18" s="2">
        <v>45710</v>
      </c>
      <c r="C18" s="3" t="s">
        <v>109</v>
      </c>
      <c r="D18" s="3">
        <v>1</v>
      </c>
      <c r="E18" s="4">
        <v>2349</v>
      </c>
      <c r="F18" s="7">
        <f t="shared" si="0"/>
        <v>213.54545454545453</v>
      </c>
      <c r="G18" s="3" t="s">
        <v>74</v>
      </c>
      <c r="H18" s="10" t="s">
        <v>61</v>
      </c>
      <c r="I18" s="3" t="s">
        <v>18</v>
      </c>
      <c r="J18" s="2">
        <v>45710</v>
      </c>
      <c r="K18" s="3" t="s">
        <v>77</v>
      </c>
      <c r="L18" s="3"/>
      <c r="M18" s="3"/>
      <c r="N18" s="3"/>
      <c r="O18" s="3" t="s">
        <v>98</v>
      </c>
      <c r="P18" s="13">
        <v>45714</v>
      </c>
    </row>
    <row r="19" spans="1:16" ht="15">
      <c r="A19" s="3">
        <v>18</v>
      </c>
      <c r="B19" s="2">
        <v>45711</v>
      </c>
      <c r="C19" s="3" t="s">
        <v>109</v>
      </c>
      <c r="D19" s="3">
        <v>1</v>
      </c>
      <c r="E19" s="4">
        <v>2349</v>
      </c>
      <c r="F19" s="7">
        <f t="shared" si="0"/>
        <v>213.54545454545453</v>
      </c>
      <c r="G19" s="3" t="s">
        <v>74</v>
      </c>
      <c r="H19" s="3" t="s">
        <v>9</v>
      </c>
      <c r="I19" s="3" t="s">
        <v>18</v>
      </c>
      <c r="J19" s="2">
        <v>45711</v>
      </c>
      <c r="K19" s="8" t="s">
        <v>78</v>
      </c>
      <c r="L19" s="3"/>
      <c r="M19" s="11" t="s">
        <v>79</v>
      </c>
      <c r="N19" s="3">
        <v>421022212</v>
      </c>
      <c r="O19" s="3" t="s">
        <v>98</v>
      </c>
      <c r="P19" s="13">
        <v>45714</v>
      </c>
    </row>
    <row r="20" spans="1:16">
      <c r="A20" s="3">
        <v>19</v>
      </c>
      <c r="B20" s="2">
        <v>45711</v>
      </c>
      <c r="C20" s="3" t="s">
        <v>110</v>
      </c>
      <c r="D20" s="3">
        <v>1</v>
      </c>
      <c r="E20" s="4">
        <v>2349</v>
      </c>
      <c r="F20" s="7">
        <f t="shared" si="0"/>
        <v>213.54545454545453</v>
      </c>
      <c r="G20" s="3" t="s">
        <v>69</v>
      </c>
      <c r="H20" s="12" t="s">
        <v>82</v>
      </c>
      <c r="I20" s="3" t="s">
        <v>18</v>
      </c>
      <c r="J20" s="2">
        <v>45711</v>
      </c>
      <c r="K20" s="8" t="s">
        <v>80</v>
      </c>
      <c r="L20" s="3"/>
      <c r="M20" s="8" t="s">
        <v>81</v>
      </c>
      <c r="N20" s="3">
        <v>420733329</v>
      </c>
      <c r="O20" s="3" t="s">
        <v>98</v>
      </c>
      <c r="P20" s="13">
        <v>45714</v>
      </c>
    </row>
    <row r="21" spans="1:16">
      <c r="A21" s="3">
        <v>20</v>
      </c>
      <c r="B21" s="2">
        <v>45711</v>
      </c>
      <c r="C21" s="3" t="s">
        <v>104</v>
      </c>
      <c r="D21" s="3">
        <v>1</v>
      </c>
      <c r="E21" s="4">
        <v>2349</v>
      </c>
      <c r="F21" s="7">
        <f t="shared" si="0"/>
        <v>213.54545454545453</v>
      </c>
      <c r="G21" s="3" t="s">
        <v>53</v>
      </c>
      <c r="H21" s="12" t="s">
        <v>61</v>
      </c>
      <c r="I21" s="3" t="s">
        <v>18</v>
      </c>
      <c r="J21" s="2">
        <v>45711</v>
      </c>
      <c r="K21" s="12" t="s">
        <v>84</v>
      </c>
      <c r="L21" s="3"/>
      <c r="M21" s="8" t="s">
        <v>86</v>
      </c>
      <c r="N21" s="3"/>
      <c r="O21" s="3" t="s">
        <v>98</v>
      </c>
      <c r="P21" s="13">
        <v>45714</v>
      </c>
    </row>
    <row r="22" spans="1:16">
      <c r="A22" s="3">
        <v>21</v>
      </c>
      <c r="B22" s="2">
        <v>45711</v>
      </c>
      <c r="C22" s="3" t="s">
        <v>105</v>
      </c>
      <c r="D22" s="3">
        <v>1</v>
      </c>
      <c r="E22" s="4">
        <v>2349</v>
      </c>
      <c r="F22" s="7">
        <f t="shared" si="0"/>
        <v>213.54545454545453</v>
      </c>
      <c r="G22" s="3" t="s">
        <v>60</v>
      </c>
      <c r="H22" s="12" t="s">
        <v>83</v>
      </c>
      <c r="I22" s="3" t="s">
        <v>18</v>
      </c>
      <c r="J22" s="2">
        <v>45711</v>
      </c>
      <c r="K22" s="12" t="s">
        <v>85</v>
      </c>
      <c r="L22" s="3"/>
      <c r="M22" s="8" t="s">
        <v>86</v>
      </c>
      <c r="N22" s="3"/>
      <c r="O22" s="3" t="s">
        <v>98</v>
      </c>
      <c r="P22" s="13">
        <v>45714</v>
      </c>
    </row>
    <row r="23" spans="1:16" ht="15">
      <c r="A23" s="3">
        <v>22</v>
      </c>
      <c r="B23" s="2">
        <v>45711</v>
      </c>
      <c r="C23" s="3" t="s">
        <v>103</v>
      </c>
      <c r="D23" s="3">
        <v>1</v>
      </c>
      <c r="E23" s="4">
        <v>2364</v>
      </c>
      <c r="F23" s="7">
        <f t="shared" si="0"/>
        <v>214.90909090909091</v>
      </c>
      <c r="G23" s="3" t="s">
        <v>48</v>
      </c>
      <c r="H23" s="12" t="s">
        <v>83</v>
      </c>
      <c r="I23" s="12" t="s">
        <v>14</v>
      </c>
      <c r="J23" s="2">
        <v>45712</v>
      </c>
      <c r="K23" s="8" t="s">
        <v>87</v>
      </c>
      <c r="L23" s="3"/>
      <c r="M23" s="11" t="s">
        <v>79</v>
      </c>
      <c r="N23" s="3" t="s">
        <v>88</v>
      </c>
      <c r="O23" s="3" t="s">
        <v>98</v>
      </c>
      <c r="P23" s="13">
        <v>45714</v>
      </c>
    </row>
    <row r="24" spans="1:16" ht="15">
      <c r="A24" s="3">
        <v>23</v>
      </c>
      <c r="B24" s="2">
        <v>45711</v>
      </c>
      <c r="C24" s="3" t="s">
        <v>111</v>
      </c>
      <c r="D24" s="3">
        <v>1</v>
      </c>
      <c r="E24" s="4">
        <v>2364</v>
      </c>
      <c r="F24" s="7">
        <f t="shared" si="0"/>
        <v>214.90909090909091</v>
      </c>
      <c r="G24" s="3" t="s">
        <v>73</v>
      </c>
      <c r="H24" s="12" t="s">
        <v>9</v>
      </c>
      <c r="I24" s="12" t="s">
        <v>14</v>
      </c>
      <c r="J24" s="2">
        <v>45712</v>
      </c>
      <c r="K24" s="8" t="s">
        <v>89</v>
      </c>
      <c r="L24" s="3"/>
      <c r="M24" s="10" t="s">
        <v>59</v>
      </c>
      <c r="N24" s="3" t="s">
        <v>83</v>
      </c>
      <c r="O24" s="3" t="s">
        <v>98</v>
      </c>
      <c r="P24" s="13">
        <v>45714</v>
      </c>
    </row>
    <row r="25" spans="1:16">
      <c r="A25" s="3">
        <v>24</v>
      </c>
      <c r="B25" s="2">
        <v>45711</v>
      </c>
      <c r="C25" s="3" t="s">
        <v>102</v>
      </c>
      <c r="D25" s="3">
        <v>1</v>
      </c>
      <c r="E25" s="4">
        <v>2349</v>
      </c>
      <c r="F25" s="7">
        <f t="shared" si="0"/>
        <v>213.54545454545453</v>
      </c>
      <c r="G25" s="14" t="s">
        <v>17</v>
      </c>
      <c r="H25" s="12" t="s">
        <v>9</v>
      </c>
      <c r="I25" s="3" t="s">
        <v>18</v>
      </c>
      <c r="J25" s="2">
        <v>45712</v>
      </c>
      <c r="K25" s="3"/>
      <c r="L25" s="3"/>
      <c r="M25" s="3"/>
      <c r="N25" s="3"/>
      <c r="O25" s="3"/>
      <c r="P25" s="3"/>
    </row>
    <row r="26" spans="1:16">
      <c r="A26" s="3">
        <v>25</v>
      </c>
      <c r="B26" s="2">
        <v>45711</v>
      </c>
      <c r="C26" s="3" t="s">
        <v>102</v>
      </c>
      <c r="D26" s="3">
        <v>1</v>
      </c>
      <c r="E26" s="4">
        <v>2349</v>
      </c>
      <c r="F26" s="7">
        <f t="shared" si="0"/>
        <v>213.54545454545453</v>
      </c>
      <c r="G26" s="14" t="s">
        <v>17</v>
      </c>
      <c r="H26" s="12" t="s">
        <v>9</v>
      </c>
      <c r="I26" s="3" t="s">
        <v>18</v>
      </c>
      <c r="J26" s="2">
        <v>45712</v>
      </c>
      <c r="K26" s="3"/>
      <c r="L26" s="3"/>
      <c r="M26" s="3"/>
      <c r="N26" s="3"/>
      <c r="O26" s="3"/>
      <c r="P26" s="3"/>
    </row>
    <row r="27" spans="1:16">
      <c r="A27" s="3">
        <v>26</v>
      </c>
      <c r="B27" s="2">
        <v>45711</v>
      </c>
      <c r="C27" s="3" t="s">
        <v>102</v>
      </c>
      <c r="D27" s="3">
        <v>1</v>
      </c>
      <c r="E27" s="4">
        <v>2349</v>
      </c>
      <c r="F27" s="7">
        <f t="shared" si="0"/>
        <v>213.54545454545453</v>
      </c>
      <c r="G27" s="14" t="s">
        <v>17</v>
      </c>
      <c r="H27" s="12" t="s">
        <v>9</v>
      </c>
      <c r="I27" s="3" t="s">
        <v>18</v>
      </c>
      <c r="J27" s="2">
        <v>45712</v>
      </c>
      <c r="K27" s="3"/>
      <c r="L27" s="3"/>
      <c r="M27" s="3"/>
      <c r="N27" s="3"/>
      <c r="O27" s="3"/>
      <c r="P27" s="3"/>
    </row>
    <row r="28" spans="1:16">
      <c r="A28" s="3">
        <v>27</v>
      </c>
      <c r="B28" s="2">
        <v>45711</v>
      </c>
      <c r="C28" s="3" t="s">
        <v>112</v>
      </c>
      <c r="D28" s="3">
        <v>1</v>
      </c>
      <c r="E28" s="4">
        <v>1919</v>
      </c>
      <c r="F28" s="7">
        <f t="shared" si="0"/>
        <v>174.45454545454547</v>
      </c>
      <c r="G28" s="14" t="s">
        <v>17</v>
      </c>
      <c r="H28" s="12" t="s">
        <v>83</v>
      </c>
      <c r="I28" s="12" t="s">
        <v>47</v>
      </c>
      <c r="J28" s="3"/>
      <c r="K28" s="3" t="s">
        <v>95</v>
      </c>
      <c r="L28" s="3"/>
      <c r="M28" s="8" t="s">
        <v>96</v>
      </c>
      <c r="N28" s="3">
        <v>430984584</v>
      </c>
      <c r="O28" s="3"/>
      <c r="P28" s="3"/>
    </row>
  </sheetData>
  <hyperlinks>
    <hyperlink ref="K11" r:id="rId1" display="https://www.apple.com/xc/au-edu/vieworder/W1451174620/Anwar.ali2051@outlook.com"/>
    <hyperlink ref="M11" r:id="rId2"/>
    <hyperlink ref="K13" r:id="rId3" display="https://www.apple.com/xc/au-edu/vieworder/W1463493598/atiya.hayat2000@outlook.com"/>
    <hyperlink ref="K15" r:id="rId4" display="https://www.apple.com/xc/au-edu/vieworder/W1405425780/amaan.pasha@outlook.com.au"/>
    <hyperlink ref="M15" r:id="rId5"/>
    <hyperlink ref="M16" r:id="rId6"/>
    <hyperlink ref="K19" r:id="rId7" display="https://www.apple.com/xc/au-edu/vieworder/W1300382577/Muhammad.khan2000@outlook.com"/>
    <hyperlink ref="K20" r:id="rId8" display="https://www.apple.com/xc/au-edu/vieworder/W1302728463/amaans_uk@icloud.com"/>
    <hyperlink ref="M20" r:id="rId9"/>
    <hyperlink ref="M21" r:id="rId10"/>
    <hyperlink ref="M22" r:id="rId11"/>
    <hyperlink ref="K23" r:id="rId12" display="https://www.apple.com/xc/au-edu/vieworder/W1398071991/Muhammad.khan2000@outlook.com"/>
    <hyperlink ref="K24" r:id="rId13" display="https://www.apple.com/xc/au-edu/vieworder/W1320644753/atiya.hayat2000@outlook.com"/>
    <hyperlink ref="M28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Purchases</vt:lpstr>
      <vt:lpstr>Sheet3</vt:lpstr>
      <vt:lpstr>INSTAX RATES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2025-02-20T23:06:44Z</dcterms:created>
  <dcterms:modified xsi:type="dcterms:W3CDTF">2025-02-27T16:38:01Z</dcterms:modified>
</cp:coreProperties>
</file>