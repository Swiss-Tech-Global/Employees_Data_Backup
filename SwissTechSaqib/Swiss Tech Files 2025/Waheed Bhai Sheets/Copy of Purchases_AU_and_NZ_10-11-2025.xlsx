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F5685DE8-34DD-4A46-BCCD-A6D7F4825BB9}" xr6:coauthVersionLast="47" xr6:coauthVersionMax="47" xr10:uidLastSave="{00000000-0000-0000-0000-000000000000}"/>
  <bookViews>
    <workbookView xWindow="-108" yWindow="-108" windowWidth="23256" windowHeight="13896" firstSheet="18" activeTab="18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r:id="rId19"/>
    <sheet name="AU July" sheetId="18" r:id="rId20"/>
    <sheet name="AU SEP" sheetId="23" r:id="rId21"/>
    <sheet name="AU OCT" sheetId="24" r:id="rId22"/>
    <sheet name="AU NOV" sheetId="27" r:id="rId23"/>
    <sheet name="NZ OCT" sheetId="25" r:id="rId24"/>
    <sheet name="NZ NOV" sheetId="26" r:id="rId25"/>
    <sheet name="Sheet2" sheetId="30" state="hidden" r:id="rId26"/>
    <sheet name="NZ visit expense" sheetId="17" state="hidden" r:id="rId27"/>
    <sheet name="Abdul Rafey" sheetId="5" state="hidden" r:id="rId28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NOV'!$A$1:$I$29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7" r:id="rId29"/>
    <pivotCache cacheId="8" r:id="rId30"/>
    <pivotCache cacheId="9" r:id="rId31"/>
    <pivotCache cacheId="10" r:id="rId32"/>
    <pivotCache cacheId="11" r:id="rId33"/>
    <pivotCache cacheId="12" r:id="rId34"/>
    <pivotCache cacheId="13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27" l="1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E11" i="29" l="1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<sst xmlns="http://schemas.openxmlformats.org/spreadsheetml/2006/main" count="2273" uniqueCount="684">
  <si>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</si>
  <si>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</si>
  <si>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</si>
  <si>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</si>
  <si>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</si>
  <si>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</si>
  <si>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</si>
  <si>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</si>
  <si>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</si>
  <si>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</si>
  <si>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</si>
  <si>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</si>
  <si>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</si>
  <si>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</si>
  <si>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</si>
  <si>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</si>
  <si>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</si>
  <si>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</si>
  <si>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</si>
  <si>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</si>
  <si>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</si>
  <si>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</si>
  <si>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</si>
  <si>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</si>
  <si>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</si>
  <si>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</si>
  <si>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</si>
  <si>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</si>
  <si>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</si>
  <si>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</si>
  <si>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</si>
  <si>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</si>
  <si>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</si>
  <si>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</si>
  <si>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</si>
  <si>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</si>
  <si>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</si>
  <si>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</si>
  <si>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</si>
  <si>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</si>
  <si>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</si>
  <si>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</si>
  <si>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</si>
  <si>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</si>
  <si>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</si>
  <si>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</si>
  <si>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</si>
  <si>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</si>
  <si>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</si>
  <si>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</si>
  <si>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</si>
  <si>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</si>
  <si>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</si>
  <si>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</si>
  <si>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</si>
  <si>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</si>
  <si>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</si>
  <si>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</si>
  <si>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</si>
  <si>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</si>
  <si>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</si>
  <si>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</si>
  <si>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</si>
  <si>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</si>
  <si>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</si>
  <si>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</si>
  <si>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</si>
  <si>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</si>
  <si>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</si>
  <si>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</si>
  <si>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</si>
  <si>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</si>
  <si>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</si>
  <si>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</si>
  <si>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</si>
  <si>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</si>
  <si>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</si>
  <si>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</si>
  <si>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</si>
  <si>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</si>
  <si>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</si>
  <si>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</si>
  <si>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</si>
  <si>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</si>
  <si>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</si>
  <si>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</si>
  <si>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</si>
  <si>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</si>
  <si>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</si>
  <si>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</si>
  <si>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</si>
  <si>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</si>
  <si>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</si>
  <si>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</si>
  <si>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</si>
  <si>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</si>
  <si>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</si>
  <si>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</si>
  <si>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</si>
  <si>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</si>
  <si>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</si>
  <si>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</si>
  <si>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</si>
  <si>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</si>
  <si>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</si>
  <si>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</si>
  <si>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</si>
  <si>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</si>
  <si>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</si>
  <si>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</si>
  <si>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</si>
  <si>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</si>
  <si>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</si>
  <si>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</si>
  <si>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</si>
  <si>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</si>
  <si>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</si>
  <si>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</si>
  <si>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</si>
  <si>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</si>
  <si>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</si>
  <si>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</si>
  <si>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</si>
  <si>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</si>
  <si>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</si>
  <si>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</si>
  <si>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</si>
  <si>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</si>
  <si>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</si>
  <si>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</si>
  <si>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</si>
  <si>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</si>
  <si>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</si>
  <si>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</si>
  <si>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</si>
  <si>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</si>
  <si>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</si>
  <si>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</si>
  <si>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</si>
  <si>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</si>
  <si>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</si>
  <si>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</si>
  <si>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</si>
  <si>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</si>
  <si>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</si>
  <si>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</si>
  <si>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</si>
  <si>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</si>
  <si>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</si>
  <si>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</si>
  <si>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</si>
  <si>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</si>
  <si>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</si>
  <si>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</si>
  <si>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</si>
  <si>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</si>
  <si>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</si>
  <si>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</si>
  <si>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</si>
  <si>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</si>
  <si>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</si>
  <si>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</si>
  <si>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</si>
  <si>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</si>
  <si>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</si>
  <si>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</si>
  <si>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</si>
  <si>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</si>
  <si>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</si>
  <si>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</si>
  <si>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</si>
  <si>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</si>
  <si>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</si>
  <si>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</si>
  <si>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</si>
  <si>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</si>
  <si>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</si>
  <si>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</si>
  <si>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</si>
  <si>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</si>
  <si>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</si>
  <si>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</si>
  <si>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</si>
  <si>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</si>
  <si>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</si>
  <si>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</si>
  <si>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</si>
  <si>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</si>
  <si>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</si>
  <si>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</si>
  <si>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</si>
  <si>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</si>
  <si>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</si>
  <si>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</si>
  <si>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</si>
  <si>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</si>
  <si>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</si>
  <si>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</si>
  <si>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</si>
  <si>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</si>
  <si>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</si>
  <si>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</si>
  <si>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</si>
  <si>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</si>
  <si>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</si>
  <si>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</si>
  <si>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</si>
  <si>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</si>
  <si>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</si>
  <si>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</si>
  <si>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</si>
  <si>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</si>
  <si>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</si>
  <si>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</si>
  <si>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</si>
  <si>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</si>
  <si>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</si>
  <si>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</si>
  <si>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</si>
  <si>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</si>
  <si>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</si>
  <si>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</si>
  <si>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</si>
  <si>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</si>
  <si>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</si>
  <si>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</si>
  <si>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</si>
  <si>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</si>
  <si>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</si>
  <si>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</si>
  <si>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</si>
  <si>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</si>
  <si>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</si>
  <si>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</si>
  <si>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</si>
  <si>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</si>
  <si>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</si>
  <si>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</si>
  <si>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</si>
  <si>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</si>
  <si>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</si>
  <si>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</si>
  <si>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</si>
  <si>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</si>
  <si>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</si>
  <si>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</si>
  <si>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</si>
  <si>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</si>
  <si>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</si>
  <si>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</si>
  <si>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</si>
  <si>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</si>
  <si>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</si>
  <si>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</si>
  <si>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</si>
  <si>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</si>
  <si>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</si>
  <si>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</si>
  <si>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</si>
  <si>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</si>
  <si>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</si>
  <si>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</si>
  <si>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</si>
  <si>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</si>
  <si>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</si>
  <si>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</si>
  <si>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</si>
  <si>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</si>
  <si>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</si>
  <si>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</si>
  <si>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</si>
  <si>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</si>
  <si>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</si>
  <si>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</si>
  <si>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</si>
  <si>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</si>
  <si>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</si>
  <si>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</si>
  <si>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</si>
  <si>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</si>
  <si>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</si>
  <si>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</si>
  <si>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</si>
  <si>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</si>
  <si>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</si>
  <si>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</si>
  <si>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</si>
  <si>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</si>
  <si>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</si>
  <si>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</si>
  <si>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</si>
  <si>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</si>
  <si>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</si>
  <si>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</si>
  <si>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</si>
  <si>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</si>
  <si>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</si>
  <si>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</si>
  <si>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</si>
  <si>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</si>
  <si>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</si>
  <si>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</si>
  <si>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</si>
  <si>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</si>
  <si>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</si>
  <si>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</si>
  <si>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</si>
  <si>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</si>
  <si>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</si>
  <si>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</si>
  <si>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</si>
  <si>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</si>
  <si>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</si>
  <si>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</si>
  <si>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</si>
  <si>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</si>
  <si>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</si>
  <si>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</si>
  <si>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</si>
  <si>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</si>
  <si>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</si>
  <si>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</si>
  <si>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</si>
  <si>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</si>
  <si>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</si>
  <si>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</si>
  <si>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</si>
  <si>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</si>
  <si>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</si>
  <si>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</si>
  <si>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</si>
  <si>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</si>
  <si>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</si>
  <si>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</si>
  <si>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</si>
  <si>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</si>
  <si>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</si>
  <si>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</si>
  <si>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</si>
  <si>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</si>
  <si>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</si>
  <si>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</si>
  <si>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</si>
  <si>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</si>
  <si>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</si>
  <si>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</si>
  <si>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</si>
  <si>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</si>
  <si>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</si>
  <si>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</si>
  <si>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</si>
  <si>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</si>
  <si>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</si>
  <si>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</si>
  <si>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</si>
  <si>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</si>
  <si>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</si>
  <si>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</si>
  <si>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</si>
  <si>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</si>
  <si>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</si>
  <si>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</si>
  <si>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</si>
  <si>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</si>
  <si>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</si>
  <si>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</si>
  <si>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</si>
  <si>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</si>
  <si>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</si>
  <si>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</si>
  <si>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</si>
  <si>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</si>
  <si>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</si>
  <si>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</si>
  <si>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</si>
  <si>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</si>
  <si>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</si>
  <si>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</si>
  <si>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</si>
  <si>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</si>
  <si>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</si>
  <si>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</si>
  <si>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</si>
  <si>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</si>
  <si>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</si>
  <si>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</si>
  <si>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</si>
  <si>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</si>
  <si>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</si>
  <si>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</si>
  <si>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</si>
  <si>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</si>
  <si>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</si>
  <si>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</si>
  <si>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</si>
  <si>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</si>
  <si>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</si>
  <si>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</si>
  <si>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</si>
  <si>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</si>
  <si>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</si>
  <si>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</si>
  <si>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</si>
  <si>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</si>
  <si>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</si>
  <si>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</si>
  <si>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</si>
  <si>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</si>
  <si>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</si>
  <si>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</si>
  <si>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</si>
  <si>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</si>
  <si>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</si>
  <si>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</si>
  <si>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</si>
  <si>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</si>
  <si>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</si>
  <si>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</si>
  <si>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</si>
  <si>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</si>
  <si>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</si>
  <si>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</si>
  <si>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</si>
  <si>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</si>
  <si>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</si>
  <si>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</si>
  <si>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</si>
  <si>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</si>
  <si>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</si>
  <si>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</si>
  <si>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</si>
  <si>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</si>
  <si>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</si>
  <si>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</si>
  <si>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</si>
  <si>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</si>
  <si>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</si>
  <si>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</si>
  <si>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</si>
  <si>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</si>
  <si>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</si>
  <si>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</si>
  <si>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</si>
  <si>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</si>
  <si>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</si>
  <si>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</si>
  <si>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</si>
  <si>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</si>
  <si>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</si>
  <si>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</si>
  <si>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</si>
  <si>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</si>
  <si>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</si>
  <si>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</si>
  <si>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</si>
  <si>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</si>
  <si>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</si>
  <si>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</si>
  <si>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</si>
  <si>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</si>
  <si>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</si>
  <si>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</si>
  <si>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</si>
  <si>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</si>
  <si>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</si>
  <si>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</si>
  <si>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</si>
  <si>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</si>
  <si>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</si>
  <si>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</si>
  <si>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</si>
  <si>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</si>
  <si>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</si>
  <si>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</si>
  <si>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</si>
  <si>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</si>
  <si>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</si>
  <si>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</si>
  <si>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</si>
  <si>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</si>
  <si>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</si>
  <si>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</si>
  <si>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</si>
  <si>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</si>
  <si>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</si>
  <si>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</si>
  <si>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</si>
  <si>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</si>
  <si>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</si>
  <si>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</si>
  <si>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</si>
  <si>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</si>
  <si>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</si>
  <si>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</si>
  <si>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</si>
  <si>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</si>
  <si>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</si>
  <si>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</si>
  <si>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</si>
  <si>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</si>
  <si>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</si>
  <si>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</si>
  <si>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</si>
  <si>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</si>
  <si>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</si>
  <si>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</si>
  <si>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</si>
  <si>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</si>
  <si>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</si>
  <si>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</si>
  <si>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</si>
  <si>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</si>
  <si>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</si>
  <si>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</si>
  <si>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</si>
  <si>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</si>
  <si>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</si>
  <si>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</si>
  <si>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</si>
  <si>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</si>
  <si>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</si>
  <si>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</si>
  <si>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</si>
  <si>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</si>
  <si>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</si>
  <si>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</si>
  <si>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</si>
  <si>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</si>
  <si>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</si>
  <si>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</si>
  <si>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</si>
  <si>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</si>
  <si>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</si>
  <si>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</si>
  <si>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</si>
  <si>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</si>
  <si>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</si>
  <si>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</si>
  <si>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</si>
  <si>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</si>
  <si>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</si>
  <si>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</si>
  <si>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</si>
  <si>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</si>
  <si>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</si>
  <si>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</si>
  <si>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</si>
  <si>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</si>
  <si>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</si>
  <si>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</si>
  <si>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</si>
  <si>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</si>
  <si>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</si>
  <si>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</si>
  <si>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</si>
  <si>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</si>
  <si>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</si>
  <si>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</si>
  <si>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</si>
  <si>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</si>
  <si>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</si>
  <si>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</si>
  <si>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</si>
  <si>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</si>
  <si>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</si>
  <si>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</si>
  <si>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</si>
  <si>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</si>
  <si>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</si>
  <si>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</si>
  <si>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</si>
  <si>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</si>
  <si>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</si>
  <si>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</si>
  <si>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</si>
  <si>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</si>
  <si>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</si>
  <si>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</si>
  <si>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</si>
  <si>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</si>
  <si>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</si>
  <si>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</si>
  <si>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</si>
  <si>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</si>
  <si>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</si>
  <si>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</si>
  <si>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</si>
  <si>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</si>
  <si>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</si>
  <si>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</si>
  <si>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</si>
  <si>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</si>
  <si>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</si>
  <si>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</si>
  <si>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</si>
  <si>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</si>
  <si>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</si>
  <si>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</si>
  <si>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</si>
  <si>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</si>
  <si>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</si>
  <si>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</si>
  <si>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</si>
  <si>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</si>
  <si>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</si>
  <si>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</si>
  <si>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</si>
  <si>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</si>
  <si>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</si>
  <si>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</si>
  <si>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</si>
  <si>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</si>
  <si>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</si>
  <si>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</si>
  <si>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</si>
  <si>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</si>
  <si>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</si>
  <si>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</si>
  <si>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</si>
  <si>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</si>
  <si>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</si>
  <si>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</si>
  <si>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</si>
  <si>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</si>
  <si>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</si>
  <si>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</si>
  <si>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</si>
  <si>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</si>
  <si>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</si>
  <si>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</si>
  <si>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</si>
  <si>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</si>
  <si>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</si>
  <si>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</si>
  <si>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</si>
  <si>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</si>
  <si>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</si>
  <si>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</si>
  <si>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</si>
  <si>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</si>
  <si>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</si>
  <si>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</si>
  <si>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</si>
  <si>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</si>
  <si>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</si>
  <si>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</si>
  <si>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</si>
  <si>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</si>
  <si>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Black</t>
  </si>
  <si>
    <t>Silver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</si>
  <si>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</si>
  <si>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</si>
  <si>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</si>
  <si>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</si>
  <si>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</si>
  <si>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</si>
  <si>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</si>
  <si>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</si>
  <si>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</si>
  <si>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</si>
  <si>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</si>
  <si>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</si>
  <si>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</si>
  <si>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</si>
  <si>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</si>
  <si>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</si>
  <si>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</si>
  <si>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</si>
  <si>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</si>
  <si>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</si>
  <si>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</si>
  <si>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</si>
  <si>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</si>
  <si>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</si>
  <si>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</si>
  <si>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</si>
  <si>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</si>
  <si>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</si>
  <si>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Pending Collection Auburn</t>
  </si>
  <si>
    <t>Officeworks Wentworthville</t>
  </si>
  <si>
    <t>Officeworks Wetherhill park</t>
  </si>
  <si>
    <t>Harvey Norman Fyshwick</t>
  </si>
  <si>
    <t>DJI mic 3 Combo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</si>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</sst>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"/>
    <numFmt numFmtId="166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16" fontId="0" fillId="4" borderId="1" xfId="0" applyNumberFormat="1" applyFill="1" applyBorder="1"/>
    <xf numFmtId="16" fontId="0" fillId="8" borderId="1" xfId="0" applyNumberFormat="1" applyFill="1" applyBorder="1"/>
    <xf numFmtId="0" fontId="0" fillId="8" borderId="1" xfId="0" applyFill="1" applyBorder="1"/>
    <xf numFmtId="166" fontId="0" fillId="8" borderId="1" xfId="0" applyNumberFormat="1" applyFill="1" applyBorder="1"/>
    <xf numFmtId="0" fontId="6" fillId="8" borderId="0" xfId="0" applyFont="1" applyFill="1" applyAlignment="1">
      <alignment vertical="center" wrapText="1"/>
    </xf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14" fontId="0" fillId="8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styles" Target="styles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pivotCacheDefinition" Target="pivotCache/pivotCacheDefinition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6K70DQ2S/Purchases_AU_and_NZ_updated%5b1%5d.xlsx%5d.xlsx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6K70DQ2S/Purchases_AU_and_NZ_updated%5b1%5d.xlsx%5d.xlsx%5d.xlsx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6K70DQ2S/Purchases_AU_and_NZ_updated%5b1%5d.xlsx%5d.xlsx%5d.xlsx%5d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6K70DQ2S/Purchases_AU_and_NZ_updated%5b1%5d.xlsx%5d.xlsx%5d.xlsx%5d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6K70DQ2S/Purchases_AU_and_NZ_updated%5b1%5d.xlsx%5d.xlsx%5d.xlsx%5d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6K70DQ2S/Purchases_AU_and_NZ_updated%5b1%5d.xlsx%5d.xlsx%5d.xlsx%5d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6K70DQ2S/Purchases_AU_and_NZ_updated%5b1%5d.xlsx%5d.xlsx%5d.xlsx%5d.xlsx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.xlsx].xlsx].xlsx].xlsx]April" r:id="rId2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.xlsx].xlsx].xlsx].xlsx]Shipment" r:id="rId2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.xlsx].xlsx].xlsx].xlsx]Shipment 2904" r:id="rId2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.xlsx].xlsx].xlsx].xlsx]NZ OCT" r:id="rId2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.xlsx].xlsx].xlsx].xlsx]NZ SEP" r:id="rId2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.xlsx].xlsx].xlsx].xlsx]NZ Aug" r:id="rId2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.xlsx].xlsx].xlsx].xlsx]Broadway DJI" r:id="rId2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85">
        <v>45746</v>
      </c>
      <c r="C1" s="85"/>
      <c r="D1" s="85"/>
      <c r="E1" s="85"/>
      <c r="F1" s="85"/>
      <c r="G1" s="85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86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86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87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87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87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87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88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88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652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3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3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3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3" t="s">
        <v>508</v>
      </c>
      <c r="M9">
        <v>3750</v>
      </c>
    </row>
    <row r="10" spans="1:13" x14ac:dyDescent="0.3">
      <c r="L10" s="73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665</v>
      </c>
      <c r="C1" s="44" t="s">
        <v>0</v>
      </c>
    </row>
    <row r="2" spans="2:7" x14ac:dyDescent="0.3">
      <c r="B2" s="2" t="s">
        <v>661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662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663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664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653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654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660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89" t="s">
        <v>299</v>
      </c>
      <c r="B1" s="89"/>
      <c r="C1" s="89"/>
      <c r="D1" s="89"/>
      <c r="E1" s="89"/>
      <c r="F1" s="89"/>
      <c r="G1" s="89"/>
      <c r="H1" s="89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0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0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0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abSelected="1" topLeftCell="A15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zoomScaleNormal="100" workbookViewId="0">
      <selection activeCell="A3" sqref="A3:G3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91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91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4" workbookViewId="0">
      <selection sqref="A1:I1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H9" sqref="H9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/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/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650</v>
      </c>
      <c r="H27" s="2"/>
      <c r="I27" s="2"/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650</v>
      </c>
      <c r="H28" s="2"/>
      <c r="I28" s="2"/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I34"/>
  <sheetViews>
    <sheetView topLeftCell="A10" workbookViewId="0">
      <selection activeCell="I20" sqref="A20:I20"/>
    </sheetView>
  </sheetViews>
  <sheetFormatPr defaultRowHeight="14.4" x14ac:dyDescent="0.3"/>
  <cols>
    <col min="1" max="1" width="14.21875" customWidth="1"/>
    <col min="2" max="2" width="5.109375" customWidth="1"/>
    <col min="3" max="3" width="19.77734375" customWidth="1"/>
    <col min="4" max="4" width="23.6640625" bestFit="1" customWidth="1"/>
    <col min="5" max="5" width="9" style="60" bestFit="1" customWidth="1"/>
    <col min="6" max="6" width="10" style="60" bestFit="1" customWidth="1"/>
    <col min="7" max="7" width="22.5546875" bestFit="1" customWidth="1"/>
    <col min="8" max="8" width="7.88671875" bestFit="1" customWidth="1"/>
    <col min="9" max="9" width="12.88671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9" x14ac:dyDescent="0.3">
      <c r="A2" s="76">
        <v>45964</v>
      </c>
      <c r="B2" s="77">
        <v>10</v>
      </c>
      <c r="C2" s="77" t="s">
        <v>647</v>
      </c>
      <c r="D2" s="77" t="s">
        <v>335</v>
      </c>
      <c r="E2" s="80">
        <v>410</v>
      </c>
      <c r="F2" s="80">
        <f>E2*B2</f>
        <v>4100</v>
      </c>
      <c r="G2" s="77" t="s">
        <v>650</v>
      </c>
      <c r="H2" s="76">
        <v>45966</v>
      </c>
      <c r="I2" s="77"/>
    </row>
    <row r="3" spans="1:9" x14ac:dyDescent="0.3">
      <c r="A3" s="76">
        <v>45964</v>
      </c>
      <c r="B3" s="77">
        <v>7</v>
      </c>
      <c r="C3" s="77" t="s">
        <v>642</v>
      </c>
      <c r="D3" s="77" t="s">
        <v>59</v>
      </c>
      <c r="E3" s="80">
        <v>150</v>
      </c>
      <c r="F3" s="80">
        <f>E3*B3</f>
        <v>1050</v>
      </c>
      <c r="G3" s="77" t="s">
        <v>650</v>
      </c>
      <c r="H3" s="76">
        <v>45966</v>
      </c>
      <c r="I3" s="77"/>
    </row>
    <row r="4" spans="1:9" x14ac:dyDescent="0.3">
      <c r="A4" s="76">
        <v>45963</v>
      </c>
      <c r="B4" s="77">
        <v>4</v>
      </c>
      <c r="C4" s="77" t="s">
        <v>642</v>
      </c>
      <c r="D4" s="77" t="s">
        <v>30</v>
      </c>
      <c r="E4" s="80">
        <v>150</v>
      </c>
      <c r="F4" s="80">
        <f t="shared" ref="F4:F28" si="0">E4*B4</f>
        <v>600</v>
      </c>
      <c r="G4" s="77" t="s">
        <v>651</v>
      </c>
      <c r="H4" s="76">
        <v>45966</v>
      </c>
      <c r="I4" s="77"/>
    </row>
    <row r="5" spans="1:9" x14ac:dyDescent="0.3">
      <c r="A5" s="76">
        <v>45963</v>
      </c>
      <c r="B5" s="77">
        <v>4</v>
      </c>
      <c r="C5" s="77" t="s">
        <v>643</v>
      </c>
      <c r="D5" s="77" t="s">
        <v>30</v>
      </c>
      <c r="E5" s="80">
        <v>150</v>
      </c>
      <c r="F5" s="80">
        <f t="shared" si="0"/>
        <v>600</v>
      </c>
      <c r="G5" s="77" t="s">
        <v>651</v>
      </c>
      <c r="H5" s="76">
        <v>45966</v>
      </c>
      <c r="I5" s="77"/>
    </row>
    <row r="6" spans="1:9" x14ac:dyDescent="0.3">
      <c r="A6" s="76">
        <v>45965</v>
      </c>
      <c r="B6" s="77">
        <v>20</v>
      </c>
      <c r="C6" s="77" t="s">
        <v>655</v>
      </c>
      <c r="D6" s="77" t="s">
        <v>349</v>
      </c>
      <c r="E6" s="80">
        <v>1063</v>
      </c>
      <c r="F6" s="80">
        <f t="shared" si="0"/>
        <v>21260</v>
      </c>
      <c r="G6" s="77" t="s">
        <v>659</v>
      </c>
      <c r="H6" s="76">
        <v>45966</v>
      </c>
      <c r="I6" s="77" t="s">
        <v>657</v>
      </c>
    </row>
    <row r="7" spans="1:9" x14ac:dyDescent="0.3">
      <c r="A7" s="76">
        <v>45965</v>
      </c>
      <c r="B7" s="77">
        <v>12</v>
      </c>
      <c r="C7" s="77" t="s">
        <v>656</v>
      </c>
      <c r="D7" s="77" t="s">
        <v>118</v>
      </c>
      <c r="E7" s="80">
        <v>3375</v>
      </c>
      <c r="F7" s="80">
        <f t="shared" si="0"/>
        <v>40500</v>
      </c>
      <c r="G7" s="77" t="s">
        <v>659</v>
      </c>
      <c r="H7" s="76">
        <v>45966</v>
      </c>
      <c r="I7" s="77"/>
    </row>
    <row r="8" spans="1:9" x14ac:dyDescent="0.3">
      <c r="A8" s="76">
        <v>45965</v>
      </c>
      <c r="B8" s="77">
        <v>2</v>
      </c>
      <c r="C8" s="77" t="s">
        <v>666</v>
      </c>
      <c r="D8" s="77" t="s">
        <v>118</v>
      </c>
      <c r="E8" s="80">
        <v>88</v>
      </c>
      <c r="F8" s="80">
        <f t="shared" si="0"/>
        <v>176</v>
      </c>
      <c r="G8" s="77" t="s">
        <v>659</v>
      </c>
      <c r="H8" s="76">
        <v>45966</v>
      </c>
      <c r="I8" s="77" t="s">
        <v>658</v>
      </c>
    </row>
    <row r="9" spans="1:9" x14ac:dyDescent="0.3">
      <c r="A9" s="76">
        <v>45966</v>
      </c>
      <c r="B9" s="77">
        <v>30</v>
      </c>
      <c r="C9" s="77" t="s">
        <v>647</v>
      </c>
      <c r="D9" s="77" t="s">
        <v>335</v>
      </c>
      <c r="E9" s="80">
        <v>410</v>
      </c>
      <c r="F9" s="80">
        <f t="shared" si="0"/>
        <v>12300</v>
      </c>
      <c r="G9" s="77" t="s">
        <v>62</v>
      </c>
      <c r="H9" s="77"/>
      <c r="I9" s="77"/>
    </row>
    <row r="10" spans="1:9" x14ac:dyDescent="0.3">
      <c r="A10" s="76">
        <v>45969</v>
      </c>
      <c r="B10" s="77">
        <v>1</v>
      </c>
      <c r="C10" s="77" t="s">
        <v>667</v>
      </c>
      <c r="D10" s="77" t="s">
        <v>496</v>
      </c>
      <c r="E10" s="80">
        <v>450</v>
      </c>
      <c r="F10" s="80">
        <f t="shared" si="0"/>
        <v>450</v>
      </c>
      <c r="G10" s="77" t="s">
        <v>365</v>
      </c>
      <c r="H10" s="77"/>
      <c r="I10" s="77"/>
    </row>
    <row r="11" spans="1:9" x14ac:dyDescent="0.3">
      <c r="A11" s="76">
        <v>45969</v>
      </c>
      <c r="B11" s="77">
        <v>1</v>
      </c>
      <c r="C11" s="77" t="s">
        <v>667</v>
      </c>
      <c r="D11" s="77" t="s">
        <v>492</v>
      </c>
      <c r="E11" s="80">
        <v>450</v>
      </c>
      <c r="F11" s="80">
        <f t="shared" si="0"/>
        <v>450</v>
      </c>
      <c r="G11" s="77" t="s">
        <v>365</v>
      </c>
      <c r="H11" s="77"/>
      <c r="I11" s="77"/>
    </row>
    <row r="12" spans="1:9" x14ac:dyDescent="0.3">
      <c r="A12" s="76">
        <v>45969</v>
      </c>
      <c r="B12" s="77">
        <v>4</v>
      </c>
      <c r="C12" s="77" t="s">
        <v>667</v>
      </c>
      <c r="D12" s="77" t="s">
        <v>493</v>
      </c>
      <c r="E12" s="80">
        <v>450</v>
      </c>
      <c r="F12" s="80">
        <f t="shared" si="0"/>
        <v>1800</v>
      </c>
      <c r="G12" s="77" t="s">
        <v>365</v>
      </c>
      <c r="H12" s="77"/>
      <c r="I12" s="77"/>
    </row>
    <row r="13" spans="1:9" x14ac:dyDescent="0.3">
      <c r="A13" s="76">
        <v>45969</v>
      </c>
      <c r="B13" s="77">
        <v>5</v>
      </c>
      <c r="C13" s="77" t="s">
        <v>667</v>
      </c>
      <c r="D13" s="77" t="s">
        <v>668</v>
      </c>
      <c r="E13" s="80">
        <v>450</v>
      </c>
      <c r="F13" s="80">
        <f t="shared" si="0"/>
        <v>2250</v>
      </c>
      <c r="G13" s="77" t="s">
        <v>365</v>
      </c>
      <c r="H13" s="77"/>
      <c r="I13" s="77"/>
    </row>
    <row r="14" spans="1:9" x14ac:dyDescent="0.3">
      <c r="A14" s="76">
        <v>45969</v>
      </c>
      <c r="B14" s="77">
        <v>11</v>
      </c>
      <c r="C14" s="77" t="s">
        <v>667</v>
      </c>
      <c r="D14" s="77" t="s">
        <v>494</v>
      </c>
      <c r="E14" s="80">
        <v>450</v>
      </c>
      <c r="F14" s="80">
        <f t="shared" si="0"/>
        <v>4950</v>
      </c>
      <c r="G14" s="77" t="s">
        <v>365</v>
      </c>
      <c r="H14" s="77"/>
      <c r="I14" s="77"/>
    </row>
    <row r="15" spans="1:9" x14ac:dyDescent="0.3">
      <c r="A15" s="76">
        <v>45970</v>
      </c>
      <c r="B15" s="77">
        <v>10</v>
      </c>
      <c r="C15" s="77" t="s">
        <v>667</v>
      </c>
      <c r="D15" s="77" t="s">
        <v>501</v>
      </c>
      <c r="E15" s="80">
        <v>450</v>
      </c>
      <c r="F15" s="80">
        <f t="shared" si="0"/>
        <v>4500</v>
      </c>
      <c r="G15" s="77" t="s">
        <v>365</v>
      </c>
      <c r="H15" s="77"/>
      <c r="I15" s="77"/>
    </row>
    <row r="16" spans="1:9" x14ac:dyDescent="0.3">
      <c r="A16" s="76">
        <v>45970</v>
      </c>
      <c r="B16" s="77">
        <v>1</v>
      </c>
      <c r="C16" s="77" t="s">
        <v>675</v>
      </c>
      <c r="D16" s="77" t="s">
        <v>120</v>
      </c>
      <c r="E16" s="80">
        <v>1358</v>
      </c>
      <c r="F16" s="80">
        <f t="shared" si="0"/>
        <v>1358</v>
      </c>
      <c r="G16" s="77" t="s">
        <v>365</v>
      </c>
      <c r="H16" s="77"/>
      <c r="I16" s="77" t="s">
        <v>115</v>
      </c>
    </row>
    <row r="17" spans="1:9" x14ac:dyDescent="0.3">
      <c r="A17" s="76">
        <v>45970</v>
      </c>
      <c r="B17" s="77">
        <v>2</v>
      </c>
      <c r="C17" s="77" t="s">
        <v>676</v>
      </c>
      <c r="D17" s="77" t="s">
        <v>677</v>
      </c>
      <c r="E17" s="80">
        <v>1403</v>
      </c>
      <c r="F17" s="80">
        <f t="shared" si="0"/>
        <v>2806</v>
      </c>
      <c r="G17" s="77" t="s">
        <v>365</v>
      </c>
      <c r="H17" s="77"/>
      <c r="I17" s="77"/>
    </row>
    <row r="18" spans="1:9" x14ac:dyDescent="0.3">
      <c r="A18" s="76">
        <v>45970</v>
      </c>
      <c r="B18" s="77">
        <v>1</v>
      </c>
      <c r="C18" s="77" t="s">
        <v>667</v>
      </c>
      <c r="D18" s="77" t="s">
        <v>677</v>
      </c>
      <c r="E18" s="80">
        <v>474</v>
      </c>
      <c r="F18" s="80">
        <f t="shared" si="0"/>
        <v>474</v>
      </c>
      <c r="G18" s="77" t="s">
        <v>365</v>
      </c>
      <c r="H18" s="77"/>
      <c r="I18" s="77"/>
    </row>
    <row r="19" spans="1:9" x14ac:dyDescent="0.3">
      <c r="A19" s="76">
        <v>45970</v>
      </c>
      <c r="B19" s="77">
        <v>1</v>
      </c>
      <c r="C19" s="77" t="s">
        <v>676</v>
      </c>
      <c r="D19" s="77" t="s">
        <v>19</v>
      </c>
      <c r="E19" s="80">
        <v>1403</v>
      </c>
      <c r="F19" s="80">
        <f t="shared" si="0"/>
        <v>1403</v>
      </c>
      <c r="G19" s="77" t="s">
        <v>8</v>
      </c>
      <c r="H19" s="77"/>
      <c r="I19" s="77"/>
    </row>
    <row r="20" spans="1:9" x14ac:dyDescent="0.3">
      <c r="A20" s="76">
        <v>45970</v>
      </c>
      <c r="B20" s="77">
        <v>1</v>
      </c>
      <c r="C20" s="77" t="s">
        <v>676</v>
      </c>
      <c r="D20" s="77" t="s">
        <v>19</v>
      </c>
      <c r="E20" s="80">
        <v>1403</v>
      </c>
      <c r="F20" s="80">
        <f t="shared" si="0"/>
        <v>1403</v>
      </c>
      <c r="G20" s="77" t="s">
        <v>678</v>
      </c>
      <c r="H20" s="77"/>
      <c r="I20" s="77"/>
    </row>
    <row r="21" spans="1:9" x14ac:dyDescent="0.3">
      <c r="A21" s="76">
        <v>45970</v>
      </c>
      <c r="B21" s="77">
        <v>2</v>
      </c>
      <c r="C21" s="77" t="s">
        <v>667</v>
      </c>
      <c r="D21" s="77" t="s">
        <v>496</v>
      </c>
      <c r="E21" s="80">
        <v>450</v>
      </c>
      <c r="F21" s="80">
        <f t="shared" si="0"/>
        <v>900</v>
      </c>
      <c r="G21" s="77" t="s">
        <v>8</v>
      </c>
      <c r="H21" s="77"/>
      <c r="I21" s="77"/>
    </row>
    <row r="22" spans="1:9" x14ac:dyDescent="0.3">
      <c r="A22" s="76">
        <v>45970</v>
      </c>
      <c r="B22" s="77">
        <v>1</v>
      </c>
      <c r="C22" s="77" t="s">
        <v>676</v>
      </c>
      <c r="D22" s="77" t="s">
        <v>679</v>
      </c>
      <c r="E22" s="80">
        <v>1403</v>
      </c>
      <c r="F22" s="80">
        <f t="shared" si="0"/>
        <v>1403</v>
      </c>
      <c r="G22" s="77" t="s">
        <v>8</v>
      </c>
      <c r="H22" s="77"/>
      <c r="I22" s="77"/>
    </row>
    <row r="23" spans="1:9" x14ac:dyDescent="0.3">
      <c r="A23" s="76">
        <v>45970</v>
      </c>
      <c r="B23" s="77">
        <v>1</v>
      </c>
      <c r="C23" s="77" t="s">
        <v>676</v>
      </c>
      <c r="D23" s="77" t="s">
        <v>680</v>
      </c>
      <c r="E23" s="80">
        <v>1403</v>
      </c>
      <c r="F23" s="80">
        <f t="shared" si="0"/>
        <v>1403</v>
      </c>
      <c r="G23" s="77" t="s">
        <v>8</v>
      </c>
      <c r="H23" s="77"/>
      <c r="I23" s="77"/>
    </row>
    <row r="24" spans="1:9" x14ac:dyDescent="0.3">
      <c r="A24" s="76">
        <v>45970</v>
      </c>
      <c r="B24" s="77">
        <v>1</v>
      </c>
      <c r="C24" s="77" t="s">
        <v>676</v>
      </c>
      <c r="D24" s="77" t="s">
        <v>680</v>
      </c>
      <c r="E24" s="80">
        <v>1403</v>
      </c>
      <c r="F24" s="80">
        <f t="shared" si="0"/>
        <v>1403</v>
      </c>
      <c r="G24" s="77" t="s">
        <v>8</v>
      </c>
      <c r="H24" s="77"/>
      <c r="I24" s="77"/>
    </row>
    <row r="25" spans="1:9" x14ac:dyDescent="0.3">
      <c r="A25" s="76">
        <v>45970</v>
      </c>
      <c r="B25" s="77">
        <v>5</v>
      </c>
      <c r="C25" s="77" t="s">
        <v>667</v>
      </c>
      <c r="D25" s="77" t="s">
        <v>495</v>
      </c>
      <c r="E25" s="80">
        <v>450</v>
      </c>
      <c r="F25" s="80">
        <f t="shared" si="0"/>
        <v>2250</v>
      </c>
      <c r="G25" s="77" t="s">
        <v>8</v>
      </c>
      <c r="H25" s="77"/>
      <c r="I25" s="77"/>
    </row>
    <row r="26" spans="1:9" x14ac:dyDescent="0.3">
      <c r="A26" s="81">
        <v>45970</v>
      </c>
      <c r="B26" s="82">
        <v>3</v>
      </c>
      <c r="C26" s="82" t="s">
        <v>675</v>
      </c>
      <c r="D26" s="82" t="s">
        <v>681</v>
      </c>
      <c r="E26" s="83">
        <v>1358</v>
      </c>
      <c r="F26" s="83">
        <f t="shared" si="0"/>
        <v>4074</v>
      </c>
      <c r="G26" s="82" t="s">
        <v>62</v>
      </c>
      <c r="H26" s="82"/>
      <c r="I26" s="82" t="s">
        <v>115</v>
      </c>
    </row>
    <row r="27" spans="1:9" x14ac:dyDescent="0.3">
      <c r="A27" s="81">
        <v>45970</v>
      </c>
      <c r="B27" s="82">
        <v>3</v>
      </c>
      <c r="C27" s="82" t="s">
        <v>676</v>
      </c>
      <c r="D27" s="82" t="s">
        <v>681</v>
      </c>
      <c r="E27" s="83">
        <v>1477</v>
      </c>
      <c r="F27" s="83">
        <f t="shared" si="0"/>
        <v>4431</v>
      </c>
      <c r="G27" s="82" t="s">
        <v>62</v>
      </c>
      <c r="H27" s="82"/>
      <c r="I27" s="82" t="s">
        <v>115</v>
      </c>
    </row>
    <row r="28" spans="1:9" x14ac:dyDescent="0.3">
      <c r="A28" s="76">
        <v>45970</v>
      </c>
      <c r="B28" s="77">
        <v>5</v>
      </c>
      <c r="C28" s="77" t="s">
        <v>682</v>
      </c>
      <c r="D28" s="77" t="s">
        <v>335</v>
      </c>
      <c r="E28" s="80">
        <v>410</v>
      </c>
      <c r="F28" s="80">
        <f t="shared" si="0"/>
        <v>2050</v>
      </c>
      <c r="G28" s="77" t="s">
        <v>8</v>
      </c>
      <c r="H28" s="77"/>
      <c r="I28" s="77"/>
    </row>
    <row r="29" spans="1:9" x14ac:dyDescent="0.3">
      <c r="A29" s="2"/>
      <c r="B29" s="2"/>
      <c r="C29" s="2"/>
      <c r="D29" s="2"/>
      <c r="E29" s="3" t="s">
        <v>683</v>
      </c>
      <c r="F29" s="3"/>
      <c r="G29" s="2"/>
      <c r="H29" s="2"/>
      <c r="I29" s="2"/>
    </row>
    <row r="30" spans="1:9" x14ac:dyDescent="0.3">
      <c r="A30" s="2"/>
      <c r="B30" s="2"/>
      <c r="C30" s="2"/>
      <c r="D30" s="2"/>
      <c r="E30" s="3"/>
      <c r="F30" s="3"/>
      <c r="G30" s="2"/>
      <c r="H30" s="2"/>
      <c r="I30" s="2"/>
    </row>
    <row r="31" spans="1:9" x14ac:dyDescent="0.3">
      <c r="A31" s="2"/>
      <c r="B31" s="2"/>
      <c r="C31" s="2"/>
      <c r="D31" s="2"/>
      <c r="E31" s="3"/>
      <c r="F31" s="3"/>
      <c r="G31" s="2"/>
      <c r="H31" s="2"/>
      <c r="I31" s="2"/>
    </row>
    <row r="32" spans="1:9" x14ac:dyDescent="0.3">
      <c r="A32" s="2"/>
      <c r="B32" s="2"/>
      <c r="C32" s="2"/>
      <c r="D32" s="2"/>
      <c r="E32" s="3"/>
      <c r="F32" s="3"/>
      <c r="G32" s="2"/>
      <c r="H32" s="2"/>
      <c r="I32" s="2"/>
    </row>
    <row r="33" spans="1:9" x14ac:dyDescent="0.3">
      <c r="A33" s="2"/>
      <c r="B33" s="2"/>
      <c r="C33" s="2"/>
      <c r="D33" s="2"/>
      <c r="E33" s="3"/>
      <c r="F33" s="3"/>
      <c r="G33" s="2"/>
      <c r="H33" s="2"/>
      <c r="I33" s="2"/>
    </row>
    <row r="34" spans="1:9" x14ac:dyDescent="0.3">
      <c r="A34" s="2"/>
      <c r="B34" s="2"/>
      <c r="C34" s="2"/>
      <c r="D34" s="2"/>
      <c r="E34" s="3"/>
      <c r="F34" s="3"/>
      <c r="G34" s="2"/>
      <c r="H34" s="2"/>
      <c r="I34" s="2"/>
    </row>
  </sheetData>
  <autoFilter ref="A1:I29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F17" sqref="F17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2" t="s">
        <v>3</v>
      </c>
      <c r="F1" s="72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76">
        <v>45957</v>
      </c>
      <c r="B2" s="77">
        <v>1</v>
      </c>
      <c r="C2" s="77" t="s">
        <v>406</v>
      </c>
      <c r="D2" s="77" t="s">
        <v>635</v>
      </c>
      <c r="E2" s="78">
        <v>1449</v>
      </c>
      <c r="F2" s="78">
        <v>1449</v>
      </c>
      <c r="G2" s="77" t="s">
        <v>348</v>
      </c>
      <c r="H2" s="77" t="s">
        <v>636</v>
      </c>
      <c r="I2" s="77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76">
        <v>45957</v>
      </c>
      <c r="B3" s="77">
        <v>2</v>
      </c>
      <c r="C3" s="77" t="s">
        <v>406</v>
      </c>
      <c r="D3" s="77" t="s">
        <v>383</v>
      </c>
      <c r="E3" s="78">
        <v>1455</v>
      </c>
      <c r="F3" s="78">
        <f>E3*B3</f>
        <v>2910</v>
      </c>
      <c r="G3" s="77" t="s">
        <v>348</v>
      </c>
      <c r="H3" s="77" t="s">
        <v>638</v>
      </c>
      <c r="I3" s="79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76">
        <v>45958</v>
      </c>
      <c r="B4" s="77">
        <v>10</v>
      </c>
      <c r="C4" s="77" t="s">
        <v>406</v>
      </c>
      <c r="D4" s="77" t="s">
        <v>383</v>
      </c>
      <c r="E4" s="78">
        <v>1399</v>
      </c>
      <c r="F4" s="78">
        <f>E4*B4</f>
        <v>13990</v>
      </c>
      <c r="G4" s="77" t="s">
        <v>348</v>
      </c>
      <c r="H4" s="77" t="s">
        <v>636</v>
      </c>
      <c r="I4" s="77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76">
        <v>45958</v>
      </c>
      <c r="B5" s="77">
        <v>1</v>
      </c>
      <c r="C5" s="77" t="s">
        <v>391</v>
      </c>
      <c r="D5" s="77" t="s">
        <v>383</v>
      </c>
      <c r="E5" s="78">
        <v>9</v>
      </c>
      <c r="F5" s="78">
        <v>9</v>
      </c>
      <c r="G5" s="77"/>
      <c r="H5" s="77" t="s">
        <v>636</v>
      </c>
      <c r="I5" s="77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76">
        <v>45958</v>
      </c>
      <c r="B6" s="77">
        <v>3</v>
      </c>
      <c r="C6" s="77" t="s">
        <v>378</v>
      </c>
      <c r="D6" s="77" t="s">
        <v>383</v>
      </c>
      <c r="E6" s="78">
        <v>780</v>
      </c>
      <c r="F6" s="78">
        <f>E6*B6</f>
        <v>2340</v>
      </c>
      <c r="G6" s="77" t="s">
        <v>348</v>
      </c>
      <c r="H6" s="77" t="s">
        <v>636</v>
      </c>
      <c r="I6" s="77"/>
    </row>
    <row r="7" spans="1:23" x14ac:dyDescent="0.3">
      <c r="A7" s="76">
        <v>45958</v>
      </c>
      <c r="B7" s="77">
        <v>6</v>
      </c>
      <c r="C7" s="77" t="s">
        <v>406</v>
      </c>
      <c r="D7" s="77" t="s">
        <v>433</v>
      </c>
      <c r="E7" s="78">
        <v>1348</v>
      </c>
      <c r="F7" s="78">
        <f t="shared" ref="F7:F8" si="0">E7*B7</f>
        <v>8088</v>
      </c>
      <c r="G7" s="77" t="s">
        <v>348</v>
      </c>
      <c r="H7" s="77" t="s">
        <v>636</v>
      </c>
      <c r="I7" s="77"/>
    </row>
    <row r="8" spans="1:23" x14ac:dyDescent="0.3">
      <c r="A8" s="76">
        <v>45958</v>
      </c>
      <c r="B8" s="77">
        <v>1</v>
      </c>
      <c r="C8" s="77" t="s">
        <v>639</v>
      </c>
      <c r="D8" s="77" t="s">
        <v>433</v>
      </c>
      <c r="E8" s="78">
        <v>1348</v>
      </c>
      <c r="F8" s="78">
        <f t="shared" si="0"/>
        <v>1348</v>
      </c>
      <c r="G8" s="77" t="s">
        <v>348</v>
      </c>
      <c r="H8" s="77" t="s">
        <v>636</v>
      </c>
      <c r="I8" s="77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9"/>
  <sheetViews>
    <sheetView workbookViewId="0">
      <selection activeCell="E17" sqref="E17"/>
    </sheetView>
  </sheetViews>
  <sheetFormatPr defaultRowHeight="14.4" x14ac:dyDescent="0.3"/>
  <cols>
    <col min="1" max="1" width="14.6640625" customWidth="1"/>
    <col min="2" max="2" width="4" bestFit="1" customWidth="1"/>
    <col min="3" max="3" width="18.5546875" customWidth="1"/>
    <col min="4" max="4" width="17" bestFit="1" customWidth="1"/>
    <col min="5" max="5" width="10.6640625" customWidth="1"/>
    <col min="6" max="6" width="9.33203125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2" t="s">
        <v>3</v>
      </c>
      <c r="F1" s="72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4">
        <v>45964</v>
      </c>
      <c r="B2" s="77">
        <v>2</v>
      </c>
      <c r="C2" s="77" t="s">
        <v>648</v>
      </c>
      <c r="D2" s="77" t="s">
        <v>383</v>
      </c>
      <c r="E2" s="80">
        <v>1450</v>
      </c>
      <c r="F2" s="80">
        <f>B2*E2</f>
        <v>2900</v>
      </c>
      <c r="G2" s="77" t="s">
        <v>348</v>
      </c>
      <c r="H2" s="77" t="s">
        <v>464</v>
      </c>
      <c r="I2" s="77"/>
    </row>
    <row r="3" spans="1:9" x14ac:dyDescent="0.3">
      <c r="A3" s="84">
        <v>45964</v>
      </c>
      <c r="B3" s="77">
        <v>2</v>
      </c>
      <c r="C3" s="77" t="s">
        <v>649</v>
      </c>
      <c r="D3" s="77" t="s">
        <v>460</v>
      </c>
      <c r="E3" s="80">
        <v>1450</v>
      </c>
      <c r="F3" s="80">
        <f t="shared" ref="F3:F7" si="0">B3*E3</f>
        <v>2900</v>
      </c>
      <c r="G3" s="77" t="s">
        <v>348</v>
      </c>
      <c r="H3" s="77" t="s">
        <v>464</v>
      </c>
      <c r="I3" s="77"/>
    </row>
    <row r="4" spans="1:9" x14ac:dyDescent="0.3">
      <c r="A4" s="84">
        <v>45964</v>
      </c>
      <c r="B4" s="77">
        <v>1</v>
      </c>
      <c r="C4" s="77" t="s">
        <v>648</v>
      </c>
      <c r="D4" s="77" t="s">
        <v>635</v>
      </c>
      <c r="E4" s="80">
        <v>1480</v>
      </c>
      <c r="F4" s="80">
        <f t="shared" si="0"/>
        <v>1480</v>
      </c>
      <c r="G4" s="77" t="s">
        <v>348</v>
      </c>
      <c r="H4" s="77" t="s">
        <v>464</v>
      </c>
      <c r="I4" s="77"/>
    </row>
    <row r="5" spans="1:9" x14ac:dyDescent="0.3">
      <c r="A5" s="84">
        <v>45964</v>
      </c>
      <c r="B5" s="77">
        <v>4</v>
      </c>
      <c r="C5" s="77" t="s">
        <v>649</v>
      </c>
      <c r="D5" s="77" t="s">
        <v>383</v>
      </c>
      <c r="E5" s="80">
        <v>1399</v>
      </c>
      <c r="F5" s="80">
        <f t="shared" si="0"/>
        <v>5596</v>
      </c>
      <c r="G5" s="77" t="s">
        <v>348</v>
      </c>
      <c r="H5" s="77" t="s">
        <v>464</v>
      </c>
      <c r="I5" s="77"/>
    </row>
    <row r="6" spans="1:9" x14ac:dyDescent="0.3">
      <c r="A6" s="84">
        <v>45964</v>
      </c>
      <c r="B6" s="77">
        <v>2</v>
      </c>
      <c r="C6" s="77" t="s">
        <v>648</v>
      </c>
      <c r="D6" s="77" t="s">
        <v>383</v>
      </c>
      <c r="E6" s="80">
        <v>1399</v>
      </c>
      <c r="F6" s="80">
        <f t="shared" si="0"/>
        <v>2798</v>
      </c>
      <c r="G6" s="77" t="s">
        <v>348</v>
      </c>
      <c r="H6" s="77" t="s">
        <v>464</v>
      </c>
      <c r="I6" s="77"/>
    </row>
    <row r="7" spans="1:9" x14ac:dyDescent="0.3">
      <c r="A7" s="75">
        <v>45968</v>
      </c>
      <c r="B7" s="35">
        <v>60</v>
      </c>
      <c r="C7" s="35" t="s">
        <v>669</v>
      </c>
      <c r="D7" s="35" t="s">
        <v>670</v>
      </c>
      <c r="E7" s="36">
        <v>10</v>
      </c>
      <c r="F7" s="36">
        <f t="shared" si="0"/>
        <v>600</v>
      </c>
      <c r="G7" s="35"/>
      <c r="H7" s="35"/>
      <c r="I7" s="35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4">
        <v>5</v>
      </c>
      <c r="B2" t="s">
        <v>671</v>
      </c>
      <c r="C2">
        <v>2600</v>
      </c>
      <c r="D2">
        <f>A2*C2</f>
        <v>13000</v>
      </c>
    </row>
    <row r="3" spans="1:4" x14ac:dyDescent="0.3">
      <c r="A3" s="74">
        <v>10</v>
      </c>
      <c r="B3" t="s">
        <v>672</v>
      </c>
      <c r="C3">
        <v>3300</v>
      </c>
      <c r="D3">
        <f t="shared" ref="D3:D5" si="0">A3*C3</f>
        <v>33000</v>
      </c>
    </row>
    <row r="4" spans="1:4" x14ac:dyDescent="0.3">
      <c r="A4" s="74">
        <v>10</v>
      </c>
      <c r="B4" t="s">
        <v>673</v>
      </c>
      <c r="C4">
        <v>1300</v>
      </c>
      <c r="D4">
        <f t="shared" si="0"/>
        <v>13000</v>
      </c>
    </row>
    <row r="5" spans="1:4" x14ac:dyDescent="0.3">
      <c r="A5" s="74">
        <v>20</v>
      </c>
      <c r="B5" t="s">
        <v>674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NZ OCT</vt:lpstr>
      <vt:lpstr>NZ NOV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2025-11-18T15:30:03Z</dcterms:modified>
</cp:coreProperties>
</file>