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FC215ECC-D43F-42FA-9E7E-758481472370}" xr6:coauthVersionLast="47" xr6:coauthVersionMax="47" xr10:uidLastSave="{00000000-0000-0000-0000-000000000000}"/>
  <bookViews>
    <workbookView xWindow="-108" yWindow="-108" windowWidth="23256" windowHeight="13896" xr2:uid="{F59FD322-AAE1-4361-8FA6-F11FC81355E2}"/>
  </bookViews>
  <sheets>
    <sheet name="Purchases" sheetId="1" r:id="rId1"/>
    <sheet name="GC Balance" sheetId="6" r:id="rId2"/>
    <sheet name="Apple GC" sheetId="5" r:id="rId3"/>
    <sheet name="Sheet3" sheetId="3" r:id="rId4"/>
    <sheet name="Sheet1" sheetId="4" state="hidden" r:id="rId5"/>
    <sheet name="INSTAX RATES" sheetId="2" state="hidden" r:id="rId6"/>
  </sheets>
  <definedNames>
    <definedName name="_xlnm._FilterDatabase" localSheetId="0" hidden="1">Purchases!$A$1:$S$124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" l="1"/>
  <c r="G88" i="1"/>
  <c r="G89" i="1"/>
  <c r="G90" i="1"/>
  <c r="G91" i="1"/>
  <c r="G92" i="1"/>
  <c r="G93" i="1"/>
  <c r="G94" i="1"/>
  <c r="G95" i="1"/>
  <c r="G96" i="1"/>
  <c r="G97" i="1"/>
  <c r="G98" i="1"/>
  <c r="G86" i="1"/>
  <c r="G85" i="1" l="1"/>
  <c r="G84" i="1"/>
  <c r="G83" i="1"/>
  <c r="G82" i="1"/>
  <c r="G81" i="1"/>
  <c r="F15" i="5" l="1"/>
  <c r="F14" i="5"/>
  <c r="F13" i="5"/>
  <c r="G77" i="1"/>
  <c r="G78" i="1"/>
  <c r="G79" i="1"/>
  <c r="G80" i="1"/>
  <c r="G72" i="1"/>
  <c r="G73" i="1"/>
  <c r="G74" i="1"/>
  <c r="G75" i="1"/>
  <c r="G76" i="1"/>
  <c r="G71" i="1" l="1"/>
  <c r="G70" i="1"/>
  <c r="G67" i="1"/>
  <c r="G68" i="1"/>
  <c r="G69" i="1"/>
  <c r="G66" i="1"/>
  <c r="G62" i="1"/>
  <c r="G63" i="1"/>
  <c r="G64" i="1"/>
  <c r="G65" i="1"/>
  <c r="F3" i="5"/>
  <c r="F4" i="5"/>
  <c r="F5" i="5"/>
  <c r="F6" i="5"/>
  <c r="F7" i="5"/>
  <c r="F8" i="5"/>
  <c r="F9" i="5"/>
  <c r="F10" i="5"/>
  <c r="F11" i="5"/>
  <c r="F12" i="5"/>
  <c r="F2" i="5"/>
  <c r="G61" i="1"/>
  <c r="G56" i="1"/>
  <c r="G57" i="1"/>
  <c r="G58" i="1"/>
  <c r="G59" i="1"/>
  <c r="G60" i="1"/>
  <c r="G55" i="1"/>
  <c r="G54" i="1"/>
  <c r="G53" i="1"/>
  <c r="G49" i="1"/>
  <c r="G50" i="1"/>
  <c r="G51" i="1"/>
  <c r="G52" i="1"/>
  <c r="G46" i="1"/>
  <c r="G47" i="1"/>
  <c r="G48" i="1"/>
  <c r="J2" i="5"/>
  <c r="G42" i="1"/>
  <c r="G43" i="1"/>
  <c r="G44" i="1"/>
  <c r="G45" i="1"/>
  <c r="G37" i="1"/>
  <c r="G38" i="1"/>
  <c r="G39" i="1"/>
  <c r="G40" i="1"/>
  <c r="G41" i="1"/>
  <c r="G36" i="1"/>
  <c r="G29" i="1"/>
  <c r="G30" i="1"/>
  <c r="G31" i="1"/>
  <c r="G32" i="1"/>
  <c r="G33" i="1"/>
  <c r="G34" i="1"/>
  <c r="G35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2" i="1"/>
  <c r="G13" i="1"/>
  <c r="G11" i="1"/>
  <c r="D5" i="2"/>
  <c r="E5" i="2"/>
  <c r="G5" i="2"/>
  <c r="D4" i="2"/>
  <c r="E4" i="2"/>
  <c r="G4" i="2"/>
  <c r="E7" i="2"/>
  <c r="G7" i="2" s="1"/>
  <c r="D13" i="2"/>
  <c r="E13" i="2"/>
  <c r="G13" i="2"/>
  <c r="D14" i="2"/>
  <c r="E14" i="2"/>
  <c r="G14" i="2"/>
  <c r="D15" i="2"/>
  <c r="E15" i="2" s="1"/>
  <c r="G15" i="2" s="1"/>
  <c r="D16" i="2"/>
  <c r="E16" i="2"/>
  <c r="G16" i="2" s="1"/>
  <c r="D8" i="2"/>
  <c r="E8" i="2"/>
  <c r="G8" i="2"/>
  <c r="D9" i="2"/>
  <c r="E9" i="2"/>
  <c r="G9" i="2"/>
  <c r="D10" i="2"/>
  <c r="E10" i="2" s="1"/>
  <c r="G10" i="2" s="1"/>
  <c r="D11" i="2"/>
  <c r="E11" i="2"/>
  <c r="G11" i="2" s="1"/>
  <c r="D12" i="2"/>
  <c r="E12" i="2"/>
  <c r="G12" i="2"/>
  <c r="D17" i="2"/>
  <c r="E17" i="2"/>
  <c r="G17" i="2"/>
  <c r="D18" i="2"/>
  <c r="E18" i="2" s="1"/>
  <c r="G18" i="2" s="1"/>
  <c r="D19" i="2"/>
  <c r="E19" i="2"/>
  <c r="G19" i="2" s="1"/>
  <c r="D20" i="2"/>
  <c r="E20" i="2"/>
  <c r="G20" i="2"/>
  <c r="D21" i="2"/>
  <c r="E21" i="2"/>
  <c r="G21" i="2"/>
  <c r="D22" i="2"/>
  <c r="E22" i="2" s="1"/>
  <c r="G22" i="2" s="1"/>
  <c r="D23" i="2"/>
  <c r="E23" i="2"/>
  <c r="G23" i="2" s="1"/>
  <c r="D6" i="2"/>
  <c r="E6" i="2"/>
  <c r="G6" i="2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<sst xmlns="http://schemas.openxmlformats.org/spreadsheetml/2006/main" count="866" uniqueCount="275">
  <si>
    <t>Date</t>
  </si>
  <si>
    <t>Description</t>
  </si>
  <si>
    <t>Qty</t>
  </si>
  <si>
    <t>Store</t>
  </si>
  <si>
    <t>Price</t>
  </si>
  <si>
    <t>GST</t>
  </si>
  <si>
    <t>Card</t>
  </si>
  <si>
    <t>Status</t>
  </si>
  <si>
    <t>Apple Store</t>
  </si>
  <si>
    <t>Waheed</t>
  </si>
  <si>
    <t>IMac4</t>
  </si>
  <si>
    <t>Castle Hill Pickup</t>
  </si>
  <si>
    <t>Zunera CBA CR Card</t>
  </si>
  <si>
    <t>Delivered</t>
  </si>
  <si>
    <t>#</t>
  </si>
  <si>
    <t>Hornsby</t>
  </si>
  <si>
    <t>Waheed NAB CR Card</t>
  </si>
  <si>
    <t>Collected</t>
  </si>
  <si>
    <t>W1515850592</t>
  </si>
  <si>
    <t>Instax Square</t>
  </si>
  <si>
    <t>Instax Square Link</t>
  </si>
  <si>
    <t>Instax Mini 99</t>
  </si>
  <si>
    <t>Instax Mini Link</t>
  </si>
  <si>
    <t>Instax Mini Liplay</t>
  </si>
  <si>
    <t>Instax Mini Link 3</t>
  </si>
  <si>
    <t>Dubai Sale Price Dirham</t>
  </si>
  <si>
    <t>AUD</t>
  </si>
  <si>
    <t>Coversion</t>
  </si>
  <si>
    <t>Cost in Dirham</t>
  </si>
  <si>
    <t>Instax Mini Paper 20PK: $22</t>
  </si>
  <si>
    <t>Instax Mini Paper 60PK: $59</t>
  </si>
  <si>
    <t>Instax Square Paper 20PK: $24</t>
  </si>
  <si>
    <t>Instax Wide Paper 20PK: $31</t>
  </si>
  <si>
    <t>Instax Mini Evo Camera USB-C Black: $249</t>
  </si>
  <si>
    <t>Instax Mini Evo Camera USB-C Brown: $249</t>
  </si>
  <si>
    <t>Instax LiPlay Bluch Gold: $197</t>
  </si>
  <si>
    <t>Instax LiPlay Deep Bronxe: $203</t>
  </si>
  <si>
    <t>Instax LiPlay Elegant Black:$197</t>
  </si>
  <si>
    <t>Instax LiPlay Matcha Green: $203</t>
  </si>
  <si>
    <t>Instax LiPlay Mist White: $203</t>
  </si>
  <si>
    <t>Instax SQ1 Blue: $167</t>
  </si>
  <si>
    <t>Instax SQ1 Orange: $167</t>
  </si>
  <si>
    <t>Instax SQ1 White: $167</t>
  </si>
  <si>
    <t>Canon Pixma TS3665: $51</t>
  </si>
  <si>
    <t>HP Deskjet 2820E: $46</t>
  </si>
  <si>
    <t>W1451174620</t>
  </si>
  <si>
    <t>Delivery</t>
  </si>
  <si>
    <t>Anwar Ali</t>
  </si>
  <si>
    <t>$15 Delivery</t>
  </si>
  <si>
    <t>Anwar.ali2051@outlook.com</t>
  </si>
  <si>
    <t>Noaman.mughal2001@outlook.com</t>
  </si>
  <si>
    <t>Broadway</t>
  </si>
  <si>
    <t>Noaman Mughal</t>
  </si>
  <si>
    <t>W1660860932</t>
  </si>
  <si>
    <t>Delivery date</t>
  </si>
  <si>
    <t>Order #</t>
  </si>
  <si>
    <t>Email</t>
  </si>
  <si>
    <t>W1463493598</t>
  </si>
  <si>
    <t>atiya.hayat2001@outlook.com</t>
  </si>
  <si>
    <t>Atiya Hayat</t>
  </si>
  <si>
    <t xml:space="preserve">Zunera </t>
  </si>
  <si>
    <t>Pickup Name</t>
  </si>
  <si>
    <t>W1405425780</t>
  </si>
  <si>
    <t>amaan.pasha@outlook.com.au</t>
  </si>
  <si>
    <t>Pasha Waheed</t>
  </si>
  <si>
    <t>Saleem Hayat</t>
  </si>
  <si>
    <t>Sydney</t>
  </si>
  <si>
    <t>w1635323833</t>
  </si>
  <si>
    <t>Noureen Mughal</t>
  </si>
  <si>
    <t>Zunera Waheed</t>
  </si>
  <si>
    <t>Iphone2024$</t>
  </si>
  <si>
    <t>Bondi</t>
  </si>
  <si>
    <t>Abdul Shahid</t>
  </si>
  <si>
    <t>Talha Noaman</t>
  </si>
  <si>
    <t>Instore purchase</t>
  </si>
  <si>
    <t>W1513025577</t>
  </si>
  <si>
    <t>W1570700499</t>
  </si>
  <si>
    <t>W1300382577</t>
  </si>
  <si>
    <t>Muhammad.khan2000@outlook.com</t>
  </si>
  <si>
    <t>W1302728463</t>
  </si>
  <si>
    <t>amaans_uk@icloud.com</t>
  </si>
  <si>
    <t>Abdul</t>
  </si>
  <si>
    <t>Zunera</t>
  </si>
  <si>
    <t>W1551522431</t>
  </si>
  <si>
    <t>W1568519608</t>
  </si>
  <si>
    <t>zunerawmy@gmail</t>
  </si>
  <si>
    <t>W1398071991</t>
  </si>
  <si>
    <t>Javed Bhai</t>
  </si>
  <si>
    <t>W1320644753</t>
  </si>
  <si>
    <t>amaan.pasha2323@outlook.com</t>
  </si>
  <si>
    <t>Apple2025$</t>
  </si>
  <si>
    <t>JBHIFI Hornsby</t>
  </si>
  <si>
    <t>JBHIFI Castle Hills</t>
  </si>
  <si>
    <t>Online Apple Store</t>
  </si>
  <si>
    <t>W1600076273</t>
  </si>
  <si>
    <t>Info@swiss-tech.net.au</t>
  </si>
  <si>
    <t>Current status</t>
  </si>
  <si>
    <t>Sent Dubai</t>
  </si>
  <si>
    <t>Shipping Date</t>
  </si>
  <si>
    <t>Sydney.khan2514@outlook.com</t>
  </si>
  <si>
    <t>amaan.sydney2000@gamil.com</t>
  </si>
  <si>
    <t>noaman.mughal2000@outlook.com</t>
  </si>
  <si>
    <t>W1348825231</t>
  </si>
  <si>
    <t>3727 248474 02067</t>
  </si>
  <si>
    <t>W1581701486</t>
  </si>
  <si>
    <t>4154 1772 0924 4203</t>
  </si>
  <si>
    <t>Javed</t>
  </si>
  <si>
    <t>66 Waterloo Road Macquarie Park</t>
  </si>
  <si>
    <t>18 Hope Street Granville 2142</t>
  </si>
  <si>
    <t>W1552448382</t>
  </si>
  <si>
    <t>4154 1772 1504 9471</t>
  </si>
  <si>
    <t>29 Weston Street Clyde 2142</t>
  </si>
  <si>
    <t>W1336422109</t>
  </si>
  <si>
    <t>55 Virginia street Rosehill 2142</t>
  </si>
  <si>
    <t>4246 3153 9094 7750</t>
  </si>
  <si>
    <t>JBHIFI Broadway</t>
  </si>
  <si>
    <t>Apple Bondi</t>
  </si>
  <si>
    <t>AppleSydney</t>
  </si>
  <si>
    <t>Apple Broadway</t>
  </si>
  <si>
    <t>W1395180275</t>
  </si>
  <si>
    <t>56 Virginia Street Rosehill 2142</t>
  </si>
  <si>
    <t>amaan.sydney2000@gmail.com</t>
  </si>
  <si>
    <t>W1526916035</t>
  </si>
  <si>
    <t>Wahed Pasha</t>
  </si>
  <si>
    <t>51 Weston Street Rosehill</t>
  </si>
  <si>
    <t>W1511643423</t>
  </si>
  <si>
    <t>Waheed Abdul</t>
  </si>
  <si>
    <t>w1365805930</t>
  </si>
  <si>
    <t>waheed</t>
  </si>
  <si>
    <t>amaan.sydney@2026@outlook.com</t>
  </si>
  <si>
    <t>W1528341115</t>
  </si>
  <si>
    <t>Apple Castle Hills</t>
  </si>
  <si>
    <t>amaan.sydney2026@outlook.com</t>
  </si>
  <si>
    <t>Apple Sydney</t>
  </si>
  <si>
    <t>Abdul Rehman</t>
  </si>
  <si>
    <t>Card #</t>
  </si>
  <si>
    <t>Delivery Charges</t>
  </si>
  <si>
    <t>Value</t>
  </si>
  <si>
    <t>Paid by</t>
  </si>
  <si>
    <t>Waheed Card</t>
  </si>
  <si>
    <t>Total Amount</t>
  </si>
  <si>
    <t>Balance</t>
  </si>
  <si>
    <t>Used Store</t>
  </si>
  <si>
    <t>Waheed GC</t>
  </si>
  <si>
    <t>4154 1779 1539 5687</t>
  </si>
  <si>
    <t>4154 1787 8294 2338</t>
  </si>
  <si>
    <t>4154 1772 1247 3351</t>
  </si>
  <si>
    <t>5528 6950 7629 0104</t>
  </si>
  <si>
    <t>3727 181524 63037</t>
  </si>
  <si>
    <t>3727 181524 63045</t>
  </si>
  <si>
    <t>3727 265425 71047</t>
  </si>
  <si>
    <t>w1350478691</t>
  </si>
  <si>
    <t>Yashal.Pasha@outlook.com</t>
  </si>
  <si>
    <t>Abdul Pasha</t>
  </si>
  <si>
    <t>Yashal.Pasha2000@outlook.com</t>
  </si>
  <si>
    <t>W1591350222</t>
  </si>
  <si>
    <t>AMAAN KHAN</t>
  </si>
  <si>
    <t>Waheed Zunera</t>
  </si>
  <si>
    <t>Yashal.Pasha2001@hotmail.com</t>
  </si>
  <si>
    <t>Office Works Auburn</t>
  </si>
  <si>
    <t>Woowlrth Rosehill</t>
  </si>
  <si>
    <t>W1331663354</t>
  </si>
  <si>
    <t>waheed.abdul2000@outlook.com</t>
  </si>
  <si>
    <t>w1349705656</t>
  </si>
  <si>
    <t>Yashal.Pasha2001@outlook.com</t>
  </si>
  <si>
    <t>Cancelled</t>
  </si>
  <si>
    <t>sydney.khan2500@outlook.com</t>
  </si>
  <si>
    <t>W1582338937</t>
  </si>
  <si>
    <t>Azaan Khan</t>
  </si>
  <si>
    <t>David.sydney2000@outlook.com</t>
  </si>
  <si>
    <t>W1584750454</t>
  </si>
  <si>
    <t>david.sydney2000@outlook.com</t>
  </si>
  <si>
    <t>Apple Online</t>
  </si>
  <si>
    <t>John.patel2001@outlook.com</t>
  </si>
  <si>
    <t>W1551728191</t>
  </si>
  <si>
    <t>David Patel</t>
  </si>
  <si>
    <t>W1550885531</t>
  </si>
  <si>
    <t>waqar.sheikh2000@outlook.com</t>
  </si>
  <si>
    <t>mariam.sheikh2000@outlook.com</t>
  </si>
  <si>
    <t xml:space="preserve">Waheed </t>
  </si>
  <si>
    <t>Instore Purchase</t>
  </si>
  <si>
    <t>W1648311284</t>
  </si>
  <si>
    <t>abdul.majid2000@outlook.com</t>
  </si>
  <si>
    <t>W1647501319</t>
  </si>
  <si>
    <t>Apple Penrith</t>
  </si>
  <si>
    <t>Abdul Majid Canada</t>
  </si>
  <si>
    <t>Abdul Mughal</t>
  </si>
  <si>
    <t>4516-0537-9845-1447</t>
  </si>
  <si>
    <t>Moon.light99999@outlook.com</t>
  </si>
  <si>
    <t>sunshine.coast2000@outlook.com</t>
  </si>
  <si>
    <t>greenland.2000@outlook.com</t>
  </si>
  <si>
    <t>W1349722757</t>
  </si>
  <si>
    <t>Azam Khan</t>
  </si>
  <si>
    <t>W1347919470</t>
  </si>
  <si>
    <t>David Shane</t>
  </si>
  <si>
    <t>W1331642193</t>
  </si>
  <si>
    <t>John King</t>
  </si>
  <si>
    <t>XWT2NMQCFCPK7P8K</t>
  </si>
  <si>
    <t>XNZR38X4M9LX2Q36</t>
  </si>
  <si>
    <t>XRT7VFHWYCKL6PY9</t>
  </si>
  <si>
    <t>XHXDRZRWRGH78G8J</t>
  </si>
  <si>
    <t>suzuki.swift2000@outlook.com</t>
  </si>
  <si>
    <t>XPF9Z87M52JF5GPY</t>
  </si>
  <si>
    <t>XRYLPFQ8YR87L7Y9</t>
  </si>
  <si>
    <t>XD5N6V4FNQZ8CRJG</t>
  </si>
  <si>
    <t>X2QDQY9DM9R8F84C</t>
  </si>
  <si>
    <t>X3MQJ2JQGMGQ23WN</t>
  </si>
  <si>
    <t>XDR85DWNQVHCP8GD</t>
  </si>
  <si>
    <t>X5LDPXKNMGJN3MWJ</t>
  </si>
  <si>
    <t>XXN7W6HQPCYJNPHN</t>
  </si>
  <si>
    <t>W1356053435</t>
  </si>
  <si>
    <t>W1301497410</t>
  </si>
  <si>
    <t>Abdul Waheed</t>
  </si>
  <si>
    <t>Amaan Patel</t>
  </si>
  <si>
    <t>amaan.patel2000@outlook.com</t>
  </si>
  <si>
    <t>W1340302649</t>
  </si>
  <si>
    <t>X4L7 2736 DRK9 TJ38</t>
  </si>
  <si>
    <t>ahmed.sheikh200@outlook.com</t>
  </si>
  <si>
    <t>W1380096678</t>
  </si>
  <si>
    <t>zunera.khatoon@outlook.com</t>
  </si>
  <si>
    <t>XY5X 9KG2 5WXY 6JYD</t>
  </si>
  <si>
    <t>W1321645574</t>
  </si>
  <si>
    <t>Zunera Khatoon</t>
  </si>
  <si>
    <t>mariam.pasha2000@outlook.com</t>
  </si>
  <si>
    <t>W1580247496</t>
  </si>
  <si>
    <t>Mariam.waheed2000@outlook.com</t>
  </si>
  <si>
    <t>W1586282564</t>
  </si>
  <si>
    <t>Pasha.mariam@outlook.com</t>
  </si>
  <si>
    <t>Mariam Waheed</t>
  </si>
  <si>
    <t>Pasha Mariam</t>
  </si>
  <si>
    <t>Yashal.apple@outlook.com</t>
  </si>
  <si>
    <t>W1541050510</t>
  </si>
  <si>
    <t>4900-8020-0402-7704</t>
  </si>
  <si>
    <t>Tipu</t>
  </si>
  <si>
    <t>Yashal Khan</t>
  </si>
  <si>
    <t>Izzah.amaan@outlook.com</t>
  </si>
  <si>
    <t>W1546523794</t>
  </si>
  <si>
    <t>5415-9019-5028-9964</t>
  </si>
  <si>
    <t>Izzah Amaan</t>
  </si>
  <si>
    <t>X7PD9R7WFT5RPDCJ</t>
  </si>
  <si>
    <t>XD2L32Z36H34XFDK</t>
  </si>
  <si>
    <t>XQXKCGPKFJWGZ6WH</t>
  </si>
  <si>
    <t>HANNAN.SHEIKH2000@outlook.com</t>
  </si>
  <si>
    <t>Aplple Bondi</t>
  </si>
  <si>
    <t>Blueocean.2000@outlook.com</t>
  </si>
  <si>
    <t>Bluesky.2000@outlook.com</t>
  </si>
  <si>
    <t>Shane.miller22@outlook.com</t>
  </si>
  <si>
    <t>check</t>
  </si>
  <si>
    <t>X2KLQW5YF8HNMYRP</t>
  </si>
  <si>
    <t>XVDNH7JG3T42V69W</t>
  </si>
  <si>
    <t>W1511053414</t>
  </si>
  <si>
    <t>Shane Miller</t>
  </si>
  <si>
    <t>XXC6CRVYC527L6VG</t>
  </si>
  <si>
    <t>XWXNJWV236QXTVYR</t>
  </si>
  <si>
    <t>W1392040922</t>
  </si>
  <si>
    <t>Imran Khan</t>
  </si>
  <si>
    <t>Apple Broadway instore</t>
  </si>
  <si>
    <t>Apple Sydney instore</t>
  </si>
  <si>
    <t>XMDN2H3VJFD3L73J</t>
  </si>
  <si>
    <t>XP7VWYM25TCLGNH</t>
  </si>
  <si>
    <t>ERROR</t>
  </si>
  <si>
    <t>X9MV9L3MXRZ8RM7L</t>
  </si>
  <si>
    <t>W1538603630</t>
  </si>
  <si>
    <t xml:space="preserve">Delivery </t>
  </si>
  <si>
    <t>Mac Book Pro</t>
  </si>
  <si>
    <t>Jbhifi</t>
  </si>
  <si>
    <t>Collection Macq Park</t>
  </si>
  <si>
    <t>Apple Hornsby</t>
  </si>
  <si>
    <t xml:space="preserve">Abdul Rehman </t>
  </si>
  <si>
    <t>Amaan Khan</t>
  </si>
  <si>
    <t>amaans_uk@hotmail.com</t>
  </si>
  <si>
    <t>W1340160559</t>
  </si>
  <si>
    <t>Wardah Canada</t>
  </si>
  <si>
    <t>Mac Book Pro 14 inc</t>
  </si>
  <si>
    <t>Mac Book Air 13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</si>
</sst>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;[Red]\-&quot;$&quot;#,##0.00"/>
    <numFmt numFmtId="166" formatCode="00000"/>
    <numFmt numFmtId="167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sz val="9"/>
      <color rgb="FF1B1B1B"/>
      <name val="Segoe UI"/>
      <family val="2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9"/>
      <color theme="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2" fillId="0" borderId="0" xfId="1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" fontId="0" fillId="2" borderId="1" xfId="0" applyNumberFormat="1" applyFill="1" applyBorder="1"/>
    <xf numFmtId="0" fontId="2" fillId="2" borderId="1" xfId="1" applyFill="1" applyBorder="1"/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2" fillId="0" borderId="1" xfId="1" applyBorder="1"/>
    <xf numFmtId="0" fontId="0" fillId="3" borderId="1" xfId="0" applyFill="1" applyBorder="1"/>
    <xf numFmtId="0" fontId="2" fillId="3" borderId="0" xfId="1" applyFill="1"/>
    <xf numFmtId="0" fontId="0" fillId="3" borderId="0" xfId="0" applyFill="1"/>
    <xf numFmtId="0" fontId="3" fillId="3" borderId="0" xfId="0" applyFont="1" applyFill="1"/>
    <xf numFmtId="0" fontId="2" fillId="0" borderId="1" xfId="1" applyFill="1" applyBorder="1"/>
    <xf numFmtId="0" fontId="6" fillId="0" borderId="1" xfId="0" applyFont="1" applyBorder="1"/>
    <xf numFmtId="0" fontId="6" fillId="0" borderId="0" xfId="0" applyFont="1"/>
    <xf numFmtId="16" fontId="0" fillId="0" borderId="1" xfId="0" applyNumberFormat="1" applyBorder="1"/>
    <xf numFmtId="0" fontId="5" fillId="0" borderId="0" xfId="0" applyFont="1"/>
    <xf numFmtId="0" fontId="0" fillId="4" borderId="0" xfId="0" applyFill="1"/>
    <xf numFmtId="167" fontId="0" fillId="0" borderId="0" xfId="0" applyNumberFormat="1"/>
    <xf numFmtId="167" fontId="0" fillId="5" borderId="0" xfId="0" applyNumberFormat="1" applyFill="1"/>
    <xf numFmtId="0" fontId="0" fillId="5" borderId="0" xfId="0" applyFill="1"/>
    <xf numFmtId="14" fontId="0" fillId="0" borderId="0" xfId="0" applyNumberFormat="1"/>
    <xf numFmtId="0" fontId="0" fillId="0" borderId="2" xfId="0" applyBorder="1"/>
    <xf numFmtId="0" fontId="0" fillId="6" borderId="0" xfId="0" applyFill="1"/>
    <xf numFmtId="14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2" fillId="3" borderId="1" xfId="1" applyFill="1" applyBorder="1"/>
    <xf numFmtId="16" fontId="0" fillId="3" borderId="1" xfId="0" applyNumberFormat="1" applyFill="1" applyBorder="1"/>
    <xf numFmtId="0" fontId="3" fillId="3" borderId="1" xfId="0" applyFont="1" applyFill="1" applyBorder="1"/>
    <xf numFmtId="0" fontId="8" fillId="3" borderId="1" xfId="0" applyFont="1" applyFill="1" applyBorder="1"/>
    <xf numFmtId="0" fontId="6" fillId="7" borderId="1" xfId="0" applyFont="1" applyFill="1" applyBorder="1"/>
    <xf numFmtId="14" fontId="6" fillId="7" borderId="1" xfId="0" applyNumberFormat="1" applyFont="1" applyFill="1" applyBorder="1"/>
    <xf numFmtId="0" fontId="0" fillId="7" borderId="1" xfId="0" applyFill="1" applyBorder="1"/>
    <xf numFmtId="164" fontId="6" fillId="7" borderId="1" xfId="0" applyNumberFormat="1" applyFont="1" applyFill="1" applyBorder="1"/>
    <xf numFmtId="165" fontId="6" fillId="7" borderId="1" xfId="0" applyNumberFormat="1" applyFont="1" applyFill="1" applyBorder="1"/>
    <xf numFmtId="0" fontId="7" fillId="7" borderId="1" xfId="1" applyFont="1" applyFill="1" applyBorder="1"/>
    <xf numFmtId="164" fontId="0" fillId="7" borderId="1" xfId="0" applyNumberFormat="1" applyFill="1" applyBorder="1"/>
    <xf numFmtId="0" fontId="7" fillId="7" borderId="0" xfId="1" applyFont="1" applyFill="1"/>
    <xf numFmtId="166" fontId="6" fillId="7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14" fontId="9" fillId="0" borderId="1" xfId="0" applyNumberFormat="1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0" fontId="10" fillId="0" borderId="1" xfId="1" applyFont="1" applyFill="1" applyBorder="1"/>
    <xf numFmtId="0" fontId="9" fillId="2" borderId="1" xfId="0" applyFont="1" applyFill="1" applyBorder="1"/>
    <xf numFmtId="0" fontId="9" fillId="7" borderId="1" xfId="0" applyFont="1" applyFill="1" applyBorder="1"/>
    <xf numFmtId="14" fontId="9" fillId="7" borderId="1" xfId="0" applyNumberFormat="1" applyFont="1" applyFill="1" applyBorder="1"/>
    <xf numFmtId="164" fontId="9" fillId="7" borderId="1" xfId="0" applyNumberFormat="1" applyFont="1" applyFill="1" applyBorder="1"/>
    <xf numFmtId="165" fontId="9" fillId="7" borderId="1" xfId="0" applyNumberFormat="1" applyFont="1" applyFill="1" applyBorder="1"/>
    <xf numFmtId="0" fontId="10" fillId="7" borderId="1" xfId="1" applyFont="1" applyFill="1" applyBorder="1"/>
    <xf numFmtId="0" fontId="11" fillId="0" borderId="1" xfId="0" applyFont="1" applyBorder="1"/>
    <xf numFmtId="0" fontId="9" fillId="8" borderId="1" xfId="0" applyFont="1" applyFill="1" applyBorder="1"/>
    <xf numFmtId="14" fontId="9" fillId="8" borderId="1" xfId="0" applyNumberFormat="1" applyFont="1" applyFill="1" applyBorder="1"/>
    <xf numFmtId="164" fontId="9" fillId="8" borderId="1" xfId="0" applyNumberFormat="1" applyFont="1" applyFill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 applyAlignment="1">
      <alignment horizontal="center" vertical="center"/>
    </xf>
    <xf numFmtId="0" fontId="10" fillId="8" borderId="0" xfId="1" applyFont="1" applyFill="1"/>
    <xf numFmtId="0" fontId="10" fillId="8" borderId="1" xfId="1" applyFont="1" applyFill="1" applyBorder="1"/>
    <xf numFmtId="16" fontId="9" fillId="8" borderId="1" xfId="0" applyNumberFormat="1" applyFont="1" applyFill="1" applyBorder="1"/>
    <xf numFmtId="0" fontId="9" fillId="3" borderId="1" xfId="0" applyFont="1" applyFill="1" applyBorder="1"/>
    <xf numFmtId="0" fontId="10" fillId="3" borderId="0" xfId="1" applyFont="1" applyFill="1"/>
    <xf numFmtId="0" fontId="11" fillId="0" borderId="0" xfId="0" applyFont="1"/>
    <xf numFmtId="16" fontId="9" fillId="0" borderId="1" xfId="0" applyNumberFormat="1" applyFont="1" applyBorder="1"/>
    <xf numFmtId="0" fontId="10" fillId="0" borderId="0" xfId="1" applyFont="1"/>
    <xf numFmtId="0" fontId="10" fillId="0" borderId="1" xfId="1" applyFont="1" applyBorder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pple.com/xc/au-edu/vieworder/W1320644753/atiya.hayat2000@outlook.com" TargetMode="External"/><Relationship Id="rId18" Type="http://schemas.openxmlformats.org/officeDocument/2006/relationships/hyperlink" Target="https://www.apple.com/xc/au-edu/vieworder/W1552448382/amaan.pasha2323@outlook.com" TargetMode="External"/><Relationship Id="rId26" Type="http://schemas.openxmlformats.org/officeDocument/2006/relationships/hyperlink" Target="https://www.apple.com/xc/au-edu/vieworder/W1528341115/amaan.sydney2026@outlook.com" TargetMode="External"/><Relationship Id="rId39" Type="http://schemas.openxmlformats.org/officeDocument/2006/relationships/hyperlink" Target="mailto:mariam.sheikh2000@outlook.com" TargetMode="External"/><Relationship Id="rId21" Type="http://schemas.openxmlformats.org/officeDocument/2006/relationships/hyperlink" Target="https://www.apple.com/xc/au-edu/vieworder/W1395180275/amaan.pasha2323@outlook.com" TargetMode="External"/><Relationship Id="rId34" Type="http://schemas.openxmlformats.org/officeDocument/2006/relationships/hyperlink" Target="https://www.apple.com/xc/au-edu/vieworder/W1584750454/david.sydney2000@outlook.com" TargetMode="External"/><Relationship Id="rId42" Type="http://schemas.openxmlformats.org/officeDocument/2006/relationships/hyperlink" Target="https://www.apple.com/xc/au-edu/vieworder/W1349722757/Moon.light99999@outlook.com" TargetMode="External"/><Relationship Id="rId47" Type="http://schemas.openxmlformats.org/officeDocument/2006/relationships/hyperlink" Target="https://www.apple.com/xc/au-edu/vieworder/W1301497410/amaan.sydney2000@gmail.com" TargetMode="External"/><Relationship Id="rId50" Type="http://schemas.openxmlformats.org/officeDocument/2006/relationships/hyperlink" Target="https://www.apple.com/xc/au-edu/vieworder/W1380096678/ahmed.sheikh200@outlook.com" TargetMode="External"/><Relationship Id="rId55" Type="http://schemas.openxmlformats.org/officeDocument/2006/relationships/hyperlink" Target="https://www.apple.com/xc/au-edu/vieworder/W1586282564/Pasha.Mariam@outlook.com" TargetMode="External"/><Relationship Id="rId63" Type="http://schemas.openxmlformats.org/officeDocument/2006/relationships/hyperlink" Target="https://www.apple.com/xc/au-edu/vieworder/W1392040922/Bluesky.2000@outlook.com" TargetMode="External"/><Relationship Id="rId7" Type="http://schemas.openxmlformats.org/officeDocument/2006/relationships/hyperlink" Target="https://www.apple.com/xc/au-edu/vieworder/W1300382577/Muhammad.khan2000@outlook.com" TargetMode="External"/><Relationship Id="rId2" Type="http://schemas.openxmlformats.org/officeDocument/2006/relationships/hyperlink" Target="mailto:Anwar.ali2051@outlook.com" TargetMode="External"/><Relationship Id="rId16" Type="http://schemas.openxmlformats.org/officeDocument/2006/relationships/hyperlink" Target="https://www.apple.com/xc/au-edu/vieworder/W1581701486/noaman.mughal2000@outlook.com" TargetMode="External"/><Relationship Id="rId20" Type="http://schemas.openxmlformats.org/officeDocument/2006/relationships/hyperlink" Target="mailto:amaan.sydney2000@gamil.com" TargetMode="External"/><Relationship Id="rId29" Type="http://schemas.openxmlformats.org/officeDocument/2006/relationships/hyperlink" Target="mailto:Yashal.Pasha2000@outlook.com" TargetMode="External"/><Relationship Id="rId41" Type="http://schemas.openxmlformats.org/officeDocument/2006/relationships/hyperlink" Target="mailto:abdul.majid2000@outlook.com" TargetMode="External"/><Relationship Id="rId54" Type="http://schemas.openxmlformats.org/officeDocument/2006/relationships/hyperlink" Target="mailto:Mariam.waheed2000@outlook.com" TargetMode="External"/><Relationship Id="rId62" Type="http://schemas.openxmlformats.org/officeDocument/2006/relationships/hyperlink" Target="mailto:Shane.miller22@outlook.com" TargetMode="External"/><Relationship Id="rId1" Type="http://schemas.openxmlformats.org/officeDocument/2006/relationships/hyperlink" Target="https://www.apple.com/xc/au-edu/vieworder/W1451174620/Anwar.ali2051@outlook.com" TargetMode="External"/><Relationship Id="rId6" Type="http://schemas.openxmlformats.org/officeDocument/2006/relationships/hyperlink" Target="mailto:Anwar.ali2051@outlook.com" TargetMode="External"/><Relationship Id="rId11" Type="http://schemas.openxmlformats.org/officeDocument/2006/relationships/hyperlink" Target="mailto:zunerawmy@gmail" TargetMode="External"/><Relationship Id="rId24" Type="http://schemas.openxmlformats.org/officeDocument/2006/relationships/hyperlink" Target="https://www.apple.com/xc/au-edu/vieworder/W1511643423/noaman.mughal2000@outlook.com" TargetMode="External"/><Relationship Id="rId32" Type="http://schemas.openxmlformats.org/officeDocument/2006/relationships/hyperlink" Target="mailto:Yashal.Pasha2001@outlook.com" TargetMode="External"/><Relationship Id="rId37" Type="http://schemas.openxmlformats.org/officeDocument/2006/relationships/hyperlink" Target="https://www.apple.com/xc/au-edu/vieworder/W1550885531/waqar.sheikh2000@outlook.com" TargetMode="External"/><Relationship Id="rId40" Type="http://schemas.openxmlformats.org/officeDocument/2006/relationships/hyperlink" Target="https://www.apple.com/xc/au-edu/vieworder/W1647501319/abdul.majid2000@outlook.com" TargetMode="External"/><Relationship Id="rId45" Type="http://schemas.openxmlformats.org/officeDocument/2006/relationships/hyperlink" Target="https://www.apple.com/xc/au-edu/vieworder/W1356053435/suzuki.swift2000@outlook.com" TargetMode="External"/><Relationship Id="rId53" Type="http://schemas.openxmlformats.org/officeDocument/2006/relationships/hyperlink" Target="https://www.apple.com/xc/au-edu/vieworder/W1580247496/Mariam.waheed2000@outlook.com" TargetMode="External"/><Relationship Id="rId58" Type="http://schemas.openxmlformats.org/officeDocument/2006/relationships/hyperlink" Target="mailto:Izzah.amaan@outlook.com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amaan.pasha@outlook.com.au" TargetMode="External"/><Relationship Id="rId15" Type="http://schemas.openxmlformats.org/officeDocument/2006/relationships/hyperlink" Target="https://www.apple.com/xc/au-edu/vieworder/W1348825231/Sydney.khan2514@outlook.com" TargetMode="External"/><Relationship Id="rId23" Type="http://schemas.openxmlformats.org/officeDocument/2006/relationships/hyperlink" Target="mailto:amaan.sydney2000@gamil.com" TargetMode="External"/><Relationship Id="rId28" Type="http://schemas.openxmlformats.org/officeDocument/2006/relationships/hyperlink" Target="mailto:Yashal.Pasha@outlook.com" TargetMode="External"/><Relationship Id="rId36" Type="http://schemas.openxmlformats.org/officeDocument/2006/relationships/hyperlink" Target="https://www.apple.com/xc/au-edu/vieworder/W1551728191/John.patel2001@outlook.com" TargetMode="External"/><Relationship Id="rId49" Type="http://schemas.openxmlformats.org/officeDocument/2006/relationships/hyperlink" Target="mailto:amaan.patel2000@outlook.com" TargetMode="External"/><Relationship Id="rId57" Type="http://schemas.openxmlformats.org/officeDocument/2006/relationships/hyperlink" Target="mailto:Yashal.apple@outlook.com" TargetMode="External"/><Relationship Id="rId61" Type="http://schemas.openxmlformats.org/officeDocument/2006/relationships/hyperlink" Target="https://www.apple.com/xc/au-edu/vieworder/W1511053414/Shane.miller22@outlook.com" TargetMode="External"/><Relationship Id="rId10" Type="http://schemas.openxmlformats.org/officeDocument/2006/relationships/hyperlink" Target="mailto:zunerawmy@gmail" TargetMode="External"/><Relationship Id="rId19" Type="http://schemas.openxmlformats.org/officeDocument/2006/relationships/hyperlink" Target="https://www.apple.com/xc/au-edu/vieworder/W1336422109/amaan.sydney2000@gamil.com" TargetMode="External"/><Relationship Id="rId31" Type="http://schemas.openxmlformats.org/officeDocument/2006/relationships/hyperlink" Target="mailto:waheed.abdul2000@outlook.com" TargetMode="External"/><Relationship Id="rId44" Type="http://schemas.openxmlformats.org/officeDocument/2006/relationships/hyperlink" Target="https://www.apple.com/xc/au-edu/vieworder/W1331642193/greenland.2000@outlook.com" TargetMode="External"/><Relationship Id="rId52" Type="http://schemas.openxmlformats.org/officeDocument/2006/relationships/hyperlink" Target="https://www.apple.com/xc/au-edu/vieworder/W1321645574/zunera.khatoon@outlook.com" TargetMode="External"/><Relationship Id="rId60" Type="http://schemas.openxmlformats.org/officeDocument/2006/relationships/hyperlink" Target="https://www.apple.com/xc/au-edu/vieworder/W1541050510/Yashal.apple@outlook.com" TargetMode="External"/><Relationship Id="rId65" Type="http://schemas.openxmlformats.org/officeDocument/2006/relationships/hyperlink" Target="mailto:amaans_uk@hotmail.com" TargetMode="External"/><Relationship Id="rId4" Type="http://schemas.openxmlformats.org/officeDocument/2006/relationships/hyperlink" Target="https://www.apple.com/xc/au-edu/vieworder/W1405425780/amaan.pasha@outlook.com.au" TargetMode="External"/><Relationship Id="rId9" Type="http://schemas.openxmlformats.org/officeDocument/2006/relationships/hyperlink" Target="mailto:amaans_uk@icloud.com" TargetMode="External"/><Relationship Id="rId14" Type="http://schemas.openxmlformats.org/officeDocument/2006/relationships/hyperlink" Target="mailto:Info@swiss-tech.net.au" TargetMode="External"/><Relationship Id="rId22" Type="http://schemas.openxmlformats.org/officeDocument/2006/relationships/hyperlink" Target="https://www.apple.com/xc/au-edu/vieworder/W1526916035/amaan.sydney2000@gmail.com" TargetMode="External"/><Relationship Id="rId27" Type="http://schemas.openxmlformats.org/officeDocument/2006/relationships/hyperlink" Target="mailto:amaan.sydney2026@outlook.com" TargetMode="External"/><Relationship Id="rId30" Type="http://schemas.openxmlformats.org/officeDocument/2006/relationships/hyperlink" Target="https://www.apple.com/xc/au-edu/vieworder/W1591350222/Yashal.Pasha2000@outlook.com" TargetMode="External"/><Relationship Id="rId35" Type="http://schemas.openxmlformats.org/officeDocument/2006/relationships/hyperlink" Target="mailto:david.sydney2000@outlook.com" TargetMode="External"/><Relationship Id="rId43" Type="http://schemas.openxmlformats.org/officeDocument/2006/relationships/hyperlink" Target="https://www.apple.com/xc/au-edu/vieworder/W1347919470/sunshine.coast2000@outlook.com" TargetMode="External"/><Relationship Id="rId48" Type="http://schemas.openxmlformats.org/officeDocument/2006/relationships/hyperlink" Target="mailto:amaan.sydney2000@gmail.com" TargetMode="External"/><Relationship Id="rId56" Type="http://schemas.openxmlformats.org/officeDocument/2006/relationships/hyperlink" Target="mailto:Pasha.mariam@outlook.com" TargetMode="External"/><Relationship Id="rId64" Type="http://schemas.openxmlformats.org/officeDocument/2006/relationships/hyperlink" Target="https://www.apple.com/xc/au-edu/vieworder/W1538603630/Blueocean.2000@outlook.com" TargetMode="External"/><Relationship Id="rId8" Type="http://schemas.openxmlformats.org/officeDocument/2006/relationships/hyperlink" Target="https://www.apple.com/xc/au-edu/vieworder/W1302728463/amaans_uk@icloud.com" TargetMode="External"/><Relationship Id="rId51" Type="http://schemas.openxmlformats.org/officeDocument/2006/relationships/hyperlink" Target="mailto:ahmed.sheikh200@outlook.com" TargetMode="External"/><Relationship Id="rId3" Type="http://schemas.openxmlformats.org/officeDocument/2006/relationships/hyperlink" Target="https://www.apple.com/xc/au-edu/vieworder/W1463493598/atiya.hayat2000@outlook.com" TargetMode="External"/><Relationship Id="rId12" Type="http://schemas.openxmlformats.org/officeDocument/2006/relationships/hyperlink" Target="https://www.apple.com/xc/au-edu/vieworder/W1398071991/Muhammad.khan2000@outlook.com" TargetMode="External"/><Relationship Id="rId17" Type="http://schemas.openxmlformats.org/officeDocument/2006/relationships/hyperlink" Target="mailto:noaman.mughal2000@outlook.com" TargetMode="External"/><Relationship Id="rId25" Type="http://schemas.openxmlformats.org/officeDocument/2006/relationships/hyperlink" Target="mailto:noaman.mughal2000@outlook.com" TargetMode="External"/><Relationship Id="rId33" Type="http://schemas.openxmlformats.org/officeDocument/2006/relationships/hyperlink" Target="https://www.apple.com/xc/au-edu/vieworder/W1582338937/sydney.khan2500@outlook.com" TargetMode="External"/><Relationship Id="rId38" Type="http://schemas.openxmlformats.org/officeDocument/2006/relationships/hyperlink" Target="mailto:waqar.sheikh2000@outlook.com" TargetMode="External"/><Relationship Id="rId46" Type="http://schemas.openxmlformats.org/officeDocument/2006/relationships/hyperlink" Target="mailto:suzuki.swift2000@outlook.com" TargetMode="External"/><Relationship Id="rId59" Type="http://schemas.openxmlformats.org/officeDocument/2006/relationships/hyperlink" Target="https://www.apple.com/xc/au-edu/vieworder/W1546523794/Izzah.amaan@outlook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xc/au-edu/vieworder/W1356053435/suzuki.swift2000@outlook.com" TargetMode="External"/><Relationship Id="rId2" Type="http://schemas.openxmlformats.org/officeDocument/2006/relationships/hyperlink" Target="https://www.apple.com/xc/au-edu/vieworder/W1356053435/suzuki.swift2000@outlook.com" TargetMode="External"/><Relationship Id="rId1" Type="http://schemas.openxmlformats.org/officeDocument/2006/relationships/hyperlink" Target="https://www.apple.com/xc/au-edu/vieworder/W1356053435/suzuki.swift2000@outlook.com" TargetMode="External"/><Relationship Id="rId6" Type="http://schemas.openxmlformats.org/officeDocument/2006/relationships/hyperlink" Target="https://www.apple.com/xc/au-edu/vieworder/W1380096678/ahmed.sheikh200@outlook.com" TargetMode="External"/><Relationship Id="rId5" Type="http://schemas.openxmlformats.org/officeDocument/2006/relationships/hyperlink" Target="https://www.apple.com/xc/au-edu/vieworder/W1380096678/ahmed.sheikh200@outlook.com" TargetMode="External"/><Relationship Id="rId4" Type="http://schemas.openxmlformats.org/officeDocument/2006/relationships/hyperlink" Target="https://www.apple.com/xc/au-edu/vieworder/W1356053435/suzuki.swift2000@outloo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Yashal.Pasha2001@hotmail.com" TargetMode="External"/><Relationship Id="rId13" Type="http://schemas.openxmlformats.org/officeDocument/2006/relationships/hyperlink" Target="mailto:amaan.patel2000@outlook.com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https://www.apple.com/xc/au-edu/vieworder/W1395180275/amaan.pasha2323@outlook.com" TargetMode="External"/><Relationship Id="rId7" Type="http://schemas.openxmlformats.org/officeDocument/2006/relationships/hyperlink" Target="mailto:Yashal.Pasha@outlook.com" TargetMode="External"/><Relationship Id="rId12" Type="http://schemas.openxmlformats.org/officeDocument/2006/relationships/hyperlink" Target="mailto:suzuki.swift2000@outlook.com" TargetMode="External"/><Relationship Id="rId17" Type="http://schemas.openxmlformats.org/officeDocument/2006/relationships/hyperlink" Target="mailto:Shane.miller22@outlook.com" TargetMode="External"/><Relationship Id="rId2" Type="http://schemas.openxmlformats.org/officeDocument/2006/relationships/hyperlink" Target="mailto:noaman.mughal2000@outlook.com" TargetMode="External"/><Relationship Id="rId16" Type="http://schemas.openxmlformats.org/officeDocument/2006/relationships/hyperlink" Target="mailto:Pasha.mariam@outlook.com" TargetMode="External"/><Relationship Id="rId1" Type="http://schemas.openxmlformats.org/officeDocument/2006/relationships/hyperlink" Target="mailto:amaan.sydney2000@gmail.com" TargetMode="External"/><Relationship Id="rId6" Type="http://schemas.openxmlformats.org/officeDocument/2006/relationships/hyperlink" Target="mailto:Yashal.Pasha2000@outlook.com" TargetMode="External"/><Relationship Id="rId11" Type="http://schemas.openxmlformats.org/officeDocument/2006/relationships/hyperlink" Target="mailto:mariam.sheikh2000@outlook.com" TargetMode="External"/><Relationship Id="rId5" Type="http://schemas.openxmlformats.org/officeDocument/2006/relationships/hyperlink" Target="mailto:amaan.sydney@2026@outlook.com" TargetMode="External"/><Relationship Id="rId15" Type="http://schemas.openxmlformats.org/officeDocument/2006/relationships/hyperlink" Target="mailto:Mariam.waheed2000@outlook.com" TargetMode="External"/><Relationship Id="rId10" Type="http://schemas.openxmlformats.org/officeDocument/2006/relationships/hyperlink" Target="mailto:waqar.sheikh2000@outlook.com" TargetMode="External"/><Relationship Id="rId4" Type="http://schemas.openxmlformats.org/officeDocument/2006/relationships/hyperlink" Target="https://www.apple.com/xc/au-edu/vieworder/W1511643423/noaman.mughal2000@outlook.com" TargetMode="External"/><Relationship Id="rId9" Type="http://schemas.openxmlformats.org/officeDocument/2006/relationships/hyperlink" Target="mailto:David.sydney2000@outlook.com" TargetMode="External"/><Relationship Id="rId14" Type="http://schemas.openxmlformats.org/officeDocument/2006/relationships/hyperlink" Target="mailto:mariam.pasha2000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CA43-EBB0-4F09-A227-C90B4589B7A5}">
  <sheetPr filterMode="1"/>
  <dimension ref="A1:T124"/>
  <sheetViews>
    <sheetView tabSelected="1" topLeftCell="A73" zoomScale="68" zoomScaleNormal="68" workbookViewId="0">
      <selection activeCell="J108" sqref="J108"/>
    </sheetView>
  </sheetViews>
  <sheetFormatPr defaultRowHeight="14.4" x14ac:dyDescent="0.3"/>
  <cols>
    <col min="2" max="2" width="11.5546875" bestFit="1" customWidth="1"/>
    <col min="3" max="3" width="21" customWidth="1"/>
    <col min="4" max="4" width="6" customWidth="1"/>
    <col min="5" max="5" width="21.33203125" bestFit="1" customWidth="1"/>
    <col min="6" max="7" width="8.88671875" customWidth="1"/>
    <col min="8" max="8" width="20.109375" bestFit="1" customWidth="1"/>
    <col min="9" max="9" width="21.109375" bestFit="1" customWidth="1"/>
    <col min="10" max="10" width="18.6640625" customWidth="1"/>
    <col min="11" max="11" width="26.5546875" bestFit="1" customWidth="1"/>
    <col min="12" max="12" width="16.109375" customWidth="1"/>
    <col min="13" max="13" width="15.33203125" bestFit="1" customWidth="1"/>
    <col min="14" max="14" width="17.33203125" bestFit="1" customWidth="1"/>
    <col min="15" max="15" width="31.6640625" customWidth="1"/>
    <col min="16" max="16" width="11.109375" bestFit="1" customWidth="1"/>
    <col min="17" max="17" width="13" bestFit="1" customWidth="1"/>
    <col min="18" max="18" width="12.5546875" bestFit="1" customWidth="1"/>
    <col min="19" max="19" width="30.33203125" customWidth="1"/>
  </cols>
  <sheetData>
    <row r="1" spans="1:20" ht="39" customHeight="1" x14ac:dyDescent="0.3">
      <c r="A1" s="3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135</v>
      </c>
      <c r="J1" s="1" t="s">
        <v>61</v>
      </c>
      <c r="K1" s="1" t="s">
        <v>7</v>
      </c>
      <c r="L1" s="1" t="s">
        <v>54</v>
      </c>
      <c r="M1" s="3" t="s">
        <v>55</v>
      </c>
      <c r="N1" s="3" t="s">
        <v>136</v>
      </c>
      <c r="O1" s="3" t="s">
        <v>56</v>
      </c>
      <c r="P1" s="3"/>
      <c r="Q1" s="3" t="s">
        <v>96</v>
      </c>
      <c r="R1" s="3" t="s">
        <v>98</v>
      </c>
      <c r="S1" s="3"/>
    </row>
    <row r="2" spans="1:20" ht="31.8" customHeight="1" x14ac:dyDescent="0.3">
      <c r="A2" s="7">
        <v>1</v>
      </c>
      <c r="B2" s="8">
        <v>45708</v>
      </c>
      <c r="C2" s="7" t="s">
        <v>10</v>
      </c>
      <c r="D2" s="7">
        <v>1</v>
      </c>
      <c r="E2" s="7" t="s">
        <v>8</v>
      </c>
      <c r="F2" s="9">
        <v>1919</v>
      </c>
      <c r="G2" s="10">
        <f>(F2/11)</f>
        <v>174.45454545454547</v>
      </c>
      <c r="H2" s="7" t="s">
        <v>12</v>
      </c>
      <c r="I2" s="7"/>
      <c r="J2" s="7"/>
      <c r="K2" s="7" t="s">
        <v>13</v>
      </c>
      <c r="L2" s="8">
        <v>45708</v>
      </c>
      <c r="M2" s="7"/>
      <c r="N2" s="7"/>
      <c r="O2" s="7"/>
      <c r="P2" s="7"/>
      <c r="Q2" s="7" t="s">
        <v>97</v>
      </c>
      <c r="R2" s="11">
        <v>45714</v>
      </c>
      <c r="S2" s="3"/>
    </row>
    <row r="3" spans="1:20" ht="22.2" customHeight="1" x14ac:dyDescent="0.3">
      <c r="A3" s="7">
        <v>2</v>
      </c>
      <c r="B3" s="8">
        <v>45709</v>
      </c>
      <c r="C3" s="7" t="s">
        <v>10</v>
      </c>
      <c r="D3" s="7">
        <v>1</v>
      </c>
      <c r="E3" s="7" t="s">
        <v>8</v>
      </c>
      <c r="F3" s="9">
        <v>1934</v>
      </c>
      <c r="G3" s="10">
        <f t="shared" ref="G3:G67" si="0">(F3/11)</f>
        <v>175.81818181818181</v>
      </c>
      <c r="H3" s="7" t="s">
        <v>16</v>
      </c>
      <c r="I3" s="7"/>
      <c r="J3" s="7"/>
      <c r="K3" s="7" t="s">
        <v>13</v>
      </c>
      <c r="L3" s="8"/>
      <c r="M3" s="7"/>
      <c r="N3" s="7" t="s">
        <v>48</v>
      </c>
      <c r="O3" s="7"/>
      <c r="P3" s="7"/>
      <c r="Q3" s="7" t="s">
        <v>97</v>
      </c>
      <c r="R3" s="11">
        <v>45714</v>
      </c>
      <c r="S3" s="3"/>
    </row>
    <row r="4" spans="1:20" ht="35.4" customHeight="1" x14ac:dyDescent="0.3">
      <c r="A4" s="7">
        <v>3</v>
      </c>
      <c r="B4" s="8">
        <v>45709</v>
      </c>
      <c r="C4" s="7" t="s">
        <v>264</v>
      </c>
      <c r="D4" s="7">
        <v>1</v>
      </c>
      <c r="E4" s="7" t="s">
        <v>11</v>
      </c>
      <c r="F4" s="9">
        <v>2349</v>
      </c>
      <c r="G4" s="10">
        <f t="shared" si="0"/>
        <v>213.54545454545453</v>
      </c>
      <c r="H4" s="7" t="s">
        <v>134</v>
      </c>
      <c r="I4" s="7"/>
      <c r="J4" s="7"/>
      <c r="K4" s="7" t="s">
        <v>17</v>
      </c>
      <c r="L4" s="8">
        <v>45709</v>
      </c>
      <c r="M4" s="7"/>
      <c r="N4" s="7"/>
      <c r="O4" s="7"/>
      <c r="P4" s="7"/>
      <c r="Q4" s="7" t="s">
        <v>97</v>
      </c>
      <c r="R4" s="11">
        <v>45714</v>
      </c>
      <c r="S4" s="3"/>
    </row>
    <row r="5" spans="1:20" ht="44.4" customHeight="1" x14ac:dyDescent="0.3">
      <c r="A5" s="7">
        <v>4</v>
      </c>
      <c r="B5" s="8">
        <v>45709</v>
      </c>
      <c r="C5" s="7" t="s">
        <v>264</v>
      </c>
      <c r="D5" s="7">
        <v>1</v>
      </c>
      <c r="E5" s="7" t="s">
        <v>11</v>
      </c>
      <c r="F5" s="9">
        <v>2349</v>
      </c>
      <c r="G5" s="10">
        <f t="shared" si="0"/>
        <v>213.54545454545453</v>
      </c>
      <c r="H5" s="7" t="s">
        <v>16</v>
      </c>
      <c r="I5" s="7"/>
      <c r="J5" s="7"/>
      <c r="K5" s="7" t="s">
        <v>17</v>
      </c>
      <c r="L5" s="8">
        <v>45709</v>
      </c>
      <c r="M5" s="7"/>
      <c r="N5" s="7"/>
      <c r="O5" s="7"/>
      <c r="P5" s="7"/>
      <c r="Q5" s="7" t="s">
        <v>97</v>
      </c>
      <c r="R5" s="11">
        <v>45714</v>
      </c>
      <c r="S5" s="3"/>
    </row>
    <row r="6" spans="1:20" ht="39.6" customHeight="1" x14ac:dyDescent="0.3">
      <c r="A6" s="7">
        <v>5</v>
      </c>
      <c r="B6" s="8">
        <v>45709</v>
      </c>
      <c r="C6" s="7" t="s">
        <v>264</v>
      </c>
      <c r="D6" s="7">
        <v>1</v>
      </c>
      <c r="E6" s="7" t="s">
        <v>11</v>
      </c>
      <c r="F6" s="9">
        <v>2349</v>
      </c>
      <c r="G6" s="10">
        <f t="shared" si="0"/>
        <v>213.54545454545453</v>
      </c>
      <c r="H6" s="7" t="s">
        <v>16</v>
      </c>
      <c r="I6" s="7"/>
      <c r="J6" s="7"/>
      <c r="K6" s="7" t="s">
        <v>17</v>
      </c>
      <c r="L6" s="8">
        <v>45709</v>
      </c>
      <c r="M6" s="7"/>
      <c r="N6" s="7"/>
      <c r="O6" s="7"/>
      <c r="P6" s="7"/>
      <c r="Q6" s="7" t="s">
        <v>97</v>
      </c>
      <c r="R6" s="11">
        <v>45714</v>
      </c>
      <c r="S6" s="3"/>
    </row>
    <row r="7" spans="1:20" ht="62.4" customHeight="1" x14ac:dyDescent="0.3">
      <c r="A7" s="7">
        <v>6</v>
      </c>
      <c r="B7" s="8">
        <v>45709</v>
      </c>
      <c r="C7" s="7" t="s">
        <v>264</v>
      </c>
      <c r="D7" s="7">
        <v>1</v>
      </c>
      <c r="E7" s="7" t="s">
        <v>11</v>
      </c>
      <c r="F7" s="9">
        <v>2349</v>
      </c>
      <c r="G7" s="10">
        <f t="shared" si="0"/>
        <v>213.54545454545453</v>
      </c>
      <c r="H7" s="7" t="s">
        <v>16</v>
      </c>
      <c r="I7" s="7"/>
      <c r="J7" s="7"/>
      <c r="K7" s="7" t="s">
        <v>17</v>
      </c>
      <c r="L7" s="8">
        <v>45709</v>
      </c>
      <c r="M7" s="7"/>
      <c r="N7" s="7"/>
      <c r="O7" s="7"/>
      <c r="P7" s="7"/>
      <c r="Q7" s="7" t="s">
        <v>97</v>
      </c>
      <c r="R7" s="11">
        <v>45714</v>
      </c>
      <c r="S7" s="3"/>
    </row>
    <row r="8" spans="1:20" ht="56.4" customHeight="1" x14ac:dyDescent="0.3">
      <c r="A8" s="7">
        <v>7</v>
      </c>
      <c r="B8" s="8">
        <v>45709</v>
      </c>
      <c r="C8" s="7" t="s">
        <v>264</v>
      </c>
      <c r="D8" s="7">
        <v>1</v>
      </c>
      <c r="E8" s="7" t="s">
        <v>15</v>
      </c>
      <c r="F8" s="9">
        <v>2349</v>
      </c>
      <c r="G8" s="10">
        <f t="shared" si="0"/>
        <v>213.54545454545453</v>
      </c>
      <c r="H8" s="7" t="s">
        <v>16</v>
      </c>
      <c r="I8" s="7"/>
      <c r="J8" s="7"/>
      <c r="K8" s="7" t="s">
        <v>17</v>
      </c>
      <c r="L8" s="8">
        <v>45709</v>
      </c>
      <c r="M8" s="7"/>
      <c r="N8" s="7"/>
      <c r="O8" s="7"/>
      <c r="P8" s="7"/>
      <c r="Q8" s="7" t="s">
        <v>97</v>
      </c>
      <c r="R8" s="11">
        <v>45714</v>
      </c>
      <c r="S8" s="3"/>
    </row>
    <row r="9" spans="1:20" ht="30.6" customHeight="1" x14ac:dyDescent="0.3">
      <c r="A9" s="7">
        <v>8</v>
      </c>
      <c r="B9" s="8">
        <v>45709</v>
      </c>
      <c r="C9" s="7" t="s">
        <v>264</v>
      </c>
      <c r="D9" s="7">
        <v>1</v>
      </c>
      <c r="E9" s="7" t="s">
        <v>15</v>
      </c>
      <c r="F9" s="9">
        <v>2349</v>
      </c>
      <c r="G9" s="10">
        <f t="shared" si="0"/>
        <v>213.54545454545453</v>
      </c>
      <c r="H9" s="7" t="s">
        <v>16</v>
      </c>
      <c r="I9" s="7"/>
      <c r="J9" s="7"/>
      <c r="K9" s="7" t="s">
        <v>17</v>
      </c>
      <c r="L9" s="8">
        <v>45709</v>
      </c>
      <c r="M9" s="7"/>
      <c r="N9" s="7"/>
      <c r="O9" s="7"/>
      <c r="P9" s="7"/>
      <c r="Q9" s="7" t="s">
        <v>97</v>
      </c>
      <c r="R9" s="11">
        <v>45714</v>
      </c>
      <c r="S9" s="3"/>
    </row>
    <row r="10" spans="1:20" ht="49.8" customHeight="1" x14ac:dyDescent="0.3">
      <c r="A10" s="17">
        <v>9</v>
      </c>
      <c r="B10" s="33">
        <v>45709</v>
      </c>
      <c r="C10" s="17" t="s">
        <v>264</v>
      </c>
      <c r="D10" s="17">
        <v>1</v>
      </c>
      <c r="E10" s="17" t="s">
        <v>15</v>
      </c>
      <c r="F10" s="34">
        <v>2349</v>
      </c>
      <c r="G10" s="35">
        <f t="shared" si="0"/>
        <v>213.54545454545453</v>
      </c>
      <c r="H10" s="17" t="s">
        <v>16</v>
      </c>
      <c r="I10" s="17"/>
      <c r="J10" s="17"/>
      <c r="K10" s="17" t="s">
        <v>17</v>
      </c>
      <c r="L10" s="33">
        <v>45713</v>
      </c>
      <c r="M10" s="17" t="s">
        <v>18</v>
      </c>
      <c r="N10" s="17"/>
      <c r="O10" s="17"/>
      <c r="P10" s="17"/>
      <c r="Q10" s="17" t="s">
        <v>97</v>
      </c>
      <c r="R10" s="37">
        <v>45730</v>
      </c>
      <c r="S10" s="17"/>
      <c r="T10" s="19"/>
    </row>
    <row r="11" spans="1:20" ht="41.4" customHeight="1" x14ac:dyDescent="0.3">
      <c r="A11" s="7">
        <v>10</v>
      </c>
      <c r="B11" s="8">
        <v>45710</v>
      </c>
      <c r="C11" s="7" t="s">
        <v>264</v>
      </c>
      <c r="D11" s="7">
        <v>1</v>
      </c>
      <c r="E11" s="7" t="s">
        <v>46</v>
      </c>
      <c r="F11" s="9">
        <v>2364</v>
      </c>
      <c r="G11" s="10">
        <f t="shared" si="0"/>
        <v>214.90909090909091</v>
      </c>
      <c r="H11" s="7" t="s">
        <v>47</v>
      </c>
      <c r="I11" s="3" t="s">
        <v>144</v>
      </c>
      <c r="J11" s="7"/>
      <c r="K11" s="7" t="s">
        <v>13</v>
      </c>
      <c r="L11" s="8">
        <v>45710</v>
      </c>
      <c r="M11" s="12" t="s">
        <v>45</v>
      </c>
      <c r="N11" s="7" t="s">
        <v>48</v>
      </c>
      <c r="O11" s="12" t="s">
        <v>49</v>
      </c>
      <c r="P11" s="7"/>
      <c r="Q11" s="7" t="s">
        <v>97</v>
      </c>
      <c r="R11" s="11">
        <v>45714</v>
      </c>
      <c r="S11" s="3"/>
    </row>
    <row r="12" spans="1:20" ht="41.4" customHeight="1" x14ac:dyDescent="0.3">
      <c r="A12" s="7">
        <v>11</v>
      </c>
      <c r="B12" s="8">
        <v>45710</v>
      </c>
      <c r="C12" s="7" t="s">
        <v>264</v>
      </c>
      <c r="D12" s="7">
        <v>1</v>
      </c>
      <c r="E12" s="7" t="s">
        <v>51</v>
      </c>
      <c r="F12" s="9">
        <v>2349</v>
      </c>
      <c r="G12" s="10">
        <f t="shared" si="0"/>
        <v>213.54545454545453</v>
      </c>
      <c r="H12" s="7" t="s">
        <v>52</v>
      </c>
      <c r="I12" s="3" t="s">
        <v>145</v>
      </c>
      <c r="J12" s="7" t="s">
        <v>9</v>
      </c>
      <c r="K12" s="7" t="s">
        <v>17</v>
      </c>
      <c r="L12" s="8">
        <v>45710</v>
      </c>
      <c r="M12" s="7" t="s">
        <v>53</v>
      </c>
      <c r="N12" s="7"/>
      <c r="O12" s="13" t="s">
        <v>50</v>
      </c>
      <c r="P12" s="7"/>
      <c r="Q12" s="7" t="s">
        <v>97</v>
      </c>
      <c r="R12" s="11">
        <v>45714</v>
      </c>
      <c r="S12" s="3"/>
    </row>
    <row r="13" spans="1:20" ht="39.6" customHeight="1" x14ac:dyDescent="0.3">
      <c r="A13" s="7">
        <v>12</v>
      </c>
      <c r="B13" s="8">
        <v>45710</v>
      </c>
      <c r="C13" s="7" t="s">
        <v>264</v>
      </c>
      <c r="D13" s="7">
        <v>1</v>
      </c>
      <c r="E13" s="7" t="s">
        <v>51</v>
      </c>
      <c r="F13" s="9">
        <v>2349</v>
      </c>
      <c r="G13" s="10">
        <f t="shared" si="0"/>
        <v>213.54545454545453</v>
      </c>
      <c r="H13" s="14" t="s">
        <v>59</v>
      </c>
      <c r="I13" s="3" t="s">
        <v>146</v>
      </c>
      <c r="J13" s="14" t="s">
        <v>60</v>
      </c>
      <c r="K13" s="7" t="s">
        <v>17</v>
      </c>
      <c r="L13" s="8">
        <v>45710</v>
      </c>
      <c r="M13" s="12" t="s">
        <v>57</v>
      </c>
      <c r="N13" s="7"/>
      <c r="O13" s="14" t="s">
        <v>58</v>
      </c>
      <c r="P13" s="7"/>
      <c r="Q13" s="7" t="s">
        <v>97</v>
      </c>
      <c r="R13" s="11">
        <v>45714</v>
      </c>
      <c r="S13" s="3"/>
    </row>
    <row r="14" spans="1:20" ht="45" customHeight="1" x14ac:dyDescent="0.3">
      <c r="A14" s="7">
        <v>13</v>
      </c>
      <c r="B14" s="8">
        <v>45710</v>
      </c>
      <c r="C14" s="7" t="s">
        <v>264</v>
      </c>
      <c r="D14" s="7">
        <v>1</v>
      </c>
      <c r="E14" s="7" t="s">
        <v>51</v>
      </c>
      <c r="F14" s="9">
        <v>2349</v>
      </c>
      <c r="G14" s="10">
        <f t="shared" si="0"/>
        <v>213.54545454545453</v>
      </c>
      <c r="H14" s="14" t="s">
        <v>16</v>
      </c>
      <c r="I14" s="14"/>
      <c r="J14" s="14" t="s">
        <v>9</v>
      </c>
      <c r="K14" s="7" t="s">
        <v>74</v>
      </c>
      <c r="L14" s="8">
        <v>45710</v>
      </c>
      <c r="M14" s="12"/>
      <c r="N14" s="7"/>
      <c r="O14" s="14"/>
      <c r="P14" s="7"/>
      <c r="Q14" s="7" t="s">
        <v>97</v>
      </c>
      <c r="R14" s="11">
        <v>45714</v>
      </c>
      <c r="S14" s="3"/>
    </row>
    <row r="15" spans="1:20" ht="49.2" customHeight="1" x14ac:dyDescent="0.3">
      <c r="A15" s="7">
        <v>14</v>
      </c>
      <c r="B15" s="8">
        <v>45710</v>
      </c>
      <c r="C15" s="7" t="s">
        <v>264</v>
      </c>
      <c r="D15" s="7">
        <v>1</v>
      </c>
      <c r="E15" s="7" t="s">
        <v>66</v>
      </c>
      <c r="F15" s="9">
        <v>2349</v>
      </c>
      <c r="G15" s="10">
        <f t="shared" si="0"/>
        <v>213.54545454545453</v>
      </c>
      <c r="H15" s="7" t="s">
        <v>65</v>
      </c>
      <c r="I15" s="3" t="s">
        <v>147</v>
      </c>
      <c r="J15" s="7" t="s">
        <v>64</v>
      </c>
      <c r="K15" s="7" t="s">
        <v>17</v>
      </c>
      <c r="L15" s="8">
        <v>45710</v>
      </c>
      <c r="M15" s="12" t="s">
        <v>62</v>
      </c>
      <c r="N15" s="7"/>
      <c r="O15" s="12" t="s">
        <v>63</v>
      </c>
      <c r="P15" s="7"/>
      <c r="Q15" s="7" t="s">
        <v>97</v>
      </c>
      <c r="R15" s="11">
        <v>45714</v>
      </c>
      <c r="S15" s="3"/>
    </row>
    <row r="16" spans="1:20" ht="47.4" customHeight="1" x14ac:dyDescent="0.3">
      <c r="A16" s="7">
        <v>15</v>
      </c>
      <c r="B16" s="8">
        <v>45710</v>
      </c>
      <c r="C16" s="7" t="s">
        <v>264</v>
      </c>
      <c r="D16" s="7">
        <v>1</v>
      </c>
      <c r="E16" s="7" t="s">
        <v>66</v>
      </c>
      <c r="F16" s="9">
        <v>2349</v>
      </c>
      <c r="G16" s="10">
        <f t="shared" si="0"/>
        <v>213.54545454545453</v>
      </c>
      <c r="H16" s="7" t="s">
        <v>68</v>
      </c>
      <c r="I16" s="3" t="s">
        <v>148</v>
      </c>
      <c r="J16" s="7" t="s">
        <v>69</v>
      </c>
      <c r="K16" s="7" t="s">
        <v>17</v>
      </c>
      <c r="L16" s="8">
        <v>45710</v>
      </c>
      <c r="M16" s="7" t="s">
        <v>67</v>
      </c>
      <c r="N16" s="7"/>
      <c r="O16" s="12" t="s">
        <v>49</v>
      </c>
      <c r="P16" s="7"/>
      <c r="Q16" s="7" t="s">
        <v>97</v>
      </c>
      <c r="R16" s="11">
        <v>45714</v>
      </c>
      <c r="S16" s="3"/>
    </row>
    <row r="17" spans="1:20" ht="55.8" customHeight="1" x14ac:dyDescent="0.3">
      <c r="A17" s="7">
        <v>16</v>
      </c>
      <c r="B17" s="8">
        <v>45710</v>
      </c>
      <c r="C17" s="7" t="s">
        <v>264</v>
      </c>
      <c r="D17" s="7">
        <v>1</v>
      </c>
      <c r="E17" s="7" t="s">
        <v>71</v>
      </c>
      <c r="F17" s="9">
        <v>2349</v>
      </c>
      <c r="G17" s="10">
        <f t="shared" si="0"/>
        <v>213.54545454545453</v>
      </c>
      <c r="H17" s="7" t="s">
        <v>72</v>
      </c>
      <c r="I17" s="3" t="s">
        <v>149</v>
      </c>
      <c r="J17" s="7" t="s">
        <v>9</v>
      </c>
      <c r="K17" s="7" t="s">
        <v>17</v>
      </c>
      <c r="L17" s="8">
        <v>45710</v>
      </c>
      <c r="M17" s="7" t="s">
        <v>75</v>
      </c>
      <c r="N17" s="7"/>
      <c r="O17" s="7"/>
      <c r="P17" s="7"/>
      <c r="Q17" s="7" t="s">
        <v>97</v>
      </c>
      <c r="R17" s="11">
        <v>45714</v>
      </c>
      <c r="S17" s="3"/>
    </row>
    <row r="18" spans="1:20" ht="46.8" customHeight="1" x14ac:dyDescent="0.3">
      <c r="A18" s="7">
        <v>17</v>
      </c>
      <c r="B18" s="8">
        <v>45710</v>
      </c>
      <c r="C18" s="7" t="s">
        <v>264</v>
      </c>
      <c r="D18" s="7">
        <v>1</v>
      </c>
      <c r="E18" s="7" t="s">
        <v>71</v>
      </c>
      <c r="F18" s="9">
        <v>2349</v>
      </c>
      <c r="G18" s="10">
        <f t="shared" si="0"/>
        <v>213.54545454545453</v>
      </c>
      <c r="H18" s="7" t="s">
        <v>73</v>
      </c>
      <c r="I18" s="3" t="s">
        <v>150</v>
      </c>
      <c r="J18" s="14" t="s">
        <v>60</v>
      </c>
      <c r="K18" s="7" t="s">
        <v>17</v>
      </c>
      <c r="L18" s="8">
        <v>45710</v>
      </c>
      <c r="M18" s="7" t="s">
        <v>76</v>
      </c>
      <c r="N18" s="7"/>
      <c r="O18" s="7"/>
      <c r="P18" s="7"/>
      <c r="Q18" s="7" t="s">
        <v>97</v>
      </c>
      <c r="R18" s="11">
        <v>45714</v>
      </c>
      <c r="S18" s="3"/>
    </row>
    <row r="19" spans="1:20" ht="39.6" customHeight="1" x14ac:dyDescent="0.3">
      <c r="A19" s="7">
        <v>18</v>
      </c>
      <c r="B19" s="8">
        <v>45711</v>
      </c>
      <c r="C19" s="7" t="s">
        <v>264</v>
      </c>
      <c r="D19" s="7">
        <v>1</v>
      </c>
      <c r="E19" s="7" t="s">
        <v>11</v>
      </c>
      <c r="F19" s="9">
        <v>2349</v>
      </c>
      <c r="G19" s="10">
        <f t="shared" si="0"/>
        <v>213.54545454545453</v>
      </c>
      <c r="H19" s="7" t="s">
        <v>73</v>
      </c>
      <c r="I19" s="3" t="s">
        <v>150</v>
      </c>
      <c r="J19" s="7" t="s">
        <v>9</v>
      </c>
      <c r="K19" s="7" t="s">
        <v>17</v>
      </c>
      <c r="L19" s="8">
        <v>45711</v>
      </c>
      <c r="M19" s="12" t="s">
        <v>77</v>
      </c>
      <c r="N19" s="7"/>
      <c r="O19" s="15" t="s">
        <v>78</v>
      </c>
      <c r="P19" s="7">
        <v>421022212</v>
      </c>
      <c r="Q19" s="7" t="s">
        <v>97</v>
      </c>
      <c r="R19" s="11">
        <v>45714</v>
      </c>
      <c r="S19" s="3"/>
    </row>
    <row r="20" spans="1:20" ht="47.4" customHeight="1" x14ac:dyDescent="0.3">
      <c r="A20" s="7">
        <v>19</v>
      </c>
      <c r="B20" s="8">
        <v>45711</v>
      </c>
      <c r="C20" s="7" t="s">
        <v>264</v>
      </c>
      <c r="D20" s="7">
        <v>1</v>
      </c>
      <c r="E20" s="7" t="s">
        <v>11</v>
      </c>
      <c r="F20" s="9">
        <v>2349</v>
      </c>
      <c r="G20" s="10">
        <f t="shared" si="0"/>
        <v>213.54545454545453</v>
      </c>
      <c r="H20" s="7" t="s">
        <v>68</v>
      </c>
      <c r="I20" s="3" t="s">
        <v>148</v>
      </c>
      <c r="J20" s="7" t="s">
        <v>81</v>
      </c>
      <c r="K20" s="7" t="s">
        <v>17</v>
      </c>
      <c r="L20" s="8">
        <v>45711</v>
      </c>
      <c r="M20" s="12" t="s">
        <v>79</v>
      </c>
      <c r="N20" s="7"/>
      <c r="O20" s="12" t="s">
        <v>80</v>
      </c>
      <c r="P20" s="7">
        <v>420733329</v>
      </c>
      <c r="Q20" s="7" t="s">
        <v>97</v>
      </c>
      <c r="R20" s="11">
        <v>45714</v>
      </c>
      <c r="S20" s="3"/>
    </row>
    <row r="21" spans="1:20" ht="48.6" customHeight="1" x14ac:dyDescent="0.3">
      <c r="A21" s="7">
        <v>20</v>
      </c>
      <c r="B21" s="8">
        <v>45711</v>
      </c>
      <c r="C21" s="7" t="s">
        <v>264</v>
      </c>
      <c r="D21" s="7">
        <v>1</v>
      </c>
      <c r="E21" s="7" t="s">
        <v>11</v>
      </c>
      <c r="F21" s="9">
        <v>2349</v>
      </c>
      <c r="G21" s="10">
        <f t="shared" si="0"/>
        <v>213.54545454545453</v>
      </c>
      <c r="H21" s="7" t="s">
        <v>52</v>
      </c>
      <c r="I21" s="3" t="s">
        <v>145</v>
      </c>
      <c r="J21" s="7" t="s">
        <v>60</v>
      </c>
      <c r="K21" s="7" t="s">
        <v>17</v>
      </c>
      <c r="L21" s="8">
        <v>45711</v>
      </c>
      <c r="M21" s="7" t="s">
        <v>83</v>
      </c>
      <c r="N21" s="7"/>
      <c r="O21" s="12" t="s">
        <v>85</v>
      </c>
      <c r="P21" s="7"/>
      <c r="Q21" s="7" t="s">
        <v>97</v>
      </c>
      <c r="R21" s="11">
        <v>45714</v>
      </c>
      <c r="S21" s="3"/>
    </row>
    <row r="22" spans="1:20" ht="48.6" customHeight="1" x14ac:dyDescent="0.3">
      <c r="A22" s="7">
        <v>21</v>
      </c>
      <c r="B22" s="8">
        <v>45711</v>
      </c>
      <c r="C22" s="7" t="s">
        <v>264</v>
      </c>
      <c r="D22" s="7">
        <v>1</v>
      </c>
      <c r="E22" s="7" t="s">
        <v>11</v>
      </c>
      <c r="F22" s="9">
        <v>2349</v>
      </c>
      <c r="G22" s="10">
        <f t="shared" si="0"/>
        <v>213.54545454545453</v>
      </c>
      <c r="H22" s="7" t="s">
        <v>59</v>
      </c>
      <c r="I22" s="3" t="s">
        <v>146</v>
      </c>
      <c r="J22" s="7" t="s">
        <v>82</v>
      </c>
      <c r="K22" s="7" t="s">
        <v>17</v>
      </c>
      <c r="L22" s="8">
        <v>45711</v>
      </c>
      <c r="M22" s="7" t="s">
        <v>84</v>
      </c>
      <c r="N22" s="7"/>
      <c r="O22" s="12" t="s">
        <v>85</v>
      </c>
      <c r="P22" s="7"/>
      <c r="Q22" s="7" t="s">
        <v>97</v>
      </c>
      <c r="R22" s="11">
        <v>45714</v>
      </c>
      <c r="S22" s="3"/>
    </row>
    <row r="23" spans="1:20" ht="47.4" customHeight="1" x14ac:dyDescent="0.3">
      <c r="A23" s="7">
        <v>22</v>
      </c>
      <c r="B23" s="8">
        <v>45711</v>
      </c>
      <c r="C23" s="7" t="s">
        <v>264</v>
      </c>
      <c r="D23" s="7">
        <v>1</v>
      </c>
      <c r="E23" s="7" t="s">
        <v>93</v>
      </c>
      <c r="F23" s="9">
        <v>2364</v>
      </c>
      <c r="G23" s="10">
        <f t="shared" si="0"/>
        <v>214.90909090909091</v>
      </c>
      <c r="H23" s="7" t="s">
        <v>47</v>
      </c>
      <c r="I23" s="3" t="s">
        <v>144</v>
      </c>
      <c r="J23" s="7" t="s">
        <v>82</v>
      </c>
      <c r="K23" s="7" t="s">
        <v>13</v>
      </c>
      <c r="L23" s="8">
        <v>45712</v>
      </c>
      <c r="M23" s="12" t="s">
        <v>86</v>
      </c>
      <c r="N23" s="7"/>
      <c r="O23" s="15" t="s">
        <v>78</v>
      </c>
      <c r="P23" s="7" t="s">
        <v>87</v>
      </c>
      <c r="Q23" s="7" t="s">
        <v>97</v>
      </c>
      <c r="R23" s="11">
        <v>45714</v>
      </c>
      <c r="S23" s="3"/>
    </row>
    <row r="24" spans="1:20" ht="46.8" customHeight="1" x14ac:dyDescent="0.3">
      <c r="A24" s="7">
        <v>23</v>
      </c>
      <c r="B24" s="8">
        <v>45711</v>
      </c>
      <c r="C24" s="7" t="s">
        <v>264</v>
      </c>
      <c r="D24" s="7">
        <v>1</v>
      </c>
      <c r="E24" s="7" t="s">
        <v>93</v>
      </c>
      <c r="F24" s="9">
        <v>2364</v>
      </c>
      <c r="G24" s="10">
        <f t="shared" si="0"/>
        <v>214.90909090909091</v>
      </c>
      <c r="H24" s="7" t="s">
        <v>72</v>
      </c>
      <c r="I24" s="3" t="s">
        <v>149</v>
      </c>
      <c r="J24" s="7" t="s">
        <v>9</v>
      </c>
      <c r="K24" s="7" t="s">
        <v>13</v>
      </c>
      <c r="L24" s="8">
        <v>45712</v>
      </c>
      <c r="M24" s="12" t="s">
        <v>88</v>
      </c>
      <c r="N24" s="7"/>
      <c r="O24" s="14" t="s">
        <v>58</v>
      </c>
      <c r="P24" s="7" t="s">
        <v>82</v>
      </c>
      <c r="Q24" s="7" t="s">
        <v>97</v>
      </c>
      <c r="R24" s="11">
        <v>45714</v>
      </c>
      <c r="S24" s="3"/>
    </row>
    <row r="25" spans="1:20" x14ac:dyDescent="0.3">
      <c r="A25" s="17">
        <v>24</v>
      </c>
      <c r="B25" s="33">
        <v>45713</v>
      </c>
      <c r="C25" s="17" t="s">
        <v>264</v>
      </c>
      <c r="D25" s="17">
        <v>1</v>
      </c>
      <c r="E25" s="17" t="s">
        <v>15</v>
      </c>
      <c r="F25" s="34">
        <v>2349</v>
      </c>
      <c r="G25" s="35">
        <f t="shared" si="0"/>
        <v>213.54545454545453</v>
      </c>
      <c r="H25" s="17" t="s">
        <v>16</v>
      </c>
      <c r="I25" s="17"/>
      <c r="J25" s="17" t="s">
        <v>9</v>
      </c>
      <c r="K25" s="17" t="s">
        <v>17</v>
      </c>
      <c r="L25" s="33">
        <v>45712</v>
      </c>
      <c r="M25" s="17"/>
      <c r="N25" s="17"/>
      <c r="O25" s="17"/>
      <c r="P25" s="17"/>
      <c r="Q25" s="17" t="s">
        <v>97</v>
      </c>
      <c r="R25" s="37">
        <v>45730</v>
      </c>
      <c r="S25" s="17"/>
      <c r="T25" s="19"/>
    </row>
    <row r="26" spans="1:20" x14ac:dyDescent="0.3">
      <c r="A26" s="17">
        <v>25</v>
      </c>
      <c r="B26" s="33">
        <v>45713</v>
      </c>
      <c r="C26" s="17" t="s">
        <v>264</v>
      </c>
      <c r="D26" s="17">
        <v>1</v>
      </c>
      <c r="E26" s="17" t="s">
        <v>91</v>
      </c>
      <c r="F26" s="34">
        <v>2349</v>
      </c>
      <c r="G26" s="35">
        <f t="shared" si="0"/>
        <v>213.54545454545453</v>
      </c>
      <c r="H26" s="17" t="s">
        <v>16</v>
      </c>
      <c r="I26" s="17"/>
      <c r="J26" s="17" t="s">
        <v>9</v>
      </c>
      <c r="K26" s="17" t="s">
        <v>17</v>
      </c>
      <c r="L26" s="33">
        <v>45712</v>
      </c>
      <c r="M26" s="17"/>
      <c r="N26" s="17"/>
      <c r="O26" s="17"/>
      <c r="P26" s="17"/>
      <c r="Q26" s="17" t="s">
        <v>97</v>
      </c>
      <c r="R26" s="37">
        <v>45730</v>
      </c>
      <c r="S26" s="17"/>
      <c r="T26" s="19"/>
    </row>
    <row r="27" spans="1:20" x14ac:dyDescent="0.3">
      <c r="A27" s="17">
        <v>26</v>
      </c>
      <c r="B27" s="33">
        <v>45713</v>
      </c>
      <c r="C27" s="17" t="s">
        <v>264</v>
      </c>
      <c r="D27" s="17">
        <v>1</v>
      </c>
      <c r="E27" s="17" t="s">
        <v>92</v>
      </c>
      <c r="F27" s="34">
        <v>2349</v>
      </c>
      <c r="G27" s="35">
        <f t="shared" si="0"/>
        <v>213.54545454545453</v>
      </c>
      <c r="H27" s="17" t="s">
        <v>16</v>
      </c>
      <c r="I27" s="17"/>
      <c r="J27" s="17" t="s">
        <v>9</v>
      </c>
      <c r="K27" s="17" t="s">
        <v>17</v>
      </c>
      <c r="L27" s="33">
        <v>45712</v>
      </c>
      <c r="M27" s="17"/>
      <c r="N27" s="17"/>
      <c r="O27" s="17"/>
      <c r="P27" s="17"/>
      <c r="Q27" s="17" t="s">
        <v>97</v>
      </c>
      <c r="R27" s="37">
        <v>45730</v>
      </c>
      <c r="S27" s="17"/>
      <c r="T27" s="19"/>
    </row>
    <row r="28" spans="1:20" x14ac:dyDescent="0.3">
      <c r="A28" s="17">
        <v>27</v>
      </c>
      <c r="B28" s="33">
        <v>45713</v>
      </c>
      <c r="C28" s="17" t="s">
        <v>10</v>
      </c>
      <c r="D28" s="17">
        <v>1</v>
      </c>
      <c r="E28" s="17" t="s">
        <v>93</v>
      </c>
      <c r="F28" s="34">
        <v>1919</v>
      </c>
      <c r="G28" s="35">
        <f t="shared" si="0"/>
        <v>174.45454545454547</v>
      </c>
      <c r="H28" s="17" t="s">
        <v>16</v>
      </c>
      <c r="I28" s="17"/>
      <c r="J28" s="17" t="s">
        <v>82</v>
      </c>
      <c r="K28" s="17" t="s">
        <v>13</v>
      </c>
      <c r="L28" s="33">
        <v>45715</v>
      </c>
      <c r="M28" s="17" t="s">
        <v>94</v>
      </c>
      <c r="N28" s="17"/>
      <c r="O28" s="36" t="s">
        <v>95</v>
      </c>
      <c r="P28" s="17">
        <v>430984584</v>
      </c>
      <c r="Q28" s="17" t="s">
        <v>97</v>
      </c>
      <c r="R28" s="37">
        <v>45730</v>
      </c>
      <c r="S28" s="17"/>
      <c r="T28" s="19"/>
    </row>
    <row r="29" spans="1:20" x14ac:dyDescent="0.3">
      <c r="A29" s="17">
        <v>28</v>
      </c>
      <c r="B29" s="33">
        <v>45714</v>
      </c>
      <c r="C29" s="17" t="s">
        <v>264</v>
      </c>
      <c r="D29" s="17">
        <v>1</v>
      </c>
      <c r="E29" s="17" t="s">
        <v>51</v>
      </c>
      <c r="F29" s="34">
        <v>2349</v>
      </c>
      <c r="G29" s="35">
        <f t="shared" si="0"/>
        <v>213.54545454545453</v>
      </c>
      <c r="H29" s="17" t="s">
        <v>65</v>
      </c>
      <c r="I29" s="17" t="s">
        <v>103</v>
      </c>
      <c r="J29" s="17" t="s">
        <v>106</v>
      </c>
      <c r="K29" s="17" t="s">
        <v>17</v>
      </c>
      <c r="L29" s="33">
        <v>45714</v>
      </c>
      <c r="M29" s="36" t="s">
        <v>102</v>
      </c>
      <c r="N29" s="17"/>
      <c r="O29" s="38" t="s">
        <v>99</v>
      </c>
      <c r="P29" s="17" t="s">
        <v>87</v>
      </c>
      <c r="Q29" s="17" t="s">
        <v>97</v>
      </c>
      <c r="R29" s="37">
        <v>45730</v>
      </c>
      <c r="S29" s="17" t="s">
        <v>108</v>
      </c>
      <c r="T29" s="19"/>
    </row>
    <row r="30" spans="1:20" x14ac:dyDescent="0.3">
      <c r="A30" s="17">
        <v>29</v>
      </c>
      <c r="B30" s="33">
        <v>45714</v>
      </c>
      <c r="C30" s="17" t="s">
        <v>264</v>
      </c>
      <c r="D30" s="17">
        <v>1</v>
      </c>
      <c r="E30" s="17" t="s">
        <v>66</v>
      </c>
      <c r="F30" s="34">
        <v>2349</v>
      </c>
      <c r="G30" s="35">
        <f t="shared" si="0"/>
        <v>213.54545454545453</v>
      </c>
      <c r="H30" s="17" t="s">
        <v>52</v>
      </c>
      <c r="I30" s="17" t="s">
        <v>105</v>
      </c>
      <c r="J30" s="17" t="s">
        <v>82</v>
      </c>
      <c r="K30" s="17" t="s">
        <v>17</v>
      </c>
      <c r="L30" s="33">
        <v>45714</v>
      </c>
      <c r="M30" s="36" t="s">
        <v>104</v>
      </c>
      <c r="N30" s="17"/>
      <c r="O30" s="36" t="s">
        <v>101</v>
      </c>
      <c r="P30" s="17" t="s">
        <v>82</v>
      </c>
      <c r="Q30" s="17" t="s">
        <v>97</v>
      </c>
      <c r="R30" s="37">
        <v>45730</v>
      </c>
      <c r="S30" s="17" t="s">
        <v>107</v>
      </c>
      <c r="T30" s="19"/>
    </row>
    <row r="31" spans="1:20" x14ac:dyDescent="0.3">
      <c r="A31" s="17">
        <v>30</v>
      </c>
      <c r="B31" s="33">
        <v>45714</v>
      </c>
      <c r="C31" s="17" t="s">
        <v>264</v>
      </c>
      <c r="D31" s="17">
        <v>1</v>
      </c>
      <c r="E31" s="17" t="s">
        <v>51</v>
      </c>
      <c r="F31" s="34">
        <v>2349</v>
      </c>
      <c r="G31" s="35">
        <f t="shared" si="0"/>
        <v>213.54545454545453</v>
      </c>
      <c r="H31" s="17" t="s">
        <v>47</v>
      </c>
      <c r="I31" s="17" t="s">
        <v>110</v>
      </c>
      <c r="J31" s="17" t="s">
        <v>81</v>
      </c>
      <c r="K31" s="17" t="s">
        <v>17</v>
      </c>
      <c r="L31" s="33">
        <v>45714</v>
      </c>
      <c r="M31" s="36" t="s">
        <v>109</v>
      </c>
      <c r="N31" s="17"/>
      <c r="O31" s="38" t="s">
        <v>89</v>
      </c>
      <c r="P31" s="17">
        <v>421022219</v>
      </c>
      <c r="Q31" s="17" t="s">
        <v>97</v>
      </c>
      <c r="R31" s="37">
        <v>45730</v>
      </c>
      <c r="S31" s="17" t="s">
        <v>111</v>
      </c>
      <c r="T31" s="19"/>
    </row>
    <row r="32" spans="1:20" x14ac:dyDescent="0.3">
      <c r="A32" s="17">
        <v>31</v>
      </c>
      <c r="B32" s="33">
        <v>45714</v>
      </c>
      <c r="C32" s="17" t="s">
        <v>264</v>
      </c>
      <c r="D32" s="17">
        <v>1</v>
      </c>
      <c r="E32" s="17" t="s">
        <v>66</v>
      </c>
      <c r="F32" s="34">
        <v>2349</v>
      </c>
      <c r="G32" s="35">
        <f t="shared" si="0"/>
        <v>213.54545454545453</v>
      </c>
      <c r="H32" s="17" t="s">
        <v>59</v>
      </c>
      <c r="I32" s="17" t="s">
        <v>114</v>
      </c>
      <c r="J32" s="17" t="s">
        <v>64</v>
      </c>
      <c r="K32" s="17" t="s">
        <v>17</v>
      </c>
      <c r="L32" s="33">
        <v>45714</v>
      </c>
      <c r="M32" s="36" t="s">
        <v>112</v>
      </c>
      <c r="N32" s="17"/>
      <c r="O32" s="36" t="s">
        <v>100</v>
      </c>
      <c r="P32" s="17">
        <v>421022212</v>
      </c>
      <c r="Q32" s="17" t="s">
        <v>97</v>
      </c>
      <c r="R32" s="37">
        <v>45730</v>
      </c>
      <c r="S32" s="17" t="s">
        <v>113</v>
      </c>
      <c r="T32" s="19"/>
    </row>
    <row r="33" spans="1:20" x14ac:dyDescent="0.3">
      <c r="A33" s="17">
        <v>32</v>
      </c>
      <c r="B33" s="33">
        <v>45714</v>
      </c>
      <c r="C33" s="17" t="s">
        <v>264</v>
      </c>
      <c r="D33" s="17">
        <v>1</v>
      </c>
      <c r="E33" s="17" t="s">
        <v>115</v>
      </c>
      <c r="F33" s="34">
        <v>2349</v>
      </c>
      <c r="G33" s="35">
        <f t="shared" si="0"/>
        <v>213.54545454545453</v>
      </c>
      <c r="H33" s="17" t="s">
        <v>16</v>
      </c>
      <c r="I33" s="17"/>
      <c r="J33" s="17"/>
      <c r="K33" s="39" t="s">
        <v>13</v>
      </c>
      <c r="L33" s="33">
        <v>45721</v>
      </c>
      <c r="M33" s="17"/>
      <c r="N33" s="17"/>
      <c r="O33" s="17"/>
      <c r="P33" s="17"/>
      <c r="Q33" s="17" t="s">
        <v>97</v>
      </c>
      <c r="R33" s="37">
        <v>45730</v>
      </c>
      <c r="S33" s="17"/>
      <c r="T33" s="19"/>
    </row>
    <row r="34" spans="1:20" x14ac:dyDescent="0.3">
      <c r="A34" s="17">
        <v>33</v>
      </c>
      <c r="B34" s="33">
        <v>45714</v>
      </c>
      <c r="C34" s="17" t="s">
        <v>264</v>
      </c>
      <c r="D34" s="17">
        <v>1</v>
      </c>
      <c r="E34" s="17" t="s">
        <v>118</v>
      </c>
      <c r="F34" s="34">
        <v>2349</v>
      </c>
      <c r="G34" s="35">
        <f t="shared" si="0"/>
        <v>213.54545454545453</v>
      </c>
      <c r="H34" s="17" t="s">
        <v>16</v>
      </c>
      <c r="I34" s="17"/>
      <c r="J34" s="17"/>
      <c r="K34" s="17" t="s">
        <v>17</v>
      </c>
      <c r="L34" s="33">
        <v>45714</v>
      </c>
      <c r="M34" s="17"/>
      <c r="N34" s="17"/>
      <c r="O34" s="17"/>
      <c r="P34" s="17"/>
      <c r="Q34" s="17" t="s">
        <v>97</v>
      </c>
      <c r="R34" s="37">
        <v>45730</v>
      </c>
      <c r="S34" s="17"/>
      <c r="T34" s="19"/>
    </row>
    <row r="35" spans="1:20" x14ac:dyDescent="0.3">
      <c r="A35" s="17">
        <v>34</v>
      </c>
      <c r="B35" s="33">
        <v>45714</v>
      </c>
      <c r="C35" s="17" t="s">
        <v>264</v>
      </c>
      <c r="D35" s="17">
        <v>1</v>
      </c>
      <c r="E35" s="17" t="s">
        <v>117</v>
      </c>
      <c r="F35" s="34">
        <v>2349</v>
      </c>
      <c r="G35" s="35">
        <f t="shared" si="0"/>
        <v>213.54545454545453</v>
      </c>
      <c r="H35" s="17" t="s">
        <v>16</v>
      </c>
      <c r="I35" s="17"/>
      <c r="J35" s="17"/>
      <c r="K35" s="17" t="s">
        <v>17</v>
      </c>
      <c r="L35" s="33">
        <v>45714</v>
      </c>
      <c r="M35" s="17"/>
      <c r="N35" s="17"/>
      <c r="O35" s="17"/>
      <c r="P35" s="17"/>
      <c r="Q35" s="17" t="s">
        <v>97</v>
      </c>
      <c r="R35" s="37">
        <v>45730</v>
      </c>
      <c r="S35" s="17"/>
      <c r="T35" s="19"/>
    </row>
    <row r="36" spans="1:20" x14ac:dyDescent="0.3">
      <c r="A36" s="17">
        <v>35</v>
      </c>
      <c r="B36" s="33">
        <v>45715</v>
      </c>
      <c r="C36" s="17" t="s">
        <v>264</v>
      </c>
      <c r="D36" s="17">
        <v>1</v>
      </c>
      <c r="E36" s="17" t="s">
        <v>116</v>
      </c>
      <c r="F36" s="34">
        <v>2349</v>
      </c>
      <c r="G36" s="35">
        <f t="shared" si="0"/>
        <v>213.54545454545453</v>
      </c>
      <c r="H36" s="17" t="s">
        <v>47</v>
      </c>
      <c r="I36" s="17" t="s">
        <v>110</v>
      </c>
      <c r="J36" s="17" t="s">
        <v>123</v>
      </c>
      <c r="K36" s="17" t="s">
        <v>17</v>
      </c>
      <c r="L36" s="33">
        <v>45715</v>
      </c>
      <c r="M36" s="36" t="s">
        <v>119</v>
      </c>
      <c r="N36" s="17"/>
      <c r="O36" s="38" t="s">
        <v>89</v>
      </c>
      <c r="P36" s="17">
        <v>421022216</v>
      </c>
      <c r="Q36" s="17" t="s">
        <v>97</v>
      </c>
      <c r="R36" s="37">
        <v>45730</v>
      </c>
      <c r="S36" s="17" t="s">
        <v>120</v>
      </c>
      <c r="T36" s="19"/>
    </row>
    <row r="37" spans="1:20" x14ac:dyDescent="0.3">
      <c r="A37" s="17">
        <v>36</v>
      </c>
      <c r="B37" s="33">
        <v>45715</v>
      </c>
      <c r="C37" s="17" t="s">
        <v>264</v>
      </c>
      <c r="D37" s="17">
        <v>1</v>
      </c>
      <c r="E37" s="17" t="s">
        <v>117</v>
      </c>
      <c r="F37" s="34">
        <v>2349</v>
      </c>
      <c r="G37" s="35">
        <f t="shared" si="0"/>
        <v>213.54545454545453</v>
      </c>
      <c r="H37" s="17" t="s">
        <v>59</v>
      </c>
      <c r="I37" s="17" t="s">
        <v>114</v>
      </c>
      <c r="J37" s="17" t="s">
        <v>59</v>
      </c>
      <c r="K37" s="17" t="s">
        <v>17</v>
      </c>
      <c r="L37" s="33">
        <v>45715</v>
      </c>
      <c r="M37" s="36" t="s">
        <v>122</v>
      </c>
      <c r="N37" s="17"/>
      <c r="O37" s="36" t="s">
        <v>100</v>
      </c>
      <c r="P37" s="17">
        <v>421022212</v>
      </c>
      <c r="Q37" s="17" t="s">
        <v>97</v>
      </c>
      <c r="R37" s="37">
        <v>45730</v>
      </c>
      <c r="S37" s="17" t="s">
        <v>124</v>
      </c>
      <c r="T37" s="19"/>
    </row>
    <row r="38" spans="1:20" x14ac:dyDescent="0.3">
      <c r="A38" s="17">
        <v>37</v>
      </c>
      <c r="B38" s="33">
        <v>45715</v>
      </c>
      <c r="C38" s="17" t="s">
        <v>264</v>
      </c>
      <c r="D38" s="17">
        <v>1</v>
      </c>
      <c r="E38" s="17" t="s">
        <v>133</v>
      </c>
      <c r="F38" s="34">
        <v>2349</v>
      </c>
      <c r="G38" s="35">
        <f t="shared" si="0"/>
        <v>213.54545454545453</v>
      </c>
      <c r="H38" s="17" t="s">
        <v>65</v>
      </c>
      <c r="I38" s="17" t="s">
        <v>103</v>
      </c>
      <c r="J38" s="17" t="s">
        <v>126</v>
      </c>
      <c r="K38" s="17" t="s">
        <v>17</v>
      </c>
      <c r="L38" s="33">
        <v>45715</v>
      </c>
      <c r="M38" s="36" t="s">
        <v>125</v>
      </c>
      <c r="N38" s="17"/>
      <c r="O38" s="36" t="s">
        <v>101</v>
      </c>
      <c r="P38" s="17">
        <v>420733329</v>
      </c>
      <c r="Q38" s="17" t="s">
        <v>97</v>
      </c>
      <c r="R38" s="37">
        <v>45730</v>
      </c>
      <c r="S38" s="17"/>
      <c r="T38" s="19"/>
    </row>
    <row r="39" spans="1:20" x14ac:dyDescent="0.3">
      <c r="A39" s="17">
        <v>38</v>
      </c>
      <c r="B39" s="33">
        <v>45715</v>
      </c>
      <c r="C39" s="17" t="s">
        <v>264</v>
      </c>
      <c r="D39" s="17">
        <v>1</v>
      </c>
      <c r="E39" s="17" t="s">
        <v>117</v>
      </c>
      <c r="F39" s="34">
        <v>2349</v>
      </c>
      <c r="G39" s="35">
        <f t="shared" si="0"/>
        <v>213.54545454545453</v>
      </c>
      <c r="H39" s="17" t="s">
        <v>16</v>
      </c>
      <c r="I39" s="17"/>
      <c r="J39" s="17" t="s">
        <v>128</v>
      </c>
      <c r="K39" s="17" t="s">
        <v>17</v>
      </c>
      <c r="L39" s="33">
        <v>45715</v>
      </c>
      <c r="M39" s="17" t="s">
        <v>127</v>
      </c>
      <c r="N39" s="17"/>
      <c r="O39" s="38" t="s">
        <v>99</v>
      </c>
      <c r="P39" s="17">
        <v>421022214</v>
      </c>
      <c r="Q39" s="17" t="s">
        <v>97</v>
      </c>
      <c r="R39" s="37">
        <v>45730</v>
      </c>
      <c r="S39" s="17"/>
      <c r="T39" s="19"/>
    </row>
    <row r="40" spans="1:20" x14ac:dyDescent="0.3">
      <c r="A40" s="17">
        <v>39</v>
      </c>
      <c r="B40" s="33">
        <v>45715</v>
      </c>
      <c r="C40" s="17" t="s">
        <v>264</v>
      </c>
      <c r="D40" s="17">
        <v>1</v>
      </c>
      <c r="E40" s="17" t="s">
        <v>118</v>
      </c>
      <c r="F40" s="34">
        <v>2349</v>
      </c>
      <c r="G40" s="35">
        <f t="shared" si="0"/>
        <v>213.54545454545453</v>
      </c>
      <c r="H40" s="17" t="s">
        <v>16</v>
      </c>
      <c r="I40" s="17"/>
      <c r="J40" s="17" t="s">
        <v>128</v>
      </c>
      <c r="K40" s="17" t="s">
        <v>17</v>
      </c>
      <c r="L40" s="33">
        <v>45715</v>
      </c>
      <c r="M40" s="17"/>
      <c r="N40" s="17"/>
      <c r="O40" s="17"/>
      <c r="P40" s="17"/>
      <c r="Q40" s="17" t="s">
        <v>97</v>
      </c>
      <c r="R40" s="37">
        <v>45730</v>
      </c>
      <c r="S40" s="17"/>
      <c r="T40" s="19"/>
    </row>
    <row r="41" spans="1:20" x14ac:dyDescent="0.3">
      <c r="A41" s="17">
        <v>40</v>
      </c>
      <c r="B41" s="33">
        <v>45715</v>
      </c>
      <c r="C41" s="17" t="s">
        <v>264</v>
      </c>
      <c r="D41" s="17">
        <v>1</v>
      </c>
      <c r="E41" s="17" t="s">
        <v>133</v>
      </c>
      <c r="F41" s="34">
        <v>2349</v>
      </c>
      <c r="G41" s="35">
        <f t="shared" si="0"/>
        <v>213.54545454545453</v>
      </c>
      <c r="H41" s="17" t="s">
        <v>16</v>
      </c>
      <c r="I41" s="17"/>
      <c r="J41" s="17" t="s">
        <v>128</v>
      </c>
      <c r="K41" s="17" t="s">
        <v>17</v>
      </c>
      <c r="L41" s="33">
        <v>45715</v>
      </c>
      <c r="M41" s="17"/>
      <c r="N41" s="17"/>
      <c r="O41" s="17"/>
      <c r="P41" s="17"/>
      <c r="Q41" s="17" t="s">
        <v>97</v>
      </c>
      <c r="R41" s="37">
        <v>45730</v>
      </c>
      <c r="S41" s="17"/>
      <c r="T41" s="19"/>
    </row>
    <row r="42" spans="1:20" x14ac:dyDescent="0.3">
      <c r="A42" s="17">
        <v>41</v>
      </c>
      <c r="B42" s="33">
        <v>45715</v>
      </c>
      <c r="C42" s="17" t="s">
        <v>264</v>
      </c>
      <c r="D42" s="17">
        <v>1</v>
      </c>
      <c r="E42" s="17" t="s">
        <v>116</v>
      </c>
      <c r="F42" s="34">
        <v>2349</v>
      </c>
      <c r="G42" s="35">
        <f t="shared" si="0"/>
        <v>213.54545454545453</v>
      </c>
      <c r="H42" s="17" t="s">
        <v>16</v>
      </c>
      <c r="I42" s="17"/>
      <c r="J42" s="17" t="s">
        <v>128</v>
      </c>
      <c r="K42" s="17" t="s">
        <v>17</v>
      </c>
      <c r="L42" s="33">
        <v>45715</v>
      </c>
      <c r="M42" s="17"/>
      <c r="N42" s="17"/>
      <c r="O42" s="17"/>
      <c r="P42" s="17"/>
      <c r="Q42" s="17" t="s">
        <v>97</v>
      </c>
      <c r="R42" s="37">
        <v>45730</v>
      </c>
      <c r="S42" s="17"/>
      <c r="T42" s="19"/>
    </row>
    <row r="43" spans="1:20" x14ac:dyDescent="0.3">
      <c r="A43" s="17">
        <v>42</v>
      </c>
      <c r="B43" s="33">
        <v>45715</v>
      </c>
      <c r="C43" s="17" t="s">
        <v>264</v>
      </c>
      <c r="D43" s="17">
        <v>1</v>
      </c>
      <c r="E43" s="17" t="s">
        <v>115</v>
      </c>
      <c r="F43" s="34">
        <v>2349</v>
      </c>
      <c r="G43" s="35">
        <f t="shared" si="0"/>
        <v>213.54545454545453</v>
      </c>
      <c r="H43" s="17" t="s">
        <v>16</v>
      </c>
      <c r="I43" s="17"/>
      <c r="J43" s="17" t="s">
        <v>128</v>
      </c>
      <c r="K43" s="17" t="s">
        <v>17</v>
      </c>
      <c r="L43" s="33">
        <v>45715</v>
      </c>
      <c r="M43" s="17"/>
      <c r="N43" s="17"/>
      <c r="O43" s="17"/>
      <c r="P43" s="17"/>
      <c r="Q43" s="17" t="s">
        <v>97</v>
      </c>
      <c r="R43" s="37">
        <v>45730</v>
      </c>
      <c r="S43" s="17"/>
      <c r="T43" s="19"/>
    </row>
    <row r="44" spans="1:20" x14ac:dyDescent="0.3">
      <c r="A44" s="17">
        <v>43</v>
      </c>
      <c r="B44" s="33">
        <v>45715</v>
      </c>
      <c r="C44" s="17" t="s">
        <v>264</v>
      </c>
      <c r="D44" s="17">
        <v>1</v>
      </c>
      <c r="E44" s="17" t="s">
        <v>118</v>
      </c>
      <c r="F44" s="34">
        <v>2349</v>
      </c>
      <c r="G44" s="35">
        <f t="shared" si="0"/>
        <v>213.54545454545453</v>
      </c>
      <c r="H44" s="17" t="s">
        <v>16</v>
      </c>
      <c r="I44" s="17"/>
      <c r="J44" s="17" t="s">
        <v>128</v>
      </c>
      <c r="K44" s="17" t="s">
        <v>17</v>
      </c>
      <c r="L44" s="33">
        <v>45715</v>
      </c>
      <c r="M44" s="17"/>
      <c r="N44" s="17"/>
      <c r="O44" s="17"/>
      <c r="P44" s="17"/>
      <c r="Q44" s="17" t="s">
        <v>97</v>
      </c>
      <c r="R44" s="37">
        <v>45730</v>
      </c>
      <c r="S44" s="17"/>
      <c r="T44" s="19"/>
    </row>
    <row r="45" spans="1:20" x14ac:dyDescent="0.3">
      <c r="A45" s="17">
        <v>44</v>
      </c>
      <c r="B45" s="33">
        <v>45716</v>
      </c>
      <c r="C45" s="17" t="s">
        <v>264</v>
      </c>
      <c r="D45" s="17">
        <v>1</v>
      </c>
      <c r="E45" s="17" t="s">
        <v>131</v>
      </c>
      <c r="F45" s="34">
        <v>2349</v>
      </c>
      <c r="G45" s="35">
        <f t="shared" si="0"/>
        <v>213.54545454545453</v>
      </c>
      <c r="H45" s="17" t="s">
        <v>16</v>
      </c>
      <c r="I45" s="17"/>
      <c r="J45" s="17" t="s">
        <v>9</v>
      </c>
      <c r="K45" s="17" t="s">
        <v>17</v>
      </c>
      <c r="L45" s="33">
        <v>45717</v>
      </c>
      <c r="M45" s="36" t="s">
        <v>130</v>
      </c>
      <c r="N45" s="17"/>
      <c r="O45" s="36" t="s">
        <v>132</v>
      </c>
      <c r="P45" s="17"/>
      <c r="Q45" s="17" t="s">
        <v>97</v>
      </c>
      <c r="R45" s="37">
        <v>45730</v>
      </c>
      <c r="S45" s="17"/>
      <c r="T45" s="19"/>
    </row>
    <row r="46" spans="1:20" x14ac:dyDescent="0.3">
      <c r="A46" s="17">
        <v>45</v>
      </c>
      <c r="B46" s="33">
        <v>45717</v>
      </c>
      <c r="C46" s="17" t="s">
        <v>264</v>
      </c>
      <c r="D46" s="17">
        <v>1</v>
      </c>
      <c r="E46" s="17" t="s">
        <v>131</v>
      </c>
      <c r="F46" s="34">
        <v>2349</v>
      </c>
      <c r="G46" s="35">
        <f t="shared" si="0"/>
        <v>213.54545454545453</v>
      </c>
      <c r="H46" s="17" t="s">
        <v>16</v>
      </c>
      <c r="I46" s="17"/>
      <c r="J46" s="17" t="s">
        <v>9</v>
      </c>
      <c r="K46" s="17" t="s">
        <v>17</v>
      </c>
      <c r="L46" s="33">
        <v>45718</v>
      </c>
      <c r="M46" s="17"/>
      <c r="N46" s="17"/>
      <c r="O46" s="17"/>
      <c r="P46" s="17"/>
      <c r="Q46" s="17" t="s">
        <v>97</v>
      </c>
      <c r="R46" s="37">
        <v>45730</v>
      </c>
      <c r="S46" s="17"/>
      <c r="T46" s="19"/>
    </row>
    <row r="47" spans="1:20" x14ac:dyDescent="0.3">
      <c r="A47" s="17">
        <v>46</v>
      </c>
      <c r="B47" s="33">
        <v>45717</v>
      </c>
      <c r="C47" s="17" t="s">
        <v>264</v>
      </c>
      <c r="D47" s="17">
        <v>1</v>
      </c>
      <c r="E47" s="17" t="s">
        <v>131</v>
      </c>
      <c r="F47" s="34">
        <v>2349</v>
      </c>
      <c r="G47" s="35">
        <f t="shared" si="0"/>
        <v>213.54545454545453</v>
      </c>
      <c r="H47" s="17" t="s">
        <v>16</v>
      </c>
      <c r="I47" s="17"/>
      <c r="J47" s="17" t="s">
        <v>9</v>
      </c>
      <c r="K47" s="17" t="s">
        <v>17</v>
      </c>
      <c r="L47" s="33">
        <v>45719</v>
      </c>
      <c r="M47" s="17"/>
      <c r="N47" s="17"/>
      <c r="O47" s="17"/>
      <c r="P47" s="17"/>
      <c r="Q47" s="17" t="s">
        <v>97</v>
      </c>
      <c r="R47" s="37">
        <v>45730</v>
      </c>
      <c r="S47" s="17"/>
      <c r="T47" s="19"/>
    </row>
    <row r="48" spans="1:20" x14ac:dyDescent="0.3">
      <c r="A48" s="17">
        <v>47</v>
      </c>
      <c r="B48" s="33">
        <v>45717</v>
      </c>
      <c r="C48" s="17" t="s">
        <v>264</v>
      </c>
      <c r="D48" s="17">
        <v>1</v>
      </c>
      <c r="E48" s="17" t="s">
        <v>118</v>
      </c>
      <c r="F48" s="34">
        <v>2349</v>
      </c>
      <c r="G48" s="35">
        <f t="shared" si="0"/>
        <v>213.54545454545453</v>
      </c>
      <c r="H48" s="17" t="s">
        <v>143</v>
      </c>
      <c r="I48" s="17"/>
      <c r="J48" s="17" t="s">
        <v>153</v>
      </c>
      <c r="K48" s="17" t="s">
        <v>17</v>
      </c>
      <c r="L48" s="17"/>
      <c r="M48" s="17" t="s">
        <v>151</v>
      </c>
      <c r="N48" s="17"/>
      <c r="O48" s="36" t="s">
        <v>152</v>
      </c>
      <c r="P48" s="17"/>
      <c r="Q48" s="17" t="s">
        <v>97</v>
      </c>
      <c r="R48" s="37">
        <v>45730</v>
      </c>
      <c r="S48" s="17"/>
    </row>
    <row r="49" spans="1:19" x14ac:dyDescent="0.3">
      <c r="A49" s="49">
        <v>48</v>
      </c>
      <c r="B49" s="50">
        <v>45718</v>
      </c>
      <c r="C49" s="49" t="s">
        <v>273</v>
      </c>
      <c r="D49" s="49">
        <v>1</v>
      </c>
      <c r="E49" s="49" t="s">
        <v>118</v>
      </c>
      <c r="F49" s="51">
        <v>2349</v>
      </c>
      <c r="G49" s="52">
        <f t="shared" si="0"/>
        <v>213.54545454545453</v>
      </c>
      <c r="H49" s="49" t="s">
        <v>143</v>
      </c>
      <c r="I49" s="49"/>
      <c r="J49" s="49" t="s">
        <v>156</v>
      </c>
      <c r="K49" s="49" t="s">
        <v>17</v>
      </c>
      <c r="L49" s="50">
        <v>45720</v>
      </c>
      <c r="M49" s="53" t="s">
        <v>155</v>
      </c>
      <c r="N49" s="49"/>
      <c r="O49" s="53" t="s">
        <v>154</v>
      </c>
      <c r="P49" s="49">
        <v>421022212</v>
      </c>
      <c r="Q49" s="49" t="s">
        <v>97</v>
      </c>
      <c r="R49" s="24">
        <v>45730</v>
      </c>
      <c r="S49" s="3"/>
    </row>
    <row r="50" spans="1:19" x14ac:dyDescent="0.3">
      <c r="A50" s="49">
        <v>49</v>
      </c>
      <c r="B50" s="50">
        <v>45718</v>
      </c>
      <c r="C50" s="49" t="s">
        <v>273</v>
      </c>
      <c r="D50" s="49">
        <v>1</v>
      </c>
      <c r="E50" s="49" t="s">
        <v>172</v>
      </c>
      <c r="F50" s="51">
        <v>2364</v>
      </c>
      <c r="G50" s="52">
        <f t="shared" si="0"/>
        <v>214.90909090909091</v>
      </c>
      <c r="H50" s="49" t="s">
        <v>143</v>
      </c>
      <c r="I50" s="49"/>
      <c r="J50" s="49" t="s">
        <v>157</v>
      </c>
      <c r="K50" s="49" t="s">
        <v>13</v>
      </c>
      <c r="L50" s="50">
        <v>45719</v>
      </c>
      <c r="M50" s="49" t="s">
        <v>163</v>
      </c>
      <c r="N50" s="54" t="s">
        <v>48</v>
      </c>
      <c r="O50" s="53" t="s">
        <v>164</v>
      </c>
      <c r="P50" s="49"/>
      <c r="Q50" s="49" t="s">
        <v>97</v>
      </c>
      <c r="R50" s="24">
        <v>45730</v>
      </c>
      <c r="S50" s="3"/>
    </row>
    <row r="51" spans="1:19" s="23" customFormat="1" x14ac:dyDescent="0.3">
      <c r="A51" s="55">
        <v>50</v>
      </c>
      <c r="B51" s="56">
        <v>45719</v>
      </c>
      <c r="C51" s="49" t="s">
        <v>273</v>
      </c>
      <c r="D51" s="55"/>
      <c r="E51" s="55" t="s">
        <v>172</v>
      </c>
      <c r="F51" s="57"/>
      <c r="G51" s="58">
        <f t="shared" si="0"/>
        <v>0</v>
      </c>
      <c r="H51" s="55" t="s">
        <v>143</v>
      </c>
      <c r="I51" s="55"/>
      <c r="J51" s="55" t="s">
        <v>128</v>
      </c>
      <c r="K51" s="55" t="s">
        <v>165</v>
      </c>
      <c r="L51" s="55"/>
      <c r="M51" s="55" t="s">
        <v>161</v>
      </c>
      <c r="N51" s="55"/>
      <c r="O51" s="59" t="s">
        <v>162</v>
      </c>
      <c r="P51" s="55">
        <v>421022222</v>
      </c>
      <c r="Q51" s="55"/>
      <c r="R51" s="40"/>
      <c r="S51" s="22"/>
    </row>
    <row r="52" spans="1:19" x14ac:dyDescent="0.3">
      <c r="A52" s="49">
        <v>51</v>
      </c>
      <c r="B52" s="50">
        <v>45719</v>
      </c>
      <c r="C52" s="49" t="s">
        <v>273</v>
      </c>
      <c r="D52" s="49">
        <v>1</v>
      </c>
      <c r="E52" s="49" t="s">
        <v>116</v>
      </c>
      <c r="F52" s="51">
        <v>2349</v>
      </c>
      <c r="G52" s="52">
        <f t="shared" si="0"/>
        <v>213.54545454545453</v>
      </c>
      <c r="H52" s="49" t="s">
        <v>143</v>
      </c>
      <c r="I52" s="49"/>
      <c r="J52" s="49" t="s">
        <v>168</v>
      </c>
      <c r="K52" s="49" t="s">
        <v>17</v>
      </c>
      <c r="L52" s="50">
        <v>45720</v>
      </c>
      <c r="M52" s="53" t="s">
        <v>167</v>
      </c>
      <c r="N52" s="49"/>
      <c r="O52" s="60" t="s">
        <v>166</v>
      </c>
      <c r="P52" s="49">
        <v>423704482</v>
      </c>
      <c r="Q52" s="49" t="s">
        <v>97</v>
      </c>
      <c r="R52" s="24">
        <v>45730</v>
      </c>
      <c r="S52" s="3"/>
    </row>
    <row r="53" spans="1:19" x14ac:dyDescent="0.3">
      <c r="A53" s="49">
        <v>52</v>
      </c>
      <c r="B53" s="50">
        <v>45719</v>
      </c>
      <c r="C53" s="49" t="s">
        <v>273</v>
      </c>
      <c r="D53" s="49">
        <v>1</v>
      </c>
      <c r="E53" s="49" t="s">
        <v>172</v>
      </c>
      <c r="F53" s="51">
        <v>2364</v>
      </c>
      <c r="G53" s="52">
        <f t="shared" si="0"/>
        <v>214.90909090909091</v>
      </c>
      <c r="H53" s="49" t="s">
        <v>143</v>
      </c>
      <c r="I53" s="49"/>
      <c r="J53" s="49" t="s">
        <v>69</v>
      </c>
      <c r="K53" s="49" t="s">
        <v>13</v>
      </c>
      <c r="L53" s="50">
        <v>45720</v>
      </c>
      <c r="M53" s="53" t="s">
        <v>170</v>
      </c>
      <c r="N53" s="54" t="s">
        <v>48</v>
      </c>
      <c r="O53" s="53" t="s">
        <v>171</v>
      </c>
      <c r="P53" s="49">
        <v>423704483</v>
      </c>
      <c r="Q53" s="49" t="s">
        <v>97</v>
      </c>
      <c r="R53" s="24">
        <v>45730</v>
      </c>
      <c r="S53" s="3"/>
    </row>
    <row r="54" spans="1:19" x14ac:dyDescent="0.3">
      <c r="A54" s="49">
        <v>53</v>
      </c>
      <c r="B54" s="50">
        <v>45720</v>
      </c>
      <c r="C54" s="49" t="s">
        <v>273</v>
      </c>
      <c r="D54" s="49">
        <v>1</v>
      </c>
      <c r="E54" s="49" t="s">
        <v>133</v>
      </c>
      <c r="F54" s="51">
        <v>2349</v>
      </c>
      <c r="G54" s="52">
        <f t="shared" si="0"/>
        <v>213.54545454545453</v>
      </c>
      <c r="H54" s="49" t="s">
        <v>143</v>
      </c>
      <c r="I54" s="49"/>
      <c r="J54" s="49" t="s">
        <v>175</v>
      </c>
      <c r="K54" s="49" t="s">
        <v>17</v>
      </c>
      <c r="L54" s="50">
        <v>45720</v>
      </c>
      <c r="M54" s="53" t="s">
        <v>174</v>
      </c>
      <c r="N54" s="49"/>
      <c r="O54" s="49" t="s">
        <v>173</v>
      </c>
      <c r="P54" s="49">
        <v>423704484</v>
      </c>
      <c r="Q54" s="49" t="s">
        <v>97</v>
      </c>
      <c r="R54" s="24">
        <v>45730</v>
      </c>
      <c r="S54" s="3"/>
    </row>
    <row r="55" spans="1:19" x14ac:dyDescent="0.3">
      <c r="A55" s="49">
        <v>54</v>
      </c>
      <c r="B55" s="50">
        <v>45720</v>
      </c>
      <c r="C55" s="49" t="s">
        <v>273</v>
      </c>
      <c r="D55" s="49">
        <v>1</v>
      </c>
      <c r="E55" s="49" t="s">
        <v>172</v>
      </c>
      <c r="F55" s="51">
        <v>2364</v>
      </c>
      <c r="G55" s="52">
        <f t="shared" si="0"/>
        <v>214.90909090909091</v>
      </c>
      <c r="H55" s="49" t="s">
        <v>143</v>
      </c>
      <c r="I55" s="49"/>
      <c r="J55" s="49" t="s">
        <v>126</v>
      </c>
      <c r="K55" s="49" t="s">
        <v>13</v>
      </c>
      <c r="L55" s="50">
        <v>45721</v>
      </c>
      <c r="M55" s="53" t="s">
        <v>176</v>
      </c>
      <c r="N55" s="54" t="s">
        <v>48</v>
      </c>
      <c r="O55" s="53" t="s">
        <v>177</v>
      </c>
      <c r="P55" s="49">
        <v>448936797</v>
      </c>
      <c r="Q55" s="49" t="s">
        <v>97</v>
      </c>
      <c r="R55" s="24">
        <v>45730</v>
      </c>
      <c r="S55" s="3"/>
    </row>
    <row r="56" spans="1:19" x14ac:dyDescent="0.3">
      <c r="A56" s="49">
        <v>55</v>
      </c>
      <c r="B56" s="50">
        <v>45720</v>
      </c>
      <c r="C56" s="49" t="s">
        <v>273</v>
      </c>
      <c r="D56" s="49">
        <v>1</v>
      </c>
      <c r="E56" s="49" t="s">
        <v>118</v>
      </c>
      <c r="F56" s="51">
        <v>2349</v>
      </c>
      <c r="G56" s="52">
        <f t="shared" si="0"/>
        <v>213.54545454545453</v>
      </c>
      <c r="H56" s="49" t="s">
        <v>179</v>
      </c>
      <c r="I56" s="49"/>
      <c r="J56" s="49" t="s">
        <v>9</v>
      </c>
      <c r="K56" s="49" t="s">
        <v>17</v>
      </c>
      <c r="L56" s="50">
        <v>45720</v>
      </c>
      <c r="M56" s="49" t="s">
        <v>180</v>
      </c>
      <c r="N56" s="49"/>
      <c r="O56" s="53"/>
      <c r="P56" s="49"/>
      <c r="Q56" s="49" t="s">
        <v>97</v>
      </c>
      <c r="R56" s="24">
        <v>45730</v>
      </c>
      <c r="S56" s="3"/>
    </row>
    <row r="57" spans="1:19" x14ac:dyDescent="0.3">
      <c r="A57" s="49">
        <v>56</v>
      </c>
      <c r="B57" s="50">
        <v>45720</v>
      </c>
      <c r="C57" s="49" t="s">
        <v>273</v>
      </c>
      <c r="D57" s="49">
        <v>1</v>
      </c>
      <c r="E57" s="49" t="s">
        <v>116</v>
      </c>
      <c r="F57" s="51">
        <v>2349</v>
      </c>
      <c r="G57" s="52">
        <f t="shared" si="0"/>
        <v>213.54545454545453</v>
      </c>
      <c r="H57" s="49" t="s">
        <v>179</v>
      </c>
      <c r="I57" s="49"/>
      <c r="J57" s="49" t="s">
        <v>9</v>
      </c>
      <c r="K57" s="49" t="s">
        <v>17</v>
      </c>
      <c r="L57" s="50">
        <v>45720</v>
      </c>
      <c r="M57" s="49" t="s">
        <v>180</v>
      </c>
      <c r="N57" s="49"/>
      <c r="O57" s="49"/>
      <c r="P57" s="49"/>
      <c r="Q57" s="49" t="s">
        <v>97</v>
      </c>
      <c r="R57" s="24">
        <v>45730</v>
      </c>
      <c r="S57" s="3"/>
    </row>
    <row r="58" spans="1:19" x14ac:dyDescent="0.3">
      <c r="A58" s="49">
        <v>57</v>
      </c>
      <c r="B58" s="50">
        <v>45720</v>
      </c>
      <c r="C58" s="49" t="s">
        <v>273</v>
      </c>
      <c r="D58" s="49">
        <v>1</v>
      </c>
      <c r="E58" s="49" t="s">
        <v>116</v>
      </c>
      <c r="F58" s="51">
        <v>2349</v>
      </c>
      <c r="G58" s="52">
        <f t="shared" si="0"/>
        <v>213.54545454545453</v>
      </c>
      <c r="H58" s="49" t="s">
        <v>179</v>
      </c>
      <c r="I58" s="49"/>
      <c r="J58" s="49" t="s">
        <v>9</v>
      </c>
      <c r="K58" s="49" t="s">
        <v>17</v>
      </c>
      <c r="L58" s="50">
        <v>45720</v>
      </c>
      <c r="M58" s="49" t="s">
        <v>180</v>
      </c>
      <c r="N58" s="49"/>
      <c r="O58" s="49"/>
      <c r="P58" s="49"/>
      <c r="Q58" s="49" t="s">
        <v>97</v>
      </c>
      <c r="R58" s="24">
        <v>45730</v>
      </c>
      <c r="S58" s="3"/>
    </row>
    <row r="59" spans="1:19" x14ac:dyDescent="0.3">
      <c r="A59" s="49">
        <v>58</v>
      </c>
      <c r="B59" s="50">
        <v>45720</v>
      </c>
      <c r="C59" s="49" t="s">
        <v>273</v>
      </c>
      <c r="D59" s="49">
        <v>1</v>
      </c>
      <c r="E59" s="49" t="s">
        <v>133</v>
      </c>
      <c r="F59" s="51">
        <v>2349</v>
      </c>
      <c r="G59" s="52">
        <f t="shared" si="0"/>
        <v>213.54545454545453</v>
      </c>
      <c r="H59" s="49" t="s">
        <v>179</v>
      </c>
      <c r="I59" s="49"/>
      <c r="J59" s="49" t="s">
        <v>9</v>
      </c>
      <c r="K59" s="49" t="s">
        <v>17</v>
      </c>
      <c r="L59" s="50">
        <v>45720</v>
      </c>
      <c r="M59" s="49" t="s">
        <v>180</v>
      </c>
      <c r="N59" s="49"/>
      <c r="O59" s="49"/>
      <c r="P59" s="49"/>
      <c r="Q59" s="49" t="s">
        <v>97</v>
      </c>
      <c r="R59" s="24">
        <v>45730</v>
      </c>
      <c r="S59" s="3"/>
    </row>
    <row r="60" spans="1:19" x14ac:dyDescent="0.3">
      <c r="A60" s="49">
        <v>59</v>
      </c>
      <c r="B60" s="50">
        <v>45720</v>
      </c>
      <c r="C60" s="49" t="s">
        <v>273</v>
      </c>
      <c r="D60" s="49">
        <v>1</v>
      </c>
      <c r="E60" s="49" t="s">
        <v>133</v>
      </c>
      <c r="F60" s="51">
        <v>2349</v>
      </c>
      <c r="G60" s="52">
        <f t="shared" si="0"/>
        <v>213.54545454545453</v>
      </c>
      <c r="H60" s="49" t="s">
        <v>179</v>
      </c>
      <c r="I60" s="49"/>
      <c r="J60" s="49" t="s">
        <v>9</v>
      </c>
      <c r="K60" s="49" t="s">
        <v>17</v>
      </c>
      <c r="L60" s="50">
        <v>45720</v>
      </c>
      <c r="M60" s="49" t="s">
        <v>180</v>
      </c>
      <c r="N60" s="49"/>
      <c r="O60" s="53"/>
      <c r="P60" s="49"/>
      <c r="Q60" s="49" t="s">
        <v>97</v>
      </c>
      <c r="R60" s="24">
        <v>45730</v>
      </c>
      <c r="S60" s="3"/>
    </row>
    <row r="61" spans="1:19" x14ac:dyDescent="0.3">
      <c r="A61" s="49">
        <v>60</v>
      </c>
      <c r="B61" s="50">
        <v>45720</v>
      </c>
      <c r="C61" s="49" t="s">
        <v>273</v>
      </c>
      <c r="D61" s="49">
        <v>1</v>
      </c>
      <c r="E61" s="49" t="s">
        <v>116</v>
      </c>
      <c r="F61" s="51">
        <v>2349</v>
      </c>
      <c r="G61" s="52">
        <f t="shared" si="0"/>
        <v>213.54545454545453</v>
      </c>
      <c r="H61" s="49" t="s">
        <v>143</v>
      </c>
      <c r="I61" s="49"/>
      <c r="J61" s="49" t="s">
        <v>9</v>
      </c>
      <c r="K61" s="49" t="s">
        <v>17</v>
      </c>
      <c r="L61" s="50">
        <v>45720</v>
      </c>
      <c r="M61" s="49" t="s">
        <v>181</v>
      </c>
      <c r="N61" s="49"/>
      <c r="O61" s="53" t="s">
        <v>178</v>
      </c>
      <c r="P61" s="49">
        <v>423704486</v>
      </c>
      <c r="Q61" s="49" t="s">
        <v>97</v>
      </c>
      <c r="R61" s="24">
        <v>45730</v>
      </c>
      <c r="S61" s="3"/>
    </row>
    <row r="62" spans="1:19" x14ac:dyDescent="0.3">
      <c r="A62" s="61">
        <v>61</v>
      </c>
      <c r="B62" s="62">
        <v>45721</v>
      </c>
      <c r="C62" s="49" t="s">
        <v>273</v>
      </c>
      <c r="D62" s="61">
        <v>1</v>
      </c>
      <c r="E62" s="61" t="s">
        <v>184</v>
      </c>
      <c r="F62" s="63">
        <v>2349</v>
      </c>
      <c r="G62" s="64">
        <f t="shared" si="0"/>
        <v>213.54545454545453</v>
      </c>
      <c r="H62" s="61" t="s">
        <v>185</v>
      </c>
      <c r="I62" s="65" t="s">
        <v>187</v>
      </c>
      <c r="J62" s="61" t="s">
        <v>186</v>
      </c>
      <c r="K62" s="61" t="s">
        <v>17</v>
      </c>
      <c r="L62" s="61"/>
      <c r="M62" s="66" t="s">
        <v>183</v>
      </c>
      <c r="N62" s="61"/>
      <c r="O62" s="67" t="s">
        <v>182</v>
      </c>
      <c r="P62" s="61">
        <v>430877999</v>
      </c>
      <c r="Q62" s="61" t="s">
        <v>97</v>
      </c>
      <c r="R62" s="68">
        <v>45730</v>
      </c>
      <c r="S62" s="49"/>
    </row>
    <row r="63" spans="1:19" x14ac:dyDescent="0.3">
      <c r="A63" s="49">
        <v>62</v>
      </c>
      <c r="B63" s="50">
        <v>45721</v>
      </c>
      <c r="C63" s="49" t="s">
        <v>273</v>
      </c>
      <c r="D63" s="49">
        <v>1</v>
      </c>
      <c r="E63" s="49" t="s">
        <v>184</v>
      </c>
      <c r="F63" s="51">
        <v>2349</v>
      </c>
      <c r="G63" s="52">
        <f t="shared" si="0"/>
        <v>213.54545454545453</v>
      </c>
      <c r="H63" s="49" t="s">
        <v>143</v>
      </c>
      <c r="I63" s="49"/>
      <c r="J63" s="49" t="s">
        <v>192</v>
      </c>
      <c r="K63" s="49" t="s">
        <v>17</v>
      </c>
      <c r="L63" s="69"/>
      <c r="M63" s="70" t="s">
        <v>191</v>
      </c>
      <c r="N63" s="49"/>
      <c r="O63" s="71" t="s">
        <v>188</v>
      </c>
      <c r="P63" s="49">
        <v>423704488</v>
      </c>
      <c r="Q63" s="49" t="s">
        <v>97</v>
      </c>
      <c r="R63" s="72">
        <v>45730</v>
      </c>
      <c r="S63" s="3"/>
    </row>
    <row r="64" spans="1:19" x14ac:dyDescent="0.3">
      <c r="A64" s="49">
        <v>63</v>
      </c>
      <c r="B64" s="50">
        <v>45721</v>
      </c>
      <c r="C64" s="49" t="s">
        <v>273</v>
      </c>
      <c r="D64" s="49">
        <v>1</v>
      </c>
      <c r="E64" s="49" t="s">
        <v>184</v>
      </c>
      <c r="F64" s="51">
        <v>2349</v>
      </c>
      <c r="G64" s="52">
        <f t="shared" si="0"/>
        <v>213.54545454545453</v>
      </c>
      <c r="H64" s="49" t="s">
        <v>143</v>
      </c>
      <c r="I64" s="49"/>
      <c r="J64" s="49" t="s">
        <v>194</v>
      </c>
      <c r="K64" s="49" t="s">
        <v>17</v>
      </c>
      <c r="L64" s="69"/>
      <c r="M64" s="70" t="s">
        <v>193</v>
      </c>
      <c r="N64" s="49"/>
      <c r="O64" s="71" t="s">
        <v>189</v>
      </c>
      <c r="P64" s="49">
        <v>423704489</v>
      </c>
      <c r="Q64" s="49" t="s">
        <v>97</v>
      </c>
      <c r="R64" s="72">
        <v>45730</v>
      </c>
      <c r="S64" s="3"/>
    </row>
    <row r="65" spans="1:19" x14ac:dyDescent="0.3">
      <c r="A65" s="49">
        <v>64</v>
      </c>
      <c r="B65" s="50">
        <v>45721</v>
      </c>
      <c r="C65" s="49" t="s">
        <v>273</v>
      </c>
      <c r="D65" s="49">
        <v>1</v>
      </c>
      <c r="E65" s="49" t="s">
        <v>184</v>
      </c>
      <c r="F65" s="51">
        <v>2349</v>
      </c>
      <c r="G65" s="52">
        <f t="shared" si="0"/>
        <v>213.54545454545453</v>
      </c>
      <c r="H65" s="49" t="s">
        <v>143</v>
      </c>
      <c r="I65" s="49"/>
      <c r="J65" s="49" t="s">
        <v>196</v>
      </c>
      <c r="K65" s="49" t="s">
        <v>17</v>
      </c>
      <c r="L65" s="49"/>
      <c r="M65" s="70" t="s">
        <v>195</v>
      </c>
      <c r="N65" s="49"/>
      <c r="O65" s="71" t="s">
        <v>190</v>
      </c>
      <c r="P65" s="49">
        <v>423704480</v>
      </c>
      <c r="Q65" s="49" t="s">
        <v>97</v>
      </c>
      <c r="R65" s="72">
        <v>45730</v>
      </c>
      <c r="S65" s="3"/>
    </row>
    <row r="66" spans="1:19" x14ac:dyDescent="0.3">
      <c r="A66" s="49">
        <v>65</v>
      </c>
      <c r="B66" s="50">
        <v>45722</v>
      </c>
      <c r="C66" s="49" t="s">
        <v>273</v>
      </c>
      <c r="D66" s="49">
        <v>1</v>
      </c>
      <c r="E66" s="49" t="s">
        <v>172</v>
      </c>
      <c r="F66" s="51">
        <v>2364</v>
      </c>
      <c r="G66" s="52">
        <f t="shared" si="0"/>
        <v>214.90909090909091</v>
      </c>
      <c r="H66" s="49" t="s">
        <v>143</v>
      </c>
      <c r="I66" s="49"/>
      <c r="J66" s="49" t="s">
        <v>69</v>
      </c>
      <c r="K66" s="49" t="s">
        <v>13</v>
      </c>
      <c r="L66" s="49"/>
      <c r="M66" s="73" t="s">
        <v>210</v>
      </c>
      <c r="N66" s="54" t="s">
        <v>48</v>
      </c>
      <c r="O66" s="73" t="s">
        <v>201</v>
      </c>
      <c r="P66" s="49">
        <v>430877932</v>
      </c>
      <c r="Q66" s="49" t="s">
        <v>97</v>
      </c>
      <c r="R66" s="72">
        <v>45730</v>
      </c>
      <c r="S66" s="3"/>
    </row>
    <row r="67" spans="1:19" x14ac:dyDescent="0.3">
      <c r="A67" s="49">
        <v>66</v>
      </c>
      <c r="B67" s="50">
        <v>45722</v>
      </c>
      <c r="C67" s="49" t="s">
        <v>273</v>
      </c>
      <c r="D67" s="49">
        <v>1</v>
      </c>
      <c r="E67" s="49" t="s">
        <v>172</v>
      </c>
      <c r="F67" s="51">
        <v>2364</v>
      </c>
      <c r="G67" s="52">
        <f t="shared" si="0"/>
        <v>214.90909090909091</v>
      </c>
      <c r="H67" s="49" t="s">
        <v>143</v>
      </c>
      <c r="I67" s="49"/>
      <c r="J67" s="49" t="s">
        <v>212</v>
      </c>
      <c r="K67" s="49" t="s">
        <v>13</v>
      </c>
      <c r="L67" s="49"/>
      <c r="M67" s="73" t="s">
        <v>211</v>
      </c>
      <c r="N67" s="54" t="s">
        <v>48</v>
      </c>
      <c r="O67" s="73" t="s">
        <v>121</v>
      </c>
      <c r="P67" s="49">
        <v>420733328</v>
      </c>
      <c r="Q67" s="49" t="s">
        <v>97</v>
      </c>
      <c r="R67" s="72">
        <v>45730</v>
      </c>
      <c r="S67" s="3"/>
    </row>
    <row r="68" spans="1:19" x14ac:dyDescent="0.3">
      <c r="A68" s="49">
        <v>67</v>
      </c>
      <c r="B68" s="50">
        <v>45722</v>
      </c>
      <c r="C68" s="49" t="s">
        <v>273</v>
      </c>
      <c r="D68" s="49">
        <v>1</v>
      </c>
      <c r="E68" s="49" t="s">
        <v>172</v>
      </c>
      <c r="F68" s="51">
        <v>2364</v>
      </c>
      <c r="G68" s="52">
        <f t="shared" ref="G68:G98" si="1">(F68/11)</f>
        <v>214.90909090909091</v>
      </c>
      <c r="H68" s="49" t="s">
        <v>143</v>
      </c>
      <c r="I68" s="49"/>
      <c r="J68" s="49" t="s">
        <v>213</v>
      </c>
      <c r="K68" s="49" t="s">
        <v>13</v>
      </c>
      <c r="L68" s="49"/>
      <c r="M68" s="49" t="s">
        <v>215</v>
      </c>
      <c r="N68" s="54" t="s">
        <v>48</v>
      </c>
      <c r="O68" s="74" t="s">
        <v>214</v>
      </c>
      <c r="P68" s="49">
        <v>421022212</v>
      </c>
      <c r="Q68" s="49" t="s">
        <v>97</v>
      </c>
      <c r="R68" s="72">
        <v>45730</v>
      </c>
      <c r="S68" s="3"/>
    </row>
    <row r="69" spans="1:19" x14ac:dyDescent="0.3">
      <c r="A69" s="49">
        <v>68</v>
      </c>
      <c r="B69" s="50">
        <v>45722</v>
      </c>
      <c r="C69" s="49" t="s">
        <v>273</v>
      </c>
      <c r="D69" s="49">
        <v>1</v>
      </c>
      <c r="E69" s="49" t="s">
        <v>74</v>
      </c>
      <c r="F69" s="51">
        <v>2349</v>
      </c>
      <c r="G69" s="52">
        <f t="shared" si="1"/>
        <v>213.54545454545453</v>
      </c>
      <c r="H69" s="49" t="s">
        <v>179</v>
      </c>
      <c r="I69" s="49"/>
      <c r="J69" s="49" t="s">
        <v>9</v>
      </c>
      <c r="K69" s="49" t="s">
        <v>17</v>
      </c>
      <c r="L69" s="49"/>
      <c r="M69" s="49"/>
      <c r="N69" s="49"/>
      <c r="O69" s="49"/>
      <c r="P69" s="49"/>
      <c r="Q69" s="49" t="s">
        <v>97</v>
      </c>
      <c r="R69" s="72">
        <v>45730</v>
      </c>
      <c r="S69" s="3"/>
    </row>
    <row r="70" spans="1:19" x14ac:dyDescent="0.3">
      <c r="A70" s="49">
        <v>69</v>
      </c>
      <c r="B70" s="50">
        <v>45723</v>
      </c>
      <c r="C70" s="49" t="s">
        <v>273</v>
      </c>
      <c r="D70" s="49">
        <v>1</v>
      </c>
      <c r="E70" s="49" t="s">
        <v>172</v>
      </c>
      <c r="F70" s="51">
        <v>2364</v>
      </c>
      <c r="G70" s="52">
        <f t="shared" si="1"/>
        <v>214.90909090909091</v>
      </c>
      <c r="H70" s="49" t="s">
        <v>143</v>
      </c>
      <c r="I70" s="49"/>
      <c r="J70" s="49" t="s">
        <v>153</v>
      </c>
      <c r="K70" s="49" t="s">
        <v>13</v>
      </c>
      <c r="L70" s="49"/>
      <c r="M70" s="73" t="s">
        <v>218</v>
      </c>
      <c r="N70" s="54" t="s">
        <v>48</v>
      </c>
      <c r="O70" s="74" t="s">
        <v>217</v>
      </c>
      <c r="P70" s="75">
        <v>423704455</v>
      </c>
      <c r="Q70" s="49" t="s">
        <v>97</v>
      </c>
      <c r="R70" s="72">
        <v>45730</v>
      </c>
      <c r="S70" s="3"/>
    </row>
    <row r="71" spans="1:19" x14ac:dyDescent="0.3">
      <c r="A71" s="49">
        <v>70</v>
      </c>
      <c r="B71" s="50">
        <v>45723</v>
      </c>
      <c r="C71" s="49" t="s">
        <v>273</v>
      </c>
      <c r="D71" s="49">
        <v>1</v>
      </c>
      <c r="E71" s="49" t="s">
        <v>172</v>
      </c>
      <c r="F71" s="51">
        <v>2364</v>
      </c>
      <c r="G71" s="52">
        <f t="shared" si="1"/>
        <v>214.90909090909091</v>
      </c>
      <c r="H71" s="49" t="s">
        <v>143</v>
      </c>
      <c r="I71" s="49"/>
      <c r="J71" s="49" t="s">
        <v>222</v>
      </c>
      <c r="K71" s="49" t="s">
        <v>13</v>
      </c>
      <c r="L71" s="49"/>
      <c r="M71" s="73" t="s">
        <v>221</v>
      </c>
      <c r="N71" s="54" t="s">
        <v>48</v>
      </c>
      <c r="O71" s="71" t="s">
        <v>219</v>
      </c>
      <c r="P71" s="75">
        <v>423704454</v>
      </c>
      <c r="Q71" s="49" t="s">
        <v>97</v>
      </c>
      <c r="R71" s="72">
        <v>45730</v>
      </c>
      <c r="S71" s="3"/>
    </row>
    <row r="72" spans="1:19" s="23" customFormat="1" x14ac:dyDescent="0.3">
      <c r="A72" s="40">
        <v>71</v>
      </c>
      <c r="B72" s="41">
        <v>45724</v>
      </c>
      <c r="C72" s="3" t="s">
        <v>273</v>
      </c>
      <c r="D72" s="40"/>
      <c r="E72" s="40" t="s">
        <v>118</v>
      </c>
      <c r="F72" s="46"/>
      <c r="G72" s="44">
        <f t="shared" si="1"/>
        <v>0</v>
      </c>
      <c r="H72" s="40" t="s">
        <v>143</v>
      </c>
      <c r="I72" s="40"/>
      <c r="J72" s="40" t="s">
        <v>228</v>
      </c>
      <c r="K72" s="40" t="s">
        <v>165</v>
      </c>
      <c r="L72" s="40"/>
      <c r="M72" s="47" t="s">
        <v>224</v>
      </c>
      <c r="N72" s="40"/>
      <c r="O72" s="45" t="s">
        <v>225</v>
      </c>
      <c r="P72" s="40">
        <v>423704488</v>
      </c>
      <c r="Q72" s="40"/>
      <c r="R72" s="40"/>
      <c r="S72" s="22"/>
    </row>
    <row r="73" spans="1:19" s="23" customFormat="1" x14ac:dyDescent="0.3">
      <c r="A73" s="40">
        <v>72</v>
      </c>
      <c r="B73" s="41">
        <v>45724</v>
      </c>
      <c r="C73" s="3" t="s">
        <v>273</v>
      </c>
      <c r="D73" s="40"/>
      <c r="E73" s="40" t="s">
        <v>118</v>
      </c>
      <c r="F73" s="46"/>
      <c r="G73" s="44">
        <f t="shared" si="1"/>
        <v>0</v>
      </c>
      <c r="H73" s="40" t="s">
        <v>143</v>
      </c>
      <c r="I73" s="40"/>
      <c r="J73" s="40" t="s">
        <v>229</v>
      </c>
      <c r="K73" s="40" t="s">
        <v>165</v>
      </c>
      <c r="L73" s="40"/>
      <c r="M73" s="47" t="s">
        <v>226</v>
      </c>
      <c r="N73" s="40"/>
      <c r="O73" s="45" t="s">
        <v>227</v>
      </c>
      <c r="P73" s="40">
        <v>421022212</v>
      </c>
      <c r="Q73" s="40"/>
      <c r="R73" s="40"/>
      <c r="S73" s="22"/>
    </row>
    <row r="74" spans="1:19" x14ac:dyDescent="0.3">
      <c r="A74" s="61">
        <v>73</v>
      </c>
      <c r="B74" s="62">
        <v>45724</v>
      </c>
      <c r="C74" s="49" t="s">
        <v>273</v>
      </c>
      <c r="D74" s="61">
        <v>1</v>
      </c>
      <c r="E74" s="61" t="s">
        <v>133</v>
      </c>
      <c r="F74" s="63">
        <v>2349</v>
      </c>
      <c r="G74" s="64">
        <f t="shared" si="1"/>
        <v>213.54545454545453</v>
      </c>
      <c r="H74" s="61" t="s">
        <v>272</v>
      </c>
      <c r="I74" s="65" t="s">
        <v>232</v>
      </c>
      <c r="J74" s="61" t="s">
        <v>234</v>
      </c>
      <c r="K74" s="61" t="s">
        <v>17</v>
      </c>
      <c r="L74" s="61"/>
      <c r="M74" s="66" t="s">
        <v>231</v>
      </c>
      <c r="N74" s="61"/>
      <c r="O74" s="67" t="s">
        <v>230</v>
      </c>
      <c r="P74" s="61" t="s">
        <v>233</v>
      </c>
      <c r="Q74" s="61" t="s">
        <v>97</v>
      </c>
      <c r="R74" s="68">
        <v>45730</v>
      </c>
      <c r="S74" s="3"/>
    </row>
    <row r="75" spans="1:19" x14ac:dyDescent="0.3">
      <c r="A75" s="40">
        <v>74</v>
      </c>
      <c r="B75" s="41">
        <v>45724</v>
      </c>
      <c r="C75" s="3" t="s">
        <v>273</v>
      </c>
      <c r="D75" s="40"/>
      <c r="E75" s="40" t="s">
        <v>133</v>
      </c>
      <c r="F75" s="43"/>
      <c r="G75" s="44">
        <f t="shared" si="1"/>
        <v>0</v>
      </c>
      <c r="H75" s="40"/>
      <c r="I75" s="48" t="s">
        <v>237</v>
      </c>
      <c r="J75" s="40" t="s">
        <v>238</v>
      </c>
      <c r="K75" s="40" t="s">
        <v>165</v>
      </c>
      <c r="L75" s="40"/>
      <c r="M75" s="47" t="s">
        <v>236</v>
      </c>
      <c r="N75" s="40"/>
      <c r="O75" s="45" t="s">
        <v>235</v>
      </c>
      <c r="P75" s="40" t="s">
        <v>233</v>
      </c>
      <c r="Q75" s="40">
        <v>423704455</v>
      </c>
      <c r="R75" s="42"/>
      <c r="S75" s="3"/>
    </row>
    <row r="76" spans="1:19" x14ac:dyDescent="0.3">
      <c r="A76" s="3">
        <v>75</v>
      </c>
      <c r="B76" s="50">
        <v>45724</v>
      </c>
      <c r="C76" s="49" t="s">
        <v>273</v>
      </c>
      <c r="D76" s="49">
        <v>1</v>
      </c>
      <c r="E76" s="49" t="s">
        <v>115</v>
      </c>
      <c r="F76" s="51">
        <v>2349</v>
      </c>
      <c r="G76" s="52">
        <f t="shared" si="1"/>
        <v>213.54545454545453</v>
      </c>
      <c r="H76" s="49" t="s">
        <v>9</v>
      </c>
      <c r="I76" s="49"/>
      <c r="J76" s="49"/>
      <c r="K76" s="49" t="s">
        <v>17</v>
      </c>
      <c r="L76" s="49"/>
      <c r="M76" s="49"/>
      <c r="N76" s="49"/>
      <c r="O76" s="49"/>
      <c r="P76" s="49"/>
      <c r="Q76" s="49" t="s">
        <v>97</v>
      </c>
      <c r="R76" s="72">
        <v>45730</v>
      </c>
      <c r="S76" s="3"/>
    </row>
    <row r="77" spans="1:19" x14ac:dyDescent="0.3">
      <c r="A77" s="3">
        <v>76</v>
      </c>
      <c r="B77" s="50">
        <v>45724</v>
      </c>
      <c r="C77" s="49" t="s">
        <v>273</v>
      </c>
      <c r="D77" s="49">
        <v>1</v>
      </c>
      <c r="E77" s="49" t="s">
        <v>115</v>
      </c>
      <c r="F77" s="51">
        <v>2349</v>
      </c>
      <c r="G77" s="52">
        <f t="shared" si="1"/>
        <v>213.54545454545453</v>
      </c>
      <c r="H77" s="49" t="s">
        <v>9</v>
      </c>
      <c r="I77" s="49"/>
      <c r="J77" s="49"/>
      <c r="K77" s="49" t="s">
        <v>17</v>
      </c>
      <c r="L77" s="49"/>
      <c r="M77" s="49"/>
      <c r="N77" s="49"/>
      <c r="O77" s="49"/>
      <c r="P77" s="49"/>
      <c r="Q77" s="49" t="s">
        <v>97</v>
      </c>
      <c r="R77" s="72">
        <v>45730</v>
      </c>
      <c r="S77" s="3"/>
    </row>
    <row r="78" spans="1:19" x14ac:dyDescent="0.3">
      <c r="A78" s="3">
        <v>77</v>
      </c>
      <c r="B78" s="50">
        <v>45724</v>
      </c>
      <c r="C78" s="49" t="s">
        <v>273</v>
      </c>
      <c r="D78" s="49">
        <v>1</v>
      </c>
      <c r="E78" s="49" t="s">
        <v>118</v>
      </c>
      <c r="F78" s="51">
        <v>2349</v>
      </c>
      <c r="G78" s="52">
        <f t="shared" si="1"/>
        <v>213.54545454545453</v>
      </c>
      <c r="H78" s="49" t="s">
        <v>9</v>
      </c>
      <c r="I78" s="49"/>
      <c r="J78" s="49"/>
      <c r="K78" s="49" t="s">
        <v>17</v>
      </c>
      <c r="L78" s="49"/>
      <c r="M78" s="49"/>
      <c r="N78" s="49"/>
      <c r="O78" s="49"/>
      <c r="P78" s="49"/>
      <c r="Q78" s="49" t="s">
        <v>97</v>
      </c>
      <c r="R78" s="72">
        <v>45730</v>
      </c>
      <c r="S78" s="3"/>
    </row>
    <row r="79" spans="1:19" x14ac:dyDescent="0.3">
      <c r="A79" s="3">
        <v>78</v>
      </c>
      <c r="B79" s="50">
        <v>45724</v>
      </c>
      <c r="C79" s="49" t="s">
        <v>273</v>
      </c>
      <c r="D79" s="49">
        <v>1</v>
      </c>
      <c r="E79" s="49" t="s">
        <v>243</v>
      </c>
      <c r="F79" s="51">
        <v>2349</v>
      </c>
      <c r="G79" s="52">
        <f t="shared" si="1"/>
        <v>213.54545454545453</v>
      </c>
      <c r="H79" s="49" t="s">
        <v>9</v>
      </c>
      <c r="I79" s="49"/>
      <c r="J79" s="49"/>
      <c r="K79" s="49" t="s">
        <v>17</v>
      </c>
      <c r="L79" s="49"/>
      <c r="M79" s="49"/>
      <c r="N79" s="49"/>
      <c r="O79" s="49"/>
      <c r="P79" s="49"/>
      <c r="Q79" s="49" t="s">
        <v>97</v>
      </c>
      <c r="R79" s="72">
        <v>45730</v>
      </c>
      <c r="S79" s="3"/>
    </row>
    <row r="80" spans="1:19" x14ac:dyDescent="0.3">
      <c r="A80" s="3">
        <v>79</v>
      </c>
      <c r="B80" s="50">
        <v>45724</v>
      </c>
      <c r="C80" s="49" t="s">
        <v>273</v>
      </c>
      <c r="D80" s="49">
        <v>1</v>
      </c>
      <c r="E80" s="49" t="s">
        <v>243</v>
      </c>
      <c r="F80" s="51">
        <v>2349</v>
      </c>
      <c r="G80" s="52">
        <f t="shared" si="1"/>
        <v>213.54545454545453</v>
      </c>
      <c r="H80" s="49" t="s">
        <v>9</v>
      </c>
      <c r="I80" s="49"/>
      <c r="J80" s="49"/>
      <c r="K80" s="49" t="s">
        <v>17</v>
      </c>
      <c r="L80" s="49"/>
      <c r="M80" s="49"/>
      <c r="N80" s="49"/>
      <c r="O80" s="49"/>
      <c r="P80" s="49"/>
      <c r="Q80" s="49" t="s">
        <v>97</v>
      </c>
      <c r="R80" s="72">
        <v>45730</v>
      </c>
      <c r="S80" s="3"/>
    </row>
    <row r="81" spans="1:19" x14ac:dyDescent="0.3">
      <c r="A81" s="3">
        <v>80</v>
      </c>
      <c r="B81" s="50">
        <v>45727</v>
      </c>
      <c r="C81" s="49" t="s">
        <v>273</v>
      </c>
      <c r="D81" s="49">
        <v>1</v>
      </c>
      <c r="E81" s="49" t="s">
        <v>118</v>
      </c>
      <c r="F81" s="51">
        <v>2349</v>
      </c>
      <c r="G81" s="52">
        <f t="shared" si="1"/>
        <v>213.54545454545453</v>
      </c>
      <c r="H81" s="49" t="s">
        <v>143</v>
      </c>
      <c r="I81" s="49"/>
      <c r="J81" s="49" t="s">
        <v>251</v>
      </c>
      <c r="K81" s="49" t="s">
        <v>17</v>
      </c>
      <c r="L81" s="49"/>
      <c r="M81" s="73" t="s">
        <v>250</v>
      </c>
      <c r="N81" s="49"/>
      <c r="O81" s="70" t="s">
        <v>246</v>
      </c>
      <c r="P81" s="49">
        <v>451812252</v>
      </c>
      <c r="Q81" s="49" t="s">
        <v>97</v>
      </c>
      <c r="R81" s="72">
        <v>45730</v>
      </c>
      <c r="S81" s="3"/>
    </row>
    <row r="82" spans="1:19" x14ac:dyDescent="0.3">
      <c r="A82" s="3">
        <v>81</v>
      </c>
      <c r="B82" s="50">
        <v>45727</v>
      </c>
      <c r="C82" s="49" t="s">
        <v>273</v>
      </c>
      <c r="D82" s="49">
        <v>1</v>
      </c>
      <c r="E82" s="49" t="s">
        <v>118</v>
      </c>
      <c r="F82" s="51">
        <v>2349</v>
      </c>
      <c r="G82" s="52">
        <f t="shared" si="1"/>
        <v>213.54545454545453</v>
      </c>
      <c r="H82" s="49" t="s">
        <v>143</v>
      </c>
      <c r="I82" s="49"/>
      <c r="J82" s="49" t="s">
        <v>255</v>
      </c>
      <c r="K82" s="49" t="s">
        <v>17</v>
      </c>
      <c r="L82" s="49"/>
      <c r="M82" s="73" t="s">
        <v>254</v>
      </c>
      <c r="N82" s="49"/>
      <c r="O82" s="71" t="s">
        <v>245</v>
      </c>
      <c r="P82" s="49">
        <v>416456017</v>
      </c>
      <c r="Q82" s="49" t="s">
        <v>97</v>
      </c>
      <c r="R82" s="72">
        <v>45730</v>
      </c>
      <c r="S82" s="3"/>
    </row>
    <row r="83" spans="1:19" x14ac:dyDescent="0.3">
      <c r="A83" s="3">
        <v>82</v>
      </c>
      <c r="B83" s="50">
        <v>45727</v>
      </c>
      <c r="C83" s="49" t="s">
        <v>273</v>
      </c>
      <c r="D83" s="49">
        <v>1</v>
      </c>
      <c r="E83" s="49" t="s">
        <v>256</v>
      </c>
      <c r="F83" s="51">
        <v>2349</v>
      </c>
      <c r="G83" s="49">
        <f t="shared" si="1"/>
        <v>213.54545454545453</v>
      </c>
      <c r="H83" s="49" t="s">
        <v>9</v>
      </c>
      <c r="I83" s="49"/>
      <c r="J83" s="49"/>
      <c r="K83" s="49" t="s">
        <v>17</v>
      </c>
      <c r="L83" s="49"/>
      <c r="M83" s="49"/>
      <c r="N83" s="49"/>
      <c r="O83" s="49"/>
      <c r="P83" s="49"/>
      <c r="Q83" s="49" t="s">
        <v>97</v>
      </c>
      <c r="R83" s="72">
        <v>45730</v>
      </c>
      <c r="S83" s="3"/>
    </row>
    <row r="84" spans="1:19" x14ac:dyDescent="0.3">
      <c r="A84" s="3">
        <v>83</v>
      </c>
      <c r="B84" s="50">
        <v>45727</v>
      </c>
      <c r="C84" s="49" t="s">
        <v>273</v>
      </c>
      <c r="D84" s="49">
        <v>1</v>
      </c>
      <c r="E84" s="49" t="s">
        <v>257</v>
      </c>
      <c r="F84" s="51">
        <v>2349</v>
      </c>
      <c r="G84" s="49">
        <f t="shared" si="1"/>
        <v>213.54545454545453</v>
      </c>
      <c r="H84" s="49" t="s">
        <v>9</v>
      </c>
      <c r="I84" s="49"/>
      <c r="J84" s="49"/>
      <c r="K84" s="49" t="s">
        <v>17</v>
      </c>
      <c r="L84" s="49"/>
      <c r="M84" s="49"/>
      <c r="N84" s="49"/>
      <c r="O84" s="49"/>
      <c r="P84" s="49"/>
      <c r="Q84" s="49" t="s">
        <v>97</v>
      </c>
      <c r="R84" s="72">
        <v>45730</v>
      </c>
      <c r="S84" s="3"/>
    </row>
    <row r="85" spans="1:19" x14ac:dyDescent="0.3">
      <c r="A85" s="3">
        <v>84</v>
      </c>
      <c r="B85" s="50">
        <v>45728</v>
      </c>
      <c r="C85" s="49" t="s">
        <v>273</v>
      </c>
      <c r="D85" s="49">
        <v>1</v>
      </c>
      <c r="E85" s="49" t="s">
        <v>172</v>
      </c>
      <c r="F85" s="51">
        <v>2349</v>
      </c>
      <c r="G85" s="49">
        <f t="shared" si="1"/>
        <v>213.54545454545453</v>
      </c>
      <c r="H85" s="49" t="s">
        <v>143</v>
      </c>
      <c r="I85" s="49"/>
      <c r="J85" s="49" t="s">
        <v>228</v>
      </c>
      <c r="K85" s="49" t="s">
        <v>263</v>
      </c>
      <c r="L85" s="49"/>
      <c r="M85" s="73" t="s">
        <v>262</v>
      </c>
      <c r="N85" s="49"/>
      <c r="O85" s="71" t="s">
        <v>244</v>
      </c>
      <c r="P85" s="49">
        <v>431753777</v>
      </c>
      <c r="Q85" s="49"/>
      <c r="R85" s="49"/>
      <c r="S85" s="3"/>
    </row>
    <row r="86" spans="1:19" x14ac:dyDescent="0.3">
      <c r="A86" s="3">
        <v>85</v>
      </c>
      <c r="B86" s="50">
        <v>45728</v>
      </c>
      <c r="C86" s="49" t="s">
        <v>273</v>
      </c>
      <c r="D86" s="49">
        <v>1</v>
      </c>
      <c r="E86" s="49" t="s">
        <v>172</v>
      </c>
      <c r="F86" s="51">
        <v>2349</v>
      </c>
      <c r="G86" s="49">
        <f t="shared" si="1"/>
        <v>213.54545454545453</v>
      </c>
      <c r="H86" s="49" t="s">
        <v>143</v>
      </c>
      <c r="I86" s="49"/>
      <c r="J86" s="49" t="s">
        <v>269</v>
      </c>
      <c r="K86" s="49" t="s">
        <v>263</v>
      </c>
      <c r="L86" s="50">
        <v>45729</v>
      </c>
      <c r="M86" s="49" t="s">
        <v>271</v>
      </c>
      <c r="N86" s="49"/>
      <c r="O86" s="74" t="s">
        <v>270</v>
      </c>
      <c r="P86" s="49">
        <v>421022212</v>
      </c>
      <c r="Q86" s="49"/>
      <c r="R86" s="49"/>
      <c r="S86" s="3"/>
    </row>
    <row r="87" spans="1:19" x14ac:dyDescent="0.3">
      <c r="A87" s="3">
        <v>86</v>
      </c>
      <c r="B87" s="72">
        <v>45729</v>
      </c>
      <c r="C87" s="49" t="s">
        <v>274</v>
      </c>
      <c r="D87" s="49">
        <v>1</v>
      </c>
      <c r="E87" s="49" t="s">
        <v>131</v>
      </c>
      <c r="F87" s="51">
        <v>1549</v>
      </c>
      <c r="G87" s="49">
        <f t="shared" si="1"/>
        <v>140.81818181818181</v>
      </c>
      <c r="H87" s="49" t="s">
        <v>9</v>
      </c>
      <c r="I87" s="49"/>
      <c r="J87" s="49"/>
      <c r="K87" s="49" t="s">
        <v>17</v>
      </c>
      <c r="L87" s="50">
        <v>45729</v>
      </c>
      <c r="M87" s="49"/>
      <c r="N87" s="49"/>
      <c r="O87" s="49"/>
      <c r="P87" s="49"/>
      <c r="Q87" s="49" t="s">
        <v>97</v>
      </c>
      <c r="R87" s="72">
        <v>45730</v>
      </c>
      <c r="S87" s="3"/>
    </row>
    <row r="88" spans="1:19" x14ac:dyDescent="0.3">
      <c r="A88" s="3">
        <v>87</v>
      </c>
      <c r="B88" s="72">
        <v>45729</v>
      </c>
      <c r="C88" s="49" t="s">
        <v>274</v>
      </c>
      <c r="D88" s="49">
        <v>1</v>
      </c>
      <c r="E88" s="49" t="s">
        <v>131</v>
      </c>
      <c r="F88" s="51">
        <v>1549</v>
      </c>
      <c r="G88" s="49">
        <f t="shared" si="1"/>
        <v>140.81818181818181</v>
      </c>
      <c r="H88" s="49" t="s">
        <v>9</v>
      </c>
      <c r="I88" s="49"/>
      <c r="J88" s="49"/>
      <c r="K88" s="49" t="s">
        <v>17</v>
      </c>
      <c r="L88" s="50">
        <v>45729</v>
      </c>
      <c r="M88" s="49"/>
      <c r="N88" s="49"/>
      <c r="O88" s="49"/>
      <c r="P88" s="49"/>
      <c r="Q88" s="49" t="s">
        <v>97</v>
      </c>
      <c r="R88" s="72">
        <v>45730</v>
      </c>
      <c r="S88" s="3"/>
    </row>
    <row r="89" spans="1:19" x14ac:dyDescent="0.3">
      <c r="A89" s="3">
        <v>88</v>
      </c>
      <c r="B89" s="72">
        <v>45729</v>
      </c>
      <c r="C89" s="49" t="s">
        <v>274</v>
      </c>
      <c r="D89" s="49">
        <v>1</v>
      </c>
      <c r="E89" s="49" t="s">
        <v>131</v>
      </c>
      <c r="F89" s="51">
        <v>1549</v>
      </c>
      <c r="G89" s="49">
        <f t="shared" si="1"/>
        <v>140.81818181818181</v>
      </c>
      <c r="H89" s="49" t="s">
        <v>9</v>
      </c>
      <c r="I89" s="49"/>
      <c r="J89" s="49"/>
      <c r="K89" s="49" t="s">
        <v>17</v>
      </c>
      <c r="L89" s="50">
        <v>45729</v>
      </c>
      <c r="M89" s="49"/>
      <c r="N89" s="49"/>
      <c r="O89" s="49"/>
      <c r="P89" s="49"/>
      <c r="Q89" s="49" t="s">
        <v>97</v>
      </c>
      <c r="R89" s="72">
        <v>45730</v>
      </c>
      <c r="S89" s="3"/>
    </row>
    <row r="90" spans="1:19" x14ac:dyDescent="0.3">
      <c r="A90" s="3">
        <v>89</v>
      </c>
      <c r="B90" s="72">
        <v>45729</v>
      </c>
      <c r="C90" s="49" t="s">
        <v>274</v>
      </c>
      <c r="D90" s="49">
        <v>1</v>
      </c>
      <c r="E90" s="49" t="s">
        <v>131</v>
      </c>
      <c r="F90" s="51">
        <v>1549</v>
      </c>
      <c r="G90" s="49">
        <f t="shared" si="1"/>
        <v>140.81818181818181</v>
      </c>
      <c r="H90" s="49" t="s">
        <v>9</v>
      </c>
      <c r="I90" s="49"/>
      <c r="J90" s="49"/>
      <c r="K90" s="49" t="s">
        <v>17</v>
      </c>
      <c r="L90" s="50">
        <v>45729</v>
      </c>
      <c r="M90" s="49"/>
      <c r="N90" s="49"/>
      <c r="O90" s="49"/>
      <c r="P90" s="49"/>
      <c r="Q90" s="49" t="s">
        <v>97</v>
      </c>
      <c r="R90" s="72">
        <v>45730</v>
      </c>
      <c r="S90" s="3"/>
    </row>
    <row r="91" spans="1:19" x14ac:dyDescent="0.3">
      <c r="A91" s="3">
        <v>90</v>
      </c>
      <c r="B91" s="72">
        <v>45729</v>
      </c>
      <c r="C91" s="49" t="s">
        <v>274</v>
      </c>
      <c r="D91" s="49">
        <v>1</v>
      </c>
      <c r="E91" s="49" t="s">
        <v>92</v>
      </c>
      <c r="F91" s="51">
        <v>1549</v>
      </c>
      <c r="G91" s="49">
        <f t="shared" si="1"/>
        <v>140.81818181818181</v>
      </c>
      <c r="H91" s="49" t="s">
        <v>9</v>
      </c>
      <c r="I91" s="49"/>
      <c r="J91" s="49"/>
      <c r="K91" s="49" t="s">
        <v>17</v>
      </c>
      <c r="L91" s="50">
        <v>45729</v>
      </c>
      <c r="M91" s="49"/>
      <c r="N91" s="49"/>
      <c r="O91" s="49"/>
      <c r="P91" s="49"/>
      <c r="Q91" s="49" t="s">
        <v>97</v>
      </c>
      <c r="R91" s="72">
        <v>45730</v>
      </c>
      <c r="S91" s="3"/>
    </row>
    <row r="92" spans="1:19" x14ac:dyDescent="0.3">
      <c r="A92" s="3">
        <v>91</v>
      </c>
      <c r="B92" s="72">
        <v>45729</v>
      </c>
      <c r="C92" s="49" t="s">
        <v>274</v>
      </c>
      <c r="D92" s="49">
        <v>1</v>
      </c>
      <c r="E92" s="49" t="s">
        <v>267</v>
      </c>
      <c r="F92" s="51">
        <v>1549</v>
      </c>
      <c r="G92" s="49">
        <f t="shared" si="1"/>
        <v>140.81818181818181</v>
      </c>
      <c r="H92" s="49" t="s">
        <v>9</v>
      </c>
      <c r="I92" s="49"/>
      <c r="J92" s="49"/>
      <c r="K92" s="49" t="s">
        <v>17</v>
      </c>
      <c r="L92" s="50">
        <v>45729</v>
      </c>
      <c r="M92" s="49"/>
      <c r="N92" s="49"/>
      <c r="O92" s="49"/>
      <c r="P92" s="49"/>
      <c r="Q92" s="49" t="s">
        <v>97</v>
      </c>
      <c r="R92" s="72">
        <v>45730</v>
      </c>
      <c r="S92" s="3"/>
    </row>
    <row r="93" spans="1:19" x14ac:dyDescent="0.3">
      <c r="A93" s="61">
        <v>92</v>
      </c>
      <c r="B93" s="68">
        <v>45729</v>
      </c>
      <c r="C93" s="49" t="s">
        <v>274</v>
      </c>
      <c r="D93" s="61">
        <v>1</v>
      </c>
      <c r="E93" s="61" t="s">
        <v>118</v>
      </c>
      <c r="F93" s="63">
        <v>1549</v>
      </c>
      <c r="G93" s="61">
        <f t="shared" si="1"/>
        <v>140.81818181818181</v>
      </c>
      <c r="H93" s="61" t="s">
        <v>268</v>
      </c>
      <c r="I93" s="61"/>
      <c r="J93" s="61"/>
      <c r="K93" s="61" t="s">
        <v>17</v>
      </c>
      <c r="L93" s="62">
        <v>45729</v>
      </c>
      <c r="M93" s="61"/>
      <c r="N93" s="61"/>
      <c r="O93" s="61"/>
      <c r="P93" s="61"/>
      <c r="Q93" s="61" t="s">
        <v>97</v>
      </c>
      <c r="R93" s="68">
        <v>45730</v>
      </c>
      <c r="S93" s="3"/>
    </row>
    <row r="94" spans="1:19" x14ac:dyDescent="0.3">
      <c r="A94" s="61">
        <v>93</v>
      </c>
      <c r="B94" s="68">
        <v>45729</v>
      </c>
      <c r="C94" s="49" t="s">
        <v>274</v>
      </c>
      <c r="D94" s="61">
        <v>1</v>
      </c>
      <c r="E94" s="61" t="s">
        <v>118</v>
      </c>
      <c r="F94" s="63">
        <v>1549</v>
      </c>
      <c r="G94" s="61">
        <f t="shared" si="1"/>
        <v>140.81818181818181</v>
      </c>
      <c r="H94" s="61" t="s">
        <v>268</v>
      </c>
      <c r="I94" s="61"/>
      <c r="J94" s="61"/>
      <c r="K94" s="61" t="s">
        <v>17</v>
      </c>
      <c r="L94" s="62">
        <v>45729</v>
      </c>
      <c r="M94" s="61"/>
      <c r="N94" s="61"/>
      <c r="O94" s="61"/>
      <c r="P94" s="61"/>
      <c r="Q94" s="61" t="s">
        <v>97</v>
      </c>
      <c r="R94" s="68">
        <v>45730</v>
      </c>
      <c r="S94" s="3"/>
    </row>
    <row r="95" spans="1:19" x14ac:dyDescent="0.3">
      <c r="A95" s="3">
        <v>94</v>
      </c>
      <c r="B95" s="24">
        <v>45729</v>
      </c>
      <c r="C95" s="3" t="s">
        <v>274</v>
      </c>
      <c r="D95" s="3">
        <v>1</v>
      </c>
      <c r="E95" s="3" t="s">
        <v>133</v>
      </c>
      <c r="F95" s="4">
        <v>1549</v>
      </c>
      <c r="G95" s="3">
        <f t="shared" si="1"/>
        <v>140.81818181818181</v>
      </c>
      <c r="H95" s="3" t="s">
        <v>9</v>
      </c>
      <c r="I95" s="3"/>
      <c r="J95" s="3"/>
      <c r="K95" s="3" t="s">
        <v>17</v>
      </c>
      <c r="L95" s="2">
        <v>45729</v>
      </c>
      <c r="M95" s="3"/>
      <c r="N95" s="3"/>
      <c r="O95" s="3"/>
      <c r="P95" s="3"/>
      <c r="Q95" s="3" t="s">
        <v>97</v>
      </c>
      <c r="R95" s="24">
        <v>45730</v>
      </c>
      <c r="S95" s="3"/>
    </row>
    <row r="96" spans="1:19" x14ac:dyDescent="0.3">
      <c r="A96" s="3">
        <v>95</v>
      </c>
      <c r="B96" s="24">
        <v>45729</v>
      </c>
      <c r="C96" s="3" t="s">
        <v>274</v>
      </c>
      <c r="D96" s="3">
        <v>1</v>
      </c>
      <c r="E96" s="3" t="s">
        <v>133</v>
      </c>
      <c r="F96" s="4">
        <v>1549</v>
      </c>
      <c r="G96" s="3">
        <f t="shared" si="1"/>
        <v>140.81818181818181</v>
      </c>
      <c r="H96" s="3" t="s">
        <v>9</v>
      </c>
      <c r="I96" s="3"/>
      <c r="J96" s="3"/>
      <c r="K96" s="3" t="s">
        <v>17</v>
      </c>
      <c r="L96" s="2">
        <v>45729</v>
      </c>
      <c r="M96" s="3"/>
      <c r="N96" s="3"/>
      <c r="O96" s="3"/>
      <c r="P96" s="3"/>
      <c r="Q96" s="3" t="s">
        <v>97</v>
      </c>
      <c r="R96" s="24">
        <v>45730</v>
      </c>
      <c r="S96" s="3"/>
    </row>
    <row r="97" spans="1:19" x14ac:dyDescent="0.3">
      <c r="A97" s="3">
        <v>96</v>
      </c>
      <c r="B97" s="24">
        <v>45729</v>
      </c>
      <c r="C97" s="3" t="s">
        <v>274</v>
      </c>
      <c r="D97" s="3">
        <v>1</v>
      </c>
      <c r="E97" s="3" t="s">
        <v>116</v>
      </c>
      <c r="F97" s="4">
        <v>1549</v>
      </c>
      <c r="G97" s="3">
        <f t="shared" si="1"/>
        <v>140.81818181818181</v>
      </c>
      <c r="H97" s="3" t="s">
        <v>9</v>
      </c>
      <c r="I97" s="3"/>
      <c r="J97" s="3"/>
      <c r="K97" s="3" t="s">
        <v>17</v>
      </c>
      <c r="L97" s="2">
        <v>45729</v>
      </c>
      <c r="M97" s="3"/>
      <c r="N97" s="3"/>
      <c r="O97" s="3"/>
      <c r="P97" s="3"/>
      <c r="Q97" s="3" t="s">
        <v>97</v>
      </c>
      <c r="R97" s="24">
        <v>45730</v>
      </c>
      <c r="S97" s="3"/>
    </row>
    <row r="98" spans="1:19" x14ac:dyDescent="0.3">
      <c r="A98" s="3">
        <v>97</v>
      </c>
      <c r="B98" s="24">
        <v>45731</v>
      </c>
      <c r="C98" s="3" t="s">
        <v>273</v>
      </c>
      <c r="D98" s="3">
        <v>1</v>
      </c>
      <c r="E98" s="3" t="s">
        <v>265</v>
      </c>
      <c r="F98" s="4">
        <v>2349</v>
      </c>
      <c r="G98" s="3">
        <f t="shared" si="1"/>
        <v>213.54545454545453</v>
      </c>
      <c r="H98" s="3" t="s">
        <v>139</v>
      </c>
      <c r="I98" s="3"/>
      <c r="J98" s="3"/>
      <c r="K98" s="3" t="s">
        <v>266</v>
      </c>
      <c r="L98" s="3"/>
      <c r="M98" s="3"/>
      <c r="N98" s="3"/>
      <c r="O98" s="3"/>
      <c r="P98" s="3"/>
      <c r="Q98" s="3"/>
      <c r="R98" s="3"/>
      <c r="S98" s="3"/>
    </row>
    <row r="99" spans="1:19" x14ac:dyDescent="0.3">
      <c r="A99" s="3">
        <v>98</v>
      </c>
      <c r="B99" s="2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3">
      <c r="A100" s="31">
        <v>99</v>
      </c>
      <c r="B100" s="24"/>
      <c r="C100" s="3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</row>
    <row r="101" spans="1:19" x14ac:dyDescent="0.3">
      <c r="A101" s="3">
        <v>100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3">
      <c r="A102" s="3">
        <v>101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">
      <c r="A103" s="3">
        <v>102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3">
      <c r="A104" s="3">
        <v>103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">
      <c r="A105" s="3">
        <v>104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3">
      <c r="A106" s="3">
        <v>105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3">
      <c r="A107" s="3">
        <v>106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3">
      <c r="A108" s="3">
        <v>107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3">
      <c r="A109" s="3">
        <v>108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3">
      <c r="A110" s="3">
        <v>109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3">
      <c r="A111" s="3">
        <v>110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3">
      <c r="A112" s="3">
        <v>111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3">
      <c r="A113" s="3">
        <v>112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3">
      <c r="A114" s="3">
        <v>113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3">
      <c r="A115" s="3">
        <v>114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3">
      <c r="A116" s="3">
        <v>115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3">
      <c r="A117" s="3">
        <v>116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3">
      <c r="A118" s="3">
        <v>117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3">
      <c r="A119" s="3">
        <v>118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3">
      <c r="A120" s="3">
        <v>119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3">
      <c r="A121" s="3">
        <v>120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3">
      <c r="A122" s="3">
        <v>121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3">
      <c r="A123" s="3">
        <v>122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3">
      <c r="A124" s="3">
        <v>123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</sheetData>
  <autoFilter ref="A1:S124" xr:uid="{10B9D0C0-FDE0-451E-AF58-840DE49B0758}">
    <filterColumn colId="17">
      <filters blank="1">
        <dateGroupItem year="2025" month="3" dateTimeGrouping="month"/>
      </filters>
    </filterColumn>
  </autoFilter>
  <hyperlinks>
    <hyperlink ref="M11" r:id="rId1" display="https://www.apple.com/xc/au-edu/vieworder/W1451174620/Anwar.ali2051@outlook.com" xr:uid="{0C9B16F8-7FAF-4375-8250-12D361FFFCFE}"/>
    <hyperlink ref="O11" r:id="rId2" xr:uid="{0E3C7A39-2AD1-42FD-BBFD-73E22DDA1CBD}"/>
    <hyperlink ref="M13" r:id="rId3" display="https://www.apple.com/xc/au-edu/vieworder/W1463493598/atiya.hayat2000@outlook.com" xr:uid="{31E9DE2F-FCC0-4217-A372-F56B167035D8}"/>
    <hyperlink ref="M15" r:id="rId4" display="https://www.apple.com/xc/au-edu/vieworder/W1405425780/amaan.pasha@outlook.com.au" xr:uid="{FB32D932-972B-4A92-9938-59BDD2E3982B}"/>
    <hyperlink ref="O15" r:id="rId5" xr:uid="{13AF52C8-94F9-4536-86F3-04FDBDE81F04}"/>
    <hyperlink ref="O16" r:id="rId6" xr:uid="{1814CD61-C28A-4910-81B3-E285839974A6}"/>
    <hyperlink ref="M19" r:id="rId7" display="https://www.apple.com/xc/au-edu/vieworder/W1300382577/Muhammad.khan2000@outlook.com" xr:uid="{B366D327-1B96-4073-B074-BAF26222E513}"/>
    <hyperlink ref="M20" r:id="rId8" display="https://www.apple.com/xc/au-edu/vieworder/W1302728463/amaans_uk@icloud.com" xr:uid="{8CDDBB03-F904-401C-9B75-311FCB0B80FC}"/>
    <hyperlink ref="O20" r:id="rId9" xr:uid="{0CEAC783-0D16-40C8-9092-AA4A2949FD67}"/>
    <hyperlink ref="O21" r:id="rId10" xr:uid="{C5472476-8616-426B-84D4-E4ED37968E44}"/>
    <hyperlink ref="O22" r:id="rId11" xr:uid="{1BBDDC6A-B315-4D3F-9B42-B7B499188AF9}"/>
    <hyperlink ref="M23" r:id="rId12" display="https://www.apple.com/xc/au-edu/vieworder/W1398071991/Muhammad.khan2000@outlook.com" xr:uid="{3152997F-8280-48ED-9F4C-6498237375FC}"/>
    <hyperlink ref="M24" r:id="rId13" display="https://www.apple.com/xc/au-edu/vieworder/W1320644753/atiya.hayat2000@outlook.com" xr:uid="{01F9CF21-8830-4C78-B358-915D16B31F19}"/>
    <hyperlink ref="O28" r:id="rId14" xr:uid="{D98AD044-9103-4BFA-A784-597433F47666}"/>
    <hyperlink ref="M29" r:id="rId15" display="https://www.apple.com/xc/au-edu/vieworder/W1348825231/Sydney.khan2514@outlook.com" xr:uid="{B21051D0-8F79-4555-925A-77BDB6623290}"/>
    <hyperlink ref="M30" r:id="rId16" display="https://www.apple.com/xc/au-edu/vieworder/W1581701486/noaman.mughal2000@outlook.com" xr:uid="{676B7DB9-42E8-4150-B924-796BCFD380A2}"/>
    <hyperlink ref="O30" r:id="rId17" xr:uid="{E14E1E2B-CBA4-4FB8-8BBD-D14D67ACA6E7}"/>
    <hyperlink ref="M31" r:id="rId18" display="https://www.apple.com/xc/au-edu/vieworder/W1552448382/amaan.pasha2323@outlook.com" xr:uid="{6B35DDFA-EC52-4062-A57B-5D07CF34C26A}"/>
    <hyperlink ref="M32" r:id="rId19" display="https://www.apple.com/xc/au-edu/vieworder/W1336422109/amaan.sydney2000@gamil.com" xr:uid="{E9324A50-7E57-48C9-AC9A-6F7BD3FF3FCF}"/>
    <hyperlink ref="O32" r:id="rId20" xr:uid="{0DC512E8-419A-4AB3-905D-D0728657F1D0}"/>
    <hyperlink ref="M36" r:id="rId21" display="https://www.apple.com/xc/au-edu/vieworder/W1395180275/amaan.pasha2323@outlook.com" xr:uid="{9D086D84-0C2B-40B8-A481-8E41D032DFED}"/>
    <hyperlink ref="M37" r:id="rId22" display="https://www.apple.com/xc/au-edu/vieworder/W1526916035/amaan.sydney2000@gmail.com" xr:uid="{FDF665FF-72D8-47E1-81CA-6EED305046D5}"/>
    <hyperlink ref="O37" r:id="rId23" xr:uid="{6A23D7EB-8A91-4F81-BA1D-85F511B605E9}"/>
    <hyperlink ref="M38" r:id="rId24" display="https://www.apple.com/xc/au-edu/vieworder/W1511643423/noaman.mughal2000@outlook.com" xr:uid="{FCF3C83E-78E1-4AF6-B250-986142377902}"/>
    <hyperlink ref="O38" r:id="rId25" xr:uid="{0C0309EA-6782-4827-98EA-BFBD98CE7456}"/>
    <hyperlink ref="M45" r:id="rId26" display="https://www.apple.com/xc/au-edu/vieworder/W1528341115/amaan.sydney2026@outlook.com" xr:uid="{66615E6A-7578-4040-9DE8-522AF73126B7}"/>
    <hyperlink ref="O45" r:id="rId27" xr:uid="{90D69C38-73F4-41BC-8BB3-8A42353ECB8F}"/>
    <hyperlink ref="O48" r:id="rId28" xr:uid="{2D00C646-FACC-4491-A335-2AA07C229E5A}"/>
    <hyperlink ref="O49" r:id="rId29" xr:uid="{3053A4E6-DE3B-4ADE-99EF-F39B9BCA7D84}"/>
    <hyperlink ref="M49" r:id="rId30" display="https://www.apple.com/xc/au-edu/vieworder/W1591350222/Yashal.Pasha2000@outlook.com" xr:uid="{9862B829-3650-4245-B5FF-0053A70FC355}"/>
    <hyperlink ref="O51" r:id="rId31" xr:uid="{1C66C6C8-4723-4A14-95C6-9A7D24FE3080}"/>
    <hyperlink ref="O50" r:id="rId32" xr:uid="{8853B9CD-DAA9-4326-BB27-814AA72986E3}"/>
    <hyperlink ref="M52" r:id="rId33" display="https://www.apple.com/xc/au-edu/vieworder/W1582338937/sydney.khan2500@outlook.com" xr:uid="{9FBCD319-AB27-4DEA-8F96-65A9F325491A}"/>
    <hyperlink ref="M53" r:id="rId34" display="https://www.apple.com/xc/au-edu/vieworder/W1584750454/david.sydney2000@outlook.com" xr:uid="{193AFEC3-F0BF-4339-B535-411CCA76AEC8}"/>
    <hyperlink ref="O53" r:id="rId35" xr:uid="{AF3C3306-CDC7-4A69-8D08-5EEDFA84EA67}"/>
    <hyperlink ref="M54" r:id="rId36" display="https://www.apple.com/xc/au-edu/vieworder/W1551728191/John.patel2001@outlook.com" xr:uid="{E47149CF-CDC0-4FE0-B6FA-70194007B489}"/>
    <hyperlink ref="M55" r:id="rId37" display="https://www.apple.com/xc/au-edu/vieworder/W1550885531/waqar.sheikh2000@outlook.com" xr:uid="{FA9D9736-4564-434A-9467-BACFE5D57DC4}"/>
    <hyperlink ref="O55" r:id="rId38" xr:uid="{81195B5F-ABB7-4648-B24A-3BD893157E6C}"/>
    <hyperlink ref="O61" r:id="rId39" xr:uid="{B2D85001-7C80-4415-878C-C1E7207CDBD1}"/>
    <hyperlink ref="M62" r:id="rId40" display="https://www.apple.com/xc/au-edu/vieworder/W1647501319/abdul.majid2000@outlook.com" xr:uid="{88AE0842-929B-4ACA-941C-0FF35A038CAA}"/>
    <hyperlink ref="O62" r:id="rId41" xr:uid="{0D4F9128-864B-4230-A8D4-B41BD2307D8A}"/>
    <hyperlink ref="M63" r:id="rId42" display="https://www.apple.com/xc/au-edu/vieworder/W1349722757/Moon.light99999@outlook.com" xr:uid="{788811E3-8029-433D-8B14-194C4D4A7EAF}"/>
    <hyperlink ref="M64" r:id="rId43" display="https://www.apple.com/xc/au-edu/vieworder/W1347919470/sunshine.coast2000@outlook.com" xr:uid="{50E3D2E6-FE23-4F79-9476-709F33AF3760}"/>
    <hyperlink ref="M65" r:id="rId44" display="https://www.apple.com/xc/au-edu/vieworder/W1331642193/greenland.2000@outlook.com" xr:uid="{C4F931FD-EBEE-4615-B759-195DB035E18C}"/>
    <hyperlink ref="M66" r:id="rId45" display="https://www.apple.com/xc/au-edu/vieworder/W1356053435/suzuki.swift2000@outlook.com" xr:uid="{B10BF791-366B-46B8-988C-81806E22599A}"/>
    <hyperlink ref="O66" r:id="rId46" xr:uid="{3B26230A-34ED-4410-BBC0-7D69F65A6BAD}"/>
    <hyperlink ref="M67" r:id="rId47" display="https://www.apple.com/xc/au-edu/vieworder/W1301497410/amaan.sydney2000@gmail.com" xr:uid="{38C340AF-2EA0-402C-9A2C-3DCF8BB02D95}"/>
    <hyperlink ref="O67" r:id="rId48" xr:uid="{705238BC-234C-4841-9F56-3211A93F7B6C}"/>
    <hyperlink ref="O68" r:id="rId49" xr:uid="{9BE53E04-D6B2-4740-B77B-381ADD53619A}"/>
    <hyperlink ref="M70" r:id="rId50" display="https://www.apple.com/xc/au-edu/vieworder/W1380096678/ahmed.sheikh200@outlook.com" xr:uid="{9336F4AA-33DB-45FD-A102-FCFD53B178C0}"/>
    <hyperlink ref="O70" r:id="rId51" xr:uid="{B5DFDC9A-763D-4670-B95B-3A829C8E2B25}"/>
    <hyperlink ref="M71" r:id="rId52" display="https://www.apple.com/xc/au-edu/vieworder/W1321645574/zunera.khatoon@outlook.com" xr:uid="{648CEA1D-12C1-4B2B-A532-8D9F65944E43}"/>
    <hyperlink ref="M72" r:id="rId53" display="https://www.apple.com/xc/au-edu/vieworder/W1580247496/Mariam.waheed2000@outlook.com" xr:uid="{D54D8962-EEE3-4631-8AB3-1161CC45F1DA}"/>
    <hyperlink ref="O72" r:id="rId54" xr:uid="{4F8009A2-536B-4F29-9695-16B14F2684C4}"/>
    <hyperlink ref="M73" r:id="rId55" display="https://www.apple.com/xc/au-edu/vieworder/W1586282564/Pasha.Mariam@outlook.com" xr:uid="{2324B14E-4F9C-459F-BD61-EA6665D848CB}"/>
    <hyperlink ref="O73" r:id="rId56" xr:uid="{4E0A0DC5-D4BF-4B2F-BF1D-7424E62E371D}"/>
    <hyperlink ref="O74" r:id="rId57" xr:uid="{DF29166E-CA39-48DA-9921-3048446CE4AE}"/>
    <hyperlink ref="O75" r:id="rId58" xr:uid="{7DABA86C-C12A-47A9-B5DF-043FDAE9EB1B}"/>
    <hyperlink ref="M75" r:id="rId59" display="https://www.apple.com/xc/au-edu/vieworder/W1546523794/Izzah.amaan@outlook.com" xr:uid="{A3A11C8F-3BDE-4A67-84CD-53F1280010D2}"/>
    <hyperlink ref="M74" r:id="rId60" display="https://www.apple.com/xc/au-edu/vieworder/W1541050510/Yashal.apple@outlook.com" xr:uid="{2194DD67-5501-4CE0-AC74-48826B76FA3C}"/>
    <hyperlink ref="M81" r:id="rId61" display="https://www.apple.com/xc/au-edu/vieworder/W1511053414/Shane.miller22@outlook.com" xr:uid="{38B30A7B-6A77-453E-B610-829C6504C93D}"/>
    <hyperlink ref="O81" r:id="rId62" xr:uid="{FDF8A5C1-A6F2-455B-A889-C024218D7B56}"/>
    <hyperlink ref="M82" r:id="rId63" display="https://www.apple.com/xc/au-edu/vieworder/W1392040922/Bluesky.2000@outlook.com" xr:uid="{8023BA7B-7AA3-4AC1-A5CF-FD26F8F5D969}"/>
    <hyperlink ref="M85" r:id="rId64" display="https://www.apple.com/xc/au-edu/vieworder/W1538603630/Blueocean.2000@outlook.com" xr:uid="{AA775020-BE31-41ED-BB81-92063DB4FC70}"/>
    <hyperlink ref="O86" r:id="rId65" xr:uid="{7B9E4138-20A6-4FFA-87C3-2F486527F712}"/>
  </hyperlinks>
  <pageMargins left="0.7" right="0.7" top="0.75" bottom="0.75" header="0.3" footer="0.3"/>
  <pageSetup orientation="portrait"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8108-42FB-4431-BDB1-FD2848368047}">
  <dimension ref="A1:F26"/>
  <sheetViews>
    <sheetView workbookViewId="0">
      <selection activeCell="B26" sqref="B26"/>
    </sheetView>
  </sheetViews>
  <sheetFormatPr defaultRowHeight="14.4" x14ac:dyDescent="0.3"/>
  <cols>
    <col min="1" max="1" width="9.5546875" bestFit="1" customWidth="1"/>
    <col min="2" max="2" width="19.5546875" bestFit="1" customWidth="1"/>
    <col min="6" max="6" width="12.6640625" bestFit="1" customWidth="1"/>
  </cols>
  <sheetData>
    <row r="1" spans="1:6" x14ac:dyDescent="0.3">
      <c r="B1" t="s">
        <v>135</v>
      </c>
      <c r="C1" t="s">
        <v>141</v>
      </c>
      <c r="D1" t="s">
        <v>137</v>
      </c>
    </row>
    <row r="2" spans="1:6" x14ac:dyDescent="0.3">
      <c r="B2" t="s">
        <v>197</v>
      </c>
      <c r="C2" s="27">
        <v>151</v>
      </c>
      <c r="D2" s="27">
        <v>2500</v>
      </c>
    </row>
    <row r="3" spans="1:6" x14ac:dyDescent="0.3">
      <c r="B3" s="26" t="s">
        <v>198</v>
      </c>
      <c r="C3" s="27">
        <v>151</v>
      </c>
      <c r="D3" s="27">
        <v>2500</v>
      </c>
    </row>
    <row r="4" spans="1:6" x14ac:dyDescent="0.3">
      <c r="B4" t="s">
        <v>199</v>
      </c>
      <c r="C4" s="27">
        <v>151</v>
      </c>
      <c r="D4" s="27">
        <v>2500</v>
      </c>
    </row>
    <row r="5" spans="1:6" x14ac:dyDescent="0.3">
      <c r="B5" t="s">
        <v>200</v>
      </c>
      <c r="C5" s="27">
        <v>151</v>
      </c>
      <c r="D5" s="27">
        <v>2500</v>
      </c>
    </row>
    <row r="6" spans="1:6" x14ac:dyDescent="0.3">
      <c r="B6" t="s">
        <v>202</v>
      </c>
      <c r="C6" s="27">
        <v>151</v>
      </c>
    </row>
    <row r="7" spans="1:6" x14ac:dyDescent="0.3">
      <c r="A7" s="30">
        <v>45722</v>
      </c>
      <c r="B7" s="29" t="s">
        <v>203</v>
      </c>
      <c r="C7" s="28">
        <v>500</v>
      </c>
      <c r="D7" s="27">
        <v>0</v>
      </c>
      <c r="F7" s="6" t="s">
        <v>210</v>
      </c>
    </row>
    <row r="8" spans="1:6" x14ac:dyDescent="0.3">
      <c r="A8" s="30">
        <v>45722</v>
      </c>
      <c r="B8" s="29" t="s">
        <v>204</v>
      </c>
      <c r="C8" s="28">
        <v>1000</v>
      </c>
      <c r="D8" s="27">
        <v>0</v>
      </c>
      <c r="F8" s="6" t="s">
        <v>210</v>
      </c>
    </row>
    <row r="9" spans="1:6" x14ac:dyDescent="0.3">
      <c r="A9" s="30">
        <v>45722</v>
      </c>
      <c r="B9" s="29" t="s">
        <v>205</v>
      </c>
      <c r="C9" s="28">
        <v>200</v>
      </c>
      <c r="D9">
        <v>0</v>
      </c>
      <c r="F9" s="6" t="s">
        <v>210</v>
      </c>
    </row>
    <row r="10" spans="1:6" x14ac:dyDescent="0.3">
      <c r="B10" s="19" t="s">
        <v>206</v>
      </c>
      <c r="C10" s="27">
        <v>51</v>
      </c>
      <c r="D10">
        <v>51</v>
      </c>
      <c r="F10" s="6" t="s">
        <v>218</v>
      </c>
    </row>
    <row r="11" spans="1:6" x14ac:dyDescent="0.3">
      <c r="B11" t="s">
        <v>207</v>
      </c>
      <c r="C11" s="27">
        <v>36</v>
      </c>
      <c r="D11">
        <v>36</v>
      </c>
    </row>
    <row r="12" spans="1:6" x14ac:dyDescent="0.3">
      <c r="A12" s="30">
        <v>45722</v>
      </c>
      <c r="B12" s="29" t="s">
        <v>208</v>
      </c>
      <c r="C12" s="28">
        <v>500</v>
      </c>
      <c r="D12">
        <v>0</v>
      </c>
      <c r="F12" s="6" t="s">
        <v>210</v>
      </c>
    </row>
    <row r="13" spans="1:6" x14ac:dyDescent="0.3">
      <c r="A13" s="30">
        <v>45722</v>
      </c>
      <c r="B13" s="29" t="s">
        <v>209</v>
      </c>
      <c r="C13" s="28">
        <v>200</v>
      </c>
      <c r="E13">
        <v>36</v>
      </c>
      <c r="F13" s="6" t="s">
        <v>210</v>
      </c>
    </row>
    <row r="14" spans="1:6" x14ac:dyDescent="0.3">
      <c r="B14" s="19" t="s">
        <v>216</v>
      </c>
      <c r="C14" s="28">
        <v>2300</v>
      </c>
      <c r="D14" t="s">
        <v>247</v>
      </c>
      <c r="F14" s="6" t="s">
        <v>218</v>
      </c>
    </row>
    <row r="15" spans="1:6" x14ac:dyDescent="0.3">
      <c r="B15" t="s">
        <v>220</v>
      </c>
      <c r="C15" s="28">
        <v>0</v>
      </c>
    </row>
    <row r="16" spans="1:6" x14ac:dyDescent="0.3">
      <c r="B16" t="s">
        <v>239</v>
      </c>
      <c r="C16" s="28">
        <v>0</v>
      </c>
    </row>
    <row r="17" spans="2:4" x14ac:dyDescent="0.3">
      <c r="B17" s="32" t="s">
        <v>240</v>
      </c>
      <c r="C17" s="28">
        <v>2200</v>
      </c>
    </row>
    <row r="18" spans="2:4" x14ac:dyDescent="0.3">
      <c r="B18" s="32" t="s">
        <v>241</v>
      </c>
      <c r="C18" s="28">
        <v>2200</v>
      </c>
    </row>
    <row r="19" spans="2:4" x14ac:dyDescent="0.3">
      <c r="B19" t="s">
        <v>248</v>
      </c>
      <c r="C19" s="28">
        <v>200</v>
      </c>
      <c r="D19">
        <v>136</v>
      </c>
    </row>
    <row r="20" spans="2:4" x14ac:dyDescent="0.3">
      <c r="B20" t="s">
        <v>249</v>
      </c>
      <c r="D20">
        <v>0</v>
      </c>
    </row>
    <row r="21" spans="2:4" x14ac:dyDescent="0.3">
      <c r="B21" t="s">
        <v>199</v>
      </c>
    </row>
    <row r="22" spans="2:4" x14ac:dyDescent="0.3">
      <c r="B22" t="s">
        <v>252</v>
      </c>
      <c r="C22" s="28">
        <v>2500</v>
      </c>
      <c r="D22">
        <v>151</v>
      </c>
    </row>
    <row r="23" spans="2:4" x14ac:dyDescent="0.3">
      <c r="B23" t="s">
        <v>253</v>
      </c>
      <c r="C23" s="28">
        <v>2500</v>
      </c>
    </row>
    <row r="24" spans="2:4" x14ac:dyDescent="0.3">
      <c r="B24" t="s">
        <v>258</v>
      </c>
      <c r="D24">
        <v>0</v>
      </c>
    </row>
    <row r="25" spans="2:4" x14ac:dyDescent="0.3">
      <c r="B25" t="s">
        <v>259</v>
      </c>
      <c r="D25" t="s">
        <v>260</v>
      </c>
    </row>
    <row r="26" spans="2:4" x14ac:dyDescent="0.3">
      <c r="B26" t="s">
        <v>261</v>
      </c>
    </row>
  </sheetData>
  <hyperlinks>
    <hyperlink ref="F7" r:id="rId1" display="https://www.apple.com/xc/au-edu/vieworder/W1356053435/suzuki.swift2000@outlook.com" xr:uid="{349250F8-8880-40B7-B05C-A1211F536D6F}"/>
    <hyperlink ref="F8:F9" r:id="rId2" display="https://www.apple.com/xc/au-edu/vieworder/W1356053435/suzuki.swift2000@outlook.com" xr:uid="{42DC754F-5B8F-48D7-A975-06D4AD1FAEF1}"/>
    <hyperlink ref="F12" r:id="rId3" display="https://www.apple.com/xc/au-edu/vieworder/W1356053435/suzuki.swift2000@outlook.com" xr:uid="{72CBEAD0-E49B-4F23-AC6B-E038AA39B2A3}"/>
    <hyperlink ref="F13" r:id="rId4" display="https://www.apple.com/xc/au-edu/vieworder/W1356053435/suzuki.swift2000@outlook.com" xr:uid="{02F5612A-981E-47CC-943D-7D84C43A5A7A}"/>
    <hyperlink ref="F14" r:id="rId5" display="https://www.apple.com/xc/au-edu/vieworder/W1380096678/ahmed.sheikh200@outlook.com" xr:uid="{9C63DEB5-17B3-4F0D-8BF4-491833CCA088}"/>
    <hyperlink ref="F10" r:id="rId6" display="https://www.apple.com/xc/au-edu/vieworder/W1380096678/ahmed.sheikh200@outlook.com" xr:uid="{57B548AA-5C62-492D-83B8-2484F28589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628A-6D78-43A1-947E-6882B8662842}">
  <dimension ref="A1:M27"/>
  <sheetViews>
    <sheetView workbookViewId="0">
      <selection activeCell="F18" sqref="F18"/>
    </sheetView>
  </sheetViews>
  <sheetFormatPr defaultRowHeight="14.4" x14ac:dyDescent="0.3"/>
  <cols>
    <col min="2" max="2" width="9.5546875" bestFit="1" customWidth="1"/>
    <col min="3" max="3" width="18.109375" bestFit="1" customWidth="1"/>
    <col min="6" max="6" width="12.109375" bestFit="1" customWidth="1"/>
    <col min="7" max="7" width="12" bestFit="1" customWidth="1"/>
    <col min="8" max="8" width="14.44140625" bestFit="1" customWidth="1"/>
  </cols>
  <sheetData>
    <row r="1" spans="1:13" x14ac:dyDescent="0.3">
      <c r="A1" s="1" t="s">
        <v>14</v>
      </c>
      <c r="B1" s="1" t="s">
        <v>0</v>
      </c>
      <c r="C1" s="1" t="s">
        <v>3</v>
      </c>
      <c r="D1" s="1" t="s">
        <v>137</v>
      </c>
      <c r="E1" s="1" t="s">
        <v>2</v>
      </c>
      <c r="F1" s="1" t="s">
        <v>140</v>
      </c>
      <c r="G1" s="1" t="s">
        <v>138</v>
      </c>
      <c r="H1" s="1" t="s">
        <v>142</v>
      </c>
      <c r="I1" s="1" t="s">
        <v>137</v>
      </c>
      <c r="J1" s="1" t="s">
        <v>141</v>
      </c>
      <c r="K1" s="3"/>
      <c r="L1" s="3"/>
      <c r="M1" s="3"/>
    </row>
    <row r="2" spans="1:13" x14ac:dyDescent="0.3">
      <c r="A2" s="3">
        <v>1</v>
      </c>
      <c r="B2" s="2">
        <v>45717</v>
      </c>
      <c r="C2" s="3" t="s">
        <v>131</v>
      </c>
      <c r="D2" s="4">
        <v>2500</v>
      </c>
      <c r="E2" s="3">
        <v>1</v>
      </c>
      <c r="F2" s="4">
        <f>(D2*E2)</f>
        <v>2500</v>
      </c>
      <c r="G2" s="3" t="s">
        <v>139</v>
      </c>
      <c r="H2" s="3" t="s">
        <v>118</v>
      </c>
      <c r="I2" s="4">
        <v>2349</v>
      </c>
      <c r="J2" s="4">
        <f>(F2-I2)</f>
        <v>151</v>
      </c>
      <c r="K2" s="3"/>
      <c r="L2" s="3"/>
      <c r="M2" s="3"/>
    </row>
    <row r="3" spans="1:13" x14ac:dyDescent="0.3">
      <c r="A3" s="3">
        <v>2</v>
      </c>
      <c r="B3" s="2">
        <v>45717</v>
      </c>
      <c r="C3" s="3" t="s">
        <v>131</v>
      </c>
      <c r="D3" s="4">
        <v>2500</v>
      </c>
      <c r="E3" s="3">
        <v>1</v>
      </c>
      <c r="F3" s="4">
        <f t="shared" ref="F3:F15" si="0">(D3*E3)</f>
        <v>2500</v>
      </c>
      <c r="G3" s="3" t="s">
        <v>139</v>
      </c>
      <c r="H3" s="3"/>
      <c r="I3" s="3"/>
      <c r="J3" s="3"/>
      <c r="K3" s="3"/>
      <c r="L3" s="3"/>
      <c r="M3" s="3"/>
    </row>
    <row r="4" spans="1:13" x14ac:dyDescent="0.3">
      <c r="A4" s="3">
        <v>3</v>
      </c>
      <c r="B4" s="2">
        <v>45717</v>
      </c>
      <c r="C4" s="3" t="s">
        <v>131</v>
      </c>
      <c r="D4" s="4">
        <v>2500</v>
      </c>
      <c r="E4" s="3">
        <v>1</v>
      </c>
      <c r="F4" s="4">
        <f t="shared" si="0"/>
        <v>2500</v>
      </c>
      <c r="G4" s="3" t="s">
        <v>139</v>
      </c>
      <c r="H4" s="3"/>
      <c r="I4" s="3"/>
      <c r="J4" s="3"/>
      <c r="K4" s="3"/>
      <c r="L4" s="3"/>
      <c r="M4" s="3"/>
    </row>
    <row r="5" spans="1:13" x14ac:dyDescent="0.3">
      <c r="A5" s="3">
        <v>4</v>
      </c>
      <c r="B5" s="2">
        <v>45717</v>
      </c>
      <c r="C5" s="3" t="s">
        <v>92</v>
      </c>
      <c r="D5" s="4">
        <v>200</v>
      </c>
      <c r="E5" s="3">
        <v>10</v>
      </c>
      <c r="F5" s="4">
        <f t="shared" si="0"/>
        <v>2000</v>
      </c>
      <c r="G5" s="3" t="s">
        <v>139</v>
      </c>
      <c r="H5" s="3"/>
      <c r="I5" s="3"/>
      <c r="J5" s="3"/>
      <c r="K5" s="3"/>
      <c r="L5" s="3"/>
      <c r="M5" s="3"/>
    </row>
    <row r="6" spans="1:13" x14ac:dyDescent="0.3">
      <c r="A6" s="3">
        <v>5</v>
      </c>
      <c r="B6" s="2">
        <v>45717</v>
      </c>
      <c r="C6" s="3" t="s">
        <v>160</v>
      </c>
      <c r="D6" s="4">
        <v>500</v>
      </c>
      <c r="E6" s="3">
        <v>4</v>
      </c>
      <c r="F6" s="4">
        <f t="shared" si="0"/>
        <v>2000</v>
      </c>
      <c r="G6" s="3" t="s">
        <v>139</v>
      </c>
      <c r="H6" s="3"/>
      <c r="I6" s="3"/>
      <c r="J6" s="3"/>
      <c r="K6" s="3"/>
      <c r="L6" s="3"/>
      <c r="M6" s="3"/>
    </row>
    <row r="7" spans="1:13" x14ac:dyDescent="0.3">
      <c r="A7" s="3">
        <v>6</v>
      </c>
      <c r="B7" s="2">
        <v>45718</v>
      </c>
      <c r="C7" s="3" t="s">
        <v>160</v>
      </c>
      <c r="D7" s="4">
        <v>500</v>
      </c>
      <c r="E7" s="3">
        <v>4</v>
      </c>
      <c r="F7" s="4">
        <f t="shared" si="0"/>
        <v>2000</v>
      </c>
      <c r="G7" s="3" t="s">
        <v>139</v>
      </c>
      <c r="H7" s="3"/>
      <c r="I7" s="3"/>
      <c r="J7" s="3"/>
      <c r="K7" s="3"/>
      <c r="L7" s="3"/>
      <c r="M7" s="3"/>
    </row>
    <row r="8" spans="1:13" x14ac:dyDescent="0.3">
      <c r="A8" s="3">
        <v>7</v>
      </c>
      <c r="B8" s="2">
        <v>45718</v>
      </c>
      <c r="C8" s="3" t="s">
        <v>159</v>
      </c>
      <c r="D8" s="4">
        <v>500</v>
      </c>
      <c r="E8" s="3">
        <v>4</v>
      </c>
      <c r="F8" s="4">
        <f t="shared" si="0"/>
        <v>2000</v>
      </c>
      <c r="G8" s="3" t="s">
        <v>139</v>
      </c>
      <c r="H8" s="3"/>
      <c r="I8" s="3"/>
      <c r="J8" s="3"/>
      <c r="K8" s="3"/>
      <c r="L8" s="3"/>
      <c r="M8" s="3"/>
    </row>
    <row r="9" spans="1:13" x14ac:dyDescent="0.3">
      <c r="A9" s="3">
        <v>8</v>
      </c>
      <c r="B9" s="2">
        <v>45719</v>
      </c>
      <c r="C9" s="3" t="s">
        <v>160</v>
      </c>
      <c r="D9" s="4">
        <v>500</v>
      </c>
      <c r="E9" s="3">
        <v>5</v>
      </c>
      <c r="F9" s="4">
        <f t="shared" si="0"/>
        <v>2500</v>
      </c>
      <c r="G9" s="3" t="s">
        <v>139</v>
      </c>
      <c r="H9" s="3"/>
      <c r="I9" s="3"/>
      <c r="J9" s="3"/>
      <c r="K9" s="3"/>
      <c r="L9" s="3"/>
      <c r="M9" s="3"/>
    </row>
    <row r="10" spans="1:13" x14ac:dyDescent="0.3">
      <c r="A10" s="3">
        <v>9</v>
      </c>
      <c r="B10" s="2">
        <v>45720</v>
      </c>
      <c r="C10" s="3" t="s">
        <v>118</v>
      </c>
      <c r="D10" s="3">
        <v>2500</v>
      </c>
      <c r="E10" s="3">
        <v>3</v>
      </c>
      <c r="F10" s="4">
        <f t="shared" si="0"/>
        <v>7500</v>
      </c>
      <c r="G10" s="3" t="s">
        <v>139</v>
      </c>
      <c r="H10" s="3"/>
      <c r="I10" s="3"/>
      <c r="J10" s="3"/>
      <c r="K10" s="3"/>
      <c r="L10" s="3"/>
      <c r="M10" s="3"/>
    </row>
    <row r="11" spans="1:13" x14ac:dyDescent="0.3">
      <c r="A11" s="3">
        <v>10</v>
      </c>
      <c r="B11" s="2">
        <v>45720</v>
      </c>
      <c r="C11" s="3" t="s">
        <v>116</v>
      </c>
      <c r="D11" s="3">
        <v>2500</v>
      </c>
      <c r="E11" s="3">
        <v>2</v>
      </c>
      <c r="F11" s="4">
        <f t="shared" si="0"/>
        <v>5000</v>
      </c>
      <c r="G11" s="3" t="s">
        <v>139</v>
      </c>
      <c r="H11" s="3"/>
      <c r="I11" s="3"/>
      <c r="J11" s="3"/>
      <c r="K11" s="3"/>
      <c r="L11" s="3"/>
      <c r="M11" s="3"/>
    </row>
    <row r="12" spans="1:13" x14ac:dyDescent="0.3">
      <c r="A12" s="3">
        <v>11</v>
      </c>
      <c r="B12" s="2">
        <v>45720</v>
      </c>
      <c r="C12" s="3" t="s">
        <v>133</v>
      </c>
      <c r="D12" s="3">
        <v>1000</v>
      </c>
      <c r="E12" s="3">
        <v>1</v>
      </c>
      <c r="F12" s="4">
        <f t="shared" si="0"/>
        <v>1000</v>
      </c>
      <c r="G12" s="3" t="s">
        <v>139</v>
      </c>
      <c r="H12" s="3"/>
      <c r="I12" s="3"/>
      <c r="J12" s="3"/>
      <c r="K12" s="3"/>
      <c r="L12" s="3"/>
      <c r="M12" s="3"/>
    </row>
    <row r="13" spans="1:13" x14ac:dyDescent="0.3">
      <c r="A13" s="3">
        <v>12</v>
      </c>
      <c r="B13" s="2">
        <v>45721</v>
      </c>
      <c r="C13" s="3" t="s">
        <v>184</v>
      </c>
      <c r="D13" s="3">
        <v>2300</v>
      </c>
      <c r="E13" s="3">
        <v>2</v>
      </c>
      <c r="F13" s="3">
        <f t="shared" si="0"/>
        <v>4600</v>
      </c>
      <c r="G13" s="3" t="s">
        <v>139</v>
      </c>
      <c r="H13" s="3"/>
      <c r="I13" s="3"/>
      <c r="J13" s="3"/>
      <c r="K13" s="3"/>
      <c r="L13" s="3"/>
      <c r="M13" s="3"/>
    </row>
    <row r="14" spans="1:13" x14ac:dyDescent="0.3">
      <c r="A14" s="3">
        <v>13</v>
      </c>
      <c r="B14" s="2">
        <v>45721</v>
      </c>
      <c r="C14" s="3" t="s">
        <v>184</v>
      </c>
      <c r="D14" s="3">
        <v>2200</v>
      </c>
      <c r="E14" s="3">
        <v>3</v>
      </c>
      <c r="F14" s="3">
        <f t="shared" si="0"/>
        <v>6600</v>
      </c>
      <c r="G14" s="3" t="s">
        <v>139</v>
      </c>
      <c r="H14" s="3"/>
      <c r="I14" s="3"/>
      <c r="J14" s="3"/>
      <c r="K14" s="3"/>
      <c r="L14" s="3"/>
      <c r="M14" s="3"/>
    </row>
    <row r="15" spans="1:13" x14ac:dyDescent="0.3">
      <c r="A15" s="3">
        <v>14</v>
      </c>
      <c r="B15" s="2">
        <v>45725</v>
      </c>
      <c r="C15" s="3" t="s">
        <v>118</v>
      </c>
      <c r="D15" s="3">
        <v>2500</v>
      </c>
      <c r="E15" s="3">
        <v>2</v>
      </c>
      <c r="F15" s="3">
        <f t="shared" si="0"/>
        <v>5000</v>
      </c>
      <c r="G15" s="3" t="s">
        <v>139</v>
      </c>
      <c r="H15" s="3"/>
      <c r="I15" s="3"/>
      <c r="J15" s="3"/>
      <c r="K15" s="3"/>
      <c r="L15" s="3"/>
      <c r="M15" s="3"/>
    </row>
    <row r="16" spans="1:13" x14ac:dyDescent="0.3">
      <c r="A16" s="3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3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3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3">
        <v>18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3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13EA-9839-4ABA-909B-C743DFA17D26}">
  <dimension ref="A1:M31"/>
  <sheetViews>
    <sheetView topLeftCell="A19" workbookViewId="0">
      <selection activeCell="B29" sqref="B29"/>
    </sheetView>
  </sheetViews>
  <sheetFormatPr defaultRowHeight="14.4" x14ac:dyDescent="0.3"/>
  <cols>
    <col min="1" max="1" width="11.6640625" bestFit="1" customWidth="1"/>
    <col min="2" max="2" width="30.88671875" bestFit="1" customWidth="1"/>
    <col min="5" max="5" width="10" bestFit="1" customWidth="1"/>
    <col min="7" max="7" width="12.6640625" bestFit="1" customWidth="1"/>
  </cols>
  <sheetData>
    <row r="1" spans="1:13" x14ac:dyDescent="0.3">
      <c r="A1" t="s">
        <v>70</v>
      </c>
      <c r="I1">
        <v>748097</v>
      </c>
    </row>
    <row r="3" spans="1:13" x14ac:dyDescent="0.3">
      <c r="A3" t="s">
        <v>90</v>
      </c>
      <c r="B3" s="20" t="s">
        <v>89</v>
      </c>
      <c r="E3">
        <v>423704455</v>
      </c>
    </row>
    <row r="4" spans="1:13" x14ac:dyDescent="0.3">
      <c r="A4" t="s">
        <v>90</v>
      </c>
      <c r="B4" s="5" t="s">
        <v>99</v>
      </c>
    </row>
    <row r="5" spans="1:13" x14ac:dyDescent="0.3">
      <c r="A5" t="s">
        <v>70</v>
      </c>
      <c r="B5" s="6" t="s">
        <v>121</v>
      </c>
      <c r="D5" s="6"/>
    </row>
    <row r="6" spans="1:13" x14ac:dyDescent="0.3">
      <c r="A6" t="s">
        <v>70</v>
      </c>
      <c r="B6" s="6" t="s">
        <v>101</v>
      </c>
      <c r="D6" s="6"/>
    </row>
    <row r="7" spans="1:13" x14ac:dyDescent="0.3">
      <c r="A7" t="s">
        <v>90</v>
      </c>
      <c r="B7" s="6" t="s">
        <v>129</v>
      </c>
    </row>
    <row r="8" spans="1:13" x14ac:dyDescent="0.3">
      <c r="A8" t="s">
        <v>90</v>
      </c>
      <c r="B8" s="16" t="s">
        <v>154</v>
      </c>
      <c r="G8" s="6" t="s">
        <v>119</v>
      </c>
    </row>
    <row r="9" spans="1:13" x14ac:dyDescent="0.3">
      <c r="A9" t="s">
        <v>90</v>
      </c>
      <c r="B9" s="6" t="s">
        <v>152</v>
      </c>
      <c r="G9" s="6"/>
    </row>
    <row r="10" spans="1:13" x14ac:dyDescent="0.3">
      <c r="A10" t="s">
        <v>90</v>
      </c>
      <c r="B10" s="16" t="s">
        <v>158</v>
      </c>
      <c r="G10" s="6" t="s">
        <v>125</v>
      </c>
    </row>
    <row r="11" spans="1:13" x14ac:dyDescent="0.3">
      <c r="A11" t="s">
        <v>90</v>
      </c>
      <c r="B11" s="5" t="s">
        <v>166</v>
      </c>
      <c r="M11">
        <v>2800</v>
      </c>
    </row>
    <row r="12" spans="1:13" x14ac:dyDescent="0.3">
      <c r="A12" t="s">
        <v>90</v>
      </c>
      <c r="B12" s="6" t="s">
        <v>169</v>
      </c>
      <c r="M12">
        <v>2500</v>
      </c>
    </row>
    <row r="13" spans="1:13" x14ac:dyDescent="0.3">
      <c r="A13" t="s">
        <v>90</v>
      </c>
      <c r="B13" s="5" t="s">
        <v>173</v>
      </c>
      <c r="M13">
        <v>600</v>
      </c>
    </row>
    <row r="14" spans="1:13" x14ac:dyDescent="0.3">
      <c r="A14" t="s">
        <v>90</v>
      </c>
      <c r="B14" s="16" t="s">
        <v>177</v>
      </c>
    </row>
    <row r="15" spans="1:13" x14ac:dyDescent="0.3">
      <c r="A15" t="s">
        <v>90</v>
      </c>
      <c r="B15" s="21" t="s">
        <v>178</v>
      </c>
    </row>
    <row r="16" spans="1:13" x14ac:dyDescent="0.3">
      <c r="A16" t="s">
        <v>90</v>
      </c>
      <c r="B16" s="5" t="s">
        <v>182</v>
      </c>
    </row>
    <row r="17" spans="1:2" x14ac:dyDescent="0.3">
      <c r="A17" s="26" t="s">
        <v>90</v>
      </c>
      <c r="B17" s="5" t="s">
        <v>188</v>
      </c>
    </row>
    <row r="18" spans="1:2" x14ac:dyDescent="0.3">
      <c r="A18" t="s">
        <v>90</v>
      </c>
      <c r="B18" s="5" t="s">
        <v>189</v>
      </c>
    </row>
    <row r="19" spans="1:2" x14ac:dyDescent="0.3">
      <c r="A19" t="s">
        <v>90</v>
      </c>
      <c r="B19" s="25" t="s">
        <v>190</v>
      </c>
    </row>
    <row r="20" spans="1:2" x14ac:dyDescent="0.3">
      <c r="A20" t="s">
        <v>90</v>
      </c>
      <c r="B20" s="6" t="s">
        <v>201</v>
      </c>
    </row>
    <row r="21" spans="1:2" x14ac:dyDescent="0.3">
      <c r="A21" t="s">
        <v>90</v>
      </c>
      <c r="B21" s="16" t="s">
        <v>214</v>
      </c>
    </row>
    <row r="22" spans="1:2" x14ac:dyDescent="0.3">
      <c r="A22" t="s">
        <v>90</v>
      </c>
      <c r="B22" s="5" t="s">
        <v>217</v>
      </c>
    </row>
    <row r="23" spans="1:2" x14ac:dyDescent="0.3">
      <c r="A23" t="s">
        <v>90</v>
      </c>
      <c r="B23" s="5" t="s">
        <v>219</v>
      </c>
    </row>
    <row r="24" spans="1:2" x14ac:dyDescent="0.3">
      <c r="A24" t="s">
        <v>90</v>
      </c>
      <c r="B24" s="6" t="s">
        <v>223</v>
      </c>
    </row>
    <row r="25" spans="1:2" x14ac:dyDescent="0.3">
      <c r="A25" t="s">
        <v>90</v>
      </c>
      <c r="B25" s="16" t="s">
        <v>225</v>
      </c>
    </row>
    <row r="26" spans="1:2" x14ac:dyDescent="0.3">
      <c r="A26" t="s">
        <v>90</v>
      </c>
      <c r="B26" s="16" t="s">
        <v>227</v>
      </c>
    </row>
    <row r="27" spans="1:2" x14ac:dyDescent="0.3">
      <c r="A27" t="s">
        <v>90</v>
      </c>
      <c r="B27" s="25" t="s">
        <v>230</v>
      </c>
    </row>
    <row r="28" spans="1:2" x14ac:dyDescent="0.3">
      <c r="B28" s="25" t="s">
        <v>242</v>
      </c>
    </row>
    <row r="29" spans="1:2" x14ac:dyDescent="0.3">
      <c r="B29" s="25" t="s">
        <v>244</v>
      </c>
    </row>
    <row r="30" spans="1:2" x14ac:dyDescent="0.3">
      <c r="B30" s="5" t="s">
        <v>245</v>
      </c>
    </row>
    <row r="31" spans="1:2" x14ac:dyDescent="0.3">
      <c r="B31" s="18" t="s">
        <v>246</v>
      </c>
    </row>
  </sheetData>
  <hyperlinks>
    <hyperlink ref="B5" r:id="rId1" xr:uid="{2550AE60-FE9D-4CE0-94B0-FFBFCCE24EFB}"/>
    <hyperlink ref="B6" r:id="rId2" xr:uid="{CF85E8D7-E5CC-4FBB-A677-1690AD1B1210}"/>
    <hyperlink ref="G8" r:id="rId3" display="https://www.apple.com/xc/au-edu/vieworder/W1395180275/amaan.pasha2323@outlook.com" xr:uid="{ACB1C97E-0442-465C-B491-DC60F2BCB7EA}"/>
    <hyperlink ref="G10" r:id="rId4" display="https://www.apple.com/xc/au-edu/vieworder/W1511643423/noaman.mughal2000@outlook.com" xr:uid="{472F59FD-0FD8-4184-AA52-B0BF5A516B8C}"/>
    <hyperlink ref="B7" r:id="rId5" xr:uid="{E8FB1372-6CA8-4537-8C7A-0153AA7D414F}"/>
    <hyperlink ref="B8" r:id="rId6" xr:uid="{46A281E0-58C7-4183-87E8-E5D135E05EF8}"/>
    <hyperlink ref="B9" r:id="rId7" xr:uid="{11F60E36-7C1D-4769-B0B2-7960D1AF3604}"/>
    <hyperlink ref="B10" r:id="rId8" xr:uid="{24557667-6DF8-4A17-A549-04EA8DF68410}"/>
    <hyperlink ref="B12" r:id="rId9" xr:uid="{436A2EB1-F42A-4E46-BCBA-2D1E166F301C}"/>
    <hyperlink ref="B14" r:id="rId10" xr:uid="{D45A86E2-A979-4D37-B440-B3A8D0548A58}"/>
    <hyperlink ref="B15" r:id="rId11" xr:uid="{86E29037-79B3-43F9-87D5-A44C980EA5CD}"/>
    <hyperlink ref="B20" r:id="rId12" xr:uid="{83315499-D2A2-4EF6-8356-60546E4ED639}"/>
    <hyperlink ref="B21" r:id="rId13" xr:uid="{FCC5D6F4-A1BC-4317-A522-1B08B3248C7A}"/>
    <hyperlink ref="B24" r:id="rId14" xr:uid="{D133DC5B-7C67-47F0-AC7A-9A5D4BA10051}"/>
    <hyperlink ref="B25" r:id="rId15" xr:uid="{05C35B5C-14F6-4DCB-8DB9-BF45D9048D66}"/>
    <hyperlink ref="B26" r:id="rId16" xr:uid="{DF5B40E0-9DE0-45C6-87F7-1ACB30C9934B}"/>
    <hyperlink ref="B31" r:id="rId17" xr:uid="{EBB22D83-EFF0-420D-BC4E-A3FE7E498718}"/>
  </hyperlinks>
  <pageMargins left="0.7" right="0.7" top="0.75" bottom="0.75" header="0.3" footer="0.3"/>
  <pageSetup orientation="portrait"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6A32-28ED-4463-92FB-D9C91FE1EC72}">
  <dimension ref="A1"/>
  <sheetViews>
    <sheetView workbookViewId="0">
      <selection activeCell="F14" sqref="F1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9347-848D-401D-873C-B89540EF749E}">
  <dimension ref="B1:H23"/>
  <sheetViews>
    <sheetView workbookViewId="0">
      <selection activeCell="E28" sqref="E28"/>
    </sheetView>
  </sheetViews>
  <sheetFormatPr defaultRowHeight="14.4" x14ac:dyDescent="0.3"/>
  <cols>
    <col min="2" max="2" width="37.109375" bestFit="1" customWidth="1"/>
    <col min="7" max="7" width="12.88671875" bestFit="1" customWidth="1"/>
    <col min="8" max="8" width="20.44140625" bestFit="1" customWidth="1"/>
  </cols>
  <sheetData>
    <row r="1" spans="2:8" x14ac:dyDescent="0.3">
      <c r="C1" t="s">
        <v>26</v>
      </c>
      <c r="D1" t="s">
        <v>5</v>
      </c>
      <c r="F1" t="s">
        <v>27</v>
      </c>
      <c r="G1" t="s">
        <v>28</v>
      </c>
      <c r="H1" t="s">
        <v>25</v>
      </c>
    </row>
    <row r="2" spans="2:8" x14ac:dyDescent="0.3">
      <c r="B2" t="s">
        <v>20</v>
      </c>
      <c r="H2">
        <v>465</v>
      </c>
    </row>
    <row r="3" spans="2:8" x14ac:dyDescent="0.3">
      <c r="B3" t="s">
        <v>19</v>
      </c>
      <c r="H3">
        <v>385</v>
      </c>
    </row>
    <row r="4" spans="2:8" x14ac:dyDescent="0.3">
      <c r="B4" t="s">
        <v>21</v>
      </c>
      <c r="C4">
        <v>229</v>
      </c>
      <c r="D4">
        <f>(C4/11)</f>
        <v>20.818181818181817</v>
      </c>
      <c r="E4">
        <f>C4-D4</f>
        <v>208.18181818181819</v>
      </c>
      <c r="F4">
        <v>2.35</v>
      </c>
      <c r="G4">
        <f>E4*F4</f>
        <v>489.22727272727275</v>
      </c>
      <c r="H4">
        <v>600</v>
      </c>
    </row>
    <row r="5" spans="2:8" x14ac:dyDescent="0.3">
      <c r="B5" t="s">
        <v>22</v>
      </c>
      <c r="D5">
        <f>(C5/11)</f>
        <v>0</v>
      </c>
      <c r="E5">
        <f>C5-D5</f>
        <v>0</v>
      </c>
      <c r="F5">
        <v>2.35</v>
      </c>
      <c r="G5">
        <f>E5*F5</f>
        <v>0</v>
      </c>
      <c r="H5">
        <v>320</v>
      </c>
    </row>
    <row r="6" spans="2:8" x14ac:dyDescent="0.3">
      <c r="B6" t="s">
        <v>23</v>
      </c>
      <c r="C6">
        <v>197</v>
      </c>
      <c r="D6">
        <f>(C6/11)</f>
        <v>17.90909090909091</v>
      </c>
      <c r="E6">
        <f>C6-D6</f>
        <v>179.09090909090909</v>
      </c>
      <c r="F6">
        <v>2.35</v>
      </c>
      <c r="G6">
        <f>E6*F6</f>
        <v>420.86363636363637</v>
      </c>
      <c r="H6">
        <v>550</v>
      </c>
    </row>
    <row r="7" spans="2:8" x14ac:dyDescent="0.3">
      <c r="B7" t="s">
        <v>24</v>
      </c>
      <c r="E7">
        <f t="shared" ref="E7:E23" si="0">C7-D7</f>
        <v>0</v>
      </c>
      <c r="F7">
        <v>2.35</v>
      </c>
      <c r="G7">
        <f t="shared" ref="G7:G23" si="1">E7*F7</f>
        <v>0</v>
      </c>
      <c r="H7">
        <v>390</v>
      </c>
    </row>
    <row r="8" spans="2:8" x14ac:dyDescent="0.3">
      <c r="B8" t="s">
        <v>29</v>
      </c>
      <c r="C8">
        <v>22</v>
      </c>
      <c r="D8">
        <f t="shared" ref="D8:D23" si="2">(C8/11)</f>
        <v>2</v>
      </c>
      <c r="E8">
        <f t="shared" si="0"/>
        <v>20</v>
      </c>
      <c r="F8">
        <v>2.35</v>
      </c>
      <c r="G8">
        <f t="shared" si="1"/>
        <v>47</v>
      </c>
    </row>
    <row r="9" spans="2:8" x14ac:dyDescent="0.3">
      <c r="B9" t="s">
        <v>30</v>
      </c>
      <c r="C9">
        <v>59</v>
      </c>
      <c r="D9">
        <f t="shared" si="2"/>
        <v>5.3636363636363633</v>
      </c>
      <c r="E9">
        <f t="shared" si="0"/>
        <v>53.63636363636364</v>
      </c>
      <c r="F9">
        <v>2.35</v>
      </c>
      <c r="G9">
        <f t="shared" si="1"/>
        <v>126.04545454545456</v>
      </c>
    </row>
    <row r="10" spans="2:8" x14ac:dyDescent="0.3">
      <c r="B10" t="s">
        <v>31</v>
      </c>
      <c r="C10">
        <v>24</v>
      </c>
      <c r="D10">
        <f t="shared" si="2"/>
        <v>2.1818181818181817</v>
      </c>
      <c r="E10">
        <f t="shared" si="0"/>
        <v>21.81818181818182</v>
      </c>
      <c r="F10">
        <v>2.35</v>
      </c>
      <c r="G10">
        <f t="shared" si="1"/>
        <v>51.27272727272728</v>
      </c>
    </row>
    <row r="11" spans="2:8" x14ac:dyDescent="0.3">
      <c r="B11" t="s">
        <v>32</v>
      </c>
      <c r="C11">
        <v>31</v>
      </c>
      <c r="D11">
        <f t="shared" si="2"/>
        <v>2.8181818181818183</v>
      </c>
      <c r="E11">
        <f t="shared" si="0"/>
        <v>28.18181818181818</v>
      </c>
      <c r="F11">
        <v>2.35</v>
      </c>
      <c r="G11">
        <f t="shared" si="1"/>
        <v>66.22727272727272</v>
      </c>
    </row>
    <row r="12" spans="2:8" x14ac:dyDescent="0.3">
      <c r="B12" t="s">
        <v>33</v>
      </c>
      <c r="C12">
        <v>249</v>
      </c>
      <c r="D12">
        <f t="shared" si="2"/>
        <v>22.636363636363637</v>
      </c>
      <c r="E12">
        <f t="shared" si="0"/>
        <v>226.36363636363637</v>
      </c>
      <c r="F12">
        <v>2.35</v>
      </c>
      <c r="G12">
        <f t="shared" si="1"/>
        <v>531.9545454545455</v>
      </c>
    </row>
    <row r="13" spans="2:8" x14ac:dyDescent="0.3">
      <c r="B13" t="s">
        <v>34</v>
      </c>
      <c r="C13">
        <v>249</v>
      </c>
      <c r="D13">
        <f t="shared" si="2"/>
        <v>22.636363636363637</v>
      </c>
      <c r="E13">
        <f t="shared" si="0"/>
        <v>226.36363636363637</v>
      </c>
      <c r="F13">
        <v>2.35</v>
      </c>
      <c r="G13">
        <f t="shared" si="1"/>
        <v>531.9545454545455</v>
      </c>
    </row>
    <row r="14" spans="2:8" x14ac:dyDescent="0.3">
      <c r="B14" t="s">
        <v>35</v>
      </c>
      <c r="C14">
        <v>197</v>
      </c>
      <c r="D14">
        <f t="shared" si="2"/>
        <v>17.90909090909091</v>
      </c>
      <c r="E14">
        <f t="shared" si="0"/>
        <v>179.09090909090909</v>
      </c>
      <c r="F14">
        <v>2.35</v>
      </c>
      <c r="G14">
        <f t="shared" si="1"/>
        <v>420.86363636363637</v>
      </c>
    </row>
    <row r="15" spans="2:8" x14ac:dyDescent="0.3">
      <c r="B15" t="s">
        <v>36</v>
      </c>
      <c r="C15">
        <v>203</v>
      </c>
      <c r="D15">
        <f t="shared" si="2"/>
        <v>18.454545454545453</v>
      </c>
      <c r="E15">
        <f t="shared" si="0"/>
        <v>184.54545454545456</v>
      </c>
      <c r="F15">
        <v>2.35</v>
      </c>
      <c r="G15">
        <f t="shared" si="1"/>
        <v>433.68181818181824</v>
      </c>
    </row>
    <row r="16" spans="2:8" x14ac:dyDescent="0.3">
      <c r="B16" t="s">
        <v>37</v>
      </c>
      <c r="C16">
        <v>197</v>
      </c>
      <c r="D16">
        <f t="shared" si="2"/>
        <v>17.90909090909091</v>
      </c>
      <c r="E16">
        <f t="shared" si="0"/>
        <v>179.09090909090909</v>
      </c>
      <c r="F16">
        <v>2.35</v>
      </c>
      <c r="G16">
        <f t="shared" si="1"/>
        <v>420.86363636363637</v>
      </c>
    </row>
    <row r="17" spans="2:7" x14ac:dyDescent="0.3">
      <c r="B17" t="s">
        <v>38</v>
      </c>
      <c r="C17">
        <v>203</v>
      </c>
      <c r="D17">
        <f t="shared" si="2"/>
        <v>18.454545454545453</v>
      </c>
      <c r="E17">
        <f t="shared" si="0"/>
        <v>184.54545454545456</v>
      </c>
      <c r="F17">
        <v>2.35</v>
      </c>
      <c r="G17">
        <f t="shared" si="1"/>
        <v>433.68181818181824</v>
      </c>
    </row>
    <row r="18" spans="2:7" x14ac:dyDescent="0.3">
      <c r="B18" t="s">
        <v>39</v>
      </c>
      <c r="C18">
        <v>203</v>
      </c>
      <c r="D18">
        <f t="shared" si="2"/>
        <v>18.454545454545453</v>
      </c>
      <c r="E18">
        <f t="shared" si="0"/>
        <v>184.54545454545456</v>
      </c>
      <c r="F18">
        <v>2.35</v>
      </c>
      <c r="G18">
        <f t="shared" si="1"/>
        <v>433.68181818181824</v>
      </c>
    </row>
    <row r="19" spans="2:7" x14ac:dyDescent="0.3">
      <c r="B19" t="s">
        <v>40</v>
      </c>
      <c r="C19">
        <v>167</v>
      </c>
      <c r="D19">
        <f t="shared" si="2"/>
        <v>15.181818181818182</v>
      </c>
      <c r="E19">
        <f t="shared" si="0"/>
        <v>151.81818181818181</v>
      </c>
      <c r="F19">
        <v>2.35</v>
      </c>
      <c r="G19">
        <f t="shared" si="1"/>
        <v>356.77272727272725</v>
      </c>
    </row>
    <row r="20" spans="2:7" x14ac:dyDescent="0.3">
      <c r="B20" t="s">
        <v>41</v>
      </c>
      <c r="C20">
        <v>167</v>
      </c>
      <c r="D20">
        <f t="shared" si="2"/>
        <v>15.181818181818182</v>
      </c>
      <c r="E20">
        <f t="shared" si="0"/>
        <v>151.81818181818181</v>
      </c>
      <c r="F20">
        <v>2.35</v>
      </c>
      <c r="G20">
        <f t="shared" si="1"/>
        <v>356.77272727272725</v>
      </c>
    </row>
    <row r="21" spans="2:7" x14ac:dyDescent="0.3">
      <c r="B21" t="s">
        <v>42</v>
      </c>
      <c r="C21">
        <v>167</v>
      </c>
      <c r="D21">
        <f t="shared" si="2"/>
        <v>15.181818181818182</v>
      </c>
      <c r="E21">
        <f t="shared" si="0"/>
        <v>151.81818181818181</v>
      </c>
      <c r="F21">
        <v>2.35</v>
      </c>
      <c r="G21">
        <f t="shared" si="1"/>
        <v>356.77272727272725</v>
      </c>
    </row>
    <row r="22" spans="2:7" x14ac:dyDescent="0.3">
      <c r="B22" t="s">
        <v>43</v>
      </c>
      <c r="C22">
        <v>51</v>
      </c>
      <c r="D22">
        <f t="shared" si="2"/>
        <v>4.6363636363636367</v>
      </c>
      <c r="E22">
        <f t="shared" si="0"/>
        <v>46.36363636363636</v>
      </c>
      <c r="F22">
        <v>2.35</v>
      </c>
      <c r="G22">
        <f t="shared" si="1"/>
        <v>108.95454545454545</v>
      </c>
    </row>
    <row r="23" spans="2:7" x14ac:dyDescent="0.3">
      <c r="B23" t="s">
        <v>44</v>
      </c>
      <c r="C23">
        <v>46</v>
      </c>
      <c r="D23">
        <f t="shared" si="2"/>
        <v>4.1818181818181817</v>
      </c>
      <c r="E23">
        <f t="shared" si="0"/>
        <v>41.81818181818182</v>
      </c>
      <c r="F23">
        <v>2.35</v>
      </c>
      <c r="G23">
        <f t="shared" si="1"/>
        <v>98.27272727272728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Purchases</vt:lpstr>
      <vt:lpstr>GC Balance</vt:lpstr>
      <vt:lpstr>Apple GC</vt:lpstr>
      <vt:lpstr>Sheet3</vt:lpstr>
      <vt:lpstr>Sheet1</vt:lpstr>
      <vt:lpstr>INSTAX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2025-02-20T23:06:44Z</dcterms:created>
  <dcterms:modified xsi:type="dcterms:W3CDTF">2025-03-17T18:04:09Z</dcterms:modified>
</cp:coreProperties>
</file>