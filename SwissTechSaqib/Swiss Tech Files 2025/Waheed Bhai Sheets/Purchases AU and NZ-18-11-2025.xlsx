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1333C985-1FAF-4A13-B8AD-20A8392617A7}" xr6:coauthVersionLast="47" xr6:coauthVersionMax="47" xr10:uidLastSave="{00000000-0000-0000-0000-000000000000}"/>
  <bookViews>
    <workbookView xWindow="-108" yWindow="-108" windowWidth="23256" windowHeight="13896" firstSheet="18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r:id="rId19"/>
    <sheet name="AU July" sheetId="18" r:id="rId20"/>
    <sheet name="AU SEP" sheetId="23" r:id="rId21"/>
    <sheet name="AU OCT" sheetId="24" r:id="rId22"/>
    <sheet name="AU NOV" sheetId="27" r:id="rId23"/>
    <sheet name="NZ OCT" sheetId="25" r:id="rId24"/>
    <sheet name="NZ NOV" sheetId="26" r:id="rId25"/>
    <sheet name="Sheet3" sheetId="31" state="hidden" r:id="rId26"/>
    <sheet name="Sheet2" sheetId="30" state="hidden" r:id="rId27"/>
    <sheet name="NZ visit expense" sheetId="17" state="hidden" r:id="rId28"/>
    <sheet name="Abdul Rafey" sheetId="5" state="hidden" r:id="rId29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NOV'!$A$1:$I$41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14" r:id="rId30"/>
    <pivotCache cacheId="15" r:id="rId31"/>
    <pivotCache cacheId="16" r:id="rId32"/>
    <pivotCache cacheId="17" r:id="rId33"/>
    <pivotCache cacheId="18" r:id="rId34"/>
    <pivotCache cacheId="19" r:id="rId35"/>
    <pivotCache cacheId="20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27" l="1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E11" i="29" l="1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<sst xmlns="http://schemas.openxmlformats.org/spreadsheetml/2006/main" count="2325" uniqueCount="699">
  <si>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</si>
  <si>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</si>
  <si>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</si>
  <si>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</si>
  <si>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</si>
  <si>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</si>
  <si>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</si>
  <si>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</si>
  <si>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</si>
  <si>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</si>
  <si>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</si>
  <si>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</si>
  <si>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</si>
  <si>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</si>
  <si>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</si>
  <si>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</si>
  <si>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</si>
  <si>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</si>
  <si>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</si>
  <si>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</si>
  <si>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</si>
  <si>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</si>
  <si>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</si>
  <si>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</si>
  <si>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</si>
  <si>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</si>
  <si>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</si>
  <si>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</si>
  <si>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</si>
  <si>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</si>
  <si>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</si>
  <si>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</si>
  <si>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</si>
  <si>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</si>
  <si>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</si>
  <si>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</si>
  <si>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</si>
  <si>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</si>
  <si>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</si>
  <si>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</si>
  <si>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</si>
  <si>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</si>
  <si>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</si>
  <si>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</si>
  <si>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</si>
  <si>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</si>
  <si>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</si>
  <si>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</si>
  <si>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</si>
  <si>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</si>
  <si>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</si>
  <si>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</si>
  <si>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</si>
  <si>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</si>
  <si>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</si>
  <si>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</si>
  <si>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</si>
  <si>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</si>
  <si>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</si>
  <si>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</si>
  <si>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</si>
  <si>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</si>
  <si>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</si>
  <si>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</si>
  <si>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</si>
  <si>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</si>
  <si>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</si>
  <si>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</si>
  <si>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</si>
  <si>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</si>
  <si>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</si>
  <si>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</si>
  <si>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</si>
  <si>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</si>
  <si>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</si>
  <si>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</si>
  <si>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</si>
  <si>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</si>
  <si>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</si>
  <si>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</si>
  <si>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</si>
  <si>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</si>
  <si>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</si>
  <si>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</si>
  <si>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</si>
  <si>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</si>
  <si>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</si>
  <si>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</si>
  <si>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</si>
  <si>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</si>
  <si>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</si>
  <si>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</si>
  <si>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</si>
  <si>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</si>
  <si>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</si>
  <si>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</si>
  <si>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</si>
  <si>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</si>
  <si>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</si>
  <si>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</si>
  <si>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</si>
  <si>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</si>
  <si>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</si>
  <si>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</si>
  <si>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</si>
  <si>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</si>
  <si>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</si>
  <si>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</si>
  <si>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</si>
  <si>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</si>
  <si>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</si>
  <si>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</si>
  <si>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</si>
  <si>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</si>
  <si>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</si>
  <si>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</si>
  <si>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</si>
  <si>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</si>
  <si>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</si>
  <si>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</si>
  <si>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</si>
  <si>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</si>
  <si>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</si>
  <si>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</si>
  <si>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</si>
  <si>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</si>
  <si>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</si>
  <si>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</si>
  <si>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</si>
  <si>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</si>
  <si>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</si>
  <si>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</si>
  <si>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</si>
  <si>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</si>
  <si>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</si>
  <si>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</si>
  <si>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</si>
  <si>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</si>
  <si>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</si>
  <si>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</si>
  <si>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</si>
  <si>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</si>
  <si>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</si>
  <si>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</si>
  <si>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</si>
  <si>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</si>
  <si>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</si>
  <si>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</si>
  <si>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</si>
  <si>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</si>
  <si>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</si>
  <si>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</si>
  <si>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</si>
  <si>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</si>
  <si>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</si>
  <si>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</si>
  <si>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</si>
  <si>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</si>
  <si>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</si>
  <si>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</si>
  <si>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</si>
  <si>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</si>
  <si>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</si>
  <si>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</si>
  <si>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</si>
  <si>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</si>
  <si>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</si>
  <si>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</si>
  <si>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</si>
  <si>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</si>
  <si>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</si>
  <si>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</si>
  <si>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</si>
  <si>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</si>
  <si>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</si>
  <si>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</si>
  <si>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</si>
  <si>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</si>
  <si>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</si>
  <si>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</si>
  <si>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</si>
  <si>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</si>
  <si>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</si>
  <si>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</si>
  <si>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</si>
  <si>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</si>
  <si>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</si>
  <si>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</si>
  <si>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</si>
  <si>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</si>
  <si>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</si>
  <si>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</si>
  <si>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</si>
  <si>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</si>
  <si>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</si>
  <si>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</si>
  <si>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</si>
  <si>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</si>
  <si>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</si>
  <si>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</si>
  <si>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</si>
  <si>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</si>
  <si>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</si>
  <si>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</si>
  <si>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</si>
  <si>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</si>
  <si>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</si>
  <si>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</si>
  <si>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</si>
  <si>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</si>
  <si>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</si>
  <si>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</si>
  <si>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</si>
  <si>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</si>
  <si>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</si>
  <si>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</si>
  <si>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</si>
  <si>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</si>
  <si>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</si>
  <si>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</si>
  <si>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</si>
  <si>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</si>
  <si>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</si>
  <si>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</si>
  <si>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</si>
  <si>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</si>
  <si>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</si>
  <si>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</si>
  <si>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</si>
  <si>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</si>
  <si>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</si>
  <si>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</si>
  <si>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</si>
  <si>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</si>
  <si>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</si>
  <si>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</si>
  <si>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</si>
  <si>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</si>
  <si>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</si>
  <si>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</si>
  <si>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</si>
  <si>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</si>
  <si>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</si>
  <si>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</si>
  <si>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</si>
  <si>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</si>
  <si>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</si>
  <si>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</si>
  <si>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</si>
  <si>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</si>
  <si>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</si>
  <si>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</si>
  <si>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</si>
  <si>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</si>
  <si>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</si>
  <si>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</si>
  <si>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</si>
  <si>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</si>
  <si>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</si>
  <si>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</si>
  <si>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</si>
  <si>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</si>
  <si>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</si>
  <si>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</si>
  <si>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</si>
  <si>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</si>
  <si>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</si>
  <si>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</si>
  <si>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</si>
  <si>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</si>
  <si>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</si>
  <si>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</si>
  <si>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</si>
  <si>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</si>
  <si>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</si>
  <si>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</si>
  <si>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</si>
  <si>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</si>
  <si>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</si>
  <si>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</si>
  <si>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</si>
  <si>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</si>
  <si>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</si>
  <si>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</si>
  <si>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</si>
  <si>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</si>
  <si>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</si>
  <si>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</si>
  <si>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</si>
  <si>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</si>
  <si>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</si>
  <si>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</si>
  <si>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</si>
  <si>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</si>
  <si>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</si>
  <si>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</si>
  <si>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</si>
  <si>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</si>
  <si>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</si>
  <si>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</si>
  <si>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</si>
  <si>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</si>
  <si>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</si>
  <si>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</si>
  <si>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</si>
  <si>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</si>
  <si>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</si>
  <si>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</si>
  <si>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</si>
  <si>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</si>
  <si>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</si>
  <si>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</si>
  <si>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</si>
  <si>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</si>
  <si>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</si>
  <si>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</si>
  <si>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</si>
  <si>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</si>
  <si>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</si>
  <si>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</si>
  <si>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</si>
  <si>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</si>
  <si>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</si>
  <si>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</si>
  <si>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</si>
  <si>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</si>
  <si>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</si>
  <si>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</si>
  <si>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</si>
  <si>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</si>
  <si>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</si>
  <si>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</si>
  <si>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</si>
  <si>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</si>
  <si>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</si>
  <si>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</si>
  <si>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</si>
  <si>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</si>
  <si>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</si>
  <si>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</si>
  <si>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</si>
  <si>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</si>
  <si>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</si>
  <si>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</si>
  <si>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</si>
  <si>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</si>
  <si>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</si>
  <si>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</si>
  <si>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</si>
  <si>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</si>
  <si>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</si>
  <si>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</si>
  <si>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</si>
  <si>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</si>
  <si>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</si>
  <si>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</si>
  <si>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</si>
  <si>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</si>
  <si>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</si>
  <si>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</si>
  <si>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</si>
  <si>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</si>
  <si>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</si>
  <si>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</si>
  <si>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</si>
  <si>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</si>
  <si>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</si>
  <si>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</si>
  <si>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</si>
  <si>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</si>
  <si>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</si>
  <si>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</si>
  <si>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</si>
  <si>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</si>
  <si>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</si>
  <si>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</si>
  <si>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</si>
  <si>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</si>
  <si>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</si>
  <si>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</si>
  <si>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</si>
  <si>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</si>
  <si>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</si>
  <si>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</si>
  <si>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</si>
  <si>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</si>
  <si>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</si>
  <si>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</si>
  <si>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</si>
  <si>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</si>
  <si>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</si>
  <si>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</si>
  <si>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</si>
  <si>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</si>
  <si>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</si>
  <si>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</si>
  <si>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</si>
  <si>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</si>
  <si>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</si>
  <si>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</si>
  <si>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</si>
  <si>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</si>
  <si>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</si>
  <si>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</si>
  <si>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</si>
  <si>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</si>
  <si>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</si>
  <si>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</si>
  <si>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</si>
  <si>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</si>
  <si>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</si>
  <si>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</si>
  <si>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</si>
  <si>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</si>
  <si>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</si>
  <si>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</si>
  <si>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</si>
  <si>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</si>
  <si>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</si>
  <si>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</si>
  <si>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</si>
  <si>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</si>
  <si>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</si>
  <si>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</si>
  <si>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</si>
  <si>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</si>
  <si>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</si>
  <si>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</si>
  <si>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</si>
  <si>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</si>
  <si>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</si>
  <si>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</si>
  <si>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</si>
  <si>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</si>
  <si>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</si>
  <si>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</si>
  <si>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</si>
  <si>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</si>
  <si>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</si>
  <si>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</si>
  <si>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</si>
  <si>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</si>
  <si>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</si>
  <si>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</si>
  <si>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</si>
  <si>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</si>
  <si>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</si>
  <si>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</si>
  <si>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</si>
  <si>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</si>
  <si>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</si>
  <si>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</si>
  <si>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</si>
  <si>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</si>
  <si>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</si>
  <si>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</si>
  <si>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</si>
  <si>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</si>
  <si>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</si>
  <si>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</si>
  <si>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</si>
  <si>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</si>
  <si>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</si>
  <si>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</si>
  <si>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</si>
  <si>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</si>
  <si>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</si>
  <si>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</si>
  <si>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</si>
  <si>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</si>
  <si>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</si>
  <si>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</si>
  <si>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</si>
  <si>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</si>
  <si>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</si>
  <si>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</si>
  <si>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</si>
  <si>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</si>
  <si>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</si>
  <si>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</si>
  <si>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</si>
  <si>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</si>
  <si>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</si>
  <si>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</si>
  <si>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</si>
  <si>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</si>
  <si>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</si>
  <si>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</si>
  <si>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</si>
  <si>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</si>
  <si>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</si>
  <si>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</si>
  <si>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</si>
  <si>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</si>
  <si>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</si>
  <si>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</si>
  <si>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</si>
  <si>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</si>
  <si>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</si>
  <si>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</si>
  <si>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</si>
  <si>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</si>
  <si>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</si>
  <si>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</si>
  <si>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</si>
  <si>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</si>
  <si>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</si>
  <si>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</si>
  <si>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</si>
  <si>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</si>
  <si>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</si>
  <si>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</si>
  <si>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</si>
  <si>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</si>
  <si>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</si>
  <si>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</si>
  <si>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</si>
  <si>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</si>
  <si>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</si>
  <si>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</si>
  <si>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</si>
  <si>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</si>
  <si>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</si>
  <si>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</si>
  <si>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</si>
  <si>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</si>
  <si>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</si>
  <si>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</si>
  <si>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</si>
  <si>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</si>
  <si>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</si>
  <si>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</si>
  <si>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</si>
  <si>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</si>
  <si>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</si>
  <si>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</si>
  <si>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</si>
  <si>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</si>
  <si>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</si>
  <si>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</si>
  <si>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</si>
  <si>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</si>
  <si>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</si>
  <si>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</si>
  <si>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</si>
  <si>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</si>
  <si>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</si>
  <si>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</si>
  <si>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</si>
  <si>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</si>
  <si>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</si>
  <si>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</si>
  <si>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</si>
  <si>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</si>
  <si>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</si>
  <si>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</si>
  <si>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</si>
  <si>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</si>
  <si>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</si>
  <si>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</si>
  <si>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</si>
  <si>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</si>
  <si>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</si>
  <si>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</si>
  <si>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</si>
  <si>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</si>
  <si>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</si>
  <si>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</si>
  <si>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</si>
  <si>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</si>
  <si>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</si>
  <si>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</si>
  <si>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</si>
  <si>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</si>
  <si>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</si>
  <si>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</si>
  <si>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</si>
  <si>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</si>
  <si>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</si>
  <si>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</si>
  <si>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</si>
  <si>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</si>
  <si>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</si>
  <si>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</si>
  <si>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</si>
  <si>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</si>
  <si>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</si>
  <si>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</si>
  <si>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</si>
  <si>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</si>
  <si>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</si>
  <si>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</si>
  <si>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</si>
  <si>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</si>
  <si>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</si>
  <si>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</si>
  <si>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</si>
  <si>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</si>
  <si>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</si>
  <si>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</si>
  <si>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</si>
  <si>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</si>
  <si>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</si>
  <si>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</si>
  <si>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</si>
  <si>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</si>
  <si>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</si>
  <si>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</si>
  <si>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</si>
  <si>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</si>
  <si>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</si>
  <si>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</si>
  <si>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</si>
  <si>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</si>
  <si>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</si>
  <si>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</si>
  <si>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</si>
  <si>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</si>
  <si>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</si>
  <si>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</si>
  <si>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</si>
  <si>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</si>
  <si>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</si>
  <si>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</si>
  <si>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</si>
  <si>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</si>
  <si>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</si>
  <si>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</si>
  <si>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</si>
  <si>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</si>
  <si>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</si>
  <si>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</si>
  <si>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</si>
  <si>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</si>
  <si>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</si>
  <si>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</si>
  <si>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</si>
  <si>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</si>
  <si>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</si>
  <si>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</si>
  <si>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</si>
  <si>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</si>
  <si>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</si>
  <si>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</si>
  <si>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</si>
  <si>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</si>
  <si>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</si>
  <si>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</si>
  <si>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</si>
  <si>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</si>
  <si>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</si>
  <si>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</si>
  <si>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</si>
  <si>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</si>
  <si>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</si>
  <si>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</si>
  <si>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</si>
  <si>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</si>
  <si>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</si>
  <si>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</si>
  <si>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</si>
  <si>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</si>
  <si>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</si>
  <si>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</si>
  <si>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</si>
  <si>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</si>
  <si>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</si>
  <si>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</si>
  <si>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</si>
  <si>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</si>
  <si>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</si>
  <si>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</si>
  <si>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</si>
  <si>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</si>
  <si>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</si>
  <si>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</si>
  <si>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</si>
  <si>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</si>
  <si>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</si>
  <si>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</si>
  <si>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</si>
  <si>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</si>
  <si>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</si>
  <si>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Google Pixel 8 pro 128</t>
  </si>
  <si>
    <t>Collected 17-11</t>
  </si>
  <si>
    <t>Collected 17-12</t>
  </si>
  <si>
    <t>Collected 17-13</t>
  </si>
  <si>
    <t>Collected 17-14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</si>
  <si>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</si>
  <si>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</si>
  <si>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</si>
  <si>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</si>
  <si>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</si>
  <si>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</si>
  <si>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JBL Charge 5 Black</t>
  </si>
  <si>
    <t>Collected/ 2 shipped</t>
  </si>
  <si>
    <t>Shipped 05-11</t>
  </si>
  <si>
    <t>DJI Mic 3 Combo</t>
  </si>
  <si>
    <t>Sydney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</si>
</sst>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4" fontId="0" fillId="8" borderId="1" xfId="0" applyNumberFormat="1" applyFill="1" applyBorder="1"/>
    <xf numFmtId="166" fontId="0" fillId="8" borderId="1" xfId="0" applyNumberFormat="1" applyFill="1" applyBorder="1"/>
    <xf numFmtId="0" fontId="6" fillId="8" borderId="0" xfId="0" applyFont="1" applyFill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86">
        <v>45746</v>
      </c>
      <c r="C1" s="86"/>
      <c r="D1" s="86"/>
      <c r="E1" s="86"/>
      <c r="F1" s="86"/>
      <c r="G1" s="86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87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87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88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88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88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88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89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89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3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3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3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3" t="s">
        <v>508</v>
      </c>
      <c r="M9">
        <v>3750</v>
      </c>
    </row>
    <row r="10" spans="1:13" x14ac:dyDescent="0.3">
      <c r="L10" s="73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0" t="s">
        <v>299</v>
      </c>
      <c r="B1" s="90"/>
      <c r="C1" s="90"/>
      <c r="D1" s="90"/>
      <c r="E1" s="90"/>
      <c r="F1" s="90"/>
      <c r="G1" s="90"/>
      <c r="H1" s="90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1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1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1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1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0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2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2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7" workbookViewId="0">
      <selection sqref="A1:I1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696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696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696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696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O49"/>
  <sheetViews>
    <sheetView tabSelected="1" topLeftCell="A22" workbookViewId="0">
      <selection activeCell="G44" sqref="G44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0" customWidth="1"/>
    <col min="4" max="4" width="23.6640625" bestFit="1" customWidth="1"/>
    <col min="5" max="5" width="9" style="60" bestFit="1" customWidth="1"/>
    <col min="6" max="6" width="10" style="60" bestFit="1" customWidth="1"/>
    <col min="7" max="7" width="22.5546875" bestFit="1" customWidth="1"/>
    <col min="8" max="8" width="7.88671875" bestFit="1" customWidth="1"/>
    <col min="9" max="9" width="12.88671875" bestFit="1" customWidth="1"/>
    <col min="12" max="12" width="22.44140625" hidden="1" customWidth="1"/>
    <col min="13" max="13" width="12.77734375" hidden="1" customWidth="1"/>
    <col min="14" max="15" width="0" hidden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5" x14ac:dyDescent="0.3">
      <c r="A2" s="77">
        <v>45964</v>
      </c>
      <c r="B2" s="78">
        <v>10</v>
      </c>
      <c r="C2" s="78" t="s">
        <v>647</v>
      </c>
      <c r="D2" s="78" t="s">
        <v>335</v>
      </c>
      <c r="E2" s="79">
        <v>410</v>
      </c>
      <c r="F2" s="79">
        <f>E2*B2</f>
        <v>4100</v>
      </c>
      <c r="G2" s="78" t="s">
        <v>648</v>
      </c>
      <c r="H2" s="77">
        <v>45966</v>
      </c>
      <c r="I2" s="78"/>
      <c r="L2" s="75" t="s">
        <v>698</v>
      </c>
      <c r="M2" s="76">
        <v>45979</v>
      </c>
    </row>
    <row r="3" spans="1:15" x14ac:dyDescent="0.3">
      <c r="A3" s="77">
        <v>45964</v>
      </c>
      <c r="B3" s="78">
        <v>7</v>
      </c>
      <c r="C3" s="78" t="s">
        <v>642</v>
      </c>
      <c r="D3" s="78" t="s">
        <v>59</v>
      </c>
      <c r="E3" s="79">
        <v>150</v>
      </c>
      <c r="F3" s="79">
        <f>E3*B3</f>
        <v>1050</v>
      </c>
      <c r="G3" s="78" t="s">
        <v>648</v>
      </c>
      <c r="H3" s="77">
        <v>45966</v>
      </c>
      <c r="I3" s="78"/>
      <c r="L3" s="44"/>
      <c r="M3" s="44"/>
    </row>
    <row r="4" spans="1:15" x14ac:dyDescent="0.3">
      <c r="A4" s="77">
        <v>45963</v>
      </c>
      <c r="B4" s="78">
        <v>4</v>
      </c>
      <c r="C4" s="78" t="s">
        <v>642</v>
      </c>
      <c r="D4" s="78" t="s">
        <v>30</v>
      </c>
      <c r="E4" s="79">
        <v>150</v>
      </c>
      <c r="F4" s="79">
        <f t="shared" ref="F4:F41" si="0">E4*B4</f>
        <v>600</v>
      </c>
      <c r="G4" s="78" t="s">
        <v>649</v>
      </c>
      <c r="H4" s="77">
        <v>45966</v>
      </c>
      <c r="I4" s="78"/>
      <c r="L4" s="44" t="s">
        <v>1</v>
      </c>
      <c r="M4" s="44" t="s">
        <v>81</v>
      </c>
    </row>
    <row r="5" spans="1:15" x14ac:dyDescent="0.3">
      <c r="A5" s="77">
        <v>45963</v>
      </c>
      <c r="B5" s="78">
        <v>4</v>
      </c>
      <c r="C5" s="78" t="s">
        <v>643</v>
      </c>
      <c r="D5" s="78" t="s">
        <v>30</v>
      </c>
      <c r="E5" s="79">
        <v>150</v>
      </c>
      <c r="F5" s="79">
        <f t="shared" si="0"/>
        <v>600</v>
      </c>
      <c r="G5" s="78" t="s">
        <v>649</v>
      </c>
      <c r="H5" s="77">
        <v>45966</v>
      </c>
      <c r="I5" s="78"/>
      <c r="L5" s="2" t="s">
        <v>682</v>
      </c>
      <c r="M5" s="2">
        <v>10</v>
      </c>
      <c r="N5">
        <v>3300</v>
      </c>
      <c r="O5">
        <f>M5*N5</f>
        <v>33000</v>
      </c>
    </row>
    <row r="6" spans="1:15" x14ac:dyDescent="0.3">
      <c r="A6" s="77">
        <v>45965</v>
      </c>
      <c r="B6" s="78">
        <v>20</v>
      </c>
      <c r="C6" s="78" t="s">
        <v>653</v>
      </c>
      <c r="D6" s="78" t="s">
        <v>349</v>
      </c>
      <c r="E6" s="79">
        <v>1063</v>
      </c>
      <c r="F6" s="79">
        <f t="shared" si="0"/>
        <v>21260</v>
      </c>
      <c r="G6" s="78" t="s">
        <v>657</v>
      </c>
      <c r="H6" s="77">
        <v>45966</v>
      </c>
      <c r="I6" s="78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</row>
    <row r="7" spans="1:15" x14ac:dyDescent="0.3">
      <c r="A7" s="77">
        <v>45965</v>
      </c>
      <c r="B7" s="78">
        <v>12</v>
      </c>
      <c r="C7" s="78" t="s">
        <v>654</v>
      </c>
      <c r="D7" s="78" t="s">
        <v>118</v>
      </c>
      <c r="E7" s="79">
        <v>3375</v>
      </c>
      <c r="F7" s="79">
        <f t="shared" si="0"/>
        <v>40500</v>
      </c>
      <c r="G7" s="78" t="s">
        <v>657</v>
      </c>
      <c r="H7" s="77">
        <v>45966</v>
      </c>
      <c r="I7" s="78"/>
      <c r="L7" s="2" t="s">
        <v>697</v>
      </c>
      <c r="M7" s="2">
        <v>62</v>
      </c>
      <c r="N7">
        <v>410</v>
      </c>
      <c r="O7">
        <f t="shared" si="1"/>
        <v>25420</v>
      </c>
    </row>
    <row r="8" spans="1:15" x14ac:dyDescent="0.3">
      <c r="A8" s="77">
        <v>45965</v>
      </c>
      <c r="B8" s="78">
        <v>2</v>
      </c>
      <c r="C8" s="78" t="s">
        <v>664</v>
      </c>
      <c r="D8" s="78" t="s">
        <v>118</v>
      </c>
      <c r="E8" s="79">
        <v>88</v>
      </c>
      <c r="F8" s="79">
        <f t="shared" si="0"/>
        <v>176</v>
      </c>
      <c r="G8" s="78" t="s">
        <v>657</v>
      </c>
      <c r="H8" s="77">
        <v>45966</v>
      </c>
      <c r="I8" s="78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</row>
    <row r="9" spans="1:15" x14ac:dyDescent="0.3">
      <c r="A9" s="77">
        <v>45966</v>
      </c>
      <c r="B9" s="78">
        <v>30</v>
      </c>
      <c r="C9" s="78" t="s">
        <v>697</v>
      </c>
      <c r="D9" s="78" t="s">
        <v>335</v>
      </c>
      <c r="E9" s="79">
        <v>410</v>
      </c>
      <c r="F9" s="79">
        <f t="shared" si="0"/>
        <v>12300</v>
      </c>
      <c r="G9" s="78" t="s">
        <v>680</v>
      </c>
      <c r="H9" s="77">
        <v>45979</v>
      </c>
      <c r="I9" s="78"/>
      <c r="L9" s="2" t="s">
        <v>673</v>
      </c>
      <c r="M9" s="2">
        <v>1</v>
      </c>
      <c r="N9">
        <v>1257</v>
      </c>
      <c r="O9">
        <f t="shared" si="1"/>
        <v>1257</v>
      </c>
    </row>
    <row r="10" spans="1:15" x14ac:dyDescent="0.3">
      <c r="A10" s="77">
        <v>45969</v>
      </c>
      <c r="B10" s="78">
        <v>1</v>
      </c>
      <c r="C10" s="78" t="s">
        <v>665</v>
      </c>
      <c r="D10" s="78" t="s">
        <v>496</v>
      </c>
      <c r="E10" s="79">
        <v>450</v>
      </c>
      <c r="F10" s="79">
        <f t="shared" si="0"/>
        <v>450</v>
      </c>
      <c r="G10" s="78" t="s">
        <v>365</v>
      </c>
      <c r="H10" s="77">
        <v>45979</v>
      </c>
      <c r="I10" s="78"/>
      <c r="L10" s="2" t="s">
        <v>674</v>
      </c>
      <c r="M10" s="2">
        <v>7</v>
      </c>
      <c r="N10">
        <v>1357</v>
      </c>
      <c r="O10">
        <f t="shared" si="1"/>
        <v>9499</v>
      </c>
    </row>
    <row r="11" spans="1:15" x14ac:dyDescent="0.3">
      <c r="A11" s="77">
        <v>45969</v>
      </c>
      <c r="B11" s="78">
        <v>1</v>
      </c>
      <c r="C11" s="78" t="s">
        <v>665</v>
      </c>
      <c r="D11" s="78" t="s">
        <v>492</v>
      </c>
      <c r="E11" s="79">
        <v>450</v>
      </c>
      <c r="F11" s="79">
        <f t="shared" si="0"/>
        <v>450</v>
      </c>
      <c r="G11" s="78" t="s">
        <v>365</v>
      </c>
      <c r="H11" s="77">
        <v>45979</v>
      </c>
      <c r="I11" s="78"/>
      <c r="L11" s="2" t="s">
        <v>665</v>
      </c>
      <c r="M11" s="2">
        <v>36</v>
      </c>
      <c r="N11">
        <v>449</v>
      </c>
      <c r="O11">
        <f t="shared" si="1"/>
        <v>16164</v>
      </c>
    </row>
    <row r="12" spans="1:15" x14ac:dyDescent="0.3">
      <c r="A12" s="77">
        <v>45969</v>
      </c>
      <c r="B12" s="78">
        <v>4</v>
      </c>
      <c r="C12" s="78" t="s">
        <v>665</v>
      </c>
      <c r="D12" s="78" t="s">
        <v>493</v>
      </c>
      <c r="E12" s="79">
        <v>450</v>
      </c>
      <c r="F12" s="79">
        <f t="shared" si="0"/>
        <v>1800</v>
      </c>
      <c r="G12" s="78" t="s">
        <v>365</v>
      </c>
      <c r="H12" s="77">
        <v>45979</v>
      </c>
      <c r="I12" s="78"/>
      <c r="L12" s="2" t="s">
        <v>80</v>
      </c>
      <c r="M12" s="2">
        <v>128</v>
      </c>
      <c r="O12">
        <f>SUM(O5:O11)</f>
        <v>104840</v>
      </c>
    </row>
    <row r="13" spans="1:15" x14ac:dyDescent="0.3">
      <c r="A13" s="77">
        <v>45969</v>
      </c>
      <c r="B13" s="78">
        <v>5</v>
      </c>
      <c r="C13" s="78" t="s">
        <v>665</v>
      </c>
      <c r="D13" s="78" t="s">
        <v>666</v>
      </c>
      <c r="E13" s="79">
        <v>450</v>
      </c>
      <c r="F13" s="79">
        <f t="shared" si="0"/>
        <v>2250</v>
      </c>
      <c r="G13" s="78" t="s">
        <v>365</v>
      </c>
      <c r="H13" s="77">
        <v>45979</v>
      </c>
      <c r="I13" s="78"/>
    </row>
    <row r="14" spans="1:15" x14ac:dyDescent="0.3">
      <c r="A14" s="77">
        <v>45969</v>
      </c>
      <c r="B14" s="78">
        <v>11</v>
      </c>
      <c r="C14" s="78" t="s">
        <v>665</v>
      </c>
      <c r="D14" s="78" t="s">
        <v>494</v>
      </c>
      <c r="E14" s="79">
        <v>450</v>
      </c>
      <c r="F14" s="79">
        <f t="shared" si="0"/>
        <v>4950</v>
      </c>
      <c r="G14" s="78" t="s">
        <v>365</v>
      </c>
      <c r="H14" s="77">
        <v>45979</v>
      </c>
      <c r="I14" s="78"/>
    </row>
    <row r="15" spans="1:15" x14ac:dyDescent="0.3">
      <c r="A15" s="77">
        <v>45970</v>
      </c>
      <c r="B15" s="78">
        <v>10</v>
      </c>
      <c r="C15" s="78" t="s">
        <v>665</v>
      </c>
      <c r="D15" s="78" t="s">
        <v>501</v>
      </c>
      <c r="E15" s="79">
        <v>450</v>
      </c>
      <c r="F15" s="79">
        <f t="shared" si="0"/>
        <v>4500</v>
      </c>
      <c r="G15" s="78" t="s">
        <v>365</v>
      </c>
      <c r="H15" s="77">
        <v>45979</v>
      </c>
      <c r="I15" s="78"/>
    </row>
    <row r="16" spans="1:15" x14ac:dyDescent="0.3">
      <c r="A16" s="77">
        <v>45970</v>
      </c>
      <c r="B16" s="78">
        <v>1</v>
      </c>
      <c r="C16" s="78" t="s">
        <v>673</v>
      </c>
      <c r="D16" s="78" t="s">
        <v>120</v>
      </c>
      <c r="E16" s="79">
        <v>1358</v>
      </c>
      <c r="F16" s="79">
        <f t="shared" si="0"/>
        <v>1358</v>
      </c>
      <c r="G16" s="78" t="s">
        <v>365</v>
      </c>
      <c r="H16" s="77">
        <v>45979</v>
      </c>
      <c r="I16" s="78" t="s">
        <v>115</v>
      </c>
    </row>
    <row r="17" spans="1:9" x14ac:dyDescent="0.3">
      <c r="A17" s="77">
        <v>45970</v>
      </c>
      <c r="B17" s="78">
        <v>2</v>
      </c>
      <c r="C17" s="78" t="s">
        <v>674</v>
      </c>
      <c r="D17" s="78" t="s">
        <v>675</v>
      </c>
      <c r="E17" s="79">
        <v>1403</v>
      </c>
      <c r="F17" s="79">
        <f t="shared" si="0"/>
        <v>2806</v>
      </c>
      <c r="G17" s="78" t="s">
        <v>365</v>
      </c>
      <c r="H17" s="77">
        <v>45979</v>
      </c>
      <c r="I17" s="78"/>
    </row>
    <row r="18" spans="1:9" x14ac:dyDescent="0.3">
      <c r="A18" s="77">
        <v>45970</v>
      </c>
      <c r="B18" s="78">
        <v>1</v>
      </c>
      <c r="C18" s="78" t="s">
        <v>665</v>
      </c>
      <c r="D18" s="78" t="s">
        <v>675</v>
      </c>
      <c r="E18" s="79">
        <v>474</v>
      </c>
      <c r="F18" s="79">
        <f t="shared" si="0"/>
        <v>474</v>
      </c>
      <c r="G18" s="78" t="s">
        <v>365</v>
      </c>
      <c r="H18" s="77">
        <v>45979</v>
      </c>
      <c r="I18" s="78"/>
    </row>
    <row r="19" spans="1:9" x14ac:dyDescent="0.3">
      <c r="A19" s="77">
        <v>45970</v>
      </c>
      <c r="B19" s="78">
        <v>1</v>
      </c>
      <c r="C19" s="78" t="s">
        <v>674</v>
      </c>
      <c r="D19" s="78" t="s">
        <v>19</v>
      </c>
      <c r="E19" s="79">
        <v>1403</v>
      </c>
      <c r="F19" s="79">
        <f t="shared" si="0"/>
        <v>1403</v>
      </c>
      <c r="G19" s="78" t="s">
        <v>8</v>
      </c>
      <c r="H19" s="77">
        <v>45979</v>
      </c>
      <c r="I19" s="78"/>
    </row>
    <row r="20" spans="1:9" x14ac:dyDescent="0.3">
      <c r="A20" s="77">
        <v>45970</v>
      </c>
      <c r="B20" s="78">
        <v>1</v>
      </c>
      <c r="C20" s="78" t="s">
        <v>674</v>
      </c>
      <c r="D20" s="78" t="s">
        <v>19</v>
      </c>
      <c r="E20" s="79">
        <v>1403</v>
      </c>
      <c r="F20" s="79">
        <f t="shared" si="0"/>
        <v>1403</v>
      </c>
      <c r="G20" s="78" t="s">
        <v>688</v>
      </c>
      <c r="H20" s="77">
        <v>45979</v>
      </c>
      <c r="I20" s="78"/>
    </row>
    <row r="21" spans="1:9" x14ac:dyDescent="0.3">
      <c r="A21" s="77">
        <v>45970</v>
      </c>
      <c r="B21" s="78">
        <v>2</v>
      </c>
      <c r="C21" s="78" t="s">
        <v>665</v>
      </c>
      <c r="D21" s="78" t="s">
        <v>496</v>
      </c>
      <c r="E21" s="79">
        <v>450</v>
      </c>
      <c r="F21" s="79">
        <f t="shared" si="0"/>
        <v>900</v>
      </c>
      <c r="G21" s="78" t="s">
        <v>8</v>
      </c>
      <c r="H21" s="77">
        <v>45979</v>
      </c>
      <c r="I21" s="78"/>
    </row>
    <row r="22" spans="1:9" x14ac:dyDescent="0.3">
      <c r="A22" s="77">
        <v>45970</v>
      </c>
      <c r="B22" s="78">
        <v>1</v>
      </c>
      <c r="C22" s="78" t="s">
        <v>674</v>
      </c>
      <c r="D22" s="78" t="s">
        <v>676</v>
      </c>
      <c r="E22" s="79">
        <v>1403</v>
      </c>
      <c r="F22" s="79">
        <f t="shared" si="0"/>
        <v>1403</v>
      </c>
      <c r="G22" s="78" t="s">
        <v>8</v>
      </c>
      <c r="H22" s="77">
        <v>45979</v>
      </c>
      <c r="I22" s="78"/>
    </row>
    <row r="23" spans="1:9" x14ac:dyDescent="0.3">
      <c r="A23" s="77">
        <v>45970</v>
      </c>
      <c r="B23" s="78">
        <v>1</v>
      </c>
      <c r="C23" s="78" t="s">
        <v>674</v>
      </c>
      <c r="D23" s="78" t="s">
        <v>677</v>
      </c>
      <c r="E23" s="79">
        <v>1403</v>
      </c>
      <c r="F23" s="79">
        <f t="shared" si="0"/>
        <v>1403</v>
      </c>
      <c r="G23" s="78" t="s">
        <v>8</v>
      </c>
      <c r="H23" s="77">
        <v>45979</v>
      </c>
      <c r="I23" s="78"/>
    </row>
    <row r="24" spans="1:9" x14ac:dyDescent="0.3">
      <c r="A24" s="77">
        <v>45970</v>
      </c>
      <c r="B24" s="78">
        <v>1</v>
      </c>
      <c r="C24" s="78" t="s">
        <v>674</v>
      </c>
      <c r="D24" s="78" t="s">
        <v>677</v>
      </c>
      <c r="E24" s="79">
        <v>1403</v>
      </c>
      <c r="F24" s="79">
        <f t="shared" si="0"/>
        <v>1403</v>
      </c>
      <c r="G24" s="78" t="s">
        <v>8</v>
      </c>
      <c r="H24" s="77">
        <v>45979</v>
      </c>
      <c r="I24" s="78"/>
    </row>
    <row r="25" spans="1:9" x14ac:dyDescent="0.3">
      <c r="A25" s="77">
        <v>45970</v>
      </c>
      <c r="B25" s="78">
        <v>5</v>
      </c>
      <c r="C25" s="78" t="s">
        <v>665</v>
      </c>
      <c r="D25" s="78" t="s">
        <v>495</v>
      </c>
      <c r="E25" s="79">
        <v>450</v>
      </c>
      <c r="F25" s="79">
        <f t="shared" si="0"/>
        <v>2250</v>
      </c>
      <c r="G25" s="78" t="s">
        <v>8</v>
      </c>
      <c r="H25" s="78"/>
      <c r="I25" s="78"/>
    </row>
    <row r="26" spans="1:9" x14ac:dyDescent="0.3">
      <c r="A26" s="80">
        <v>45970</v>
      </c>
      <c r="B26" s="81">
        <v>3</v>
      </c>
      <c r="C26" s="81" t="s">
        <v>673</v>
      </c>
      <c r="D26" s="81" t="s">
        <v>678</v>
      </c>
      <c r="E26" s="82">
        <v>1358</v>
      </c>
      <c r="F26" s="82">
        <f t="shared" si="0"/>
        <v>4074</v>
      </c>
      <c r="G26" s="81" t="s">
        <v>62</v>
      </c>
      <c r="H26" s="81"/>
      <c r="I26" s="81" t="s">
        <v>115</v>
      </c>
    </row>
    <row r="27" spans="1:9" x14ac:dyDescent="0.3">
      <c r="A27" s="80">
        <v>45970</v>
      </c>
      <c r="B27" s="81">
        <v>3</v>
      </c>
      <c r="C27" s="81" t="s">
        <v>674</v>
      </c>
      <c r="D27" s="81" t="s">
        <v>678</v>
      </c>
      <c r="E27" s="82">
        <v>1477</v>
      </c>
      <c r="F27" s="82">
        <f t="shared" si="0"/>
        <v>4431</v>
      </c>
      <c r="G27" s="81" t="s">
        <v>62</v>
      </c>
      <c r="H27" s="81"/>
      <c r="I27" s="81" t="s">
        <v>115</v>
      </c>
    </row>
    <row r="28" spans="1:9" x14ac:dyDescent="0.3">
      <c r="A28" s="77">
        <v>45970</v>
      </c>
      <c r="B28" s="78">
        <v>5</v>
      </c>
      <c r="C28" s="78" t="s">
        <v>697</v>
      </c>
      <c r="D28" s="78" t="s">
        <v>335</v>
      </c>
      <c r="E28" s="79">
        <v>410</v>
      </c>
      <c r="F28" s="79">
        <f t="shared" si="0"/>
        <v>2050</v>
      </c>
      <c r="G28" s="78" t="s">
        <v>695</v>
      </c>
      <c r="H28" s="77">
        <v>45979</v>
      </c>
      <c r="I28" s="78"/>
    </row>
    <row r="29" spans="1:9" x14ac:dyDescent="0.3">
      <c r="A29" s="77">
        <v>45972</v>
      </c>
      <c r="B29" s="78">
        <v>30</v>
      </c>
      <c r="C29" s="78" t="s">
        <v>697</v>
      </c>
      <c r="D29" s="78" t="s">
        <v>335</v>
      </c>
      <c r="E29" s="79">
        <v>410</v>
      </c>
      <c r="F29" s="79">
        <f t="shared" si="0"/>
        <v>12300</v>
      </c>
      <c r="G29" s="78" t="s">
        <v>684</v>
      </c>
      <c r="H29" s="77">
        <v>45979</v>
      </c>
      <c r="I29" s="78"/>
    </row>
    <row r="30" spans="1:9" x14ac:dyDescent="0.3">
      <c r="A30" s="77">
        <v>45972</v>
      </c>
      <c r="B30" s="78">
        <v>5</v>
      </c>
      <c r="C30" s="78" t="s">
        <v>645</v>
      </c>
      <c r="D30" s="78" t="s">
        <v>335</v>
      </c>
      <c r="E30" s="79">
        <v>1400</v>
      </c>
      <c r="F30" s="79">
        <f t="shared" si="0"/>
        <v>7000</v>
      </c>
      <c r="G30" s="78" t="s">
        <v>685</v>
      </c>
      <c r="H30" s="77">
        <v>45979</v>
      </c>
      <c r="I30" s="78"/>
    </row>
    <row r="31" spans="1:9" x14ac:dyDescent="0.3">
      <c r="A31" s="77">
        <v>45972</v>
      </c>
      <c r="B31" s="78">
        <v>5</v>
      </c>
      <c r="C31" s="78" t="s">
        <v>681</v>
      </c>
      <c r="D31" s="78" t="s">
        <v>335</v>
      </c>
      <c r="E31" s="79">
        <v>2500</v>
      </c>
      <c r="F31" s="79">
        <f t="shared" si="0"/>
        <v>12500</v>
      </c>
      <c r="G31" s="78" t="s">
        <v>686</v>
      </c>
      <c r="H31" s="77">
        <v>45979</v>
      </c>
      <c r="I31" s="78"/>
    </row>
    <row r="32" spans="1:9" x14ac:dyDescent="0.3">
      <c r="A32" s="77">
        <v>45972</v>
      </c>
      <c r="B32" s="78">
        <v>10</v>
      </c>
      <c r="C32" s="78" t="s">
        <v>682</v>
      </c>
      <c r="D32" s="78" t="s">
        <v>335</v>
      </c>
      <c r="E32" s="79">
        <v>3300</v>
      </c>
      <c r="F32" s="79">
        <f t="shared" si="0"/>
        <v>33000</v>
      </c>
      <c r="G32" s="78" t="s">
        <v>687</v>
      </c>
      <c r="H32" s="77">
        <v>45979</v>
      </c>
      <c r="I32" s="78"/>
    </row>
    <row r="33" spans="1:9" x14ac:dyDescent="0.3">
      <c r="A33" s="80">
        <v>45978</v>
      </c>
      <c r="B33" s="81">
        <v>9</v>
      </c>
      <c r="C33" s="81" t="s">
        <v>683</v>
      </c>
      <c r="D33" s="81" t="s">
        <v>678</v>
      </c>
      <c r="E33" s="82">
        <v>625</v>
      </c>
      <c r="F33" s="82">
        <f t="shared" si="0"/>
        <v>5625</v>
      </c>
      <c r="G33" s="81" t="s">
        <v>62</v>
      </c>
      <c r="H33" s="81"/>
      <c r="I33" s="81" t="s">
        <v>115</v>
      </c>
    </row>
    <row r="34" spans="1:9" x14ac:dyDescent="0.3">
      <c r="A34" s="77">
        <v>45978</v>
      </c>
      <c r="B34" s="78">
        <v>1</v>
      </c>
      <c r="C34" s="78" t="s">
        <v>690</v>
      </c>
      <c r="D34" s="78" t="s">
        <v>689</v>
      </c>
      <c r="E34" s="79">
        <v>329</v>
      </c>
      <c r="F34" s="79">
        <f t="shared" si="0"/>
        <v>329</v>
      </c>
      <c r="G34" s="78"/>
      <c r="H34" s="78"/>
      <c r="I34" s="78"/>
    </row>
    <row r="35" spans="1:9" x14ac:dyDescent="0.3">
      <c r="A35" s="77">
        <v>45978</v>
      </c>
      <c r="B35" s="78">
        <v>1</v>
      </c>
      <c r="C35" s="78" t="s">
        <v>542</v>
      </c>
      <c r="D35" s="78" t="s">
        <v>691</v>
      </c>
      <c r="E35" s="79">
        <v>5000</v>
      </c>
      <c r="F35" s="79">
        <f t="shared" si="0"/>
        <v>5000</v>
      </c>
      <c r="G35" s="78"/>
      <c r="H35" s="78"/>
      <c r="I35" s="78"/>
    </row>
    <row r="36" spans="1:9" x14ac:dyDescent="0.3">
      <c r="A36" s="80">
        <v>45979</v>
      </c>
      <c r="B36" s="81">
        <v>2</v>
      </c>
      <c r="C36" s="81" t="s">
        <v>692</v>
      </c>
      <c r="D36" s="81" t="s">
        <v>101</v>
      </c>
      <c r="E36" s="82">
        <v>454</v>
      </c>
      <c r="F36" s="82">
        <f t="shared" si="0"/>
        <v>908</v>
      </c>
      <c r="G36" s="81" t="s">
        <v>62</v>
      </c>
      <c r="H36" s="81"/>
      <c r="I36" s="81"/>
    </row>
    <row r="37" spans="1:9" x14ac:dyDescent="0.3">
      <c r="A37" s="80">
        <v>45979</v>
      </c>
      <c r="B37" s="81">
        <v>2</v>
      </c>
      <c r="C37" s="81" t="s">
        <v>692</v>
      </c>
      <c r="D37" s="81" t="s">
        <v>101</v>
      </c>
      <c r="E37" s="82">
        <v>454</v>
      </c>
      <c r="F37" s="82">
        <f t="shared" si="0"/>
        <v>908</v>
      </c>
      <c r="G37" s="81" t="s">
        <v>62</v>
      </c>
      <c r="H37" s="81"/>
      <c r="I37" s="81"/>
    </row>
    <row r="38" spans="1:9" x14ac:dyDescent="0.3">
      <c r="A38" s="80">
        <v>45979</v>
      </c>
      <c r="B38" s="81">
        <v>2</v>
      </c>
      <c r="C38" s="81" t="s">
        <v>692</v>
      </c>
      <c r="D38" s="81" t="s">
        <v>693</v>
      </c>
      <c r="E38" s="82">
        <v>454</v>
      </c>
      <c r="F38" s="82">
        <f t="shared" si="0"/>
        <v>908</v>
      </c>
      <c r="G38" s="81" t="s">
        <v>62</v>
      </c>
      <c r="H38" s="81"/>
      <c r="I38" s="81"/>
    </row>
    <row r="39" spans="1:9" x14ac:dyDescent="0.3">
      <c r="A39" s="80">
        <v>45979</v>
      </c>
      <c r="B39" s="81">
        <v>2</v>
      </c>
      <c r="C39" s="81" t="s">
        <v>692</v>
      </c>
      <c r="D39" s="81" t="s">
        <v>693</v>
      </c>
      <c r="E39" s="82">
        <v>454</v>
      </c>
      <c r="F39" s="82">
        <f t="shared" si="0"/>
        <v>908</v>
      </c>
      <c r="G39" s="81" t="s">
        <v>62</v>
      </c>
      <c r="H39" s="81"/>
      <c r="I39" s="81"/>
    </row>
    <row r="40" spans="1:9" x14ac:dyDescent="0.3">
      <c r="A40" s="80">
        <v>45979</v>
      </c>
      <c r="B40" s="81">
        <v>2</v>
      </c>
      <c r="C40" s="81" t="s">
        <v>692</v>
      </c>
      <c r="D40" s="81" t="s">
        <v>693</v>
      </c>
      <c r="E40" s="82">
        <v>454</v>
      </c>
      <c r="F40" s="82">
        <f t="shared" si="0"/>
        <v>908</v>
      </c>
      <c r="G40" s="81" t="s">
        <v>62</v>
      </c>
      <c r="H40" s="81"/>
      <c r="I40" s="81"/>
    </row>
    <row r="41" spans="1:9" x14ac:dyDescent="0.3">
      <c r="A41" s="77">
        <v>45979</v>
      </c>
      <c r="B41" s="78">
        <v>3</v>
      </c>
      <c r="C41" s="78" t="s">
        <v>694</v>
      </c>
      <c r="D41" s="78" t="s">
        <v>693</v>
      </c>
      <c r="E41" s="79">
        <v>130</v>
      </c>
      <c r="F41" s="79">
        <f t="shared" si="0"/>
        <v>390</v>
      </c>
      <c r="G41" s="78" t="s">
        <v>8</v>
      </c>
      <c r="H41" s="78"/>
      <c r="I41" s="78"/>
    </row>
    <row r="42" spans="1:9" x14ac:dyDescent="0.3">
      <c r="A42" s="2"/>
      <c r="B42" s="2"/>
      <c r="C42" s="2"/>
      <c r="D42" s="2"/>
      <c r="E42" s="3"/>
      <c r="F42" s="3"/>
      <c r="G42" s="2"/>
      <c r="H42" s="2"/>
      <c r="I42" s="2"/>
    </row>
    <row r="43" spans="1:9" x14ac:dyDescent="0.3">
      <c r="A43" s="2"/>
      <c r="B43" s="2"/>
      <c r="C43" s="2"/>
      <c r="D43" s="2"/>
      <c r="E43" s="3"/>
      <c r="F43" s="3"/>
      <c r="G43" s="2"/>
      <c r="H43" s="2"/>
      <c r="I43" s="2"/>
    </row>
    <row r="44" spans="1:9" x14ac:dyDescent="0.3">
      <c r="A44" s="2"/>
      <c r="B44" s="2"/>
      <c r="C44" s="2"/>
      <c r="D44" s="2"/>
      <c r="E44" s="3"/>
      <c r="F44" s="3"/>
      <c r="G44" s="2"/>
      <c r="H44" s="2"/>
      <c r="I44" s="2"/>
    </row>
    <row r="45" spans="1:9" x14ac:dyDescent="0.3">
      <c r="A45" s="2"/>
      <c r="B45" s="2"/>
      <c r="C45" s="2"/>
      <c r="D45" s="2"/>
      <c r="E45" s="3"/>
      <c r="F45" s="3"/>
      <c r="G45" s="2"/>
      <c r="H45" s="2"/>
      <c r="I45" s="2"/>
    </row>
    <row r="46" spans="1:9" x14ac:dyDescent="0.3">
      <c r="A46" s="2"/>
      <c r="B46" s="2"/>
      <c r="C46" s="2"/>
      <c r="D46" s="2"/>
      <c r="E46" s="3"/>
      <c r="F46" s="3"/>
      <c r="G46" s="2"/>
      <c r="H46" s="2"/>
      <c r="I46" s="2"/>
    </row>
    <row r="47" spans="1:9" x14ac:dyDescent="0.3">
      <c r="A47" s="2"/>
      <c r="B47" s="2"/>
      <c r="C47" s="2"/>
      <c r="D47" s="2"/>
      <c r="E47" s="3"/>
      <c r="F47" s="3"/>
      <c r="G47" s="2"/>
      <c r="H47" s="2"/>
      <c r="I47" s="2"/>
    </row>
    <row r="48" spans="1:9" x14ac:dyDescent="0.3">
      <c r="A48" s="2"/>
      <c r="B48" s="2"/>
      <c r="C48" s="2"/>
      <c r="D48" s="2"/>
      <c r="E48" s="3"/>
      <c r="F48" s="3"/>
      <c r="G48" s="2"/>
      <c r="H48" s="2"/>
      <c r="I48" s="2"/>
    </row>
    <row r="49" spans="1:9" x14ac:dyDescent="0.3">
      <c r="A49" s="2"/>
      <c r="B49" s="2"/>
      <c r="C49" s="2"/>
      <c r="D49" s="2"/>
      <c r="E49" s="3"/>
      <c r="F49" s="3"/>
      <c r="G49" s="2"/>
      <c r="H49" s="2"/>
      <c r="I49" s="2"/>
    </row>
  </sheetData>
  <autoFilter ref="A1:I41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D22" sqref="D22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77">
        <v>45957</v>
      </c>
      <c r="B2" s="78">
        <v>1</v>
      </c>
      <c r="C2" s="78" t="s">
        <v>406</v>
      </c>
      <c r="D2" s="78" t="s">
        <v>635</v>
      </c>
      <c r="E2" s="84">
        <v>1449</v>
      </c>
      <c r="F2" s="84">
        <v>1449</v>
      </c>
      <c r="G2" s="78" t="s">
        <v>348</v>
      </c>
      <c r="H2" s="78" t="s">
        <v>636</v>
      </c>
      <c r="I2" s="78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77">
        <v>45957</v>
      </c>
      <c r="B3" s="78">
        <v>2</v>
      </c>
      <c r="C3" s="78" t="s">
        <v>406</v>
      </c>
      <c r="D3" s="78" t="s">
        <v>383</v>
      </c>
      <c r="E3" s="84">
        <v>1455</v>
      </c>
      <c r="F3" s="84">
        <f>E3*B3</f>
        <v>2910</v>
      </c>
      <c r="G3" s="78" t="s">
        <v>348</v>
      </c>
      <c r="H3" s="78" t="s">
        <v>638</v>
      </c>
      <c r="I3" s="85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77">
        <v>45958</v>
      </c>
      <c r="B4" s="78">
        <v>10</v>
      </c>
      <c r="C4" s="78" t="s">
        <v>406</v>
      </c>
      <c r="D4" s="78" t="s">
        <v>383</v>
      </c>
      <c r="E4" s="84">
        <v>1399</v>
      </c>
      <c r="F4" s="84">
        <f>E4*B4</f>
        <v>13990</v>
      </c>
      <c r="G4" s="78" t="s">
        <v>348</v>
      </c>
      <c r="H4" s="78" t="s">
        <v>636</v>
      </c>
      <c r="I4" s="78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77">
        <v>45958</v>
      </c>
      <c r="B5" s="78">
        <v>1</v>
      </c>
      <c r="C5" s="78" t="s">
        <v>391</v>
      </c>
      <c r="D5" s="78" t="s">
        <v>383</v>
      </c>
      <c r="E5" s="84">
        <v>9</v>
      </c>
      <c r="F5" s="84">
        <v>9</v>
      </c>
      <c r="G5" s="78"/>
      <c r="H5" s="78" t="s">
        <v>636</v>
      </c>
      <c r="I5" s="78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77">
        <v>45958</v>
      </c>
      <c r="B6" s="78">
        <v>3</v>
      </c>
      <c r="C6" s="78" t="s">
        <v>378</v>
      </c>
      <c r="D6" s="78" t="s">
        <v>383</v>
      </c>
      <c r="E6" s="84">
        <v>780</v>
      </c>
      <c r="F6" s="84">
        <f>E6*B6</f>
        <v>2340</v>
      </c>
      <c r="G6" s="78" t="s">
        <v>348</v>
      </c>
      <c r="H6" s="78" t="s">
        <v>636</v>
      </c>
      <c r="I6" s="78"/>
    </row>
    <row r="7" spans="1:23" x14ac:dyDescent="0.3">
      <c r="A7" s="77">
        <v>45958</v>
      </c>
      <c r="B7" s="78">
        <v>6</v>
      </c>
      <c r="C7" s="78" t="s">
        <v>406</v>
      </c>
      <c r="D7" s="78" t="s">
        <v>433</v>
      </c>
      <c r="E7" s="84">
        <v>1348</v>
      </c>
      <c r="F7" s="84">
        <f t="shared" ref="F7:F8" si="0">E7*B7</f>
        <v>8088</v>
      </c>
      <c r="G7" s="78" t="s">
        <v>348</v>
      </c>
      <c r="H7" s="78" t="s">
        <v>636</v>
      </c>
      <c r="I7" s="78"/>
    </row>
    <row r="8" spans="1:23" x14ac:dyDescent="0.3">
      <c r="A8" s="77">
        <v>45958</v>
      </c>
      <c r="B8" s="78">
        <v>1</v>
      </c>
      <c r="C8" s="78" t="s">
        <v>639</v>
      </c>
      <c r="D8" s="78" t="s">
        <v>433</v>
      </c>
      <c r="E8" s="84">
        <v>1348</v>
      </c>
      <c r="F8" s="84">
        <f t="shared" si="0"/>
        <v>1348</v>
      </c>
      <c r="G8" s="78" t="s">
        <v>348</v>
      </c>
      <c r="H8" s="78" t="s">
        <v>636</v>
      </c>
      <c r="I8" s="78"/>
    </row>
    <row r="9" spans="1:23" x14ac:dyDescent="0.3">
      <c r="A9" s="78"/>
      <c r="B9" s="78"/>
      <c r="C9" s="78"/>
      <c r="D9" s="78"/>
      <c r="E9" s="78"/>
      <c r="F9" s="78"/>
      <c r="G9" s="78"/>
      <c r="H9" s="78"/>
      <c r="I9" s="78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9"/>
  <sheetViews>
    <sheetView workbookViewId="0">
      <selection activeCell="D16" sqref="D16"/>
    </sheetView>
  </sheetViews>
  <sheetFormatPr defaultRowHeight="14.4" x14ac:dyDescent="0.3"/>
  <cols>
    <col min="1" max="1" width="14" customWidth="1"/>
    <col min="2" max="2" width="4" bestFit="1" customWidth="1"/>
    <col min="3" max="4" width="17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3">
        <v>45964</v>
      </c>
      <c r="B2" s="78">
        <v>2</v>
      </c>
      <c r="C2" s="78" t="s">
        <v>582</v>
      </c>
      <c r="D2" s="78" t="s">
        <v>383</v>
      </c>
      <c r="E2" s="79">
        <v>1450</v>
      </c>
      <c r="F2" s="79">
        <f>B2*E2</f>
        <v>2900</v>
      </c>
      <c r="G2" s="78" t="s">
        <v>348</v>
      </c>
      <c r="H2" s="78" t="s">
        <v>464</v>
      </c>
      <c r="I2" s="78"/>
    </row>
    <row r="3" spans="1:9" x14ac:dyDescent="0.3">
      <c r="A3" s="83">
        <v>45964</v>
      </c>
      <c r="B3" s="78">
        <v>2</v>
      </c>
      <c r="C3" s="78" t="s">
        <v>580</v>
      </c>
      <c r="D3" s="78" t="s">
        <v>460</v>
      </c>
      <c r="E3" s="79">
        <v>1450</v>
      </c>
      <c r="F3" s="79">
        <f t="shared" ref="F3:F7" si="0">B3*E3</f>
        <v>2900</v>
      </c>
      <c r="G3" s="78" t="s">
        <v>348</v>
      </c>
      <c r="H3" s="78" t="s">
        <v>464</v>
      </c>
      <c r="I3" s="78"/>
    </row>
    <row r="4" spans="1:9" x14ac:dyDescent="0.3">
      <c r="A4" s="83">
        <v>45964</v>
      </c>
      <c r="B4" s="78">
        <v>1</v>
      </c>
      <c r="C4" s="78" t="s">
        <v>582</v>
      </c>
      <c r="D4" s="78" t="s">
        <v>635</v>
      </c>
      <c r="E4" s="79">
        <v>1480</v>
      </c>
      <c r="F4" s="79">
        <f t="shared" si="0"/>
        <v>1480</v>
      </c>
      <c r="G4" s="78" t="s">
        <v>348</v>
      </c>
      <c r="H4" s="78" t="s">
        <v>464</v>
      </c>
      <c r="I4" s="78"/>
    </row>
    <row r="5" spans="1:9" x14ac:dyDescent="0.3">
      <c r="A5" s="83">
        <v>45964</v>
      </c>
      <c r="B5" s="78">
        <v>4</v>
      </c>
      <c r="C5" s="78" t="s">
        <v>679</v>
      </c>
      <c r="D5" s="78" t="s">
        <v>383</v>
      </c>
      <c r="E5" s="79">
        <v>1399</v>
      </c>
      <c r="F5" s="79">
        <f t="shared" si="0"/>
        <v>5596</v>
      </c>
      <c r="G5" s="78" t="s">
        <v>348</v>
      </c>
      <c r="H5" s="78" t="s">
        <v>464</v>
      </c>
      <c r="I5" s="78"/>
    </row>
    <row r="6" spans="1:9" x14ac:dyDescent="0.3">
      <c r="A6" s="83">
        <v>45964</v>
      </c>
      <c r="B6" s="78">
        <v>2</v>
      </c>
      <c r="C6" s="78" t="s">
        <v>582</v>
      </c>
      <c r="D6" s="78" t="s">
        <v>383</v>
      </c>
      <c r="E6" s="79">
        <v>1399</v>
      </c>
      <c r="F6" s="79">
        <f t="shared" si="0"/>
        <v>2798</v>
      </c>
      <c r="G6" s="78" t="s">
        <v>348</v>
      </c>
      <c r="H6" s="78" t="s">
        <v>464</v>
      </c>
      <c r="I6" s="78"/>
    </row>
    <row r="7" spans="1:9" x14ac:dyDescent="0.3">
      <c r="A7" s="77">
        <v>45968</v>
      </c>
      <c r="B7" s="78">
        <v>60</v>
      </c>
      <c r="C7" s="78" t="s">
        <v>667</v>
      </c>
      <c r="D7" s="78" t="s">
        <v>668</v>
      </c>
      <c r="E7" s="79">
        <v>10</v>
      </c>
      <c r="F7" s="79">
        <f t="shared" si="0"/>
        <v>600</v>
      </c>
      <c r="G7" s="78"/>
      <c r="H7" s="78"/>
      <c r="I7" s="78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4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4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4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4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NZ OCT</vt:lpstr>
      <vt:lpstr>NZ NOV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2025-11-19T16:54:02Z</dcterms:modified>
</cp:coreProperties>
</file>