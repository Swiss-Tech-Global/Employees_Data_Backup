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06F74519-E69D-4B71-B133-69C1CD94E195}" xr6:coauthVersionLast="47" xr6:coauthVersionMax="47" xr10:uidLastSave="{00000000-0000-0000-0000-000000000000}"/>
  <bookViews>
    <workbookView xWindow="-120" yWindow="-120" windowWidth="29040" windowHeight="15720" firstSheet="24" activeTab="28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r:id="rId25"/>
    <sheet name="AU MAR" sheetId="45" r:id="rId26"/>
    <sheet name="APR NZ" sheetId="46" r:id="rId27"/>
    <sheet name="APR AU" sheetId="47" r:id="rId28"/>
    <sheet name="MAY AU" sheetId="48" r:id="rId29"/>
    <sheet name="Sheet8" sheetId="42" state="hidden" r:id="rId30"/>
    <sheet name="AU JAN" sheetId="40" r:id="rId31"/>
    <sheet name="Sheet7" sheetId="39" state="hidden" r:id="rId32"/>
    <sheet name="Sheet6" sheetId="38" state="hidden" r:id="rId33"/>
    <sheet name="Gift Card" sheetId="37" state="hidden" r:id="rId34"/>
    <sheet name="Adil " sheetId="35" state="hidden" r:id="rId35"/>
    <sheet name="Waleed " sheetId="33" state="hidden" r:id="rId36"/>
    <sheet name="Sheet5" sheetId="32" state="hidden" r:id="rId37"/>
    <sheet name="NZ OCT" sheetId="25" state="hidden" r:id="rId38"/>
    <sheet name="NZ NOV" sheetId="26" state="hidden" r:id="rId39"/>
    <sheet name="NZ JAN" sheetId="41" state="hidden" r:id="rId40"/>
    <sheet name="NZ FEB" sheetId="44" r:id="rId41"/>
    <sheet name="NZ DEC" sheetId="36" state="hidden" r:id="rId42"/>
    <sheet name="Sheet3" sheetId="31" state="hidden" r:id="rId43"/>
    <sheet name="Sheet2" sheetId="30" state="hidden" r:id="rId44"/>
    <sheet name="NZ visit expense" sheetId="17" state="hidden" r:id="rId45"/>
    <sheet name="Abdul Rafey" sheetId="5" state="hidden" r:id="rId46"/>
  </sheets>
  <definedNames>
    <definedName name="_xlnm._FilterDatabase" localSheetId="27" hidden="1">'APR AU'!$A$1:$K$66</definedName>
    <definedName name="_xlnm._FilterDatabase" localSheetId="26" hidden="1">'APR NZ'!$A$1:$Q$19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30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31" hidden="1">Sheet7!$A$1:$I$30</definedName>
  </definedNames>
  <calcPr calcId="191029"/>
  <pivotCaches>
    <pivotCache cacheId="0" r:id="rId47"/>
    <pivotCache cacheId="1" r:id="rId48"/>
    <pivotCache cacheId="2" r:id="rId49"/>
    <pivotCache cacheId="3" r:id="rId50"/>
    <pivotCache cacheId="4" r:id="rId51"/>
    <pivotCache cacheId="5" r:id="rId52"/>
    <pivotCache cacheId="6" r:id="rId53"/>
    <pivotCache cacheId="7" r:id="rId54"/>
    <pivotCache cacheId="8" r:id="rId55"/>
    <pivotCache cacheId="9" r:id="rId56"/>
    <pivotCache cacheId="10" r:id="rId5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48" l="1"/>
  <c r="F13" i="48"/>
  <c r="F14" i="48"/>
  <c r="F15" i="48"/>
  <c r="F11" i="48"/>
  <c r="F10" i="48"/>
  <c r="F9" i="48"/>
  <c r="F8" i="48"/>
  <c r="F7" i="48"/>
  <c r="F6" i="48"/>
  <c r="F5" i="48"/>
  <c r="F4" i="48"/>
  <c r="F3" i="48"/>
  <c r="F2" i="48"/>
  <c r="H23" i="46"/>
  <c r="H22" i="46"/>
  <c r="H21" i="46"/>
  <c r="H20" i="46"/>
  <c r="F66" i="47"/>
  <c r="F62" i="47"/>
  <c r="F63" i="47"/>
  <c r="F64" i="47"/>
  <c r="F65" i="47"/>
  <c r="R19" i="46"/>
  <c r="R17" i="46"/>
  <c r="R16" i="46"/>
  <c r="R18" i="46" s="1"/>
  <c r="R20" i="46" s="1"/>
  <c r="R22" i="46" s="1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H17" i="46"/>
  <c r="H18" i="46"/>
  <c r="H19" i="46"/>
  <c r="F29" i="47" l="1"/>
  <c r="F27" i="47"/>
  <c r="F26" i="47"/>
  <c r="F25" i="47"/>
  <c r="F24" i="47"/>
  <c r="F22" i="47"/>
  <c r="F21" i="47"/>
  <c r="H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H12" i="46"/>
  <c r="H2" i="46"/>
  <c r="H11" i="46"/>
  <c r="H10" i="46"/>
  <c r="H9" i="46"/>
  <c r="H4" i="46"/>
  <c r="H5" i="46"/>
  <c r="H3" i="46"/>
  <c r="H8" i="46"/>
  <c r="H7" i="46"/>
  <c r="H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<sst xmlns="http://schemas.openxmlformats.org/spreadsheetml/2006/main" count="5157" uniqueCount="1232">
  <si>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</si>
  <si>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</si>
  <si>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</si>
  <si>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</si>
  <si>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</si>
  <si>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</si>
  <si>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</si>
  <si>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</si>
  <si>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</si>
  <si>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</si>
  <si>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</si>
  <si>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</si>
  <si>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</si>
  <si>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</si>
  <si>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</si>
  <si>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</si>
  <si>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</si>
  <si>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</si>
  <si>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</si>
  <si>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</si>
  <si>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</si>
  <si>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</si>
  <si>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</si>
  <si>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</si>
  <si>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</si>
  <si>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</si>
  <si>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</si>
  <si>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</si>
  <si>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</si>
  <si>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</si>
  <si>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</si>
  <si>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</si>
  <si>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</si>
  <si>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</si>
  <si>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</si>
  <si>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</si>
  <si>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</si>
  <si>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</si>
  <si>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</si>
  <si>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</si>
  <si>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</si>
  <si>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</si>
  <si>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</si>
  <si>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</si>
  <si>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</si>
  <si>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</si>
  <si>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</si>
  <si>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</si>
  <si>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</si>
  <si>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</si>
  <si>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</si>
  <si>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</si>
  <si>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</si>
  <si>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</si>
  <si>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</si>
  <si>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</si>
  <si>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</si>
  <si>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</si>
  <si>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</si>
  <si>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</si>
  <si>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</si>
  <si>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</si>
  <si>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</si>
  <si>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</si>
  <si>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</si>
  <si>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</si>
  <si>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</si>
  <si>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</si>
  <si>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</si>
  <si>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</si>
  <si>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</si>
  <si>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</si>
  <si>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</si>
  <si>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</si>
  <si>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</si>
  <si>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</si>
  <si>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</si>
  <si>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</si>
  <si>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</si>
  <si>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</si>
  <si>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</si>
  <si>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</si>
  <si>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</si>
  <si>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</si>
  <si>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</si>
  <si>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</si>
  <si>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</si>
  <si>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</si>
  <si>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</si>
  <si>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</si>
  <si>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</si>
  <si>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</si>
  <si>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</si>
  <si>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</si>
  <si>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</si>
  <si>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</si>
  <si>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</si>
  <si>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</si>
  <si>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</si>
  <si>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</si>
  <si>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</si>
  <si>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</si>
  <si>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</si>
  <si>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</si>
  <si>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</si>
  <si>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</si>
  <si>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</si>
  <si>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</si>
  <si>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</si>
  <si>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</si>
  <si>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</si>
  <si>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</si>
  <si>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</si>
  <si>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</si>
  <si>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</si>
  <si>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</si>
  <si>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</si>
  <si>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</si>
  <si>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</si>
  <si>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</si>
  <si>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</si>
  <si>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</si>
  <si>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</si>
  <si>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</si>
  <si>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</si>
  <si>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</si>
  <si>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</si>
  <si>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</si>
  <si>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</si>
  <si>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</si>
  <si>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</si>
  <si>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</si>
  <si>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</si>
  <si>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</si>
  <si>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</si>
  <si>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</si>
  <si>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</si>
  <si>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</si>
  <si>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</si>
  <si>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</si>
  <si>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</si>
  <si>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</si>
  <si>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</si>
  <si>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</si>
  <si>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</si>
  <si>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</si>
  <si>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</si>
  <si>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</si>
  <si>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</si>
  <si>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</si>
  <si>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</si>
  <si>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</si>
  <si>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</si>
  <si>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</si>
  <si>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</si>
  <si>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</si>
  <si>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</si>
  <si>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</si>
  <si>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</si>
  <si>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</si>
  <si>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</si>
  <si>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</si>
  <si>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</si>
  <si>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</si>
  <si>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</si>
  <si>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</si>
  <si>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</si>
  <si>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</si>
  <si>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</si>
  <si>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</si>
  <si>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</si>
  <si>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</si>
  <si>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</si>
  <si>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</si>
  <si>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</si>
  <si>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</si>
  <si>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</si>
  <si>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</si>
  <si>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</si>
  <si>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</si>
  <si>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</si>
  <si>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</si>
  <si>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</si>
  <si>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</si>
  <si>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</si>
  <si>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</si>
  <si>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</si>
  <si>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</si>
  <si>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</si>
  <si>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</si>
  <si>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</si>
  <si>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</si>
  <si>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</si>
  <si>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</si>
  <si>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</si>
  <si>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</si>
  <si>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</si>
  <si>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</si>
  <si>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</si>
  <si>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</si>
  <si>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</si>
  <si>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</si>
  <si>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</si>
  <si>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</si>
  <si>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</si>
  <si>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</si>
  <si>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</si>
  <si>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</si>
  <si>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</si>
  <si>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</si>
  <si>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</si>
  <si>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</si>
  <si>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</si>
  <si>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</si>
  <si>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</si>
  <si>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</si>
  <si>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</si>
  <si>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</si>
  <si>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</si>
  <si>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</si>
  <si>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</si>
  <si>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</si>
  <si>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</si>
  <si>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</si>
  <si>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</si>
  <si>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</si>
  <si>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</si>
  <si>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</si>
  <si>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</si>
  <si>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</si>
  <si>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</si>
  <si>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</si>
  <si>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</si>
  <si>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</si>
  <si>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</si>
  <si>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</si>
  <si>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</si>
  <si>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</si>
  <si>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</si>
  <si>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</si>
  <si>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</si>
  <si>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</si>
  <si>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</si>
  <si>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</si>
  <si>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</si>
  <si>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</si>
  <si>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</si>
  <si>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</si>
  <si>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</si>
  <si>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</si>
  <si>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</si>
  <si>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</si>
  <si>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</si>
  <si>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</si>
  <si>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</si>
  <si>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</si>
  <si>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</si>
  <si>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</si>
  <si>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</si>
  <si>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</si>
  <si>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</si>
  <si>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</si>
  <si>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</si>
  <si>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</si>
  <si>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</si>
  <si>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</si>
  <si>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</si>
  <si>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</si>
  <si>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</si>
  <si>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</si>
  <si>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</si>
  <si>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</si>
  <si>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</si>
  <si>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</si>
  <si>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</si>
  <si>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</si>
  <si>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</si>
  <si>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</si>
  <si>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</si>
  <si>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</si>
  <si>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</si>
  <si>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</si>
  <si>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</si>
  <si>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</si>
  <si>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</si>
  <si>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</si>
  <si>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</si>
  <si>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</si>
  <si>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</si>
  <si>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</si>
  <si>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</si>
  <si>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</si>
  <si>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</si>
  <si>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</si>
  <si>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</si>
  <si>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</si>
  <si>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</si>
  <si>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</si>
  <si>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</si>
  <si>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</si>
  <si>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</si>
  <si>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</si>
  <si>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</si>
  <si>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</si>
  <si>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</si>
  <si>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</si>
  <si>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</si>
  <si>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</si>
  <si>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</si>
  <si>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</si>
  <si>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</si>
  <si>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</si>
  <si>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</si>
  <si>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</si>
  <si>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</si>
  <si>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</si>
  <si>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</si>
  <si>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</si>
  <si>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</si>
  <si>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</si>
  <si>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</si>
  <si>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</si>
  <si>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</si>
  <si>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</si>
  <si>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</si>
  <si>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</si>
  <si>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</si>
  <si>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</si>
  <si>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</si>
  <si>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</si>
  <si>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</si>
  <si>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</si>
  <si>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</si>
  <si>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</si>
  <si>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</si>
  <si>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</si>
  <si>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</si>
  <si>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</si>
  <si>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</si>
  <si>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</si>
  <si>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</si>
  <si>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</si>
  <si>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</si>
  <si>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</si>
  <si>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</si>
  <si>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</si>
  <si>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</si>
  <si>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</si>
  <si>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</si>
  <si>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</si>
  <si>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</si>
  <si>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</si>
  <si>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</si>
  <si>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</si>
  <si>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</si>
  <si>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</si>
  <si>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</si>
  <si>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</si>
  <si>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</si>
  <si>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</si>
  <si>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</si>
  <si>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</si>
  <si>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</si>
  <si>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</si>
  <si>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</si>
  <si>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</si>
  <si>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</si>
  <si>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</si>
  <si>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</si>
  <si>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</si>
  <si>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</si>
  <si>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</si>
  <si>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</si>
  <si>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</si>
  <si>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</si>
  <si>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</si>
  <si>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</si>
  <si>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</si>
  <si>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</si>
  <si>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</si>
  <si>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</si>
  <si>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</si>
  <si>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</si>
  <si>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</si>
  <si>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</si>
  <si>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</si>
  <si>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</si>
  <si>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</si>
  <si>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</si>
  <si>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</si>
  <si>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</si>
  <si>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</si>
  <si>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</si>
  <si>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</si>
  <si>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</si>
  <si>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</si>
  <si>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</si>
  <si>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</si>
  <si>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</si>
  <si>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</si>
  <si>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</si>
  <si>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</si>
  <si>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</si>
  <si>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</si>
  <si>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</si>
  <si>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</si>
  <si>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</si>
  <si>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</si>
  <si>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</si>
  <si>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</si>
  <si>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</si>
  <si>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</si>
  <si>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</si>
  <si>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</si>
  <si>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</si>
  <si>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</si>
  <si>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</si>
  <si>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</si>
  <si>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</si>
  <si>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</si>
  <si>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</si>
  <si>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</si>
  <si>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</si>
  <si>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</si>
  <si>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</si>
  <si>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</si>
  <si>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</si>
  <si>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</si>
  <si>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</si>
  <si>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</si>
  <si>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</si>
  <si>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</si>
  <si>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</si>
  <si>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</si>
  <si>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</si>
  <si>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</si>
  <si>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</si>
  <si>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</si>
  <si>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</si>
  <si>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</si>
  <si>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</si>
  <si>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</si>
  <si>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</si>
  <si>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</si>
  <si>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</si>
  <si>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</si>
  <si>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</si>
  <si>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</si>
  <si>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</si>
  <si>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</si>
  <si>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</si>
  <si>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</si>
  <si>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</si>
  <si>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</si>
  <si>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</si>
  <si>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</si>
  <si>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</si>
  <si>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</si>
  <si>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</si>
  <si>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</si>
  <si>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</si>
  <si>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</si>
  <si>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</si>
  <si>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</si>
  <si>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</si>
  <si>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</si>
  <si>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</si>
  <si>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</si>
  <si>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</si>
  <si>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</si>
  <si>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</si>
  <si>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</si>
  <si>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</si>
  <si>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</si>
  <si>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</si>
  <si>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</si>
  <si>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</si>
  <si>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</si>
  <si>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</si>
  <si>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</si>
  <si>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</si>
  <si>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</si>
  <si>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</si>
  <si>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</si>
  <si>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</si>
  <si>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</si>
  <si>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</si>
  <si>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</si>
  <si>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</si>
  <si>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</si>
  <si>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</si>
  <si>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</si>
  <si>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</si>
  <si>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</si>
  <si>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</si>
  <si>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</si>
  <si>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</si>
  <si>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</si>
  <si>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</si>
  <si>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</si>
  <si>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</si>
  <si>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</si>
  <si>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</si>
  <si>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</si>
  <si>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</si>
  <si>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</si>
  <si>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</si>
  <si>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</si>
  <si>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</si>
  <si>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</si>
  <si>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</si>
  <si>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</si>
  <si>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</si>
  <si>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</si>
  <si>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</si>
  <si>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</si>
  <si>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</si>
  <si>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</si>
  <si>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</si>
  <si>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</si>
  <si>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</si>
  <si>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</si>
  <si>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</si>
  <si>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</si>
  <si>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</si>
  <si>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</si>
  <si>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</si>
  <si>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</si>
  <si>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</si>
  <si>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</si>
  <si>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</si>
  <si>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</si>
  <si>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</si>
  <si>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</si>
  <si>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</si>
  <si>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</si>
  <si>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</si>
  <si>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</si>
  <si>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</si>
  <si>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</si>
  <si>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</si>
  <si>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</si>
  <si>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</si>
  <si>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</si>
  <si>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</si>
  <si>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</si>
  <si>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</si>
  <si>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</si>
  <si>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</si>
  <si>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</si>
  <si>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</si>
  <si>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</si>
  <si>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</si>
  <si>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</si>
  <si>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</si>
  <si>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</si>
  <si>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</si>
  <si>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</si>
  <si>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</si>
  <si>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</si>
  <si>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</si>
  <si>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</si>
  <si>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</si>
  <si>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</si>
  <si>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</si>
  <si>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</si>
  <si>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</si>
  <si>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</si>
  <si>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</si>
  <si>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</si>
  <si>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</si>
  <si>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</si>
  <si>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</si>
  <si>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</si>
  <si>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</si>
  <si>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</si>
  <si>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</si>
  <si>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</si>
  <si>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</si>
  <si>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</si>
  <si>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</si>
  <si>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</si>
  <si>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</si>
  <si>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</si>
  <si>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</si>
  <si>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</si>
  <si>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</si>
  <si>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</si>
  <si>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</si>
  <si>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</si>
  <si>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</si>
  <si>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</si>
  <si>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</si>
  <si>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</si>
  <si>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</si>
  <si>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</si>
  <si>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</si>
  <si>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</si>
  <si>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</si>
  <si>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</si>
  <si>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</si>
  <si>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</si>
  <si>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</si>
  <si>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</si>
  <si>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</si>
  <si>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</si>
  <si>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</si>
  <si>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</si>
  <si>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</si>
  <si>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</si>
  <si>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</si>
  <si>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</si>
  <si>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</si>
  <si>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</si>
  <si>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</si>
  <si>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</si>
  <si>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</si>
  <si>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</si>
  <si>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</si>
  <si>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</si>
  <si>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</si>
  <si>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</si>
  <si>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</si>
  <si>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</si>
  <si>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</si>
  <si>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</si>
  <si>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</si>
  <si>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</si>
  <si>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</si>
  <si>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</si>
  <si>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</si>
  <si>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</si>
  <si>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</si>
  <si>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</si>
  <si>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</si>
  <si>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</si>
  <si>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</si>
  <si>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</si>
  <si>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</si>
  <si>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</si>
  <si>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</si>
  <si>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</si>
  <si>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</si>
  <si>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</si>
  <si>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</si>
  <si>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</si>
  <si>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</si>
  <si>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</si>
  <si>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</si>
  <si>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</si>
  <si>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</si>
  <si>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</si>
  <si>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</si>
  <si>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</si>
  <si>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</si>
  <si>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</si>
  <si>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</si>
  <si>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</si>
  <si>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</si>
  <si>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</si>
  <si>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</si>
  <si>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</si>
  <si>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</si>
  <si>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</si>
  <si>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</si>
  <si>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</si>
  <si>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</si>
  <si>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</si>
  <si>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</si>
  <si>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</si>
  <si>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</si>
  <si>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</si>
  <si>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</si>
  <si>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</si>
  <si>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</si>
  <si>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</si>
  <si>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</si>
  <si>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</si>
  <si>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</si>
  <si>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</si>
  <si>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</si>
  <si>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</si>
  <si>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</si>
  <si>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</si>
  <si>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</si>
  <si>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</si>
  <si>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</si>
  <si>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</si>
  <si>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</si>
  <si>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</si>
  <si>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</si>
  <si>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</si>
  <si>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</si>
  <si>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</si>
  <si>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</si>
  <si>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</si>
  <si>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</si>
  <si>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</si>
  <si>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</si>
  <si>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</si>
  <si>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</si>
  <si>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</si>
  <si>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</si>
  <si>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</si>
  <si>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</si>
  <si>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</si>
  <si>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</si>
  <si>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</si>
  <si>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</si>
  <si>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</si>
  <si>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</si>
  <si>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</si>
  <si>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</si>
  <si>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</si>
  <si>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</si>
  <si>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</si>
  <si>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</si>
  <si>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</si>
  <si>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</si>
  <si>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</si>
  <si>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</si>
  <si>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</si>
  <si>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</si>
  <si>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</si>
  <si>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</si>
  <si>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</si>
  <si>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</si>
  <si>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</si>
  <si>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</si>
  <si>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</si>
  <si>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</si>
  <si>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</si>
  <si>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</si>
  <si>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</si>
  <si>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</si>
  <si>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</si>
  <si>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</si>
  <si>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</si>
  <si>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</si>
  <si>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</si>
  <si>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</si>
  <si>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</si>
  <si>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</si>
  <si>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</si>
  <si>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</si>
  <si>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</si>
  <si>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</si>
  <si>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</si>
  <si>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</si>
  <si>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</si>
  <si>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</si>
  <si>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</si>
  <si>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</si>
  <si>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</si>
  <si>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</si>
  <si>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</si>
  <si>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</si>
  <si>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</si>
  <si>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</si>
  <si>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</si>
  <si>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</si>
  <si>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</si>
  <si>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</si>
  <si>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</si>
  <si>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</si>
  <si>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</si>
  <si>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</si>
  <si>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</si>
  <si>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</si>
  <si>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</si>
  <si>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</si>
  <si>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</si>
  <si>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</si>
  <si>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</si>
  <si>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</si>
  <si>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</si>
  <si>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</si>
  <si>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</si>
  <si>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</si>
  <si>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</si>
  <si>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</si>
  <si>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</si>
  <si>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</si>
  <si>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</si>
  <si>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</si>
  <si>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</si>
  <si>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</si>
  <si>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</si>
  <si>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</si>
  <si>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</si>
  <si>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</si>
  <si>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</si>
  <si>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</si>
  <si>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</si>
  <si>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</si>
  <si>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</si>
  <si>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</si>
  <si>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</si>
  <si>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</si>
  <si>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</si>
  <si>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</si>
  <si>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</si>
  <si>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</si>
  <si>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</si>
  <si>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</si>
  <si>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</si>
  <si>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</si>
  <si>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</si>
  <si>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</si>
  <si>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</si>
  <si>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</si>
  <si>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</si>
  <si>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</si>
  <si>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</si>
  <si>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</si>
  <si>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</si>
  <si>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</si>
  <si>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</si>
  <si>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</si>
  <si>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</si>
  <si>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</si>
  <si>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</si>
  <si>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</si>
  <si>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</si>
  <si>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</si>
  <si>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</si>
  <si>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</si>
  <si>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</si>
  <si>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</si>
  <si>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</si>
  <si>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</si>
  <si>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</si>
  <si>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</si>
  <si>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</si>
  <si>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</si>
  <si>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</si>
  <si>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</si>
  <si>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</si>
  <si>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</si>
  <si>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</si>
  <si>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</si>
  <si>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</si>
  <si>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</si>
  <si>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</si>
  <si>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</si>
  <si>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</si>
  <si>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</si>
  <si>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</si>
  <si>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</si>
  <si>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</si>
  <si>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</si>
  <si>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</si>
  <si>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</si>
  <si>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</si>
  <si>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</si>
  <si>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</si>
  <si>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</si>
  <si>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</si>
  <si>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</si>
  <si>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</si>
  <si>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</si>
  <si>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</si>
  <si>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</si>
  <si>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</si>
  <si>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</si>
  <si>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</si>
  <si>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</si>
  <si>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</si>
  <si>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</si>
  <si>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</si>
  <si>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</si>
  <si>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</si>
  <si>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</si>
  <si>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</si>
  <si>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</si>
  <si>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</si>
  <si>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</si>
  <si>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</si>
  <si>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</si>
  <si>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</si>
  <si>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</si>
  <si>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</si>
  <si>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</si>
  <si>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</si>
  <si>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</si>
  <si>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</si>
  <si>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</si>
  <si>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</si>
  <si>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</si>
  <si>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</si>
  <si>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</si>
  <si>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</si>
  <si>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</si>
  <si>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</si>
  <si>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</si>
  <si>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</si>
  <si>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</si>
  <si>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</si>
  <si>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</si>
  <si>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</si>
  <si>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</si>
  <si>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</si>
  <si>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</si>
  <si>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</si>
  <si>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</si>
  <si>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</si>
  <si>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</si>
  <si>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</si>
  <si>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</si>
  <si>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</si>
  <si>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</si>
  <si>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</si>
  <si>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</si>
  <si>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</si>
  <si>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</si>
  <si>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</si>
  <si>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</si>
  <si>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</si>
  <si>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</si>
  <si>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</si>
  <si>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</si>
  <si>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</si>
  <si>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</si>
  <si>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</si>
  <si>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</si>
  <si>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</si>
  <si>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</si>
  <si>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</si>
  <si>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</si>
  <si>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</si>
  <si>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</si>
  <si>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</si>
  <si>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</si>
  <si>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</si>
  <si>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</si>
  <si>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</si>
  <si>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</si>
  <si>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</si>
  <si>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</si>
  <si>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</si>
  <si>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</si>
  <si>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</si>
  <si>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</si>
  <si>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</si>
  <si>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</si>
  <si>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</si>
  <si>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</si>
  <si>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</si>
  <si>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</si>
  <si>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</si>
  <si>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</si>
  <si>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</si>
  <si>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</si>
  <si>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</si>
  <si>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</si>
  <si>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</si>
  <si>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</si>
  <si>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</si>
  <si>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</si>
  <si>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</si>
  <si>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</si>
  <si>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</si>
  <si>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</si>
  <si>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</si>
  <si>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</si>
  <si>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</si>
  <si>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</si>
  <si>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</si>
  <si>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</si>
  <si>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</si>
  <si>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</si>
  <si>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</si>
  <si>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</si>
  <si>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</si>
  <si>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</si>
  <si>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</si>
  <si>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</si>
  <si>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</si>
  <si>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</si>
  <si>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</si>
  <si>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</si>
  <si>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</si>
  <si>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</si>
  <si>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</si>
  <si>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</si>
  <si>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</si>
  <si>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</si>
  <si>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</si>
  <si>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</si>
  <si>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</si>
  <si>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</si>
  <si>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</si>
  <si>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</si>
  <si>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</si>
  <si>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</si>
  <si>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</si>
  <si>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</si>
  <si>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</si>
  <si>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</si>
  <si>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</si>
  <si>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</si>
  <si>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</si>
  <si>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</si>
  <si>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</si>
  <si>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</si>
  <si>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</si>
  <si>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</si>
  <si>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</si>
  <si>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</si>
  <si>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</si>
  <si>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</si>
  <si>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</si>
  <si>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</si>
  <si>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</si>
  <si>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</si>
  <si>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</si>
  <si>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</si>
  <si>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</si>
  <si>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</si>
  <si>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</si>
  <si>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</si>
  <si>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</si>
  <si>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</si>
  <si>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</si>
  <si>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</si>
  <si>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</si>
  <si>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</si>
  <si>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</si>
  <si>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</si>
  <si>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</si>
  <si>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</si>
  <si>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</si>
  <si>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</si>
  <si>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</si>
  <si>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</si>
  <si>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</si>
  <si>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</si>
  <si>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</si>
  <si>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</si>
  <si>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</si>
  <si>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</si>
  <si>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</si>
  <si>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</si>
  <si>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</si>
  <si>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</si>
  <si>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</si>
  <si>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</si>
  <si>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</si>
  <si>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</si>
  <si>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</si>
  <si>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</si>
  <si>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</si>
  <si>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</si>
  <si>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</si>
  <si>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</si>
  <si>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</si>
  <si>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</si>
  <si>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</si>
  <si>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</si>
  <si>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</si>
  <si>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</si>
  <si>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</si>
  <si>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</si>
  <si>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</si>
  <si>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</si>
  <si>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</si>
  <si>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</si>
  <si>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</si>
  <si>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</si>
  <si>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</si>
  <si>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</si>
  <si>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</si>
  <si>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</si>
  <si>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</si>
  <si>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</si>
  <si>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</si>
  <si>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</si>
  <si>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</si>
  <si>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</si>
  <si>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</si>
  <si>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</si>
  <si>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</si>
  <si>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</si>
  <si>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</si>
  <si>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</si>
  <si>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</si>
  <si>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</si>
  <si>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</si>
  <si>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</si>
  <si>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</si>
  <si>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</si>
  <si>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</si>
  <si>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</si>
  <si>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</si>
  <si>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</si>
  <si>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</si>
  <si>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</si>
  <si>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</si>
  <si>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</si>
  <si>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</si>
  <si>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</si>
  <si>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</si>
  <si>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</si>
  <si>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</si>
  <si>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</si>
  <si>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</si>
  <si>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</si>
  <si>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</si>
  <si>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</si>
  <si>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</si>
  <si>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</si>
  <si>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</si>
  <si>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</si>
  <si>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</si>
  <si>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</si>
  <si>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</si>
  <si>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</si>
  <si>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</si>
  <si>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</si>
  <si>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</si>
  <si>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</si>
  <si>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</si>
  <si>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</si>
  <si>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</si>
  <si>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</si>
  <si>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</si>
  <si>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</si>
  <si>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</si>
  <si>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</si>
  <si>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</si>
  <si>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</si>
  <si>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</si>
  <si>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</si>
  <si>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</si>
  <si>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</si>
  <si>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</si>
  <si>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</si>
  <si>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</si>
  <si>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</si>
  <si>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</si>
  <si>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</si>
  <si>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</si>
  <si>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</si>
  <si>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</si>
  <si>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</si>
  <si>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</si>
  <si>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</si>
  <si>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</si>
  <si>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</si>
  <si>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</si>
  <si>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</si>
  <si>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</si>
  <si>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</si>
  <si>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</si>
  <si>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</si>
  <si>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</si>
  <si>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</si>
  <si>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</si>
  <si>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</si>
  <si>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</si>
  <si>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</si>
  <si>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</si>
  <si>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</si>
  <si>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</si>
  <si>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</si>
  <si>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</si>
  <si>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</si>
  <si>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</si>
  <si>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</si>
  <si>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</si>
  <si>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</si>
  <si>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</si>
  <si>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</si>
  <si>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</si>
  <si>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</si>
  <si>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</si>
  <si>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Annaconda Online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</si>
  <si>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</si>
  <si>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</si>
  <si>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</si>
  <si>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</si>
  <si>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</si>
  <si>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</si>
  <si>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</si>
  <si>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</si>
  <si>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</si>
  <si>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</si>
  <si>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</si>
  <si>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</si>
  <si>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</si>
  <si>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</si>
  <si>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</si>
  <si>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</si>
  <si>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</si>
  <si>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</si>
  <si>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</si>
  <si>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</si>
  <si>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Annaconda Chullora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</si>
  <si>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</si>
  <si>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</si>
  <si>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</si>
  <si>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</si>
  <si>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</si>
  <si>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</si>
  <si>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</si>
  <si>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</si>
  <si>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</si>
  <si>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</si>
  <si>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</si>
  <si>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</si>
  <si>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</si>
  <si>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</si>
  <si>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</si>
  <si>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</si>
  <si>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</si>
  <si>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</si>
  <si>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</si>
  <si>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</si>
  <si>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</si>
  <si>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</si>
  <si>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</si>
  <si>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</si>
  <si>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</si>
  <si>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</si>
  <si>
    <t>Mega Top</t>
  </si>
  <si>
    <t>Starlink Actuated kit</t>
  </si>
  <si>
    <t>Qantas Marketplace</t>
  </si>
  <si>
    <t>Photogear Online</t>
  </si>
  <si>
    <t>:1432352721</t>
  </si>
  <si>
    <t>Macbook Pro M5 16/512</t>
  </si>
  <si>
    <t> 1433849400</t>
  </si>
  <si>
    <t> 1433849843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</si>
</sst>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  <font>
      <b/>
      <sz val="9"/>
      <color rgb="FFE87722"/>
      <name val="Calibri"/>
      <family val="2"/>
      <scheme val="minor"/>
    </font>
    <font>
      <sz val="8"/>
      <color rgb="FF2D2D2D"/>
      <name val="Arial"/>
      <family val="2"/>
    </font>
    <font>
      <sz val="7"/>
      <color rgb="FF4A4A4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9" fontId="0" fillId="0" borderId="1" xfId="0" applyNumberForma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7" fontId="0" fillId="9" borderId="1" xfId="0" applyNumberFormat="1" applyFill="1" applyBorder="1"/>
    <xf numFmtId="0" fontId="2" fillId="9" borderId="1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164" fontId="0" fillId="9" borderId="1" xfId="0" applyNumberFormat="1" applyFill="1" applyBorder="1"/>
    <xf numFmtId="0" fontId="10" fillId="9" borderId="1" xfId="0" applyFon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9" fontId="0" fillId="10" borderId="1" xfId="0" applyNumberFormat="1" applyFill="1" applyBorder="1"/>
    <xf numFmtId="167" fontId="0" fillId="10" borderId="1" xfId="0" applyNumberFormat="1" applyFill="1" applyBorder="1"/>
    <xf numFmtId="0" fontId="12" fillId="10" borderId="0" xfId="0" applyFont="1" applyFill="1"/>
    <xf numFmtId="0" fontId="0" fillId="10" borderId="10" xfId="0" applyFill="1" applyBorder="1"/>
    <xf numFmtId="0" fontId="0" fillId="10" borderId="0" xfId="0" applyFill="1"/>
    <xf numFmtId="16" fontId="0" fillId="10" borderId="3" xfId="0" applyNumberFormat="1" applyFill="1" applyBorder="1"/>
    <xf numFmtId="0" fontId="0" fillId="10" borderId="3" xfId="0" applyFill="1" applyBorder="1"/>
    <xf numFmtId="167" fontId="0" fillId="10" borderId="3" xfId="0" applyNumberFormat="1" applyFill="1" applyBorder="1"/>
    <xf numFmtId="0" fontId="13" fillId="10" borderId="0" xfId="0" applyFont="1" applyFill="1"/>
    <xf numFmtId="0" fontId="13" fillId="10" borderId="1" xfId="0" applyFont="1" applyFill="1" applyBorder="1"/>
    <xf numFmtId="0" fontId="12" fillId="10" borderId="1" xfId="0" applyFont="1" applyFill="1" applyBorder="1"/>
    <xf numFmtId="0" fontId="15" fillId="9" borderId="1" xfId="0" applyFont="1" applyFill="1" applyBorder="1"/>
    <xf numFmtId="0" fontId="14" fillId="10" borderId="1" xfId="0" applyFont="1" applyFill="1" applyBorder="1"/>
    <xf numFmtId="0" fontId="16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pivotCacheDefinition" Target="pivotCache/pivotCacheDefinition9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7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10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8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3.xml"/><Relationship Id="rId57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6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40">
        <v>45746</v>
      </c>
      <c r="C1" s="140"/>
      <c r="D1" s="140"/>
      <c r="E1" s="140"/>
      <c r="F1" s="140"/>
      <c r="G1" s="140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41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41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42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42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42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42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43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43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44" t="s">
        <v>299</v>
      </c>
      <c r="B1" s="144"/>
      <c r="C1" s="144"/>
      <c r="D1" s="144"/>
      <c r="E1" s="144"/>
      <c r="F1" s="144"/>
      <c r="G1" s="144"/>
      <c r="H1" s="144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45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45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45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46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46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64"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7" workbookViewId="0">
      <selection activeCell="D11" sqref="D11"/>
    </sheetView>
  </sheetViews>
  <sheetFormatPr defaultRowHeight="15" x14ac:dyDescent="0.25"/>
  <cols>
    <col min="1" max="1" width="11.85546875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112">
        <v>46055</v>
      </c>
      <c r="B2" s="113">
        <v>11</v>
      </c>
      <c r="C2" s="113" t="s">
        <v>664</v>
      </c>
      <c r="D2" s="113" t="s">
        <v>490</v>
      </c>
      <c r="E2" s="114">
        <v>398</v>
      </c>
      <c r="F2" s="114">
        <f t="shared" ref="F2:F32" si="0">E2*B2</f>
        <v>4378</v>
      </c>
      <c r="G2" s="113" t="s">
        <v>8</v>
      </c>
      <c r="H2" s="113"/>
      <c r="I2" s="113"/>
      <c r="J2" s="113"/>
    </row>
    <row r="3" spans="1:12" x14ac:dyDescent="0.25">
      <c r="A3" s="112">
        <v>46055</v>
      </c>
      <c r="B3" s="113">
        <v>4</v>
      </c>
      <c r="C3" s="113" t="s">
        <v>664</v>
      </c>
      <c r="D3" s="113" t="s">
        <v>496</v>
      </c>
      <c r="E3" s="115">
        <v>431</v>
      </c>
      <c r="F3" s="114">
        <f t="shared" si="0"/>
        <v>1724</v>
      </c>
      <c r="G3" s="113" t="s">
        <v>8</v>
      </c>
      <c r="H3" s="113"/>
      <c r="I3" s="113"/>
      <c r="J3" s="113"/>
    </row>
    <row r="4" spans="1:12" x14ac:dyDescent="0.25">
      <c r="A4" s="112">
        <v>46056</v>
      </c>
      <c r="B4" s="113">
        <v>3</v>
      </c>
      <c r="C4" s="113" t="s">
        <v>664</v>
      </c>
      <c r="D4" s="113" t="s">
        <v>495</v>
      </c>
      <c r="E4" s="115">
        <v>431</v>
      </c>
      <c r="F4" s="114">
        <f t="shared" si="0"/>
        <v>1293</v>
      </c>
      <c r="G4" s="113" t="s">
        <v>8</v>
      </c>
      <c r="H4" s="113"/>
      <c r="I4" s="113"/>
      <c r="J4" s="113"/>
      <c r="L4">
        <v>21250</v>
      </c>
    </row>
    <row r="5" spans="1:12" x14ac:dyDescent="0.25">
      <c r="A5" s="112">
        <v>46056</v>
      </c>
      <c r="B5" s="113">
        <v>8</v>
      </c>
      <c r="C5" s="113" t="s">
        <v>664</v>
      </c>
      <c r="D5" s="113" t="s">
        <v>1134</v>
      </c>
      <c r="E5" s="115">
        <v>440</v>
      </c>
      <c r="F5" s="114">
        <f t="shared" si="0"/>
        <v>3520</v>
      </c>
      <c r="G5" s="113" t="s">
        <v>8</v>
      </c>
      <c r="H5" s="113"/>
      <c r="I5" s="113"/>
      <c r="J5" s="113"/>
    </row>
    <row r="6" spans="1:12" x14ac:dyDescent="0.25">
      <c r="A6" s="112">
        <v>46056</v>
      </c>
      <c r="B6" s="113">
        <v>5</v>
      </c>
      <c r="C6" s="113" t="s">
        <v>664</v>
      </c>
      <c r="D6" s="113" t="s">
        <v>731</v>
      </c>
      <c r="E6" s="115">
        <v>440</v>
      </c>
      <c r="F6" s="114">
        <f t="shared" si="0"/>
        <v>2200</v>
      </c>
      <c r="G6" s="113" t="s">
        <v>8</v>
      </c>
      <c r="H6" s="113"/>
      <c r="I6" s="113"/>
      <c r="J6" s="113"/>
    </row>
    <row r="7" spans="1:12" x14ac:dyDescent="0.25">
      <c r="A7" s="112">
        <v>46056</v>
      </c>
      <c r="B7" s="113">
        <v>6</v>
      </c>
      <c r="C7" s="113" t="s">
        <v>664</v>
      </c>
      <c r="D7" s="113" t="s">
        <v>760</v>
      </c>
      <c r="E7" s="115">
        <v>440</v>
      </c>
      <c r="F7" s="114">
        <f t="shared" si="0"/>
        <v>2640</v>
      </c>
      <c r="G7" s="113" t="s">
        <v>8</v>
      </c>
      <c r="H7" s="113"/>
      <c r="I7" s="113"/>
      <c r="J7" s="113"/>
    </row>
    <row r="8" spans="1:12" x14ac:dyDescent="0.25">
      <c r="A8" s="112">
        <v>46056</v>
      </c>
      <c r="B8" s="113">
        <v>3</v>
      </c>
      <c r="C8" s="113" t="s">
        <v>1135</v>
      </c>
      <c r="D8" s="113" t="s">
        <v>760</v>
      </c>
      <c r="E8" s="115">
        <v>398</v>
      </c>
      <c r="F8" s="114">
        <f t="shared" si="0"/>
        <v>1194</v>
      </c>
      <c r="G8" s="113" t="s">
        <v>8</v>
      </c>
      <c r="H8" s="113"/>
      <c r="I8" s="113"/>
      <c r="J8" s="113"/>
    </row>
    <row r="9" spans="1:12" x14ac:dyDescent="0.25">
      <c r="A9" s="112">
        <v>46056</v>
      </c>
      <c r="B9" s="113">
        <v>3</v>
      </c>
      <c r="C9" s="113" t="s">
        <v>1135</v>
      </c>
      <c r="D9" s="113" t="s">
        <v>1134</v>
      </c>
      <c r="E9" s="115">
        <v>398</v>
      </c>
      <c r="F9" s="114">
        <f t="shared" si="0"/>
        <v>1194</v>
      </c>
      <c r="G9" s="113" t="s">
        <v>8</v>
      </c>
      <c r="H9" s="113"/>
      <c r="I9" s="113"/>
      <c r="J9" s="113"/>
    </row>
    <row r="10" spans="1:12" x14ac:dyDescent="0.25">
      <c r="A10" s="112">
        <v>46056</v>
      </c>
      <c r="B10" s="113">
        <v>2</v>
      </c>
      <c r="C10" s="113" t="s">
        <v>1135</v>
      </c>
      <c r="D10" s="113" t="s">
        <v>1136</v>
      </c>
      <c r="E10" s="115">
        <v>398</v>
      </c>
      <c r="F10" s="114">
        <f t="shared" si="0"/>
        <v>796</v>
      </c>
      <c r="G10" s="113" t="s">
        <v>8</v>
      </c>
      <c r="H10" s="113"/>
      <c r="I10" s="113"/>
      <c r="J10" s="113"/>
    </row>
    <row r="11" spans="1:12" x14ac:dyDescent="0.25">
      <c r="A11" s="112">
        <v>46056</v>
      </c>
      <c r="B11" s="113">
        <v>1</v>
      </c>
      <c r="C11" s="113" t="s">
        <v>1137</v>
      </c>
      <c r="D11" s="113" t="s">
        <v>1136</v>
      </c>
      <c r="E11" s="115">
        <v>7</v>
      </c>
      <c r="F11" s="114">
        <f t="shared" si="0"/>
        <v>7</v>
      </c>
      <c r="G11" s="113" t="s">
        <v>8</v>
      </c>
      <c r="H11" s="113"/>
      <c r="I11" s="113"/>
      <c r="J11" s="113"/>
    </row>
    <row r="12" spans="1:12" x14ac:dyDescent="0.25">
      <c r="A12" s="112">
        <v>46056</v>
      </c>
      <c r="B12" s="113">
        <v>2</v>
      </c>
      <c r="C12" s="113" t="s">
        <v>1132</v>
      </c>
      <c r="D12" s="113" t="s">
        <v>677</v>
      </c>
      <c r="E12" s="115">
        <v>2197</v>
      </c>
      <c r="F12" s="114">
        <f t="shared" si="0"/>
        <v>4394</v>
      </c>
      <c r="G12" s="113" t="s">
        <v>348</v>
      </c>
      <c r="H12" s="113"/>
      <c r="I12" s="113" t="s">
        <v>1138</v>
      </c>
      <c r="J12" s="113" t="s">
        <v>115</v>
      </c>
    </row>
    <row r="13" spans="1:12" x14ac:dyDescent="0.25">
      <c r="A13" s="112">
        <v>46056</v>
      </c>
      <c r="B13" s="113">
        <v>5</v>
      </c>
      <c r="C13" s="113" t="s">
        <v>898</v>
      </c>
      <c r="D13" s="113" t="s">
        <v>335</v>
      </c>
      <c r="E13" s="115">
        <v>2490</v>
      </c>
      <c r="F13" s="114">
        <f t="shared" si="0"/>
        <v>12450</v>
      </c>
      <c r="G13" s="113" t="s">
        <v>1141</v>
      </c>
      <c r="H13" s="113"/>
      <c r="I13" s="113"/>
      <c r="J13" s="113"/>
    </row>
    <row r="14" spans="1:12" x14ac:dyDescent="0.25">
      <c r="A14" s="112">
        <v>46057</v>
      </c>
      <c r="B14" s="113">
        <v>3</v>
      </c>
      <c r="C14" s="113" t="s">
        <v>1135</v>
      </c>
      <c r="D14" s="113" t="s">
        <v>749</v>
      </c>
      <c r="E14" s="113">
        <v>397</v>
      </c>
      <c r="F14" s="114">
        <f t="shared" si="0"/>
        <v>1191</v>
      </c>
      <c r="G14" s="113" t="s">
        <v>8</v>
      </c>
      <c r="H14" s="113"/>
      <c r="I14" s="113" t="s">
        <v>1139</v>
      </c>
      <c r="J14" s="113"/>
    </row>
    <row r="15" spans="1:12" x14ac:dyDescent="0.25">
      <c r="A15" s="112">
        <v>46057</v>
      </c>
      <c r="B15" s="113">
        <v>4</v>
      </c>
      <c r="C15" s="113" t="s">
        <v>664</v>
      </c>
      <c r="D15" s="113" t="s">
        <v>665</v>
      </c>
      <c r="E15" s="113">
        <v>454</v>
      </c>
      <c r="F15" s="114">
        <f t="shared" si="0"/>
        <v>1816</v>
      </c>
      <c r="G15" s="113" t="s">
        <v>8</v>
      </c>
      <c r="H15" s="113"/>
      <c r="I15" s="113"/>
      <c r="J15" s="113"/>
    </row>
    <row r="16" spans="1:12" x14ac:dyDescent="0.25">
      <c r="A16" s="112">
        <v>46057</v>
      </c>
      <c r="B16" s="113">
        <v>4</v>
      </c>
      <c r="C16" s="113" t="s">
        <v>664</v>
      </c>
      <c r="D16" s="113" t="s">
        <v>749</v>
      </c>
      <c r="E16" s="113">
        <v>450</v>
      </c>
      <c r="F16" s="114">
        <f t="shared" si="0"/>
        <v>1800</v>
      </c>
      <c r="G16" s="113" t="s">
        <v>8</v>
      </c>
      <c r="H16" s="113"/>
      <c r="I16" s="113"/>
      <c r="J16" s="113"/>
    </row>
    <row r="17" spans="1:14" x14ac:dyDescent="0.25">
      <c r="A17" s="112">
        <v>46058</v>
      </c>
      <c r="B17" s="113">
        <v>50</v>
      </c>
      <c r="C17" s="113" t="s">
        <v>1135</v>
      </c>
      <c r="D17" s="113" t="s">
        <v>881</v>
      </c>
      <c r="E17" s="113">
        <v>397</v>
      </c>
      <c r="F17" s="114">
        <f t="shared" si="0"/>
        <v>19850</v>
      </c>
      <c r="G17" s="113" t="s">
        <v>348</v>
      </c>
      <c r="H17" s="113" t="s">
        <v>1159</v>
      </c>
      <c r="I17" s="113" t="s">
        <v>1150</v>
      </c>
      <c r="J17" s="113"/>
      <c r="N17">
        <v>149</v>
      </c>
    </row>
    <row r="18" spans="1:14" x14ac:dyDescent="0.25">
      <c r="A18" s="112">
        <v>46059</v>
      </c>
      <c r="B18" s="113">
        <v>2</v>
      </c>
      <c r="C18" s="113" t="s">
        <v>664</v>
      </c>
      <c r="D18" s="113" t="s">
        <v>665</v>
      </c>
      <c r="E18" s="113">
        <v>450</v>
      </c>
      <c r="F18" s="114">
        <f t="shared" si="0"/>
        <v>900</v>
      </c>
      <c r="G18" s="113" t="s">
        <v>8</v>
      </c>
      <c r="H18" s="113"/>
      <c r="I18" s="113"/>
      <c r="J18" s="113"/>
      <c r="N18">
        <v>4198</v>
      </c>
    </row>
    <row r="19" spans="1:14" x14ac:dyDescent="0.25">
      <c r="A19" s="112">
        <v>46066</v>
      </c>
      <c r="B19" s="116">
        <v>1</v>
      </c>
      <c r="C19" s="116" t="s">
        <v>1142</v>
      </c>
      <c r="D19" s="116" t="s">
        <v>101</v>
      </c>
      <c r="E19" s="116">
        <v>2949</v>
      </c>
      <c r="F19" s="116">
        <f t="shared" si="0"/>
        <v>2949</v>
      </c>
      <c r="G19" s="116" t="s">
        <v>8</v>
      </c>
      <c r="H19" s="116" t="s">
        <v>1163</v>
      </c>
      <c r="I19" s="113" t="s">
        <v>1148</v>
      </c>
      <c r="J19" s="113"/>
      <c r="N19">
        <v>4648</v>
      </c>
    </row>
    <row r="20" spans="1:14" x14ac:dyDescent="0.25">
      <c r="A20" s="112">
        <v>46066</v>
      </c>
      <c r="B20" s="116">
        <v>1</v>
      </c>
      <c r="C20" s="116" t="s">
        <v>1147</v>
      </c>
      <c r="D20" s="116" t="s">
        <v>101</v>
      </c>
      <c r="E20" s="116">
        <v>0</v>
      </c>
      <c r="F20" s="116">
        <f t="shared" si="0"/>
        <v>0</v>
      </c>
      <c r="G20" s="116" t="s">
        <v>8</v>
      </c>
      <c r="H20" s="116" t="s">
        <v>1163</v>
      </c>
      <c r="I20" s="113"/>
      <c r="J20" s="113"/>
      <c r="N20">
        <v>4648</v>
      </c>
    </row>
    <row r="21" spans="1:14" x14ac:dyDescent="0.25">
      <c r="A21" s="112">
        <v>46066</v>
      </c>
      <c r="B21" s="116">
        <v>1</v>
      </c>
      <c r="C21" s="116" t="s">
        <v>963</v>
      </c>
      <c r="D21" s="116" t="s">
        <v>101</v>
      </c>
      <c r="E21" s="116">
        <v>4400</v>
      </c>
      <c r="F21" s="116">
        <f t="shared" si="0"/>
        <v>4400</v>
      </c>
      <c r="G21" s="116" t="s">
        <v>8</v>
      </c>
      <c r="H21" s="116" t="s">
        <v>1163</v>
      </c>
      <c r="I21" s="113"/>
      <c r="J21" s="113"/>
      <c r="N21">
        <v>4648</v>
      </c>
    </row>
    <row r="22" spans="1:14" x14ac:dyDescent="0.25">
      <c r="A22" s="112">
        <v>46066</v>
      </c>
      <c r="B22" s="116">
        <v>1</v>
      </c>
      <c r="C22" s="116" t="s">
        <v>1143</v>
      </c>
      <c r="D22" s="116" t="s">
        <v>101</v>
      </c>
      <c r="E22" s="116">
        <v>3300</v>
      </c>
      <c r="F22" s="116">
        <f t="shared" si="0"/>
        <v>3300</v>
      </c>
      <c r="G22" s="116" t="s">
        <v>8</v>
      </c>
      <c r="H22" s="116" t="s">
        <v>1163</v>
      </c>
      <c r="I22" s="113"/>
      <c r="J22" s="113"/>
      <c r="N22">
        <v>2000</v>
      </c>
    </row>
    <row r="23" spans="1:14" x14ac:dyDescent="0.25">
      <c r="A23" s="112">
        <v>46066</v>
      </c>
      <c r="B23" s="116">
        <v>2</v>
      </c>
      <c r="C23" s="116" t="s">
        <v>1144</v>
      </c>
      <c r="D23" s="116" t="s">
        <v>101</v>
      </c>
      <c r="E23" s="116">
        <v>1400</v>
      </c>
      <c r="F23" s="116">
        <f t="shared" si="0"/>
        <v>2800</v>
      </c>
      <c r="G23" s="116" t="s">
        <v>8</v>
      </c>
      <c r="H23" s="116" t="s">
        <v>1163</v>
      </c>
      <c r="I23" s="113"/>
      <c r="J23" s="113"/>
      <c r="N23">
        <v>2000</v>
      </c>
    </row>
    <row r="24" spans="1:14" x14ac:dyDescent="0.25">
      <c r="A24" s="112">
        <v>46066</v>
      </c>
      <c r="B24" s="116">
        <v>3</v>
      </c>
      <c r="C24" s="116" t="s">
        <v>546</v>
      </c>
      <c r="D24" s="116" t="s">
        <v>101</v>
      </c>
      <c r="E24" s="116">
        <v>520</v>
      </c>
      <c r="F24" s="116">
        <f t="shared" si="0"/>
        <v>1560</v>
      </c>
      <c r="G24" s="116" t="s">
        <v>8</v>
      </c>
      <c r="H24" s="116" t="s">
        <v>1163</v>
      </c>
      <c r="I24" s="113"/>
      <c r="J24" s="113"/>
      <c r="N24">
        <v>500</v>
      </c>
    </row>
    <row r="25" spans="1:14" x14ac:dyDescent="0.25">
      <c r="A25" s="112">
        <v>46066</v>
      </c>
      <c r="B25" s="113">
        <v>1</v>
      </c>
      <c r="C25" s="113" t="s">
        <v>1145</v>
      </c>
      <c r="D25" s="113" t="s">
        <v>101</v>
      </c>
      <c r="E25" s="113">
        <v>1299</v>
      </c>
      <c r="F25" s="113">
        <f t="shared" si="0"/>
        <v>1299</v>
      </c>
      <c r="G25" s="113" t="s">
        <v>8</v>
      </c>
      <c r="H25" s="116" t="s">
        <v>1162</v>
      </c>
      <c r="I25" s="113"/>
      <c r="J25" s="113"/>
      <c r="N25">
        <f>SUM(N17:N24)</f>
        <v>22791</v>
      </c>
    </row>
    <row r="26" spans="1:14" x14ac:dyDescent="0.25">
      <c r="A26" s="112">
        <v>46066</v>
      </c>
      <c r="B26" s="113">
        <v>5</v>
      </c>
      <c r="C26" s="113" t="s">
        <v>1146</v>
      </c>
      <c r="D26" s="113" t="s">
        <v>101</v>
      </c>
      <c r="E26" s="113">
        <v>30</v>
      </c>
      <c r="F26" s="113">
        <f t="shared" si="0"/>
        <v>150</v>
      </c>
      <c r="G26" s="113" t="s">
        <v>8</v>
      </c>
      <c r="H26" s="113"/>
      <c r="I26" s="113"/>
      <c r="J26" s="113"/>
    </row>
    <row r="27" spans="1:14" x14ac:dyDescent="0.25">
      <c r="A27" s="112">
        <v>46073</v>
      </c>
      <c r="B27" s="113">
        <v>80</v>
      </c>
      <c r="C27" s="113" t="s">
        <v>664</v>
      </c>
      <c r="D27" s="113" t="s">
        <v>526</v>
      </c>
      <c r="E27" s="113">
        <v>400</v>
      </c>
      <c r="F27" s="113">
        <f t="shared" si="0"/>
        <v>32000</v>
      </c>
      <c r="G27" s="113" t="s">
        <v>348</v>
      </c>
      <c r="H27" s="113"/>
      <c r="I27" s="113" t="s">
        <v>1159</v>
      </c>
      <c r="J27" s="113"/>
    </row>
    <row r="28" spans="1:14" x14ac:dyDescent="0.25">
      <c r="A28" s="112">
        <v>46072</v>
      </c>
      <c r="B28" s="113">
        <v>60</v>
      </c>
      <c r="C28" s="113" t="s">
        <v>664</v>
      </c>
      <c r="D28" s="113" t="s">
        <v>1151</v>
      </c>
      <c r="E28" s="113">
        <v>400</v>
      </c>
      <c r="F28" s="113">
        <f t="shared" si="0"/>
        <v>24000</v>
      </c>
      <c r="G28" s="113" t="s">
        <v>348</v>
      </c>
      <c r="H28" s="113"/>
      <c r="I28" s="113" t="s">
        <v>1159</v>
      </c>
      <c r="J28" s="113"/>
    </row>
    <row r="29" spans="1:14" x14ac:dyDescent="0.25">
      <c r="A29" s="112">
        <v>46074</v>
      </c>
      <c r="B29" s="113">
        <v>10</v>
      </c>
      <c r="C29" s="113" t="s">
        <v>969</v>
      </c>
      <c r="D29" s="113" t="s">
        <v>101</v>
      </c>
      <c r="E29" s="113">
        <v>2100</v>
      </c>
      <c r="F29" s="113">
        <f t="shared" si="0"/>
        <v>21000</v>
      </c>
      <c r="G29" s="113" t="s">
        <v>8</v>
      </c>
      <c r="H29" s="113"/>
      <c r="I29" s="113"/>
      <c r="J29" s="113"/>
    </row>
    <row r="30" spans="1:14" x14ac:dyDescent="0.25">
      <c r="A30" s="112">
        <v>46074</v>
      </c>
      <c r="B30" s="113">
        <v>4</v>
      </c>
      <c r="C30" s="113" t="s">
        <v>664</v>
      </c>
      <c r="D30" s="113" t="s">
        <v>101</v>
      </c>
      <c r="E30" s="113">
        <v>450</v>
      </c>
      <c r="F30" s="113">
        <f t="shared" si="0"/>
        <v>1800</v>
      </c>
      <c r="G30" s="113" t="s">
        <v>8</v>
      </c>
      <c r="H30" s="113"/>
      <c r="I30" s="113"/>
      <c r="J30" s="113"/>
    </row>
    <row r="31" spans="1:14" x14ac:dyDescent="0.25">
      <c r="A31" s="112">
        <v>46074</v>
      </c>
      <c r="B31" s="113">
        <v>4</v>
      </c>
      <c r="C31" s="113" t="s">
        <v>969</v>
      </c>
      <c r="D31" s="113" t="s">
        <v>1152</v>
      </c>
      <c r="E31" s="113">
        <v>2099</v>
      </c>
      <c r="F31" s="113">
        <f t="shared" si="0"/>
        <v>8396</v>
      </c>
      <c r="G31" s="113" t="s">
        <v>8</v>
      </c>
      <c r="H31" s="113"/>
      <c r="I31" s="113"/>
      <c r="J31" s="113"/>
    </row>
    <row r="32" spans="1:14" x14ac:dyDescent="0.25">
      <c r="A32" s="112">
        <v>46074</v>
      </c>
      <c r="B32" s="113">
        <v>5</v>
      </c>
      <c r="C32" s="113" t="s">
        <v>664</v>
      </c>
      <c r="D32" s="113" t="s">
        <v>1152</v>
      </c>
      <c r="E32" s="113">
        <v>450</v>
      </c>
      <c r="F32" s="113">
        <f t="shared" si="0"/>
        <v>2250</v>
      </c>
      <c r="G32" s="113" t="s">
        <v>8</v>
      </c>
      <c r="H32" s="113"/>
      <c r="I32" s="113"/>
      <c r="J32" s="113"/>
    </row>
    <row r="33" spans="1:10" x14ac:dyDescent="0.25">
      <c r="A33" s="112">
        <v>46069</v>
      </c>
      <c r="B33" s="113">
        <v>1</v>
      </c>
      <c r="C33" s="113" t="s">
        <v>542</v>
      </c>
      <c r="D33" s="113" t="s">
        <v>686</v>
      </c>
      <c r="E33" s="113">
        <v>21250.35</v>
      </c>
      <c r="F33" s="113">
        <v>21250.35</v>
      </c>
      <c r="G33" s="113"/>
      <c r="H33" s="113"/>
      <c r="I33" s="113" t="s">
        <v>1033</v>
      </c>
      <c r="J33" s="113"/>
    </row>
    <row r="34" spans="1:10" x14ac:dyDescent="0.25">
      <c r="A34" s="112">
        <v>46078</v>
      </c>
      <c r="B34" s="113">
        <v>40</v>
      </c>
      <c r="C34" s="113" t="s">
        <v>664</v>
      </c>
      <c r="D34" s="113" t="s">
        <v>1158</v>
      </c>
      <c r="E34" s="113">
        <v>398</v>
      </c>
      <c r="F34" s="113">
        <f>B34*E34</f>
        <v>15920</v>
      </c>
      <c r="G34" s="113" t="s">
        <v>62</v>
      </c>
      <c r="H34" s="113" t="s">
        <v>348</v>
      </c>
      <c r="I34" s="113"/>
      <c r="J34" s="113"/>
    </row>
    <row r="35" spans="1:10" x14ac:dyDescent="0.25">
      <c r="A35" s="112">
        <v>46080</v>
      </c>
      <c r="B35" s="113">
        <v>60</v>
      </c>
      <c r="C35" s="113" t="s">
        <v>664</v>
      </c>
      <c r="D35" s="113" t="s">
        <v>492</v>
      </c>
      <c r="E35" s="113">
        <v>400</v>
      </c>
      <c r="F35" s="113">
        <f t="shared" ref="F35:F37" si="1">B35*E35</f>
        <v>24000</v>
      </c>
      <c r="G35" s="113" t="s">
        <v>348</v>
      </c>
      <c r="H35" s="113" t="s">
        <v>1160</v>
      </c>
      <c r="I35" s="112">
        <v>46083</v>
      </c>
      <c r="J35" s="113"/>
    </row>
    <row r="36" spans="1:10" x14ac:dyDescent="0.25">
      <c r="A36" s="112">
        <v>46081</v>
      </c>
      <c r="B36" s="113">
        <v>4</v>
      </c>
      <c r="C36" s="113" t="s">
        <v>1161</v>
      </c>
      <c r="D36" s="113" t="s">
        <v>331</v>
      </c>
      <c r="E36" s="113">
        <v>590</v>
      </c>
      <c r="F36" s="113">
        <f t="shared" si="1"/>
        <v>2360</v>
      </c>
      <c r="G36" s="113" t="s">
        <v>8</v>
      </c>
      <c r="H36" s="113"/>
      <c r="I36" s="113"/>
      <c r="J36" s="113"/>
    </row>
    <row r="37" spans="1:10" x14ac:dyDescent="0.25">
      <c r="A37" s="112">
        <v>46081</v>
      </c>
      <c r="B37" s="113">
        <v>1</v>
      </c>
      <c r="C37" s="113" t="s">
        <v>969</v>
      </c>
      <c r="D37" s="113" t="s">
        <v>331</v>
      </c>
      <c r="E37" s="113">
        <v>2099</v>
      </c>
      <c r="F37" s="113">
        <f t="shared" si="1"/>
        <v>2099</v>
      </c>
      <c r="G37" s="113" t="s">
        <v>8</v>
      </c>
      <c r="H37" s="113"/>
      <c r="I37" s="113"/>
      <c r="J37" s="113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D27" sqref="D27"/>
    </sheetView>
  </sheetViews>
  <sheetFormatPr defaultRowHeight="15" x14ac:dyDescent="0.25"/>
  <cols>
    <col min="1" max="1" width="7" bestFit="1" customWidth="1"/>
    <col min="2" max="2" width="4" bestFit="1" customWidth="1"/>
    <col min="3" max="3" width="21.7109375" customWidth="1"/>
    <col min="4" max="4" width="3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112">
        <v>46083</v>
      </c>
      <c r="B2" s="113">
        <v>80</v>
      </c>
      <c r="C2" s="113" t="s">
        <v>664</v>
      </c>
      <c r="D2" s="113" t="s">
        <v>865</v>
      </c>
      <c r="E2" s="114">
        <v>400</v>
      </c>
      <c r="F2" s="114">
        <f t="shared" ref="F2" si="0">E2*B2</f>
        <v>32000</v>
      </c>
      <c r="G2" s="113" t="s">
        <v>1165</v>
      </c>
      <c r="H2" s="113" t="s">
        <v>1164</v>
      </c>
      <c r="I2" s="113"/>
      <c r="J2" s="113"/>
      <c r="K2" s="113"/>
    </row>
    <row r="3" spans="1:11" x14ac:dyDescent="0.25">
      <c r="A3" s="112">
        <v>46111</v>
      </c>
      <c r="B3" s="113">
        <v>40</v>
      </c>
      <c r="C3" s="113" t="s">
        <v>664</v>
      </c>
      <c r="D3" s="113" t="s">
        <v>1158</v>
      </c>
      <c r="E3" s="113">
        <v>398</v>
      </c>
      <c r="F3" s="113">
        <f>B3*E3</f>
        <v>15920</v>
      </c>
      <c r="G3" s="113" t="s">
        <v>1165</v>
      </c>
      <c r="H3" s="113" t="s">
        <v>1164</v>
      </c>
      <c r="I3" s="113"/>
      <c r="J3" s="113"/>
      <c r="K3" s="113"/>
    </row>
    <row r="4" spans="1:11" x14ac:dyDescent="0.25">
      <c r="A4" s="112">
        <v>46111</v>
      </c>
      <c r="B4" s="113">
        <v>1</v>
      </c>
      <c r="C4" s="113" t="s">
        <v>296</v>
      </c>
      <c r="D4" s="113" t="s">
        <v>1158</v>
      </c>
      <c r="E4" s="113">
        <v>110</v>
      </c>
      <c r="F4" s="113">
        <v>110</v>
      </c>
      <c r="G4" s="113"/>
      <c r="H4" s="113"/>
      <c r="I4" s="113"/>
      <c r="J4" s="113"/>
      <c r="K4" s="113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R23"/>
  <sheetViews>
    <sheetView workbookViewId="0">
      <selection activeCell="E31" sqref="E31"/>
    </sheetView>
  </sheetViews>
  <sheetFormatPr defaultRowHeight="15" x14ac:dyDescent="0.25"/>
  <cols>
    <col min="1" max="1" width="14.7109375" customWidth="1"/>
    <col min="2" max="2" width="11" customWidth="1"/>
    <col min="3" max="3" width="9.85546875" customWidth="1"/>
    <col min="4" max="4" width="9.42578125" customWidth="1"/>
    <col min="5" max="5" width="21.28515625" customWidth="1"/>
    <col min="6" max="6" width="23.28515625" customWidth="1"/>
    <col min="7" max="8" width="7.42578125" bestFit="1" customWidth="1"/>
    <col min="9" max="9" width="22.42578125" customWidth="1"/>
    <col min="10" max="10" width="7.85546875" bestFit="1" customWidth="1"/>
    <col min="11" max="11" width="20.7109375" customWidth="1"/>
    <col min="12" max="12" width="8.28515625" bestFit="1" customWidth="1"/>
    <col min="13" max="13" width="11.28515625" bestFit="1" customWidth="1"/>
    <col min="14" max="14" width="28.7109375" bestFit="1" customWidth="1"/>
    <col min="15" max="18" width="0" hidden="1" customWidth="1"/>
  </cols>
  <sheetData>
    <row r="1" spans="1:18" x14ac:dyDescent="0.25">
      <c r="A1" s="44" t="s">
        <v>65</v>
      </c>
      <c r="B1" s="4" t="s">
        <v>0</v>
      </c>
      <c r="C1" s="4"/>
      <c r="D1" s="4"/>
      <c r="E1" s="5" t="s">
        <v>252</v>
      </c>
      <c r="F1" s="4" t="s">
        <v>2</v>
      </c>
      <c r="G1" s="9" t="s">
        <v>3</v>
      </c>
      <c r="H1" s="9" t="s">
        <v>4</v>
      </c>
      <c r="I1" s="4" t="s">
        <v>5</v>
      </c>
      <c r="J1" s="4" t="s">
        <v>428</v>
      </c>
      <c r="K1" s="4" t="s">
        <v>564</v>
      </c>
      <c r="L1" s="2" t="s">
        <v>814</v>
      </c>
      <c r="M1" s="2" t="s">
        <v>1166</v>
      </c>
    </row>
    <row r="2" spans="1:18" x14ac:dyDescent="0.25">
      <c r="A2" s="112">
        <v>46113</v>
      </c>
      <c r="B2" s="113">
        <v>10</v>
      </c>
      <c r="C2" s="113"/>
      <c r="D2" s="113"/>
      <c r="E2" s="113" t="s">
        <v>295</v>
      </c>
      <c r="F2" s="113" t="s">
        <v>1169</v>
      </c>
      <c r="G2" s="114">
        <v>469</v>
      </c>
      <c r="H2" s="114">
        <f>B2*G2</f>
        <v>4690</v>
      </c>
      <c r="I2" s="113" t="s">
        <v>464</v>
      </c>
      <c r="J2" s="113"/>
      <c r="K2" s="113"/>
      <c r="L2" s="113"/>
      <c r="M2" s="113"/>
    </row>
    <row r="3" spans="1:18" x14ac:dyDescent="0.25">
      <c r="A3" s="121">
        <v>46113</v>
      </c>
      <c r="B3" s="122">
        <v>8</v>
      </c>
      <c r="C3" s="122">
        <v>3</v>
      </c>
      <c r="D3" s="122">
        <v>3</v>
      </c>
      <c r="E3" s="122" t="s">
        <v>639</v>
      </c>
      <c r="F3" s="122" t="s">
        <v>383</v>
      </c>
      <c r="G3" s="123">
        <v>1579</v>
      </c>
      <c r="H3" s="123">
        <f>B3*G3</f>
        <v>12632</v>
      </c>
      <c r="I3" s="122" t="s">
        <v>1167</v>
      </c>
      <c r="J3" s="122"/>
      <c r="K3" s="122"/>
      <c r="L3" s="122"/>
      <c r="M3" s="122"/>
    </row>
    <row r="4" spans="1:18" x14ac:dyDescent="0.25">
      <c r="A4" s="121">
        <v>46113</v>
      </c>
      <c r="B4" s="122">
        <v>5</v>
      </c>
      <c r="C4" s="122">
        <v>4</v>
      </c>
      <c r="D4" s="122">
        <v>1</v>
      </c>
      <c r="E4" s="122" t="s">
        <v>406</v>
      </c>
      <c r="F4" s="122" t="s">
        <v>383</v>
      </c>
      <c r="G4" s="123">
        <v>1579</v>
      </c>
      <c r="H4" s="123">
        <f t="shared" ref="H4:H5" si="0">B4*G4</f>
        <v>7895</v>
      </c>
      <c r="I4" s="122" t="s">
        <v>1167</v>
      </c>
      <c r="J4" s="122"/>
      <c r="K4" s="122"/>
      <c r="L4" s="122"/>
      <c r="M4" s="122"/>
      <c r="P4" t="s">
        <v>1223</v>
      </c>
      <c r="Q4">
        <v>23</v>
      </c>
      <c r="R4">
        <v>30</v>
      </c>
    </row>
    <row r="5" spans="1:18" x14ac:dyDescent="0.25">
      <c r="A5" s="121">
        <v>46113</v>
      </c>
      <c r="B5" s="122">
        <v>4</v>
      </c>
      <c r="C5" s="122">
        <v>3</v>
      </c>
      <c r="D5" s="122">
        <v>1</v>
      </c>
      <c r="E5" s="122" t="s">
        <v>378</v>
      </c>
      <c r="F5" s="122" t="s">
        <v>383</v>
      </c>
      <c r="G5" s="123">
        <v>779</v>
      </c>
      <c r="H5" s="123">
        <f t="shared" si="0"/>
        <v>3116</v>
      </c>
      <c r="I5" s="122" t="s">
        <v>1167</v>
      </c>
      <c r="J5" s="122"/>
      <c r="K5" s="122"/>
      <c r="L5" s="122"/>
      <c r="M5" s="122"/>
      <c r="Q5">
        <v>11</v>
      </c>
    </row>
    <row r="6" spans="1:18" x14ac:dyDescent="0.25">
      <c r="A6" s="112">
        <v>46114</v>
      </c>
      <c r="B6" s="113">
        <v>2</v>
      </c>
      <c r="C6" s="113">
        <v>2</v>
      </c>
      <c r="D6" s="113"/>
      <c r="E6" s="113" t="s">
        <v>406</v>
      </c>
      <c r="F6" s="113" t="s">
        <v>460</v>
      </c>
      <c r="G6" s="114">
        <v>1579</v>
      </c>
      <c r="H6" s="114">
        <f t="shared" ref="H6:H12" si="1">B6*G6</f>
        <v>3158</v>
      </c>
      <c r="I6" s="113" t="s">
        <v>348</v>
      </c>
      <c r="J6" s="113"/>
      <c r="K6" s="113"/>
      <c r="L6" s="113"/>
      <c r="M6" s="117">
        <v>102958</v>
      </c>
      <c r="P6" t="s">
        <v>871</v>
      </c>
      <c r="Q6">
        <v>3</v>
      </c>
      <c r="R6">
        <v>5</v>
      </c>
    </row>
    <row r="7" spans="1:18" x14ac:dyDescent="0.25">
      <c r="A7" s="112">
        <v>46113</v>
      </c>
      <c r="B7" s="113">
        <v>4</v>
      </c>
      <c r="C7" s="113">
        <v>4</v>
      </c>
      <c r="D7" s="113"/>
      <c r="E7" s="113" t="s">
        <v>639</v>
      </c>
      <c r="F7" s="113" t="s">
        <v>460</v>
      </c>
      <c r="G7" s="114">
        <v>1579</v>
      </c>
      <c r="H7" s="114">
        <f t="shared" si="1"/>
        <v>6316</v>
      </c>
      <c r="I7" s="113" t="s">
        <v>348</v>
      </c>
      <c r="J7" s="113"/>
      <c r="K7" s="113"/>
      <c r="L7" s="113"/>
      <c r="M7" s="113"/>
    </row>
    <row r="8" spans="1:18" x14ac:dyDescent="0.25">
      <c r="A8" s="112">
        <v>46113</v>
      </c>
      <c r="B8" s="113">
        <v>3</v>
      </c>
      <c r="C8" s="113">
        <v>3</v>
      </c>
      <c r="D8" s="113"/>
      <c r="E8" s="113" t="s">
        <v>639</v>
      </c>
      <c r="F8" s="113" t="s">
        <v>433</v>
      </c>
      <c r="G8" s="114">
        <v>1579</v>
      </c>
      <c r="H8" s="114">
        <f t="shared" si="1"/>
        <v>4737</v>
      </c>
      <c r="I8" s="113" t="s">
        <v>348</v>
      </c>
      <c r="J8" s="113"/>
      <c r="K8" s="113"/>
      <c r="L8" s="113"/>
      <c r="M8" s="118">
        <v>186022</v>
      </c>
    </row>
    <row r="9" spans="1:18" x14ac:dyDescent="0.25">
      <c r="A9" s="112">
        <v>46113</v>
      </c>
      <c r="B9" s="113">
        <v>1</v>
      </c>
      <c r="C9" s="113">
        <v>1</v>
      </c>
      <c r="D9" s="113"/>
      <c r="E9" s="113" t="s">
        <v>406</v>
      </c>
      <c r="F9" s="113" t="s">
        <v>1168</v>
      </c>
      <c r="G9" s="114">
        <v>1579</v>
      </c>
      <c r="H9" s="114">
        <f t="shared" si="1"/>
        <v>1579</v>
      </c>
      <c r="I9" s="113" t="s">
        <v>348</v>
      </c>
      <c r="J9" s="113"/>
      <c r="K9" s="113"/>
      <c r="L9" s="113"/>
      <c r="M9" s="113"/>
    </row>
    <row r="10" spans="1:18" x14ac:dyDescent="0.25">
      <c r="A10" s="112">
        <v>46114</v>
      </c>
      <c r="B10" s="113">
        <v>3</v>
      </c>
      <c r="C10" s="113">
        <v>3</v>
      </c>
      <c r="D10" s="113"/>
      <c r="E10" s="113" t="s">
        <v>406</v>
      </c>
      <c r="F10" s="113" t="s">
        <v>433</v>
      </c>
      <c r="G10" s="114">
        <v>1579</v>
      </c>
      <c r="H10" s="114">
        <f t="shared" si="1"/>
        <v>4737</v>
      </c>
      <c r="I10" s="113" t="s">
        <v>348</v>
      </c>
      <c r="J10" s="113"/>
      <c r="K10" s="113"/>
      <c r="L10" s="113"/>
      <c r="M10" s="118">
        <v>186169</v>
      </c>
    </row>
    <row r="11" spans="1:18" x14ac:dyDescent="0.25">
      <c r="A11" s="112">
        <v>46114</v>
      </c>
      <c r="B11" s="113">
        <v>3</v>
      </c>
      <c r="C11" s="113">
        <v>3</v>
      </c>
      <c r="D11" s="113"/>
      <c r="E11" s="113" t="s">
        <v>639</v>
      </c>
      <c r="F11" s="113" t="s">
        <v>433</v>
      </c>
      <c r="G11" s="114">
        <v>1579</v>
      </c>
      <c r="H11" s="114">
        <f t="shared" si="1"/>
        <v>4737</v>
      </c>
      <c r="I11" s="113" t="s">
        <v>348</v>
      </c>
      <c r="J11" s="113"/>
      <c r="K11" s="113"/>
      <c r="L11" s="113"/>
      <c r="M11" s="118">
        <v>186171</v>
      </c>
    </row>
    <row r="12" spans="1:18" x14ac:dyDescent="0.25">
      <c r="A12" s="112">
        <v>46114</v>
      </c>
      <c r="B12" s="113">
        <v>1</v>
      </c>
      <c r="C12" s="113"/>
      <c r="D12" s="113"/>
      <c r="E12" s="113" t="s">
        <v>542</v>
      </c>
      <c r="F12" s="113" t="s">
        <v>1170</v>
      </c>
      <c r="G12" s="114">
        <v>2748.46</v>
      </c>
      <c r="H12" s="114">
        <f t="shared" si="1"/>
        <v>2748.46</v>
      </c>
      <c r="I12" s="113" t="s">
        <v>85</v>
      </c>
      <c r="J12" s="113"/>
      <c r="K12" s="113" t="s">
        <v>622</v>
      </c>
      <c r="L12" s="113"/>
      <c r="M12" s="113"/>
    </row>
    <row r="13" spans="1:18" x14ac:dyDescent="0.25">
      <c r="A13" s="112">
        <v>46118</v>
      </c>
      <c r="B13" s="113">
        <v>10</v>
      </c>
      <c r="C13" s="113">
        <v>10</v>
      </c>
      <c r="D13" s="113"/>
      <c r="E13" s="113" t="s">
        <v>295</v>
      </c>
      <c r="F13" s="113" t="s">
        <v>464</v>
      </c>
      <c r="G13" s="113">
        <v>470</v>
      </c>
      <c r="H13" s="119">
        <v>4700</v>
      </c>
      <c r="I13" s="113" t="s">
        <v>1171</v>
      </c>
      <c r="J13" s="113"/>
      <c r="K13" s="113"/>
      <c r="L13" s="113"/>
      <c r="M13" s="113"/>
    </row>
    <row r="14" spans="1:18" x14ac:dyDescent="0.25">
      <c r="A14" s="112">
        <v>46132</v>
      </c>
      <c r="B14" s="113">
        <v>1</v>
      </c>
      <c r="C14" s="113">
        <v>1</v>
      </c>
      <c r="D14" s="113"/>
      <c r="E14" s="113" t="s">
        <v>1172</v>
      </c>
      <c r="F14" s="113" t="s">
        <v>1186</v>
      </c>
      <c r="G14" s="113">
        <v>1649</v>
      </c>
      <c r="H14" s="119">
        <v>1649</v>
      </c>
      <c r="I14" s="113" t="s">
        <v>1202</v>
      </c>
      <c r="J14" s="113"/>
      <c r="K14" s="113" t="s">
        <v>1187</v>
      </c>
      <c r="L14" s="113"/>
      <c r="M14" s="113"/>
    </row>
    <row r="15" spans="1:18" x14ac:dyDescent="0.25">
      <c r="A15" s="112">
        <v>46132</v>
      </c>
      <c r="B15" s="113">
        <v>1</v>
      </c>
      <c r="C15" s="113">
        <v>1</v>
      </c>
      <c r="D15" s="113"/>
      <c r="E15" s="113" t="s">
        <v>1185</v>
      </c>
      <c r="F15" s="113" t="s">
        <v>1186</v>
      </c>
      <c r="G15" s="113">
        <v>17999</v>
      </c>
      <c r="H15" s="119">
        <v>17999</v>
      </c>
      <c r="I15" s="113" t="s">
        <v>1202</v>
      </c>
      <c r="J15" s="113"/>
      <c r="K15" s="113" t="s">
        <v>1187</v>
      </c>
      <c r="L15" s="113"/>
      <c r="M15" s="113"/>
    </row>
    <row r="16" spans="1:18" x14ac:dyDescent="0.25">
      <c r="A16" s="112">
        <v>46132</v>
      </c>
      <c r="B16" s="113">
        <v>5</v>
      </c>
      <c r="C16" s="113">
        <v>5</v>
      </c>
      <c r="D16" s="113"/>
      <c r="E16" s="113" t="s">
        <v>378</v>
      </c>
      <c r="F16" s="113" t="s">
        <v>291</v>
      </c>
      <c r="G16" s="113">
        <v>786</v>
      </c>
      <c r="H16" s="113">
        <f>B16*G16</f>
        <v>3930</v>
      </c>
      <c r="I16" s="113" t="s">
        <v>464</v>
      </c>
      <c r="J16" s="113"/>
      <c r="K16" s="113" t="s">
        <v>464</v>
      </c>
      <c r="L16" s="113"/>
      <c r="M16" s="120"/>
      <c r="Q16">
        <v>69148</v>
      </c>
      <c r="R16">
        <f>Q16*2.3</f>
        <v>159040.4</v>
      </c>
    </row>
    <row r="17" spans="1:18" x14ac:dyDescent="0.25">
      <c r="A17" s="112">
        <v>46134</v>
      </c>
      <c r="B17" s="113">
        <v>10</v>
      </c>
      <c r="C17" s="113">
        <v>10</v>
      </c>
      <c r="D17" s="113"/>
      <c r="E17" s="113" t="s">
        <v>639</v>
      </c>
      <c r="F17" s="113" t="s">
        <v>464</v>
      </c>
      <c r="G17" s="113">
        <v>1579</v>
      </c>
      <c r="H17" s="113">
        <f t="shared" ref="H17:H23" si="2">B17*G17</f>
        <v>15790</v>
      </c>
      <c r="I17" s="113" t="s">
        <v>464</v>
      </c>
      <c r="J17" s="113"/>
      <c r="K17" s="113" t="s">
        <v>464</v>
      </c>
      <c r="L17" s="113"/>
      <c r="M17" s="113"/>
      <c r="N17" t="s">
        <v>1201</v>
      </c>
      <c r="Q17">
        <v>124588</v>
      </c>
      <c r="R17">
        <f>Q17*2.6</f>
        <v>323928.8</v>
      </c>
    </row>
    <row r="18" spans="1:18" x14ac:dyDescent="0.25">
      <c r="A18" s="112">
        <v>46136</v>
      </c>
      <c r="B18" s="113">
        <v>10</v>
      </c>
      <c r="C18" s="113">
        <v>10</v>
      </c>
      <c r="D18" s="113"/>
      <c r="E18" s="113" t="s">
        <v>639</v>
      </c>
      <c r="F18" s="113" t="s">
        <v>291</v>
      </c>
      <c r="G18" s="113">
        <v>1489</v>
      </c>
      <c r="H18" s="113">
        <f t="shared" si="2"/>
        <v>14890</v>
      </c>
      <c r="I18" s="113" t="s">
        <v>464</v>
      </c>
      <c r="J18" s="113"/>
      <c r="K18" s="113"/>
      <c r="L18" s="113"/>
      <c r="M18" s="113"/>
      <c r="R18">
        <f>SUM(R16:R17)</f>
        <v>482969.19999999995</v>
      </c>
    </row>
    <row r="19" spans="1:18" x14ac:dyDescent="0.25">
      <c r="A19" s="112">
        <v>46136</v>
      </c>
      <c r="B19" s="113">
        <v>10</v>
      </c>
      <c r="C19" s="113">
        <v>0</v>
      </c>
      <c r="D19" s="113"/>
      <c r="E19" s="113" t="s">
        <v>639</v>
      </c>
      <c r="F19" s="113" t="s">
        <v>291</v>
      </c>
      <c r="G19" s="113">
        <v>1489</v>
      </c>
      <c r="H19" s="113">
        <f t="shared" si="2"/>
        <v>14890</v>
      </c>
      <c r="I19" s="113" t="s">
        <v>464</v>
      </c>
      <c r="J19" s="113"/>
      <c r="K19" s="113"/>
      <c r="L19" s="113"/>
      <c r="M19" s="113"/>
      <c r="Q19">
        <v>100800</v>
      </c>
      <c r="R19">
        <f>Q19*2.54</f>
        <v>256032</v>
      </c>
    </row>
    <row r="20" spans="1:18" x14ac:dyDescent="0.25">
      <c r="A20" s="112">
        <v>46142</v>
      </c>
      <c r="B20" s="113">
        <v>4</v>
      </c>
      <c r="C20" s="113"/>
      <c r="D20" s="113"/>
      <c r="E20" s="113" t="s">
        <v>639</v>
      </c>
      <c r="F20" s="113" t="s">
        <v>1227</v>
      </c>
      <c r="G20" s="113">
        <v>1579</v>
      </c>
      <c r="H20" s="113">
        <f t="shared" si="2"/>
        <v>6316</v>
      </c>
      <c r="I20" s="113" t="s">
        <v>464</v>
      </c>
      <c r="J20" s="113"/>
      <c r="K20" s="113"/>
      <c r="L20" s="113"/>
      <c r="M20" s="135">
        <v>189018</v>
      </c>
      <c r="R20">
        <f>R18-R19</f>
        <v>226937.19999999995</v>
      </c>
    </row>
    <row r="21" spans="1:18" x14ac:dyDescent="0.25">
      <c r="A21" s="112">
        <v>46142</v>
      </c>
      <c r="B21" s="113">
        <v>4</v>
      </c>
      <c r="C21" s="113"/>
      <c r="D21" s="113"/>
      <c r="E21" s="113" t="s">
        <v>639</v>
      </c>
      <c r="F21" s="113" t="s">
        <v>635</v>
      </c>
      <c r="G21" s="113">
        <v>1579</v>
      </c>
      <c r="H21" s="113">
        <f t="shared" si="2"/>
        <v>6316</v>
      </c>
      <c r="I21" s="113" t="s">
        <v>464</v>
      </c>
      <c r="J21" s="113"/>
      <c r="K21" s="113"/>
      <c r="L21" s="113"/>
      <c r="M21" s="113"/>
      <c r="R21">
        <v>1641981</v>
      </c>
    </row>
    <row r="22" spans="1:18" x14ac:dyDescent="0.25">
      <c r="A22" s="112">
        <v>46143</v>
      </c>
      <c r="B22" s="113">
        <v>3</v>
      </c>
      <c r="C22" s="113"/>
      <c r="D22" s="113"/>
      <c r="E22" s="113" t="s">
        <v>871</v>
      </c>
      <c r="F22" s="113" t="s">
        <v>1168</v>
      </c>
      <c r="G22" s="113">
        <v>849</v>
      </c>
      <c r="H22" s="113">
        <f t="shared" si="2"/>
        <v>2547</v>
      </c>
      <c r="I22" s="113" t="s">
        <v>464</v>
      </c>
      <c r="J22" s="113"/>
      <c r="K22" s="113"/>
      <c r="L22" s="113"/>
      <c r="M22" s="113"/>
      <c r="R22">
        <f>SUM(R20:R21)</f>
        <v>1868918.2</v>
      </c>
    </row>
    <row r="23" spans="1:18" x14ac:dyDescent="0.25">
      <c r="A23" s="112">
        <v>46143</v>
      </c>
      <c r="B23" s="113">
        <v>1</v>
      </c>
      <c r="C23" s="113"/>
      <c r="D23" s="113"/>
      <c r="E23" s="113" t="s">
        <v>405</v>
      </c>
      <c r="F23" s="113" t="s">
        <v>1168</v>
      </c>
      <c r="G23" s="113">
        <v>1579</v>
      </c>
      <c r="H23" s="113">
        <f t="shared" si="2"/>
        <v>1579</v>
      </c>
      <c r="I23" s="113" t="s">
        <v>464</v>
      </c>
      <c r="J23" s="113"/>
      <c r="K23" s="113"/>
      <c r="L23" s="113"/>
      <c r="M23" s="113"/>
    </row>
  </sheetData>
  <autoFilter ref="A1:Q19" xr:uid="{A3773250-4A62-4A14-9567-977AD05F8EDC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P68"/>
  <sheetViews>
    <sheetView topLeftCell="A49" workbookViewId="0">
      <selection activeCell="D71" sqref="D71"/>
    </sheetView>
  </sheetViews>
  <sheetFormatPr defaultRowHeight="15" x14ac:dyDescent="0.25"/>
  <cols>
    <col min="1" max="1" width="12.28515625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18.5703125" bestFit="1" customWidth="1"/>
    <col min="8" max="8" width="7.85546875" bestFit="1" customWidth="1"/>
    <col min="9" max="9" width="12" bestFit="1" customWidth="1"/>
    <col min="10" max="10" width="8.28515625" bestFit="1" customWidth="1"/>
    <col min="11" max="11" width="13.28515625" bestFit="1" customWidth="1"/>
    <col min="13" max="13" width="10" bestFit="1" customWidth="1"/>
  </cols>
  <sheetData>
    <row r="1" spans="1:16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1189</v>
      </c>
    </row>
    <row r="2" spans="1:16" x14ac:dyDescent="0.25">
      <c r="A2" s="68">
        <v>46127</v>
      </c>
      <c r="B2" s="2">
        <v>500</v>
      </c>
      <c r="C2" s="2" t="s">
        <v>664</v>
      </c>
      <c r="D2" s="2" t="s">
        <v>1177</v>
      </c>
      <c r="E2" s="65">
        <v>398</v>
      </c>
      <c r="F2" s="65">
        <f t="shared" ref="F2:F17" si="0">E2*B2</f>
        <v>199000</v>
      </c>
      <c r="G2" s="2" t="s">
        <v>1165</v>
      </c>
      <c r="H2" s="2" t="s">
        <v>1164</v>
      </c>
      <c r="I2" s="2"/>
      <c r="J2" s="2"/>
      <c r="M2" t="s">
        <v>809</v>
      </c>
      <c r="N2">
        <v>12</v>
      </c>
      <c r="O2">
        <v>8</v>
      </c>
      <c r="P2">
        <v>9</v>
      </c>
    </row>
    <row r="3" spans="1:16" x14ac:dyDescent="0.25">
      <c r="A3" s="68">
        <v>46127</v>
      </c>
      <c r="B3" s="2">
        <v>1</v>
      </c>
      <c r="C3" s="2" t="s">
        <v>296</v>
      </c>
      <c r="D3" s="2" t="s">
        <v>1177</v>
      </c>
      <c r="E3" s="65">
        <v>200</v>
      </c>
      <c r="F3" s="65">
        <v>200</v>
      </c>
      <c r="G3" s="2"/>
      <c r="H3" s="2"/>
      <c r="I3" s="2" t="s">
        <v>85</v>
      </c>
      <c r="J3" s="2"/>
      <c r="M3" t="s">
        <v>1203</v>
      </c>
      <c r="N3">
        <v>8</v>
      </c>
      <c r="O3">
        <v>8</v>
      </c>
      <c r="P3">
        <v>17</v>
      </c>
    </row>
    <row r="4" spans="1:16" x14ac:dyDescent="0.25">
      <c r="A4" s="68">
        <v>46129</v>
      </c>
      <c r="B4" s="2">
        <v>2</v>
      </c>
      <c r="C4" s="2" t="s">
        <v>1172</v>
      </c>
      <c r="D4" s="2" t="s">
        <v>809</v>
      </c>
      <c r="E4" s="65">
        <v>1199</v>
      </c>
      <c r="F4" s="65">
        <f t="shared" si="0"/>
        <v>2398</v>
      </c>
      <c r="G4" s="2" t="s">
        <v>8</v>
      </c>
      <c r="H4" s="2"/>
      <c r="I4" s="2"/>
      <c r="J4" s="2"/>
      <c r="M4" t="s">
        <v>1204</v>
      </c>
      <c r="N4">
        <v>2</v>
      </c>
      <c r="O4">
        <v>2</v>
      </c>
    </row>
    <row r="5" spans="1:16" x14ac:dyDescent="0.25">
      <c r="A5" s="68">
        <v>46129</v>
      </c>
      <c r="B5" s="2">
        <v>2</v>
      </c>
      <c r="C5" s="2" t="s">
        <v>1172</v>
      </c>
      <c r="D5" s="2" t="s">
        <v>1173</v>
      </c>
      <c r="E5" s="65">
        <v>1199</v>
      </c>
      <c r="F5" s="65">
        <f t="shared" si="0"/>
        <v>2398</v>
      </c>
      <c r="G5" s="2" t="s">
        <v>8</v>
      </c>
      <c r="H5" s="2"/>
      <c r="I5" s="2"/>
      <c r="J5" s="2"/>
    </row>
    <row r="6" spans="1:16" x14ac:dyDescent="0.25">
      <c r="A6" s="68">
        <v>46129</v>
      </c>
      <c r="B6" s="2">
        <v>3</v>
      </c>
      <c r="C6" s="2" t="s">
        <v>1172</v>
      </c>
      <c r="D6" s="2" t="s">
        <v>1173</v>
      </c>
      <c r="E6" s="65">
        <v>1199</v>
      </c>
      <c r="F6" s="65">
        <f t="shared" si="0"/>
        <v>3597</v>
      </c>
      <c r="G6" s="2" t="s">
        <v>8</v>
      </c>
      <c r="H6" s="2"/>
      <c r="I6" s="2"/>
      <c r="J6" s="2"/>
    </row>
    <row r="7" spans="1:16" x14ac:dyDescent="0.25">
      <c r="A7" s="68">
        <v>46129</v>
      </c>
      <c r="B7" s="2">
        <v>1</v>
      </c>
      <c r="C7" s="2" t="s">
        <v>1172</v>
      </c>
      <c r="D7" s="2" t="s">
        <v>1173</v>
      </c>
      <c r="E7" s="65">
        <v>750</v>
      </c>
      <c r="F7" s="65">
        <f t="shared" si="0"/>
        <v>750</v>
      </c>
      <c r="G7" s="2" t="s">
        <v>8</v>
      </c>
      <c r="H7" s="2"/>
      <c r="I7" s="2"/>
      <c r="J7" s="2"/>
    </row>
    <row r="8" spans="1:16" x14ac:dyDescent="0.25">
      <c r="A8" s="68">
        <v>46129</v>
      </c>
      <c r="B8" s="2">
        <v>1</v>
      </c>
      <c r="C8" s="2" t="s">
        <v>1174</v>
      </c>
      <c r="D8" s="2" t="s">
        <v>1175</v>
      </c>
      <c r="E8" s="65">
        <v>2350</v>
      </c>
      <c r="F8" s="65">
        <f t="shared" si="0"/>
        <v>2350</v>
      </c>
      <c r="G8" s="2" t="s">
        <v>622</v>
      </c>
      <c r="H8" s="2"/>
      <c r="I8" s="2" t="s">
        <v>85</v>
      </c>
      <c r="J8" s="2"/>
    </row>
    <row r="9" spans="1:16" x14ac:dyDescent="0.25">
      <c r="A9" s="121">
        <v>46120</v>
      </c>
      <c r="B9" s="122">
        <v>2</v>
      </c>
      <c r="C9" s="122" t="s">
        <v>969</v>
      </c>
      <c r="D9" s="122" t="s">
        <v>811</v>
      </c>
      <c r="E9" s="123">
        <v>2199</v>
      </c>
      <c r="F9" s="123">
        <f t="shared" si="0"/>
        <v>4398</v>
      </c>
      <c r="G9" s="122" t="s">
        <v>62</v>
      </c>
      <c r="H9" s="122"/>
      <c r="I9" s="122"/>
      <c r="J9" s="124">
        <v>0.1</v>
      </c>
    </row>
    <row r="10" spans="1:16" x14ac:dyDescent="0.25">
      <c r="A10" s="121">
        <v>46120</v>
      </c>
      <c r="B10" s="122">
        <v>2</v>
      </c>
      <c r="C10" s="122" t="s">
        <v>1095</v>
      </c>
      <c r="D10" s="122" t="s">
        <v>811</v>
      </c>
      <c r="E10" s="123">
        <v>2199</v>
      </c>
      <c r="F10" s="123">
        <f t="shared" si="0"/>
        <v>4398</v>
      </c>
      <c r="G10" s="122" t="s">
        <v>62</v>
      </c>
      <c r="H10" s="122"/>
      <c r="I10" s="122"/>
      <c r="J10" s="124">
        <v>0.1</v>
      </c>
    </row>
    <row r="11" spans="1:16" x14ac:dyDescent="0.25">
      <c r="A11" s="68">
        <v>46120</v>
      </c>
      <c r="B11" s="2">
        <v>4</v>
      </c>
      <c r="C11" s="2" t="s">
        <v>1027</v>
      </c>
      <c r="D11" s="2" t="s">
        <v>857</v>
      </c>
      <c r="E11" s="65">
        <v>25</v>
      </c>
      <c r="F11" s="65">
        <f t="shared" si="0"/>
        <v>100</v>
      </c>
      <c r="G11" s="2" t="s">
        <v>622</v>
      </c>
      <c r="H11" s="2"/>
      <c r="I11" s="2" t="s">
        <v>85</v>
      </c>
      <c r="J11" s="2"/>
    </row>
    <row r="12" spans="1:16" x14ac:dyDescent="0.25">
      <c r="A12" s="68">
        <v>46130</v>
      </c>
      <c r="B12" s="2">
        <v>4</v>
      </c>
      <c r="C12" s="2" t="s">
        <v>1172</v>
      </c>
      <c r="D12" s="2" t="s">
        <v>1176</v>
      </c>
      <c r="E12" s="65">
        <v>1199</v>
      </c>
      <c r="F12" s="65">
        <f t="shared" si="0"/>
        <v>4796</v>
      </c>
      <c r="G12" s="2" t="s">
        <v>348</v>
      </c>
      <c r="H12" s="2"/>
      <c r="I12" s="2" t="s">
        <v>1184</v>
      </c>
      <c r="J12" s="2"/>
    </row>
    <row r="13" spans="1:16" x14ac:dyDescent="0.25">
      <c r="A13" s="68">
        <v>46119</v>
      </c>
      <c r="B13" s="2">
        <v>40</v>
      </c>
      <c r="C13" s="2" t="s">
        <v>1178</v>
      </c>
      <c r="D13" s="2" t="s">
        <v>811</v>
      </c>
      <c r="E13" s="65">
        <v>2199</v>
      </c>
      <c r="F13" s="65">
        <f t="shared" si="0"/>
        <v>87960</v>
      </c>
      <c r="G13" s="2" t="s">
        <v>1182</v>
      </c>
      <c r="H13" s="2"/>
      <c r="I13" s="2" t="s">
        <v>981</v>
      </c>
      <c r="J13" s="107">
        <v>0.1</v>
      </c>
    </row>
    <row r="14" spans="1:16" x14ac:dyDescent="0.25">
      <c r="A14" s="68">
        <v>46119</v>
      </c>
      <c r="B14" s="2">
        <v>6</v>
      </c>
      <c r="C14" s="2" t="s">
        <v>1179</v>
      </c>
      <c r="D14" s="2" t="s">
        <v>811</v>
      </c>
      <c r="E14" s="65">
        <v>689</v>
      </c>
      <c r="F14" s="65">
        <f t="shared" si="0"/>
        <v>4134</v>
      </c>
      <c r="G14" s="2" t="s">
        <v>1182</v>
      </c>
      <c r="H14" s="2"/>
      <c r="I14" s="2" t="s">
        <v>981</v>
      </c>
      <c r="J14" s="107">
        <v>0.1</v>
      </c>
    </row>
    <row r="15" spans="1:16" x14ac:dyDescent="0.25">
      <c r="A15" s="68">
        <v>46119</v>
      </c>
      <c r="B15" s="2">
        <v>7</v>
      </c>
      <c r="C15" s="2" t="s">
        <v>664</v>
      </c>
      <c r="D15" s="2" t="s">
        <v>811</v>
      </c>
      <c r="E15" s="65">
        <v>398</v>
      </c>
      <c r="F15" s="65">
        <f t="shared" si="0"/>
        <v>2786</v>
      </c>
      <c r="G15" s="2" t="s">
        <v>1182</v>
      </c>
      <c r="H15" s="2"/>
      <c r="I15" s="2" t="s">
        <v>981</v>
      </c>
      <c r="J15" s="107">
        <v>0.1</v>
      </c>
    </row>
    <row r="16" spans="1:16" x14ac:dyDescent="0.25">
      <c r="A16" s="68">
        <v>46119</v>
      </c>
      <c r="B16" s="2">
        <v>60</v>
      </c>
      <c r="C16" s="2" t="s">
        <v>664</v>
      </c>
      <c r="D16" s="2" t="s">
        <v>1180</v>
      </c>
      <c r="E16" s="65">
        <v>398</v>
      </c>
      <c r="F16" s="65">
        <f t="shared" si="0"/>
        <v>23880</v>
      </c>
      <c r="G16" s="2" t="s">
        <v>1182</v>
      </c>
      <c r="H16" s="2"/>
      <c r="I16" s="2" t="s">
        <v>981</v>
      </c>
      <c r="J16" s="107"/>
    </row>
    <row r="17" spans="1:12" x14ac:dyDescent="0.25">
      <c r="A17" s="68">
        <v>46130</v>
      </c>
      <c r="B17" s="2">
        <v>4</v>
      </c>
      <c r="C17" s="2" t="s">
        <v>1172</v>
      </c>
      <c r="D17" s="2" t="s">
        <v>1181</v>
      </c>
      <c r="E17" s="3">
        <v>1199</v>
      </c>
      <c r="F17" s="3">
        <f t="shared" si="0"/>
        <v>4796</v>
      </c>
      <c r="G17" s="2" t="s">
        <v>348</v>
      </c>
      <c r="H17" s="2"/>
      <c r="I17" s="2" t="s">
        <v>1184</v>
      </c>
      <c r="J17" s="107"/>
    </row>
    <row r="18" spans="1:12" x14ac:dyDescent="0.25">
      <c r="A18" s="68">
        <v>46132</v>
      </c>
      <c r="B18" s="2">
        <v>4</v>
      </c>
      <c r="C18" s="2" t="s">
        <v>1172</v>
      </c>
      <c r="D18" s="2" t="s">
        <v>1176</v>
      </c>
      <c r="E18" s="3">
        <v>1199</v>
      </c>
      <c r="F18" s="3">
        <f t="shared" ref="F18:F66" si="1">E18*B18</f>
        <v>4796</v>
      </c>
      <c r="G18" s="2" t="s">
        <v>348</v>
      </c>
      <c r="H18" s="2"/>
      <c r="I18" s="2" t="s">
        <v>1183</v>
      </c>
      <c r="J18" s="2"/>
    </row>
    <row r="19" spans="1:12" x14ac:dyDescent="0.25">
      <c r="A19" s="68">
        <v>46132</v>
      </c>
      <c r="B19" s="2">
        <v>2</v>
      </c>
      <c r="C19" s="2" t="s">
        <v>1172</v>
      </c>
      <c r="D19" s="2" t="s">
        <v>1181</v>
      </c>
      <c r="E19" s="3">
        <v>1199</v>
      </c>
      <c r="F19" s="3">
        <f t="shared" si="1"/>
        <v>2398</v>
      </c>
      <c r="G19" s="2" t="s">
        <v>348</v>
      </c>
      <c r="H19" s="2"/>
      <c r="I19" s="2" t="s">
        <v>1184</v>
      </c>
      <c r="J19" s="2"/>
      <c r="K19" s="108" t="s">
        <v>1188</v>
      </c>
    </row>
    <row r="20" spans="1:12" x14ac:dyDescent="0.25">
      <c r="A20" s="68">
        <v>46132</v>
      </c>
      <c r="B20" s="2">
        <v>4</v>
      </c>
      <c r="C20" s="2" t="s">
        <v>1172</v>
      </c>
      <c r="D20" s="2" t="s">
        <v>1181</v>
      </c>
      <c r="E20" s="3">
        <v>1199</v>
      </c>
      <c r="F20" s="3">
        <f t="shared" si="1"/>
        <v>4796</v>
      </c>
      <c r="G20" s="2" t="s">
        <v>62</v>
      </c>
      <c r="H20" s="2"/>
      <c r="I20" s="2" t="s">
        <v>1184</v>
      </c>
      <c r="J20" s="2"/>
      <c r="K20" s="108" t="s">
        <v>1190</v>
      </c>
    </row>
    <row r="21" spans="1:12" x14ac:dyDescent="0.25">
      <c r="A21" s="68">
        <v>46132</v>
      </c>
      <c r="B21" s="2">
        <v>1</v>
      </c>
      <c r="C21" s="2" t="s">
        <v>542</v>
      </c>
      <c r="D21" s="2" t="s">
        <v>1159</v>
      </c>
      <c r="E21" s="3">
        <v>3561.82</v>
      </c>
      <c r="F21" s="3">
        <f t="shared" si="1"/>
        <v>3561.82</v>
      </c>
      <c r="G21" s="2" t="s">
        <v>622</v>
      </c>
      <c r="H21" s="2"/>
      <c r="I21" s="2" t="s">
        <v>85</v>
      </c>
      <c r="J21" s="2"/>
    </row>
    <row r="22" spans="1:12" x14ac:dyDescent="0.25">
      <c r="A22" s="68">
        <v>46132</v>
      </c>
      <c r="B22" s="2">
        <v>1</v>
      </c>
      <c r="C22" s="2" t="s">
        <v>542</v>
      </c>
      <c r="D22" s="2" t="s">
        <v>1159</v>
      </c>
      <c r="E22" s="3">
        <v>6194.93</v>
      </c>
      <c r="F22" s="3">
        <f t="shared" si="1"/>
        <v>6194.93</v>
      </c>
      <c r="G22" s="2" t="s">
        <v>622</v>
      </c>
      <c r="H22" s="2"/>
      <c r="I22" s="2" t="s">
        <v>85</v>
      </c>
      <c r="J22" s="2"/>
    </row>
    <row r="23" spans="1:12" x14ac:dyDescent="0.25">
      <c r="A23" s="68">
        <v>46133</v>
      </c>
      <c r="B23" s="2">
        <v>1</v>
      </c>
      <c r="C23" s="2" t="s">
        <v>1193</v>
      </c>
      <c r="D23" s="2" t="s">
        <v>1194</v>
      </c>
      <c r="E23" s="3">
        <v>500</v>
      </c>
      <c r="F23" s="3">
        <v>500</v>
      </c>
      <c r="G23" s="2" t="s">
        <v>1195</v>
      </c>
      <c r="H23" s="2"/>
      <c r="I23" s="2" t="s">
        <v>1184</v>
      </c>
      <c r="J23" s="2"/>
    </row>
    <row r="24" spans="1:12" x14ac:dyDescent="0.25">
      <c r="A24" s="68">
        <v>46133</v>
      </c>
      <c r="B24" s="2">
        <v>2</v>
      </c>
      <c r="C24" s="2" t="s">
        <v>1172</v>
      </c>
      <c r="D24" s="2" t="s">
        <v>1192</v>
      </c>
      <c r="E24" s="3">
        <v>1249</v>
      </c>
      <c r="F24" s="3">
        <f t="shared" si="1"/>
        <v>2498</v>
      </c>
      <c r="G24" s="2" t="s">
        <v>8</v>
      </c>
      <c r="H24" s="2"/>
      <c r="I24" s="2" t="s">
        <v>1183</v>
      </c>
      <c r="J24" s="68">
        <v>46140</v>
      </c>
      <c r="K24" s="109" t="s">
        <v>1191</v>
      </c>
    </row>
    <row r="25" spans="1:12" x14ac:dyDescent="0.25">
      <c r="A25" s="68">
        <v>46134</v>
      </c>
      <c r="B25" s="2">
        <v>2</v>
      </c>
      <c r="C25" s="2" t="s">
        <v>1172</v>
      </c>
      <c r="D25" s="2" t="s">
        <v>1181</v>
      </c>
      <c r="E25" s="3">
        <v>1199</v>
      </c>
      <c r="F25" s="3">
        <f t="shared" si="1"/>
        <v>2398</v>
      </c>
      <c r="G25" s="2" t="s">
        <v>348</v>
      </c>
      <c r="H25" s="2"/>
      <c r="I25" s="2" t="s">
        <v>1184</v>
      </c>
      <c r="J25" s="2"/>
      <c r="K25" s="110" t="s">
        <v>1196</v>
      </c>
    </row>
    <row r="26" spans="1:12" x14ac:dyDescent="0.25">
      <c r="A26" s="68">
        <v>46133</v>
      </c>
      <c r="B26" s="2">
        <v>10</v>
      </c>
      <c r="C26" s="2" t="s">
        <v>1172</v>
      </c>
      <c r="D26" s="2" t="s">
        <v>1197</v>
      </c>
      <c r="E26" s="3">
        <v>999</v>
      </c>
      <c r="F26" s="3">
        <f t="shared" si="1"/>
        <v>9990</v>
      </c>
      <c r="G26" s="2" t="s">
        <v>8</v>
      </c>
      <c r="H26" s="2"/>
      <c r="I26" s="2"/>
      <c r="J26" s="2"/>
    </row>
    <row r="27" spans="1:12" x14ac:dyDescent="0.25">
      <c r="A27" s="68">
        <v>46136</v>
      </c>
      <c r="B27" s="2">
        <v>32</v>
      </c>
      <c r="C27" s="2" t="s">
        <v>664</v>
      </c>
      <c r="D27" s="2" t="s">
        <v>1198</v>
      </c>
      <c r="E27" s="3">
        <v>398</v>
      </c>
      <c r="F27" s="3">
        <f t="shared" si="1"/>
        <v>12736</v>
      </c>
      <c r="G27" s="2" t="s">
        <v>8</v>
      </c>
      <c r="H27" s="2"/>
      <c r="I27" s="2"/>
      <c r="J27" s="2"/>
    </row>
    <row r="28" spans="1:12" x14ac:dyDescent="0.25">
      <c r="A28" s="68">
        <v>46136</v>
      </c>
      <c r="B28" s="2"/>
      <c r="C28" s="2" t="s">
        <v>664</v>
      </c>
      <c r="D28" s="2" t="s">
        <v>879</v>
      </c>
      <c r="E28" s="3">
        <v>398</v>
      </c>
      <c r="F28" s="3">
        <v>6500</v>
      </c>
      <c r="G28" s="2" t="s">
        <v>1195</v>
      </c>
      <c r="H28" s="2"/>
      <c r="I28" s="2" t="s">
        <v>1222</v>
      </c>
      <c r="J28" s="2"/>
    </row>
    <row r="29" spans="1:12" x14ac:dyDescent="0.25">
      <c r="A29" s="68">
        <v>46136</v>
      </c>
      <c r="B29" s="2">
        <v>1</v>
      </c>
      <c r="C29" s="2" t="s">
        <v>1199</v>
      </c>
      <c r="D29" s="2" t="s">
        <v>1200</v>
      </c>
      <c r="E29" s="3">
        <v>405</v>
      </c>
      <c r="F29" s="3">
        <f t="shared" si="1"/>
        <v>405</v>
      </c>
      <c r="G29" s="2"/>
      <c r="H29" s="2"/>
      <c r="I29" s="2" t="s">
        <v>85</v>
      </c>
      <c r="J29" s="2"/>
    </row>
    <row r="30" spans="1:12" x14ac:dyDescent="0.25">
      <c r="A30" s="68">
        <v>46137</v>
      </c>
      <c r="B30" s="2">
        <v>4</v>
      </c>
      <c r="C30" s="2" t="s">
        <v>664</v>
      </c>
      <c r="D30" s="2" t="s">
        <v>846</v>
      </c>
      <c r="E30" s="3">
        <v>398</v>
      </c>
      <c r="F30" s="3">
        <f t="shared" si="1"/>
        <v>1592</v>
      </c>
      <c r="G30" s="2" t="s">
        <v>8</v>
      </c>
      <c r="H30" s="2"/>
      <c r="I30" s="2"/>
      <c r="J30" s="2"/>
    </row>
    <row r="31" spans="1:12" x14ac:dyDescent="0.25">
      <c r="A31" s="121">
        <v>46138</v>
      </c>
      <c r="B31" s="122">
        <v>2</v>
      </c>
      <c r="C31" s="122" t="s">
        <v>1172</v>
      </c>
      <c r="D31" s="122" t="s">
        <v>1181</v>
      </c>
      <c r="E31" s="125">
        <v>1199</v>
      </c>
      <c r="F31" s="125">
        <f t="shared" si="1"/>
        <v>2398</v>
      </c>
      <c r="G31" s="122" t="s">
        <v>62</v>
      </c>
      <c r="H31" s="122"/>
      <c r="I31" s="122" t="s">
        <v>1184</v>
      </c>
      <c r="J31" s="122"/>
      <c r="K31" s="126" t="s">
        <v>1205</v>
      </c>
      <c r="L31" s="127" t="s">
        <v>1207</v>
      </c>
    </row>
    <row r="32" spans="1:12" x14ac:dyDescent="0.25">
      <c r="A32" s="121">
        <v>46138</v>
      </c>
      <c r="B32" s="122">
        <v>2</v>
      </c>
      <c r="C32" s="122" t="s">
        <v>1172</v>
      </c>
      <c r="D32" s="122" t="s">
        <v>1181</v>
      </c>
      <c r="E32" s="125">
        <v>1199</v>
      </c>
      <c r="F32" s="125">
        <f t="shared" si="1"/>
        <v>2398</v>
      </c>
      <c r="G32" s="122" t="s">
        <v>62</v>
      </c>
      <c r="H32" s="122"/>
      <c r="I32" s="122" t="s">
        <v>1184</v>
      </c>
      <c r="J32" s="122"/>
      <c r="K32" s="126" t="s">
        <v>1206</v>
      </c>
      <c r="L32" s="127" t="s">
        <v>1207</v>
      </c>
    </row>
    <row r="33" spans="1:12" x14ac:dyDescent="0.25">
      <c r="A33" s="121">
        <v>46138</v>
      </c>
      <c r="B33" s="122">
        <v>2</v>
      </c>
      <c r="C33" s="122" t="s">
        <v>1172</v>
      </c>
      <c r="D33" s="122" t="s">
        <v>1181</v>
      </c>
      <c r="E33" s="125">
        <v>1199</v>
      </c>
      <c r="F33" s="125">
        <f t="shared" si="1"/>
        <v>2398</v>
      </c>
      <c r="G33" s="122" t="s">
        <v>62</v>
      </c>
      <c r="H33" s="122"/>
      <c r="I33" s="122" t="s">
        <v>1184</v>
      </c>
      <c r="J33" s="122"/>
      <c r="K33" s="126" t="s">
        <v>1208</v>
      </c>
      <c r="L33" s="128"/>
    </row>
    <row r="34" spans="1:12" x14ac:dyDescent="0.25">
      <c r="A34" s="68">
        <v>46138</v>
      </c>
      <c r="B34" s="2">
        <v>2</v>
      </c>
      <c r="C34" s="2" t="s">
        <v>1172</v>
      </c>
      <c r="D34" s="2" t="s">
        <v>1209</v>
      </c>
      <c r="E34" s="3">
        <v>1199</v>
      </c>
      <c r="F34" s="3">
        <f t="shared" si="1"/>
        <v>2398</v>
      </c>
      <c r="G34" s="2" t="s">
        <v>348</v>
      </c>
      <c r="H34" s="2"/>
      <c r="I34" s="2" t="s">
        <v>1184</v>
      </c>
      <c r="J34" s="2"/>
      <c r="K34" s="111">
        <v>1429940666</v>
      </c>
    </row>
    <row r="35" spans="1:12" x14ac:dyDescent="0.25">
      <c r="A35" s="68">
        <v>46138</v>
      </c>
      <c r="B35" s="2">
        <v>2</v>
      </c>
      <c r="C35" s="2" t="s">
        <v>1172</v>
      </c>
      <c r="D35" s="2" t="s">
        <v>1209</v>
      </c>
      <c r="E35" s="3">
        <v>1199</v>
      </c>
      <c r="F35" s="3">
        <f t="shared" si="1"/>
        <v>2398</v>
      </c>
      <c r="G35" s="2" t="s">
        <v>348</v>
      </c>
      <c r="H35" s="2"/>
      <c r="I35" s="2" t="s">
        <v>1183</v>
      </c>
      <c r="J35" s="2"/>
      <c r="K35" s="111" t="s">
        <v>1210</v>
      </c>
    </row>
    <row r="36" spans="1:12" x14ac:dyDescent="0.25">
      <c r="A36" s="129">
        <v>46138</v>
      </c>
      <c r="B36" s="130">
        <v>2</v>
      </c>
      <c r="C36" s="130" t="s">
        <v>1172</v>
      </c>
      <c r="D36" s="130" t="s">
        <v>1209</v>
      </c>
      <c r="E36" s="131">
        <v>1199</v>
      </c>
      <c r="F36" s="131">
        <f t="shared" si="1"/>
        <v>2398</v>
      </c>
      <c r="G36" s="130" t="s">
        <v>62</v>
      </c>
      <c r="H36" s="130"/>
      <c r="I36" s="130" t="s">
        <v>1183</v>
      </c>
      <c r="J36" s="130"/>
      <c r="K36" s="132">
        <v>1429956430</v>
      </c>
      <c r="L36" s="128"/>
    </row>
    <row r="37" spans="1:12" x14ac:dyDescent="0.25">
      <c r="A37" s="121">
        <v>46138</v>
      </c>
      <c r="B37" s="122">
        <v>2</v>
      </c>
      <c r="C37" s="122" t="s">
        <v>1172</v>
      </c>
      <c r="D37" s="122" t="s">
        <v>1209</v>
      </c>
      <c r="E37" s="125">
        <v>1199</v>
      </c>
      <c r="F37" s="125">
        <f t="shared" si="1"/>
        <v>2398</v>
      </c>
      <c r="G37" s="122" t="s">
        <v>62</v>
      </c>
      <c r="H37" s="122"/>
      <c r="I37" s="122" t="s">
        <v>1183</v>
      </c>
      <c r="J37" s="122"/>
      <c r="K37" s="133">
        <v>1429956552</v>
      </c>
      <c r="L37" s="122"/>
    </row>
    <row r="38" spans="1:12" x14ac:dyDescent="0.25">
      <c r="A38" s="121">
        <v>46138</v>
      </c>
      <c r="B38" s="122">
        <v>2</v>
      </c>
      <c r="C38" s="122" t="s">
        <v>1172</v>
      </c>
      <c r="D38" s="122" t="s">
        <v>1181</v>
      </c>
      <c r="E38" s="125">
        <v>1199</v>
      </c>
      <c r="F38" s="125">
        <f t="shared" si="1"/>
        <v>2398</v>
      </c>
      <c r="G38" s="122" t="s">
        <v>62</v>
      </c>
      <c r="H38" s="122"/>
      <c r="I38" s="122" t="s">
        <v>1184</v>
      </c>
      <c r="J38" s="122"/>
      <c r="K38" s="134" t="s">
        <v>1211</v>
      </c>
      <c r="L38" s="122"/>
    </row>
    <row r="39" spans="1:12" x14ac:dyDescent="0.25">
      <c r="A39" s="68">
        <v>46138</v>
      </c>
      <c r="B39" s="2">
        <v>5</v>
      </c>
      <c r="C39" s="2" t="s">
        <v>664</v>
      </c>
      <c r="D39" s="2" t="s">
        <v>1212</v>
      </c>
      <c r="E39" s="3">
        <v>398</v>
      </c>
      <c r="F39" s="3">
        <f t="shared" si="1"/>
        <v>1990</v>
      </c>
      <c r="G39" s="2" t="s">
        <v>8</v>
      </c>
      <c r="H39" s="2"/>
      <c r="I39" s="2"/>
      <c r="J39" s="2"/>
      <c r="K39" s="2"/>
      <c r="L39" s="2"/>
    </row>
    <row r="40" spans="1:12" x14ac:dyDescent="0.25">
      <c r="A40" s="68">
        <v>46138</v>
      </c>
      <c r="B40" s="2">
        <v>2</v>
      </c>
      <c r="C40" s="2" t="s">
        <v>1213</v>
      </c>
      <c r="D40" s="2" t="s">
        <v>101</v>
      </c>
      <c r="E40" s="3">
        <v>2199</v>
      </c>
      <c r="F40" s="3">
        <f t="shared" si="1"/>
        <v>4398</v>
      </c>
      <c r="G40" s="2" t="s">
        <v>8</v>
      </c>
      <c r="H40" s="2"/>
      <c r="I40" s="2" t="s">
        <v>115</v>
      </c>
      <c r="J40" s="2"/>
      <c r="K40" s="2"/>
      <c r="L40" s="2"/>
    </row>
    <row r="41" spans="1:12" x14ac:dyDescent="0.25">
      <c r="A41" s="68">
        <v>46138</v>
      </c>
      <c r="B41" s="2">
        <v>2</v>
      </c>
      <c r="C41" s="2" t="s">
        <v>1214</v>
      </c>
      <c r="D41" s="2" t="s">
        <v>101</v>
      </c>
      <c r="E41" s="3">
        <v>2199</v>
      </c>
      <c r="F41" s="3">
        <f t="shared" si="1"/>
        <v>4398</v>
      </c>
      <c r="G41" s="2" t="s">
        <v>8</v>
      </c>
      <c r="H41" s="2"/>
      <c r="I41" s="2" t="s">
        <v>115</v>
      </c>
      <c r="J41" s="2"/>
      <c r="K41" s="2"/>
      <c r="L41" s="2"/>
    </row>
    <row r="42" spans="1:12" x14ac:dyDescent="0.25">
      <c r="A42" s="68">
        <v>46138</v>
      </c>
      <c r="B42" s="2">
        <v>1</v>
      </c>
      <c r="C42" s="2" t="s">
        <v>664</v>
      </c>
      <c r="D42" s="2" t="s">
        <v>101</v>
      </c>
      <c r="E42" s="3">
        <v>399</v>
      </c>
      <c r="F42" s="3">
        <f t="shared" si="1"/>
        <v>399</v>
      </c>
      <c r="G42" s="2" t="s">
        <v>8</v>
      </c>
      <c r="H42" s="2"/>
      <c r="I42" s="2" t="s">
        <v>115</v>
      </c>
      <c r="J42" s="2"/>
      <c r="K42" s="2"/>
      <c r="L42" s="2"/>
    </row>
    <row r="43" spans="1:12" x14ac:dyDescent="0.25">
      <c r="A43" s="68">
        <v>46138</v>
      </c>
      <c r="B43" s="2">
        <v>1</v>
      </c>
      <c r="C43" s="2" t="s">
        <v>1215</v>
      </c>
      <c r="D43" s="2" t="s">
        <v>101</v>
      </c>
      <c r="E43" s="3">
        <v>1400</v>
      </c>
      <c r="F43" s="3">
        <f t="shared" si="1"/>
        <v>1400</v>
      </c>
      <c r="G43" s="2" t="s">
        <v>8</v>
      </c>
      <c r="H43" s="2"/>
      <c r="I43" s="2" t="s">
        <v>115</v>
      </c>
      <c r="J43" s="2"/>
      <c r="K43" s="2"/>
      <c r="L43" s="2"/>
    </row>
    <row r="44" spans="1:12" x14ac:dyDescent="0.25">
      <c r="A44" s="68">
        <v>46138</v>
      </c>
      <c r="B44" s="2">
        <v>1</v>
      </c>
      <c r="C44" s="2" t="s">
        <v>1216</v>
      </c>
      <c r="D44" s="2" t="s">
        <v>101</v>
      </c>
      <c r="E44" s="3">
        <v>675.79</v>
      </c>
      <c r="F44" s="3">
        <f t="shared" si="1"/>
        <v>675.79</v>
      </c>
      <c r="G44" s="2" t="s">
        <v>8</v>
      </c>
      <c r="H44" s="2"/>
      <c r="I44" s="2" t="s">
        <v>115</v>
      </c>
      <c r="J44" s="2"/>
      <c r="K44" s="2"/>
      <c r="L44" s="2"/>
    </row>
    <row r="45" spans="1:12" x14ac:dyDescent="0.25">
      <c r="A45" s="68">
        <v>46139</v>
      </c>
      <c r="B45" s="2">
        <v>2</v>
      </c>
      <c r="C45" s="2" t="s">
        <v>1214</v>
      </c>
      <c r="D45" s="2" t="s">
        <v>101</v>
      </c>
      <c r="E45" s="3">
        <v>2199</v>
      </c>
      <c r="F45" s="3">
        <f t="shared" si="1"/>
        <v>4398</v>
      </c>
      <c r="G45" s="2" t="s">
        <v>8</v>
      </c>
      <c r="H45" s="2"/>
      <c r="I45" s="2" t="s">
        <v>115</v>
      </c>
      <c r="J45" s="2"/>
      <c r="K45" s="2"/>
      <c r="L45" s="2"/>
    </row>
    <row r="46" spans="1:12" x14ac:dyDescent="0.25">
      <c r="A46" s="68">
        <v>46139</v>
      </c>
      <c r="B46" s="2">
        <v>1</v>
      </c>
      <c r="C46" s="2" t="s">
        <v>1216</v>
      </c>
      <c r="D46" s="2" t="s">
        <v>101</v>
      </c>
      <c r="E46" s="3">
        <v>689</v>
      </c>
      <c r="F46" s="3">
        <f t="shared" si="1"/>
        <v>689</v>
      </c>
      <c r="G46" s="2" t="s">
        <v>8</v>
      </c>
      <c r="H46" s="2"/>
      <c r="I46" s="2" t="s">
        <v>115</v>
      </c>
      <c r="J46" s="2"/>
      <c r="K46" s="2"/>
      <c r="L46" s="2"/>
    </row>
    <row r="47" spans="1:12" x14ac:dyDescent="0.25">
      <c r="A47" s="68">
        <v>46139</v>
      </c>
      <c r="B47" s="2">
        <v>1</v>
      </c>
      <c r="C47" s="2" t="s">
        <v>1220</v>
      </c>
      <c r="D47" s="2" t="s">
        <v>101</v>
      </c>
      <c r="E47" s="3">
        <v>4500</v>
      </c>
      <c r="F47" s="3">
        <f t="shared" si="1"/>
        <v>4500</v>
      </c>
      <c r="G47" s="2" t="s">
        <v>8</v>
      </c>
      <c r="H47" s="2"/>
      <c r="I47" s="2" t="s">
        <v>115</v>
      </c>
      <c r="J47" s="2"/>
      <c r="K47" s="2"/>
      <c r="L47" s="2"/>
    </row>
    <row r="48" spans="1:12" x14ac:dyDescent="0.25">
      <c r="A48" s="68">
        <v>46139</v>
      </c>
      <c r="B48" s="2">
        <v>1</v>
      </c>
      <c r="C48" s="2" t="s">
        <v>664</v>
      </c>
      <c r="D48" s="2" t="s">
        <v>101</v>
      </c>
      <c r="E48" s="3">
        <v>299</v>
      </c>
      <c r="F48" s="3">
        <f t="shared" si="1"/>
        <v>299</v>
      </c>
      <c r="G48" s="2" t="s">
        <v>8</v>
      </c>
      <c r="H48" s="2"/>
      <c r="I48" s="2" t="s">
        <v>115</v>
      </c>
      <c r="J48" s="2"/>
      <c r="K48" s="2"/>
      <c r="L48" s="2"/>
    </row>
    <row r="49" spans="1:12" x14ac:dyDescent="0.25">
      <c r="A49" s="68">
        <v>46139</v>
      </c>
      <c r="B49" s="2">
        <v>11</v>
      </c>
      <c r="C49" s="2" t="s">
        <v>697</v>
      </c>
      <c r="D49" s="2" t="s">
        <v>101</v>
      </c>
      <c r="E49" s="3">
        <v>125</v>
      </c>
      <c r="F49" s="3">
        <f t="shared" si="1"/>
        <v>1375</v>
      </c>
      <c r="G49" s="2" t="s">
        <v>8</v>
      </c>
      <c r="H49" s="2"/>
      <c r="I49" s="2" t="s">
        <v>115</v>
      </c>
      <c r="J49" s="2"/>
      <c r="K49" s="2"/>
      <c r="L49" s="2"/>
    </row>
    <row r="50" spans="1:12" x14ac:dyDescent="0.25">
      <c r="A50" s="68">
        <v>46139</v>
      </c>
      <c r="B50" s="2">
        <v>2</v>
      </c>
      <c r="C50" s="2" t="s">
        <v>1217</v>
      </c>
      <c r="D50" s="2" t="s">
        <v>101</v>
      </c>
      <c r="E50" s="3">
        <v>2199</v>
      </c>
      <c r="F50" s="3">
        <f t="shared" si="1"/>
        <v>4398</v>
      </c>
      <c r="G50" s="2" t="s">
        <v>1218</v>
      </c>
      <c r="H50" s="2"/>
      <c r="I50" s="2" t="s">
        <v>115</v>
      </c>
      <c r="J50" s="2"/>
      <c r="K50" s="2"/>
      <c r="L50" s="2"/>
    </row>
    <row r="51" spans="1:12" x14ac:dyDescent="0.25">
      <c r="A51" s="68">
        <v>46139</v>
      </c>
      <c r="B51" s="2">
        <v>1</v>
      </c>
      <c r="C51" s="2" t="s">
        <v>1219</v>
      </c>
      <c r="D51" s="2" t="s">
        <v>101</v>
      </c>
      <c r="E51" s="3">
        <v>3440</v>
      </c>
      <c r="F51" s="3">
        <f t="shared" si="1"/>
        <v>3440</v>
      </c>
      <c r="G51" s="2" t="s">
        <v>8</v>
      </c>
      <c r="H51" s="2"/>
      <c r="I51" s="2" t="s">
        <v>115</v>
      </c>
      <c r="J51" s="2"/>
      <c r="K51" s="2"/>
      <c r="L51" s="2"/>
    </row>
    <row r="52" spans="1:12" x14ac:dyDescent="0.25">
      <c r="A52" s="68">
        <v>46139</v>
      </c>
      <c r="B52" s="2">
        <v>1</v>
      </c>
      <c r="C52" s="2" t="s">
        <v>1216</v>
      </c>
      <c r="D52" s="2" t="s">
        <v>101</v>
      </c>
      <c r="E52" s="3">
        <v>689</v>
      </c>
      <c r="F52" s="3">
        <f t="shared" si="1"/>
        <v>689</v>
      </c>
      <c r="G52" s="2" t="s">
        <v>8</v>
      </c>
      <c r="H52" s="2"/>
      <c r="I52" s="2" t="s">
        <v>115</v>
      </c>
      <c r="J52" s="2"/>
      <c r="K52" s="2"/>
      <c r="L52" s="2"/>
    </row>
    <row r="53" spans="1:12" x14ac:dyDescent="0.25">
      <c r="A53" s="68">
        <v>46139</v>
      </c>
      <c r="B53" s="2">
        <v>2</v>
      </c>
      <c r="C53" s="2" t="s">
        <v>1217</v>
      </c>
      <c r="D53" s="2" t="s">
        <v>101</v>
      </c>
      <c r="E53" s="3">
        <v>2199</v>
      </c>
      <c r="F53" s="3">
        <f t="shared" si="1"/>
        <v>4398</v>
      </c>
      <c r="G53" s="2" t="s">
        <v>694</v>
      </c>
      <c r="H53" s="2"/>
      <c r="I53" s="2" t="s">
        <v>115</v>
      </c>
      <c r="J53" s="2"/>
      <c r="K53" s="2"/>
      <c r="L53" s="2"/>
    </row>
    <row r="54" spans="1:12" x14ac:dyDescent="0.25">
      <c r="A54" s="68">
        <v>46139</v>
      </c>
      <c r="B54" s="2">
        <v>1</v>
      </c>
      <c r="C54" s="2" t="s">
        <v>664</v>
      </c>
      <c r="D54" s="2" t="s">
        <v>101</v>
      </c>
      <c r="E54" s="3">
        <v>299</v>
      </c>
      <c r="F54" s="3">
        <f t="shared" si="1"/>
        <v>299</v>
      </c>
      <c r="G54" s="2" t="s">
        <v>694</v>
      </c>
      <c r="H54" s="2"/>
      <c r="I54" s="2" t="s">
        <v>115</v>
      </c>
      <c r="J54" s="2"/>
      <c r="K54" s="2"/>
      <c r="L54" s="2"/>
    </row>
    <row r="55" spans="1:12" x14ac:dyDescent="0.25">
      <c r="A55" s="68">
        <v>46139</v>
      </c>
      <c r="B55" s="2">
        <v>1</v>
      </c>
      <c r="C55" s="2" t="s">
        <v>1220</v>
      </c>
      <c r="D55" s="2" t="s">
        <v>101</v>
      </c>
      <c r="E55" s="3">
        <v>4500</v>
      </c>
      <c r="F55" s="3">
        <f t="shared" si="1"/>
        <v>4500</v>
      </c>
      <c r="G55" s="2" t="s">
        <v>694</v>
      </c>
      <c r="H55" s="2"/>
      <c r="I55" s="2" t="s">
        <v>115</v>
      </c>
      <c r="J55" s="2"/>
      <c r="K55" s="2"/>
      <c r="L55" s="2"/>
    </row>
    <row r="56" spans="1:12" x14ac:dyDescent="0.25">
      <c r="A56" s="68">
        <v>46139</v>
      </c>
      <c r="B56" s="2">
        <v>3</v>
      </c>
      <c r="C56" s="2" t="s">
        <v>1217</v>
      </c>
      <c r="D56" s="2" t="s">
        <v>688</v>
      </c>
      <c r="E56" s="3">
        <v>2199</v>
      </c>
      <c r="F56" s="3">
        <f t="shared" si="1"/>
        <v>6597</v>
      </c>
      <c r="G56" s="2" t="s">
        <v>8</v>
      </c>
      <c r="H56" s="2"/>
      <c r="I56" s="2" t="s">
        <v>115</v>
      </c>
      <c r="J56" s="2"/>
      <c r="K56" s="2"/>
      <c r="L56" s="2"/>
    </row>
    <row r="57" spans="1:12" x14ac:dyDescent="0.25">
      <c r="A57" s="68">
        <v>46139</v>
      </c>
      <c r="B57" s="2">
        <v>3</v>
      </c>
      <c r="C57" s="2" t="s">
        <v>1217</v>
      </c>
      <c r="D57" s="2" t="s">
        <v>688</v>
      </c>
      <c r="E57" s="3">
        <v>2199</v>
      </c>
      <c r="F57" s="3">
        <f t="shared" si="1"/>
        <v>6597</v>
      </c>
      <c r="G57" s="2" t="s">
        <v>8</v>
      </c>
      <c r="H57" s="2"/>
      <c r="I57" s="2" t="s">
        <v>115</v>
      </c>
      <c r="J57" s="2"/>
      <c r="K57" s="2"/>
      <c r="L57" s="2"/>
    </row>
    <row r="58" spans="1:12" x14ac:dyDescent="0.25">
      <c r="A58" s="68">
        <v>46139</v>
      </c>
      <c r="B58" s="2">
        <v>3</v>
      </c>
      <c r="C58" s="2" t="s">
        <v>664</v>
      </c>
      <c r="D58" s="2" t="s">
        <v>364</v>
      </c>
      <c r="E58" s="3">
        <v>399</v>
      </c>
      <c r="F58" s="3">
        <f t="shared" si="1"/>
        <v>1197</v>
      </c>
      <c r="G58" s="2" t="s">
        <v>8</v>
      </c>
      <c r="H58" s="2"/>
      <c r="I58" s="2"/>
      <c r="J58" s="2"/>
      <c r="K58" s="2"/>
      <c r="L58" s="2"/>
    </row>
    <row r="59" spans="1:12" x14ac:dyDescent="0.25">
      <c r="A59" s="121">
        <v>46139</v>
      </c>
      <c r="B59" s="122">
        <v>1</v>
      </c>
      <c r="C59" s="122" t="s">
        <v>378</v>
      </c>
      <c r="D59" s="122" t="s">
        <v>364</v>
      </c>
      <c r="E59" s="125">
        <v>695</v>
      </c>
      <c r="F59" s="125">
        <f t="shared" si="1"/>
        <v>695</v>
      </c>
      <c r="G59" s="122" t="s">
        <v>24</v>
      </c>
      <c r="H59" s="122"/>
      <c r="I59" s="122"/>
      <c r="J59" s="122"/>
      <c r="K59" s="122"/>
      <c r="L59" s="122"/>
    </row>
    <row r="60" spans="1:12" x14ac:dyDescent="0.25">
      <c r="A60" s="121">
        <v>46139</v>
      </c>
      <c r="B60" s="122">
        <v>1</v>
      </c>
      <c r="C60" s="122" t="s">
        <v>405</v>
      </c>
      <c r="D60" s="122" t="s">
        <v>364</v>
      </c>
      <c r="E60" s="125">
        <v>1298</v>
      </c>
      <c r="F60" s="125">
        <f t="shared" si="1"/>
        <v>1298</v>
      </c>
      <c r="G60" s="122" t="s">
        <v>24</v>
      </c>
      <c r="H60" s="122"/>
      <c r="I60" s="122"/>
      <c r="J60" s="122"/>
      <c r="K60" s="122"/>
      <c r="L60" s="122"/>
    </row>
    <row r="61" spans="1:12" x14ac:dyDescent="0.25">
      <c r="A61" s="68">
        <v>46139</v>
      </c>
      <c r="B61" s="2">
        <v>1</v>
      </c>
      <c r="C61" s="2" t="s">
        <v>664</v>
      </c>
      <c r="D61" s="2" t="s">
        <v>1221</v>
      </c>
      <c r="E61" s="3">
        <v>399</v>
      </c>
      <c r="F61" s="3">
        <f t="shared" si="1"/>
        <v>399</v>
      </c>
      <c r="G61" s="2" t="s">
        <v>8</v>
      </c>
      <c r="H61" s="2"/>
      <c r="I61" s="2"/>
      <c r="J61" s="2"/>
      <c r="K61" s="2"/>
      <c r="L61" s="2"/>
    </row>
    <row r="62" spans="1:12" x14ac:dyDescent="0.25">
      <c r="A62" s="112">
        <v>46141</v>
      </c>
      <c r="B62" s="113">
        <v>1</v>
      </c>
      <c r="C62" s="113" t="s">
        <v>542</v>
      </c>
      <c r="D62" s="113" t="s">
        <v>1224</v>
      </c>
      <c r="E62" s="113">
        <v>9079.32</v>
      </c>
      <c r="F62" s="115">
        <f t="shared" si="1"/>
        <v>9079.32</v>
      </c>
      <c r="G62" s="113" t="s">
        <v>622</v>
      </c>
      <c r="H62" s="113"/>
      <c r="I62" s="113" t="s">
        <v>85</v>
      </c>
      <c r="J62" s="113"/>
      <c r="K62" s="113"/>
      <c r="L62" s="113"/>
    </row>
    <row r="63" spans="1:12" x14ac:dyDescent="0.25">
      <c r="A63" s="121">
        <v>46142</v>
      </c>
      <c r="B63" s="122">
        <v>2</v>
      </c>
      <c r="C63" s="122" t="s">
        <v>1172</v>
      </c>
      <c r="D63" s="122" t="s">
        <v>1209</v>
      </c>
      <c r="E63" s="125">
        <v>1199</v>
      </c>
      <c r="F63" s="125">
        <f t="shared" si="1"/>
        <v>2398</v>
      </c>
      <c r="G63" s="122" t="s">
        <v>62</v>
      </c>
      <c r="H63" s="122"/>
      <c r="I63" s="136">
        <v>1432029973</v>
      </c>
      <c r="J63" s="122"/>
      <c r="K63" s="122"/>
      <c r="L63" s="122"/>
    </row>
    <row r="64" spans="1:12" x14ac:dyDescent="0.25">
      <c r="A64" s="121">
        <v>46142</v>
      </c>
      <c r="B64" s="122">
        <v>2</v>
      </c>
      <c r="C64" s="122" t="s">
        <v>1172</v>
      </c>
      <c r="D64" s="122" t="s">
        <v>1209</v>
      </c>
      <c r="E64" s="125">
        <v>1199</v>
      </c>
      <c r="F64" s="125">
        <f t="shared" si="1"/>
        <v>2398</v>
      </c>
      <c r="G64" s="122" t="s">
        <v>62</v>
      </c>
      <c r="H64" s="122"/>
      <c r="I64" s="136">
        <v>1432029553</v>
      </c>
      <c r="J64" s="122"/>
      <c r="K64" s="122"/>
      <c r="L64" s="122"/>
    </row>
    <row r="65" spans="1:12" x14ac:dyDescent="0.25">
      <c r="A65" s="121">
        <v>46142</v>
      </c>
      <c r="B65" s="122">
        <v>2</v>
      </c>
      <c r="C65" s="122" t="s">
        <v>1172</v>
      </c>
      <c r="D65" s="122" t="s">
        <v>1209</v>
      </c>
      <c r="E65" s="125">
        <v>1199</v>
      </c>
      <c r="F65" s="125">
        <f t="shared" si="1"/>
        <v>2398</v>
      </c>
      <c r="G65" s="122" t="s">
        <v>62</v>
      </c>
      <c r="H65" s="122"/>
      <c r="I65" s="136">
        <v>1429956894</v>
      </c>
      <c r="J65" s="122"/>
      <c r="K65" s="122"/>
      <c r="L65" s="122"/>
    </row>
    <row r="66" spans="1:12" x14ac:dyDescent="0.25">
      <c r="A66" s="121">
        <v>46142</v>
      </c>
      <c r="B66" s="122">
        <v>2</v>
      </c>
      <c r="C66" s="122" t="s">
        <v>1225</v>
      </c>
      <c r="D66" s="122" t="s">
        <v>1226</v>
      </c>
      <c r="E66" s="125">
        <v>999</v>
      </c>
      <c r="F66" s="125">
        <f t="shared" si="1"/>
        <v>1998</v>
      </c>
      <c r="G66" s="122" t="s">
        <v>62</v>
      </c>
      <c r="H66" s="122"/>
      <c r="I66" s="136">
        <v>1429956894</v>
      </c>
      <c r="J66" s="122"/>
      <c r="K66" s="122"/>
      <c r="L66" s="12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autoFilter ref="A1:K66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19B-B45B-4953-A262-E8A1302D2B32}">
  <dimension ref="A1:K24"/>
  <sheetViews>
    <sheetView tabSelected="1" workbookViewId="0">
      <selection activeCell="D26" sqref="D26"/>
    </sheetView>
  </sheetViews>
  <sheetFormatPr defaultRowHeight="15" x14ac:dyDescent="0.25"/>
  <cols>
    <col min="1" max="1" width="11.5703125" customWidth="1"/>
    <col min="2" max="2" width="4" bestFit="1" customWidth="1"/>
    <col min="3" max="3" width="26.42578125" customWidth="1"/>
    <col min="4" max="4" width="20" customWidth="1"/>
    <col min="5" max="5" width="9" bestFit="1" customWidth="1"/>
    <col min="6" max="6" width="10" bestFit="1" customWidth="1"/>
    <col min="7" max="7" width="19.85546875" customWidth="1"/>
    <col min="8" max="8" width="7.85546875" bestFit="1" customWidth="1"/>
    <col min="9" max="9" width="10.140625" bestFit="1" customWidth="1"/>
    <col min="10" max="10" width="8.28515625" bestFit="1" customWidth="1"/>
    <col min="11" max="11" width="13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" t="s">
        <v>1189</v>
      </c>
    </row>
    <row r="2" spans="1:11" x14ac:dyDescent="0.25">
      <c r="A2" s="121">
        <v>46143</v>
      </c>
      <c r="B2" s="122">
        <v>2</v>
      </c>
      <c r="C2" s="122" t="s">
        <v>1172</v>
      </c>
      <c r="D2" s="122" t="s">
        <v>1209</v>
      </c>
      <c r="E2" s="125">
        <v>1199</v>
      </c>
      <c r="F2" s="125">
        <f t="shared" ref="F2:F10" si="0">E2*B2</f>
        <v>2398</v>
      </c>
      <c r="G2" s="122" t="s">
        <v>62</v>
      </c>
      <c r="H2" s="122"/>
      <c r="I2" s="137">
        <v>1432044182</v>
      </c>
      <c r="J2" s="122"/>
      <c r="K2" s="122"/>
    </row>
    <row r="3" spans="1:11" x14ac:dyDescent="0.25">
      <c r="A3" s="121">
        <v>46143</v>
      </c>
      <c r="B3" s="122">
        <v>2</v>
      </c>
      <c r="C3" s="122" t="s">
        <v>1172</v>
      </c>
      <c r="D3" s="122" t="s">
        <v>1209</v>
      </c>
      <c r="E3" s="125">
        <v>1199</v>
      </c>
      <c r="F3" s="125">
        <f t="shared" si="0"/>
        <v>2398</v>
      </c>
      <c r="G3" s="122" t="s">
        <v>62</v>
      </c>
      <c r="H3" s="122"/>
      <c r="I3" s="137">
        <v>1432352506</v>
      </c>
      <c r="J3" s="122"/>
      <c r="K3" s="122"/>
    </row>
    <row r="4" spans="1:11" x14ac:dyDescent="0.25">
      <c r="A4" s="121">
        <v>46143</v>
      </c>
      <c r="B4" s="122">
        <v>2</v>
      </c>
      <c r="C4" s="122" t="s">
        <v>1172</v>
      </c>
      <c r="D4" s="122" t="s">
        <v>1209</v>
      </c>
      <c r="E4" s="125">
        <v>1199</v>
      </c>
      <c r="F4" s="125">
        <f t="shared" si="0"/>
        <v>2398</v>
      </c>
      <c r="G4" s="122" t="s">
        <v>62</v>
      </c>
      <c r="H4" s="122"/>
      <c r="I4" s="137" t="s">
        <v>1228</v>
      </c>
      <c r="J4" s="122"/>
      <c r="K4" s="122"/>
    </row>
    <row r="5" spans="1:11" x14ac:dyDescent="0.25">
      <c r="A5" s="121">
        <v>46143</v>
      </c>
      <c r="B5" s="122">
        <v>2</v>
      </c>
      <c r="C5" s="122" t="s">
        <v>1172</v>
      </c>
      <c r="D5" s="122" t="s">
        <v>1209</v>
      </c>
      <c r="E5" s="125">
        <v>1199</v>
      </c>
      <c r="F5" s="125">
        <f t="shared" si="0"/>
        <v>2398</v>
      </c>
      <c r="G5" s="122" t="s">
        <v>62</v>
      </c>
      <c r="H5" s="122"/>
      <c r="I5" s="138">
        <v>1432379120</v>
      </c>
      <c r="J5" s="122"/>
      <c r="K5" s="122"/>
    </row>
    <row r="6" spans="1:11" x14ac:dyDescent="0.25">
      <c r="A6" s="112">
        <v>46144</v>
      </c>
      <c r="B6" s="113">
        <v>5</v>
      </c>
      <c r="C6" s="113" t="s">
        <v>1229</v>
      </c>
      <c r="D6" s="113" t="s">
        <v>101</v>
      </c>
      <c r="E6" s="115">
        <v>1999</v>
      </c>
      <c r="F6" s="115">
        <f t="shared" si="0"/>
        <v>9995</v>
      </c>
      <c r="G6" s="113" t="s">
        <v>8</v>
      </c>
      <c r="H6" s="113"/>
      <c r="I6" s="139"/>
      <c r="J6" s="113"/>
      <c r="K6" s="113"/>
    </row>
    <row r="7" spans="1:11" x14ac:dyDescent="0.25">
      <c r="A7" s="112">
        <v>46144</v>
      </c>
      <c r="B7" s="113">
        <v>7</v>
      </c>
      <c r="C7" s="113" t="s">
        <v>1229</v>
      </c>
      <c r="D7" s="113" t="s">
        <v>688</v>
      </c>
      <c r="E7" s="115">
        <v>1982</v>
      </c>
      <c r="F7" s="115">
        <f t="shared" si="0"/>
        <v>13874</v>
      </c>
      <c r="G7" s="113" t="s">
        <v>8</v>
      </c>
      <c r="H7" s="113"/>
      <c r="I7" s="139"/>
      <c r="J7" s="113"/>
      <c r="K7" s="113"/>
    </row>
    <row r="8" spans="1:11" x14ac:dyDescent="0.25">
      <c r="A8" s="112">
        <v>46145</v>
      </c>
      <c r="B8" s="113">
        <v>4</v>
      </c>
      <c r="C8" s="113" t="s">
        <v>1229</v>
      </c>
      <c r="D8" s="113" t="s">
        <v>318</v>
      </c>
      <c r="E8" s="115">
        <v>1999</v>
      </c>
      <c r="F8" s="115">
        <f t="shared" si="0"/>
        <v>7996</v>
      </c>
      <c r="G8" s="113" t="s">
        <v>8</v>
      </c>
      <c r="H8" s="113"/>
      <c r="I8" s="139"/>
      <c r="J8" s="113"/>
      <c r="K8" s="113"/>
    </row>
    <row r="9" spans="1:11" x14ac:dyDescent="0.25">
      <c r="A9" s="112">
        <v>46145</v>
      </c>
      <c r="B9" s="113">
        <v>10</v>
      </c>
      <c r="C9" s="113" t="s">
        <v>1229</v>
      </c>
      <c r="D9" s="113" t="s">
        <v>364</v>
      </c>
      <c r="E9" s="115">
        <v>1999</v>
      </c>
      <c r="F9" s="115">
        <f t="shared" si="0"/>
        <v>19990</v>
      </c>
      <c r="G9" s="113" t="s">
        <v>8</v>
      </c>
      <c r="H9" s="113"/>
      <c r="I9" s="139"/>
      <c r="J9" s="113"/>
      <c r="K9" s="113"/>
    </row>
    <row r="10" spans="1:11" x14ac:dyDescent="0.25">
      <c r="A10" s="112">
        <v>46145</v>
      </c>
      <c r="B10" s="113">
        <v>8</v>
      </c>
      <c r="C10" s="113" t="s">
        <v>1229</v>
      </c>
      <c r="D10" s="113" t="s">
        <v>491</v>
      </c>
      <c r="E10" s="115">
        <v>1950</v>
      </c>
      <c r="F10" s="115">
        <f t="shared" si="0"/>
        <v>15600</v>
      </c>
      <c r="G10" s="113" t="s">
        <v>8</v>
      </c>
      <c r="H10" s="113"/>
      <c r="I10" s="139"/>
      <c r="J10" s="113"/>
      <c r="K10" s="113"/>
    </row>
    <row r="11" spans="1:11" x14ac:dyDescent="0.25">
      <c r="A11" s="121">
        <v>46146</v>
      </c>
      <c r="B11" s="122">
        <v>2</v>
      </c>
      <c r="C11" s="122" t="s">
        <v>1172</v>
      </c>
      <c r="D11" s="122" t="s">
        <v>1209</v>
      </c>
      <c r="E11" s="125">
        <v>1199</v>
      </c>
      <c r="F11" s="125">
        <f t="shared" ref="F11:F15" si="1">E11*B11</f>
        <v>2398</v>
      </c>
      <c r="G11" s="122" t="s">
        <v>62</v>
      </c>
      <c r="H11" s="122"/>
      <c r="I11" s="138">
        <v>1432379220</v>
      </c>
      <c r="J11" s="122"/>
      <c r="K11" s="122"/>
    </row>
    <row r="12" spans="1:11" x14ac:dyDescent="0.25">
      <c r="A12" s="121">
        <v>46146</v>
      </c>
      <c r="B12" s="122">
        <v>2</v>
      </c>
      <c r="C12" s="122" t="s">
        <v>1172</v>
      </c>
      <c r="D12" s="122" t="s">
        <v>1209</v>
      </c>
      <c r="E12" s="125">
        <v>1199</v>
      </c>
      <c r="F12" s="125">
        <f t="shared" si="1"/>
        <v>2398</v>
      </c>
      <c r="G12" s="122" t="s">
        <v>62</v>
      </c>
      <c r="H12" s="122"/>
      <c r="I12" s="138" t="s">
        <v>1230</v>
      </c>
      <c r="J12" s="122"/>
      <c r="K12" s="122"/>
    </row>
    <row r="13" spans="1:11" x14ac:dyDescent="0.25">
      <c r="A13" s="121">
        <v>46146</v>
      </c>
      <c r="B13" s="122">
        <v>2</v>
      </c>
      <c r="C13" s="122" t="s">
        <v>1172</v>
      </c>
      <c r="D13" s="122" t="s">
        <v>1209</v>
      </c>
      <c r="E13" s="125">
        <v>1199</v>
      </c>
      <c r="F13" s="125">
        <f t="shared" si="1"/>
        <v>2398</v>
      </c>
      <c r="G13" s="122" t="s">
        <v>62</v>
      </c>
      <c r="H13" s="122"/>
      <c r="I13" s="138" t="s">
        <v>1231</v>
      </c>
      <c r="J13" s="122"/>
      <c r="K13" s="122"/>
    </row>
    <row r="14" spans="1:11" x14ac:dyDescent="0.25">
      <c r="A14" s="121">
        <v>46146</v>
      </c>
      <c r="B14" s="122">
        <v>2</v>
      </c>
      <c r="C14" s="122" t="s">
        <v>1172</v>
      </c>
      <c r="D14" s="122" t="s">
        <v>1209</v>
      </c>
      <c r="E14" s="125">
        <v>1199</v>
      </c>
      <c r="F14" s="125">
        <f t="shared" si="1"/>
        <v>2398</v>
      </c>
      <c r="G14" s="122" t="s">
        <v>62</v>
      </c>
      <c r="H14" s="122"/>
      <c r="I14" s="138">
        <v>1433864271</v>
      </c>
      <c r="J14" s="122"/>
      <c r="K14" s="122"/>
    </row>
    <row r="15" spans="1:11" x14ac:dyDescent="0.25">
      <c r="A15" s="121">
        <v>46146</v>
      </c>
      <c r="B15" s="122">
        <v>2</v>
      </c>
      <c r="C15" s="122" t="s">
        <v>1172</v>
      </c>
      <c r="D15" s="122" t="s">
        <v>1209</v>
      </c>
      <c r="E15" s="125">
        <v>1199</v>
      </c>
      <c r="F15" s="125">
        <f t="shared" si="1"/>
        <v>2398</v>
      </c>
      <c r="G15" s="122" t="s">
        <v>62</v>
      </c>
      <c r="H15" s="122"/>
      <c r="I15" s="137">
        <v>1433864456</v>
      </c>
      <c r="J15" s="122"/>
      <c r="K15" s="12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64" workbookViewId="0">
      <selection activeCell="M51" sqref="M51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35.7109375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47" t="s">
        <v>1025</v>
      </c>
      <c r="B54" s="147"/>
      <c r="C54" s="147"/>
      <c r="D54" s="147"/>
      <c r="E54" s="147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2" max="2" width="4" bestFit="1" customWidth="1"/>
    <col min="3" max="3" width="21.42578125" customWidth="1"/>
    <col min="4" max="4" width="17.85546875" customWidth="1"/>
    <col min="5" max="5" width="7.42578125" customWidth="1"/>
    <col min="6" max="6" width="8.42578125" customWidth="1"/>
    <col min="7" max="7" width="19.85546875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12">
        <v>46055</v>
      </c>
      <c r="B2" s="113">
        <v>1</v>
      </c>
      <c r="C2" s="113" t="s">
        <v>1157</v>
      </c>
      <c r="D2" s="113" t="s">
        <v>464</v>
      </c>
      <c r="E2" s="113">
        <v>500</v>
      </c>
      <c r="F2" s="113">
        <f t="shared" ref="F2:F5" si="0">B2*E2</f>
        <v>500</v>
      </c>
      <c r="G2" s="113"/>
      <c r="H2" s="113"/>
      <c r="I2" s="113"/>
      <c r="J2" s="113"/>
    </row>
    <row r="3" spans="1:10" x14ac:dyDescent="0.25">
      <c r="A3" s="112">
        <v>46055</v>
      </c>
      <c r="B3" s="113">
        <v>33</v>
      </c>
      <c r="C3" s="113" t="s">
        <v>666</v>
      </c>
      <c r="D3" s="113" t="s">
        <v>464</v>
      </c>
      <c r="E3" s="113">
        <v>10</v>
      </c>
      <c r="F3" s="113">
        <f t="shared" si="0"/>
        <v>330</v>
      </c>
      <c r="G3" s="113"/>
      <c r="H3" s="113" t="s">
        <v>85</v>
      </c>
      <c r="I3" s="113"/>
      <c r="J3" s="113"/>
    </row>
    <row r="4" spans="1:10" x14ac:dyDescent="0.25">
      <c r="A4" s="112">
        <v>46055</v>
      </c>
      <c r="B4" s="113">
        <v>4</v>
      </c>
      <c r="C4" s="113" t="s">
        <v>1156</v>
      </c>
      <c r="D4" s="113" t="s">
        <v>464</v>
      </c>
      <c r="E4" s="113">
        <v>20</v>
      </c>
      <c r="F4" s="113">
        <f t="shared" si="0"/>
        <v>80</v>
      </c>
      <c r="G4" s="113"/>
      <c r="H4" s="113" t="s">
        <v>85</v>
      </c>
      <c r="I4" s="113"/>
      <c r="J4" s="113"/>
    </row>
    <row r="5" spans="1:10" x14ac:dyDescent="0.25">
      <c r="A5" s="112">
        <v>46055</v>
      </c>
      <c r="B5" s="113">
        <v>2</v>
      </c>
      <c r="C5" s="113" t="s">
        <v>296</v>
      </c>
      <c r="D5" s="113" t="s">
        <v>464</v>
      </c>
      <c r="E5" s="113">
        <v>90</v>
      </c>
      <c r="F5" s="113">
        <f t="shared" si="0"/>
        <v>180</v>
      </c>
      <c r="G5" s="113"/>
      <c r="H5" s="113" t="s">
        <v>85</v>
      </c>
      <c r="I5" s="113"/>
      <c r="J5" s="113"/>
    </row>
    <row r="6" spans="1:10" x14ac:dyDescent="0.25">
      <c r="A6" s="121">
        <v>46071</v>
      </c>
      <c r="B6" s="122">
        <v>3</v>
      </c>
      <c r="C6" s="122" t="s">
        <v>1153</v>
      </c>
      <c r="D6" s="122" t="s">
        <v>291</v>
      </c>
      <c r="E6" s="122">
        <v>1449</v>
      </c>
      <c r="F6" s="122">
        <f>E6*B6</f>
        <v>4347</v>
      </c>
      <c r="G6" s="122" t="s">
        <v>62</v>
      </c>
      <c r="H6" s="122"/>
      <c r="I6" s="122" t="s">
        <v>463</v>
      </c>
      <c r="J6" s="12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MAY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2026-05-18T11:09:21Z</dcterms:modified>
</cp:coreProperties>
</file>