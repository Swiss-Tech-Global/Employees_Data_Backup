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Waheed Bhai Sheets\"/>
    </mc:Choice>
  </mc:AlternateContent>
  <xr:revisionPtr revIDLastSave="0" documentId="13_ncr:1_{412B04F6-7460-42D2-9334-D2FF0DE313A1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Adil " sheetId="35" state="hidden" r:id="rId25"/>
    <sheet name="Waleed " sheetId="33" state="hidden" r:id="rId26"/>
    <sheet name="Sheet5" sheetId="32" state="hidden" r:id="rId27"/>
    <sheet name="NZ OCT" sheetId="25" state="hidden" r:id="rId28"/>
    <sheet name="NZ NOV" sheetId="26" r:id="rId29"/>
    <sheet name="NZ DEC" sheetId="36" r:id="rId30"/>
    <sheet name="Sheet3" sheetId="31" state="hidden" r:id="rId31"/>
    <sheet name="Sheet2" sheetId="30" state="hidden" r:id="rId32"/>
    <sheet name="NZ visit expense" sheetId="17" state="hidden" r:id="rId33"/>
    <sheet name="Abdul Rafey" sheetId="5" state="hidden" r:id="rId34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10" r:id="rId35"/>
    <pivotCache cacheId="11" r:id="rId36"/>
    <pivotCache cacheId="12" r:id="rId37"/>
    <pivotCache cacheId="13" r:id="rId38"/>
    <pivotCache cacheId="14" r:id="rId39"/>
    <pivotCache cacheId="15" r:id="rId40"/>
    <pivotCache cacheId="16" r:id="rId41"/>
    <pivotCache cacheId="17" r:id="rId42"/>
    <pivotCache cacheId="18" r:id="rId43"/>
    <pivotCache cacheId="19" r:id="rId4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" i="34" l="1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6" i="36"/>
  <c r="F7" i="36"/>
  <c r="F8" i="36"/>
  <c r="F5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<sst xmlns="http://schemas.openxmlformats.org/spreadsheetml/2006/main" count="2990" uniqueCount="818">
  <si>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</si>
  <si>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</si>
  <si>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</si>
  <si>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</si>
  <si>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</si>
  <si>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</si>
  <si>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</si>
  <si>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</si>
  <si>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</si>
  <si>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</si>
  <si>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</si>
  <si>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</si>
  <si>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</si>
  <si>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</si>
  <si>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</si>
  <si>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</si>
  <si>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</si>
  <si>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</si>
  <si>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</si>
  <si>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</si>
  <si>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</si>
  <si>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</si>
  <si>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</si>
  <si>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</si>
  <si>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</si>
  <si>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</si>
  <si>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</si>
  <si>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</si>
  <si>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</si>
  <si>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</si>
  <si>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</si>
  <si>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</si>
  <si>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</si>
  <si>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</si>
  <si>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</si>
  <si>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</si>
  <si>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</si>
  <si>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</si>
  <si>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</si>
  <si>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</si>
  <si>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</si>
  <si>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</si>
  <si>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</si>
  <si>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</si>
  <si>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</si>
  <si>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</si>
  <si>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</si>
  <si>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</si>
  <si>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</si>
  <si>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</si>
  <si>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</si>
  <si>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</si>
  <si>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</si>
  <si>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</si>
  <si>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</si>
  <si>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</si>
  <si>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</si>
  <si>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</si>
  <si>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</si>
  <si>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</si>
  <si>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</si>
  <si>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</si>
  <si>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</si>
  <si>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</si>
  <si>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</si>
  <si>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</si>
  <si>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</si>
  <si>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</si>
  <si>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</si>
  <si>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</si>
  <si>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</si>
  <si>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</si>
  <si>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</si>
  <si>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</si>
  <si>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</si>
  <si>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</si>
  <si>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</si>
  <si>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</si>
  <si>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</si>
  <si>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</si>
  <si>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</si>
  <si>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</si>
  <si>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</si>
  <si>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</si>
  <si>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</si>
  <si>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</si>
  <si>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</si>
  <si>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</si>
  <si>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</si>
  <si>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</si>
  <si>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</si>
  <si>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</si>
  <si>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</si>
  <si>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</si>
  <si>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</si>
  <si>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</si>
  <si>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</si>
  <si>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</si>
  <si>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</si>
  <si>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</si>
  <si>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</si>
  <si>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</si>
  <si>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</si>
  <si>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</si>
  <si>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</si>
  <si>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</si>
  <si>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</si>
  <si>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</si>
  <si>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</si>
  <si>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</si>
  <si>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</si>
  <si>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</si>
  <si>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</si>
  <si>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</si>
  <si>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</si>
  <si>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</si>
  <si>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</si>
  <si>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</si>
  <si>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</si>
  <si>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</si>
  <si>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</si>
  <si>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</si>
  <si>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</si>
  <si>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</si>
  <si>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</si>
  <si>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</si>
  <si>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</si>
  <si>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</si>
  <si>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</si>
  <si>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</si>
  <si>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</si>
  <si>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</si>
  <si>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</si>
  <si>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</si>
  <si>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</si>
  <si>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</si>
  <si>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</si>
  <si>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</si>
  <si>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</si>
  <si>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</si>
  <si>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</si>
  <si>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</si>
  <si>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</si>
  <si>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</si>
  <si>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</si>
  <si>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</si>
  <si>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</si>
  <si>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</si>
  <si>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</si>
  <si>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</si>
  <si>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</si>
  <si>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</si>
  <si>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</si>
  <si>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</si>
  <si>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</si>
  <si>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</si>
  <si>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</si>
  <si>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</si>
  <si>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</si>
  <si>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</si>
  <si>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</si>
  <si>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</si>
  <si>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</si>
  <si>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</si>
  <si>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</si>
  <si>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</si>
  <si>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</si>
  <si>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</si>
  <si>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</si>
  <si>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</si>
  <si>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</si>
  <si>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</si>
  <si>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</si>
  <si>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</si>
  <si>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</si>
  <si>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</si>
  <si>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</si>
  <si>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</si>
  <si>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</si>
  <si>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</si>
  <si>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</si>
  <si>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</si>
  <si>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</si>
  <si>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</si>
  <si>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</si>
  <si>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</si>
  <si>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</si>
  <si>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</si>
  <si>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</si>
  <si>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</si>
  <si>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</si>
  <si>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</si>
  <si>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</si>
  <si>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</si>
  <si>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</si>
  <si>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</si>
  <si>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</si>
  <si>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</si>
  <si>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</si>
  <si>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</si>
  <si>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</si>
  <si>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</si>
  <si>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</si>
  <si>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</si>
  <si>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</si>
  <si>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</si>
  <si>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</si>
  <si>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</si>
  <si>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</si>
  <si>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</si>
  <si>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</si>
  <si>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</si>
  <si>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</si>
  <si>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</si>
  <si>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</si>
  <si>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</si>
  <si>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</si>
  <si>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</si>
  <si>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</si>
  <si>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</si>
  <si>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</si>
  <si>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</si>
  <si>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</si>
  <si>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</si>
  <si>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</si>
  <si>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</si>
  <si>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</si>
  <si>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</si>
  <si>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</si>
  <si>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</si>
  <si>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</si>
  <si>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</si>
  <si>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</si>
  <si>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</si>
  <si>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</si>
  <si>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</si>
  <si>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</si>
  <si>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</si>
  <si>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</si>
  <si>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</si>
  <si>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</si>
  <si>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</si>
  <si>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</si>
  <si>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</si>
  <si>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</si>
  <si>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</si>
  <si>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</si>
  <si>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</si>
  <si>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</si>
  <si>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</si>
  <si>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</si>
  <si>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</si>
  <si>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</si>
  <si>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</si>
  <si>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</si>
  <si>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</si>
  <si>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</si>
  <si>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</si>
  <si>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</si>
  <si>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</si>
  <si>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</si>
  <si>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</si>
  <si>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</si>
  <si>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</si>
  <si>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</si>
  <si>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</si>
  <si>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</si>
  <si>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</si>
  <si>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</si>
  <si>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</si>
  <si>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</si>
  <si>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</si>
  <si>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</si>
  <si>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</si>
  <si>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</si>
  <si>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</si>
  <si>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</si>
  <si>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</si>
  <si>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</si>
  <si>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</si>
  <si>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</si>
  <si>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</si>
  <si>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</si>
  <si>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</si>
  <si>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</si>
  <si>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</si>
  <si>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</si>
  <si>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</si>
  <si>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</si>
  <si>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</si>
  <si>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</si>
  <si>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</si>
  <si>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</si>
  <si>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</si>
  <si>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</si>
  <si>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</si>
  <si>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</si>
  <si>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</si>
  <si>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</si>
  <si>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</si>
  <si>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</si>
  <si>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</si>
  <si>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</si>
  <si>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</si>
  <si>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</si>
  <si>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</si>
  <si>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</si>
  <si>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</si>
  <si>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</si>
  <si>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</si>
  <si>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</si>
  <si>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</si>
  <si>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</si>
  <si>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</si>
  <si>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</si>
  <si>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</si>
  <si>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</si>
  <si>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</si>
  <si>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</si>
  <si>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</si>
  <si>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</si>
  <si>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</si>
  <si>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</si>
  <si>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</si>
  <si>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</si>
  <si>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</si>
  <si>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</si>
  <si>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</si>
  <si>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</si>
  <si>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</si>
  <si>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</si>
  <si>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</si>
  <si>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</si>
  <si>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</si>
  <si>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</si>
  <si>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</si>
  <si>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</si>
  <si>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</si>
  <si>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</si>
  <si>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</si>
  <si>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</si>
  <si>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</si>
  <si>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</si>
  <si>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</si>
  <si>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</si>
  <si>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</si>
  <si>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</si>
  <si>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</si>
  <si>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</si>
  <si>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</si>
  <si>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</si>
  <si>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</si>
  <si>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</si>
  <si>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</si>
  <si>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</si>
  <si>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</si>
  <si>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</si>
  <si>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</si>
  <si>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</si>
  <si>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</si>
  <si>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</si>
  <si>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</si>
  <si>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</si>
  <si>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</si>
  <si>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</si>
  <si>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</si>
  <si>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</si>
  <si>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</si>
  <si>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</si>
  <si>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</si>
  <si>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</si>
  <si>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</si>
  <si>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</si>
  <si>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</si>
  <si>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</si>
  <si>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</si>
  <si>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</si>
  <si>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</si>
  <si>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</si>
  <si>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</si>
  <si>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</si>
  <si>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</si>
  <si>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</si>
  <si>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</si>
  <si>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</si>
  <si>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</si>
  <si>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</si>
  <si>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</si>
  <si>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</si>
  <si>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</si>
  <si>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</si>
  <si>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</si>
  <si>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</si>
  <si>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</si>
  <si>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</si>
  <si>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</si>
  <si>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</si>
  <si>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</si>
  <si>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</si>
  <si>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</si>
  <si>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</si>
  <si>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</si>
  <si>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</si>
  <si>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</si>
  <si>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</si>
  <si>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</si>
  <si>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</si>
  <si>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</si>
  <si>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</si>
  <si>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</si>
  <si>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</si>
  <si>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</si>
  <si>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</si>
  <si>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</si>
  <si>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</si>
  <si>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</si>
  <si>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</si>
  <si>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</si>
  <si>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</si>
  <si>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</si>
  <si>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</si>
  <si>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</si>
  <si>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</si>
  <si>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</si>
  <si>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</si>
  <si>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</si>
  <si>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</si>
  <si>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</si>
  <si>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</si>
  <si>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</si>
  <si>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</si>
  <si>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</si>
  <si>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</si>
  <si>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</si>
  <si>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</si>
  <si>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</si>
  <si>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</si>
  <si>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</si>
  <si>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</si>
  <si>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</si>
  <si>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</si>
  <si>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</si>
  <si>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</si>
  <si>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</si>
  <si>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</si>
  <si>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</si>
  <si>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</si>
  <si>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</si>
  <si>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</si>
  <si>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</si>
  <si>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</si>
  <si>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</si>
  <si>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</si>
  <si>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</si>
  <si>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</si>
  <si>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</si>
  <si>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</si>
  <si>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</si>
  <si>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</si>
  <si>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</si>
  <si>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</si>
  <si>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</si>
  <si>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</si>
  <si>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</si>
  <si>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</si>
  <si>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</si>
  <si>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</si>
  <si>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</si>
  <si>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</si>
  <si>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</si>
  <si>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</si>
  <si>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</si>
  <si>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</si>
  <si>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</si>
  <si>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</si>
  <si>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</si>
  <si>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</si>
  <si>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</si>
  <si>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</si>
  <si>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</si>
  <si>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</si>
  <si>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</si>
  <si>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</si>
  <si>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</si>
  <si>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</si>
  <si>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</si>
  <si>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</si>
  <si>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</si>
  <si>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</si>
  <si>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</si>
  <si>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</si>
  <si>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</si>
  <si>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</si>
  <si>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</si>
  <si>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</si>
  <si>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</si>
  <si>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</si>
  <si>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</si>
  <si>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</si>
  <si>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</si>
  <si>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</si>
  <si>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</si>
  <si>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</si>
  <si>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</si>
  <si>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</si>
  <si>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</si>
  <si>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</si>
  <si>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</si>
  <si>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</si>
  <si>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</si>
  <si>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</si>
  <si>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</si>
  <si>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</si>
  <si>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</si>
  <si>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</si>
  <si>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</si>
  <si>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</si>
  <si>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</si>
  <si>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</si>
  <si>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</si>
  <si>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</si>
  <si>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</si>
  <si>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</si>
  <si>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</si>
  <si>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</si>
  <si>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</si>
  <si>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</si>
  <si>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</si>
  <si>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</si>
  <si>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</si>
  <si>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</si>
  <si>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</si>
  <si>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</si>
  <si>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</si>
  <si>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</si>
  <si>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</si>
  <si>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</si>
  <si>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</si>
  <si>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</si>
  <si>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</si>
  <si>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</si>
  <si>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</si>
  <si>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</si>
  <si>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</si>
  <si>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</si>
  <si>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</si>
  <si>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</si>
  <si>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</si>
  <si>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</si>
  <si>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</si>
  <si>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</si>
  <si>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</si>
  <si>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</si>
  <si>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</si>
  <si>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</si>
  <si>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</si>
  <si>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</si>
  <si>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</si>
  <si>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</si>
  <si>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</si>
  <si>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</si>
  <si>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</si>
  <si>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</si>
  <si>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</si>
  <si>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</si>
  <si>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</si>
  <si>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</si>
  <si>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</si>
  <si>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</si>
  <si>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</si>
  <si>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</si>
  <si>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</si>
  <si>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</si>
  <si>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</si>
  <si>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</si>
  <si>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</si>
  <si>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</si>
  <si>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</si>
  <si>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</si>
  <si>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</si>
  <si>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</si>
  <si>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</si>
  <si>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</si>
  <si>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</si>
  <si>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</si>
  <si>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</si>
  <si>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</si>
  <si>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</si>
  <si>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</si>
  <si>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</si>
  <si>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</si>
  <si>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</si>
  <si>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</si>
  <si>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</si>
  <si>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</si>
  <si>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</si>
  <si>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</si>
  <si>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</si>
  <si>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</si>
  <si>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</si>
  <si>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</si>
  <si>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</si>
  <si>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</si>
  <si>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</si>
  <si>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</si>
  <si>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</si>
  <si>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</si>
  <si>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</si>
  <si>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</si>
  <si>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</si>
  <si>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</si>
  <si>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</si>
  <si>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</si>
  <si>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</si>
  <si>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</si>
  <si>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</si>
  <si>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</si>
  <si>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</si>
  <si>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</si>
  <si>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</si>
  <si>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</si>
  <si>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</si>
  <si>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</si>
  <si>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</si>
  <si>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</si>
  <si>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</si>
  <si>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</si>
  <si>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</si>
  <si>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</si>
  <si>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</si>
  <si>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</si>
  <si>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</si>
  <si>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</si>
  <si>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</si>
  <si>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</si>
  <si>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</si>
  <si>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</si>
  <si>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</si>
  <si>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</si>
  <si>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</si>
  <si>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</si>
  <si>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</si>
  <si>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</si>
  <si>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</si>
  <si>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</si>
  <si>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</si>
  <si>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</si>
  <si>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</si>
  <si>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</si>
  <si>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</si>
  <si>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</si>
  <si>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</si>
  <si>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</si>
  <si>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</si>
  <si>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</si>
  <si>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</si>
  <si>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</si>
  <si>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</si>
  <si>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</si>
  <si>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</si>
  <si>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</si>
  <si>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</si>
  <si>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</si>
  <si>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</si>
  <si>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</si>
  <si>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</si>
  <si>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</si>
  <si>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</si>
  <si>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</si>
  <si>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</si>
  <si>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</si>
  <si>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</si>
  <si>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</si>
  <si>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</si>
  <si>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</si>
  <si>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</si>
  <si>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</si>
  <si>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</si>
  <si>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</si>
  <si>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</si>
  <si>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</si>
  <si>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</si>
  <si>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</si>
  <si>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</si>
  <si>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</si>
  <si>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</si>
  <si>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</si>
  <si>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</si>
  <si>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</si>
  <si>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</si>
  <si>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</si>
  <si>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</si>
  <si>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</si>
  <si>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</si>
  <si>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</si>
  <si>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</si>
  <si>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</si>
  <si>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</si>
  <si>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</si>
  <si>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</si>
  <si>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</si>
  <si>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</si>
  <si>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</si>
  <si>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</si>
  <si>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</si>
  <si>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</si>
  <si>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</si>
  <si>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</si>
  <si>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</si>
  <si>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</si>
  <si>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</si>
  <si>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</si>
  <si>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</si>
  <si>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</si>
  <si>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</si>
  <si>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</si>
  <si>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</si>
  <si>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</si>
  <si>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</si>
  <si>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</si>
  <si>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</si>
  <si>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</si>
  <si>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</si>
  <si>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</si>
  <si>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</si>
  <si>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</si>
  <si>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</si>
  <si>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</si>
  <si>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</si>
  <si>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</si>
  <si>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</si>
  <si>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</si>
  <si>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</si>
  <si>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</si>
  <si>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</si>
  <si>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</si>
  <si>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</si>
  <si>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</si>
  <si>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</si>
  <si>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</si>
  <si>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</si>
  <si>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</si>
  <si>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</si>
  <si>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</si>
  <si>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</si>
  <si>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</si>
  <si>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</si>
  <si>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</si>
  <si>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</si>
  <si>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</si>
  <si>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</si>
  <si>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</si>
  <si>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</si>
  <si>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</si>
  <si>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</si>
  <si>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</si>
  <si>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</si>
  <si>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</si>
  <si>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</si>
  <si>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</si>
  <si>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</si>
  <si>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</si>
  <si>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</si>
  <si>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</si>
  <si>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</si>
  <si>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</si>
  <si>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Pending Collection Macquarie Park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</si>
  <si>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</si>
  <si>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</si>
  <si>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</si>
  <si>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</si>
  <si>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</si>
  <si>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</si>
  <si>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</si>
  <si>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</si>
  <si>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</si>
  <si>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</si>
  <si>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</si>
  <si>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</si>
  <si>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</si>
  <si>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</si>
  <si>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</si>
  <si>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</si>
  <si>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</si>
  <si>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</si>
  <si>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</si>
  <si>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</si>
  <si>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</si>
  <si>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</si>
  <si>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</si>
  <si>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</si>
  <si>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Pending Delivery Waleed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</si>
  <si>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</si>
  <si>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</si>
  <si>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</si>
  <si>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</si>
  <si>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</si>
  <si>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</si>
  <si>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</si>
  <si>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</si>
  <si>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</si>
  <si>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</si>
  <si>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</si>
  <si>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</si>
  <si>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Logistics</t>
  </si>
  <si>
    <t>PS5 DISC</t>
  </si>
  <si>
    <t>Wireless Controller</t>
  </si>
  <si>
    <t>Astrobot Games</t>
  </si>
  <si>
    <t>Mic 3</t>
  </si>
  <si>
    <t>Pending Collection Macquarie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</si>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</sst>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0" borderId="0" xfId="0" applyNumberFormat="1"/>
    <xf numFmtId="16" fontId="0" fillId="2" borderId="1" xfId="0" applyNumberFormat="1" applyFill="1" applyBorder="1"/>
    <xf numFmtId="166" fontId="0" fillId="0" borderId="0" xfId="0" applyNumberFormat="1"/>
    <xf numFmtId="0" fontId="0" fillId="0" borderId="0" xfId="0" applyNumberFormat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6" fontId="0" fillId="8" borderId="3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65" fontId="0" fillId="8" borderId="1" xfId="0" applyNumberFormat="1" applyFill="1" applyBorder="1"/>
    <xf numFmtId="167" fontId="0" fillId="9" borderId="1" xfId="0" applyNumberFormat="1" applyFill="1" applyBorder="1"/>
    <xf numFmtId="167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8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pivotCacheDefinition" Target="pivotCache/pivotCacheDefinition6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openxmlformats.org/officeDocument/2006/relationships/pivotCacheDefinition" Target="pivotCache/pivotCacheDefinition9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4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4">
        <v>45746</v>
      </c>
      <c r="C1" s="94"/>
      <c r="D1" s="94"/>
      <c r="E1" s="94"/>
      <c r="F1" s="94"/>
      <c r="G1" s="94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5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5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6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6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6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6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7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7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8" t="s">
        <v>299</v>
      </c>
      <c r="B1" s="98"/>
      <c r="C1" s="98"/>
      <c r="D1" s="98"/>
      <c r="E1" s="98"/>
      <c r="F1" s="98"/>
      <c r="G1" s="98"/>
      <c r="H1" s="98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9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9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9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00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00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abSelected="1" topLeftCell="A46" workbookViewId="0">
      <selection activeCell="A75" sqref="A75:I75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7.88671875" bestFit="1" customWidth="1"/>
    <col min="9" max="9" width="16.1093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82">
        <v>45964</v>
      </c>
      <c r="B2" s="83">
        <v>10</v>
      </c>
      <c r="C2" s="83" t="s">
        <v>647</v>
      </c>
      <c r="D2" s="83" t="s">
        <v>335</v>
      </c>
      <c r="E2" s="91">
        <v>410</v>
      </c>
      <c r="F2" s="91">
        <f>E2*B2</f>
        <v>4100</v>
      </c>
      <c r="G2" s="83" t="s">
        <v>648</v>
      </c>
      <c r="H2" s="82">
        <v>45966</v>
      </c>
      <c r="I2" s="83"/>
      <c r="L2" s="76" t="s">
        <v>693</v>
      </c>
      <c r="M2" s="77">
        <v>45979</v>
      </c>
      <c r="P2" s="14" t="s">
        <v>770</v>
      </c>
      <c r="Q2" s="81">
        <v>8</v>
      </c>
      <c r="S2" s="14" t="s">
        <v>687</v>
      </c>
      <c r="T2" s="81">
        <v>37</v>
      </c>
      <c r="W2">
        <v>299</v>
      </c>
    </row>
    <row r="3" spans="1:23" x14ac:dyDescent="0.3">
      <c r="A3" s="82">
        <v>45964</v>
      </c>
      <c r="B3" s="83">
        <v>7</v>
      </c>
      <c r="C3" s="83" t="s">
        <v>724</v>
      </c>
      <c r="D3" s="83" t="s">
        <v>59</v>
      </c>
      <c r="E3" s="91">
        <v>150</v>
      </c>
      <c r="F3" s="91">
        <f>E3*B3</f>
        <v>1050</v>
      </c>
      <c r="G3" s="83" t="s">
        <v>648</v>
      </c>
      <c r="H3" s="82">
        <v>45966</v>
      </c>
      <c r="I3" s="83"/>
      <c r="L3" s="44"/>
      <c r="M3" s="44"/>
      <c r="P3" s="74" t="s">
        <v>723</v>
      </c>
      <c r="Q3" s="81">
        <v>8</v>
      </c>
      <c r="S3" s="74" t="s">
        <v>708</v>
      </c>
      <c r="T3" s="81">
        <v>5</v>
      </c>
      <c r="W3">
        <v>821</v>
      </c>
    </row>
    <row r="4" spans="1:23" x14ac:dyDescent="0.3">
      <c r="A4" s="82">
        <v>45963</v>
      </c>
      <c r="B4" s="83">
        <v>4</v>
      </c>
      <c r="C4" s="83" t="s">
        <v>698</v>
      </c>
      <c r="D4" s="83" t="s">
        <v>30</v>
      </c>
      <c r="E4" s="91">
        <v>150</v>
      </c>
      <c r="F4" s="91">
        <f t="shared" ref="F4:F68" si="0">E4*B4</f>
        <v>600</v>
      </c>
      <c r="G4" s="83" t="s">
        <v>649</v>
      </c>
      <c r="H4" s="82">
        <v>45966</v>
      </c>
      <c r="I4" s="83"/>
      <c r="L4" s="44" t="s">
        <v>1</v>
      </c>
      <c r="M4" s="44" t="s">
        <v>81</v>
      </c>
      <c r="P4" s="14" t="s">
        <v>768</v>
      </c>
      <c r="Q4" s="81">
        <v>23</v>
      </c>
      <c r="S4" s="74" t="s">
        <v>183</v>
      </c>
      <c r="T4" s="81">
        <v>2</v>
      </c>
      <c r="W4">
        <v>2394</v>
      </c>
    </row>
    <row r="5" spans="1:23" x14ac:dyDescent="0.3">
      <c r="A5" s="82">
        <v>45963</v>
      </c>
      <c r="B5" s="83">
        <v>4</v>
      </c>
      <c r="C5" s="83" t="s">
        <v>724</v>
      </c>
      <c r="D5" s="83" t="s">
        <v>30</v>
      </c>
      <c r="E5" s="91">
        <v>150</v>
      </c>
      <c r="F5" s="91">
        <f t="shared" si="0"/>
        <v>600</v>
      </c>
      <c r="G5" s="83" t="s">
        <v>649</v>
      </c>
      <c r="H5" s="82">
        <v>45966</v>
      </c>
      <c r="I5" s="83"/>
      <c r="L5" s="2" t="s">
        <v>682</v>
      </c>
      <c r="M5" s="2">
        <v>10</v>
      </c>
      <c r="N5">
        <v>3300</v>
      </c>
      <c r="O5">
        <f>M5*N5</f>
        <v>33000</v>
      </c>
      <c r="P5" s="74" t="s">
        <v>698</v>
      </c>
      <c r="Q5" s="81">
        <v>23</v>
      </c>
      <c r="S5" s="74" t="s">
        <v>717</v>
      </c>
      <c r="T5" s="81">
        <v>2</v>
      </c>
      <c r="W5">
        <v>958</v>
      </c>
    </row>
    <row r="6" spans="1:23" x14ac:dyDescent="0.3">
      <c r="A6" s="82">
        <v>45965</v>
      </c>
      <c r="B6" s="83">
        <v>20</v>
      </c>
      <c r="C6" s="83" t="s">
        <v>653</v>
      </c>
      <c r="D6" s="83" t="s">
        <v>349</v>
      </c>
      <c r="E6" s="91">
        <v>1063</v>
      </c>
      <c r="F6" s="91">
        <f t="shared" si="0"/>
        <v>21260</v>
      </c>
      <c r="G6" s="83" t="s">
        <v>657</v>
      </c>
      <c r="H6" s="82">
        <v>45966</v>
      </c>
      <c r="I6" s="83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785</v>
      </c>
      <c r="Q6" s="81">
        <v>7</v>
      </c>
      <c r="S6" s="74" t="s">
        <v>788</v>
      </c>
      <c r="T6" s="81">
        <v>1</v>
      </c>
      <c r="W6">
        <v>505</v>
      </c>
    </row>
    <row r="7" spans="1:23" x14ac:dyDescent="0.3">
      <c r="A7" s="82">
        <v>45965</v>
      </c>
      <c r="B7" s="83">
        <v>12</v>
      </c>
      <c r="C7" s="83" t="s">
        <v>654</v>
      </c>
      <c r="D7" s="83" t="s">
        <v>118</v>
      </c>
      <c r="E7" s="91">
        <v>3375</v>
      </c>
      <c r="F7" s="91">
        <f t="shared" si="0"/>
        <v>40500</v>
      </c>
      <c r="G7" s="83" t="s">
        <v>657</v>
      </c>
      <c r="H7" s="82">
        <v>45966</v>
      </c>
      <c r="I7" s="83"/>
      <c r="L7" s="2" t="s">
        <v>692</v>
      </c>
      <c r="M7" s="2">
        <v>62</v>
      </c>
      <c r="N7">
        <v>410</v>
      </c>
      <c r="O7">
        <f t="shared" si="1"/>
        <v>25420</v>
      </c>
      <c r="P7" s="74" t="s">
        <v>717</v>
      </c>
      <c r="Q7" s="81">
        <v>7</v>
      </c>
      <c r="S7" s="74" t="s">
        <v>787</v>
      </c>
      <c r="T7" s="81">
        <v>1</v>
      </c>
      <c r="W7">
        <v>1680</v>
      </c>
    </row>
    <row r="8" spans="1:23" x14ac:dyDescent="0.3">
      <c r="A8" s="82">
        <v>45965</v>
      </c>
      <c r="B8" s="83">
        <v>2</v>
      </c>
      <c r="C8" s="83" t="s">
        <v>664</v>
      </c>
      <c r="D8" s="83" t="s">
        <v>118</v>
      </c>
      <c r="E8" s="91">
        <v>88</v>
      </c>
      <c r="F8" s="91">
        <f t="shared" si="0"/>
        <v>176</v>
      </c>
      <c r="G8" s="83" t="s">
        <v>657</v>
      </c>
      <c r="H8" s="82">
        <v>45966</v>
      </c>
      <c r="I8" s="83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687</v>
      </c>
      <c r="Q8" s="81">
        <v>138</v>
      </c>
      <c r="S8" s="74" t="s">
        <v>665</v>
      </c>
      <c r="T8" s="81">
        <v>26</v>
      </c>
      <c r="W8">
        <v>500</v>
      </c>
    </row>
    <row r="9" spans="1:23" x14ac:dyDescent="0.3">
      <c r="A9" s="82">
        <v>45966</v>
      </c>
      <c r="B9" s="83">
        <v>30</v>
      </c>
      <c r="C9" s="83" t="s">
        <v>692</v>
      </c>
      <c r="D9" s="83" t="s">
        <v>335</v>
      </c>
      <c r="E9" s="91">
        <v>410</v>
      </c>
      <c r="F9" s="91">
        <f t="shared" si="0"/>
        <v>12300</v>
      </c>
      <c r="G9" s="83" t="s">
        <v>680</v>
      </c>
      <c r="H9" s="82">
        <v>45979</v>
      </c>
      <c r="I9" s="83"/>
      <c r="L9" s="2" t="s">
        <v>673</v>
      </c>
      <c r="M9" s="2">
        <v>1</v>
      </c>
      <c r="N9">
        <v>1257</v>
      </c>
      <c r="O9">
        <f t="shared" si="1"/>
        <v>1257</v>
      </c>
      <c r="P9" s="74" t="s">
        <v>692</v>
      </c>
      <c r="Q9" s="81">
        <v>1</v>
      </c>
      <c r="S9" s="14" t="s">
        <v>80</v>
      </c>
      <c r="T9" s="81">
        <v>37</v>
      </c>
      <c r="W9">
        <v>625</v>
      </c>
    </row>
    <row r="10" spans="1:23" x14ac:dyDescent="0.3">
      <c r="A10" s="82">
        <v>45969</v>
      </c>
      <c r="B10" s="83">
        <v>1</v>
      </c>
      <c r="C10" s="83" t="s">
        <v>665</v>
      </c>
      <c r="D10" s="83" t="s">
        <v>496</v>
      </c>
      <c r="E10" s="91">
        <v>450</v>
      </c>
      <c r="F10" s="91">
        <f t="shared" si="0"/>
        <v>450</v>
      </c>
      <c r="G10" s="83" t="s">
        <v>365</v>
      </c>
      <c r="H10" s="82">
        <v>45979</v>
      </c>
      <c r="I10" s="83"/>
      <c r="L10" s="2" t="s">
        <v>674</v>
      </c>
      <c r="M10" s="2">
        <v>7</v>
      </c>
      <c r="N10">
        <v>1357</v>
      </c>
      <c r="O10">
        <f t="shared" si="1"/>
        <v>9499</v>
      </c>
      <c r="P10" s="74" t="s">
        <v>698</v>
      </c>
      <c r="Q10" s="81">
        <v>16</v>
      </c>
      <c r="W10">
        <v>625</v>
      </c>
    </row>
    <row r="11" spans="1:23" x14ac:dyDescent="0.3">
      <c r="A11" s="82">
        <v>45969</v>
      </c>
      <c r="B11" s="83">
        <v>1</v>
      </c>
      <c r="C11" s="83" t="s">
        <v>665</v>
      </c>
      <c r="D11" s="83" t="s">
        <v>492</v>
      </c>
      <c r="E11" s="91">
        <v>450</v>
      </c>
      <c r="F11" s="91">
        <f t="shared" si="0"/>
        <v>450</v>
      </c>
      <c r="G11" s="83" t="s">
        <v>365</v>
      </c>
      <c r="H11" s="82">
        <v>45979</v>
      </c>
      <c r="I11" s="83"/>
      <c r="L11" s="2" t="s">
        <v>665</v>
      </c>
      <c r="M11" s="2">
        <v>36</v>
      </c>
      <c r="N11">
        <v>449</v>
      </c>
      <c r="O11">
        <f t="shared" si="1"/>
        <v>16164</v>
      </c>
      <c r="P11" s="74" t="s">
        <v>688</v>
      </c>
      <c r="Q11" s="81">
        <v>10</v>
      </c>
      <c r="W11">
        <v>598</v>
      </c>
    </row>
    <row r="12" spans="1:23" x14ac:dyDescent="0.3">
      <c r="A12" s="82">
        <v>45969</v>
      </c>
      <c r="B12" s="83">
        <v>4</v>
      </c>
      <c r="C12" s="83" t="s">
        <v>665</v>
      </c>
      <c r="D12" s="83" t="s">
        <v>493</v>
      </c>
      <c r="E12" s="91">
        <v>450</v>
      </c>
      <c r="F12" s="91">
        <f t="shared" si="0"/>
        <v>1800</v>
      </c>
      <c r="G12" s="83" t="s">
        <v>365</v>
      </c>
      <c r="H12" s="82">
        <v>45979</v>
      </c>
      <c r="I12" s="83"/>
      <c r="L12" s="2" t="s">
        <v>80</v>
      </c>
      <c r="M12" s="2">
        <v>128</v>
      </c>
      <c r="O12">
        <f>SUM(O5:O11)</f>
        <v>104840</v>
      </c>
      <c r="P12" s="74" t="s">
        <v>763</v>
      </c>
      <c r="Q12" s="81">
        <v>1</v>
      </c>
    </row>
    <row r="13" spans="1:23" x14ac:dyDescent="0.3">
      <c r="A13" s="82">
        <v>45969</v>
      </c>
      <c r="B13" s="83">
        <v>5</v>
      </c>
      <c r="C13" s="83" t="s">
        <v>665</v>
      </c>
      <c r="D13" s="83" t="s">
        <v>666</v>
      </c>
      <c r="E13" s="91">
        <v>450</v>
      </c>
      <c r="F13" s="91">
        <f t="shared" si="0"/>
        <v>2250</v>
      </c>
      <c r="G13" s="83" t="s">
        <v>365</v>
      </c>
      <c r="H13" s="82">
        <v>45979</v>
      </c>
      <c r="I13" s="83"/>
      <c r="P13" s="74" t="s">
        <v>647</v>
      </c>
      <c r="Q13" s="81">
        <v>19</v>
      </c>
    </row>
    <row r="14" spans="1:23" x14ac:dyDescent="0.3">
      <c r="A14" s="82">
        <v>45969</v>
      </c>
      <c r="B14" s="83">
        <v>11</v>
      </c>
      <c r="C14" s="83" t="s">
        <v>665</v>
      </c>
      <c r="D14" s="83" t="s">
        <v>494</v>
      </c>
      <c r="E14" s="91">
        <v>450</v>
      </c>
      <c r="F14" s="91">
        <f t="shared" si="0"/>
        <v>4950</v>
      </c>
      <c r="G14" s="83" t="s">
        <v>365</v>
      </c>
      <c r="H14" s="82">
        <v>45979</v>
      </c>
      <c r="I14" s="83"/>
      <c r="P14" s="74" t="s">
        <v>747</v>
      </c>
      <c r="Q14" s="81">
        <v>3</v>
      </c>
    </row>
    <row r="15" spans="1:23" x14ac:dyDescent="0.3">
      <c r="A15" s="82">
        <v>45970</v>
      </c>
      <c r="B15" s="83">
        <v>10</v>
      </c>
      <c r="C15" s="83" t="s">
        <v>665</v>
      </c>
      <c r="D15" s="83" t="s">
        <v>501</v>
      </c>
      <c r="E15" s="91">
        <v>450</v>
      </c>
      <c r="F15" s="91">
        <f t="shared" si="0"/>
        <v>4500</v>
      </c>
      <c r="G15" s="83" t="s">
        <v>365</v>
      </c>
      <c r="H15" s="82">
        <v>45979</v>
      </c>
      <c r="I15" s="83"/>
      <c r="P15" s="74" t="s">
        <v>717</v>
      </c>
      <c r="Q15" s="81">
        <v>9</v>
      </c>
      <c r="W15">
        <v>800</v>
      </c>
    </row>
    <row r="16" spans="1:23" x14ac:dyDescent="0.3">
      <c r="A16" s="82">
        <v>45970</v>
      </c>
      <c r="B16" s="83">
        <v>1</v>
      </c>
      <c r="C16" s="83" t="s">
        <v>726</v>
      </c>
      <c r="D16" s="83" t="s">
        <v>120</v>
      </c>
      <c r="E16" s="91">
        <v>1358</v>
      </c>
      <c r="F16" s="91">
        <f t="shared" si="0"/>
        <v>1358</v>
      </c>
      <c r="G16" s="83" t="s">
        <v>365</v>
      </c>
      <c r="H16" s="82">
        <v>45979</v>
      </c>
      <c r="I16" s="83" t="s">
        <v>115</v>
      </c>
      <c r="P16" s="74" t="s">
        <v>712</v>
      </c>
      <c r="Q16" s="81">
        <v>3</v>
      </c>
      <c r="W16">
        <v>796</v>
      </c>
    </row>
    <row r="17" spans="1:23" x14ac:dyDescent="0.3">
      <c r="A17" s="82">
        <v>45970</v>
      </c>
      <c r="B17" s="83">
        <v>2</v>
      </c>
      <c r="C17" s="83" t="s">
        <v>727</v>
      </c>
      <c r="D17" s="83" t="s">
        <v>675</v>
      </c>
      <c r="E17" s="91">
        <v>1403</v>
      </c>
      <c r="F17" s="91">
        <f t="shared" si="0"/>
        <v>2806</v>
      </c>
      <c r="G17" s="83" t="s">
        <v>365</v>
      </c>
      <c r="H17" s="82">
        <v>45979</v>
      </c>
      <c r="I17" s="83"/>
      <c r="P17" s="74" t="s">
        <v>748</v>
      </c>
      <c r="Q17" s="81">
        <v>7</v>
      </c>
      <c r="W17">
        <v>499</v>
      </c>
    </row>
    <row r="18" spans="1:23" x14ac:dyDescent="0.3">
      <c r="A18" s="82">
        <v>45970</v>
      </c>
      <c r="B18" s="83">
        <v>1</v>
      </c>
      <c r="C18" s="83" t="s">
        <v>665</v>
      </c>
      <c r="D18" s="83" t="s">
        <v>675</v>
      </c>
      <c r="E18" s="91">
        <v>474</v>
      </c>
      <c r="F18" s="91">
        <f t="shared" si="0"/>
        <v>474</v>
      </c>
      <c r="G18" s="83" t="s">
        <v>365</v>
      </c>
      <c r="H18" s="82">
        <v>45979</v>
      </c>
      <c r="I18" s="83"/>
      <c r="P18" s="74" t="s">
        <v>665</v>
      </c>
      <c r="Q18" s="81">
        <v>69</v>
      </c>
      <c r="W18">
        <v>598</v>
      </c>
    </row>
    <row r="19" spans="1:23" x14ac:dyDescent="0.3">
      <c r="A19" s="82">
        <v>45970</v>
      </c>
      <c r="B19" s="83">
        <v>1</v>
      </c>
      <c r="C19" s="83" t="s">
        <v>727</v>
      </c>
      <c r="D19" s="83" t="s">
        <v>19</v>
      </c>
      <c r="E19" s="91">
        <v>1403</v>
      </c>
      <c r="F19" s="91">
        <f t="shared" si="0"/>
        <v>1403</v>
      </c>
      <c r="G19" s="83" t="s">
        <v>8</v>
      </c>
      <c r="H19" s="82">
        <v>45979</v>
      </c>
      <c r="I19" s="83"/>
      <c r="P19" s="14" t="s">
        <v>80</v>
      </c>
      <c r="Q19" s="81">
        <v>176</v>
      </c>
      <c r="W19">
        <v>958</v>
      </c>
    </row>
    <row r="20" spans="1:23" x14ac:dyDescent="0.3">
      <c r="A20" s="82">
        <v>45970</v>
      </c>
      <c r="B20" s="83">
        <v>1</v>
      </c>
      <c r="C20" s="83" t="s">
        <v>727</v>
      </c>
      <c r="D20" s="83" t="s">
        <v>19</v>
      </c>
      <c r="E20" s="91">
        <v>1403</v>
      </c>
      <c r="F20" s="91">
        <f t="shared" si="0"/>
        <v>1403</v>
      </c>
      <c r="G20" s="83" t="s">
        <v>684</v>
      </c>
      <c r="H20" s="82">
        <v>45979</v>
      </c>
      <c r="I20" s="83"/>
    </row>
    <row r="21" spans="1:23" x14ac:dyDescent="0.3">
      <c r="A21" s="82">
        <v>45970</v>
      </c>
      <c r="B21" s="83">
        <v>2</v>
      </c>
      <c r="C21" s="83" t="s">
        <v>665</v>
      </c>
      <c r="D21" s="83" t="s">
        <v>496</v>
      </c>
      <c r="E21" s="91">
        <v>450</v>
      </c>
      <c r="F21" s="91">
        <f t="shared" si="0"/>
        <v>900</v>
      </c>
      <c r="G21" s="83" t="s">
        <v>8</v>
      </c>
      <c r="H21" s="82">
        <v>45979</v>
      </c>
      <c r="I21" s="83"/>
    </row>
    <row r="22" spans="1:23" x14ac:dyDescent="0.3">
      <c r="A22" s="82">
        <v>45970</v>
      </c>
      <c r="B22" s="83">
        <v>1</v>
      </c>
      <c r="C22" s="83" t="s">
        <v>727</v>
      </c>
      <c r="D22" s="83" t="s">
        <v>676</v>
      </c>
      <c r="E22" s="91">
        <v>1403</v>
      </c>
      <c r="F22" s="91">
        <f t="shared" si="0"/>
        <v>1403</v>
      </c>
      <c r="G22" s="83" t="s">
        <v>8</v>
      </c>
      <c r="H22" s="82">
        <v>45979</v>
      </c>
      <c r="I22" s="83"/>
    </row>
    <row r="23" spans="1:23" x14ac:dyDescent="0.3">
      <c r="A23" s="82">
        <v>45970</v>
      </c>
      <c r="B23" s="83">
        <v>1</v>
      </c>
      <c r="C23" s="83" t="s">
        <v>727</v>
      </c>
      <c r="D23" s="83" t="s">
        <v>677</v>
      </c>
      <c r="E23" s="91">
        <v>1403</v>
      </c>
      <c r="F23" s="91">
        <f t="shared" si="0"/>
        <v>1403</v>
      </c>
      <c r="G23" s="83" t="s">
        <v>8</v>
      </c>
      <c r="H23" s="82">
        <v>45979</v>
      </c>
      <c r="I23" s="83"/>
    </row>
    <row r="24" spans="1:23" x14ac:dyDescent="0.3">
      <c r="A24" s="82">
        <v>45970</v>
      </c>
      <c r="B24" s="83">
        <v>1</v>
      </c>
      <c r="C24" s="83" t="s">
        <v>727</v>
      </c>
      <c r="D24" s="83" t="s">
        <v>677</v>
      </c>
      <c r="E24" s="91">
        <v>1403</v>
      </c>
      <c r="F24" s="91">
        <f t="shared" si="0"/>
        <v>1403</v>
      </c>
      <c r="G24" s="83" t="s">
        <v>8</v>
      </c>
      <c r="H24" s="82">
        <v>45979</v>
      </c>
      <c r="I24" s="83"/>
    </row>
    <row r="25" spans="1:23" x14ac:dyDescent="0.3">
      <c r="A25" s="82">
        <v>45970</v>
      </c>
      <c r="B25" s="83">
        <v>5</v>
      </c>
      <c r="C25" s="83" t="s">
        <v>665</v>
      </c>
      <c r="D25" s="83" t="s">
        <v>495</v>
      </c>
      <c r="E25" s="91">
        <v>450</v>
      </c>
      <c r="F25" s="91">
        <f t="shared" si="0"/>
        <v>2250</v>
      </c>
      <c r="G25" s="83" t="s">
        <v>8</v>
      </c>
      <c r="H25" s="82">
        <v>45982</v>
      </c>
      <c r="I25" s="83"/>
    </row>
    <row r="26" spans="1:23" x14ac:dyDescent="0.3">
      <c r="A26" s="82">
        <v>45970</v>
      </c>
      <c r="B26" s="83">
        <v>3</v>
      </c>
      <c r="C26" s="83" t="s">
        <v>726</v>
      </c>
      <c r="D26" s="83" t="s">
        <v>678</v>
      </c>
      <c r="E26" s="91">
        <v>1358</v>
      </c>
      <c r="F26" s="91">
        <f t="shared" si="0"/>
        <v>4074</v>
      </c>
      <c r="G26" s="83" t="s">
        <v>716</v>
      </c>
      <c r="H26" s="82">
        <v>45982</v>
      </c>
      <c r="I26" s="83" t="s">
        <v>115</v>
      </c>
    </row>
    <row r="27" spans="1:23" x14ac:dyDescent="0.3">
      <c r="A27" s="82">
        <v>45970</v>
      </c>
      <c r="B27" s="83">
        <v>3</v>
      </c>
      <c r="C27" s="83" t="s">
        <v>727</v>
      </c>
      <c r="D27" s="83" t="s">
        <v>678</v>
      </c>
      <c r="E27" s="91">
        <v>1477</v>
      </c>
      <c r="F27" s="91">
        <f t="shared" si="0"/>
        <v>4431</v>
      </c>
      <c r="G27" s="83" t="s">
        <v>716</v>
      </c>
      <c r="H27" s="82">
        <v>45982</v>
      </c>
      <c r="I27" s="83" t="s">
        <v>115</v>
      </c>
    </row>
    <row r="28" spans="1:23" x14ac:dyDescent="0.3">
      <c r="A28" s="82">
        <v>45970</v>
      </c>
      <c r="B28" s="83">
        <v>5</v>
      </c>
      <c r="C28" s="83" t="s">
        <v>692</v>
      </c>
      <c r="D28" s="83" t="s">
        <v>335</v>
      </c>
      <c r="E28" s="91">
        <v>410</v>
      </c>
      <c r="F28" s="91">
        <f t="shared" si="0"/>
        <v>2050</v>
      </c>
      <c r="G28" s="83" t="s">
        <v>690</v>
      </c>
      <c r="H28" s="82">
        <v>45979</v>
      </c>
      <c r="I28" s="83"/>
    </row>
    <row r="29" spans="1:23" x14ac:dyDescent="0.3">
      <c r="A29" s="82">
        <v>45972</v>
      </c>
      <c r="B29" s="83">
        <v>30</v>
      </c>
      <c r="C29" s="83" t="s">
        <v>692</v>
      </c>
      <c r="D29" s="83" t="s">
        <v>335</v>
      </c>
      <c r="E29" s="91">
        <v>410</v>
      </c>
      <c r="F29" s="91">
        <f t="shared" si="0"/>
        <v>12300</v>
      </c>
      <c r="G29" s="83" t="s">
        <v>683</v>
      </c>
      <c r="H29" s="82">
        <v>45979</v>
      </c>
      <c r="I29" s="83"/>
    </row>
    <row r="30" spans="1:23" x14ac:dyDescent="0.3">
      <c r="A30" s="82">
        <v>45972</v>
      </c>
      <c r="B30" s="83">
        <v>5</v>
      </c>
      <c r="C30" s="83" t="s">
        <v>645</v>
      </c>
      <c r="D30" s="83" t="s">
        <v>335</v>
      </c>
      <c r="E30" s="91">
        <v>1400</v>
      </c>
      <c r="F30" s="91">
        <f t="shared" si="0"/>
        <v>7000</v>
      </c>
      <c r="G30" s="83" t="s">
        <v>683</v>
      </c>
      <c r="H30" s="82">
        <v>45979</v>
      </c>
      <c r="I30" s="83"/>
    </row>
    <row r="31" spans="1:23" x14ac:dyDescent="0.3">
      <c r="A31" s="82">
        <v>45972</v>
      </c>
      <c r="B31" s="83">
        <v>5</v>
      </c>
      <c r="C31" s="83" t="s">
        <v>681</v>
      </c>
      <c r="D31" s="83" t="s">
        <v>335</v>
      </c>
      <c r="E31" s="91">
        <v>2500</v>
      </c>
      <c r="F31" s="91">
        <f t="shared" si="0"/>
        <v>12500</v>
      </c>
      <c r="G31" s="83" t="s">
        <v>683</v>
      </c>
      <c r="H31" s="82">
        <v>45979</v>
      </c>
      <c r="I31" s="83"/>
    </row>
    <row r="32" spans="1:23" x14ac:dyDescent="0.3">
      <c r="A32" s="82">
        <v>45972</v>
      </c>
      <c r="B32" s="83">
        <v>10</v>
      </c>
      <c r="C32" s="83" t="s">
        <v>682</v>
      </c>
      <c r="D32" s="83" t="s">
        <v>335</v>
      </c>
      <c r="E32" s="91">
        <v>3300</v>
      </c>
      <c r="F32" s="91">
        <f t="shared" si="0"/>
        <v>33000</v>
      </c>
      <c r="G32" s="83" t="s">
        <v>683</v>
      </c>
      <c r="H32" s="82">
        <v>45979</v>
      </c>
      <c r="I32" s="83"/>
    </row>
    <row r="33" spans="1:9" x14ac:dyDescent="0.3">
      <c r="A33" s="82">
        <v>45978</v>
      </c>
      <c r="B33" s="83">
        <v>9</v>
      </c>
      <c r="C33" s="83" t="s">
        <v>728</v>
      </c>
      <c r="D33" s="83" t="s">
        <v>678</v>
      </c>
      <c r="E33" s="91">
        <v>625</v>
      </c>
      <c r="F33" s="91">
        <f t="shared" si="0"/>
        <v>5625</v>
      </c>
      <c r="G33" s="83" t="s">
        <v>729</v>
      </c>
      <c r="H33" s="82">
        <v>45982</v>
      </c>
      <c r="I33" s="83" t="s">
        <v>115</v>
      </c>
    </row>
    <row r="34" spans="1:9" x14ac:dyDescent="0.3">
      <c r="A34" s="82">
        <v>45978</v>
      </c>
      <c r="B34" s="83">
        <v>1</v>
      </c>
      <c r="C34" s="83" t="s">
        <v>686</v>
      </c>
      <c r="D34" s="83" t="s">
        <v>685</v>
      </c>
      <c r="E34" s="91">
        <v>329</v>
      </c>
      <c r="F34" s="91">
        <f t="shared" si="0"/>
        <v>329</v>
      </c>
      <c r="G34" s="83"/>
      <c r="H34" s="83"/>
      <c r="I34" s="83"/>
    </row>
    <row r="35" spans="1:9" x14ac:dyDescent="0.3">
      <c r="A35" s="82">
        <v>45978</v>
      </c>
      <c r="B35" s="83">
        <v>1</v>
      </c>
      <c r="C35" s="83" t="s">
        <v>542</v>
      </c>
      <c r="D35" s="83" t="s">
        <v>687</v>
      </c>
      <c r="E35" s="91">
        <v>5000</v>
      </c>
      <c r="F35" s="91">
        <f t="shared" si="0"/>
        <v>5000</v>
      </c>
      <c r="G35" s="83"/>
      <c r="H35" s="83"/>
      <c r="I35" s="83"/>
    </row>
    <row r="36" spans="1:9" x14ac:dyDescent="0.3">
      <c r="A36" s="82">
        <v>45979</v>
      </c>
      <c r="B36" s="83">
        <v>2</v>
      </c>
      <c r="C36" s="83" t="s">
        <v>688</v>
      </c>
      <c r="D36" s="83" t="s">
        <v>101</v>
      </c>
      <c r="E36" s="91">
        <v>454</v>
      </c>
      <c r="F36" s="91">
        <f t="shared" si="0"/>
        <v>908</v>
      </c>
      <c r="G36" s="83" t="s">
        <v>701</v>
      </c>
      <c r="H36" s="82">
        <v>45982</v>
      </c>
      <c r="I36" s="83"/>
    </row>
    <row r="37" spans="1:9" x14ac:dyDescent="0.3">
      <c r="A37" s="82">
        <v>45979</v>
      </c>
      <c r="B37" s="83">
        <v>2</v>
      </c>
      <c r="C37" s="83" t="s">
        <v>688</v>
      </c>
      <c r="D37" s="83" t="s">
        <v>101</v>
      </c>
      <c r="E37" s="91">
        <v>454</v>
      </c>
      <c r="F37" s="91">
        <f t="shared" si="0"/>
        <v>908</v>
      </c>
      <c r="G37" s="83" t="s">
        <v>701</v>
      </c>
      <c r="H37" s="82">
        <v>45982</v>
      </c>
      <c r="I37" s="83"/>
    </row>
    <row r="38" spans="1:9" x14ac:dyDescent="0.3">
      <c r="A38" s="82">
        <v>45979</v>
      </c>
      <c r="B38" s="83">
        <v>2</v>
      </c>
      <c r="C38" s="83" t="s">
        <v>688</v>
      </c>
      <c r="D38" s="83" t="s">
        <v>689</v>
      </c>
      <c r="E38" s="91">
        <v>454</v>
      </c>
      <c r="F38" s="91">
        <f t="shared" si="0"/>
        <v>908</v>
      </c>
      <c r="G38" s="83" t="s">
        <v>720</v>
      </c>
      <c r="H38" s="83"/>
      <c r="I38" s="83" t="s">
        <v>687</v>
      </c>
    </row>
    <row r="39" spans="1:9" x14ac:dyDescent="0.3">
      <c r="A39" s="82">
        <v>45979</v>
      </c>
      <c r="B39" s="83">
        <v>2</v>
      </c>
      <c r="C39" s="83" t="s">
        <v>688</v>
      </c>
      <c r="D39" s="83" t="s">
        <v>689</v>
      </c>
      <c r="E39" s="91">
        <v>454</v>
      </c>
      <c r="F39" s="91">
        <f t="shared" si="0"/>
        <v>908</v>
      </c>
      <c r="G39" s="83" t="s">
        <v>720</v>
      </c>
      <c r="H39" s="83"/>
      <c r="I39" s="83" t="s">
        <v>687</v>
      </c>
    </row>
    <row r="40" spans="1:9" x14ac:dyDescent="0.3">
      <c r="A40" s="82">
        <v>45979</v>
      </c>
      <c r="B40" s="83">
        <v>2</v>
      </c>
      <c r="C40" s="83" t="s">
        <v>688</v>
      </c>
      <c r="D40" s="83" t="s">
        <v>689</v>
      </c>
      <c r="E40" s="91">
        <v>454</v>
      </c>
      <c r="F40" s="91">
        <f t="shared" si="0"/>
        <v>908</v>
      </c>
      <c r="G40" s="83" t="s">
        <v>730</v>
      </c>
      <c r="H40" s="83"/>
      <c r="I40" s="83" t="s">
        <v>687</v>
      </c>
    </row>
    <row r="41" spans="1:9" x14ac:dyDescent="0.3">
      <c r="A41" s="82">
        <v>45979</v>
      </c>
      <c r="B41" s="83">
        <v>3</v>
      </c>
      <c r="C41" s="83" t="s">
        <v>724</v>
      </c>
      <c r="D41" s="83" t="s">
        <v>689</v>
      </c>
      <c r="E41" s="91">
        <v>130</v>
      </c>
      <c r="F41" s="91">
        <f t="shared" si="0"/>
        <v>390</v>
      </c>
      <c r="G41" s="83" t="s">
        <v>8</v>
      </c>
      <c r="H41" s="82">
        <v>45982</v>
      </c>
      <c r="I41" s="83"/>
    </row>
    <row r="42" spans="1:9" x14ac:dyDescent="0.3">
      <c r="A42" s="82">
        <v>45980</v>
      </c>
      <c r="B42" s="83">
        <v>6</v>
      </c>
      <c r="C42" s="83" t="s">
        <v>724</v>
      </c>
      <c r="D42" s="83" t="s">
        <v>689</v>
      </c>
      <c r="E42" s="91">
        <v>130</v>
      </c>
      <c r="F42" s="91">
        <f t="shared" si="0"/>
        <v>780</v>
      </c>
      <c r="G42" s="83" t="s">
        <v>8</v>
      </c>
      <c r="H42" s="82">
        <v>45982</v>
      </c>
      <c r="I42" s="83"/>
    </row>
    <row r="43" spans="1:9" x14ac:dyDescent="0.3">
      <c r="A43" s="82">
        <v>45980</v>
      </c>
      <c r="B43" s="83">
        <v>10</v>
      </c>
      <c r="C43" s="83" t="s">
        <v>559</v>
      </c>
      <c r="D43" s="83" t="s">
        <v>689</v>
      </c>
      <c r="E43" s="91">
        <v>39</v>
      </c>
      <c r="F43" s="91">
        <f t="shared" si="0"/>
        <v>390</v>
      </c>
      <c r="G43" s="83" t="s">
        <v>8</v>
      </c>
      <c r="H43" s="82">
        <v>45982</v>
      </c>
      <c r="I43" s="83"/>
    </row>
    <row r="44" spans="1:9" x14ac:dyDescent="0.3">
      <c r="A44" s="82">
        <v>45980</v>
      </c>
      <c r="B44" s="83">
        <v>6</v>
      </c>
      <c r="C44" s="83" t="s">
        <v>697</v>
      </c>
      <c r="D44" s="83" t="s">
        <v>689</v>
      </c>
      <c r="E44" s="91">
        <v>779</v>
      </c>
      <c r="F44" s="91">
        <f t="shared" si="0"/>
        <v>4674</v>
      </c>
      <c r="G44" s="83" t="s">
        <v>8</v>
      </c>
      <c r="H44" s="82">
        <v>45982</v>
      </c>
      <c r="I44" s="83"/>
    </row>
    <row r="45" spans="1:9" x14ac:dyDescent="0.3">
      <c r="A45" s="82">
        <v>45980</v>
      </c>
      <c r="B45" s="83">
        <v>6</v>
      </c>
      <c r="C45" s="83" t="s">
        <v>694</v>
      </c>
      <c r="D45" s="83" t="s">
        <v>689</v>
      </c>
      <c r="E45" s="91">
        <v>594</v>
      </c>
      <c r="F45" s="91">
        <f t="shared" si="0"/>
        <v>3564</v>
      </c>
      <c r="G45" s="83" t="s">
        <v>8</v>
      </c>
      <c r="H45" s="82">
        <v>45982</v>
      </c>
      <c r="I45" s="83"/>
    </row>
    <row r="46" spans="1:9" x14ac:dyDescent="0.3">
      <c r="A46" s="82">
        <v>45980</v>
      </c>
      <c r="B46" s="83">
        <v>3</v>
      </c>
      <c r="C46" s="83" t="s">
        <v>694</v>
      </c>
      <c r="D46" s="83" t="s">
        <v>689</v>
      </c>
      <c r="E46" s="91">
        <v>594</v>
      </c>
      <c r="F46" s="91">
        <f t="shared" si="0"/>
        <v>1782</v>
      </c>
      <c r="G46" s="83" t="s">
        <v>695</v>
      </c>
      <c r="H46" s="82">
        <v>45982</v>
      </c>
      <c r="I46" s="83"/>
    </row>
    <row r="47" spans="1:9" x14ac:dyDescent="0.3">
      <c r="A47" s="82">
        <v>45980</v>
      </c>
      <c r="B47" s="83">
        <v>4</v>
      </c>
      <c r="C47" s="83" t="s">
        <v>688</v>
      </c>
      <c r="D47" s="83" t="s">
        <v>689</v>
      </c>
      <c r="E47" s="91">
        <v>454</v>
      </c>
      <c r="F47" s="91">
        <f t="shared" si="0"/>
        <v>1816</v>
      </c>
      <c r="G47" s="83" t="s">
        <v>730</v>
      </c>
      <c r="H47" s="83"/>
      <c r="I47" s="83" t="s">
        <v>687</v>
      </c>
    </row>
    <row r="48" spans="1:9" x14ac:dyDescent="0.3">
      <c r="A48" s="82">
        <v>45980</v>
      </c>
      <c r="B48" s="83">
        <v>10</v>
      </c>
      <c r="C48" s="83" t="s">
        <v>696</v>
      </c>
      <c r="D48" s="83" t="s">
        <v>335</v>
      </c>
      <c r="E48" s="91">
        <v>777</v>
      </c>
      <c r="F48" s="91">
        <f t="shared" si="0"/>
        <v>7770</v>
      </c>
      <c r="G48" s="83" t="s">
        <v>743</v>
      </c>
      <c r="H48" s="82"/>
      <c r="I48" s="83"/>
    </row>
    <row r="49" spans="1:9" x14ac:dyDescent="0.3">
      <c r="A49" s="82">
        <v>45980</v>
      </c>
      <c r="B49" s="83">
        <v>10</v>
      </c>
      <c r="C49" s="83" t="s">
        <v>645</v>
      </c>
      <c r="D49" s="83" t="s">
        <v>335</v>
      </c>
      <c r="E49" s="91">
        <v>1400</v>
      </c>
      <c r="F49" s="91">
        <f t="shared" si="0"/>
        <v>14000</v>
      </c>
      <c r="G49" s="83" t="s">
        <v>743</v>
      </c>
      <c r="H49" s="83"/>
      <c r="I49" s="83"/>
    </row>
    <row r="50" spans="1:9" x14ac:dyDescent="0.3">
      <c r="A50" s="82">
        <v>45980</v>
      </c>
      <c r="B50" s="83">
        <v>7</v>
      </c>
      <c r="C50" s="83" t="s">
        <v>694</v>
      </c>
      <c r="D50" s="83" t="s">
        <v>101</v>
      </c>
      <c r="E50" s="91">
        <v>559</v>
      </c>
      <c r="F50" s="91">
        <f t="shared" si="0"/>
        <v>3913</v>
      </c>
      <c r="G50" s="83" t="s">
        <v>8</v>
      </c>
      <c r="H50" s="82">
        <v>45982</v>
      </c>
      <c r="I50" s="83"/>
    </row>
    <row r="51" spans="1:9" x14ac:dyDescent="0.3">
      <c r="A51" s="82">
        <v>45980</v>
      </c>
      <c r="B51" s="83">
        <v>6</v>
      </c>
      <c r="C51" s="83" t="s">
        <v>725</v>
      </c>
      <c r="D51" s="83" t="s">
        <v>101</v>
      </c>
      <c r="E51" s="91">
        <v>779</v>
      </c>
      <c r="F51" s="91">
        <f t="shared" si="0"/>
        <v>4674</v>
      </c>
      <c r="G51" s="83" t="s">
        <v>8</v>
      </c>
      <c r="H51" s="82">
        <v>45982</v>
      </c>
      <c r="I51" s="83"/>
    </row>
    <row r="52" spans="1:9" x14ac:dyDescent="0.3">
      <c r="A52" s="82">
        <v>45980</v>
      </c>
      <c r="B52" s="83">
        <v>4</v>
      </c>
      <c r="C52" s="83" t="s">
        <v>698</v>
      </c>
      <c r="D52" s="83" t="s">
        <v>101</v>
      </c>
      <c r="E52" s="91">
        <v>125</v>
      </c>
      <c r="F52" s="91">
        <f t="shared" si="0"/>
        <v>500</v>
      </c>
      <c r="G52" s="83" t="s">
        <v>8</v>
      </c>
      <c r="H52" s="82">
        <v>45982</v>
      </c>
      <c r="I52" s="83"/>
    </row>
    <row r="53" spans="1:9" x14ac:dyDescent="0.3">
      <c r="A53" s="82">
        <v>45980</v>
      </c>
      <c r="B53" s="83">
        <v>1</v>
      </c>
      <c r="C53" s="83" t="s">
        <v>699</v>
      </c>
      <c r="D53" s="83" t="s">
        <v>704</v>
      </c>
      <c r="E53" s="91">
        <v>699</v>
      </c>
      <c r="F53" s="91">
        <f t="shared" si="0"/>
        <v>699</v>
      </c>
      <c r="G53" s="83" t="s">
        <v>700</v>
      </c>
      <c r="H53" s="82">
        <v>45982</v>
      </c>
      <c r="I53" s="83"/>
    </row>
    <row r="54" spans="1:9" x14ac:dyDescent="0.3">
      <c r="A54" s="82">
        <v>45980</v>
      </c>
      <c r="B54" s="83">
        <v>15</v>
      </c>
      <c r="C54" s="83" t="s">
        <v>698</v>
      </c>
      <c r="D54" s="83" t="s">
        <v>30</v>
      </c>
      <c r="E54" s="91">
        <v>125</v>
      </c>
      <c r="F54" s="91">
        <f t="shared" si="0"/>
        <v>1875</v>
      </c>
      <c r="G54" s="83" t="s">
        <v>794</v>
      </c>
      <c r="H54" s="83"/>
      <c r="I54" s="83"/>
    </row>
    <row r="55" spans="1:9" x14ac:dyDescent="0.3">
      <c r="A55" s="82">
        <v>45981</v>
      </c>
      <c r="B55" s="83">
        <v>12</v>
      </c>
      <c r="C55" s="83" t="s">
        <v>698</v>
      </c>
      <c r="D55" s="83" t="s">
        <v>769</v>
      </c>
      <c r="E55" s="91">
        <v>125</v>
      </c>
      <c r="F55" s="91">
        <f t="shared" si="0"/>
        <v>1500</v>
      </c>
      <c r="G55" s="83" t="s">
        <v>783</v>
      </c>
      <c r="H55" s="83"/>
      <c r="I55" s="83"/>
    </row>
    <row r="56" spans="1:9" x14ac:dyDescent="0.3">
      <c r="A56" s="79">
        <v>45981</v>
      </c>
      <c r="B56" s="10">
        <v>23</v>
      </c>
      <c r="C56" s="10" t="s">
        <v>698</v>
      </c>
      <c r="D56" s="10" t="s">
        <v>703</v>
      </c>
      <c r="E56" s="50">
        <v>125</v>
      </c>
      <c r="F56" s="50">
        <f t="shared" si="0"/>
        <v>2875</v>
      </c>
      <c r="G56" s="10" t="s">
        <v>767</v>
      </c>
      <c r="H56" s="10"/>
      <c r="I56" s="10" t="s">
        <v>768</v>
      </c>
    </row>
    <row r="57" spans="1:9" x14ac:dyDescent="0.3">
      <c r="A57" s="82">
        <v>45981</v>
      </c>
      <c r="B57" s="83">
        <v>1</v>
      </c>
      <c r="C57" s="83" t="s">
        <v>699</v>
      </c>
      <c r="D57" s="83" t="s">
        <v>704</v>
      </c>
      <c r="E57" s="91">
        <v>699</v>
      </c>
      <c r="F57" s="91">
        <f t="shared" si="0"/>
        <v>699</v>
      </c>
      <c r="G57" s="83" t="s">
        <v>700</v>
      </c>
      <c r="H57" s="82">
        <v>45982</v>
      </c>
      <c r="I57" s="83"/>
    </row>
    <row r="58" spans="1:9" x14ac:dyDescent="0.3">
      <c r="A58" s="82">
        <v>45981</v>
      </c>
      <c r="B58" s="83">
        <v>2</v>
      </c>
      <c r="C58" s="83" t="s">
        <v>705</v>
      </c>
      <c r="D58" s="83" t="s">
        <v>364</v>
      </c>
      <c r="E58" s="91">
        <v>2100</v>
      </c>
      <c r="F58" s="91">
        <f t="shared" si="0"/>
        <v>4200</v>
      </c>
      <c r="G58" s="83" t="s">
        <v>8</v>
      </c>
      <c r="H58" s="82">
        <v>45982</v>
      </c>
      <c r="I58" s="83"/>
    </row>
    <row r="59" spans="1:9" x14ac:dyDescent="0.3">
      <c r="A59" s="82">
        <v>45981</v>
      </c>
      <c r="B59" s="83">
        <v>3</v>
      </c>
      <c r="C59" s="83" t="s">
        <v>706</v>
      </c>
      <c r="D59" s="83" t="s">
        <v>364</v>
      </c>
      <c r="E59" s="91">
        <v>2100</v>
      </c>
      <c r="F59" s="91">
        <f t="shared" si="0"/>
        <v>6300</v>
      </c>
      <c r="G59" s="83" t="s">
        <v>8</v>
      </c>
      <c r="H59" s="82">
        <v>45982</v>
      </c>
      <c r="I59" s="83"/>
    </row>
    <row r="60" spans="1:9" x14ac:dyDescent="0.3">
      <c r="A60" s="82">
        <v>45981</v>
      </c>
      <c r="B60" s="83">
        <v>2</v>
      </c>
      <c r="C60" s="83" t="s">
        <v>706</v>
      </c>
      <c r="D60" s="83" t="s">
        <v>318</v>
      </c>
      <c r="E60" s="91">
        <v>2100</v>
      </c>
      <c r="F60" s="91">
        <f t="shared" si="0"/>
        <v>4200</v>
      </c>
      <c r="G60" s="83" t="s">
        <v>710</v>
      </c>
      <c r="H60" s="82">
        <v>45982</v>
      </c>
      <c r="I60" s="83"/>
    </row>
    <row r="61" spans="1:9" x14ac:dyDescent="0.3">
      <c r="A61" s="82">
        <v>45981</v>
      </c>
      <c r="B61" s="83">
        <v>5</v>
      </c>
      <c r="C61" s="83" t="s">
        <v>707</v>
      </c>
      <c r="D61" s="83" t="s">
        <v>364</v>
      </c>
      <c r="E61" s="91">
        <v>574</v>
      </c>
      <c r="F61" s="91">
        <f t="shared" si="0"/>
        <v>2870</v>
      </c>
      <c r="G61" s="83" t="s">
        <v>8</v>
      </c>
      <c r="H61" s="82">
        <v>45982</v>
      </c>
      <c r="I61" s="83"/>
    </row>
    <row r="62" spans="1:9" x14ac:dyDescent="0.3">
      <c r="A62" s="82">
        <v>45981</v>
      </c>
      <c r="B62" s="83">
        <v>10</v>
      </c>
      <c r="C62" s="83" t="s">
        <v>708</v>
      </c>
      <c r="D62" s="83" t="s">
        <v>364</v>
      </c>
      <c r="E62" s="91">
        <v>103</v>
      </c>
      <c r="F62" s="91">
        <f t="shared" si="0"/>
        <v>1030</v>
      </c>
      <c r="G62" s="83" t="s">
        <v>8</v>
      </c>
      <c r="H62" s="82">
        <v>45982</v>
      </c>
      <c r="I62" s="83"/>
    </row>
    <row r="63" spans="1:9" x14ac:dyDescent="0.3">
      <c r="A63" s="82">
        <v>45981</v>
      </c>
      <c r="B63" s="83">
        <v>3</v>
      </c>
      <c r="C63" s="83" t="s">
        <v>698</v>
      </c>
      <c r="D63" s="83" t="s">
        <v>364</v>
      </c>
      <c r="E63" s="91">
        <v>125</v>
      </c>
      <c r="F63" s="91">
        <f t="shared" si="0"/>
        <v>375</v>
      </c>
      <c r="G63" s="83" t="s">
        <v>8</v>
      </c>
      <c r="H63" s="82">
        <v>45982</v>
      </c>
      <c r="I63" s="83"/>
    </row>
    <row r="64" spans="1:9" x14ac:dyDescent="0.3">
      <c r="A64" s="82">
        <v>45981</v>
      </c>
      <c r="B64" s="83">
        <v>3</v>
      </c>
      <c r="C64" s="83" t="s">
        <v>705</v>
      </c>
      <c r="D64" s="83" t="s">
        <v>364</v>
      </c>
      <c r="E64" s="91">
        <v>2100</v>
      </c>
      <c r="F64" s="91">
        <f t="shared" si="0"/>
        <v>6300</v>
      </c>
      <c r="G64" s="83" t="s">
        <v>8</v>
      </c>
      <c r="H64" s="82">
        <v>45982</v>
      </c>
      <c r="I64" s="83"/>
    </row>
    <row r="65" spans="1:9" x14ac:dyDescent="0.3">
      <c r="A65" s="82">
        <v>45981</v>
      </c>
      <c r="B65" s="83">
        <v>3</v>
      </c>
      <c r="C65" s="83" t="s">
        <v>706</v>
      </c>
      <c r="D65" s="83" t="s">
        <v>364</v>
      </c>
      <c r="E65" s="91">
        <v>2100</v>
      </c>
      <c r="F65" s="91">
        <f t="shared" si="0"/>
        <v>6300</v>
      </c>
      <c r="G65" s="83" t="s">
        <v>8</v>
      </c>
      <c r="H65" s="82">
        <v>45982</v>
      </c>
      <c r="I65" s="83"/>
    </row>
    <row r="66" spans="1:9" x14ac:dyDescent="0.3">
      <c r="A66" s="82">
        <v>45981</v>
      </c>
      <c r="B66" s="83">
        <v>12</v>
      </c>
      <c r="C66" s="83" t="s">
        <v>665</v>
      </c>
      <c r="D66" s="83" t="s">
        <v>709</v>
      </c>
      <c r="E66" s="91">
        <v>449</v>
      </c>
      <c r="F66" s="91">
        <f t="shared" si="0"/>
        <v>5388</v>
      </c>
      <c r="G66" s="83" t="s">
        <v>8</v>
      </c>
      <c r="H66" s="82">
        <v>45982</v>
      </c>
      <c r="I66" s="83"/>
    </row>
    <row r="67" spans="1:9" x14ac:dyDescent="0.3">
      <c r="A67" s="82">
        <v>45982</v>
      </c>
      <c r="B67" s="83">
        <v>4</v>
      </c>
      <c r="C67" s="83" t="s">
        <v>705</v>
      </c>
      <c r="D67" s="83" t="s">
        <v>364</v>
      </c>
      <c r="E67" s="91">
        <v>2100</v>
      </c>
      <c r="F67" s="91">
        <f t="shared" si="0"/>
        <v>8400</v>
      </c>
      <c r="G67" s="83" t="s">
        <v>8</v>
      </c>
      <c r="H67" s="82">
        <v>45982</v>
      </c>
      <c r="I67" s="83"/>
    </row>
    <row r="68" spans="1:9" x14ac:dyDescent="0.3">
      <c r="A68" s="82">
        <v>45982</v>
      </c>
      <c r="B68" s="83">
        <v>6</v>
      </c>
      <c r="C68" s="83" t="s">
        <v>705</v>
      </c>
      <c r="D68" s="83" t="s">
        <v>711</v>
      </c>
      <c r="E68" s="91">
        <v>2100</v>
      </c>
      <c r="F68" s="91">
        <f t="shared" si="0"/>
        <v>12600</v>
      </c>
      <c r="G68" s="83" t="s">
        <v>8</v>
      </c>
      <c r="H68" s="82">
        <v>45982</v>
      </c>
      <c r="I68" s="83"/>
    </row>
    <row r="69" spans="1:9" x14ac:dyDescent="0.3">
      <c r="A69" s="82">
        <v>45982</v>
      </c>
      <c r="B69" s="83">
        <v>6</v>
      </c>
      <c r="C69" s="83" t="s">
        <v>706</v>
      </c>
      <c r="D69" s="83" t="s">
        <v>711</v>
      </c>
      <c r="E69" s="91">
        <v>2100</v>
      </c>
      <c r="F69" s="91">
        <f t="shared" ref="F69:F135" si="2">E69*B69</f>
        <v>12600</v>
      </c>
      <c r="G69" s="83" t="s">
        <v>8</v>
      </c>
      <c r="H69" s="82">
        <v>45982</v>
      </c>
      <c r="I69" s="83"/>
    </row>
    <row r="70" spans="1:9" x14ac:dyDescent="0.3">
      <c r="A70" s="82">
        <v>45982</v>
      </c>
      <c r="B70" s="83">
        <v>16</v>
      </c>
      <c r="C70" s="83" t="s">
        <v>665</v>
      </c>
      <c r="D70" s="83" t="s">
        <v>687</v>
      </c>
      <c r="E70" s="91" t="s">
        <v>721</v>
      </c>
      <c r="F70" s="91">
        <v>0</v>
      </c>
      <c r="G70" s="83" t="s">
        <v>8</v>
      </c>
      <c r="H70" s="82">
        <v>45982</v>
      </c>
      <c r="I70" s="83"/>
    </row>
    <row r="71" spans="1:9" x14ac:dyDescent="0.3">
      <c r="A71" s="82">
        <v>45982</v>
      </c>
      <c r="B71" s="83">
        <v>5</v>
      </c>
      <c r="C71" s="83" t="s">
        <v>665</v>
      </c>
      <c r="D71" s="83" t="s">
        <v>687</v>
      </c>
      <c r="E71" s="91">
        <v>0</v>
      </c>
      <c r="F71" s="91">
        <v>0</v>
      </c>
      <c r="G71" s="83" t="s">
        <v>8</v>
      </c>
      <c r="H71" s="82">
        <v>45982</v>
      </c>
      <c r="I71" s="83" t="s">
        <v>737</v>
      </c>
    </row>
    <row r="72" spans="1:9" x14ac:dyDescent="0.3">
      <c r="A72" s="82">
        <v>45982</v>
      </c>
      <c r="B72" s="83">
        <v>20</v>
      </c>
      <c r="C72" s="83" t="s">
        <v>665</v>
      </c>
      <c r="D72" s="83" t="s">
        <v>490</v>
      </c>
      <c r="E72" s="91">
        <v>399</v>
      </c>
      <c r="F72" s="91">
        <f t="shared" si="2"/>
        <v>7980</v>
      </c>
      <c r="G72" s="83" t="s">
        <v>8</v>
      </c>
      <c r="H72" s="82">
        <v>45985</v>
      </c>
      <c r="I72" s="83"/>
    </row>
    <row r="73" spans="1:9" x14ac:dyDescent="0.3">
      <c r="A73" s="82">
        <v>45982</v>
      </c>
      <c r="B73" s="83">
        <v>9</v>
      </c>
      <c r="C73" s="83" t="s">
        <v>665</v>
      </c>
      <c r="D73" s="83" t="s">
        <v>494</v>
      </c>
      <c r="E73" s="91">
        <v>399</v>
      </c>
      <c r="F73" s="91">
        <f t="shared" si="2"/>
        <v>3591</v>
      </c>
      <c r="G73" s="83" t="s">
        <v>8</v>
      </c>
      <c r="H73" s="82">
        <v>45985</v>
      </c>
      <c r="I73" s="83"/>
    </row>
    <row r="74" spans="1:9" x14ac:dyDescent="0.3">
      <c r="A74" s="82">
        <v>45982</v>
      </c>
      <c r="B74" s="83">
        <v>3</v>
      </c>
      <c r="C74" s="83" t="s">
        <v>712</v>
      </c>
      <c r="D74" s="83" t="s">
        <v>713</v>
      </c>
      <c r="E74" s="91">
        <v>609.95000000000005</v>
      </c>
      <c r="F74" s="91">
        <f t="shared" si="2"/>
        <v>1829.8500000000001</v>
      </c>
      <c r="G74" s="83" t="s">
        <v>731</v>
      </c>
      <c r="H74" s="83"/>
      <c r="I74" s="83" t="s">
        <v>687</v>
      </c>
    </row>
    <row r="75" spans="1:9" x14ac:dyDescent="0.3">
      <c r="A75" s="82">
        <v>45982</v>
      </c>
      <c r="B75" s="83">
        <v>1</v>
      </c>
      <c r="C75" s="83" t="s">
        <v>712</v>
      </c>
      <c r="D75" s="83" t="s">
        <v>713</v>
      </c>
      <c r="E75" s="91">
        <v>598</v>
      </c>
      <c r="F75" s="91">
        <f t="shared" si="2"/>
        <v>598</v>
      </c>
      <c r="G75" s="83" t="s">
        <v>231</v>
      </c>
      <c r="H75" s="83"/>
      <c r="I75" s="83"/>
    </row>
    <row r="76" spans="1:9" x14ac:dyDescent="0.3">
      <c r="A76" s="82">
        <v>45982</v>
      </c>
      <c r="B76" s="83">
        <v>1</v>
      </c>
      <c r="C76" s="83" t="s">
        <v>714</v>
      </c>
      <c r="D76" s="83" t="s">
        <v>715</v>
      </c>
      <c r="E76" s="91">
        <v>598</v>
      </c>
      <c r="F76" s="91">
        <f t="shared" si="2"/>
        <v>598</v>
      </c>
      <c r="G76" s="83" t="s">
        <v>716</v>
      </c>
      <c r="H76" s="82">
        <v>45982</v>
      </c>
      <c r="I76" s="83"/>
    </row>
    <row r="77" spans="1:9" x14ac:dyDescent="0.3">
      <c r="A77" s="82">
        <v>45982</v>
      </c>
      <c r="B77" s="83">
        <v>5</v>
      </c>
      <c r="C77" s="83" t="s">
        <v>717</v>
      </c>
      <c r="D77" s="83" t="s">
        <v>87</v>
      </c>
      <c r="E77" s="91">
        <v>509</v>
      </c>
      <c r="F77" s="91">
        <f t="shared" si="2"/>
        <v>2545</v>
      </c>
      <c r="G77" s="83" t="s">
        <v>794</v>
      </c>
      <c r="H77" s="83"/>
      <c r="I77" s="83"/>
    </row>
    <row r="78" spans="1:9" x14ac:dyDescent="0.3">
      <c r="A78" s="82">
        <v>45982</v>
      </c>
      <c r="B78" s="83">
        <v>6</v>
      </c>
      <c r="C78" s="83" t="s">
        <v>718</v>
      </c>
      <c r="D78" s="83" t="s">
        <v>87</v>
      </c>
      <c r="E78" s="91">
        <v>659</v>
      </c>
      <c r="F78" s="91">
        <f t="shared" si="2"/>
        <v>3954</v>
      </c>
      <c r="G78" s="83" t="s">
        <v>794</v>
      </c>
      <c r="H78" s="83"/>
      <c r="I78" s="83"/>
    </row>
    <row r="79" spans="1:9" x14ac:dyDescent="0.3">
      <c r="A79" s="82">
        <v>45982</v>
      </c>
      <c r="B79" s="83">
        <v>3</v>
      </c>
      <c r="C79" s="83" t="s">
        <v>718</v>
      </c>
      <c r="D79" s="83" t="s">
        <v>87</v>
      </c>
      <c r="E79" s="91">
        <v>659</v>
      </c>
      <c r="F79" s="91">
        <f t="shared" si="2"/>
        <v>1977</v>
      </c>
      <c r="G79" s="83" t="s">
        <v>783</v>
      </c>
      <c r="H79" s="83"/>
      <c r="I79" s="83"/>
    </row>
    <row r="80" spans="1:9" x14ac:dyDescent="0.3">
      <c r="A80" s="82">
        <v>45982</v>
      </c>
      <c r="B80" s="83">
        <v>7</v>
      </c>
      <c r="C80" s="83" t="s">
        <v>717</v>
      </c>
      <c r="D80" s="83" t="s">
        <v>87</v>
      </c>
      <c r="E80" s="91">
        <v>509</v>
      </c>
      <c r="F80" s="91">
        <f t="shared" si="2"/>
        <v>3563</v>
      </c>
      <c r="G80" s="83" t="s">
        <v>784</v>
      </c>
      <c r="H80" s="83"/>
      <c r="I80" s="83" t="s">
        <v>785</v>
      </c>
    </row>
    <row r="81" spans="1:11" x14ac:dyDescent="0.3">
      <c r="A81" s="82">
        <v>45982</v>
      </c>
      <c r="B81" s="83">
        <v>5</v>
      </c>
      <c r="C81" s="83" t="s">
        <v>722</v>
      </c>
      <c r="D81" s="83" t="s">
        <v>87</v>
      </c>
      <c r="E81" s="91">
        <v>659</v>
      </c>
      <c r="F81" s="91">
        <f t="shared" si="2"/>
        <v>3295</v>
      </c>
      <c r="G81" s="83" t="s">
        <v>772</v>
      </c>
      <c r="H81" s="83"/>
      <c r="I81" s="83"/>
    </row>
    <row r="82" spans="1:11" x14ac:dyDescent="0.3">
      <c r="A82" s="82">
        <v>45982</v>
      </c>
      <c r="B82" s="83">
        <v>9</v>
      </c>
      <c r="C82" s="83" t="s">
        <v>723</v>
      </c>
      <c r="D82" s="83" t="s">
        <v>87</v>
      </c>
      <c r="E82" s="91">
        <v>509</v>
      </c>
      <c r="F82" s="91">
        <f t="shared" si="2"/>
        <v>4581</v>
      </c>
      <c r="G82" s="83" t="s">
        <v>772</v>
      </c>
      <c r="H82" s="83"/>
      <c r="I82" s="83"/>
    </row>
    <row r="83" spans="1:11" x14ac:dyDescent="0.3">
      <c r="A83" s="82">
        <v>45982</v>
      </c>
      <c r="B83" s="83">
        <v>8</v>
      </c>
      <c r="C83" s="83" t="s">
        <v>723</v>
      </c>
      <c r="D83" s="83" t="s">
        <v>87</v>
      </c>
      <c r="E83" s="91">
        <v>509</v>
      </c>
      <c r="F83" s="91">
        <f t="shared" si="2"/>
        <v>4072</v>
      </c>
      <c r="G83" s="83" t="s">
        <v>771</v>
      </c>
      <c r="H83" s="83"/>
      <c r="I83" s="83" t="s">
        <v>770</v>
      </c>
    </row>
    <row r="84" spans="1:11" x14ac:dyDescent="0.3">
      <c r="A84" s="82">
        <v>45984</v>
      </c>
      <c r="B84" s="83">
        <v>14</v>
      </c>
      <c r="C84" s="83" t="s">
        <v>665</v>
      </c>
      <c r="D84" s="83" t="s">
        <v>732</v>
      </c>
      <c r="E84" s="91">
        <v>398</v>
      </c>
      <c r="F84" s="91">
        <f t="shared" si="2"/>
        <v>5572</v>
      </c>
      <c r="G84" s="83" t="s">
        <v>8</v>
      </c>
      <c r="H84" s="82">
        <v>45985</v>
      </c>
      <c r="I84" s="83"/>
    </row>
    <row r="85" spans="1:11" x14ac:dyDescent="0.3">
      <c r="A85" s="82">
        <v>45984</v>
      </c>
      <c r="B85" s="83">
        <v>5</v>
      </c>
      <c r="C85" s="83" t="s">
        <v>665</v>
      </c>
      <c r="D85" s="83" t="s">
        <v>496</v>
      </c>
      <c r="E85" s="91">
        <v>398</v>
      </c>
      <c r="F85" s="91">
        <f t="shared" si="2"/>
        <v>1990</v>
      </c>
      <c r="G85" s="83" t="s">
        <v>8</v>
      </c>
      <c r="H85" s="82">
        <v>45985</v>
      </c>
      <c r="I85" s="83"/>
      <c r="K85" t="s">
        <v>740</v>
      </c>
    </row>
    <row r="86" spans="1:11" x14ac:dyDescent="0.3">
      <c r="A86" s="82">
        <v>45984</v>
      </c>
      <c r="B86" s="83">
        <v>27</v>
      </c>
      <c r="C86" s="83" t="s">
        <v>665</v>
      </c>
      <c r="D86" s="83" t="s">
        <v>492</v>
      </c>
      <c r="E86" s="91">
        <v>398</v>
      </c>
      <c r="F86" s="91">
        <f t="shared" si="2"/>
        <v>10746</v>
      </c>
      <c r="G86" s="83" t="s">
        <v>8</v>
      </c>
      <c r="H86" s="82">
        <v>45985</v>
      </c>
      <c r="I86" s="83"/>
    </row>
    <row r="87" spans="1:11" x14ac:dyDescent="0.3">
      <c r="A87" s="82">
        <v>45984</v>
      </c>
      <c r="B87" s="83">
        <v>20</v>
      </c>
      <c r="C87" s="83" t="s">
        <v>665</v>
      </c>
      <c r="D87" s="83" t="s">
        <v>498</v>
      </c>
      <c r="E87" s="91">
        <v>398</v>
      </c>
      <c r="F87" s="91">
        <f t="shared" si="2"/>
        <v>7960</v>
      </c>
      <c r="G87" s="83" t="s">
        <v>8</v>
      </c>
      <c r="H87" s="82">
        <v>45985</v>
      </c>
      <c r="I87" s="83"/>
    </row>
    <row r="88" spans="1:11" x14ac:dyDescent="0.3">
      <c r="A88" s="82">
        <v>45984</v>
      </c>
      <c r="B88" s="83">
        <v>12</v>
      </c>
      <c r="C88" s="83" t="s">
        <v>665</v>
      </c>
      <c r="D88" s="83" t="s">
        <v>497</v>
      </c>
      <c r="E88" s="91">
        <v>398</v>
      </c>
      <c r="F88" s="91">
        <f t="shared" si="2"/>
        <v>4776</v>
      </c>
      <c r="G88" s="83" t="s">
        <v>8</v>
      </c>
      <c r="H88" s="82">
        <v>45985</v>
      </c>
      <c r="I88" s="83"/>
    </row>
    <row r="89" spans="1:11" x14ac:dyDescent="0.3">
      <c r="A89" s="82">
        <v>45984</v>
      </c>
      <c r="B89" s="83">
        <v>19</v>
      </c>
      <c r="C89" s="83" t="s">
        <v>665</v>
      </c>
      <c r="D89" s="83" t="s">
        <v>734</v>
      </c>
      <c r="E89" s="91">
        <v>398</v>
      </c>
      <c r="F89" s="91">
        <f t="shared" si="2"/>
        <v>7562</v>
      </c>
      <c r="G89" s="83" t="s">
        <v>8</v>
      </c>
      <c r="H89" s="82">
        <v>45985</v>
      </c>
      <c r="I89" s="83"/>
    </row>
    <row r="90" spans="1:11" x14ac:dyDescent="0.3">
      <c r="A90" s="82">
        <v>45984</v>
      </c>
      <c r="B90" s="83">
        <v>10</v>
      </c>
      <c r="C90" s="83" t="s">
        <v>665</v>
      </c>
      <c r="D90" s="83" t="s">
        <v>735</v>
      </c>
      <c r="E90" s="91">
        <v>398</v>
      </c>
      <c r="F90" s="91">
        <f t="shared" si="2"/>
        <v>3980</v>
      </c>
      <c r="G90" s="83" t="s">
        <v>8</v>
      </c>
      <c r="H90" s="82">
        <v>45985</v>
      </c>
      <c r="I90" s="83"/>
    </row>
    <row r="91" spans="1:11" x14ac:dyDescent="0.3">
      <c r="A91" s="82">
        <v>45984</v>
      </c>
      <c r="B91" s="83">
        <v>17</v>
      </c>
      <c r="C91" s="83" t="s">
        <v>665</v>
      </c>
      <c r="D91" s="83" t="s">
        <v>736</v>
      </c>
      <c r="E91" s="91">
        <v>398</v>
      </c>
      <c r="F91" s="91">
        <f t="shared" si="2"/>
        <v>6766</v>
      </c>
      <c r="G91" s="83" t="s">
        <v>8</v>
      </c>
      <c r="H91" s="82">
        <v>45985</v>
      </c>
      <c r="I91" s="83"/>
    </row>
    <row r="92" spans="1:11" x14ac:dyDescent="0.3">
      <c r="A92" s="82">
        <v>45985</v>
      </c>
      <c r="B92" s="83">
        <v>27</v>
      </c>
      <c r="C92" s="83" t="s">
        <v>665</v>
      </c>
      <c r="D92" s="83" t="s">
        <v>733</v>
      </c>
      <c r="E92" s="91">
        <v>398</v>
      </c>
      <c r="F92" s="91">
        <f t="shared" si="2"/>
        <v>10746</v>
      </c>
      <c r="G92" s="83" t="s">
        <v>8</v>
      </c>
      <c r="H92" s="82">
        <v>45985</v>
      </c>
      <c r="I92" s="83"/>
    </row>
    <row r="93" spans="1:11" x14ac:dyDescent="0.3">
      <c r="A93" s="82">
        <v>45985</v>
      </c>
      <c r="B93" s="83">
        <v>11</v>
      </c>
      <c r="C93" s="83" t="s">
        <v>665</v>
      </c>
      <c r="D93" s="83" t="s">
        <v>733</v>
      </c>
      <c r="E93" s="91">
        <v>398</v>
      </c>
      <c r="F93" s="91">
        <f t="shared" si="2"/>
        <v>4378</v>
      </c>
      <c r="G93" s="83" t="s">
        <v>8</v>
      </c>
      <c r="H93" s="83"/>
      <c r="I93" s="83" t="s">
        <v>687</v>
      </c>
    </row>
    <row r="94" spans="1:11" x14ac:dyDescent="0.3">
      <c r="A94" s="82">
        <v>45985</v>
      </c>
      <c r="B94" s="83">
        <v>1</v>
      </c>
      <c r="C94" s="83" t="s">
        <v>738</v>
      </c>
      <c r="D94" s="83" t="s">
        <v>739</v>
      </c>
      <c r="E94" s="91">
        <v>105</v>
      </c>
      <c r="F94" s="91">
        <f t="shared" si="2"/>
        <v>105</v>
      </c>
      <c r="G94" s="83"/>
      <c r="H94" s="83"/>
      <c r="I94" s="83" t="s">
        <v>85</v>
      </c>
    </row>
    <row r="95" spans="1:11" x14ac:dyDescent="0.3">
      <c r="A95" s="82">
        <v>45985</v>
      </c>
      <c r="B95" s="83">
        <v>2</v>
      </c>
      <c r="C95" s="83" t="s">
        <v>323</v>
      </c>
      <c r="D95" s="83" t="s">
        <v>358</v>
      </c>
      <c r="E95" s="91">
        <v>679</v>
      </c>
      <c r="F95" s="91">
        <f t="shared" si="2"/>
        <v>1358</v>
      </c>
      <c r="G95" s="83" t="s">
        <v>365</v>
      </c>
      <c r="H95" s="83"/>
      <c r="I95" s="83" t="s">
        <v>655</v>
      </c>
    </row>
    <row r="96" spans="1:11" x14ac:dyDescent="0.3">
      <c r="A96" s="82">
        <v>45988</v>
      </c>
      <c r="B96" s="83">
        <v>50</v>
      </c>
      <c r="C96" s="83" t="s">
        <v>665</v>
      </c>
      <c r="D96" s="83" t="s">
        <v>741</v>
      </c>
      <c r="E96" s="91">
        <v>398</v>
      </c>
      <c r="F96" s="91">
        <f t="shared" si="2"/>
        <v>19900</v>
      </c>
      <c r="G96" s="83" t="s">
        <v>752</v>
      </c>
      <c r="H96" s="83"/>
      <c r="I96" s="83"/>
    </row>
    <row r="97" spans="1:9" x14ac:dyDescent="0.3">
      <c r="A97" s="82">
        <v>45988</v>
      </c>
      <c r="B97" s="83">
        <v>1</v>
      </c>
      <c r="C97" s="83" t="s">
        <v>742</v>
      </c>
      <c r="D97" s="83" t="s">
        <v>741</v>
      </c>
      <c r="E97" s="91">
        <v>200</v>
      </c>
      <c r="F97" s="91">
        <f t="shared" si="2"/>
        <v>200</v>
      </c>
      <c r="G97" s="83"/>
      <c r="H97" s="83"/>
      <c r="I97" s="83" t="s">
        <v>85</v>
      </c>
    </row>
    <row r="98" spans="1:9" x14ac:dyDescent="0.3">
      <c r="A98" s="82">
        <v>45988</v>
      </c>
      <c r="B98" s="83">
        <v>10</v>
      </c>
      <c r="C98" s="83" t="s">
        <v>647</v>
      </c>
      <c r="D98" s="83" t="s">
        <v>335</v>
      </c>
      <c r="E98" s="91">
        <v>410</v>
      </c>
      <c r="F98" s="91">
        <f t="shared" si="2"/>
        <v>4100</v>
      </c>
      <c r="G98" s="83" t="s">
        <v>743</v>
      </c>
      <c r="H98" s="83"/>
      <c r="I98" s="83" t="s">
        <v>687</v>
      </c>
    </row>
    <row r="99" spans="1:9" x14ac:dyDescent="0.3">
      <c r="A99" s="82">
        <v>45989</v>
      </c>
      <c r="B99" s="83">
        <v>6</v>
      </c>
      <c r="C99" s="83" t="s">
        <v>647</v>
      </c>
      <c r="D99" s="83" t="s">
        <v>364</v>
      </c>
      <c r="E99" s="91">
        <v>419</v>
      </c>
      <c r="F99" s="91">
        <f t="shared" si="2"/>
        <v>2514</v>
      </c>
      <c r="G99" s="83" t="s">
        <v>773</v>
      </c>
      <c r="H99" s="83"/>
      <c r="I99" s="83" t="s">
        <v>687</v>
      </c>
    </row>
    <row r="100" spans="1:9" x14ac:dyDescent="0.3">
      <c r="A100" s="88">
        <v>45989</v>
      </c>
      <c r="B100" s="89">
        <v>10</v>
      </c>
      <c r="C100" s="89" t="s">
        <v>745</v>
      </c>
      <c r="D100" s="89" t="s">
        <v>364</v>
      </c>
      <c r="E100" s="90">
        <v>125</v>
      </c>
      <c r="F100" s="90">
        <f t="shared" si="2"/>
        <v>1250</v>
      </c>
      <c r="G100" s="89" t="s">
        <v>751</v>
      </c>
      <c r="H100" s="89"/>
      <c r="I100" s="89"/>
    </row>
    <row r="101" spans="1:9" x14ac:dyDescent="0.3">
      <c r="A101" s="88">
        <v>45989</v>
      </c>
      <c r="B101" s="89">
        <v>3</v>
      </c>
      <c r="C101" s="89" t="s">
        <v>647</v>
      </c>
      <c r="D101" s="89" t="s">
        <v>364</v>
      </c>
      <c r="E101" s="90">
        <v>419</v>
      </c>
      <c r="F101" s="90">
        <f t="shared" si="2"/>
        <v>1257</v>
      </c>
      <c r="G101" s="89" t="s">
        <v>11</v>
      </c>
      <c r="H101" s="89"/>
      <c r="I101" s="89"/>
    </row>
    <row r="102" spans="1:9" x14ac:dyDescent="0.3">
      <c r="A102" s="88">
        <v>45989</v>
      </c>
      <c r="B102" s="89">
        <v>2</v>
      </c>
      <c r="C102" s="89" t="s">
        <v>647</v>
      </c>
      <c r="D102" s="89" t="s">
        <v>364</v>
      </c>
      <c r="E102" s="90">
        <v>419</v>
      </c>
      <c r="F102" s="90">
        <f t="shared" si="2"/>
        <v>838</v>
      </c>
      <c r="G102" s="89" t="s">
        <v>102</v>
      </c>
      <c r="H102" s="89"/>
      <c r="I102" s="89"/>
    </row>
    <row r="103" spans="1:9" x14ac:dyDescent="0.3">
      <c r="A103" s="82">
        <v>45990</v>
      </c>
      <c r="B103" s="83">
        <v>1</v>
      </c>
      <c r="C103" s="83" t="s">
        <v>717</v>
      </c>
      <c r="D103" s="83" t="s">
        <v>746</v>
      </c>
      <c r="E103" s="91">
        <v>467</v>
      </c>
      <c r="F103" s="91">
        <f t="shared" si="2"/>
        <v>467</v>
      </c>
      <c r="G103" s="83" t="s">
        <v>8</v>
      </c>
      <c r="H103" s="83"/>
      <c r="I103" s="83" t="s">
        <v>687</v>
      </c>
    </row>
    <row r="104" spans="1:9" x14ac:dyDescent="0.3">
      <c r="A104" s="82">
        <v>45990</v>
      </c>
      <c r="B104" s="83">
        <v>2</v>
      </c>
      <c r="C104" s="83" t="s">
        <v>717</v>
      </c>
      <c r="D104" s="83" t="s">
        <v>331</v>
      </c>
      <c r="E104" s="91">
        <v>479</v>
      </c>
      <c r="F104" s="91">
        <f t="shared" si="2"/>
        <v>958</v>
      </c>
      <c r="G104" s="83" t="s">
        <v>8</v>
      </c>
      <c r="H104" s="83"/>
      <c r="I104" s="83" t="s">
        <v>687</v>
      </c>
    </row>
    <row r="105" spans="1:9" x14ac:dyDescent="0.3">
      <c r="A105" s="82">
        <v>45990</v>
      </c>
      <c r="B105" s="83">
        <v>2</v>
      </c>
      <c r="C105" s="83" t="s">
        <v>665</v>
      </c>
      <c r="D105" s="83" t="s">
        <v>331</v>
      </c>
      <c r="E105" s="91">
        <v>399</v>
      </c>
      <c r="F105" s="91">
        <f t="shared" si="2"/>
        <v>798</v>
      </c>
      <c r="G105" s="83" t="s">
        <v>8</v>
      </c>
      <c r="H105" s="83"/>
      <c r="I105" s="83" t="s">
        <v>687</v>
      </c>
    </row>
    <row r="106" spans="1:9" x14ac:dyDescent="0.3">
      <c r="A106" s="82">
        <v>45990</v>
      </c>
      <c r="B106" s="83">
        <v>3</v>
      </c>
      <c r="C106" s="83" t="s">
        <v>647</v>
      </c>
      <c r="D106" s="83" t="s">
        <v>230</v>
      </c>
      <c r="E106" s="91">
        <v>419</v>
      </c>
      <c r="F106" s="91">
        <f t="shared" si="2"/>
        <v>1257</v>
      </c>
      <c r="G106" s="83" t="s">
        <v>8</v>
      </c>
      <c r="H106" s="83"/>
      <c r="I106" s="83" t="s">
        <v>687</v>
      </c>
    </row>
    <row r="107" spans="1:9" x14ac:dyDescent="0.3">
      <c r="A107" s="82">
        <v>45990</v>
      </c>
      <c r="B107" s="83">
        <v>2</v>
      </c>
      <c r="C107" s="83" t="s">
        <v>717</v>
      </c>
      <c r="D107" s="83" t="s">
        <v>230</v>
      </c>
      <c r="E107" s="91">
        <v>479</v>
      </c>
      <c r="F107" s="91">
        <f t="shared" si="2"/>
        <v>958</v>
      </c>
      <c r="G107" s="83" t="s">
        <v>8</v>
      </c>
      <c r="H107" s="83"/>
      <c r="I107" s="83" t="s">
        <v>687</v>
      </c>
    </row>
    <row r="108" spans="1:9" x14ac:dyDescent="0.3">
      <c r="A108" s="82">
        <v>45990</v>
      </c>
      <c r="B108" s="83">
        <v>3</v>
      </c>
      <c r="C108" s="83" t="s">
        <v>747</v>
      </c>
      <c r="D108" s="83" t="s">
        <v>230</v>
      </c>
      <c r="E108" s="91">
        <v>105</v>
      </c>
      <c r="F108" s="91">
        <f t="shared" si="2"/>
        <v>315</v>
      </c>
      <c r="G108" s="83" t="s">
        <v>8</v>
      </c>
      <c r="H108" s="83"/>
      <c r="I108" s="83" t="s">
        <v>687</v>
      </c>
    </row>
    <row r="109" spans="1:9" x14ac:dyDescent="0.3">
      <c r="A109" s="82">
        <v>45990</v>
      </c>
      <c r="B109" s="83">
        <v>2</v>
      </c>
      <c r="C109" s="83" t="s">
        <v>665</v>
      </c>
      <c r="D109" s="83" t="s">
        <v>230</v>
      </c>
      <c r="E109" s="91">
        <v>299</v>
      </c>
      <c r="F109" s="91">
        <f t="shared" si="2"/>
        <v>598</v>
      </c>
      <c r="G109" s="83" t="s">
        <v>8</v>
      </c>
      <c r="H109" s="83"/>
      <c r="I109" s="83" t="s">
        <v>687</v>
      </c>
    </row>
    <row r="110" spans="1:9" x14ac:dyDescent="0.3">
      <c r="A110" s="88">
        <v>45990</v>
      </c>
      <c r="B110" s="89">
        <v>1</v>
      </c>
      <c r="C110" s="89" t="s">
        <v>748</v>
      </c>
      <c r="D110" s="89" t="s">
        <v>230</v>
      </c>
      <c r="E110" s="90">
        <v>399</v>
      </c>
      <c r="F110" s="90">
        <f t="shared" si="2"/>
        <v>399</v>
      </c>
      <c r="G110" s="89" t="s">
        <v>102</v>
      </c>
      <c r="H110" s="89"/>
      <c r="I110" s="89"/>
    </row>
    <row r="111" spans="1:9" x14ac:dyDescent="0.3">
      <c r="A111" s="82">
        <v>45990</v>
      </c>
      <c r="B111" s="83">
        <v>4</v>
      </c>
      <c r="C111" s="83" t="s">
        <v>665</v>
      </c>
      <c r="D111" s="83" t="s">
        <v>749</v>
      </c>
      <c r="E111" s="91">
        <v>398</v>
      </c>
      <c r="F111" s="91">
        <f t="shared" si="2"/>
        <v>1592</v>
      </c>
      <c r="G111" s="83" t="s">
        <v>8</v>
      </c>
      <c r="H111" s="83"/>
      <c r="I111" s="83" t="s">
        <v>687</v>
      </c>
    </row>
    <row r="112" spans="1:9" x14ac:dyDescent="0.3">
      <c r="A112" s="82">
        <v>45990</v>
      </c>
      <c r="B112" s="83">
        <v>2</v>
      </c>
      <c r="C112" s="83" t="s">
        <v>665</v>
      </c>
      <c r="D112" s="83" t="s">
        <v>749</v>
      </c>
      <c r="E112" s="91">
        <v>398</v>
      </c>
      <c r="F112" s="91">
        <f t="shared" si="2"/>
        <v>796</v>
      </c>
      <c r="G112" s="83" t="s">
        <v>795</v>
      </c>
      <c r="H112" s="83"/>
      <c r="I112" s="83" t="s">
        <v>687</v>
      </c>
    </row>
    <row r="113" spans="1:9" x14ac:dyDescent="0.3">
      <c r="A113" s="82">
        <v>45990</v>
      </c>
      <c r="B113" s="83">
        <v>4</v>
      </c>
      <c r="C113" s="83" t="s">
        <v>665</v>
      </c>
      <c r="D113" s="83" t="s">
        <v>495</v>
      </c>
      <c r="E113" s="91">
        <v>398</v>
      </c>
      <c r="F113" s="91">
        <f t="shared" si="2"/>
        <v>1592</v>
      </c>
      <c r="G113" s="83" t="s">
        <v>8</v>
      </c>
      <c r="H113" s="83"/>
      <c r="I113" s="83" t="s">
        <v>687</v>
      </c>
    </row>
    <row r="114" spans="1:9" x14ac:dyDescent="0.3">
      <c r="A114" s="82">
        <v>45990</v>
      </c>
      <c r="B114" s="83">
        <v>3</v>
      </c>
      <c r="C114" s="83" t="s">
        <v>665</v>
      </c>
      <c r="D114" s="83" t="s">
        <v>750</v>
      </c>
      <c r="E114" s="91">
        <v>398</v>
      </c>
      <c r="F114" s="91">
        <f t="shared" si="2"/>
        <v>1194</v>
      </c>
      <c r="G114" s="83" t="s">
        <v>8</v>
      </c>
      <c r="H114" s="83"/>
      <c r="I114" s="83" t="s">
        <v>687</v>
      </c>
    </row>
    <row r="115" spans="1:9" x14ac:dyDescent="0.3">
      <c r="A115" s="82">
        <v>45990</v>
      </c>
      <c r="B115" s="83">
        <v>5</v>
      </c>
      <c r="C115" s="83" t="s">
        <v>665</v>
      </c>
      <c r="D115" s="83" t="s">
        <v>678</v>
      </c>
      <c r="E115" s="91">
        <v>398</v>
      </c>
      <c r="F115" s="91">
        <f t="shared" si="2"/>
        <v>1990</v>
      </c>
      <c r="G115" s="83" t="s">
        <v>62</v>
      </c>
      <c r="H115" s="83"/>
      <c r="I115" s="83"/>
    </row>
    <row r="116" spans="1:9" x14ac:dyDescent="0.3">
      <c r="A116" s="82">
        <v>45990</v>
      </c>
      <c r="B116" s="83">
        <v>35</v>
      </c>
      <c r="C116" s="83" t="s">
        <v>665</v>
      </c>
      <c r="D116" s="83" t="s">
        <v>678</v>
      </c>
      <c r="E116" s="91">
        <v>0</v>
      </c>
      <c r="F116" s="91">
        <f t="shared" si="2"/>
        <v>0</v>
      </c>
      <c r="G116" s="83" t="s">
        <v>759</v>
      </c>
      <c r="H116" s="83"/>
      <c r="I116" s="83"/>
    </row>
    <row r="117" spans="1:9" x14ac:dyDescent="0.3">
      <c r="A117" s="82">
        <v>45991</v>
      </c>
      <c r="B117" s="83">
        <v>18</v>
      </c>
      <c r="C117" s="83" t="s">
        <v>665</v>
      </c>
      <c r="D117" s="83" t="s">
        <v>760</v>
      </c>
      <c r="E117" s="91">
        <v>398</v>
      </c>
      <c r="F117" s="91">
        <f t="shared" si="2"/>
        <v>7164</v>
      </c>
      <c r="G117" s="83" t="s">
        <v>8</v>
      </c>
      <c r="H117" s="83"/>
      <c r="I117" s="83" t="s">
        <v>687</v>
      </c>
    </row>
    <row r="118" spans="1:9" x14ac:dyDescent="0.3">
      <c r="A118" s="82">
        <v>45991</v>
      </c>
      <c r="B118" s="83">
        <v>9</v>
      </c>
      <c r="C118" s="83" t="s">
        <v>665</v>
      </c>
      <c r="D118" s="83" t="s">
        <v>761</v>
      </c>
      <c r="E118" s="91">
        <v>398</v>
      </c>
      <c r="F118" s="91">
        <f t="shared" si="2"/>
        <v>3582</v>
      </c>
      <c r="G118" s="83" t="s">
        <v>8</v>
      </c>
      <c r="H118" s="83"/>
      <c r="I118" s="83" t="s">
        <v>687</v>
      </c>
    </row>
    <row r="119" spans="1:9" x14ac:dyDescent="0.3">
      <c r="A119" s="82">
        <v>45991</v>
      </c>
      <c r="B119" s="83">
        <v>1</v>
      </c>
      <c r="C119" s="83" t="s">
        <v>665</v>
      </c>
      <c r="D119" s="83" t="s">
        <v>762</v>
      </c>
      <c r="E119" s="91">
        <v>299</v>
      </c>
      <c r="F119" s="91">
        <f t="shared" si="2"/>
        <v>299</v>
      </c>
      <c r="G119" s="83" t="s">
        <v>8</v>
      </c>
      <c r="H119" s="83"/>
      <c r="I119" s="83" t="s">
        <v>687</v>
      </c>
    </row>
    <row r="120" spans="1:9" x14ac:dyDescent="0.3">
      <c r="A120" s="82">
        <v>45991</v>
      </c>
      <c r="B120" s="83">
        <v>2</v>
      </c>
      <c r="C120" s="83" t="s">
        <v>717</v>
      </c>
      <c r="D120" s="83" t="s">
        <v>762</v>
      </c>
      <c r="E120" s="91">
        <v>479</v>
      </c>
      <c r="F120" s="91">
        <f t="shared" si="2"/>
        <v>958</v>
      </c>
      <c r="G120" s="83" t="s">
        <v>8</v>
      </c>
      <c r="H120" s="83"/>
      <c r="I120" s="83" t="s">
        <v>687</v>
      </c>
    </row>
    <row r="121" spans="1:9" x14ac:dyDescent="0.3">
      <c r="A121" s="82">
        <v>45991</v>
      </c>
      <c r="B121" s="83">
        <v>8</v>
      </c>
      <c r="C121" s="83" t="s">
        <v>698</v>
      </c>
      <c r="D121" s="83" t="s">
        <v>762</v>
      </c>
      <c r="E121" s="91">
        <v>125</v>
      </c>
      <c r="F121" s="91">
        <f t="shared" si="2"/>
        <v>1000</v>
      </c>
      <c r="G121" s="83" t="s">
        <v>8</v>
      </c>
      <c r="H121" s="83"/>
      <c r="I121" s="83" t="s">
        <v>687</v>
      </c>
    </row>
    <row r="122" spans="1:9" x14ac:dyDescent="0.3">
      <c r="A122" s="82">
        <v>45991</v>
      </c>
      <c r="B122" s="83">
        <v>1</v>
      </c>
      <c r="C122" s="83" t="s">
        <v>763</v>
      </c>
      <c r="D122" s="83" t="s">
        <v>762</v>
      </c>
      <c r="E122" s="91">
        <v>380</v>
      </c>
      <c r="F122" s="91">
        <f t="shared" si="2"/>
        <v>380</v>
      </c>
      <c r="G122" s="83" t="s">
        <v>8</v>
      </c>
      <c r="H122" s="83"/>
      <c r="I122" s="83" t="s">
        <v>687</v>
      </c>
    </row>
    <row r="123" spans="1:9" x14ac:dyDescent="0.3">
      <c r="A123" s="82">
        <v>45991</v>
      </c>
      <c r="B123" s="83">
        <v>1</v>
      </c>
      <c r="C123" s="83" t="s">
        <v>692</v>
      </c>
      <c r="D123" s="83" t="s">
        <v>762</v>
      </c>
      <c r="E123" s="91">
        <v>419</v>
      </c>
      <c r="F123" s="91">
        <f t="shared" si="2"/>
        <v>419</v>
      </c>
      <c r="G123" s="83" t="s">
        <v>8</v>
      </c>
      <c r="H123" s="83"/>
      <c r="I123" s="83" t="s">
        <v>687</v>
      </c>
    </row>
    <row r="124" spans="1:9" x14ac:dyDescent="0.3">
      <c r="A124" s="82">
        <v>45991</v>
      </c>
      <c r="B124" s="83">
        <v>2</v>
      </c>
      <c r="C124" s="83" t="s">
        <v>665</v>
      </c>
      <c r="D124" s="83" t="s">
        <v>764</v>
      </c>
      <c r="E124" s="91">
        <v>398</v>
      </c>
      <c r="F124" s="91">
        <f t="shared" si="2"/>
        <v>796</v>
      </c>
      <c r="G124" s="83" t="s">
        <v>8</v>
      </c>
      <c r="H124" s="83"/>
      <c r="I124" s="83" t="s">
        <v>687</v>
      </c>
    </row>
    <row r="125" spans="1:9" x14ac:dyDescent="0.3">
      <c r="A125" s="82">
        <v>45991</v>
      </c>
      <c r="B125" s="83">
        <v>2</v>
      </c>
      <c r="C125" s="83" t="s">
        <v>665</v>
      </c>
      <c r="D125" s="83" t="s">
        <v>764</v>
      </c>
      <c r="E125" s="91">
        <v>398</v>
      </c>
      <c r="F125" s="91">
        <f t="shared" si="2"/>
        <v>796</v>
      </c>
      <c r="G125" s="83" t="s">
        <v>783</v>
      </c>
      <c r="H125" s="83"/>
      <c r="I125" s="83" t="s">
        <v>687</v>
      </c>
    </row>
    <row r="126" spans="1:9" x14ac:dyDescent="0.3">
      <c r="A126" s="82">
        <v>45991</v>
      </c>
      <c r="B126" s="83">
        <v>4</v>
      </c>
      <c r="C126" s="83" t="s">
        <v>665</v>
      </c>
      <c r="D126" s="83" t="s">
        <v>765</v>
      </c>
      <c r="E126" s="91">
        <v>398</v>
      </c>
      <c r="F126" s="91">
        <f t="shared" si="2"/>
        <v>1592</v>
      </c>
      <c r="G126" s="83" t="s">
        <v>783</v>
      </c>
      <c r="H126" s="83"/>
      <c r="I126" s="83" t="s">
        <v>687</v>
      </c>
    </row>
    <row r="127" spans="1:9" x14ac:dyDescent="0.3">
      <c r="A127" s="82">
        <v>45991</v>
      </c>
      <c r="B127" s="83">
        <v>2</v>
      </c>
      <c r="C127" s="83" t="s">
        <v>665</v>
      </c>
      <c r="D127" s="83" t="s">
        <v>765</v>
      </c>
      <c r="E127" s="91">
        <v>398</v>
      </c>
      <c r="F127" s="91">
        <f t="shared" si="2"/>
        <v>796</v>
      </c>
      <c r="G127" s="83" t="s">
        <v>8</v>
      </c>
      <c r="H127" s="83"/>
      <c r="I127" s="83" t="s">
        <v>687</v>
      </c>
    </row>
    <row r="128" spans="1:9" x14ac:dyDescent="0.3">
      <c r="A128" s="82">
        <v>45991</v>
      </c>
      <c r="B128" s="83">
        <v>3</v>
      </c>
      <c r="C128" s="83" t="s">
        <v>665</v>
      </c>
      <c r="D128" s="83" t="s">
        <v>364</v>
      </c>
      <c r="E128" s="91">
        <v>299</v>
      </c>
      <c r="F128" s="91">
        <f t="shared" si="2"/>
        <v>897</v>
      </c>
      <c r="G128" s="83" t="s">
        <v>8</v>
      </c>
      <c r="H128" s="83"/>
      <c r="I128" s="83" t="s">
        <v>687</v>
      </c>
    </row>
    <row r="129" spans="1:9" x14ac:dyDescent="0.3">
      <c r="A129" s="82">
        <v>45991</v>
      </c>
      <c r="B129" s="83">
        <v>2</v>
      </c>
      <c r="C129" s="83" t="s">
        <v>717</v>
      </c>
      <c r="D129" s="83" t="s">
        <v>364</v>
      </c>
      <c r="E129" s="91">
        <v>479</v>
      </c>
      <c r="F129" s="91">
        <f t="shared" si="2"/>
        <v>958</v>
      </c>
      <c r="G129" s="83" t="s">
        <v>8</v>
      </c>
      <c r="H129" s="83"/>
      <c r="I129" s="83" t="s">
        <v>687</v>
      </c>
    </row>
    <row r="130" spans="1:9" x14ac:dyDescent="0.3">
      <c r="A130" s="82">
        <v>45991</v>
      </c>
      <c r="B130" s="83">
        <v>8</v>
      </c>
      <c r="C130" s="83" t="s">
        <v>698</v>
      </c>
      <c r="D130" s="83" t="s">
        <v>364</v>
      </c>
      <c r="E130" s="91">
        <v>125</v>
      </c>
      <c r="F130" s="91">
        <f t="shared" si="2"/>
        <v>1000</v>
      </c>
      <c r="G130" s="83" t="s">
        <v>8</v>
      </c>
      <c r="H130" s="83"/>
      <c r="I130" s="83" t="s">
        <v>687</v>
      </c>
    </row>
    <row r="131" spans="1:9" x14ac:dyDescent="0.3">
      <c r="A131" s="82">
        <v>45991</v>
      </c>
      <c r="B131" s="83">
        <v>7</v>
      </c>
      <c r="C131" s="83" t="s">
        <v>748</v>
      </c>
      <c r="D131" s="83" t="s">
        <v>364</v>
      </c>
      <c r="E131" s="91">
        <v>380</v>
      </c>
      <c r="F131" s="91">
        <f t="shared" si="2"/>
        <v>2660</v>
      </c>
      <c r="G131" s="83" t="s">
        <v>8</v>
      </c>
      <c r="H131" s="83"/>
      <c r="I131" s="83" t="s">
        <v>687</v>
      </c>
    </row>
    <row r="132" spans="1:9" x14ac:dyDescent="0.3">
      <c r="A132" s="82">
        <v>45991</v>
      </c>
      <c r="B132" s="83">
        <v>3</v>
      </c>
      <c r="C132" s="83" t="s">
        <v>692</v>
      </c>
      <c r="D132" s="83" t="s">
        <v>364</v>
      </c>
      <c r="E132" s="91">
        <v>410</v>
      </c>
      <c r="F132" s="91">
        <f t="shared" si="2"/>
        <v>1230</v>
      </c>
      <c r="G132" s="83" t="s">
        <v>766</v>
      </c>
      <c r="H132" s="83"/>
      <c r="I132" s="83"/>
    </row>
    <row r="133" spans="1:9" x14ac:dyDescent="0.3">
      <c r="A133" s="82">
        <v>45991</v>
      </c>
      <c r="B133" s="83">
        <v>47</v>
      </c>
      <c r="C133" s="83" t="s">
        <v>665</v>
      </c>
      <c r="D133" s="83" t="s">
        <v>777</v>
      </c>
      <c r="E133" s="91">
        <v>398</v>
      </c>
      <c r="F133" s="91">
        <f t="shared" si="2"/>
        <v>18706</v>
      </c>
      <c r="G133" s="83" t="s">
        <v>776</v>
      </c>
      <c r="H133" s="83"/>
      <c r="I133" s="83" t="s">
        <v>804</v>
      </c>
    </row>
    <row r="134" spans="1:9" x14ac:dyDescent="0.3">
      <c r="A134" s="82">
        <v>45991</v>
      </c>
      <c r="B134" s="83">
        <v>1</v>
      </c>
      <c r="C134" s="83" t="s">
        <v>778</v>
      </c>
      <c r="D134" s="83" t="s">
        <v>779</v>
      </c>
      <c r="E134" s="91">
        <v>470</v>
      </c>
      <c r="F134" s="91">
        <f t="shared" si="2"/>
        <v>470</v>
      </c>
      <c r="G134" s="83" t="s">
        <v>780</v>
      </c>
      <c r="H134" s="83"/>
      <c r="I134" s="83"/>
    </row>
    <row r="135" spans="1:9" x14ac:dyDescent="0.3">
      <c r="A135" s="82">
        <v>45991</v>
      </c>
      <c r="B135" s="83">
        <v>1</v>
      </c>
      <c r="C135" s="83" t="s">
        <v>542</v>
      </c>
      <c r="D135" s="83" t="s">
        <v>687</v>
      </c>
      <c r="E135" s="91">
        <v>10122.66</v>
      </c>
      <c r="F135" s="91">
        <f t="shared" si="2"/>
        <v>10122.66</v>
      </c>
      <c r="G135" s="83" t="s">
        <v>781</v>
      </c>
      <c r="H135" s="83"/>
      <c r="I135" s="83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O46"/>
  <sheetViews>
    <sheetView topLeftCell="A10" workbookViewId="0">
      <selection activeCell="A34" sqref="A34:I38"/>
    </sheetView>
  </sheetViews>
  <sheetFormatPr defaultRowHeight="14.4" x14ac:dyDescent="0.3"/>
  <cols>
    <col min="3" max="3" width="19" bestFit="1" customWidth="1"/>
    <col min="4" max="4" width="23.88671875" bestFit="1" customWidth="1"/>
    <col min="7" max="7" width="25.88671875" bestFit="1" customWidth="1"/>
    <col min="8" max="8" width="7.88671875" bestFit="1" customWidth="1"/>
    <col min="9" max="9" width="10.109375" bestFit="1" customWidth="1"/>
    <col min="14" max="14" width="16.66406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82">
        <v>45992</v>
      </c>
      <c r="B2" s="83">
        <v>2</v>
      </c>
      <c r="C2" s="83" t="s">
        <v>665</v>
      </c>
      <c r="D2" s="83" t="s">
        <v>782</v>
      </c>
      <c r="E2" s="84">
        <v>399</v>
      </c>
      <c r="F2" s="84">
        <f t="shared" ref="F2:F15" si="0">E2*B2</f>
        <v>798</v>
      </c>
      <c r="G2" s="83" t="s">
        <v>795</v>
      </c>
      <c r="H2" s="83"/>
      <c r="I2" s="83" t="s">
        <v>687</v>
      </c>
    </row>
    <row r="3" spans="1:15" x14ac:dyDescent="0.3">
      <c r="A3" s="82">
        <v>45992</v>
      </c>
      <c r="B3" s="83">
        <v>2</v>
      </c>
      <c r="C3" s="83" t="s">
        <v>665</v>
      </c>
      <c r="D3" s="83" t="s">
        <v>797</v>
      </c>
      <c r="E3" s="84">
        <v>398</v>
      </c>
      <c r="F3" s="84">
        <f t="shared" si="0"/>
        <v>796</v>
      </c>
      <c r="G3" s="83" t="s">
        <v>8</v>
      </c>
      <c r="H3" s="83"/>
      <c r="I3" s="83" t="s">
        <v>687</v>
      </c>
      <c r="L3">
        <v>2</v>
      </c>
      <c r="M3" t="s">
        <v>792</v>
      </c>
      <c r="N3" t="s">
        <v>39</v>
      </c>
      <c r="O3" t="s">
        <v>793</v>
      </c>
    </row>
    <row r="4" spans="1:15" x14ac:dyDescent="0.3">
      <c r="A4" s="82">
        <v>45992</v>
      </c>
      <c r="B4" s="83">
        <v>2</v>
      </c>
      <c r="C4" s="83" t="s">
        <v>786</v>
      </c>
      <c r="D4" s="83" t="s">
        <v>364</v>
      </c>
      <c r="E4" s="84">
        <v>479</v>
      </c>
      <c r="F4" s="84">
        <f t="shared" si="0"/>
        <v>958</v>
      </c>
      <c r="G4" s="83" t="s">
        <v>12</v>
      </c>
      <c r="H4" s="83"/>
      <c r="I4" s="83"/>
    </row>
    <row r="5" spans="1:15" x14ac:dyDescent="0.3">
      <c r="A5" s="82">
        <v>45992</v>
      </c>
      <c r="B5" s="83">
        <v>2</v>
      </c>
      <c r="C5" s="83" t="s">
        <v>665</v>
      </c>
      <c r="D5" s="83" t="s">
        <v>364</v>
      </c>
      <c r="E5" s="84">
        <v>299</v>
      </c>
      <c r="F5" s="84">
        <f t="shared" si="0"/>
        <v>598</v>
      </c>
      <c r="G5" s="83" t="s">
        <v>12</v>
      </c>
      <c r="H5" s="83"/>
      <c r="I5" s="83"/>
    </row>
    <row r="6" spans="1:15" x14ac:dyDescent="0.3">
      <c r="A6" s="82">
        <v>45992</v>
      </c>
      <c r="B6" s="83">
        <v>3</v>
      </c>
      <c r="C6" s="83" t="s">
        <v>662</v>
      </c>
      <c r="D6" s="83" t="s">
        <v>364</v>
      </c>
      <c r="E6" s="84">
        <v>419</v>
      </c>
      <c r="F6" s="84">
        <f t="shared" si="0"/>
        <v>1257</v>
      </c>
      <c r="G6" s="83" t="s">
        <v>12</v>
      </c>
      <c r="H6" s="83"/>
      <c r="I6" s="83"/>
    </row>
    <row r="7" spans="1:15" x14ac:dyDescent="0.3">
      <c r="A7" s="82">
        <v>45992</v>
      </c>
      <c r="B7" s="83">
        <v>10</v>
      </c>
      <c r="C7" s="83" t="s">
        <v>698</v>
      </c>
      <c r="D7" s="83" t="s">
        <v>364</v>
      </c>
      <c r="E7" s="84">
        <v>125</v>
      </c>
      <c r="F7" s="84">
        <f t="shared" si="0"/>
        <v>1250</v>
      </c>
      <c r="G7" s="83" t="s">
        <v>12</v>
      </c>
      <c r="H7" s="83"/>
      <c r="I7" s="83"/>
    </row>
    <row r="8" spans="1:15" x14ac:dyDescent="0.3">
      <c r="A8" s="82">
        <v>45992</v>
      </c>
      <c r="B8" s="83">
        <v>2</v>
      </c>
      <c r="C8" s="83" t="s">
        <v>786</v>
      </c>
      <c r="D8" s="83" t="s">
        <v>364</v>
      </c>
      <c r="E8" s="84">
        <v>479</v>
      </c>
      <c r="F8" s="84">
        <f t="shared" si="0"/>
        <v>958</v>
      </c>
      <c r="G8" s="83" t="s">
        <v>803</v>
      </c>
      <c r="H8" s="83"/>
      <c r="I8" s="83"/>
    </row>
    <row r="9" spans="1:15" x14ac:dyDescent="0.3">
      <c r="A9" s="82">
        <v>45992</v>
      </c>
      <c r="B9" s="83">
        <v>1</v>
      </c>
      <c r="C9" s="83" t="s">
        <v>665</v>
      </c>
      <c r="D9" s="83" t="s">
        <v>364</v>
      </c>
      <c r="E9" s="84">
        <v>299</v>
      </c>
      <c r="F9" s="84">
        <f t="shared" si="0"/>
        <v>299</v>
      </c>
      <c r="G9" s="83" t="s">
        <v>803</v>
      </c>
      <c r="H9" s="83"/>
      <c r="I9" s="83"/>
    </row>
    <row r="10" spans="1:15" x14ac:dyDescent="0.3">
      <c r="A10" s="85">
        <v>45992</v>
      </c>
      <c r="B10" s="86">
        <v>3</v>
      </c>
      <c r="C10" s="86" t="s">
        <v>662</v>
      </c>
      <c r="D10" s="86" t="s">
        <v>364</v>
      </c>
      <c r="E10" s="87">
        <v>419</v>
      </c>
      <c r="F10" s="87">
        <f t="shared" si="0"/>
        <v>1257</v>
      </c>
      <c r="G10" s="86" t="s">
        <v>803</v>
      </c>
      <c r="H10" s="86"/>
      <c r="I10" s="86"/>
    </row>
    <row r="11" spans="1:15" x14ac:dyDescent="0.3">
      <c r="A11" s="82">
        <v>45992</v>
      </c>
      <c r="B11" s="83">
        <v>1</v>
      </c>
      <c r="C11" s="83" t="s">
        <v>787</v>
      </c>
      <c r="D11" s="83" t="s">
        <v>30</v>
      </c>
      <c r="E11" s="84">
        <v>659</v>
      </c>
      <c r="F11" s="84">
        <f t="shared" si="0"/>
        <v>659</v>
      </c>
      <c r="G11" s="83" t="s">
        <v>794</v>
      </c>
      <c r="H11" s="83"/>
      <c r="I11" s="83" t="s">
        <v>687</v>
      </c>
    </row>
    <row r="12" spans="1:15" x14ac:dyDescent="0.3">
      <c r="A12" s="82">
        <v>45992</v>
      </c>
      <c r="B12" s="83">
        <v>1</v>
      </c>
      <c r="C12" s="83" t="s">
        <v>788</v>
      </c>
      <c r="D12" s="83" t="s">
        <v>30</v>
      </c>
      <c r="E12" s="84">
        <v>509</v>
      </c>
      <c r="F12" s="84">
        <f t="shared" si="0"/>
        <v>509</v>
      </c>
      <c r="G12" s="83" t="s">
        <v>794</v>
      </c>
      <c r="H12" s="83"/>
      <c r="I12" s="83" t="s">
        <v>687</v>
      </c>
    </row>
    <row r="13" spans="1:15" x14ac:dyDescent="0.3">
      <c r="A13" s="82">
        <v>45992</v>
      </c>
      <c r="B13" s="83">
        <v>12</v>
      </c>
      <c r="C13" s="83" t="s">
        <v>665</v>
      </c>
      <c r="D13" s="83" t="s">
        <v>790</v>
      </c>
      <c r="E13" s="84">
        <v>398</v>
      </c>
      <c r="F13" s="84">
        <f t="shared" si="0"/>
        <v>4776</v>
      </c>
      <c r="G13" s="83" t="s">
        <v>791</v>
      </c>
      <c r="H13" s="83"/>
      <c r="I13" s="83" t="s">
        <v>804</v>
      </c>
    </row>
    <row r="14" spans="1:15" x14ac:dyDescent="0.3">
      <c r="A14" s="82">
        <v>45993</v>
      </c>
      <c r="B14" s="83">
        <v>2</v>
      </c>
      <c r="C14" s="83" t="s">
        <v>665</v>
      </c>
      <c r="D14" s="83" t="s">
        <v>28</v>
      </c>
      <c r="E14" s="84">
        <v>398</v>
      </c>
      <c r="F14" s="84">
        <f t="shared" si="0"/>
        <v>796</v>
      </c>
      <c r="G14" s="83" t="s">
        <v>8</v>
      </c>
      <c r="H14" s="83"/>
      <c r="I14" s="83" t="s">
        <v>687</v>
      </c>
    </row>
    <row r="15" spans="1:15" x14ac:dyDescent="0.3">
      <c r="A15" s="82">
        <v>45993</v>
      </c>
      <c r="B15" s="83">
        <v>2</v>
      </c>
      <c r="C15" s="83" t="s">
        <v>665</v>
      </c>
      <c r="D15" s="83" t="s">
        <v>796</v>
      </c>
      <c r="E15" s="84">
        <v>398</v>
      </c>
      <c r="F15" s="84">
        <f t="shared" si="0"/>
        <v>796</v>
      </c>
      <c r="G15" s="83" t="s">
        <v>8</v>
      </c>
      <c r="H15" s="83"/>
      <c r="I15" s="83" t="s">
        <v>687</v>
      </c>
    </row>
    <row r="16" spans="1:15" x14ac:dyDescent="0.3">
      <c r="A16" s="82">
        <v>45993</v>
      </c>
      <c r="B16" s="83">
        <v>1</v>
      </c>
      <c r="C16" s="83" t="s">
        <v>665</v>
      </c>
      <c r="D16" s="83" t="s">
        <v>790</v>
      </c>
      <c r="E16" s="84">
        <v>398</v>
      </c>
      <c r="F16" s="84">
        <f t="shared" ref="F16:F41" si="1">E16*B16</f>
        <v>398</v>
      </c>
      <c r="G16" s="83" t="s">
        <v>791</v>
      </c>
      <c r="H16" s="83"/>
      <c r="I16" s="83" t="s">
        <v>804</v>
      </c>
    </row>
    <row r="17" spans="1:10" x14ac:dyDescent="0.3">
      <c r="A17" s="82">
        <v>45993</v>
      </c>
      <c r="B17" s="83">
        <v>1</v>
      </c>
      <c r="C17" s="83" t="s">
        <v>778</v>
      </c>
      <c r="D17" s="83" t="s">
        <v>779</v>
      </c>
      <c r="E17" s="84">
        <v>130</v>
      </c>
      <c r="F17" s="84">
        <f t="shared" si="1"/>
        <v>130</v>
      </c>
      <c r="G17" s="83" t="s">
        <v>780</v>
      </c>
      <c r="H17" s="83"/>
      <c r="I17" s="83"/>
    </row>
    <row r="18" spans="1:10" x14ac:dyDescent="0.3">
      <c r="A18" s="82">
        <v>45993</v>
      </c>
      <c r="B18" s="83">
        <v>5</v>
      </c>
      <c r="C18" s="83" t="s">
        <v>708</v>
      </c>
      <c r="D18" s="83" t="s">
        <v>798</v>
      </c>
      <c r="E18" s="84">
        <v>105</v>
      </c>
      <c r="F18" s="84">
        <f t="shared" si="1"/>
        <v>525</v>
      </c>
      <c r="G18" s="83" t="s">
        <v>799</v>
      </c>
      <c r="H18" s="83"/>
      <c r="I18" s="83" t="s">
        <v>687</v>
      </c>
    </row>
    <row r="19" spans="1:10" x14ac:dyDescent="0.3">
      <c r="A19" s="82">
        <v>45993</v>
      </c>
      <c r="B19" s="83">
        <v>2</v>
      </c>
      <c r="C19" s="83" t="s">
        <v>665</v>
      </c>
      <c r="D19" s="83" t="s">
        <v>798</v>
      </c>
      <c r="E19" s="84">
        <v>299</v>
      </c>
      <c r="F19" s="84">
        <f t="shared" si="1"/>
        <v>598</v>
      </c>
      <c r="G19" s="83" t="s">
        <v>799</v>
      </c>
      <c r="H19" s="83"/>
      <c r="I19" s="83" t="s">
        <v>687</v>
      </c>
    </row>
    <row r="20" spans="1:10" x14ac:dyDescent="0.3">
      <c r="A20" s="82">
        <v>45993</v>
      </c>
      <c r="B20" s="83">
        <v>4</v>
      </c>
      <c r="C20" s="83" t="s">
        <v>698</v>
      </c>
      <c r="D20" s="83" t="s">
        <v>798</v>
      </c>
      <c r="E20" s="84">
        <v>125</v>
      </c>
      <c r="F20" s="84">
        <f t="shared" si="1"/>
        <v>500</v>
      </c>
      <c r="G20" s="83" t="s">
        <v>799</v>
      </c>
      <c r="H20" s="83"/>
      <c r="I20" s="83"/>
    </row>
    <row r="21" spans="1:10" x14ac:dyDescent="0.3">
      <c r="A21" s="82">
        <v>45993</v>
      </c>
      <c r="B21" s="83">
        <v>2</v>
      </c>
      <c r="C21" s="83" t="s">
        <v>717</v>
      </c>
      <c r="D21" s="83" t="s">
        <v>798</v>
      </c>
      <c r="E21" s="84">
        <v>479</v>
      </c>
      <c r="F21" s="84">
        <f t="shared" si="1"/>
        <v>958</v>
      </c>
      <c r="G21" s="83" t="s">
        <v>799</v>
      </c>
      <c r="H21" s="83"/>
      <c r="I21" s="83" t="s">
        <v>687</v>
      </c>
    </row>
    <row r="22" spans="1:10" x14ac:dyDescent="0.3">
      <c r="A22" s="82">
        <v>45993</v>
      </c>
      <c r="B22" s="83">
        <v>1</v>
      </c>
      <c r="C22" s="83" t="s">
        <v>665</v>
      </c>
      <c r="D22" s="83" t="s">
        <v>800</v>
      </c>
      <c r="E22" s="84">
        <v>299</v>
      </c>
      <c r="F22" s="84">
        <f t="shared" si="1"/>
        <v>299</v>
      </c>
      <c r="G22" s="83" t="s">
        <v>799</v>
      </c>
      <c r="H22" s="83"/>
      <c r="I22" s="83" t="s">
        <v>687</v>
      </c>
    </row>
    <row r="23" spans="1:10" x14ac:dyDescent="0.3">
      <c r="A23" s="82">
        <v>45993</v>
      </c>
      <c r="B23" s="83">
        <v>2</v>
      </c>
      <c r="C23" s="83" t="s">
        <v>183</v>
      </c>
      <c r="D23" s="83" t="s">
        <v>800</v>
      </c>
      <c r="E23" s="84">
        <v>478</v>
      </c>
      <c r="F23" s="84">
        <f t="shared" si="1"/>
        <v>956</v>
      </c>
      <c r="G23" s="83" t="s">
        <v>799</v>
      </c>
      <c r="H23" s="83"/>
      <c r="I23" s="83" t="s">
        <v>687</v>
      </c>
    </row>
    <row r="24" spans="1:10" x14ac:dyDescent="0.3">
      <c r="A24" s="82">
        <v>45993</v>
      </c>
      <c r="B24" s="83">
        <v>3</v>
      </c>
      <c r="C24" s="83" t="s">
        <v>665</v>
      </c>
      <c r="D24" s="83" t="s">
        <v>801</v>
      </c>
      <c r="E24" s="84">
        <v>399</v>
      </c>
      <c r="F24" s="84">
        <f t="shared" si="1"/>
        <v>1197</v>
      </c>
      <c r="G24" s="83" t="s">
        <v>799</v>
      </c>
      <c r="H24" s="83"/>
      <c r="I24" s="83" t="s">
        <v>687</v>
      </c>
    </row>
    <row r="25" spans="1:10" x14ac:dyDescent="0.3">
      <c r="A25" s="82">
        <v>45994</v>
      </c>
      <c r="B25" s="83">
        <v>12</v>
      </c>
      <c r="C25" s="83" t="s">
        <v>665</v>
      </c>
      <c r="D25" s="83" t="s">
        <v>802</v>
      </c>
      <c r="E25" s="84">
        <v>398</v>
      </c>
      <c r="F25" s="84">
        <f t="shared" si="1"/>
        <v>4776</v>
      </c>
      <c r="G25" s="83" t="s">
        <v>365</v>
      </c>
      <c r="H25" s="83"/>
      <c r="I25" s="83" t="s">
        <v>687</v>
      </c>
    </row>
    <row r="26" spans="1:10" x14ac:dyDescent="0.3">
      <c r="A26" s="82">
        <v>45994</v>
      </c>
      <c r="B26" s="83">
        <v>1</v>
      </c>
      <c r="C26" s="83" t="s">
        <v>805</v>
      </c>
      <c r="D26" s="83" t="s">
        <v>442</v>
      </c>
      <c r="E26" s="84">
        <v>598</v>
      </c>
      <c r="F26" s="84">
        <f t="shared" si="1"/>
        <v>598</v>
      </c>
      <c r="G26" s="83" t="s">
        <v>365</v>
      </c>
      <c r="H26" s="83"/>
      <c r="I26" s="83"/>
      <c r="J26" t="s">
        <v>817</v>
      </c>
    </row>
    <row r="27" spans="1:10" x14ac:dyDescent="0.3">
      <c r="A27" s="82">
        <v>45994</v>
      </c>
      <c r="B27" s="83">
        <v>6</v>
      </c>
      <c r="C27" s="83" t="s">
        <v>708</v>
      </c>
      <c r="D27" s="83" t="s">
        <v>689</v>
      </c>
      <c r="E27" s="84">
        <v>103</v>
      </c>
      <c r="F27" s="84">
        <f t="shared" si="1"/>
        <v>618</v>
      </c>
      <c r="G27" s="83" t="s">
        <v>365</v>
      </c>
      <c r="H27" s="83"/>
      <c r="I27" s="83"/>
    </row>
    <row r="28" spans="1:10" x14ac:dyDescent="0.3">
      <c r="A28" s="82">
        <v>45994</v>
      </c>
      <c r="B28" s="83">
        <v>2</v>
      </c>
      <c r="C28" s="83" t="s">
        <v>718</v>
      </c>
      <c r="D28" s="83" t="s">
        <v>689</v>
      </c>
      <c r="E28" s="84">
        <v>629</v>
      </c>
      <c r="F28" s="84">
        <f t="shared" si="1"/>
        <v>1258</v>
      </c>
      <c r="G28" s="83" t="s">
        <v>365</v>
      </c>
      <c r="H28" s="83"/>
      <c r="I28" s="83"/>
    </row>
    <row r="29" spans="1:10" x14ac:dyDescent="0.3">
      <c r="A29" s="82">
        <v>45994</v>
      </c>
      <c r="B29" s="83">
        <v>1</v>
      </c>
      <c r="C29" s="83" t="s">
        <v>806</v>
      </c>
      <c r="D29" s="83" t="s">
        <v>689</v>
      </c>
      <c r="E29" s="84">
        <v>69</v>
      </c>
      <c r="F29" s="84">
        <f t="shared" si="1"/>
        <v>69</v>
      </c>
      <c r="G29" s="83" t="s">
        <v>365</v>
      </c>
      <c r="H29" s="83"/>
      <c r="I29" s="83"/>
      <c r="J29" t="s">
        <v>817</v>
      </c>
    </row>
    <row r="30" spans="1:10" x14ac:dyDescent="0.3">
      <c r="A30" s="82">
        <v>45994</v>
      </c>
      <c r="B30" s="83">
        <v>1</v>
      </c>
      <c r="C30" s="83" t="s">
        <v>807</v>
      </c>
      <c r="D30" s="83" t="s">
        <v>689</v>
      </c>
      <c r="E30" s="84">
        <v>44</v>
      </c>
      <c r="F30" s="84">
        <f t="shared" si="1"/>
        <v>44</v>
      </c>
      <c r="G30" s="83" t="s">
        <v>365</v>
      </c>
      <c r="H30" s="83"/>
      <c r="I30" s="83"/>
      <c r="J30" t="s">
        <v>817</v>
      </c>
    </row>
    <row r="31" spans="1:10" x14ac:dyDescent="0.3">
      <c r="A31" s="82">
        <v>45994</v>
      </c>
      <c r="B31" s="83">
        <v>2</v>
      </c>
      <c r="C31" s="83" t="s">
        <v>665</v>
      </c>
      <c r="D31" s="83" t="s">
        <v>689</v>
      </c>
      <c r="E31" s="84">
        <v>299</v>
      </c>
      <c r="F31" s="84">
        <f t="shared" si="1"/>
        <v>598</v>
      </c>
      <c r="G31" s="83" t="s">
        <v>365</v>
      </c>
      <c r="H31" s="83"/>
      <c r="I31" s="83"/>
    </row>
    <row r="32" spans="1:10" x14ac:dyDescent="0.3">
      <c r="A32" s="82">
        <v>45994</v>
      </c>
      <c r="B32" s="83">
        <v>14</v>
      </c>
      <c r="C32" s="83" t="s">
        <v>698</v>
      </c>
      <c r="D32" s="83" t="s">
        <v>689</v>
      </c>
      <c r="E32" s="84">
        <v>125</v>
      </c>
      <c r="F32" s="84">
        <f t="shared" si="1"/>
        <v>1750</v>
      </c>
      <c r="G32" s="83" t="s">
        <v>365</v>
      </c>
      <c r="H32" s="83"/>
      <c r="I32" s="83"/>
    </row>
    <row r="33" spans="1:10" x14ac:dyDescent="0.3">
      <c r="A33" s="82">
        <v>45994</v>
      </c>
      <c r="B33" s="83">
        <v>1</v>
      </c>
      <c r="C33" s="83" t="s">
        <v>662</v>
      </c>
      <c r="D33" s="83" t="s">
        <v>689</v>
      </c>
      <c r="E33" s="84">
        <v>419</v>
      </c>
      <c r="F33" s="84">
        <f t="shared" si="1"/>
        <v>419</v>
      </c>
      <c r="G33" s="83" t="s">
        <v>365</v>
      </c>
      <c r="H33" s="83"/>
      <c r="I33" s="83"/>
    </row>
    <row r="34" spans="1:10" x14ac:dyDescent="0.3">
      <c r="A34" s="82">
        <v>45994</v>
      </c>
      <c r="B34" s="83">
        <v>5</v>
      </c>
      <c r="C34" s="83" t="s">
        <v>808</v>
      </c>
      <c r="D34" s="83" t="s">
        <v>689</v>
      </c>
      <c r="E34" s="84">
        <v>419</v>
      </c>
      <c r="F34" s="84">
        <f t="shared" si="1"/>
        <v>2095</v>
      </c>
      <c r="G34" s="83" t="s">
        <v>231</v>
      </c>
      <c r="H34" s="83"/>
      <c r="I34" s="83"/>
    </row>
    <row r="35" spans="1:10" x14ac:dyDescent="0.3">
      <c r="A35" s="82">
        <v>45994</v>
      </c>
      <c r="B35" s="83">
        <v>1</v>
      </c>
      <c r="C35" s="83" t="s">
        <v>665</v>
      </c>
      <c r="D35" s="83" t="s">
        <v>689</v>
      </c>
      <c r="E35" s="84">
        <v>299</v>
      </c>
      <c r="F35" s="84">
        <f t="shared" si="1"/>
        <v>299</v>
      </c>
      <c r="G35" s="83" t="s">
        <v>231</v>
      </c>
      <c r="H35" s="83"/>
      <c r="I35" s="83"/>
    </row>
    <row r="36" spans="1:10" x14ac:dyDescent="0.3">
      <c r="A36" s="82">
        <v>45994</v>
      </c>
      <c r="B36" s="83">
        <v>2</v>
      </c>
      <c r="C36" s="83" t="s">
        <v>665</v>
      </c>
      <c r="D36" s="83" t="s">
        <v>689</v>
      </c>
      <c r="E36" s="84">
        <v>299</v>
      </c>
      <c r="F36" s="84">
        <f t="shared" si="1"/>
        <v>598</v>
      </c>
      <c r="G36" s="83" t="s">
        <v>809</v>
      </c>
      <c r="H36" s="83"/>
      <c r="I36" s="83"/>
    </row>
    <row r="37" spans="1:10" x14ac:dyDescent="0.3">
      <c r="A37" s="82">
        <v>45994</v>
      </c>
      <c r="B37" s="83">
        <v>1</v>
      </c>
      <c r="C37" s="83" t="s">
        <v>665</v>
      </c>
      <c r="D37" s="83" t="s">
        <v>689</v>
      </c>
      <c r="E37" s="84">
        <v>299</v>
      </c>
      <c r="F37" s="84">
        <f t="shared" si="1"/>
        <v>299</v>
      </c>
      <c r="G37" s="83" t="s">
        <v>12</v>
      </c>
      <c r="H37" s="83"/>
      <c r="I37" s="83"/>
    </row>
    <row r="38" spans="1:10" x14ac:dyDescent="0.3">
      <c r="A38" s="82">
        <v>45994</v>
      </c>
      <c r="B38" s="83">
        <v>2</v>
      </c>
      <c r="C38" s="83" t="s">
        <v>717</v>
      </c>
      <c r="D38" s="83" t="s">
        <v>689</v>
      </c>
      <c r="E38" s="84">
        <v>479</v>
      </c>
      <c r="F38" s="84">
        <f t="shared" si="1"/>
        <v>958</v>
      </c>
      <c r="G38" s="83" t="s">
        <v>231</v>
      </c>
      <c r="H38" s="83"/>
      <c r="I38" s="83"/>
    </row>
    <row r="39" spans="1:10" x14ac:dyDescent="0.3">
      <c r="A39" s="82">
        <v>45994</v>
      </c>
      <c r="B39" s="83">
        <v>2</v>
      </c>
      <c r="C39" s="83" t="s">
        <v>717</v>
      </c>
      <c r="D39" s="83" t="s">
        <v>711</v>
      </c>
      <c r="E39" s="84">
        <v>479</v>
      </c>
      <c r="F39" s="84">
        <f t="shared" si="1"/>
        <v>958</v>
      </c>
      <c r="G39" s="83" t="s">
        <v>8</v>
      </c>
      <c r="H39" s="83"/>
      <c r="I39" s="83"/>
    </row>
    <row r="40" spans="1:10" x14ac:dyDescent="0.3">
      <c r="A40" s="82">
        <v>45994</v>
      </c>
      <c r="B40" s="83">
        <v>1</v>
      </c>
      <c r="C40" s="83" t="s">
        <v>717</v>
      </c>
      <c r="D40" s="83" t="s">
        <v>810</v>
      </c>
      <c r="E40" s="84">
        <v>499</v>
      </c>
      <c r="F40" s="84">
        <v>499</v>
      </c>
      <c r="G40" s="83" t="s">
        <v>8</v>
      </c>
      <c r="H40" s="83"/>
      <c r="I40" s="83"/>
      <c r="J40" t="s">
        <v>811</v>
      </c>
    </row>
    <row r="41" spans="1:10" x14ac:dyDescent="0.3">
      <c r="A41" s="82">
        <v>45994</v>
      </c>
      <c r="B41" s="83">
        <v>4</v>
      </c>
      <c r="C41" s="83" t="s">
        <v>665</v>
      </c>
      <c r="D41" s="83" t="s">
        <v>812</v>
      </c>
      <c r="E41" s="84">
        <v>398</v>
      </c>
      <c r="F41" s="84">
        <f t="shared" si="1"/>
        <v>1592</v>
      </c>
      <c r="G41" s="83" t="s">
        <v>8</v>
      </c>
      <c r="H41" s="83"/>
      <c r="I41" s="83"/>
    </row>
    <row r="42" spans="1:10" x14ac:dyDescent="0.3">
      <c r="A42" s="68"/>
      <c r="B42" s="2"/>
      <c r="C42" s="2"/>
      <c r="D42" s="2"/>
      <c r="E42" s="2"/>
      <c r="F42" s="2"/>
      <c r="G42" s="2"/>
      <c r="H42" s="2"/>
      <c r="I42" s="2"/>
    </row>
    <row r="43" spans="1:10" x14ac:dyDescent="0.3">
      <c r="A43" s="68"/>
      <c r="B43" s="2"/>
      <c r="C43" s="2"/>
      <c r="D43" s="2"/>
      <c r="E43" s="2"/>
      <c r="F43" s="2"/>
      <c r="G43" s="2"/>
      <c r="H43" s="2"/>
      <c r="I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D13"/>
  <sheetViews>
    <sheetView workbookViewId="0">
      <selection activeCell="I19" sqref="I19"/>
    </sheetView>
  </sheetViews>
  <sheetFormatPr defaultRowHeight="14.4" x14ac:dyDescent="0.3"/>
  <cols>
    <col min="3" max="3" width="14.44140625" bestFit="1" customWidth="1"/>
    <col min="4" max="4" width="15.77734375" bestFit="1" customWidth="1"/>
  </cols>
  <sheetData>
    <row r="1" spans="1:4" x14ac:dyDescent="0.3">
      <c r="A1" t="s">
        <v>65</v>
      </c>
      <c r="B1" t="s">
        <v>775</v>
      </c>
      <c r="C1" t="s">
        <v>789</v>
      </c>
      <c r="D1" t="s">
        <v>2</v>
      </c>
    </row>
    <row r="2" spans="1:4" x14ac:dyDescent="0.3">
      <c r="A2" s="78">
        <v>45992</v>
      </c>
      <c r="B2" s="80">
        <v>2581</v>
      </c>
      <c r="C2" t="s">
        <v>62</v>
      </c>
      <c r="D2" t="s">
        <v>364</v>
      </c>
    </row>
    <row r="3" spans="1:4" x14ac:dyDescent="0.3">
      <c r="A3" s="78">
        <v>45993</v>
      </c>
      <c r="B3" s="80">
        <v>1257</v>
      </c>
      <c r="D3" t="s">
        <v>813</v>
      </c>
    </row>
    <row r="4" spans="1:4" x14ac:dyDescent="0.3">
      <c r="A4" s="78">
        <v>45993</v>
      </c>
      <c r="B4" s="80">
        <v>1197</v>
      </c>
      <c r="D4" t="s">
        <v>814</v>
      </c>
    </row>
    <row r="5" spans="1:4" x14ac:dyDescent="0.3">
      <c r="A5" s="78">
        <v>45993</v>
      </c>
      <c r="B5" s="80">
        <v>1995</v>
      </c>
      <c r="D5" t="s">
        <v>814</v>
      </c>
    </row>
    <row r="6" spans="1:4" x14ac:dyDescent="0.3">
      <c r="A6" s="78">
        <v>45993</v>
      </c>
      <c r="B6" s="80">
        <v>796</v>
      </c>
      <c r="D6" t="s">
        <v>815</v>
      </c>
    </row>
    <row r="7" spans="1:4" x14ac:dyDescent="0.3">
      <c r="A7" s="78">
        <v>45993</v>
      </c>
      <c r="B7" s="80">
        <v>399</v>
      </c>
      <c r="D7" t="s">
        <v>816</v>
      </c>
    </row>
    <row r="8" spans="1:4" x14ac:dyDescent="0.3">
      <c r="A8" s="78">
        <v>45994</v>
      </c>
      <c r="B8" s="80">
        <v>399</v>
      </c>
      <c r="D8" t="s">
        <v>816</v>
      </c>
    </row>
    <row r="9" spans="1:4" x14ac:dyDescent="0.3">
      <c r="A9" s="78">
        <v>45994</v>
      </c>
      <c r="B9" s="80">
        <v>399</v>
      </c>
      <c r="D9" t="s">
        <v>816</v>
      </c>
    </row>
    <row r="10" spans="1:4" x14ac:dyDescent="0.3">
      <c r="A10" s="78">
        <v>45994</v>
      </c>
      <c r="B10" s="80">
        <v>399</v>
      </c>
      <c r="D10" t="s">
        <v>816</v>
      </c>
    </row>
    <row r="11" spans="1:4" x14ac:dyDescent="0.3">
      <c r="A11" s="78">
        <v>45994</v>
      </c>
      <c r="B11" s="80">
        <v>398</v>
      </c>
      <c r="D11" t="s">
        <v>302</v>
      </c>
    </row>
    <row r="12" spans="1:4" x14ac:dyDescent="0.3">
      <c r="A12" s="78">
        <v>45994</v>
      </c>
      <c r="B12" s="80">
        <v>398</v>
      </c>
      <c r="D12" t="s">
        <v>815</v>
      </c>
    </row>
    <row r="13" spans="1:4" x14ac:dyDescent="0.3">
      <c r="A13" s="7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774</v>
      </c>
      <c r="C1" t="s">
        <v>775</v>
      </c>
    </row>
    <row r="2" spans="1:3" x14ac:dyDescent="0.3">
      <c r="A2" s="78">
        <v>45991</v>
      </c>
      <c r="B2">
        <v>2</v>
      </c>
      <c r="C2" s="80">
        <v>796</v>
      </c>
    </row>
    <row r="3" spans="1:3" x14ac:dyDescent="0.3">
      <c r="A3" s="78">
        <v>45991</v>
      </c>
      <c r="B3">
        <v>1</v>
      </c>
      <c r="C3" s="80">
        <v>398</v>
      </c>
    </row>
    <row r="4" spans="1:3" x14ac:dyDescent="0.3">
      <c r="A4" s="78">
        <v>45991</v>
      </c>
      <c r="B4">
        <v>2</v>
      </c>
      <c r="C4" s="80">
        <v>796</v>
      </c>
    </row>
    <row r="5" spans="1:3" x14ac:dyDescent="0.3">
      <c r="A5" s="78">
        <v>45991</v>
      </c>
      <c r="B5">
        <v>6</v>
      </c>
      <c r="C5" s="80">
        <v>2388</v>
      </c>
    </row>
    <row r="6" spans="1:3" x14ac:dyDescent="0.3">
      <c r="A6" s="78">
        <v>45991</v>
      </c>
      <c r="B6">
        <v>13</v>
      </c>
      <c r="C6" s="80">
        <v>5174</v>
      </c>
    </row>
    <row r="7" spans="1:3" x14ac:dyDescent="0.3">
      <c r="A7" s="78">
        <v>45991</v>
      </c>
      <c r="B7">
        <v>11</v>
      </c>
      <c r="C7" s="80">
        <v>4378</v>
      </c>
    </row>
    <row r="8" spans="1:3" x14ac:dyDescent="0.3">
      <c r="A8" s="78">
        <v>45991</v>
      </c>
      <c r="B8">
        <v>2</v>
      </c>
      <c r="C8" s="80">
        <v>796</v>
      </c>
    </row>
    <row r="9" spans="1:3" x14ac:dyDescent="0.3">
      <c r="A9" s="78">
        <v>45991</v>
      </c>
      <c r="B9">
        <v>3</v>
      </c>
      <c r="C9" s="80">
        <v>1194</v>
      </c>
    </row>
    <row r="10" spans="1:3" x14ac:dyDescent="0.3">
      <c r="A10" s="78">
        <v>45991</v>
      </c>
      <c r="B10">
        <v>4</v>
      </c>
      <c r="C10" s="80">
        <v>1592</v>
      </c>
    </row>
    <row r="11" spans="1:3" x14ac:dyDescent="0.3">
      <c r="A11" s="78">
        <v>45991</v>
      </c>
      <c r="B11">
        <v>3</v>
      </c>
      <c r="C11" s="80">
        <v>1200</v>
      </c>
    </row>
    <row r="12" spans="1:3" x14ac:dyDescent="0.3">
      <c r="B12">
        <f>SUM(B2:B11)</f>
        <v>47</v>
      </c>
      <c r="C12" s="80">
        <f>SUM(C2:C11)</f>
        <v>18712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756</v>
      </c>
    </row>
    <row r="2" spans="1:11" x14ac:dyDescent="0.3">
      <c r="A2" s="68">
        <v>45980</v>
      </c>
      <c r="B2" s="2">
        <v>15</v>
      </c>
      <c r="C2" s="2" t="s">
        <v>698</v>
      </c>
      <c r="D2" s="2" t="s">
        <v>30</v>
      </c>
      <c r="E2" s="3">
        <v>125</v>
      </c>
      <c r="F2" s="3">
        <v>1875</v>
      </c>
      <c r="G2" s="2" t="s">
        <v>719</v>
      </c>
    </row>
    <row r="3" spans="1:11" x14ac:dyDescent="0.3">
      <c r="A3" s="68">
        <v>45981</v>
      </c>
      <c r="B3" s="2">
        <v>12</v>
      </c>
      <c r="C3" s="2" t="s">
        <v>698</v>
      </c>
      <c r="D3" s="2" t="s">
        <v>702</v>
      </c>
      <c r="E3" s="3">
        <v>125</v>
      </c>
      <c r="F3" s="3">
        <v>1500</v>
      </c>
      <c r="G3" s="2" t="s">
        <v>758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698</v>
      </c>
      <c r="D4" s="2" t="s">
        <v>703</v>
      </c>
      <c r="E4" s="3">
        <v>125</v>
      </c>
      <c r="F4" s="3">
        <v>2875</v>
      </c>
      <c r="G4" s="2" t="s">
        <v>754</v>
      </c>
      <c r="J4" s="14" t="s">
        <v>719</v>
      </c>
      <c r="K4">
        <v>26</v>
      </c>
    </row>
    <row r="5" spans="1:11" x14ac:dyDescent="0.3">
      <c r="A5" s="68">
        <v>45982</v>
      </c>
      <c r="B5" s="2">
        <v>1</v>
      </c>
      <c r="C5" s="2" t="s">
        <v>712</v>
      </c>
      <c r="D5" s="2" t="s">
        <v>713</v>
      </c>
      <c r="E5" s="3">
        <v>598</v>
      </c>
      <c r="F5" s="3">
        <v>598</v>
      </c>
      <c r="G5" s="2" t="s">
        <v>231</v>
      </c>
      <c r="J5" s="74" t="s">
        <v>698</v>
      </c>
      <c r="K5">
        <v>15</v>
      </c>
    </row>
    <row r="6" spans="1:11" x14ac:dyDescent="0.3">
      <c r="A6" s="68">
        <v>45982</v>
      </c>
      <c r="B6" s="2">
        <v>5</v>
      </c>
      <c r="C6" s="2" t="s">
        <v>717</v>
      </c>
      <c r="D6" s="2" t="s">
        <v>87</v>
      </c>
      <c r="E6" s="3">
        <v>509</v>
      </c>
      <c r="F6" s="3">
        <v>2545</v>
      </c>
      <c r="G6" s="2" t="s">
        <v>719</v>
      </c>
      <c r="J6" s="74" t="s">
        <v>717</v>
      </c>
      <c r="K6">
        <v>5</v>
      </c>
    </row>
    <row r="7" spans="1:11" x14ac:dyDescent="0.3">
      <c r="A7" s="68">
        <v>45982</v>
      </c>
      <c r="B7" s="2">
        <v>6</v>
      </c>
      <c r="C7" s="2" t="s">
        <v>718</v>
      </c>
      <c r="D7" s="2" t="s">
        <v>87</v>
      </c>
      <c r="E7" s="3">
        <v>659</v>
      </c>
      <c r="F7" s="3">
        <v>3954</v>
      </c>
      <c r="G7" s="2" t="s">
        <v>719</v>
      </c>
      <c r="J7" s="74" t="s">
        <v>718</v>
      </c>
      <c r="K7">
        <v>6</v>
      </c>
    </row>
    <row r="8" spans="1:11" x14ac:dyDescent="0.3">
      <c r="A8" s="68">
        <v>45982</v>
      </c>
      <c r="B8" s="2">
        <v>3</v>
      </c>
      <c r="C8" s="2" t="s">
        <v>718</v>
      </c>
      <c r="D8" s="2" t="s">
        <v>87</v>
      </c>
      <c r="E8" s="3">
        <v>659</v>
      </c>
      <c r="F8" s="3">
        <v>1977</v>
      </c>
      <c r="G8" s="2" t="s">
        <v>753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717</v>
      </c>
      <c r="D9" s="2" t="s">
        <v>87</v>
      </c>
      <c r="E9" s="3">
        <v>509</v>
      </c>
      <c r="F9" s="3">
        <v>3563</v>
      </c>
      <c r="G9" s="2" t="s">
        <v>753</v>
      </c>
      <c r="J9" s="74" t="s">
        <v>712</v>
      </c>
      <c r="K9">
        <v>1</v>
      </c>
    </row>
    <row r="10" spans="1:11" x14ac:dyDescent="0.3">
      <c r="A10" s="68">
        <v>45982</v>
      </c>
      <c r="B10" s="2">
        <v>5</v>
      </c>
      <c r="C10" s="2" t="s">
        <v>722</v>
      </c>
      <c r="D10" s="2" t="s">
        <v>87</v>
      </c>
      <c r="E10" s="3">
        <v>659</v>
      </c>
      <c r="F10" s="3">
        <v>3295</v>
      </c>
      <c r="G10" s="2" t="s">
        <v>754</v>
      </c>
      <c r="J10" s="14" t="s">
        <v>755</v>
      </c>
      <c r="K10">
        <v>8</v>
      </c>
    </row>
    <row r="11" spans="1:11" x14ac:dyDescent="0.3">
      <c r="A11" s="68">
        <v>45982</v>
      </c>
      <c r="B11" s="2">
        <v>9</v>
      </c>
      <c r="C11" s="2" t="s">
        <v>723</v>
      </c>
      <c r="D11" s="2" t="s">
        <v>87</v>
      </c>
      <c r="E11" s="3">
        <v>509</v>
      </c>
      <c r="F11" s="3">
        <v>4581</v>
      </c>
      <c r="G11" s="2" t="s">
        <v>754</v>
      </c>
      <c r="J11" s="74" t="s">
        <v>723</v>
      </c>
      <c r="K11">
        <v>8</v>
      </c>
    </row>
    <row r="12" spans="1:11" x14ac:dyDescent="0.3">
      <c r="A12" s="68">
        <v>45982</v>
      </c>
      <c r="B12" s="2">
        <v>8</v>
      </c>
      <c r="C12" s="2" t="s">
        <v>723</v>
      </c>
      <c r="D12" s="2" t="s">
        <v>87</v>
      </c>
      <c r="E12" s="3">
        <v>509</v>
      </c>
      <c r="F12" s="3">
        <v>4072</v>
      </c>
      <c r="G12" s="2" t="s">
        <v>755</v>
      </c>
      <c r="J12" s="14" t="s">
        <v>754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744</v>
      </c>
      <c r="J13" s="74" t="s">
        <v>698</v>
      </c>
      <c r="K13">
        <v>23</v>
      </c>
    </row>
    <row r="14" spans="1:11" x14ac:dyDescent="0.3">
      <c r="A14" s="68">
        <v>45989</v>
      </c>
      <c r="B14" s="2">
        <v>10</v>
      </c>
      <c r="C14" s="2" t="s">
        <v>745</v>
      </c>
      <c r="D14" s="2" t="s">
        <v>364</v>
      </c>
      <c r="E14" s="3">
        <v>125</v>
      </c>
      <c r="F14" s="3">
        <v>1250</v>
      </c>
      <c r="G14" s="2" t="s">
        <v>751</v>
      </c>
      <c r="J14" s="74" t="s">
        <v>723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722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744</v>
      </c>
      <c r="K16">
        <v>6</v>
      </c>
    </row>
    <row r="17" spans="1:11" x14ac:dyDescent="0.3">
      <c r="A17" s="68">
        <v>45990</v>
      </c>
      <c r="B17" s="2">
        <v>1</v>
      </c>
      <c r="C17" s="2" t="s">
        <v>748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665</v>
      </c>
      <c r="D18" s="2" t="s">
        <v>749</v>
      </c>
      <c r="E18" s="3">
        <v>398</v>
      </c>
      <c r="F18" s="3">
        <v>796</v>
      </c>
      <c r="G18" s="2" t="s">
        <v>757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748</v>
      </c>
      <c r="K22">
        <v>1</v>
      </c>
    </row>
    <row r="23" spans="1:11" x14ac:dyDescent="0.3">
      <c r="J23" s="14" t="s">
        <v>751</v>
      </c>
      <c r="K23">
        <v>10</v>
      </c>
    </row>
    <row r="24" spans="1:11" x14ac:dyDescent="0.3">
      <c r="J24" s="74" t="s">
        <v>745</v>
      </c>
      <c r="K24">
        <v>10</v>
      </c>
    </row>
    <row r="25" spans="1:11" x14ac:dyDescent="0.3">
      <c r="J25" s="14" t="s">
        <v>753</v>
      </c>
      <c r="K25">
        <v>10</v>
      </c>
    </row>
    <row r="26" spans="1:11" x14ac:dyDescent="0.3">
      <c r="J26" s="74" t="s">
        <v>717</v>
      </c>
      <c r="K26">
        <v>7</v>
      </c>
    </row>
    <row r="27" spans="1:11" x14ac:dyDescent="0.3">
      <c r="J27" s="74" t="s">
        <v>718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D12" sqref="D12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93">
        <v>45964</v>
      </c>
      <c r="B2" s="83">
        <v>2</v>
      </c>
      <c r="C2" s="83" t="s">
        <v>582</v>
      </c>
      <c r="D2" s="83" t="s">
        <v>383</v>
      </c>
      <c r="E2" s="91">
        <v>1450</v>
      </c>
      <c r="F2" s="91">
        <f>B2*E2</f>
        <v>2900</v>
      </c>
      <c r="G2" s="83" t="s">
        <v>348</v>
      </c>
      <c r="H2" s="83" t="s">
        <v>464</v>
      </c>
      <c r="I2" s="83"/>
    </row>
    <row r="3" spans="1:9" x14ac:dyDescent="0.3">
      <c r="A3" s="93">
        <v>45964</v>
      </c>
      <c r="B3" s="83">
        <v>2</v>
      </c>
      <c r="C3" s="83" t="s">
        <v>580</v>
      </c>
      <c r="D3" s="83" t="s">
        <v>460</v>
      </c>
      <c r="E3" s="91">
        <v>1450</v>
      </c>
      <c r="F3" s="91">
        <f t="shared" ref="F3:F12" si="0">B3*E3</f>
        <v>2900</v>
      </c>
      <c r="G3" s="83" t="s">
        <v>348</v>
      </c>
      <c r="H3" s="83" t="s">
        <v>464</v>
      </c>
      <c r="I3" s="83"/>
    </row>
    <row r="4" spans="1:9" x14ac:dyDescent="0.3">
      <c r="A4" s="93">
        <v>45964</v>
      </c>
      <c r="B4" s="83">
        <v>1</v>
      </c>
      <c r="C4" s="83" t="s">
        <v>582</v>
      </c>
      <c r="D4" s="83" t="s">
        <v>635</v>
      </c>
      <c r="E4" s="91">
        <v>1480</v>
      </c>
      <c r="F4" s="91">
        <f t="shared" si="0"/>
        <v>1480</v>
      </c>
      <c r="G4" s="83" t="s">
        <v>348</v>
      </c>
      <c r="H4" s="83" t="s">
        <v>464</v>
      </c>
      <c r="I4" s="83"/>
    </row>
    <row r="5" spans="1:9" x14ac:dyDescent="0.3">
      <c r="A5" s="93">
        <v>45964</v>
      </c>
      <c r="B5" s="83">
        <v>4</v>
      </c>
      <c r="C5" s="83" t="s">
        <v>679</v>
      </c>
      <c r="D5" s="83" t="s">
        <v>383</v>
      </c>
      <c r="E5" s="91">
        <v>1399</v>
      </c>
      <c r="F5" s="91">
        <f t="shared" si="0"/>
        <v>5596</v>
      </c>
      <c r="G5" s="83" t="s">
        <v>348</v>
      </c>
      <c r="H5" s="83" t="s">
        <v>464</v>
      </c>
      <c r="I5" s="83"/>
    </row>
    <row r="6" spans="1:9" x14ac:dyDescent="0.3">
      <c r="A6" s="93">
        <v>45964</v>
      </c>
      <c r="B6" s="83">
        <v>2</v>
      </c>
      <c r="C6" s="83" t="s">
        <v>582</v>
      </c>
      <c r="D6" s="83" t="s">
        <v>383</v>
      </c>
      <c r="E6" s="91">
        <v>1399</v>
      </c>
      <c r="F6" s="91">
        <f t="shared" si="0"/>
        <v>2798</v>
      </c>
      <c r="G6" s="83" t="s">
        <v>348</v>
      </c>
      <c r="H6" s="83" t="s">
        <v>464</v>
      </c>
      <c r="I6" s="83"/>
    </row>
    <row r="7" spans="1:9" x14ac:dyDescent="0.3">
      <c r="A7" s="93">
        <v>45968</v>
      </c>
      <c r="B7" s="83">
        <v>60</v>
      </c>
      <c r="C7" s="83" t="s">
        <v>667</v>
      </c>
      <c r="D7" s="83" t="s">
        <v>668</v>
      </c>
      <c r="E7" s="91">
        <v>10</v>
      </c>
      <c r="F7" s="91">
        <f t="shared" si="0"/>
        <v>600</v>
      </c>
      <c r="G7" s="83"/>
      <c r="H7" s="83"/>
      <c r="I7" s="83"/>
    </row>
    <row r="8" spans="1:9" x14ac:dyDescent="0.3">
      <c r="A8" s="92">
        <v>45988</v>
      </c>
      <c r="B8" s="89">
        <v>1</v>
      </c>
      <c r="C8" s="89" t="s">
        <v>582</v>
      </c>
      <c r="D8" s="89" t="s">
        <v>522</v>
      </c>
      <c r="E8" s="90">
        <v>1348</v>
      </c>
      <c r="F8" s="90">
        <f t="shared" si="0"/>
        <v>1348</v>
      </c>
      <c r="G8" s="89" t="s">
        <v>62</v>
      </c>
      <c r="H8" s="89" t="s">
        <v>464</v>
      </c>
      <c r="I8" s="89"/>
    </row>
    <row r="9" spans="1:9" x14ac:dyDescent="0.3">
      <c r="A9" s="92">
        <v>45988</v>
      </c>
      <c r="B9" s="89">
        <v>1</v>
      </c>
      <c r="C9" s="89" t="s">
        <v>679</v>
      </c>
      <c r="D9" s="89" t="s">
        <v>522</v>
      </c>
      <c r="E9" s="90">
        <v>1348</v>
      </c>
      <c r="F9" s="90">
        <f t="shared" si="0"/>
        <v>1348</v>
      </c>
      <c r="G9" s="89" t="s">
        <v>62</v>
      </c>
      <c r="H9" s="89" t="s">
        <v>464</v>
      </c>
      <c r="I9" s="89"/>
    </row>
    <row r="10" spans="1:9" x14ac:dyDescent="0.3">
      <c r="A10" s="92">
        <v>45989</v>
      </c>
      <c r="B10" s="89">
        <v>3</v>
      </c>
      <c r="C10" s="89" t="s">
        <v>582</v>
      </c>
      <c r="D10" s="89" t="s">
        <v>466</v>
      </c>
      <c r="E10" s="90">
        <v>1380</v>
      </c>
      <c r="F10" s="90">
        <f t="shared" si="0"/>
        <v>4140</v>
      </c>
      <c r="G10" s="89" t="s">
        <v>62</v>
      </c>
      <c r="H10" s="89" t="s">
        <v>467</v>
      </c>
      <c r="I10" s="89"/>
    </row>
    <row r="11" spans="1:9" x14ac:dyDescent="0.3">
      <c r="A11" s="92">
        <v>45989</v>
      </c>
      <c r="B11" s="89">
        <v>10</v>
      </c>
      <c r="C11" s="89" t="s">
        <v>679</v>
      </c>
      <c r="D11" s="89" t="s">
        <v>383</v>
      </c>
      <c r="E11" s="90">
        <v>1390</v>
      </c>
      <c r="F11" s="90">
        <f t="shared" si="0"/>
        <v>13900</v>
      </c>
      <c r="G11" s="89" t="s">
        <v>62</v>
      </c>
      <c r="H11" s="89" t="s">
        <v>464</v>
      </c>
      <c r="I11" s="89"/>
    </row>
    <row r="12" spans="1:9" x14ac:dyDescent="0.3">
      <c r="A12" s="92">
        <v>45989</v>
      </c>
      <c r="B12" s="89">
        <v>12</v>
      </c>
      <c r="C12" s="89" t="s">
        <v>582</v>
      </c>
      <c r="D12" s="89" t="s">
        <v>383</v>
      </c>
      <c r="E12" s="90">
        <v>1390</v>
      </c>
      <c r="F12" s="90">
        <f t="shared" si="0"/>
        <v>16680</v>
      </c>
      <c r="G12" s="89" t="s">
        <v>62</v>
      </c>
      <c r="H12" s="89" t="s">
        <v>464</v>
      </c>
      <c r="I12" s="89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I18"/>
  <sheetViews>
    <sheetView workbookViewId="0">
      <selection activeCell="C15" sqref="C15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8">
        <v>45993</v>
      </c>
      <c r="B2" s="89">
        <v>10</v>
      </c>
      <c r="C2" s="89" t="s">
        <v>639</v>
      </c>
      <c r="D2" s="89" t="s">
        <v>460</v>
      </c>
      <c r="E2" s="89">
        <v>1260</v>
      </c>
      <c r="F2" s="89">
        <f>B2*E2</f>
        <v>12600</v>
      </c>
      <c r="G2" s="89" t="s">
        <v>62</v>
      </c>
      <c r="H2" s="89" t="s">
        <v>464</v>
      </c>
      <c r="I2" s="89"/>
    </row>
    <row r="3" spans="1:9" x14ac:dyDescent="0.3">
      <c r="A3" s="68">
        <v>45993</v>
      </c>
      <c r="B3" s="2"/>
      <c r="C3" s="2"/>
      <c r="D3" s="2" t="s">
        <v>291</v>
      </c>
      <c r="E3" s="2"/>
      <c r="F3" s="2">
        <v>4999</v>
      </c>
      <c r="G3" s="2" t="s">
        <v>256</v>
      </c>
      <c r="H3" s="2"/>
      <c r="I3" s="2"/>
    </row>
    <row r="4" spans="1:9" x14ac:dyDescent="0.3">
      <c r="A4" s="68">
        <v>45993</v>
      </c>
      <c r="B4" s="2"/>
      <c r="C4" s="2"/>
      <c r="D4" s="2" t="s">
        <v>291</v>
      </c>
      <c r="E4" s="2"/>
      <c r="F4" s="2">
        <v>5000</v>
      </c>
      <c r="G4" s="2" t="s">
        <v>256</v>
      </c>
      <c r="H4" s="2"/>
      <c r="I4" s="2"/>
    </row>
    <row r="5" spans="1:9" x14ac:dyDescent="0.3">
      <c r="A5" s="88">
        <v>45993</v>
      </c>
      <c r="B5" s="89">
        <v>1</v>
      </c>
      <c r="C5" s="89" t="s">
        <v>639</v>
      </c>
      <c r="D5" s="89" t="s">
        <v>433</v>
      </c>
      <c r="E5" s="89">
        <v>1348</v>
      </c>
      <c r="F5" s="89">
        <f>B5*E5</f>
        <v>1348</v>
      </c>
      <c r="G5" s="89" t="s">
        <v>62</v>
      </c>
      <c r="H5" s="89" t="s">
        <v>464</v>
      </c>
      <c r="I5" s="89"/>
    </row>
    <row r="6" spans="1:9" x14ac:dyDescent="0.3">
      <c r="A6" s="88">
        <v>45993</v>
      </c>
      <c r="B6" s="89">
        <v>3</v>
      </c>
      <c r="C6" s="89" t="s">
        <v>378</v>
      </c>
      <c r="D6" s="89" t="s">
        <v>433</v>
      </c>
      <c r="E6" s="89">
        <v>738</v>
      </c>
      <c r="F6" s="89">
        <f t="shared" ref="F6:F8" si="0">B6*E6</f>
        <v>2214</v>
      </c>
      <c r="G6" s="89" t="s">
        <v>62</v>
      </c>
      <c r="H6" s="89" t="s">
        <v>464</v>
      </c>
      <c r="I6" s="89"/>
    </row>
    <row r="7" spans="1:9" x14ac:dyDescent="0.3">
      <c r="A7" s="88">
        <v>45993</v>
      </c>
      <c r="B7" s="89">
        <v>2</v>
      </c>
      <c r="C7" s="89" t="s">
        <v>406</v>
      </c>
      <c r="D7" s="89" t="s">
        <v>433</v>
      </c>
      <c r="E7" s="89">
        <v>1348</v>
      </c>
      <c r="F7" s="89">
        <f t="shared" si="0"/>
        <v>2696</v>
      </c>
      <c r="G7" s="89" t="s">
        <v>62</v>
      </c>
      <c r="H7" s="89" t="s">
        <v>464</v>
      </c>
      <c r="I7" s="89"/>
    </row>
    <row r="8" spans="1:9" x14ac:dyDescent="0.3">
      <c r="A8" s="88">
        <v>45993</v>
      </c>
      <c r="B8" s="89">
        <v>2</v>
      </c>
      <c r="C8" s="89" t="s">
        <v>639</v>
      </c>
      <c r="D8" s="89" t="s">
        <v>433</v>
      </c>
      <c r="E8" s="89">
        <v>1348</v>
      </c>
      <c r="F8" s="89">
        <f t="shared" si="0"/>
        <v>2696</v>
      </c>
      <c r="G8" s="89" t="s">
        <v>62</v>
      </c>
      <c r="H8" s="89" t="s">
        <v>464</v>
      </c>
      <c r="I8" s="89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2025-12-10T17:35:48Z</dcterms:modified>
</cp:coreProperties>
</file>