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wissTechSaqib\Swiss Tech Files 2025\Ledgers 2025\Owais HT\Owais Ledger\"/>
    </mc:Choice>
  </mc:AlternateContent>
  <xr:revisionPtr revIDLastSave="0" documentId="13_ncr:1_{0E23E8FA-9BAF-4210-B523-28F16A4807A9}" xr6:coauthVersionLast="47" xr6:coauthVersionMax="47" xr10:uidLastSave="{00000000-0000-0000-0000-000000000000}"/>
  <bookViews>
    <workbookView xWindow="-120" yWindow="-120" windowWidth="29040" windowHeight="15720" activeTab="3" xr2:uid="{6E34C479-F275-4226-8024-7005C8C2C537}"/>
  </bookViews>
  <sheets>
    <sheet name="Sheet1" sheetId="1" r:id="rId1"/>
    <sheet name="Sheet2" sheetId="2" r:id="rId2"/>
    <sheet name="Invoice " sheetId="3" r:id="rId3"/>
    <sheet name="ST Ledger in USD" sheetId="4" r:id="rId4"/>
    <sheet name="jan" sheetId="5" r:id="rId5"/>
    <sheet name="PAYMENT" sheetId="6" r:id="rId6"/>
  </sheets>
  <definedNames>
    <definedName name="_xlnm._FilterDatabase" localSheetId="4" hidden="1">jan!$A$1:$E$96</definedName>
    <definedName name="_xlnm._FilterDatabase" localSheetId="3" hidden="1">'ST Ledger in USD'!$A$2:$G$206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5" i="4" l="1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3" i="4" l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C60" i="3" l="1"/>
  <c r="D60" i="3"/>
  <c r="E10" i="3"/>
  <c r="E11" i="3"/>
  <c r="E3" i="3"/>
  <c r="E4" i="3"/>
  <c r="E5" i="3"/>
  <c r="E6" i="3"/>
  <c r="E7" i="3"/>
  <c r="E8" i="3"/>
  <c r="E9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2" i="3"/>
  <c r="J28" i="2"/>
  <c r="J29" i="2"/>
  <c r="J30" i="2"/>
  <c r="J31" i="2"/>
  <c r="H31" i="2"/>
  <c r="D31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4" i="2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28" i="1"/>
  <c r="X100" i="1"/>
  <c r="N46" i="1"/>
  <c r="O33" i="1"/>
  <c r="P33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60" i="3" l="1"/>
  <c r="O36" i="1"/>
  <c r="E35" i="1"/>
  <c r="E36" i="1"/>
  <c r="E37" i="1"/>
  <c r="E38" i="1"/>
  <c r="E39" i="1"/>
  <c r="E40" i="1"/>
  <c r="E41" i="1"/>
  <c r="E42" i="1"/>
  <c r="E43" i="1"/>
  <c r="E44" i="1"/>
  <c r="E45" i="1"/>
  <c r="E46" i="1"/>
  <c r="E33" i="1"/>
  <c r="E34" i="1"/>
  <c r="E32" i="1"/>
  <c r="E31" i="1"/>
  <c r="E30" i="1"/>
  <c r="E29" i="1"/>
  <c r="E25" i="1"/>
  <c r="E28" i="1"/>
  <c r="E27" i="1"/>
  <c r="E24" i="1"/>
  <c r="E23" i="1"/>
  <c r="E4" i="1" l="1"/>
  <c r="E5" i="1"/>
  <c r="E6" i="1"/>
  <c r="E7" i="1"/>
  <c r="E8" i="1"/>
  <c r="E9" i="1"/>
  <c r="E10" i="1"/>
  <c r="E11" i="1"/>
  <c r="E13" i="1"/>
  <c r="E14" i="1"/>
  <c r="E15" i="1"/>
  <c r="E16" i="1"/>
  <c r="E17" i="1"/>
  <c r="E18" i="1"/>
  <c r="E19" i="1"/>
  <c r="E20" i="1"/>
  <c r="E21" i="1"/>
  <c r="E22" i="1"/>
  <c r="E3" i="1"/>
</calcChain>
</file>

<file path=xl/sharedStrings.xml><?xml version="1.0" encoding="utf-8"?>
<sst xmlns="http://schemas.openxmlformats.org/spreadsheetml/2006/main" count="974" uniqueCount="352">
  <si>
    <t>AR-6</t>
  </si>
  <si>
    <t>INVOICE</t>
  </si>
  <si>
    <t>AR-7</t>
  </si>
  <si>
    <t>AR-8</t>
  </si>
  <si>
    <t>AR-9</t>
  </si>
  <si>
    <t>AR-10</t>
  </si>
  <si>
    <t>AR-11</t>
  </si>
  <si>
    <t>AR-12</t>
  </si>
  <si>
    <t>AR-13</t>
  </si>
  <si>
    <t>AR-14</t>
  </si>
  <si>
    <t>AR-15</t>
  </si>
  <si>
    <t>AR-16</t>
  </si>
  <si>
    <t>AR-17</t>
  </si>
  <si>
    <t>AR-18</t>
  </si>
  <si>
    <t>THINGS NOT REC BY SWISSTECH</t>
  </si>
  <si>
    <t>Kits from usman</t>
  </si>
  <si>
    <t>INV - AR 221</t>
  </si>
  <si>
    <t>INV - AR 222</t>
  </si>
  <si>
    <t>Inv</t>
  </si>
  <si>
    <t>cash received by AR 19/may/25</t>
  </si>
  <si>
    <t>SHIPPING 2  12//mar/2025</t>
  </si>
  <si>
    <t>SHIPPING 1  7/mar/25</t>
  </si>
  <si>
    <t>INV - PSP   12/apr/25</t>
  </si>
  <si>
    <t>pending inv box 30/jun/25</t>
  </si>
  <si>
    <t>WIRE SWISS TECH 22/aug/25</t>
  </si>
  <si>
    <t>WIRE SWISS TECH 31/aug/25</t>
  </si>
  <si>
    <t>25000 US$ @3.60 to WB 8/sep/25</t>
  </si>
  <si>
    <t>Paid 24/sep/25</t>
  </si>
  <si>
    <t>INV TOTAL ACC TO SWISSTECH</t>
  </si>
  <si>
    <t>DIFFERENCE</t>
  </si>
  <si>
    <t>INVOICE TOTAL IN OWAIS LEDGER</t>
  </si>
  <si>
    <t>THINGS NOT RECEIVED BY OWAIS HT</t>
  </si>
  <si>
    <t>AMOUNT</t>
  </si>
  <si>
    <t>cash paid by AR 20/aug/25</t>
  </si>
  <si>
    <t>w/o mario difference</t>
  </si>
  <si>
    <t>AR-19</t>
  </si>
  <si>
    <t>AR-20</t>
  </si>
  <si>
    <t>AR-21</t>
  </si>
  <si>
    <t>AR-22</t>
  </si>
  <si>
    <t>Inv AR NY 1</t>
  </si>
  <si>
    <t>Inv AR NY 2 partial</t>
  </si>
  <si>
    <t>Inv AR 23</t>
  </si>
  <si>
    <t>Inv AR NY 2-2 partial</t>
  </si>
  <si>
    <t>Used phone CLOSED</t>
  </si>
  <si>
    <t>Inv AR 24</t>
  </si>
  <si>
    <t>INVOICE AR 25</t>
  </si>
  <si>
    <t>INVOICE AR 26</t>
  </si>
  <si>
    <t>INVOICE AR 1</t>
  </si>
  <si>
    <t>owais personal ledger difference</t>
  </si>
  <si>
    <t>INVOICE AR 2</t>
  </si>
  <si>
    <t>INVOICE AR 4</t>
  </si>
  <si>
    <t>INVOICE AR 5</t>
  </si>
  <si>
    <t>INVOICE AR 6</t>
  </si>
  <si>
    <t>INVOICE AR 7/AR AR 7 PALLET</t>
  </si>
  <si>
    <t>INVOICE AR 9</t>
  </si>
  <si>
    <t>INVOICE AR P10</t>
  </si>
  <si>
    <t>INVOICE AR 11</t>
  </si>
  <si>
    <t>INVOICE AR 12</t>
  </si>
  <si>
    <t>INVOICE AR 13</t>
  </si>
  <si>
    <t>Comments</t>
  </si>
  <si>
    <t>ps5 pro extra</t>
  </si>
  <si>
    <t>iphone 17 Air 256gb Gold 358302111946032
Iphone 17 Pro Max Silver 353497850546228 missing</t>
  </si>
  <si>
    <t>extra items 9</t>
  </si>
  <si>
    <t>not update in owais ledger</t>
  </si>
  <si>
    <t xml:space="preserve">wrong invoice total in owais ledger </t>
  </si>
  <si>
    <t xml:space="preserve">wrong invoice total in owais ledger 
3 items extra </t>
  </si>
  <si>
    <t>need updates ivoice</t>
  </si>
  <si>
    <t>samsung Z flip 3 piece return</t>
  </si>
  <si>
    <t>need invoice detail</t>
  </si>
  <si>
    <t>iphone 15 plus missing</t>
  </si>
  <si>
    <t>iphone 17 pro 256gb blue   353990820541881 not received</t>
  </si>
  <si>
    <t>model difference 17pm received 17 pro</t>
  </si>
  <si>
    <t>6 items extra</t>
  </si>
  <si>
    <t>Issue Item Need Update Invoice</t>
  </si>
  <si>
    <t>Lable Invoice Number</t>
  </si>
  <si>
    <t>Model</t>
  </si>
  <si>
    <t>Colue</t>
  </si>
  <si>
    <t>Storage</t>
  </si>
  <si>
    <t>IMEI</t>
  </si>
  <si>
    <t>Received Status</t>
  </si>
  <si>
    <t>USD Prices</t>
  </si>
  <si>
    <t>Invoice Status</t>
  </si>
  <si>
    <t>Issue</t>
  </si>
  <si>
    <r>
      <rPr>
        <b/>
        <sz val="11"/>
        <color theme="1"/>
        <rFont val="Arial MT"/>
        <family val="2"/>
      </rPr>
      <t>iPhone 17 Pro Max</t>
    </r>
  </si>
  <si>
    <r>
      <rPr>
        <b/>
        <sz val="11"/>
        <color theme="1"/>
        <rFont val="Arial MT"/>
        <family val="2"/>
      </rPr>
      <t>Cosmic Orange</t>
    </r>
  </si>
  <si>
    <r>
      <rPr>
        <b/>
        <sz val="11"/>
        <color theme="1"/>
        <rFont val="Arial MT"/>
        <family val="2"/>
      </rPr>
      <t>256 GB</t>
    </r>
  </si>
  <si>
    <t>512 GB Invoice Purchasing But Received 256 GB</t>
  </si>
  <si>
    <r>
      <rPr>
        <b/>
        <sz val="11"/>
        <color theme="1"/>
        <rFont val="Arial MT"/>
        <family val="2"/>
      </rPr>
      <t>T-Mobile</t>
    </r>
  </si>
  <si>
    <t>unlock</t>
  </si>
  <si>
    <t>Unlock Invoice Purchasing But T-Mobile carrer Received</t>
  </si>
  <si>
    <t>iPhone 16 Pro Max</t>
  </si>
  <si>
    <t>NATURAL</t>
  </si>
  <si>
    <t>ATT</t>
  </si>
  <si>
    <t>BOX</t>
  </si>
  <si>
    <t>This Amoount Same HSO And BOX</t>
  </si>
  <si>
    <t>DESERT</t>
  </si>
  <si>
    <t>HSO</t>
  </si>
  <si>
    <t>BLACK</t>
  </si>
  <si>
    <t>iPhone 17 Pro (Kit)</t>
  </si>
  <si>
    <t>Cosmic Orange</t>
  </si>
  <si>
    <t>256 GB</t>
  </si>
  <si>
    <t xml:space="preserve">Active </t>
  </si>
  <si>
    <t>Unlock</t>
  </si>
  <si>
    <t xml:space="preserve">Price Boxpack But Received Kit </t>
  </si>
  <si>
    <t>iPhone 15 Pro Max</t>
  </si>
  <si>
    <t>White Ti</t>
  </si>
  <si>
    <t>iCould</t>
  </si>
  <si>
    <t xml:space="preserve">iColud Phone </t>
  </si>
  <si>
    <t>Ps5 Pro</t>
  </si>
  <si>
    <t>White</t>
  </si>
  <si>
    <t>2 TB</t>
  </si>
  <si>
    <t>20 Pices</t>
  </si>
  <si>
    <t>Damage BOX</t>
  </si>
  <si>
    <t>889002110930 .</t>
  </si>
  <si>
    <t>iPad Pro M5 13" (W+C)</t>
  </si>
  <si>
    <t>Silver</t>
  </si>
  <si>
    <t>Blacklist, Destroyed Box,tilted bent</t>
  </si>
  <si>
    <t>888637279919 / 888774090455</t>
  </si>
  <si>
    <t>PS5 Edge Controller</t>
  </si>
  <si>
    <t>Controller Missing</t>
  </si>
  <si>
    <t>iPhone 16 Pro Max (Kit)</t>
  </si>
  <si>
    <t>Desert Ti</t>
  </si>
  <si>
    <t>Active</t>
  </si>
  <si>
    <t>iphone 17 pro 256gb</t>
  </si>
  <si>
    <t xml:space="preserve"> (1 piece icloud 9969)</t>
  </si>
  <si>
    <t>iphone air 256gb</t>
  </si>
  <si>
    <t xml:space="preserve"> ( 1 icloud hold)</t>
  </si>
  <si>
    <t>received by WB 12-sep</t>
  </si>
  <si>
    <t>received by WB 27-aug</t>
  </si>
  <si>
    <t xml:space="preserve">received by WB usd </t>
  </si>
  <si>
    <t>Owais Ledger</t>
  </si>
  <si>
    <t>Date</t>
  </si>
  <si>
    <t>Received by WB</t>
  </si>
  <si>
    <t>Amt</t>
  </si>
  <si>
    <t>received by WB usd 13580$</t>
  </si>
  <si>
    <t>Difference</t>
  </si>
  <si>
    <t>IPHONE 17 256 GB</t>
  </si>
  <si>
    <t>T-Mobile</t>
  </si>
  <si>
    <t>AR 12</t>
  </si>
  <si>
    <t>AR 13</t>
  </si>
  <si>
    <t>IPHONE 17 PRO MAX 256 GB</t>
  </si>
  <si>
    <t>UNLOCK Received T-mobile</t>
  </si>
  <si>
    <t>T-Mobile Received Kit</t>
  </si>
  <si>
    <t>IPHONE 17 PRO 256 GB</t>
  </si>
  <si>
    <t>SF6FH0W9YC3</t>
  </si>
  <si>
    <t>Aripods 4</t>
  </si>
  <si>
    <t>Without ANC</t>
  </si>
  <si>
    <t>Deep Blue</t>
  </si>
  <si>
    <t>Orange Active</t>
  </si>
  <si>
    <t>IPHONE 16 PRO MAX 256 GB</t>
  </si>
  <si>
    <t>Latest Invoice</t>
  </si>
  <si>
    <t>khi</t>
  </si>
  <si>
    <t>16 Pro Max</t>
  </si>
  <si>
    <t>iPhone</t>
  </si>
  <si>
    <t xml:space="preserve"> 1TB</t>
  </si>
  <si>
    <t>dubai</t>
  </si>
  <si>
    <t>AFW1A31902D02</t>
  </si>
  <si>
    <t>SteamDeck</t>
  </si>
  <si>
    <t>Valve</t>
  </si>
  <si>
    <t>16 Pro</t>
  </si>
  <si>
    <t>S25+</t>
  </si>
  <si>
    <t>Samsung</t>
  </si>
  <si>
    <t xml:space="preserve">Sony </t>
  </si>
  <si>
    <t>Ps5 VR2</t>
  </si>
  <si>
    <t>S01G13200K1J1901709</t>
  </si>
  <si>
    <t>17 pro</t>
  </si>
  <si>
    <t>Orange Active Unlock</t>
  </si>
  <si>
    <t>ok</t>
  </si>
  <si>
    <t>Brand</t>
  </si>
  <si>
    <t>GB</t>
  </si>
  <si>
    <t>Imei/Sno</t>
  </si>
  <si>
    <t>Sale Price</t>
  </si>
  <si>
    <t>Sold in</t>
  </si>
  <si>
    <t xml:space="preserve">Carry </t>
  </si>
  <si>
    <t>minus carry from sale</t>
  </si>
  <si>
    <t>Purchase Usd</t>
  </si>
  <si>
    <t>Aed</t>
  </si>
  <si>
    <t>Total Loss</t>
  </si>
  <si>
    <t>owais/st</t>
  </si>
  <si>
    <t>{ 30000 US$ @3.59 through Ahsan Mohsin NY remaining</t>
  </si>
  <si>
    <t/>
  </si>
  <si>
    <t>100%, 161 Cycles, Damaged Screen</t>
  </si>
  <si>
    <t>100%, 129 Cycles, Damaged Screen</t>
  </si>
  <si>
    <t>98%, 233 Cycles</t>
  </si>
  <si>
    <t>Active Kit</t>
  </si>
  <si>
    <t>AR 06</t>
  </si>
  <si>
    <t>AR 09</t>
  </si>
  <si>
    <t>Invoice Price</t>
  </si>
  <si>
    <t>AR Quote Price</t>
  </si>
  <si>
    <t>Invoice Number</t>
  </si>
  <si>
    <t>Issues</t>
  </si>
  <si>
    <t>Imei/SN</t>
  </si>
  <si>
    <t>870029785624 Owais HT</t>
  </si>
  <si>
    <t>17626007660 Owais HT</t>
  </si>
  <si>
    <r>
      <rPr>
        <sz val="9.5"/>
        <rFont val="Arial MT"/>
        <family val="2"/>
      </rPr>
      <t>176-26078253 Owais HT</t>
    </r>
    <r>
      <rPr>
        <sz val="9.5"/>
        <color rgb="FF000000"/>
        <rFont val="Arial MT"/>
        <family val="2"/>
      </rPr>
      <t xml:space="preserve"> AR - 18</t>
    </r>
  </si>
  <si>
    <r>
      <rPr>
        <sz val="11"/>
        <rFont val="Arial MT"/>
        <family val="2"/>
      </rPr>
      <t>870453667113 Owais HT</t>
    </r>
  </si>
  <si>
    <t>870611708620 Owais HT</t>
  </si>
  <si>
    <t>870413720240 Owais HT</t>
  </si>
  <si>
    <t>870756933073 Owais HT</t>
  </si>
  <si>
    <t>17626078301 Owais HT</t>
  </si>
  <si>
    <t>Owais HT</t>
  </si>
  <si>
    <t>(OWAIS)17628286930</t>
  </si>
  <si>
    <t>OW (17628286941)</t>
  </si>
  <si>
    <t>HOUSTON</t>
  </si>
  <si>
    <t>OW 17628286985</t>
  </si>
  <si>
    <t>Owais Invoice</t>
  </si>
  <si>
    <t>Discount</t>
  </si>
  <si>
    <t>Swisstech Purchasing</t>
  </si>
  <si>
    <t xml:space="preserve">Date </t>
  </si>
  <si>
    <t>Description from Owais Ledger</t>
  </si>
  <si>
    <t>Amount</t>
  </si>
  <si>
    <t>WIRE SWISS TECH</t>
  </si>
  <si>
    <t>Paid</t>
  </si>
  <si>
    <t>WIRE RETURN</t>
  </si>
  <si>
    <t>Description from Swisstech Ledger</t>
  </si>
  <si>
    <t>{ 5000 Usd @3.60 to WB Aus }</t>
  </si>
  <si>
    <t>{ 5000 US $ @3.58 received by AR }</t>
  </si>
  <si>
    <t>{ 25000 US$ @3.60 to WB }</t>
  </si>
  <si>
    <t>{ 5000 USD @3.59 to wise bank }</t>
  </si>
  <si>
    <t>{ 3000 US$ @3.585 transfer in wise bank }</t>
  </si>
  <si>
    <t>{ 11975 US$ @3.59 to Ravi NY }</t>
  </si>
  <si>
    <t>{ 3975 USD @3.59 to wise bnak }</t>
  </si>
  <si>
    <t>{ 1230 US$ @3.59 to wise bank }</t>
  </si>
  <si>
    <t>{ 2025 US$ @3.59 to wise bank }</t>
  </si>
  <si>
    <t>{ 2000 US$ 3.595 to wise bank 3-dec-25 }</t>
  </si>
  <si>
    <t>{ 5000 US$ @3.595 to wise bank 11-dec-25 }</t>
  </si>
  <si>
    <t>{ 14845 US$ @3.60 to WB 15-sep-2025 }</t>
  </si>
  <si>
    <t>{ 13580 US$ @3.60 to WB 11-sep-2025 }</t>
  </si>
  <si>
    <t>{ 4475 US$ @3.59 to Wise Bank 29-jan-26 }</t>
  </si>
  <si>
    <t>{ 4975 US$ @3.58 to wise bank by Owais 19-2-26 }</t>
  </si>
  <si>
    <t>{ 8000 US$ @3.58 to AM Canada by Owais 25-2-26 }</t>
  </si>
  <si>
    <t>{ 2750 US$ @3.58 to AM canada by Owais 27-2-26 }</t>
  </si>
  <si>
    <t>{ 3975 US$ @3.57 to wise bank by Owais }</t>
  </si>
  <si>
    <t>{ 2750 US$ @3.57 paid AM rent by Owais }</t>
  </si>
  <si>
    <t>{ 2750 US$ @3.57 to AM through Owais HT }</t>
  </si>
  <si>
    <t>{ 4000 US$ @3.57 to AM through Owais HT }</t>
  </si>
  <si>
    <t>{ 10000 US$ @3.57 paid to wise bank usa }</t>
  </si>
  <si>
    <t>{ 5000 US$ @3.57 to AM by Owais HT 06-04-26 }</t>
  </si>
  <si>
    <t>{ 5000 US$ @3.57 paid to wise bank 27-04-26 }</t>
  </si>
  <si>
    <t>{ 2750 US$ @3.57 paid AM Rent by Owais HT }</t>
  </si>
  <si>
    <t>Payout (Majid)</t>
  </si>
  <si>
    <t>MAJID BHAI RENT</t>
  </si>
  <si>
    <t>{ 25000 US$ @3.60 wire reverse to owais ht }</t>
  </si>
  <si>
    <t>{ 6475 US$ @3.57 to wise bank by Owais }</t>
  </si>
  <si>
    <t xml:space="preserve">Majid Zelle </t>
  </si>
  <si>
    <t>PAYOUT Wise Bank</t>
  </si>
  <si>
    <t>PAYOUT majid</t>
  </si>
  <si>
    <t>Owais March Ledger</t>
  </si>
  <si>
    <t>Difference Cause</t>
  </si>
  <si>
    <t>Update by Swisstech</t>
  </si>
  <si>
    <t>95$ discount by owais but not in updated ledger</t>
  </si>
  <si>
    <t>340$ discount by owais but not in updated ledger</t>
  </si>
  <si>
    <t>310$ discount by owais but not in updated ledger</t>
  </si>
  <si>
    <t>925$ discount by owais but not in updated ledger</t>
  </si>
  <si>
    <t>40$ discount by owais but not in updated ledger + Wrong inv total by owais</t>
  </si>
  <si>
    <t>430$ discount by owais but not in updated ledger + Wrong inv total by owais</t>
  </si>
  <si>
    <t>275$ discount by owais but not in updated ledger</t>
  </si>
  <si>
    <t>385$ discount by owais but not in updated ledger</t>
  </si>
  <si>
    <t>255$ discount by owais but not in updated ledger</t>
  </si>
  <si>
    <t>235$ discount by owais but not in updated ledger</t>
  </si>
  <si>
    <t>375$ discount by owais but not in updated ledger</t>
  </si>
  <si>
    <t>48*20 = 960$ meta glasses Discount by Owais</t>
  </si>
  <si>
    <t>Overall 5075$ discount</t>
  </si>
  <si>
    <t>23645/3.57 = 6623.24</t>
  </si>
  <si>
    <t>Description</t>
  </si>
  <si>
    <t>Debit</t>
  </si>
  <si>
    <t>Credit</t>
  </si>
  <si>
    <t>Balance</t>
  </si>
  <si>
    <t>Invoice 26</t>
  </si>
  <si>
    <t>Opening Balance</t>
  </si>
  <si>
    <t>Invoice AR-1</t>
  </si>
  <si>
    <t>Return Samsung Z Flip</t>
  </si>
  <si>
    <t>Return Google Pixel Fold</t>
  </si>
  <si>
    <t>Paid to Owais HT 08-01-2026</t>
  </si>
  <si>
    <t>Paid to Owais HT 09-01-2026</t>
  </si>
  <si>
    <t>Invoice AR-2</t>
  </si>
  <si>
    <t xml:space="preserve">Purchased </t>
  </si>
  <si>
    <t>Paid to Owais HT 14-01-2026</t>
  </si>
  <si>
    <t>Invoice AR-4</t>
  </si>
  <si>
    <t>Invoice AR-5</t>
  </si>
  <si>
    <t>Paid to Owais HT 15-01-2026</t>
  </si>
  <si>
    <t>Paid to Owais HT 17-01-2026</t>
  </si>
  <si>
    <t>Paid to Owais HT 21-01-2026</t>
  </si>
  <si>
    <t>Paid to Owais HT 23-01-2026</t>
  </si>
  <si>
    <t>Paid to Owais HT</t>
  </si>
  <si>
    <t>Discount by Owais HT</t>
  </si>
  <si>
    <t>Paid to Owais HT 30-01-2026</t>
  </si>
  <si>
    <t>Paid to Owais HT 04-02-2026</t>
  </si>
  <si>
    <t>Invoice AR-6</t>
  </si>
  <si>
    <t>Invoice AR-7</t>
  </si>
  <si>
    <t>Invoice AR-9</t>
  </si>
  <si>
    <t>Invoice AR-7 Pallet</t>
  </si>
  <si>
    <t>Paid to Owais HT 06-02-2026</t>
  </si>
  <si>
    <t>Invoice AR-10</t>
  </si>
  <si>
    <t>Paid to Owais HT 24-02-2026</t>
  </si>
  <si>
    <t>Invoice AR-11</t>
  </si>
  <si>
    <t>Invoice AR-12</t>
  </si>
  <si>
    <t>Invoice AR-13</t>
  </si>
  <si>
    <t>Received in Wise</t>
  </si>
  <si>
    <t>Received in Wise 29-01-2026</t>
  </si>
  <si>
    <t>Received in Wise 19-02-2026</t>
  </si>
  <si>
    <t>Received A.Majid 25-02-2026</t>
  </si>
  <si>
    <t>Received A.Majid 27-02-2026</t>
  </si>
  <si>
    <t>Label No 17626007660</t>
  </si>
  <si>
    <t>Received A.Majid Rent</t>
  </si>
  <si>
    <t xml:space="preserve"> Label No 870029785624</t>
  </si>
  <si>
    <t>adjustment AR-6,9,12,13 Owais</t>
  </si>
  <si>
    <t>Used Phones inv adjustment Half</t>
  </si>
  <si>
    <t>Invoice AR-18 Pallet</t>
  </si>
  <si>
    <t>Label No870453667113</t>
  </si>
  <si>
    <t>Logistics</t>
  </si>
  <si>
    <t>Invoice AR-17</t>
  </si>
  <si>
    <t>Label No 870413720240</t>
  </si>
  <si>
    <t>Label No 870756933073</t>
  </si>
  <si>
    <t>Stock Return</t>
  </si>
  <si>
    <t>Label No 17626078301</t>
  </si>
  <si>
    <t>Invoice</t>
  </si>
  <si>
    <t xml:space="preserve">Received A.Majid </t>
  </si>
  <si>
    <t>Received A.Majid 06-04-26</t>
  </si>
  <si>
    <t>Received in Wise 27-04-26</t>
  </si>
  <si>
    <t>Label No 17628286930</t>
  </si>
  <si>
    <t>Label No 17628286941</t>
  </si>
  <si>
    <t>Paid to Owais HT 19-05-2026</t>
  </si>
  <si>
    <t>Label No 17628286985</t>
  </si>
  <si>
    <t>Used Phones Invoice</t>
  </si>
  <si>
    <t>paid to Owais HT</t>
  </si>
  <si>
    <t>16PM Return</t>
  </si>
  <si>
    <t>Shipent Charges</t>
  </si>
  <si>
    <t>Paid by AR</t>
  </si>
  <si>
    <t>Paid ST Aus</t>
  </si>
  <si>
    <t>Received by AR</t>
  </si>
  <si>
    <t>Paid A.Rehman HT</t>
  </si>
  <si>
    <t>Received in Wise Bank</t>
  </si>
  <si>
    <t>Ravi NY</t>
  </si>
  <si>
    <t>Paid Saad HT</t>
  </si>
  <si>
    <t>ST Aus wire Reverse</t>
  </si>
  <si>
    <t>Paid ST Aus 15-9-25</t>
  </si>
  <si>
    <t>Paid ST Aus 11-9-25</t>
  </si>
  <si>
    <t>paid to Owais HT 16/12/25</t>
  </si>
  <si>
    <t>paid to Owais HT 15/12/25</t>
  </si>
  <si>
    <t>paid to Owais HT 22/12/25</t>
  </si>
  <si>
    <t xml:space="preserve">Amount </t>
  </si>
  <si>
    <t>Cash in by Owais</t>
  </si>
  <si>
    <t>bank charges</t>
  </si>
  <si>
    <t>NY DIFFERENCE</t>
  </si>
  <si>
    <t>Total Difference</t>
  </si>
  <si>
    <t>INV - PSP</t>
  </si>
  <si>
    <t>Pending Inv - box</t>
  </si>
  <si>
    <t>Wire Difference</t>
  </si>
  <si>
    <t>NY Payment Difference</t>
  </si>
  <si>
    <t>Discount 2025</t>
  </si>
  <si>
    <t>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</si>
</sst>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AED&quot;* #,##0.00_-;\-&quot;AED&quot;* #,##0.00_-;_-&quot;AED&quot;* &quot;-&quot;??_-;_-@_-"/>
    <numFmt numFmtId="164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Arial MT"/>
      <family val="2"/>
    </font>
    <font>
      <sz val="10"/>
      <color rgb="FF000000"/>
      <name val="Times New Roman"/>
      <family val="1"/>
    </font>
    <font>
      <sz val="11"/>
      <color rgb="FF000000"/>
      <name val="Arial MT"/>
      <family val="2"/>
    </font>
    <font>
      <sz val="10"/>
      <color rgb="FF000000"/>
      <name val="Arial MT"/>
      <family val="2"/>
    </font>
    <font>
      <sz val="12"/>
      <color rgb="FF000000"/>
      <name val="Verdana"/>
      <family val="2"/>
    </font>
    <font>
      <sz val="9.5"/>
      <name val="Arial MT"/>
      <family val="2"/>
    </font>
    <font>
      <sz val="10"/>
      <color theme="1"/>
      <name val="Arial"/>
      <family val="2"/>
    </font>
    <font>
      <sz val="9.5"/>
      <color rgb="FF000000"/>
      <name val="Arial MT"/>
      <family val="2"/>
    </font>
    <font>
      <sz val="11"/>
      <name val="Arial MT"/>
      <family val="2"/>
    </font>
    <font>
      <sz val="9.5"/>
      <color theme="1"/>
      <name val="Arial MT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</cellStyleXfs>
  <cellXfs count="104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4" fontId="0" fillId="0" borderId="1" xfId="1" applyNumberFormat="1" applyFont="1" applyBorder="1"/>
    <xf numFmtId="44" fontId="0" fillId="0" borderId="1" xfId="0" applyNumberFormat="1" applyBorder="1"/>
    <xf numFmtId="0" fontId="4" fillId="0" borderId="2" xfId="0" applyFont="1" applyBorder="1" applyAlignment="1">
      <alignment horizontal="center"/>
    </xf>
    <xf numFmtId="0" fontId="0" fillId="0" borderId="2" xfId="0" applyBorder="1"/>
    <xf numFmtId="0" fontId="0" fillId="0" borderId="1" xfId="0" applyFill="1" applyBorder="1"/>
    <xf numFmtId="164" fontId="1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/>
    <xf numFmtId="164" fontId="0" fillId="0" borderId="0" xfId="0" applyNumberFormat="1"/>
    <xf numFmtId="164" fontId="0" fillId="2" borderId="1" xfId="0" applyNumberFormat="1" applyFill="1" applyBorder="1" applyAlignment="1">
      <alignment horizontal="right"/>
    </xf>
    <xf numFmtId="0" fontId="0" fillId="2" borderId="0" xfId="0" applyFill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164" fontId="0" fillId="4" borderId="1" xfId="0" applyNumberFormat="1" applyFont="1" applyFill="1" applyBorder="1" applyAlignment="1">
      <alignment horizontal="right"/>
    </xf>
    <xf numFmtId="0" fontId="0" fillId="4" borderId="1" xfId="0" applyFont="1" applyFill="1" applyBorder="1" applyAlignment="1">
      <alignment horizontal="right"/>
    </xf>
    <xf numFmtId="164" fontId="0" fillId="4" borderId="1" xfId="0" applyNumberFormat="1" applyFill="1" applyBorder="1"/>
    <xf numFmtId="1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Border="1"/>
    <xf numFmtId="164" fontId="0" fillId="0" borderId="2" xfId="1" applyNumberFormat="1" applyFont="1" applyBorder="1"/>
    <xf numFmtId="0" fontId="0" fillId="0" borderId="1" xfId="0" applyBorder="1" applyAlignment="1">
      <alignment horizontal="center"/>
    </xf>
    <xf numFmtId="17" fontId="0" fillId="0" borderId="1" xfId="0" applyNumberFormat="1" applyBorder="1"/>
    <xf numFmtId="0" fontId="1" fillId="0" borderId="1" xfId="0" applyFont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5" fontId="0" fillId="0" borderId="0" xfId="0" applyNumberFormat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0" fillId="2" borderId="0" xfId="0" applyFill="1" applyBorder="1"/>
    <xf numFmtId="164" fontId="0" fillId="2" borderId="0" xfId="0" applyNumberFormat="1" applyFill="1"/>
    <xf numFmtId="1" fontId="11" fillId="2" borderId="0" xfId="3" applyNumberFormat="1" applyFont="1" applyFill="1" applyBorder="1" applyAlignment="1">
      <alignment horizontal="center" vertical="top" shrinkToFit="1"/>
    </xf>
    <xf numFmtId="1" fontId="0" fillId="2" borderId="1" xfId="0" applyNumberFormat="1" applyFill="1" applyBorder="1" applyAlignment="1">
      <alignment horizontal="center"/>
    </xf>
    <xf numFmtId="1" fontId="10" fillId="2" borderId="1" xfId="2" applyNumberFormat="1" applyFont="1" applyFill="1" applyBorder="1" applyAlignment="1">
      <alignment horizontal="center" vertical="top" shrinkToFit="1"/>
    </xf>
    <xf numFmtId="1" fontId="12" fillId="2" borderId="1" xfId="0" applyNumberFormat="1" applyFont="1" applyFill="1" applyBorder="1" applyAlignment="1">
      <alignment horizontal="center" vertical="top" shrinkToFit="1"/>
    </xf>
    <xf numFmtId="1" fontId="11" fillId="2" borderId="1" xfId="3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center"/>
    </xf>
    <xf numFmtId="164" fontId="0" fillId="0" borderId="0" xfId="1" applyNumberFormat="1" applyFont="1" applyBorder="1"/>
    <xf numFmtId="0" fontId="5" fillId="5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wrapText="1"/>
    </xf>
    <xf numFmtId="164" fontId="0" fillId="0" borderId="1" xfId="0" applyNumberFormat="1" applyBorder="1"/>
    <xf numFmtId="14" fontId="0" fillId="0" borderId="1" xfId="0" applyNumberFormat="1" applyBorder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15" fontId="0" fillId="0" borderId="1" xfId="0" applyNumberFormat="1" applyBorder="1"/>
    <xf numFmtId="15" fontId="0" fillId="5" borderId="1" xfId="0" applyNumberFormat="1" applyFill="1" applyBorder="1"/>
    <xf numFmtId="0" fontId="0" fillId="5" borderId="1" xfId="0" applyFill="1" applyBorder="1"/>
    <xf numFmtId="15" fontId="0" fillId="8" borderId="1" xfId="0" applyNumberFormat="1" applyFill="1" applyBorder="1"/>
    <xf numFmtId="0" fontId="0" fillId="8" borderId="1" xfId="0" applyFill="1" applyBorder="1"/>
    <xf numFmtId="15" fontId="0" fillId="9" borderId="1" xfId="0" applyNumberFormat="1" applyFill="1" applyBorder="1"/>
    <xf numFmtId="0" fontId="0" fillId="9" borderId="1" xfId="0" applyFill="1" applyBorder="1"/>
    <xf numFmtId="0" fontId="0" fillId="4" borderId="1" xfId="0" applyFill="1" applyBorder="1" applyAlignment="1">
      <alignment horizontal="right" vertical="center"/>
    </xf>
    <xf numFmtId="164" fontId="0" fillId="2" borderId="1" xfId="0" applyNumberFormat="1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164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1" fillId="0" borderId="0" xfId="0" applyNumberFormat="1" applyFont="1"/>
    <xf numFmtId="0" fontId="14" fillId="2" borderId="1" xfId="0" applyFont="1" applyFill="1" applyBorder="1" applyAlignment="1">
      <alignment horizontal="left" wrapText="1"/>
    </xf>
    <xf numFmtId="0" fontId="0" fillId="10" borderId="1" xfId="0" applyFill="1" applyBorder="1"/>
    <xf numFmtId="0" fontId="14" fillId="10" borderId="1" xfId="0" applyFont="1" applyFill="1" applyBorder="1" applyAlignment="1">
      <alignment horizontal="left" wrapText="1"/>
    </xf>
    <xf numFmtId="164" fontId="0" fillId="10" borderId="1" xfId="0" applyNumberFormat="1" applyFill="1" applyBorder="1" applyAlignment="1">
      <alignment horizontal="right"/>
    </xf>
    <xf numFmtId="164" fontId="0" fillId="10" borderId="1" xfId="0" applyNumberFormat="1" applyFill="1" applyBorder="1"/>
    <xf numFmtId="0" fontId="17" fillId="10" borderId="1" xfId="0" applyFont="1" applyFill="1" applyBorder="1" applyAlignment="1">
      <alignment horizontal="left" wrapText="1"/>
    </xf>
    <xf numFmtId="164" fontId="1" fillId="0" borderId="1" xfId="0" applyNumberFormat="1" applyFont="1" applyBorder="1"/>
    <xf numFmtId="164" fontId="0" fillId="0" borderId="0" xfId="1" applyNumberFormat="1" applyFont="1"/>
    <xf numFmtId="164" fontId="1" fillId="0" borderId="1" xfId="1" applyNumberFormat="1" applyFont="1" applyBorder="1"/>
    <xf numFmtId="164" fontId="0" fillId="0" borderId="0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164" fontId="0" fillId="0" borderId="7" xfId="1" applyNumberFormat="1" applyFont="1" applyBorder="1"/>
    <xf numFmtId="0" fontId="0" fillId="0" borderId="5" xfId="0" applyBorder="1" applyAlignment="1">
      <alignment horizontal="center"/>
    </xf>
    <xf numFmtId="0" fontId="0" fillId="0" borderId="5" xfId="0" applyBorder="1"/>
    <xf numFmtId="164" fontId="0" fillId="0" borderId="5" xfId="0" applyNumberFormat="1" applyBorder="1"/>
    <xf numFmtId="164" fontId="1" fillId="0" borderId="1" xfId="1" applyNumberFormat="1" applyFont="1" applyFill="1" applyBorder="1"/>
    <xf numFmtId="0" fontId="0" fillId="4" borderId="1" xfId="0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left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</cellXfs>
  <cellStyles count="5">
    <cellStyle name="Currency" xfId="1" builtinId="4"/>
    <cellStyle name="Normal" xfId="0" builtinId="0"/>
    <cellStyle name="Normal 3" xfId="3" xr:uid="{A2C3DCEF-2398-456B-9512-38C3B24DE016}"/>
    <cellStyle name="Normal 4" xfId="2" xr:uid="{E8EC5460-42DC-40E0-8D9A-2316221A8C04}"/>
    <cellStyle name="Normal 5" xfId="4" xr:uid="{16A084BF-8D6D-4F37-90E3-3C32D9CDD0F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5B54-ECEE-400C-9E1C-0C08D3CB6479}">
  <dimension ref="B2:X142"/>
  <sheetViews>
    <sheetView topLeftCell="A32" zoomScale="70" zoomScaleNormal="70" workbookViewId="0">
      <selection activeCell="G133" sqref="G133"/>
    </sheetView>
  </sheetViews>
  <sheetFormatPr defaultRowHeight="15" x14ac:dyDescent="0.25"/>
  <cols>
    <col min="2" max="2" width="29.28515625" customWidth="1"/>
    <col min="3" max="3" width="46.42578125" style="14" customWidth="1"/>
    <col min="4" max="4" width="39" customWidth="1"/>
    <col min="5" max="5" width="17.28515625" customWidth="1"/>
    <col min="6" max="6" width="23" customWidth="1"/>
    <col min="7" max="7" width="58.28515625" customWidth="1"/>
    <col min="8" max="8" width="43.42578125" customWidth="1"/>
    <col min="9" max="9" width="16.7109375" customWidth="1"/>
    <col min="10" max="10" width="26.7109375" customWidth="1"/>
    <col min="11" max="11" width="66.5703125" customWidth="1"/>
    <col min="12" max="12" width="10.28515625" customWidth="1"/>
    <col min="13" max="13" width="28" customWidth="1"/>
    <col min="14" max="14" width="22.28515625" customWidth="1"/>
    <col min="15" max="15" width="40.28515625" customWidth="1"/>
    <col min="16" max="16" width="18.28515625" customWidth="1"/>
    <col min="17" max="17" width="27.7109375" customWidth="1"/>
    <col min="18" max="18" width="20.7109375" customWidth="1"/>
    <col min="21" max="21" width="21.28515625" customWidth="1"/>
    <col min="22" max="22" width="15.140625" customWidth="1"/>
    <col min="23" max="24" width="11.5703125" customWidth="1"/>
  </cols>
  <sheetData>
    <row r="2" spans="2:17" x14ac:dyDescent="0.25">
      <c r="B2" s="2" t="s">
        <v>1</v>
      </c>
      <c r="C2" s="12" t="s">
        <v>30</v>
      </c>
      <c r="D2" s="2" t="s">
        <v>28</v>
      </c>
      <c r="E2" s="3" t="s">
        <v>29</v>
      </c>
      <c r="F2" s="3"/>
      <c r="G2" s="3" t="s">
        <v>59</v>
      </c>
    </row>
    <row r="3" spans="2:17" x14ac:dyDescent="0.25">
      <c r="B3" s="19" t="s">
        <v>16</v>
      </c>
      <c r="C3" s="20">
        <v>38675</v>
      </c>
      <c r="D3" s="21">
        <v>38630</v>
      </c>
      <c r="E3" s="19">
        <f>C3-D3</f>
        <v>45</v>
      </c>
      <c r="F3" s="19"/>
      <c r="G3" s="4"/>
    </row>
    <row r="4" spans="2:17" x14ac:dyDescent="0.25">
      <c r="B4" s="19" t="s">
        <v>17</v>
      </c>
      <c r="C4" s="20">
        <v>15465</v>
      </c>
      <c r="D4" s="21">
        <v>15465</v>
      </c>
      <c r="E4" s="19">
        <f t="shared" ref="E4:E46" si="0">C4-D4</f>
        <v>0</v>
      </c>
      <c r="F4" s="19"/>
      <c r="G4" s="4"/>
    </row>
    <row r="5" spans="2:17" x14ac:dyDescent="0.25">
      <c r="B5" s="19" t="s">
        <v>18</v>
      </c>
      <c r="C5" s="20">
        <v>11628</v>
      </c>
      <c r="D5" s="21">
        <v>11628</v>
      </c>
      <c r="E5" s="19">
        <f t="shared" si="0"/>
        <v>0</v>
      </c>
      <c r="F5" s="19"/>
      <c r="G5" s="4"/>
      <c r="I5" s="4"/>
      <c r="J5" s="4"/>
      <c r="K5" s="4"/>
      <c r="L5" s="4"/>
      <c r="M5" s="4"/>
      <c r="N5" s="30"/>
    </row>
    <row r="6" spans="2:17" ht="15.75" x14ac:dyDescent="0.25">
      <c r="B6" s="19" t="s">
        <v>18</v>
      </c>
      <c r="C6" s="20">
        <v>16720</v>
      </c>
      <c r="D6" s="21">
        <v>16720</v>
      </c>
      <c r="E6" s="19">
        <f t="shared" si="0"/>
        <v>0</v>
      </c>
      <c r="F6" s="19"/>
      <c r="G6" s="4"/>
      <c r="I6" s="4"/>
      <c r="J6" s="5" t="s">
        <v>14</v>
      </c>
      <c r="K6" s="5" t="s">
        <v>32</v>
      </c>
      <c r="L6" s="5"/>
      <c r="M6" s="5"/>
      <c r="N6" s="9"/>
      <c r="O6" s="9" t="s">
        <v>31</v>
      </c>
      <c r="P6" s="6" t="s">
        <v>32</v>
      </c>
    </row>
    <row r="7" spans="2:17" x14ac:dyDescent="0.25">
      <c r="B7" s="19" t="s">
        <v>18</v>
      </c>
      <c r="C7" s="22">
        <v>21070</v>
      </c>
      <c r="D7" s="19">
        <v>21070</v>
      </c>
      <c r="E7" s="19">
        <f t="shared" si="0"/>
        <v>0</v>
      </c>
      <c r="F7" s="19"/>
      <c r="G7" s="4"/>
      <c r="I7" s="4"/>
      <c r="J7" s="4" t="s">
        <v>21</v>
      </c>
      <c r="K7" s="7">
        <v>546.41</v>
      </c>
      <c r="L7" s="7"/>
      <c r="M7" s="7"/>
      <c r="N7" s="31"/>
      <c r="O7" s="10" t="s">
        <v>19</v>
      </c>
      <c r="P7" s="8">
        <v>9970</v>
      </c>
      <c r="Q7" t="s">
        <v>167</v>
      </c>
    </row>
    <row r="8" spans="2:17" x14ac:dyDescent="0.25">
      <c r="B8" s="19" t="s">
        <v>18</v>
      </c>
      <c r="C8" s="22">
        <v>39590</v>
      </c>
      <c r="D8" s="19">
        <v>39190</v>
      </c>
      <c r="E8" s="19">
        <f t="shared" si="0"/>
        <v>400</v>
      </c>
      <c r="F8" s="19"/>
      <c r="G8" s="4"/>
      <c r="I8" s="4"/>
      <c r="J8" s="4" t="s">
        <v>20</v>
      </c>
      <c r="K8" s="7">
        <v>399.43</v>
      </c>
      <c r="L8" s="7"/>
      <c r="M8" s="7"/>
      <c r="N8" s="31"/>
      <c r="O8" s="10" t="s">
        <v>33</v>
      </c>
      <c r="P8" s="8">
        <v>20000</v>
      </c>
    </row>
    <row r="9" spans="2:17" x14ac:dyDescent="0.25">
      <c r="B9" s="19" t="s">
        <v>18</v>
      </c>
      <c r="C9" s="22">
        <v>46940</v>
      </c>
      <c r="D9" s="19">
        <v>46940</v>
      </c>
      <c r="E9" s="19">
        <f t="shared" si="0"/>
        <v>0</v>
      </c>
      <c r="F9" s="19"/>
      <c r="G9" s="4"/>
      <c r="I9" s="4"/>
      <c r="J9" s="4" t="s">
        <v>22</v>
      </c>
      <c r="K9" s="7">
        <v>160</v>
      </c>
      <c r="L9" s="7"/>
      <c r="M9" s="7"/>
      <c r="N9" s="31"/>
      <c r="O9" s="10" t="s">
        <v>26</v>
      </c>
      <c r="P9" s="8">
        <v>90000</v>
      </c>
    </row>
    <row r="10" spans="2:17" x14ac:dyDescent="0.25">
      <c r="B10" s="19" t="s">
        <v>0</v>
      </c>
      <c r="C10" s="22">
        <v>21915</v>
      </c>
      <c r="D10" s="19">
        <v>21975</v>
      </c>
      <c r="E10" s="19">
        <f t="shared" si="0"/>
        <v>-60</v>
      </c>
      <c r="F10" s="19"/>
      <c r="G10" s="4"/>
      <c r="I10" s="4"/>
      <c r="J10" s="4" t="s">
        <v>15</v>
      </c>
      <c r="K10" s="7">
        <v>2962</v>
      </c>
      <c r="L10" s="7"/>
      <c r="M10" s="7"/>
      <c r="N10" s="31"/>
      <c r="O10" s="10"/>
      <c r="P10" s="4"/>
    </row>
    <row r="11" spans="2:17" x14ac:dyDescent="0.25">
      <c r="B11" s="19" t="s">
        <v>2</v>
      </c>
      <c r="C11" s="89">
        <v>39405</v>
      </c>
      <c r="D11" s="88">
        <v>39895</v>
      </c>
      <c r="E11" s="88">
        <f t="shared" si="0"/>
        <v>-490</v>
      </c>
      <c r="F11" s="64"/>
      <c r="G11" s="4"/>
      <c r="I11" s="4"/>
      <c r="J11" s="4"/>
      <c r="K11" s="4"/>
      <c r="L11" s="4"/>
      <c r="M11" s="7"/>
      <c r="N11" s="31"/>
      <c r="O11" s="10"/>
      <c r="P11" s="4"/>
    </row>
    <row r="12" spans="2:17" x14ac:dyDescent="0.25">
      <c r="B12" s="19" t="s">
        <v>3</v>
      </c>
      <c r="C12" s="89"/>
      <c r="D12" s="88"/>
      <c r="E12" s="88"/>
      <c r="F12" s="64"/>
      <c r="G12" s="4"/>
    </row>
    <row r="13" spans="2:17" x14ac:dyDescent="0.25">
      <c r="B13" s="19" t="s">
        <v>4</v>
      </c>
      <c r="C13" s="22">
        <v>43085</v>
      </c>
      <c r="D13" s="19">
        <v>42360</v>
      </c>
      <c r="E13" s="19">
        <f t="shared" si="0"/>
        <v>725</v>
      </c>
      <c r="F13" s="19"/>
      <c r="G13" s="4"/>
    </row>
    <row r="14" spans="2:17" x14ac:dyDescent="0.25">
      <c r="B14" s="19" t="s">
        <v>5</v>
      </c>
      <c r="C14" s="22">
        <v>52920</v>
      </c>
      <c r="D14" s="19">
        <v>52960</v>
      </c>
      <c r="E14" s="19">
        <f t="shared" si="0"/>
        <v>-40</v>
      </c>
      <c r="F14" s="19"/>
      <c r="G14" s="4"/>
    </row>
    <row r="15" spans="2:17" x14ac:dyDescent="0.25">
      <c r="B15" s="19" t="s">
        <v>6</v>
      </c>
      <c r="C15" s="22">
        <v>42485</v>
      </c>
      <c r="D15" s="19">
        <v>40870</v>
      </c>
      <c r="E15" s="19">
        <f t="shared" si="0"/>
        <v>1615</v>
      </c>
      <c r="F15" s="19"/>
      <c r="G15" s="4"/>
    </row>
    <row r="16" spans="2:17" x14ac:dyDescent="0.25">
      <c r="B16" s="19" t="s">
        <v>7</v>
      </c>
      <c r="C16" s="22">
        <v>28110</v>
      </c>
      <c r="D16" s="19">
        <v>29920</v>
      </c>
      <c r="E16" s="19">
        <f t="shared" si="0"/>
        <v>-1810</v>
      </c>
      <c r="F16" s="19"/>
      <c r="G16" s="4"/>
    </row>
    <row r="17" spans="2:16" x14ac:dyDescent="0.25">
      <c r="B17" s="19" t="s">
        <v>8</v>
      </c>
      <c r="C17" s="22">
        <v>46415</v>
      </c>
      <c r="D17" s="19">
        <v>46575</v>
      </c>
      <c r="E17" s="19">
        <f t="shared" si="0"/>
        <v>-160</v>
      </c>
      <c r="F17" s="19"/>
      <c r="G17" s="4"/>
      <c r="J17" s="4" t="s">
        <v>23</v>
      </c>
      <c r="K17" s="7">
        <v>1400</v>
      </c>
      <c r="L17" s="48"/>
    </row>
    <row r="18" spans="2:16" x14ac:dyDescent="0.25">
      <c r="B18" s="19" t="s">
        <v>9</v>
      </c>
      <c r="C18" s="22">
        <v>32520</v>
      </c>
      <c r="D18" s="19">
        <v>32175</v>
      </c>
      <c r="E18" s="19">
        <f t="shared" si="0"/>
        <v>345</v>
      </c>
      <c r="F18" s="19"/>
      <c r="G18" s="17" t="s">
        <v>34</v>
      </c>
      <c r="H18" s="16"/>
      <c r="J18" s="4" t="s">
        <v>24</v>
      </c>
      <c r="K18" s="7">
        <v>15035</v>
      </c>
      <c r="L18" s="7"/>
      <c r="M18" s="7"/>
      <c r="N18" s="7"/>
      <c r="O18" s="4"/>
      <c r="P18" s="4"/>
    </row>
    <row r="19" spans="2:16" x14ac:dyDescent="0.25">
      <c r="B19" s="19" t="s">
        <v>10</v>
      </c>
      <c r="C19" s="22">
        <v>43205</v>
      </c>
      <c r="D19" s="19">
        <v>43615</v>
      </c>
      <c r="E19" s="19">
        <f t="shared" si="0"/>
        <v>-410</v>
      </c>
      <c r="F19" s="19"/>
      <c r="G19" s="4"/>
      <c r="J19" s="4" t="s">
        <v>25</v>
      </c>
      <c r="K19" s="7">
        <v>30035</v>
      </c>
      <c r="L19" s="7"/>
      <c r="M19" s="7"/>
      <c r="N19" s="7"/>
      <c r="O19" s="4"/>
      <c r="P19" s="4"/>
    </row>
    <row r="20" spans="2:16" x14ac:dyDescent="0.25">
      <c r="B20" s="19" t="s">
        <v>11</v>
      </c>
      <c r="C20" s="22">
        <v>55445</v>
      </c>
      <c r="D20" s="19">
        <v>55365</v>
      </c>
      <c r="E20" s="19">
        <f t="shared" si="0"/>
        <v>80</v>
      </c>
      <c r="F20" s="19"/>
      <c r="G20" s="4"/>
      <c r="J20" s="4" t="s">
        <v>27</v>
      </c>
      <c r="K20" s="7">
        <v>5000</v>
      </c>
      <c r="L20" s="7"/>
      <c r="M20" s="7"/>
      <c r="N20" s="7"/>
      <c r="O20" s="4"/>
      <c r="P20" s="4"/>
    </row>
    <row r="21" spans="2:16" x14ac:dyDescent="0.25">
      <c r="B21" s="19" t="s">
        <v>12</v>
      </c>
      <c r="C21" s="22">
        <v>63597</v>
      </c>
      <c r="D21" s="19">
        <v>62070</v>
      </c>
      <c r="E21" s="19">
        <f t="shared" si="0"/>
        <v>1527</v>
      </c>
      <c r="F21" s="19"/>
      <c r="G21" s="4"/>
    </row>
    <row r="22" spans="2:16" x14ac:dyDescent="0.25">
      <c r="B22" s="19" t="s">
        <v>13</v>
      </c>
      <c r="C22" s="22">
        <v>74530</v>
      </c>
      <c r="D22" s="19">
        <v>74530</v>
      </c>
      <c r="E22" s="19">
        <f t="shared" si="0"/>
        <v>0</v>
      </c>
      <c r="F22" s="19"/>
      <c r="G22" s="4"/>
    </row>
    <row r="23" spans="2:16" x14ac:dyDescent="0.25">
      <c r="B23" s="19" t="s">
        <v>35</v>
      </c>
      <c r="C23" s="22">
        <v>64050</v>
      </c>
      <c r="D23" s="19">
        <v>64050</v>
      </c>
      <c r="E23" s="19">
        <f t="shared" si="0"/>
        <v>0</v>
      </c>
      <c r="F23" s="19"/>
      <c r="G23" s="4"/>
    </row>
    <row r="24" spans="2:16" x14ac:dyDescent="0.25">
      <c r="B24" s="19" t="s">
        <v>36</v>
      </c>
      <c r="C24" s="22">
        <v>64185</v>
      </c>
      <c r="D24" s="19">
        <v>64635</v>
      </c>
      <c r="E24" s="19">
        <f t="shared" si="0"/>
        <v>-450</v>
      </c>
      <c r="F24" s="19"/>
      <c r="G24" s="4"/>
      <c r="J24" t="s">
        <v>48</v>
      </c>
      <c r="K24">
        <v>14441.16</v>
      </c>
    </row>
    <row r="25" spans="2:16" x14ac:dyDescent="0.25">
      <c r="B25" s="19" t="s">
        <v>39</v>
      </c>
      <c r="C25" s="22">
        <v>22440</v>
      </c>
      <c r="D25" s="19">
        <v>22440</v>
      </c>
      <c r="E25" s="19">
        <f t="shared" si="0"/>
        <v>0</v>
      </c>
      <c r="F25" s="19"/>
      <c r="G25" s="4"/>
    </row>
    <row r="26" spans="2:16" x14ac:dyDescent="0.25">
      <c r="B26" s="2" t="s">
        <v>1</v>
      </c>
      <c r="C26" s="12" t="s">
        <v>30</v>
      </c>
      <c r="D26" s="2" t="s">
        <v>28</v>
      </c>
      <c r="E26" s="3" t="s">
        <v>29</v>
      </c>
      <c r="F26" s="3"/>
      <c r="G26" s="3" t="s">
        <v>59</v>
      </c>
    </row>
    <row r="27" spans="2:16" x14ac:dyDescent="0.25">
      <c r="B27" s="1" t="s">
        <v>37</v>
      </c>
      <c r="C27" s="13">
        <v>64555</v>
      </c>
      <c r="D27" s="1">
        <v>64380</v>
      </c>
      <c r="E27" s="11">
        <f t="shared" si="0"/>
        <v>175</v>
      </c>
      <c r="F27" s="11"/>
      <c r="G27" s="4" t="s">
        <v>72</v>
      </c>
      <c r="J27" t="s">
        <v>127</v>
      </c>
      <c r="K27" s="7">
        <v>19903.27</v>
      </c>
      <c r="L27" s="48"/>
      <c r="O27">
        <v>5035</v>
      </c>
      <c r="P27">
        <v>14845</v>
      </c>
    </row>
    <row r="28" spans="2:16" x14ac:dyDescent="0.25">
      <c r="B28" s="1" t="s">
        <v>38</v>
      </c>
      <c r="C28" s="13">
        <v>68960</v>
      </c>
      <c r="D28" s="1">
        <v>68960</v>
      </c>
      <c r="E28" s="11">
        <f t="shared" si="0"/>
        <v>0</v>
      </c>
      <c r="F28" s="11"/>
      <c r="G28" s="4"/>
      <c r="J28" t="s">
        <v>128</v>
      </c>
      <c r="K28" s="7">
        <v>7510.89</v>
      </c>
      <c r="L28" s="48"/>
      <c r="O28">
        <v>15035</v>
      </c>
      <c r="P28">
        <v>5000</v>
      </c>
    </row>
    <row r="29" spans="2:16" x14ac:dyDescent="0.25">
      <c r="B29" s="4" t="s">
        <v>40</v>
      </c>
      <c r="C29" s="13">
        <v>15190</v>
      </c>
      <c r="D29" s="1">
        <v>15090</v>
      </c>
      <c r="E29" s="11">
        <f t="shared" si="0"/>
        <v>100</v>
      </c>
      <c r="F29" s="11"/>
      <c r="G29" s="4" t="s">
        <v>71</v>
      </c>
      <c r="J29" t="s">
        <v>129</v>
      </c>
      <c r="K29" s="7">
        <v>14829.78</v>
      </c>
      <c r="L29" s="48"/>
      <c r="O29">
        <v>30035</v>
      </c>
      <c r="P29">
        <v>25000</v>
      </c>
    </row>
    <row r="30" spans="2:16" x14ac:dyDescent="0.25">
      <c r="B30" s="4" t="s">
        <v>41</v>
      </c>
      <c r="C30" s="13">
        <v>58700</v>
      </c>
      <c r="D30" s="1">
        <v>57990</v>
      </c>
      <c r="E30" s="11">
        <f t="shared" si="0"/>
        <v>710</v>
      </c>
      <c r="F30" s="11"/>
      <c r="G30" s="4" t="s">
        <v>70</v>
      </c>
      <c r="P30">
        <v>13580</v>
      </c>
    </row>
    <row r="31" spans="2:16" x14ac:dyDescent="0.25">
      <c r="B31" s="4" t="s">
        <v>42</v>
      </c>
      <c r="C31" s="13">
        <v>9405</v>
      </c>
      <c r="D31" s="1">
        <v>9405</v>
      </c>
      <c r="E31" s="11">
        <f t="shared" si="0"/>
        <v>0</v>
      </c>
      <c r="F31" s="11"/>
      <c r="G31" s="4"/>
      <c r="P31">
        <v>11450</v>
      </c>
    </row>
    <row r="32" spans="2:16" x14ac:dyDescent="0.25">
      <c r="B32" s="4" t="s">
        <v>43</v>
      </c>
      <c r="C32" s="13">
        <v>16180</v>
      </c>
      <c r="D32" s="4">
        <v>0</v>
      </c>
      <c r="E32" s="11">
        <f t="shared" si="0"/>
        <v>16180</v>
      </c>
      <c r="F32" s="11"/>
      <c r="G32" s="4" t="s">
        <v>68</v>
      </c>
    </row>
    <row r="33" spans="2:16" x14ac:dyDescent="0.25">
      <c r="B33" s="4" t="s">
        <v>44</v>
      </c>
      <c r="C33" s="13">
        <v>97977</v>
      </c>
      <c r="D33" s="1">
        <v>97059</v>
      </c>
      <c r="E33" s="11">
        <f t="shared" si="0"/>
        <v>918</v>
      </c>
      <c r="F33" s="11"/>
      <c r="G33" s="4" t="s">
        <v>69</v>
      </c>
      <c r="O33" s="29">
        <f>SUM(O27:O32)</f>
        <v>50105</v>
      </c>
      <c r="P33" s="29">
        <f>SUM(P27:P32)</f>
        <v>69875</v>
      </c>
    </row>
    <row r="34" spans="2:16" x14ac:dyDescent="0.25">
      <c r="B34" s="4" t="s">
        <v>45</v>
      </c>
      <c r="C34" s="13">
        <v>97058</v>
      </c>
      <c r="D34" s="1">
        <v>96819</v>
      </c>
      <c r="E34" s="11">
        <f t="shared" si="0"/>
        <v>239</v>
      </c>
      <c r="F34" s="11"/>
      <c r="G34" s="4" t="s">
        <v>64</v>
      </c>
    </row>
    <row r="35" spans="2:16" x14ac:dyDescent="0.25">
      <c r="B35" s="4" t="s">
        <v>46</v>
      </c>
      <c r="C35" s="13">
        <v>31640</v>
      </c>
      <c r="D35" s="1">
        <v>30340</v>
      </c>
      <c r="E35" s="11">
        <f t="shared" si="0"/>
        <v>1300</v>
      </c>
      <c r="F35" s="11"/>
      <c r="G35" s="4" t="s">
        <v>67</v>
      </c>
    </row>
    <row r="36" spans="2:16" x14ac:dyDescent="0.25">
      <c r="B36" s="4" t="s">
        <v>47</v>
      </c>
      <c r="C36" s="13">
        <v>31410</v>
      </c>
      <c r="D36" s="1">
        <v>31410</v>
      </c>
      <c r="E36" s="11">
        <f t="shared" si="0"/>
        <v>0</v>
      </c>
      <c r="F36" s="11"/>
      <c r="G36" s="4"/>
      <c r="O36">
        <f>O33-P33</f>
        <v>-19770</v>
      </c>
    </row>
    <row r="37" spans="2:16" x14ac:dyDescent="0.25">
      <c r="B37" s="4" t="s">
        <v>49</v>
      </c>
      <c r="C37" s="15">
        <v>77430</v>
      </c>
      <c r="D37" s="1">
        <v>76450</v>
      </c>
      <c r="E37" s="11">
        <f t="shared" si="0"/>
        <v>980</v>
      </c>
      <c r="F37" s="11"/>
      <c r="G37" s="4" t="s">
        <v>66</v>
      </c>
    </row>
    <row r="38" spans="2:16" ht="30" x14ac:dyDescent="0.25">
      <c r="B38" s="4" t="s">
        <v>50</v>
      </c>
      <c r="C38" s="15">
        <v>63705</v>
      </c>
      <c r="D38" s="1">
        <v>62565</v>
      </c>
      <c r="E38" s="11">
        <f t="shared" si="0"/>
        <v>1140</v>
      </c>
      <c r="F38" s="11"/>
      <c r="G38" s="18" t="s">
        <v>65</v>
      </c>
    </row>
    <row r="39" spans="2:16" x14ac:dyDescent="0.25">
      <c r="B39" s="4" t="s">
        <v>51</v>
      </c>
      <c r="C39" s="15">
        <v>44640</v>
      </c>
      <c r="D39" s="1">
        <v>44610</v>
      </c>
      <c r="E39" s="11">
        <f t="shared" si="0"/>
        <v>30</v>
      </c>
      <c r="F39" s="11"/>
      <c r="G39" s="4"/>
    </row>
    <row r="40" spans="2:16" x14ac:dyDescent="0.25">
      <c r="B40" s="4" t="s">
        <v>52</v>
      </c>
      <c r="C40" s="15">
        <v>67610</v>
      </c>
      <c r="D40" s="1">
        <v>68726</v>
      </c>
      <c r="E40" s="11">
        <f t="shared" si="0"/>
        <v>-1116</v>
      </c>
      <c r="F40" s="11"/>
      <c r="G40" s="4" t="s">
        <v>63</v>
      </c>
      <c r="K40" s="32" t="s">
        <v>132</v>
      </c>
      <c r="L40" s="32"/>
      <c r="M40" s="32" t="s">
        <v>133</v>
      </c>
      <c r="N40" s="32" t="s">
        <v>131</v>
      </c>
      <c r="O40" s="32" t="s">
        <v>130</v>
      </c>
    </row>
    <row r="41" spans="2:16" x14ac:dyDescent="0.25">
      <c r="B41" s="4" t="s">
        <v>53</v>
      </c>
      <c r="C41" s="15">
        <v>125855</v>
      </c>
      <c r="D41" s="1">
        <v>125495</v>
      </c>
      <c r="E41" s="11">
        <f t="shared" si="0"/>
        <v>360</v>
      </c>
      <c r="F41" s="11"/>
      <c r="G41" s="4" t="s">
        <v>62</v>
      </c>
      <c r="K41" s="4" t="s">
        <v>127</v>
      </c>
      <c r="L41" s="4"/>
      <c r="M41" s="7">
        <v>7510.89</v>
      </c>
      <c r="N41" s="33">
        <v>44044</v>
      </c>
      <c r="O41" s="4">
        <v>5035</v>
      </c>
    </row>
    <row r="42" spans="2:16" ht="31.9" customHeight="1" x14ac:dyDescent="0.25">
      <c r="B42" s="4" t="s">
        <v>54</v>
      </c>
      <c r="C42" s="15">
        <v>95355</v>
      </c>
      <c r="D42" s="1">
        <v>93880</v>
      </c>
      <c r="E42" s="11">
        <f t="shared" si="0"/>
        <v>1475</v>
      </c>
      <c r="F42" s="11"/>
      <c r="G42" s="18" t="s">
        <v>61</v>
      </c>
      <c r="K42" s="4" t="s">
        <v>128</v>
      </c>
      <c r="L42" s="4"/>
      <c r="M42" s="7">
        <v>14829.78</v>
      </c>
      <c r="N42" s="33">
        <v>44774</v>
      </c>
      <c r="O42" s="4">
        <v>15035</v>
      </c>
    </row>
    <row r="43" spans="2:16" x14ac:dyDescent="0.25">
      <c r="B43" s="4" t="s">
        <v>55</v>
      </c>
      <c r="C43" s="15">
        <v>63805</v>
      </c>
      <c r="D43" s="1">
        <v>64395</v>
      </c>
      <c r="E43" s="11">
        <f t="shared" si="0"/>
        <v>-590</v>
      </c>
      <c r="F43" s="11"/>
      <c r="G43" s="4" t="s">
        <v>60</v>
      </c>
      <c r="K43" s="4" t="s">
        <v>134</v>
      </c>
      <c r="L43" s="4"/>
      <c r="M43" s="7">
        <v>19903.27</v>
      </c>
      <c r="N43" s="33">
        <v>11536</v>
      </c>
      <c r="O43" s="4">
        <v>30035</v>
      </c>
    </row>
    <row r="44" spans="2:16" x14ac:dyDescent="0.25">
      <c r="B44" s="4" t="s">
        <v>56</v>
      </c>
      <c r="C44" s="15">
        <v>29880</v>
      </c>
      <c r="D44" s="1">
        <v>29880</v>
      </c>
      <c r="E44" s="11">
        <f t="shared" si="0"/>
        <v>0</v>
      </c>
      <c r="F44" s="11"/>
      <c r="G44" s="4"/>
      <c r="K44" s="4"/>
      <c r="L44" s="4"/>
      <c r="M44" s="4"/>
      <c r="N44" s="4"/>
      <c r="O44" s="4"/>
    </row>
    <row r="45" spans="2:16" x14ac:dyDescent="0.25">
      <c r="B45" s="4" t="s">
        <v>57</v>
      </c>
      <c r="C45" s="15">
        <v>84985</v>
      </c>
      <c r="D45" s="1">
        <v>84985</v>
      </c>
      <c r="E45" s="11">
        <f t="shared" si="0"/>
        <v>0</v>
      </c>
      <c r="F45" s="11"/>
      <c r="G45" s="4"/>
      <c r="K45" s="4"/>
      <c r="L45" s="4"/>
      <c r="M45" s="4"/>
      <c r="N45" s="4"/>
      <c r="O45" s="34"/>
    </row>
    <row r="46" spans="2:16" x14ac:dyDescent="0.25">
      <c r="B46" s="4" t="s">
        <v>58</v>
      </c>
      <c r="C46" s="15">
        <v>52285</v>
      </c>
      <c r="D46" s="1">
        <v>52285</v>
      </c>
      <c r="E46" s="11">
        <f t="shared" si="0"/>
        <v>0</v>
      </c>
      <c r="F46" s="11"/>
      <c r="G46" s="4"/>
      <c r="K46" s="4"/>
      <c r="L46" s="4"/>
      <c r="M46" s="4" t="s">
        <v>135</v>
      </c>
      <c r="N46" s="4">
        <f>O43-13580</f>
        <v>16455</v>
      </c>
      <c r="O46" s="4"/>
    </row>
    <row r="52" spans="2:18" ht="20.45" customHeight="1" x14ac:dyDescent="0.25">
      <c r="M52" s="47" t="s">
        <v>75</v>
      </c>
      <c r="N52" s="47" t="s">
        <v>191</v>
      </c>
      <c r="O52" s="47" t="s">
        <v>190</v>
      </c>
      <c r="P52" s="47" t="s">
        <v>189</v>
      </c>
      <c r="Q52" s="47" t="s">
        <v>187</v>
      </c>
      <c r="R52" s="47" t="s">
        <v>188</v>
      </c>
    </row>
    <row r="53" spans="2:18" x14ac:dyDescent="0.25">
      <c r="B53" s="2" t="s">
        <v>1</v>
      </c>
      <c r="C53" s="12" t="s">
        <v>30</v>
      </c>
      <c r="D53" s="2" t="s">
        <v>28</v>
      </c>
      <c r="E53" s="3" t="s">
        <v>29</v>
      </c>
      <c r="F53" s="3"/>
      <c r="G53" s="3" t="s">
        <v>59</v>
      </c>
      <c r="K53" s="40"/>
      <c r="L53" s="40"/>
      <c r="M53" s="1" t="s">
        <v>136</v>
      </c>
      <c r="N53" s="43">
        <v>351807171680906</v>
      </c>
      <c r="O53" s="1" t="s">
        <v>137</v>
      </c>
      <c r="P53" s="1" t="s">
        <v>139</v>
      </c>
      <c r="Q53" s="1">
        <v>640</v>
      </c>
      <c r="R53" s="1">
        <v>530</v>
      </c>
    </row>
    <row r="54" spans="2:18" x14ac:dyDescent="0.25">
      <c r="B54" s="1" t="s">
        <v>37</v>
      </c>
      <c r="C54" s="13">
        <v>64555</v>
      </c>
      <c r="D54" s="1">
        <v>64555</v>
      </c>
      <c r="E54" s="11">
        <f t="shared" ref="E54:E73" si="1">C54-D54</f>
        <v>0</v>
      </c>
      <c r="F54" s="11"/>
      <c r="G54" s="4"/>
      <c r="K54" s="40"/>
      <c r="L54" s="40"/>
      <c r="M54" s="1" t="s">
        <v>136</v>
      </c>
      <c r="N54" s="43">
        <v>353502585377474</v>
      </c>
      <c r="O54" s="1" t="s">
        <v>137</v>
      </c>
      <c r="P54" s="1" t="s">
        <v>138</v>
      </c>
      <c r="Q54" s="1">
        <v>640</v>
      </c>
      <c r="R54" s="1">
        <v>530</v>
      </c>
    </row>
    <row r="55" spans="2:18" x14ac:dyDescent="0.25">
      <c r="B55" s="1" t="s">
        <v>38</v>
      </c>
      <c r="C55" s="13">
        <v>68960</v>
      </c>
      <c r="D55" s="1">
        <v>68960</v>
      </c>
      <c r="E55" s="11">
        <f t="shared" si="1"/>
        <v>0</v>
      </c>
      <c r="F55" s="11"/>
      <c r="G55" s="4"/>
      <c r="K55" s="40"/>
      <c r="L55" s="40"/>
      <c r="M55" s="1" t="s">
        <v>136</v>
      </c>
      <c r="N55" s="43">
        <v>353502589829355</v>
      </c>
      <c r="O55" s="1" t="s">
        <v>137</v>
      </c>
      <c r="P55" s="1" t="s">
        <v>139</v>
      </c>
      <c r="Q55" s="1">
        <v>640</v>
      </c>
      <c r="R55" s="1">
        <v>530</v>
      </c>
    </row>
    <row r="56" spans="2:18" x14ac:dyDescent="0.25">
      <c r="B56" s="4" t="s">
        <v>40</v>
      </c>
      <c r="C56" s="13">
        <v>15190</v>
      </c>
      <c r="D56" s="1">
        <v>15090</v>
      </c>
      <c r="E56" s="11">
        <f t="shared" si="1"/>
        <v>100</v>
      </c>
      <c r="F56" s="11"/>
      <c r="G56" s="4" t="s">
        <v>71</v>
      </c>
      <c r="K56" s="40"/>
      <c r="L56" s="40"/>
      <c r="M56" s="1" t="s">
        <v>136</v>
      </c>
      <c r="N56" s="43">
        <v>354717537662067</v>
      </c>
      <c r="O56" s="1" t="s">
        <v>137</v>
      </c>
      <c r="P56" s="1" t="s">
        <v>139</v>
      </c>
      <c r="Q56" s="1">
        <v>640</v>
      </c>
      <c r="R56" s="1">
        <v>530</v>
      </c>
    </row>
    <row r="57" spans="2:18" x14ac:dyDescent="0.25">
      <c r="B57" s="4" t="s">
        <v>41</v>
      </c>
      <c r="C57" s="13">
        <v>58700</v>
      </c>
      <c r="D57" s="1">
        <v>57990</v>
      </c>
      <c r="E57" s="11">
        <f t="shared" si="1"/>
        <v>710</v>
      </c>
      <c r="F57" s="11"/>
      <c r="G57" s="4" t="s">
        <v>70</v>
      </c>
      <c r="K57" s="40"/>
      <c r="L57" s="40"/>
      <c r="M57" s="1" t="s">
        <v>136</v>
      </c>
      <c r="N57" s="43">
        <v>355714603147940</v>
      </c>
      <c r="O57" s="1" t="s">
        <v>137</v>
      </c>
      <c r="P57" s="1" t="s">
        <v>138</v>
      </c>
      <c r="Q57" s="1">
        <v>640</v>
      </c>
      <c r="R57" s="1">
        <v>530</v>
      </c>
    </row>
    <row r="58" spans="2:18" x14ac:dyDescent="0.25">
      <c r="B58" s="4" t="s">
        <v>42</v>
      </c>
      <c r="C58" s="13">
        <v>9405</v>
      </c>
      <c r="D58" s="1">
        <v>9405</v>
      </c>
      <c r="E58" s="11">
        <f t="shared" si="1"/>
        <v>0</v>
      </c>
      <c r="F58" s="11"/>
      <c r="G58" s="4"/>
      <c r="K58" s="40"/>
      <c r="L58" s="40"/>
      <c r="M58" s="1" t="s">
        <v>136</v>
      </c>
      <c r="N58" s="43">
        <v>355714605463394</v>
      </c>
      <c r="O58" s="1" t="s">
        <v>137</v>
      </c>
      <c r="P58" s="1" t="s">
        <v>139</v>
      </c>
      <c r="Q58" s="1">
        <v>640</v>
      </c>
      <c r="R58" s="1">
        <v>530</v>
      </c>
    </row>
    <row r="59" spans="2:18" x14ac:dyDescent="0.25">
      <c r="B59" s="4" t="s">
        <v>43</v>
      </c>
      <c r="C59" s="13">
        <v>6559</v>
      </c>
      <c r="D59" s="4">
        <v>0</v>
      </c>
      <c r="E59" s="11">
        <f t="shared" si="1"/>
        <v>6559</v>
      </c>
      <c r="F59" s="11"/>
      <c r="G59" s="4" t="s">
        <v>68</v>
      </c>
      <c r="K59" s="40"/>
      <c r="L59" s="40"/>
      <c r="M59" s="1" t="s">
        <v>136</v>
      </c>
      <c r="N59" s="43">
        <v>353502586383349</v>
      </c>
      <c r="O59" s="1" t="s">
        <v>92</v>
      </c>
      <c r="P59" s="1" t="s">
        <v>138</v>
      </c>
      <c r="Q59" s="1">
        <v>560</v>
      </c>
      <c r="R59" s="1">
        <v>530</v>
      </c>
    </row>
    <row r="60" spans="2:18" x14ac:dyDescent="0.25">
      <c r="B60" s="4" t="s">
        <v>44</v>
      </c>
      <c r="C60" s="13">
        <v>97977</v>
      </c>
      <c r="D60" s="1">
        <v>97059</v>
      </c>
      <c r="E60" s="11">
        <f t="shared" si="1"/>
        <v>918</v>
      </c>
      <c r="F60" s="11"/>
      <c r="G60" s="4" t="s">
        <v>69</v>
      </c>
      <c r="K60" s="40"/>
      <c r="L60" s="40"/>
      <c r="M60" s="1" t="s">
        <v>140</v>
      </c>
      <c r="N60" s="43">
        <v>358902510026078</v>
      </c>
      <c r="O60" s="1" t="s">
        <v>141</v>
      </c>
      <c r="P60" s="1" t="s">
        <v>139</v>
      </c>
      <c r="Q60" s="1">
        <v>1190</v>
      </c>
      <c r="R60" s="1">
        <v>1025</v>
      </c>
    </row>
    <row r="61" spans="2:18" x14ac:dyDescent="0.25">
      <c r="B61" s="4" t="s">
        <v>45</v>
      </c>
      <c r="C61" s="13">
        <v>97058</v>
      </c>
      <c r="D61" s="1">
        <v>96819</v>
      </c>
      <c r="E61" s="11">
        <f t="shared" si="1"/>
        <v>239</v>
      </c>
      <c r="F61" s="11"/>
      <c r="G61" s="4" t="s">
        <v>64</v>
      </c>
      <c r="K61" s="40"/>
      <c r="L61" s="40"/>
      <c r="M61" s="1" t="s">
        <v>140</v>
      </c>
      <c r="N61" s="43">
        <v>359814711892837</v>
      </c>
      <c r="O61" s="1" t="s">
        <v>142</v>
      </c>
      <c r="P61" s="1" t="s">
        <v>139</v>
      </c>
      <c r="Q61" s="1">
        <v>1025</v>
      </c>
      <c r="R61" s="1">
        <v>925</v>
      </c>
    </row>
    <row r="62" spans="2:18" x14ac:dyDescent="0.25">
      <c r="B62" s="4" t="s">
        <v>46</v>
      </c>
      <c r="C62" s="13">
        <v>31640</v>
      </c>
      <c r="D62" s="1">
        <v>30340</v>
      </c>
      <c r="E62" s="11">
        <f t="shared" si="1"/>
        <v>1300</v>
      </c>
      <c r="F62" s="11"/>
      <c r="G62" s="4" t="s">
        <v>67</v>
      </c>
      <c r="K62" s="40"/>
      <c r="L62" s="40"/>
      <c r="M62" s="1" t="s">
        <v>140</v>
      </c>
      <c r="N62" s="43">
        <v>359814713057827</v>
      </c>
      <c r="O62" s="1" t="s">
        <v>142</v>
      </c>
      <c r="P62" s="1" t="s">
        <v>139</v>
      </c>
      <c r="Q62" s="1">
        <v>1025</v>
      </c>
      <c r="R62" s="1">
        <v>925</v>
      </c>
    </row>
    <row r="63" spans="2:18" x14ac:dyDescent="0.25">
      <c r="B63" s="4" t="s">
        <v>47</v>
      </c>
      <c r="C63" s="13">
        <v>31410</v>
      </c>
      <c r="D63" s="1">
        <v>31410</v>
      </c>
      <c r="E63" s="11">
        <f t="shared" si="1"/>
        <v>0</v>
      </c>
      <c r="F63" s="11"/>
      <c r="G63" s="4"/>
      <c r="K63" s="40"/>
      <c r="L63" s="40"/>
      <c r="M63" s="1" t="s">
        <v>143</v>
      </c>
      <c r="N63" s="43">
        <v>352190328033777</v>
      </c>
      <c r="O63" s="1" t="s">
        <v>122</v>
      </c>
      <c r="P63" s="1" t="s">
        <v>139</v>
      </c>
      <c r="Q63" s="1">
        <v>830</v>
      </c>
      <c r="R63" s="1">
        <v>800</v>
      </c>
    </row>
    <row r="64" spans="2:18" x14ac:dyDescent="0.25">
      <c r="B64" s="4" t="s">
        <v>49</v>
      </c>
      <c r="C64" s="15">
        <v>77430</v>
      </c>
      <c r="D64" s="1">
        <v>76450</v>
      </c>
      <c r="E64" s="11">
        <f t="shared" si="1"/>
        <v>980</v>
      </c>
      <c r="F64" s="11"/>
      <c r="G64" s="4" t="s">
        <v>66</v>
      </c>
      <c r="K64" s="40"/>
      <c r="L64" s="40"/>
      <c r="M64" s="1" t="s">
        <v>145</v>
      </c>
      <c r="N64" s="1" t="s">
        <v>144</v>
      </c>
      <c r="O64" s="1" t="s">
        <v>146</v>
      </c>
      <c r="P64" s="1" t="s">
        <v>138</v>
      </c>
      <c r="Q64" s="1">
        <v>125</v>
      </c>
      <c r="R64" s="1">
        <v>80</v>
      </c>
    </row>
    <row r="65" spans="2:18" x14ac:dyDescent="0.25">
      <c r="B65" s="4" t="s">
        <v>50</v>
      </c>
      <c r="C65" s="15">
        <v>63705</v>
      </c>
      <c r="D65" s="1">
        <v>63705</v>
      </c>
      <c r="E65" s="11">
        <f t="shared" si="1"/>
        <v>0</v>
      </c>
      <c r="F65" s="11"/>
      <c r="G65" s="18"/>
      <c r="K65" s="40"/>
      <c r="L65" s="40"/>
      <c r="M65" s="1" t="s">
        <v>140</v>
      </c>
      <c r="N65" s="43">
        <v>353497852096644</v>
      </c>
      <c r="O65" s="1" t="s">
        <v>147</v>
      </c>
      <c r="P65" s="1" t="s">
        <v>139</v>
      </c>
      <c r="Q65" s="1">
        <v>960</v>
      </c>
      <c r="R65" s="1">
        <v>860</v>
      </c>
    </row>
    <row r="66" spans="2:18" x14ac:dyDescent="0.25">
      <c r="B66" s="4" t="s">
        <v>51</v>
      </c>
      <c r="C66" s="15">
        <v>44640</v>
      </c>
      <c r="D66" s="1">
        <v>44610</v>
      </c>
      <c r="E66" s="11">
        <f t="shared" si="1"/>
        <v>30</v>
      </c>
      <c r="F66" s="11"/>
      <c r="G66" s="4"/>
      <c r="K66" s="40"/>
      <c r="L66" s="40"/>
      <c r="M66" s="1" t="s">
        <v>140</v>
      </c>
      <c r="N66" s="43">
        <v>355246659786123</v>
      </c>
      <c r="O66" s="1" t="s">
        <v>148</v>
      </c>
      <c r="P66" s="1" t="s">
        <v>138</v>
      </c>
      <c r="Q66" s="1">
        <v>960</v>
      </c>
      <c r="R66" s="1">
        <v>910</v>
      </c>
    </row>
    <row r="67" spans="2:18" x14ac:dyDescent="0.25">
      <c r="B67" s="4" t="s">
        <v>52</v>
      </c>
      <c r="C67" s="15">
        <v>67610</v>
      </c>
      <c r="D67" s="1">
        <v>68726</v>
      </c>
      <c r="E67" s="11">
        <f t="shared" si="1"/>
        <v>-1116</v>
      </c>
      <c r="F67" s="11"/>
      <c r="G67" s="4" t="s">
        <v>63</v>
      </c>
      <c r="K67" s="40"/>
      <c r="L67" s="40"/>
      <c r="M67" s="1" t="s">
        <v>140</v>
      </c>
      <c r="N67" s="44">
        <v>353497852090191</v>
      </c>
      <c r="O67" s="1" t="s">
        <v>147</v>
      </c>
      <c r="P67" s="1" t="s">
        <v>139</v>
      </c>
      <c r="Q67" s="1">
        <v>960</v>
      </c>
      <c r="R67" s="1">
        <v>860</v>
      </c>
    </row>
    <row r="68" spans="2:18" ht="20.45" customHeight="1" x14ac:dyDescent="0.25">
      <c r="B68" s="4" t="s">
        <v>53</v>
      </c>
      <c r="C68" s="15">
        <v>125855</v>
      </c>
      <c r="D68" s="1">
        <v>125855</v>
      </c>
      <c r="E68" s="11">
        <f t="shared" si="1"/>
        <v>0</v>
      </c>
      <c r="F68" s="11"/>
      <c r="G68" s="4"/>
      <c r="M68" s="1" t="s">
        <v>149</v>
      </c>
      <c r="N68" s="43">
        <v>350773436222036</v>
      </c>
      <c r="O68" s="1" t="s">
        <v>180</v>
      </c>
      <c r="P68" s="1" t="s">
        <v>185</v>
      </c>
      <c r="Q68" s="1">
        <v>600</v>
      </c>
      <c r="R68" s="1">
        <v>570</v>
      </c>
    </row>
    <row r="69" spans="2:18" ht="34.5" customHeight="1" x14ac:dyDescent="0.25">
      <c r="B69" s="4" t="s">
        <v>54</v>
      </c>
      <c r="C69" s="15">
        <v>95355</v>
      </c>
      <c r="D69" s="1">
        <v>93880</v>
      </c>
      <c r="E69" s="11">
        <f t="shared" si="1"/>
        <v>1475</v>
      </c>
      <c r="F69" s="11"/>
      <c r="G69" s="18" t="s">
        <v>61</v>
      </c>
      <c r="M69" s="1" t="s">
        <v>149</v>
      </c>
      <c r="N69" s="43">
        <v>351614401317857</v>
      </c>
      <c r="O69" s="1" t="s">
        <v>122</v>
      </c>
      <c r="P69" s="1" t="s">
        <v>138</v>
      </c>
      <c r="Q69" s="1">
        <v>600</v>
      </c>
      <c r="R69" s="1">
        <v>570</v>
      </c>
    </row>
    <row r="70" spans="2:18" x14ac:dyDescent="0.25">
      <c r="B70" s="4" t="s">
        <v>55</v>
      </c>
      <c r="C70" s="15">
        <v>63805</v>
      </c>
      <c r="D70" s="1">
        <v>63805</v>
      </c>
      <c r="E70" s="11">
        <f t="shared" si="1"/>
        <v>0</v>
      </c>
      <c r="F70" s="11"/>
      <c r="G70" s="4"/>
      <c r="M70" s="1" t="s">
        <v>149</v>
      </c>
      <c r="N70" s="43">
        <v>353484621259737</v>
      </c>
      <c r="O70" s="1" t="s">
        <v>181</v>
      </c>
      <c r="P70" s="1" t="s">
        <v>186</v>
      </c>
      <c r="Q70" s="1">
        <v>600</v>
      </c>
      <c r="R70" s="1">
        <v>570</v>
      </c>
    </row>
    <row r="71" spans="2:18" x14ac:dyDescent="0.25">
      <c r="B71" s="4" t="s">
        <v>56</v>
      </c>
      <c r="C71" s="15">
        <v>29880</v>
      </c>
      <c r="D71" s="1">
        <v>29880</v>
      </c>
      <c r="E71" s="11">
        <f t="shared" si="1"/>
        <v>0</v>
      </c>
      <c r="F71" s="11"/>
      <c r="G71" s="4"/>
      <c r="M71" s="1" t="s">
        <v>149</v>
      </c>
      <c r="N71" s="43">
        <v>354423233904396</v>
      </c>
      <c r="O71" s="1" t="s">
        <v>182</v>
      </c>
      <c r="P71" s="1" t="s">
        <v>186</v>
      </c>
      <c r="Q71" s="1">
        <v>600</v>
      </c>
      <c r="R71" s="1">
        <v>570</v>
      </c>
    </row>
    <row r="72" spans="2:18" x14ac:dyDescent="0.25">
      <c r="B72" s="4" t="s">
        <v>57</v>
      </c>
      <c r="C72" s="15">
        <v>84985</v>
      </c>
      <c r="D72" s="1">
        <v>84985</v>
      </c>
      <c r="E72" s="11">
        <f t="shared" si="1"/>
        <v>0</v>
      </c>
      <c r="F72" s="11"/>
      <c r="G72" s="4"/>
      <c r="M72" s="1" t="s">
        <v>149</v>
      </c>
      <c r="N72" s="43">
        <v>355445525545842</v>
      </c>
      <c r="O72" s="1" t="s">
        <v>180</v>
      </c>
      <c r="P72" s="1" t="s">
        <v>185</v>
      </c>
      <c r="Q72" s="1">
        <v>600</v>
      </c>
      <c r="R72" s="1">
        <v>570</v>
      </c>
    </row>
    <row r="73" spans="2:18" x14ac:dyDescent="0.25">
      <c r="B73" s="4" t="s">
        <v>58</v>
      </c>
      <c r="C73" s="15">
        <v>52285</v>
      </c>
      <c r="D73" s="1">
        <v>52285</v>
      </c>
      <c r="E73" s="11">
        <f t="shared" si="1"/>
        <v>0</v>
      </c>
      <c r="F73" s="11"/>
      <c r="G73" s="4"/>
      <c r="M73" s="1" t="s">
        <v>149</v>
      </c>
      <c r="N73" s="43">
        <v>357100773012494</v>
      </c>
      <c r="O73" s="1" t="s">
        <v>183</v>
      </c>
      <c r="P73" s="1" t="s">
        <v>186</v>
      </c>
      <c r="Q73" s="1">
        <v>600</v>
      </c>
      <c r="R73" s="1">
        <v>570</v>
      </c>
    </row>
    <row r="74" spans="2:18" x14ac:dyDescent="0.25">
      <c r="M74" s="1" t="s">
        <v>149</v>
      </c>
      <c r="N74" s="43">
        <v>358862983224131</v>
      </c>
      <c r="O74" s="1" t="s">
        <v>184</v>
      </c>
      <c r="P74" s="1" t="s">
        <v>138</v>
      </c>
      <c r="Q74" s="1">
        <v>600</v>
      </c>
      <c r="R74" s="1">
        <v>570</v>
      </c>
    </row>
    <row r="75" spans="2:18" x14ac:dyDescent="0.25">
      <c r="M75" s="1" t="s">
        <v>149</v>
      </c>
      <c r="N75" s="43">
        <v>359906329765163</v>
      </c>
      <c r="O75" s="1" t="s">
        <v>180</v>
      </c>
      <c r="P75" s="1" t="s">
        <v>185</v>
      </c>
      <c r="Q75" s="1">
        <v>600</v>
      </c>
      <c r="R75" s="1">
        <v>570</v>
      </c>
    </row>
    <row r="76" spans="2:18" x14ac:dyDescent="0.25">
      <c r="M76" s="1" t="s">
        <v>140</v>
      </c>
      <c r="N76" s="43">
        <v>358902515517865</v>
      </c>
      <c r="O76" s="1" t="s">
        <v>148</v>
      </c>
      <c r="P76" s="1" t="s">
        <v>150</v>
      </c>
      <c r="Q76" s="1">
        <v>955</v>
      </c>
      <c r="R76" s="1">
        <v>930</v>
      </c>
    </row>
    <row r="77" spans="2:18" x14ac:dyDescent="0.25">
      <c r="M77" s="1" t="s">
        <v>140</v>
      </c>
      <c r="N77" s="45">
        <v>358902515956444</v>
      </c>
      <c r="O77" s="1" t="s">
        <v>148</v>
      </c>
      <c r="P77" s="1" t="s">
        <v>150</v>
      </c>
      <c r="Q77" s="1">
        <v>955</v>
      </c>
      <c r="R77" s="1">
        <v>930</v>
      </c>
    </row>
    <row r="78" spans="2:18" ht="16.149999999999999" customHeight="1" x14ac:dyDescent="0.25">
      <c r="M78" s="1" t="s">
        <v>143</v>
      </c>
      <c r="N78" s="46">
        <v>352190329269313</v>
      </c>
      <c r="O78" s="1" t="s">
        <v>166</v>
      </c>
      <c r="P78" s="1" t="s">
        <v>138</v>
      </c>
      <c r="Q78" s="1">
        <v>1090</v>
      </c>
      <c r="R78" s="1">
        <v>990</v>
      </c>
    </row>
    <row r="79" spans="2:18" s="16" customFormat="1" ht="16.149999999999999" customHeight="1" x14ac:dyDescent="0.25">
      <c r="C79" s="41"/>
      <c r="M79" s="40"/>
      <c r="N79" s="42"/>
      <c r="O79" s="40"/>
      <c r="P79" s="40"/>
      <c r="Q79" s="40"/>
      <c r="R79" s="40"/>
    </row>
    <row r="80" spans="2:18" s="16" customFormat="1" ht="16.149999999999999" customHeight="1" x14ac:dyDescent="0.25">
      <c r="C80" s="41"/>
      <c r="M80" s="40"/>
      <c r="N80" s="42"/>
      <c r="O80" s="40"/>
      <c r="P80" s="40"/>
      <c r="Q80" s="40"/>
      <c r="R80" s="40"/>
    </row>
    <row r="81" spans="3:24" s="16" customFormat="1" ht="16.149999999999999" customHeight="1" x14ac:dyDescent="0.25">
      <c r="C81" s="41"/>
      <c r="M81" s="40"/>
      <c r="N81" s="42"/>
      <c r="O81" s="40"/>
      <c r="P81" s="40"/>
      <c r="Q81" s="40"/>
      <c r="R81" s="40"/>
    </row>
    <row r="82" spans="3:24" s="16" customFormat="1" ht="16.149999999999999" customHeight="1" x14ac:dyDescent="0.25">
      <c r="C82" s="41"/>
      <c r="M82" s="40"/>
      <c r="N82" s="42"/>
      <c r="O82" s="40"/>
      <c r="P82" s="40"/>
      <c r="Q82" s="40"/>
      <c r="R82" s="40"/>
    </row>
    <row r="83" spans="3:24" s="16" customFormat="1" ht="16.149999999999999" customHeight="1" x14ac:dyDescent="0.25">
      <c r="C83" s="41"/>
      <c r="M83" s="40"/>
      <c r="N83" s="42"/>
      <c r="O83" s="40"/>
      <c r="P83" s="40"/>
      <c r="Q83" s="40"/>
      <c r="R83" s="40"/>
    </row>
    <row r="84" spans="3:24" x14ac:dyDescent="0.25">
      <c r="M84" s="30"/>
      <c r="N84" s="36"/>
    </row>
    <row r="85" spans="3:24" x14ac:dyDescent="0.25">
      <c r="M85" s="30"/>
      <c r="N85" s="36"/>
    </row>
    <row r="86" spans="3:24" x14ac:dyDescent="0.25">
      <c r="M86" s="30"/>
      <c r="N86" s="38" t="s">
        <v>168</v>
      </c>
      <c r="O86" s="3" t="s">
        <v>75</v>
      </c>
      <c r="P86" s="3" t="s">
        <v>169</v>
      </c>
      <c r="Q86" s="3" t="s">
        <v>170</v>
      </c>
      <c r="R86" s="3" t="s">
        <v>171</v>
      </c>
      <c r="S86" s="3" t="s">
        <v>172</v>
      </c>
      <c r="T86" s="3" t="s">
        <v>173</v>
      </c>
      <c r="U86" s="3" t="s">
        <v>174</v>
      </c>
      <c r="V86" s="3" t="s">
        <v>175</v>
      </c>
      <c r="W86" s="3" t="s">
        <v>176</v>
      </c>
      <c r="X86" s="3" t="s">
        <v>135</v>
      </c>
    </row>
    <row r="87" spans="3:24" x14ac:dyDescent="0.25">
      <c r="M87" s="30"/>
      <c r="N87" s="4" t="s">
        <v>153</v>
      </c>
      <c r="O87" s="4" t="s">
        <v>152</v>
      </c>
      <c r="P87" s="4">
        <v>256</v>
      </c>
      <c r="Q87" s="39">
        <v>355067543416630</v>
      </c>
      <c r="R87" s="4">
        <v>2430</v>
      </c>
      <c r="S87" s="4" t="s">
        <v>151</v>
      </c>
      <c r="T87" s="4">
        <v>265</v>
      </c>
      <c r="U87" s="4">
        <v>2165</v>
      </c>
      <c r="V87" s="4">
        <v>650</v>
      </c>
      <c r="W87" s="4">
        <v>2333.5</v>
      </c>
      <c r="X87" s="4">
        <v>-168.5</v>
      </c>
    </row>
    <row r="88" spans="3:24" x14ac:dyDescent="0.25">
      <c r="M88" s="30"/>
      <c r="N88" s="4" t="s">
        <v>153</v>
      </c>
      <c r="O88" s="4" t="s">
        <v>152</v>
      </c>
      <c r="P88" s="4" t="s">
        <v>154</v>
      </c>
      <c r="Q88" s="39">
        <v>358862982966047</v>
      </c>
      <c r="R88" s="4">
        <v>2784</v>
      </c>
      <c r="S88" s="4" t="s">
        <v>151</v>
      </c>
      <c r="T88" s="4">
        <v>265</v>
      </c>
      <c r="U88" s="4">
        <v>2519</v>
      </c>
      <c r="V88" s="4">
        <v>950</v>
      </c>
      <c r="W88" s="4">
        <v>3410.5</v>
      </c>
      <c r="X88" s="4">
        <v>-891.5</v>
      </c>
    </row>
    <row r="89" spans="3:24" x14ac:dyDescent="0.25">
      <c r="M89" s="30"/>
      <c r="N89" s="4" t="s">
        <v>158</v>
      </c>
      <c r="O89" s="4" t="s">
        <v>157</v>
      </c>
      <c r="P89" s="4">
        <v>256</v>
      </c>
      <c r="Q89" s="39" t="s">
        <v>156</v>
      </c>
      <c r="R89" s="4">
        <v>1130</v>
      </c>
      <c r="S89" s="4" t="s">
        <v>155</v>
      </c>
      <c r="T89" s="4">
        <v>15</v>
      </c>
      <c r="U89" s="4">
        <v>1115</v>
      </c>
      <c r="V89" s="4">
        <v>400</v>
      </c>
      <c r="W89" s="4">
        <v>1436</v>
      </c>
      <c r="X89" s="4">
        <v>-321</v>
      </c>
    </row>
    <row r="90" spans="3:24" x14ac:dyDescent="0.25">
      <c r="M90" s="30"/>
      <c r="N90" s="4" t="s">
        <v>153</v>
      </c>
      <c r="O90" s="4" t="s">
        <v>159</v>
      </c>
      <c r="P90" s="4">
        <v>256</v>
      </c>
      <c r="Q90" s="39">
        <v>353357355939908</v>
      </c>
      <c r="R90" s="4">
        <v>2350</v>
      </c>
      <c r="S90" s="4" t="s">
        <v>155</v>
      </c>
      <c r="T90" s="4">
        <v>15</v>
      </c>
      <c r="U90" s="4">
        <v>2335</v>
      </c>
      <c r="V90" s="4">
        <v>680</v>
      </c>
      <c r="W90" s="4">
        <v>2441.1999999999998</v>
      </c>
      <c r="X90" s="4">
        <v>-106.2</v>
      </c>
    </row>
    <row r="91" spans="3:24" x14ac:dyDescent="0.25">
      <c r="M91" s="30"/>
      <c r="N91" s="4" t="s">
        <v>153</v>
      </c>
      <c r="O91" s="4" t="s">
        <v>159</v>
      </c>
      <c r="P91" s="4">
        <v>512</v>
      </c>
      <c r="Q91" s="39">
        <v>354359265573842</v>
      </c>
      <c r="R91" s="4">
        <v>2341.77</v>
      </c>
      <c r="S91" s="4" t="s">
        <v>151</v>
      </c>
      <c r="T91" s="4">
        <v>205</v>
      </c>
      <c r="U91" s="4">
        <v>2136.77</v>
      </c>
      <c r="V91" s="4">
        <v>640</v>
      </c>
      <c r="W91" s="4">
        <v>2297.6</v>
      </c>
      <c r="X91" s="4">
        <v>-160.83000000000001</v>
      </c>
    </row>
    <row r="92" spans="3:24" x14ac:dyDescent="0.25">
      <c r="M92" s="30"/>
      <c r="N92" s="4" t="s">
        <v>161</v>
      </c>
      <c r="O92" s="4" t="s">
        <v>160</v>
      </c>
      <c r="P92" s="4">
        <v>512</v>
      </c>
      <c r="Q92" s="39">
        <v>352393410539442</v>
      </c>
      <c r="R92" s="4">
        <v>1200</v>
      </c>
      <c r="S92" s="4" t="s">
        <v>155</v>
      </c>
      <c r="T92" s="4">
        <v>15</v>
      </c>
      <c r="U92" s="4">
        <v>1185</v>
      </c>
      <c r="V92" s="4">
        <v>820</v>
      </c>
      <c r="W92" s="4">
        <v>2943.8</v>
      </c>
      <c r="X92" s="4">
        <v>-1758.8</v>
      </c>
    </row>
    <row r="93" spans="3:24" x14ac:dyDescent="0.25">
      <c r="M93" s="30"/>
      <c r="N93" s="35" t="s">
        <v>162</v>
      </c>
      <c r="O93" s="4" t="s">
        <v>163</v>
      </c>
      <c r="P93" s="4"/>
      <c r="Q93" s="39" t="s">
        <v>164</v>
      </c>
      <c r="R93" s="4">
        <v>1200</v>
      </c>
      <c r="S93" s="4" t="s">
        <v>155</v>
      </c>
      <c r="T93" s="4">
        <v>15</v>
      </c>
      <c r="U93" s="4">
        <v>1185</v>
      </c>
      <c r="V93" s="4">
        <v>350</v>
      </c>
      <c r="W93" s="4">
        <v>1256.5</v>
      </c>
      <c r="X93" s="4">
        <v>-71.5</v>
      </c>
    </row>
    <row r="94" spans="3:24" x14ac:dyDescent="0.25">
      <c r="M94" s="30"/>
      <c r="N94" s="4" t="s">
        <v>153</v>
      </c>
      <c r="O94" s="4" t="s">
        <v>152</v>
      </c>
      <c r="P94" s="4">
        <v>256</v>
      </c>
      <c r="Q94" s="39">
        <v>354661679217035</v>
      </c>
      <c r="R94" s="4">
        <v>2594</v>
      </c>
      <c r="S94" s="4" t="s">
        <v>151</v>
      </c>
      <c r="T94" s="4">
        <v>265</v>
      </c>
      <c r="U94" s="4">
        <v>2329</v>
      </c>
      <c r="V94" s="4">
        <v>650</v>
      </c>
      <c r="W94" s="4">
        <v>2333.5</v>
      </c>
      <c r="X94" s="4">
        <v>-4.5</v>
      </c>
    </row>
    <row r="95" spans="3:24" x14ac:dyDescent="0.25">
      <c r="M95" s="30"/>
      <c r="N95" s="4" t="s">
        <v>153</v>
      </c>
      <c r="O95" s="4" t="s">
        <v>165</v>
      </c>
      <c r="P95" s="4">
        <v>256</v>
      </c>
      <c r="Q95" s="39">
        <v>354996260768859</v>
      </c>
      <c r="R95" s="4">
        <v>2911.4</v>
      </c>
      <c r="S95" s="4" t="s">
        <v>151</v>
      </c>
      <c r="T95" s="4">
        <v>330</v>
      </c>
      <c r="U95" s="4">
        <v>2581.4</v>
      </c>
      <c r="V95" s="4">
        <v>720</v>
      </c>
      <c r="W95" s="4">
        <v>2584.8000000000002</v>
      </c>
      <c r="X95" s="4">
        <v>-3.4</v>
      </c>
    </row>
    <row r="96" spans="3:24" x14ac:dyDescent="0.25">
      <c r="M96" s="30"/>
      <c r="N96" s="4" t="s">
        <v>153</v>
      </c>
      <c r="O96" s="4" t="s">
        <v>152</v>
      </c>
      <c r="P96" s="4">
        <v>256</v>
      </c>
      <c r="Q96" s="39">
        <v>352315400015596</v>
      </c>
      <c r="R96" s="4">
        <v>2595</v>
      </c>
      <c r="S96" s="4" t="s">
        <v>151</v>
      </c>
      <c r="T96" s="4">
        <v>265</v>
      </c>
      <c r="U96" s="4">
        <v>2330</v>
      </c>
      <c r="V96" s="4">
        <v>650</v>
      </c>
      <c r="W96" s="4">
        <v>2333.5</v>
      </c>
      <c r="X96" s="4">
        <v>-3.5</v>
      </c>
    </row>
    <row r="97" spans="2:24" x14ac:dyDescent="0.25">
      <c r="M97" s="30"/>
      <c r="N97" s="35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2:24" x14ac:dyDescent="0.25">
      <c r="J98" s="37">
        <v>45968</v>
      </c>
      <c r="K98" t="s">
        <v>179</v>
      </c>
      <c r="L98">
        <v>4315</v>
      </c>
      <c r="M98" s="30"/>
      <c r="N98" s="95"/>
      <c r="O98" s="96"/>
      <c r="P98" s="96"/>
      <c r="Q98" s="96"/>
      <c r="R98" s="96"/>
      <c r="S98" s="96"/>
      <c r="T98" s="96"/>
      <c r="U98" s="96"/>
      <c r="V98" s="97"/>
      <c r="W98" s="4" t="s">
        <v>177</v>
      </c>
      <c r="X98" s="34">
        <v>3489</v>
      </c>
    </row>
    <row r="99" spans="2:24" x14ac:dyDescent="0.25">
      <c r="M99" s="30"/>
      <c r="N99" s="95"/>
      <c r="O99" s="96"/>
      <c r="P99" s="96"/>
      <c r="Q99" s="96"/>
      <c r="R99" s="96"/>
      <c r="S99" s="96"/>
      <c r="T99" s="96"/>
      <c r="U99" s="96"/>
      <c r="V99" s="96"/>
      <c r="W99" s="96"/>
      <c r="X99" s="97"/>
    </row>
    <row r="100" spans="2:24" x14ac:dyDescent="0.25">
      <c r="M100" s="30"/>
      <c r="N100" s="95"/>
      <c r="O100" s="96"/>
      <c r="P100" s="96"/>
      <c r="Q100" s="96"/>
      <c r="R100" s="96"/>
      <c r="S100" s="96"/>
      <c r="T100" s="96"/>
      <c r="U100" s="96"/>
      <c r="V100" s="97"/>
      <c r="W100" s="4" t="s">
        <v>178</v>
      </c>
      <c r="X100" s="4">
        <f>X98/2</f>
        <v>1744.5</v>
      </c>
    </row>
    <row r="101" spans="2:24" x14ac:dyDescent="0.25">
      <c r="M101" s="30"/>
      <c r="N101" s="36"/>
    </row>
    <row r="102" spans="2:24" x14ac:dyDescent="0.25">
      <c r="M102" s="30"/>
      <c r="N102" s="36"/>
    </row>
    <row r="103" spans="2:24" x14ac:dyDescent="0.25">
      <c r="M103" s="30"/>
      <c r="N103" s="36"/>
    </row>
    <row r="104" spans="2:24" x14ac:dyDescent="0.25">
      <c r="M104" s="30"/>
      <c r="N104" s="36"/>
    </row>
    <row r="105" spans="2:24" x14ac:dyDescent="0.25">
      <c r="M105" s="30"/>
      <c r="N105" s="36"/>
    </row>
    <row r="106" spans="2:24" x14ac:dyDescent="0.25">
      <c r="M106" s="30"/>
      <c r="N106" s="36"/>
    </row>
    <row r="107" spans="2:24" ht="28.5" x14ac:dyDescent="0.45">
      <c r="B107" s="90" t="s">
        <v>73</v>
      </c>
      <c r="C107" s="91"/>
      <c r="D107" s="91"/>
      <c r="E107" s="91"/>
      <c r="F107" s="91"/>
      <c r="G107" s="91"/>
      <c r="H107" s="91"/>
      <c r="I107" s="91"/>
      <c r="J107" s="91"/>
      <c r="K107" s="91"/>
      <c r="L107" s="49"/>
    </row>
    <row r="108" spans="2:24" ht="18.75" x14ac:dyDescent="0.25">
      <c r="B108" s="23" t="s">
        <v>74</v>
      </c>
      <c r="C108" s="24" t="s">
        <v>75</v>
      </c>
      <c r="D108" s="24" t="s">
        <v>76</v>
      </c>
      <c r="E108" s="24" t="s">
        <v>77</v>
      </c>
      <c r="F108" s="24"/>
      <c r="G108" s="24" t="s">
        <v>78</v>
      </c>
      <c r="H108" s="24" t="s">
        <v>79</v>
      </c>
      <c r="I108" s="24" t="s">
        <v>80</v>
      </c>
      <c r="J108" s="24" t="s">
        <v>81</v>
      </c>
      <c r="K108" s="24" t="s">
        <v>82</v>
      </c>
      <c r="L108" s="50"/>
    </row>
    <row r="109" spans="2:24" ht="18.75" x14ac:dyDescent="0.25">
      <c r="B109" s="25">
        <v>888923920344</v>
      </c>
      <c r="C109" s="26" t="s">
        <v>83</v>
      </c>
      <c r="D109" s="26" t="s">
        <v>84</v>
      </c>
      <c r="E109" s="26" t="s">
        <v>85</v>
      </c>
      <c r="F109" s="26"/>
      <c r="G109" s="27">
        <v>350889867621262</v>
      </c>
      <c r="H109" s="26"/>
      <c r="I109" s="26">
        <v>1100</v>
      </c>
      <c r="J109" s="26"/>
      <c r="K109" s="28" t="s">
        <v>86</v>
      </c>
      <c r="L109" s="51"/>
    </row>
    <row r="110" spans="2:24" ht="18.75" x14ac:dyDescent="0.25">
      <c r="B110" s="25">
        <v>889002110930</v>
      </c>
      <c r="C110" s="26" t="s">
        <v>83</v>
      </c>
      <c r="D110" s="26" t="s">
        <v>84</v>
      </c>
      <c r="E110" s="26" t="s">
        <v>85</v>
      </c>
      <c r="F110" s="26"/>
      <c r="G110" s="27">
        <v>358902510026078</v>
      </c>
      <c r="H110" s="26" t="s">
        <v>87</v>
      </c>
      <c r="I110" s="26">
        <v>1190</v>
      </c>
      <c r="J110" s="26" t="s">
        <v>88</v>
      </c>
      <c r="K110" s="28" t="s">
        <v>89</v>
      </c>
      <c r="L110" s="51"/>
    </row>
    <row r="111" spans="2:24" ht="18.75" x14ac:dyDescent="0.25">
      <c r="B111" s="25">
        <v>889002110930</v>
      </c>
      <c r="C111" s="26" t="s">
        <v>90</v>
      </c>
      <c r="D111" s="26" t="s">
        <v>91</v>
      </c>
      <c r="E111" s="26" t="s">
        <v>85</v>
      </c>
      <c r="F111" s="26"/>
      <c r="G111" s="27">
        <v>355300183049720</v>
      </c>
      <c r="H111" s="26" t="s">
        <v>92</v>
      </c>
      <c r="I111" s="26">
        <v>600</v>
      </c>
      <c r="J111" s="26" t="s">
        <v>93</v>
      </c>
      <c r="K111" s="92" t="s">
        <v>94</v>
      </c>
      <c r="L111" s="51"/>
    </row>
    <row r="112" spans="2:24" ht="18.75" x14ac:dyDescent="0.25">
      <c r="B112" s="25">
        <v>889002110930</v>
      </c>
      <c r="C112" s="26" t="s">
        <v>90</v>
      </c>
      <c r="D112" s="26" t="s">
        <v>95</v>
      </c>
      <c r="E112" s="26" t="s">
        <v>85</v>
      </c>
      <c r="F112" s="26"/>
      <c r="G112" s="27">
        <v>358862983224131</v>
      </c>
      <c r="H112" s="26" t="s">
        <v>92</v>
      </c>
      <c r="I112" s="26">
        <v>600</v>
      </c>
      <c r="J112" s="26" t="s">
        <v>96</v>
      </c>
      <c r="K112" s="93"/>
      <c r="L112" s="51"/>
    </row>
    <row r="113" spans="2:12" ht="18.75" x14ac:dyDescent="0.25">
      <c r="B113" s="25">
        <v>889002110930</v>
      </c>
      <c r="C113" s="26" t="s">
        <v>90</v>
      </c>
      <c r="D113" s="26" t="s">
        <v>97</v>
      </c>
      <c r="E113" s="26" t="s">
        <v>85</v>
      </c>
      <c r="F113" s="26"/>
      <c r="G113" s="27">
        <v>351614406649742</v>
      </c>
      <c r="H113" s="26" t="s">
        <v>92</v>
      </c>
      <c r="I113" s="26">
        <v>600</v>
      </c>
      <c r="J113" s="26" t="s">
        <v>96</v>
      </c>
      <c r="K113" s="93"/>
      <c r="L113" s="51"/>
    </row>
    <row r="114" spans="2:12" ht="18.75" x14ac:dyDescent="0.25">
      <c r="B114" s="25">
        <v>889002110930</v>
      </c>
      <c r="C114" s="26" t="s">
        <v>90</v>
      </c>
      <c r="D114" s="26" t="s">
        <v>95</v>
      </c>
      <c r="E114" s="26" t="s">
        <v>85</v>
      </c>
      <c r="F114" s="26"/>
      <c r="G114" s="27">
        <v>351614401317857</v>
      </c>
      <c r="H114" s="26" t="s">
        <v>92</v>
      </c>
      <c r="I114" s="26">
        <v>600</v>
      </c>
      <c r="J114" s="26" t="s">
        <v>93</v>
      </c>
      <c r="K114" s="94"/>
      <c r="L114" s="51"/>
    </row>
    <row r="115" spans="2:12" ht="18.75" x14ac:dyDescent="0.25">
      <c r="B115" s="25">
        <v>889002110930</v>
      </c>
      <c r="C115" s="26" t="s">
        <v>98</v>
      </c>
      <c r="D115" s="26" t="s">
        <v>99</v>
      </c>
      <c r="E115" s="26" t="s">
        <v>100</v>
      </c>
      <c r="F115" s="26"/>
      <c r="G115" s="27">
        <v>352190329260494</v>
      </c>
      <c r="H115" s="26" t="s">
        <v>101</v>
      </c>
      <c r="I115" s="26">
        <v>1090</v>
      </c>
      <c r="J115" s="26" t="s">
        <v>102</v>
      </c>
      <c r="K115" s="28" t="s">
        <v>103</v>
      </c>
      <c r="L115" s="51"/>
    </row>
    <row r="116" spans="2:12" ht="18.75" x14ac:dyDescent="0.25">
      <c r="B116" s="25">
        <v>889079317130</v>
      </c>
      <c r="C116" s="26" t="s">
        <v>104</v>
      </c>
      <c r="D116" s="26" t="s">
        <v>105</v>
      </c>
      <c r="E116" s="26" t="s">
        <v>100</v>
      </c>
      <c r="F116" s="26"/>
      <c r="G116" s="27">
        <v>351071527417030</v>
      </c>
      <c r="H116" s="26" t="s">
        <v>106</v>
      </c>
      <c r="I116" s="26">
        <v>450</v>
      </c>
      <c r="J116" s="26" t="s">
        <v>92</v>
      </c>
      <c r="K116" s="28" t="s">
        <v>107</v>
      </c>
      <c r="L116" s="51"/>
    </row>
    <row r="117" spans="2:12" ht="18.75" x14ac:dyDescent="0.25">
      <c r="B117" s="25">
        <v>888879701928</v>
      </c>
      <c r="C117" s="26" t="s">
        <v>108</v>
      </c>
      <c r="D117" s="26" t="s">
        <v>109</v>
      </c>
      <c r="E117" s="26" t="s">
        <v>110</v>
      </c>
      <c r="F117" s="26"/>
      <c r="G117" s="27" t="s">
        <v>111</v>
      </c>
      <c r="H117" s="26"/>
      <c r="I117" s="26"/>
      <c r="J117" s="26"/>
      <c r="K117" s="28" t="s">
        <v>112</v>
      </c>
      <c r="L117" s="51"/>
    </row>
    <row r="118" spans="2:12" ht="18.75" x14ac:dyDescent="0.25">
      <c r="B118" s="25" t="s">
        <v>113</v>
      </c>
      <c r="C118" s="26" t="s">
        <v>114</v>
      </c>
      <c r="D118" s="26" t="s">
        <v>115</v>
      </c>
      <c r="E118" s="26" t="s">
        <v>100</v>
      </c>
      <c r="F118" s="26"/>
      <c r="G118" s="27">
        <v>352355704944109</v>
      </c>
      <c r="H118" s="26" t="s">
        <v>116</v>
      </c>
      <c r="I118" s="26"/>
      <c r="J118" s="26"/>
      <c r="K118" s="28" t="s">
        <v>116</v>
      </c>
      <c r="L118" s="51"/>
    </row>
    <row r="119" spans="2:12" ht="18.75" x14ac:dyDescent="0.25">
      <c r="B119" s="25" t="s">
        <v>117</v>
      </c>
      <c r="C119" s="26" t="s">
        <v>118</v>
      </c>
      <c r="D119" s="26"/>
      <c r="E119" s="26"/>
      <c r="F119" s="26"/>
      <c r="G119" s="27"/>
      <c r="H119" s="26"/>
      <c r="I119" s="26"/>
      <c r="J119" s="26"/>
      <c r="K119" s="28" t="s">
        <v>119</v>
      </c>
      <c r="L119" s="51"/>
    </row>
    <row r="120" spans="2:12" ht="18.75" x14ac:dyDescent="0.25">
      <c r="B120" s="25">
        <v>889002110930</v>
      </c>
      <c r="C120" s="26" t="s">
        <v>120</v>
      </c>
      <c r="D120" s="26" t="s">
        <v>121</v>
      </c>
      <c r="E120" s="26" t="s">
        <v>100</v>
      </c>
      <c r="F120" s="26"/>
      <c r="G120" s="27">
        <v>354423235214802</v>
      </c>
      <c r="H120" s="26" t="s">
        <v>122</v>
      </c>
      <c r="I120" s="26">
        <v>600</v>
      </c>
      <c r="J120" s="26" t="s">
        <v>93</v>
      </c>
      <c r="K120" s="28" t="s">
        <v>103</v>
      </c>
      <c r="L120" s="51"/>
    </row>
    <row r="121" spans="2:12" ht="18.75" x14ac:dyDescent="0.25">
      <c r="B121" s="25">
        <v>885824396623</v>
      </c>
      <c r="C121" s="26" t="s">
        <v>123</v>
      </c>
      <c r="D121" s="4"/>
      <c r="E121" s="4"/>
      <c r="F121" s="4"/>
      <c r="G121" s="27">
        <v>355122367429969</v>
      </c>
      <c r="H121" s="4"/>
      <c r="I121" s="26">
        <v>1000</v>
      </c>
      <c r="J121" s="4"/>
      <c r="K121" s="28" t="s">
        <v>124</v>
      </c>
      <c r="L121" s="51"/>
    </row>
    <row r="122" spans="2:12" ht="18.75" x14ac:dyDescent="0.25">
      <c r="B122" s="25">
        <v>885521840190</v>
      </c>
      <c r="C122" s="26" t="s">
        <v>125</v>
      </c>
      <c r="D122" s="4"/>
      <c r="E122" s="4"/>
      <c r="F122" s="4"/>
      <c r="G122" s="27">
        <v>358271520320685</v>
      </c>
      <c r="H122" s="4"/>
      <c r="I122" s="26">
        <v>550</v>
      </c>
      <c r="J122" s="4"/>
      <c r="K122" s="28" t="s">
        <v>126</v>
      </c>
      <c r="L122" s="51"/>
    </row>
    <row r="127" spans="2:12" x14ac:dyDescent="0.25">
      <c r="B127" s="4"/>
      <c r="C127" s="53"/>
      <c r="D127" s="4" t="s">
        <v>207</v>
      </c>
      <c r="E127" s="4" t="s">
        <v>205</v>
      </c>
      <c r="F127" s="4" t="s">
        <v>247</v>
      </c>
      <c r="G127" s="4" t="s">
        <v>135</v>
      </c>
      <c r="H127" s="4" t="s">
        <v>206</v>
      </c>
    </row>
    <row r="128" spans="2:12" x14ac:dyDescent="0.25">
      <c r="B128" s="54">
        <v>46111</v>
      </c>
      <c r="C128" s="52" t="s">
        <v>193</v>
      </c>
      <c r="D128" s="19">
        <v>33528</v>
      </c>
      <c r="E128" s="4">
        <v>34065</v>
      </c>
      <c r="F128" s="4"/>
      <c r="G128" s="4">
        <f>E128-D128</f>
        <v>537</v>
      </c>
      <c r="H128" s="4">
        <v>340</v>
      </c>
    </row>
    <row r="129" spans="2:8" x14ac:dyDescent="0.25">
      <c r="B129" s="54">
        <v>46111</v>
      </c>
      <c r="C129" s="52" t="s">
        <v>193</v>
      </c>
      <c r="D129" s="19">
        <v>128590</v>
      </c>
      <c r="E129" s="4">
        <v>129070</v>
      </c>
      <c r="F129" s="4"/>
      <c r="G129" s="4">
        <f t="shared" ref="G129:G142" si="2">E129-D129</f>
        <v>480</v>
      </c>
      <c r="H129" s="4">
        <v>430</v>
      </c>
    </row>
    <row r="130" spans="2:8" x14ac:dyDescent="0.25">
      <c r="B130" s="54">
        <v>46116</v>
      </c>
      <c r="C130" s="52" t="s">
        <v>192</v>
      </c>
      <c r="D130" s="4">
        <v>20070</v>
      </c>
      <c r="E130" s="4">
        <v>19705</v>
      </c>
      <c r="F130" s="4">
        <v>20265</v>
      </c>
      <c r="G130" s="4">
        <f t="shared" si="2"/>
        <v>-365</v>
      </c>
      <c r="H130" s="4"/>
    </row>
    <row r="131" spans="2:8" x14ac:dyDescent="0.25">
      <c r="B131" s="54">
        <v>46132</v>
      </c>
      <c r="C131" s="52" t="s">
        <v>194</v>
      </c>
      <c r="D131" s="19">
        <v>45495</v>
      </c>
      <c r="E131" s="4">
        <v>46030</v>
      </c>
      <c r="F131" s="4"/>
      <c r="G131" s="4">
        <f t="shared" si="2"/>
        <v>535</v>
      </c>
      <c r="H131" s="4">
        <v>40</v>
      </c>
    </row>
    <row r="132" spans="2:8" x14ac:dyDescent="0.25">
      <c r="B132" s="54">
        <v>46132</v>
      </c>
      <c r="C132" s="52" t="s">
        <v>195</v>
      </c>
      <c r="D132" s="19">
        <v>41065</v>
      </c>
      <c r="E132" s="4">
        <v>41335</v>
      </c>
      <c r="F132" s="4"/>
      <c r="G132" s="4">
        <f t="shared" si="2"/>
        <v>270</v>
      </c>
      <c r="H132" s="4">
        <v>310</v>
      </c>
    </row>
    <row r="133" spans="2:8" x14ac:dyDescent="0.25">
      <c r="B133" s="54">
        <v>46135</v>
      </c>
      <c r="C133" s="52" t="s">
        <v>196</v>
      </c>
      <c r="D133" s="19">
        <v>57099</v>
      </c>
      <c r="E133" s="4">
        <v>58569</v>
      </c>
      <c r="F133" s="4"/>
      <c r="G133" s="4">
        <f t="shared" si="2"/>
        <v>1470</v>
      </c>
      <c r="H133" s="4">
        <v>925</v>
      </c>
    </row>
    <row r="134" spans="2:8" x14ac:dyDescent="0.25">
      <c r="B134" s="54">
        <v>46139</v>
      </c>
      <c r="C134" s="52" t="s">
        <v>197</v>
      </c>
      <c r="D134" s="19">
        <v>62015</v>
      </c>
      <c r="E134" s="4">
        <v>64110</v>
      </c>
      <c r="F134" s="4"/>
      <c r="G134" s="4">
        <f t="shared" si="2"/>
        <v>2095</v>
      </c>
      <c r="H134" s="4">
        <v>245</v>
      </c>
    </row>
    <row r="135" spans="2:8" x14ac:dyDescent="0.25">
      <c r="B135" s="54">
        <v>46140</v>
      </c>
      <c r="C135" s="52" t="s">
        <v>198</v>
      </c>
      <c r="D135" s="19">
        <v>54280</v>
      </c>
      <c r="E135" s="4">
        <v>54750</v>
      </c>
      <c r="F135" s="4"/>
      <c r="G135" s="4">
        <f t="shared" si="2"/>
        <v>470</v>
      </c>
      <c r="H135" s="4">
        <v>275</v>
      </c>
    </row>
    <row r="136" spans="2:8" x14ac:dyDescent="0.25">
      <c r="B136" s="54">
        <v>46141</v>
      </c>
      <c r="C136" s="52" t="s">
        <v>199</v>
      </c>
      <c r="D136" s="19">
        <v>61335</v>
      </c>
      <c r="E136" s="4">
        <v>62158</v>
      </c>
      <c r="F136" s="4"/>
      <c r="G136" s="4">
        <f t="shared" si="2"/>
        <v>823</v>
      </c>
      <c r="H136" s="4">
        <v>385</v>
      </c>
    </row>
    <row r="137" spans="2:8" x14ac:dyDescent="0.25">
      <c r="B137" s="54">
        <v>46149</v>
      </c>
      <c r="C137" s="52" t="s">
        <v>200</v>
      </c>
      <c r="D137" s="19">
        <v>66915</v>
      </c>
      <c r="E137" s="4">
        <v>67995</v>
      </c>
      <c r="F137" s="4"/>
      <c r="G137" s="4">
        <f t="shared" si="2"/>
        <v>1080</v>
      </c>
      <c r="H137" s="4">
        <v>465</v>
      </c>
    </row>
    <row r="138" spans="2:8" x14ac:dyDescent="0.25">
      <c r="B138" s="54">
        <v>46149</v>
      </c>
      <c r="C138" s="52" t="s">
        <v>200</v>
      </c>
      <c r="D138" s="19">
        <v>11746</v>
      </c>
      <c r="E138" s="4">
        <v>11746</v>
      </c>
      <c r="F138" s="4"/>
      <c r="G138" s="4">
        <f t="shared" si="2"/>
        <v>0</v>
      </c>
      <c r="H138" s="4"/>
    </row>
    <row r="139" spans="2:8" x14ac:dyDescent="0.25">
      <c r="B139" s="54">
        <v>46158</v>
      </c>
      <c r="C139" s="52" t="s">
        <v>201</v>
      </c>
      <c r="D139" s="19">
        <v>31960</v>
      </c>
      <c r="E139" s="4">
        <v>31960</v>
      </c>
      <c r="F139" s="4"/>
      <c r="G139" s="4">
        <f t="shared" si="2"/>
        <v>0</v>
      </c>
      <c r="H139" s="4">
        <v>235</v>
      </c>
    </row>
    <row r="140" spans="2:8" x14ac:dyDescent="0.25">
      <c r="B140" s="54">
        <v>46162</v>
      </c>
      <c r="C140" s="52" t="s">
        <v>202</v>
      </c>
      <c r="D140" s="19">
        <v>57020</v>
      </c>
      <c r="E140" s="4">
        <v>57020</v>
      </c>
      <c r="F140" s="4"/>
      <c r="G140" s="4">
        <f t="shared" si="2"/>
        <v>0</v>
      </c>
      <c r="H140" s="4">
        <v>255</v>
      </c>
    </row>
    <row r="141" spans="2:8" x14ac:dyDescent="0.25">
      <c r="B141" s="54">
        <v>46167</v>
      </c>
      <c r="C141" s="52" t="s">
        <v>203</v>
      </c>
      <c r="D141" s="19">
        <v>29225</v>
      </c>
      <c r="E141" s="4">
        <v>29225</v>
      </c>
      <c r="F141" s="4"/>
      <c r="G141" s="4">
        <f t="shared" si="2"/>
        <v>0</v>
      </c>
      <c r="H141" s="4">
        <v>710</v>
      </c>
    </row>
    <row r="142" spans="2:8" x14ac:dyDescent="0.25">
      <c r="B142" s="54">
        <v>46181</v>
      </c>
      <c r="C142" s="52" t="s">
        <v>204</v>
      </c>
      <c r="D142" s="4">
        <v>34230</v>
      </c>
      <c r="E142" s="4">
        <v>34230</v>
      </c>
      <c r="F142" s="4"/>
      <c r="G142" s="4">
        <f t="shared" si="2"/>
        <v>0</v>
      </c>
      <c r="H142" s="4"/>
    </row>
  </sheetData>
  <mergeCells count="8">
    <mergeCell ref="N100:V100"/>
    <mergeCell ref="N99:X99"/>
    <mergeCell ref="N98:V98"/>
    <mergeCell ref="D11:D12"/>
    <mergeCell ref="C11:C12"/>
    <mergeCell ref="E11:E12"/>
    <mergeCell ref="B107:K107"/>
    <mergeCell ref="K111:K114"/>
  </mergeCells>
  <phoneticPr fontId="2" type="noConversion"/>
  <conditionalFormatting sqref="N53:N58">
    <cfRule type="duplicateValues" dxfId="2" priority="9"/>
  </conditionalFormatting>
  <conditionalFormatting sqref="N68:N75 N77 N93 N97:N106 N84:N86">
    <cfRule type="duplicateValues" dxfId="1" priority="8"/>
  </conditionalFormatting>
  <conditionalFormatting sqref="N76">
    <cfRule type="duplicateValues" dxfId="0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E2F5-F38E-4BF4-A32F-EAF80C1D1391}">
  <dimension ref="B3:J36"/>
  <sheetViews>
    <sheetView topLeftCell="A8" workbookViewId="0">
      <selection activeCell="G15" sqref="G15"/>
    </sheetView>
  </sheetViews>
  <sheetFormatPr defaultRowHeight="15" x14ac:dyDescent="0.25"/>
  <cols>
    <col min="2" max="2" width="11.28515625" customWidth="1"/>
    <col min="3" max="3" width="40.140625" customWidth="1"/>
    <col min="4" max="4" width="14.5703125" customWidth="1"/>
    <col min="5" max="5" width="12.42578125" customWidth="1"/>
    <col min="6" max="6" width="11" customWidth="1"/>
    <col min="7" max="7" width="50" customWidth="1"/>
    <col min="8" max="8" width="15" customWidth="1"/>
    <col min="10" max="10" width="17.42578125" customWidth="1"/>
  </cols>
  <sheetData>
    <row r="3" spans="2:10" ht="23.25" customHeight="1" x14ac:dyDescent="0.25">
      <c r="B3" s="56" t="s">
        <v>208</v>
      </c>
      <c r="C3" s="56" t="s">
        <v>209</v>
      </c>
      <c r="D3" s="56" t="s">
        <v>210</v>
      </c>
      <c r="E3" s="55"/>
      <c r="F3" s="56" t="s">
        <v>208</v>
      </c>
      <c r="G3" s="56" t="s">
        <v>214</v>
      </c>
      <c r="H3" s="56" t="s">
        <v>210</v>
      </c>
      <c r="I3" s="56"/>
      <c r="J3" s="56" t="s">
        <v>135</v>
      </c>
    </row>
    <row r="4" spans="2:10" x14ac:dyDescent="0.25">
      <c r="B4" s="58">
        <v>45889</v>
      </c>
      <c r="C4" s="59" t="s">
        <v>211</v>
      </c>
      <c r="D4" s="59">
        <v>5035</v>
      </c>
      <c r="F4" s="57">
        <v>45891</v>
      </c>
      <c r="G4" s="4" t="s">
        <v>215</v>
      </c>
      <c r="H4" s="4">
        <v>5000</v>
      </c>
      <c r="I4" s="4"/>
      <c r="J4" s="4">
        <f>D4-H4</f>
        <v>35</v>
      </c>
    </row>
    <row r="5" spans="2:10" x14ac:dyDescent="0.25">
      <c r="B5" s="58">
        <v>45889</v>
      </c>
      <c r="C5" s="59" t="s">
        <v>211</v>
      </c>
      <c r="D5" s="59">
        <v>15035</v>
      </c>
      <c r="F5" s="57">
        <v>46006</v>
      </c>
      <c r="G5" s="4" t="s">
        <v>226</v>
      </c>
      <c r="H5" s="4">
        <v>14845</v>
      </c>
      <c r="I5" s="4"/>
      <c r="J5" s="4">
        <f t="shared" ref="J5:J31" si="0">D5-H5</f>
        <v>190</v>
      </c>
    </row>
    <row r="6" spans="2:10" x14ac:dyDescent="0.25">
      <c r="B6" s="58">
        <v>45900</v>
      </c>
      <c r="C6" s="59" t="s">
        <v>211</v>
      </c>
      <c r="D6" s="59">
        <v>30035</v>
      </c>
      <c r="F6" s="57">
        <v>46006</v>
      </c>
      <c r="G6" s="4" t="s">
        <v>227</v>
      </c>
      <c r="H6" s="4">
        <v>13580</v>
      </c>
      <c r="I6" s="4"/>
      <c r="J6" s="4">
        <f t="shared" si="0"/>
        <v>16455</v>
      </c>
    </row>
    <row r="7" spans="2:10" x14ac:dyDescent="0.25">
      <c r="B7" s="60">
        <v>45905</v>
      </c>
      <c r="C7" s="61" t="s">
        <v>212</v>
      </c>
      <c r="D7" s="61">
        <v>5000</v>
      </c>
      <c r="F7" s="57">
        <v>45924</v>
      </c>
      <c r="G7" s="4" t="s">
        <v>218</v>
      </c>
      <c r="H7" s="4">
        <v>5000</v>
      </c>
      <c r="I7" s="4"/>
      <c r="J7" s="4">
        <f t="shared" si="0"/>
        <v>0</v>
      </c>
    </row>
    <row r="8" spans="2:10" x14ac:dyDescent="0.25">
      <c r="B8" s="60">
        <v>45922</v>
      </c>
      <c r="C8" s="61" t="s">
        <v>212</v>
      </c>
      <c r="D8" s="61">
        <v>12000</v>
      </c>
      <c r="F8" s="57">
        <v>45926</v>
      </c>
      <c r="G8" s="4" t="s">
        <v>220</v>
      </c>
      <c r="H8" s="4">
        <v>11975</v>
      </c>
      <c r="I8" s="4"/>
      <c r="J8" s="4">
        <f t="shared" si="0"/>
        <v>25</v>
      </c>
    </row>
    <row r="9" spans="2:10" x14ac:dyDescent="0.25">
      <c r="B9" s="60">
        <v>45924</v>
      </c>
      <c r="C9" s="61" t="s">
        <v>212</v>
      </c>
      <c r="D9" s="61">
        <v>5000</v>
      </c>
      <c r="F9" s="57">
        <v>45906</v>
      </c>
      <c r="G9" s="4" t="s">
        <v>216</v>
      </c>
      <c r="H9" s="4">
        <v>5000</v>
      </c>
      <c r="I9" s="4"/>
      <c r="J9" s="4">
        <f t="shared" si="0"/>
        <v>0</v>
      </c>
    </row>
    <row r="10" spans="2:10" x14ac:dyDescent="0.25">
      <c r="B10" s="60">
        <v>45944</v>
      </c>
      <c r="C10" s="61" t="s">
        <v>211</v>
      </c>
      <c r="D10" s="61">
        <v>3035</v>
      </c>
      <c r="F10" s="57">
        <v>45944</v>
      </c>
      <c r="G10" s="4" t="s">
        <v>219</v>
      </c>
      <c r="H10" s="4">
        <v>3000</v>
      </c>
      <c r="I10" s="4"/>
      <c r="J10" s="4">
        <f t="shared" si="0"/>
        <v>35</v>
      </c>
    </row>
    <row r="11" spans="2:10" x14ac:dyDescent="0.25">
      <c r="B11" s="60">
        <v>45953</v>
      </c>
      <c r="C11" s="61" t="s">
        <v>211</v>
      </c>
      <c r="D11" s="61">
        <v>4000</v>
      </c>
      <c r="F11" s="57">
        <v>45953</v>
      </c>
      <c r="G11" s="4" t="s">
        <v>221</v>
      </c>
      <c r="H11" s="4">
        <v>3975</v>
      </c>
      <c r="I11" s="4"/>
      <c r="J11" s="4">
        <f t="shared" si="0"/>
        <v>25</v>
      </c>
    </row>
    <row r="12" spans="2:10" x14ac:dyDescent="0.25">
      <c r="B12" s="60">
        <v>45972</v>
      </c>
      <c r="C12" s="61" t="s">
        <v>211</v>
      </c>
      <c r="D12" s="61">
        <v>1230</v>
      </c>
      <c r="F12" s="57">
        <v>45972</v>
      </c>
      <c r="G12" s="4" t="s">
        <v>222</v>
      </c>
      <c r="H12" s="4">
        <v>1230</v>
      </c>
      <c r="I12" s="4"/>
      <c r="J12" s="4">
        <f t="shared" si="0"/>
        <v>0</v>
      </c>
    </row>
    <row r="13" spans="2:10" x14ac:dyDescent="0.25">
      <c r="B13" s="60">
        <v>45978</v>
      </c>
      <c r="C13" s="61" t="s">
        <v>211</v>
      </c>
      <c r="D13" s="61">
        <v>2025</v>
      </c>
      <c r="F13" s="57">
        <v>45978</v>
      </c>
      <c r="G13" s="4" t="s">
        <v>223</v>
      </c>
      <c r="H13" s="4">
        <v>2025</v>
      </c>
      <c r="I13" s="4"/>
      <c r="J13" s="4">
        <f t="shared" si="0"/>
        <v>0</v>
      </c>
    </row>
    <row r="14" spans="2:10" x14ac:dyDescent="0.25">
      <c r="B14" s="62">
        <v>45994</v>
      </c>
      <c r="C14" s="63" t="s">
        <v>211</v>
      </c>
      <c r="D14" s="63">
        <v>2035</v>
      </c>
      <c r="F14" s="57">
        <v>46005</v>
      </c>
      <c r="G14" s="4" t="s">
        <v>224</v>
      </c>
      <c r="H14" s="4">
        <v>2000</v>
      </c>
      <c r="I14" s="4"/>
      <c r="J14" s="4">
        <f t="shared" si="0"/>
        <v>35</v>
      </c>
    </row>
    <row r="15" spans="2:10" x14ac:dyDescent="0.25">
      <c r="B15" s="62">
        <v>46002</v>
      </c>
      <c r="C15" s="63" t="s">
        <v>211</v>
      </c>
      <c r="D15" s="63">
        <v>5035</v>
      </c>
      <c r="F15" s="57">
        <v>46005</v>
      </c>
      <c r="G15" s="4" t="s">
        <v>225</v>
      </c>
      <c r="H15" s="4">
        <v>5000</v>
      </c>
      <c r="I15" s="4"/>
      <c r="J15" s="4">
        <f t="shared" si="0"/>
        <v>35</v>
      </c>
    </row>
    <row r="16" spans="2:10" x14ac:dyDescent="0.25">
      <c r="B16" s="62">
        <v>46051</v>
      </c>
      <c r="C16" s="63" t="s">
        <v>211</v>
      </c>
      <c r="D16" s="63">
        <v>4500</v>
      </c>
      <c r="F16" s="57">
        <v>46112</v>
      </c>
      <c r="G16" s="4" t="s">
        <v>228</v>
      </c>
      <c r="H16" s="4">
        <v>4475</v>
      </c>
      <c r="I16" s="4"/>
      <c r="J16" s="4">
        <f t="shared" si="0"/>
        <v>25</v>
      </c>
    </row>
    <row r="17" spans="2:10" x14ac:dyDescent="0.25">
      <c r="B17" s="62">
        <v>46072</v>
      </c>
      <c r="C17" s="63" t="s">
        <v>211</v>
      </c>
      <c r="D17" s="63">
        <v>5000</v>
      </c>
      <c r="F17" s="57">
        <v>46112</v>
      </c>
      <c r="G17" s="4" t="s">
        <v>229</v>
      </c>
      <c r="H17" s="4">
        <v>4975</v>
      </c>
      <c r="I17" s="4"/>
      <c r="J17" s="4">
        <f t="shared" si="0"/>
        <v>25</v>
      </c>
    </row>
    <row r="18" spans="2:10" x14ac:dyDescent="0.25">
      <c r="B18" s="62">
        <v>45713</v>
      </c>
      <c r="C18" s="63" t="s">
        <v>240</v>
      </c>
      <c r="D18" s="63">
        <v>8000</v>
      </c>
      <c r="F18" s="57">
        <v>46112</v>
      </c>
      <c r="G18" s="4" t="s">
        <v>230</v>
      </c>
      <c r="H18" s="4">
        <v>8000</v>
      </c>
      <c r="I18" s="4"/>
      <c r="J18" s="4">
        <f t="shared" si="0"/>
        <v>0</v>
      </c>
    </row>
    <row r="19" spans="2:10" x14ac:dyDescent="0.25">
      <c r="B19" s="62">
        <v>45716</v>
      </c>
      <c r="C19" s="63" t="s">
        <v>240</v>
      </c>
      <c r="D19" s="63">
        <v>2750</v>
      </c>
      <c r="F19" s="57">
        <v>46112</v>
      </c>
      <c r="G19" s="4" t="s">
        <v>231</v>
      </c>
      <c r="H19" s="4">
        <v>2750</v>
      </c>
      <c r="I19" s="4"/>
      <c r="J19" s="4">
        <f t="shared" si="0"/>
        <v>0</v>
      </c>
    </row>
    <row r="20" spans="2:10" x14ac:dyDescent="0.25">
      <c r="B20" s="62">
        <v>46097</v>
      </c>
      <c r="C20" s="63" t="s">
        <v>211</v>
      </c>
      <c r="D20" s="63">
        <v>6500</v>
      </c>
      <c r="F20" s="57">
        <v>46097</v>
      </c>
      <c r="G20" s="4" t="s">
        <v>243</v>
      </c>
      <c r="H20" s="4">
        <v>6475</v>
      </c>
      <c r="I20" s="4"/>
      <c r="J20" s="4">
        <f t="shared" si="0"/>
        <v>25</v>
      </c>
    </row>
    <row r="21" spans="2:10" x14ac:dyDescent="0.25">
      <c r="B21" s="63"/>
      <c r="C21" s="63" t="s">
        <v>241</v>
      </c>
      <c r="D21" s="63">
        <v>2750</v>
      </c>
      <c r="F21" s="57">
        <v>46114</v>
      </c>
      <c r="G21" s="4" t="s">
        <v>233</v>
      </c>
      <c r="H21" s="4">
        <v>2750</v>
      </c>
      <c r="I21" s="4"/>
      <c r="J21" s="4">
        <f t="shared" si="0"/>
        <v>0</v>
      </c>
    </row>
    <row r="22" spans="2:10" x14ac:dyDescent="0.25">
      <c r="B22" s="63"/>
      <c r="C22" s="63" t="s">
        <v>211</v>
      </c>
      <c r="D22" s="63">
        <v>4000</v>
      </c>
      <c r="F22" s="57">
        <v>46112</v>
      </c>
      <c r="G22" s="4" t="s">
        <v>232</v>
      </c>
      <c r="H22" s="4">
        <v>3975</v>
      </c>
      <c r="I22" s="4"/>
      <c r="J22" s="4">
        <f t="shared" si="0"/>
        <v>25</v>
      </c>
    </row>
    <row r="23" spans="2:10" x14ac:dyDescent="0.25">
      <c r="B23" s="63"/>
      <c r="C23" s="63" t="s">
        <v>246</v>
      </c>
      <c r="D23" s="63">
        <v>5000</v>
      </c>
      <c r="F23" s="57">
        <v>46156</v>
      </c>
      <c r="G23" s="4" t="s">
        <v>237</v>
      </c>
      <c r="H23" s="4">
        <v>5000</v>
      </c>
      <c r="I23" s="4"/>
      <c r="J23" s="4">
        <f t="shared" si="0"/>
        <v>0</v>
      </c>
    </row>
    <row r="24" spans="2:10" x14ac:dyDescent="0.25">
      <c r="B24" s="63"/>
      <c r="C24" s="63" t="s">
        <v>245</v>
      </c>
      <c r="D24" s="63">
        <v>5000</v>
      </c>
      <c r="F24" s="57">
        <v>46156</v>
      </c>
      <c r="G24" s="4" t="s">
        <v>238</v>
      </c>
      <c r="H24" s="4">
        <v>5000</v>
      </c>
      <c r="I24" s="4"/>
      <c r="J24" s="4">
        <f t="shared" si="0"/>
        <v>0</v>
      </c>
    </row>
    <row r="25" spans="2:10" x14ac:dyDescent="0.25">
      <c r="B25" s="63"/>
      <c r="C25" s="63" t="s">
        <v>246</v>
      </c>
      <c r="D25" s="63">
        <v>2750</v>
      </c>
      <c r="F25" s="57">
        <v>46144</v>
      </c>
      <c r="G25" s="4" t="s">
        <v>234</v>
      </c>
      <c r="H25" s="4">
        <v>2750</v>
      </c>
      <c r="I25" s="4"/>
      <c r="J25" s="4">
        <f t="shared" si="0"/>
        <v>0</v>
      </c>
    </row>
    <row r="26" spans="2:10" x14ac:dyDescent="0.25">
      <c r="B26" s="63"/>
      <c r="C26" s="63" t="s">
        <v>246</v>
      </c>
      <c r="D26" s="63">
        <v>4000</v>
      </c>
      <c r="F26" s="57">
        <v>46148</v>
      </c>
      <c r="G26" s="4" t="s">
        <v>235</v>
      </c>
      <c r="H26" s="4">
        <v>4000</v>
      </c>
      <c r="I26" s="4"/>
      <c r="J26" s="4">
        <f t="shared" si="0"/>
        <v>0</v>
      </c>
    </row>
    <row r="27" spans="2:10" x14ac:dyDescent="0.25">
      <c r="B27" s="63"/>
      <c r="C27" s="63" t="s">
        <v>245</v>
      </c>
      <c r="D27" s="63">
        <v>10000</v>
      </c>
      <c r="F27" s="57">
        <v>46149</v>
      </c>
      <c r="G27" s="4" t="s">
        <v>236</v>
      </c>
      <c r="H27" s="4">
        <v>10000</v>
      </c>
      <c r="I27" s="4"/>
      <c r="J27" s="4">
        <f t="shared" si="0"/>
        <v>0</v>
      </c>
    </row>
    <row r="28" spans="2:10" x14ac:dyDescent="0.25">
      <c r="B28" s="62">
        <v>46176</v>
      </c>
      <c r="C28" s="63" t="s">
        <v>244</v>
      </c>
      <c r="D28" s="63">
        <v>2750</v>
      </c>
      <c r="F28" s="57">
        <v>46185</v>
      </c>
      <c r="G28" s="4" t="s">
        <v>239</v>
      </c>
      <c r="H28" s="4">
        <v>2750</v>
      </c>
      <c r="I28" s="4"/>
      <c r="J28" s="4">
        <f t="shared" si="0"/>
        <v>0</v>
      </c>
    </row>
    <row r="29" spans="2:10" x14ac:dyDescent="0.25">
      <c r="B29" s="4"/>
      <c r="C29" s="4" t="s">
        <v>213</v>
      </c>
      <c r="D29" s="4">
        <v>-11500</v>
      </c>
      <c r="F29" s="4"/>
      <c r="G29" s="4"/>
      <c r="H29" s="4"/>
      <c r="I29" s="4"/>
      <c r="J29" s="4">
        <f t="shared" si="0"/>
        <v>-11500</v>
      </c>
    </row>
    <row r="30" spans="2:10" x14ac:dyDescent="0.25">
      <c r="B30" s="4"/>
      <c r="C30" s="4"/>
      <c r="D30" s="34"/>
      <c r="F30" s="4"/>
      <c r="G30" s="4"/>
      <c r="H30" s="34"/>
      <c r="I30" s="4"/>
      <c r="J30" s="4">
        <f t="shared" si="0"/>
        <v>0</v>
      </c>
    </row>
    <row r="31" spans="2:10" x14ac:dyDescent="0.25">
      <c r="B31" s="4"/>
      <c r="C31" s="4"/>
      <c r="D31" s="34">
        <f>SUM(D4:D30)</f>
        <v>140965</v>
      </c>
      <c r="F31" s="4"/>
      <c r="G31" s="4"/>
      <c r="H31" s="34">
        <f>SUM(H4:H30)</f>
        <v>135530</v>
      </c>
      <c r="I31" s="4"/>
      <c r="J31" s="34">
        <f t="shared" si="0"/>
        <v>5435</v>
      </c>
    </row>
    <row r="35" spans="6:8" x14ac:dyDescent="0.25">
      <c r="F35" s="37">
        <v>45908</v>
      </c>
      <c r="G35" t="s">
        <v>217</v>
      </c>
      <c r="H35">
        <v>25000</v>
      </c>
    </row>
    <row r="36" spans="6:8" x14ac:dyDescent="0.25">
      <c r="F36" s="37">
        <v>46006</v>
      </c>
      <c r="G36" t="s">
        <v>242</v>
      </c>
      <c r="H36">
        <v>-25000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3AB1-ADE5-4008-906B-B6901C58948E}">
  <dimension ref="B1:G80"/>
  <sheetViews>
    <sheetView zoomScale="80" zoomScaleNormal="80" workbookViewId="0">
      <selection activeCell="E85" sqref="E85"/>
    </sheetView>
  </sheetViews>
  <sheetFormatPr defaultRowHeight="15" x14ac:dyDescent="0.25"/>
  <cols>
    <col min="2" max="2" width="30" customWidth="1"/>
    <col min="3" max="3" width="33.85546875" customWidth="1"/>
    <col min="4" max="4" width="32.28515625" customWidth="1"/>
    <col min="5" max="6" width="23" customWidth="1"/>
    <col min="7" max="7" width="78.7109375" customWidth="1"/>
  </cols>
  <sheetData>
    <row r="1" spans="2:7" x14ac:dyDescent="0.25">
      <c r="B1" s="2" t="s">
        <v>1</v>
      </c>
      <c r="C1" s="12" t="s">
        <v>30</v>
      </c>
      <c r="D1" s="2" t="s">
        <v>28</v>
      </c>
      <c r="E1" s="3" t="s">
        <v>29</v>
      </c>
      <c r="F1" s="3"/>
      <c r="G1" s="3" t="s">
        <v>248</v>
      </c>
    </row>
    <row r="2" spans="2:7" x14ac:dyDescent="0.25">
      <c r="B2" s="1" t="s">
        <v>16</v>
      </c>
      <c r="C2" s="65">
        <v>38675</v>
      </c>
      <c r="D2" s="66">
        <v>38630</v>
      </c>
      <c r="E2" s="13">
        <f>C2-D2</f>
        <v>45</v>
      </c>
      <c r="F2" s="13"/>
      <c r="G2" s="4"/>
    </row>
    <row r="3" spans="2:7" x14ac:dyDescent="0.25">
      <c r="B3" s="1" t="s">
        <v>17</v>
      </c>
      <c r="C3" s="65">
        <v>15465</v>
      </c>
      <c r="D3" s="66">
        <v>15465</v>
      </c>
      <c r="E3" s="13">
        <f t="shared" ref="E3:E59" si="0">C3-D3</f>
        <v>0</v>
      </c>
      <c r="F3" s="13"/>
      <c r="G3" s="4"/>
    </row>
    <row r="4" spans="2:7" x14ac:dyDescent="0.25">
      <c r="B4" s="1" t="s">
        <v>18</v>
      </c>
      <c r="C4" s="65">
        <v>11628</v>
      </c>
      <c r="D4" s="66">
        <v>11628</v>
      </c>
      <c r="E4" s="13">
        <f t="shared" si="0"/>
        <v>0</v>
      </c>
      <c r="F4" s="13"/>
      <c r="G4" s="4"/>
    </row>
    <row r="5" spans="2:7" x14ac:dyDescent="0.25">
      <c r="B5" s="1" t="s">
        <v>18</v>
      </c>
      <c r="C5" s="65">
        <v>16720</v>
      </c>
      <c r="D5" s="66">
        <v>16720</v>
      </c>
      <c r="E5" s="13">
        <f t="shared" si="0"/>
        <v>0</v>
      </c>
      <c r="F5" s="13"/>
      <c r="G5" s="4"/>
    </row>
    <row r="6" spans="2:7" x14ac:dyDescent="0.25">
      <c r="B6" s="1" t="s">
        <v>18</v>
      </c>
      <c r="C6" s="13">
        <v>21070</v>
      </c>
      <c r="D6" s="1">
        <v>21070</v>
      </c>
      <c r="E6" s="13">
        <f t="shared" si="0"/>
        <v>0</v>
      </c>
      <c r="F6" s="13"/>
      <c r="G6" s="4"/>
    </row>
    <row r="7" spans="2:7" x14ac:dyDescent="0.25">
      <c r="B7" s="1" t="s">
        <v>18</v>
      </c>
      <c r="C7" s="13">
        <v>39590</v>
      </c>
      <c r="D7" s="1">
        <v>39190</v>
      </c>
      <c r="E7" s="13">
        <f t="shared" si="0"/>
        <v>400</v>
      </c>
      <c r="F7" s="13"/>
      <c r="G7" s="4"/>
    </row>
    <row r="8" spans="2:7" x14ac:dyDescent="0.25">
      <c r="B8" s="1" t="s">
        <v>18</v>
      </c>
      <c r="C8" s="13">
        <v>46940</v>
      </c>
      <c r="D8" s="1">
        <v>46940</v>
      </c>
      <c r="E8" s="13">
        <f t="shared" si="0"/>
        <v>0</v>
      </c>
      <c r="F8" s="13"/>
      <c r="G8" s="4"/>
    </row>
    <row r="9" spans="2:7" x14ac:dyDescent="0.25">
      <c r="B9" s="1" t="s">
        <v>0</v>
      </c>
      <c r="C9" s="13">
        <v>21915</v>
      </c>
      <c r="D9" s="1">
        <v>21975</v>
      </c>
      <c r="E9" s="13">
        <f t="shared" si="0"/>
        <v>-60</v>
      </c>
      <c r="F9" s="13"/>
      <c r="G9" s="4"/>
    </row>
    <row r="10" spans="2:7" x14ac:dyDescent="0.25">
      <c r="B10" s="1" t="s">
        <v>2</v>
      </c>
      <c r="C10" s="67">
        <v>39405</v>
      </c>
      <c r="D10" s="68">
        <v>39895</v>
      </c>
      <c r="E10" s="13">
        <f t="shared" si="0"/>
        <v>-490</v>
      </c>
      <c r="F10" s="13"/>
      <c r="G10" s="4"/>
    </row>
    <row r="11" spans="2:7" x14ac:dyDescent="0.25">
      <c r="B11" s="1" t="s">
        <v>3</v>
      </c>
      <c r="C11" s="67"/>
      <c r="D11" s="68"/>
      <c r="E11" s="13">
        <f t="shared" si="0"/>
        <v>0</v>
      </c>
      <c r="F11" s="13"/>
      <c r="G11" s="4"/>
    </row>
    <row r="12" spans="2:7" x14ac:dyDescent="0.25">
      <c r="B12" s="1" t="s">
        <v>4</v>
      </c>
      <c r="C12" s="13">
        <v>43085</v>
      </c>
      <c r="D12" s="1">
        <v>42360</v>
      </c>
      <c r="E12" s="13">
        <f t="shared" si="0"/>
        <v>725</v>
      </c>
      <c r="F12" s="13"/>
      <c r="G12" s="4"/>
    </row>
    <row r="13" spans="2:7" x14ac:dyDescent="0.25">
      <c r="B13" s="1" t="s">
        <v>5</v>
      </c>
      <c r="C13" s="13">
        <v>52920</v>
      </c>
      <c r="D13" s="1">
        <v>52960</v>
      </c>
      <c r="E13" s="13">
        <f t="shared" si="0"/>
        <v>-40</v>
      </c>
      <c r="F13" s="13"/>
      <c r="G13" s="4"/>
    </row>
    <row r="14" spans="2:7" x14ac:dyDescent="0.25">
      <c r="B14" s="1" t="s">
        <v>6</v>
      </c>
      <c r="C14" s="13">
        <v>42485</v>
      </c>
      <c r="D14" s="1">
        <v>40870</v>
      </c>
      <c r="E14" s="13">
        <f t="shared" si="0"/>
        <v>1615</v>
      </c>
      <c r="F14" s="13"/>
      <c r="G14" s="4"/>
    </row>
    <row r="15" spans="2:7" x14ac:dyDescent="0.25">
      <c r="B15" s="1" t="s">
        <v>7</v>
      </c>
      <c r="C15" s="13">
        <v>28110</v>
      </c>
      <c r="D15" s="1">
        <v>29920</v>
      </c>
      <c r="E15" s="13">
        <f t="shared" si="0"/>
        <v>-1810</v>
      </c>
      <c r="F15" s="13"/>
      <c r="G15" s="4"/>
    </row>
    <row r="16" spans="2:7" x14ac:dyDescent="0.25">
      <c r="B16" s="1" t="s">
        <v>8</v>
      </c>
      <c r="C16" s="13">
        <v>46415</v>
      </c>
      <c r="D16" s="1">
        <v>46575</v>
      </c>
      <c r="E16" s="13">
        <f t="shared" si="0"/>
        <v>-160</v>
      </c>
      <c r="F16" s="13"/>
      <c r="G16" s="4"/>
    </row>
    <row r="17" spans="2:7" x14ac:dyDescent="0.25">
      <c r="B17" s="1" t="s">
        <v>9</v>
      </c>
      <c r="C17" s="13">
        <v>32520</v>
      </c>
      <c r="D17" s="1">
        <v>32175</v>
      </c>
      <c r="E17" s="13">
        <f t="shared" si="0"/>
        <v>345</v>
      </c>
      <c r="F17" s="13"/>
      <c r="G17" s="17" t="s">
        <v>34</v>
      </c>
    </row>
    <row r="18" spans="2:7" x14ac:dyDescent="0.25">
      <c r="B18" s="1" t="s">
        <v>10</v>
      </c>
      <c r="C18" s="13">
        <v>43205</v>
      </c>
      <c r="D18" s="1">
        <v>43615</v>
      </c>
      <c r="E18" s="13">
        <f t="shared" si="0"/>
        <v>-410</v>
      </c>
      <c r="F18" s="13"/>
      <c r="G18" s="4"/>
    </row>
    <row r="19" spans="2:7" x14ac:dyDescent="0.25">
      <c r="B19" s="1" t="s">
        <v>11</v>
      </c>
      <c r="C19" s="13">
        <v>55445</v>
      </c>
      <c r="D19" s="1">
        <v>55365</v>
      </c>
      <c r="E19" s="13">
        <f t="shared" si="0"/>
        <v>80</v>
      </c>
      <c r="F19" s="13"/>
      <c r="G19" s="4"/>
    </row>
    <row r="20" spans="2:7" x14ac:dyDescent="0.25">
      <c r="B20" s="1" t="s">
        <v>12</v>
      </c>
      <c r="C20" s="13">
        <v>63597</v>
      </c>
      <c r="D20" s="1">
        <v>62070</v>
      </c>
      <c r="E20" s="13">
        <f t="shared" si="0"/>
        <v>1527</v>
      </c>
      <c r="F20" s="13"/>
      <c r="G20" s="4"/>
    </row>
    <row r="21" spans="2:7" x14ac:dyDescent="0.25">
      <c r="B21" s="1" t="s">
        <v>13</v>
      </c>
      <c r="C21" s="13">
        <v>74530</v>
      </c>
      <c r="D21" s="1">
        <v>74530</v>
      </c>
      <c r="E21" s="13">
        <f t="shared" si="0"/>
        <v>0</v>
      </c>
      <c r="F21" s="13"/>
      <c r="G21" s="4"/>
    </row>
    <row r="22" spans="2:7" x14ac:dyDescent="0.25">
      <c r="B22" s="1" t="s">
        <v>35</v>
      </c>
      <c r="C22" s="13">
        <v>64050</v>
      </c>
      <c r="D22" s="1">
        <v>64050</v>
      </c>
      <c r="E22" s="13">
        <f t="shared" si="0"/>
        <v>0</v>
      </c>
      <c r="F22" s="13"/>
      <c r="G22" s="4"/>
    </row>
    <row r="23" spans="2:7" x14ac:dyDescent="0.25">
      <c r="B23" s="1" t="s">
        <v>36</v>
      </c>
      <c r="C23" s="13">
        <v>64185</v>
      </c>
      <c r="D23" s="1">
        <v>64635</v>
      </c>
      <c r="E23" s="13">
        <f t="shared" si="0"/>
        <v>-450</v>
      </c>
      <c r="F23" s="13"/>
      <c r="G23" s="4"/>
    </row>
    <row r="24" spans="2:7" x14ac:dyDescent="0.25">
      <c r="B24" s="1" t="s">
        <v>39</v>
      </c>
      <c r="C24" s="13">
        <v>22440</v>
      </c>
      <c r="D24" s="1">
        <v>22440</v>
      </c>
      <c r="E24" s="13">
        <f t="shared" si="0"/>
        <v>0</v>
      </c>
      <c r="F24" s="13"/>
      <c r="G24" s="4"/>
    </row>
    <row r="25" spans="2:7" x14ac:dyDescent="0.25">
      <c r="B25" s="1" t="s">
        <v>37</v>
      </c>
      <c r="C25" s="13">
        <v>64555</v>
      </c>
      <c r="D25" s="1">
        <v>64380</v>
      </c>
      <c r="E25" s="13">
        <f t="shared" si="0"/>
        <v>175</v>
      </c>
      <c r="F25" s="13"/>
      <c r="G25" s="4" t="s">
        <v>72</v>
      </c>
    </row>
    <row r="26" spans="2:7" x14ac:dyDescent="0.25">
      <c r="B26" s="1" t="s">
        <v>38</v>
      </c>
      <c r="C26" s="13">
        <v>68960</v>
      </c>
      <c r="D26" s="1">
        <v>68960</v>
      </c>
      <c r="E26" s="13">
        <f t="shared" si="0"/>
        <v>0</v>
      </c>
      <c r="F26" s="13"/>
      <c r="G26" s="4"/>
    </row>
    <row r="27" spans="2:7" x14ac:dyDescent="0.25">
      <c r="B27" s="1" t="s">
        <v>40</v>
      </c>
      <c r="C27" s="13">
        <v>15190</v>
      </c>
      <c r="D27" s="1">
        <v>15090</v>
      </c>
      <c r="E27" s="13">
        <f t="shared" si="0"/>
        <v>100</v>
      </c>
      <c r="F27" s="13"/>
      <c r="G27" s="4" t="s">
        <v>71</v>
      </c>
    </row>
    <row r="28" spans="2:7" x14ac:dyDescent="0.25">
      <c r="B28" s="1" t="s">
        <v>41</v>
      </c>
      <c r="C28" s="13">
        <v>58700</v>
      </c>
      <c r="D28" s="1">
        <v>57990</v>
      </c>
      <c r="E28" s="13">
        <f t="shared" si="0"/>
        <v>710</v>
      </c>
      <c r="F28" s="13"/>
      <c r="G28" s="4" t="s">
        <v>70</v>
      </c>
    </row>
    <row r="29" spans="2:7" x14ac:dyDescent="0.25">
      <c r="B29" s="1" t="s">
        <v>42</v>
      </c>
      <c r="C29" s="13">
        <v>9405</v>
      </c>
      <c r="D29" s="1">
        <v>9405</v>
      </c>
      <c r="E29" s="13">
        <f t="shared" si="0"/>
        <v>0</v>
      </c>
      <c r="F29" s="13"/>
      <c r="G29" s="4"/>
    </row>
    <row r="30" spans="2:7" x14ac:dyDescent="0.25">
      <c r="B30" s="1" t="s">
        <v>43</v>
      </c>
      <c r="C30" s="13">
        <v>16180</v>
      </c>
      <c r="D30" s="1">
        <v>16180</v>
      </c>
      <c r="E30" s="13">
        <f t="shared" si="0"/>
        <v>0</v>
      </c>
      <c r="F30" s="13"/>
      <c r="G30" s="4" t="s">
        <v>249</v>
      </c>
    </row>
    <row r="31" spans="2:7" x14ac:dyDescent="0.25">
      <c r="B31" s="1" t="s">
        <v>44</v>
      </c>
      <c r="C31" s="13">
        <v>97977</v>
      </c>
      <c r="D31" s="1">
        <v>97059</v>
      </c>
      <c r="E31" s="13">
        <f t="shared" si="0"/>
        <v>918</v>
      </c>
      <c r="F31" s="13"/>
      <c r="G31" s="4" t="s">
        <v>69</v>
      </c>
    </row>
    <row r="32" spans="2:7" x14ac:dyDescent="0.25">
      <c r="B32" s="1" t="s">
        <v>45</v>
      </c>
      <c r="C32" s="13">
        <v>97058</v>
      </c>
      <c r="D32" s="1">
        <v>96819</v>
      </c>
      <c r="E32" s="13">
        <f t="shared" si="0"/>
        <v>239</v>
      </c>
      <c r="F32" s="13"/>
      <c r="G32" s="4" t="s">
        <v>64</v>
      </c>
    </row>
    <row r="33" spans="2:7" x14ac:dyDescent="0.25">
      <c r="B33" s="1" t="s">
        <v>46</v>
      </c>
      <c r="C33" s="13">
        <v>31640</v>
      </c>
      <c r="D33" s="1">
        <v>30340</v>
      </c>
      <c r="E33" s="13">
        <f t="shared" si="0"/>
        <v>1300</v>
      </c>
      <c r="F33" s="13"/>
      <c r="G33" s="4" t="s">
        <v>67</v>
      </c>
    </row>
    <row r="34" spans="2:7" x14ac:dyDescent="0.25">
      <c r="B34" s="1" t="s">
        <v>47</v>
      </c>
      <c r="C34" s="13">
        <v>31410</v>
      </c>
      <c r="D34" s="1">
        <v>31410</v>
      </c>
      <c r="E34" s="13">
        <f t="shared" si="0"/>
        <v>0</v>
      </c>
      <c r="F34" s="13"/>
      <c r="G34" s="4"/>
    </row>
    <row r="35" spans="2:7" x14ac:dyDescent="0.25">
      <c r="B35" s="1" t="s">
        <v>49</v>
      </c>
      <c r="C35" s="15">
        <v>77430</v>
      </c>
      <c r="D35" s="1">
        <v>76450</v>
      </c>
      <c r="E35" s="13">
        <f t="shared" si="0"/>
        <v>980</v>
      </c>
      <c r="F35" s="13"/>
      <c r="G35" s="4" t="s">
        <v>66</v>
      </c>
    </row>
    <row r="36" spans="2:7" ht="30" x14ac:dyDescent="0.25">
      <c r="B36" s="1" t="s">
        <v>50</v>
      </c>
      <c r="C36" s="15">
        <v>63705</v>
      </c>
      <c r="D36" s="1">
        <v>62565</v>
      </c>
      <c r="E36" s="13">
        <f t="shared" si="0"/>
        <v>1140</v>
      </c>
      <c r="F36" s="13"/>
      <c r="G36" s="18" t="s">
        <v>65</v>
      </c>
    </row>
    <row r="37" spans="2:7" x14ac:dyDescent="0.25">
      <c r="B37" s="1" t="s">
        <v>51</v>
      </c>
      <c r="C37" s="15">
        <v>44640</v>
      </c>
      <c r="D37" s="1">
        <v>44610</v>
      </c>
      <c r="E37" s="13">
        <f t="shared" si="0"/>
        <v>30</v>
      </c>
      <c r="F37" s="13"/>
      <c r="G37" s="4"/>
    </row>
    <row r="38" spans="2:7" x14ac:dyDescent="0.25">
      <c r="B38" s="1" t="s">
        <v>52</v>
      </c>
      <c r="C38" s="15">
        <v>67610</v>
      </c>
      <c r="D38" s="1">
        <v>68726</v>
      </c>
      <c r="E38" s="13">
        <f t="shared" si="0"/>
        <v>-1116</v>
      </c>
      <c r="F38" s="13"/>
      <c r="G38" s="4" t="s">
        <v>63</v>
      </c>
    </row>
    <row r="39" spans="2:7" x14ac:dyDescent="0.25">
      <c r="B39" s="1" t="s">
        <v>53</v>
      </c>
      <c r="C39" s="15">
        <v>125855</v>
      </c>
      <c r="D39" s="1">
        <v>125495</v>
      </c>
      <c r="E39" s="13">
        <f t="shared" si="0"/>
        <v>360</v>
      </c>
      <c r="F39" s="13"/>
      <c r="G39" s="4" t="s">
        <v>62</v>
      </c>
    </row>
    <row r="40" spans="2:7" ht="30" x14ac:dyDescent="0.25">
      <c r="B40" s="1" t="s">
        <v>54</v>
      </c>
      <c r="C40" s="15">
        <v>95355</v>
      </c>
      <c r="D40" s="1">
        <v>93880</v>
      </c>
      <c r="E40" s="13">
        <f t="shared" si="0"/>
        <v>1475</v>
      </c>
      <c r="F40" s="13"/>
      <c r="G40" s="18" t="s">
        <v>61</v>
      </c>
    </row>
    <row r="41" spans="2:7" x14ac:dyDescent="0.25">
      <c r="B41" s="1" t="s">
        <v>55</v>
      </c>
      <c r="C41" s="15">
        <v>63805</v>
      </c>
      <c r="D41" s="1">
        <v>64395</v>
      </c>
      <c r="E41" s="13">
        <f t="shared" si="0"/>
        <v>-590</v>
      </c>
      <c r="F41" s="13"/>
      <c r="G41" s="4" t="s">
        <v>60</v>
      </c>
    </row>
    <row r="42" spans="2:7" x14ac:dyDescent="0.25">
      <c r="B42" s="1" t="s">
        <v>56</v>
      </c>
      <c r="C42" s="15">
        <v>29880</v>
      </c>
      <c r="D42" s="1">
        <v>29880</v>
      </c>
      <c r="E42" s="13">
        <f t="shared" si="0"/>
        <v>0</v>
      </c>
      <c r="F42" s="13"/>
      <c r="G42" s="4"/>
    </row>
    <row r="43" spans="2:7" x14ac:dyDescent="0.25">
      <c r="B43" s="1" t="s">
        <v>57</v>
      </c>
      <c r="C43" s="15">
        <v>84985</v>
      </c>
      <c r="D43" s="1">
        <v>84985</v>
      </c>
      <c r="E43" s="13">
        <f t="shared" si="0"/>
        <v>0</v>
      </c>
      <c r="F43" s="13"/>
      <c r="G43" s="4"/>
    </row>
    <row r="44" spans="2:7" x14ac:dyDescent="0.25">
      <c r="B44" s="1" t="s">
        <v>58</v>
      </c>
      <c r="C44" s="15">
        <v>52285</v>
      </c>
      <c r="D44" s="1">
        <v>52285</v>
      </c>
      <c r="E44" s="13">
        <f t="shared" si="0"/>
        <v>0</v>
      </c>
      <c r="F44" s="13"/>
      <c r="G44" s="4"/>
    </row>
    <row r="45" spans="2:7" x14ac:dyDescent="0.25">
      <c r="B45" s="72" t="s">
        <v>193</v>
      </c>
      <c r="C45" s="73">
        <v>34065</v>
      </c>
      <c r="D45" s="71">
        <v>33528</v>
      </c>
      <c r="E45" s="74">
        <f t="shared" si="0"/>
        <v>537</v>
      </c>
      <c r="F45" s="74"/>
      <c r="G45" s="71" t="s">
        <v>251</v>
      </c>
    </row>
    <row r="46" spans="2:7" x14ac:dyDescent="0.25">
      <c r="B46" s="72" t="s">
        <v>193</v>
      </c>
      <c r="C46" s="73">
        <v>129070</v>
      </c>
      <c r="D46" s="71">
        <v>128590</v>
      </c>
      <c r="E46" s="74">
        <f t="shared" si="0"/>
        <v>480</v>
      </c>
      <c r="F46" s="74"/>
      <c r="G46" s="71" t="s">
        <v>255</v>
      </c>
    </row>
    <row r="47" spans="2:7" x14ac:dyDescent="0.25">
      <c r="B47" s="72" t="s">
        <v>192</v>
      </c>
      <c r="C47" s="73">
        <v>20265</v>
      </c>
      <c r="D47" s="71">
        <v>20070</v>
      </c>
      <c r="E47" s="74">
        <f t="shared" si="0"/>
        <v>195</v>
      </c>
      <c r="F47" s="74"/>
      <c r="G47" s="71" t="s">
        <v>250</v>
      </c>
    </row>
    <row r="48" spans="2:7" x14ac:dyDescent="0.25">
      <c r="B48" s="75" t="s">
        <v>194</v>
      </c>
      <c r="C48" s="73">
        <v>46030</v>
      </c>
      <c r="D48" s="71">
        <v>45495</v>
      </c>
      <c r="E48" s="74">
        <f t="shared" si="0"/>
        <v>535</v>
      </c>
      <c r="F48" s="74"/>
      <c r="G48" s="71" t="s">
        <v>254</v>
      </c>
    </row>
    <row r="49" spans="2:7" x14ac:dyDescent="0.25">
      <c r="B49" s="72" t="s">
        <v>195</v>
      </c>
      <c r="C49" s="73">
        <v>41335</v>
      </c>
      <c r="D49" s="71">
        <v>41065</v>
      </c>
      <c r="E49" s="74">
        <f t="shared" si="0"/>
        <v>270</v>
      </c>
      <c r="F49" s="74"/>
      <c r="G49" s="71" t="s">
        <v>252</v>
      </c>
    </row>
    <row r="50" spans="2:7" x14ac:dyDescent="0.25">
      <c r="B50" s="72" t="s">
        <v>196</v>
      </c>
      <c r="C50" s="73">
        <v>58569</v>
      </c>
      <c r="D50" s="71">
        <v>57099</v>
      </c>
      <c r="E50" s="74">
        <f t="shared" si="0"/>
        <v>1470</v>
      </c>
      <c r="F50" s="74"/>
      <c r="G50" s="71" t="s">
        <v>253</v>
      </c>
    </row>
    <row r="51" spans="2:7" x14ac:dyDescent="0.25">
      <c r="B51" s="70" t="s">
        <v>197</v>
      </c>
      <c r="C51" s="15">
        <v>64110</v>
      </c>
      <c r="D51" s="1">
        <v>62015</v>
      </c>
      <c r="E51" s="13">
        <f t="shared" si="0"/>
        <v>2095</v>
      </c>
      <c r="F51" s="13"/>
      <c r="G51" s="4"/>
    </row>
    <row r="52" spans="2:7" x14ac:dyDescent="0.25">
      <c r="B52" s="72" t="s">
        <v>198</v>
      </c>
      <c r="C52" s="73">
        <v>54750</v>
      </c>
      <c r="D52" s="71">
        <v>54635</v>
      </c>
      <c r="E52" s="74">
        <f t="shared" si="0"/>
        <v>115</v>
      </c>
      <c r="F52" s="74"/>
      <c r="G52" s="71" t="s">
        <v>256</v>
      </c>
    </row>
    <row r="53" spans="2:7" x14ac:dyDescent="0.25">
      <c r="B53" s="72" t="s">
        <v>199</v>
      </c>
      <c r="C53" s="73">
        <v>62158</v>
      </c>
      <c r="D53" s="71">
        <v>61743</v>
      </c>
      <c r="E53" s="74">
        <f t="shared" si="0"/>
        <v>415</v>
      </c>
      <c r="F53" s="74"/>
      <c r="G53" s="71" t="s">
        <v>257</v>
      </c>
    </row>
    <row r="54" spans="2:7" x14ac:dyDescent="0.25">
      <c r="B54" s="72" t="s">
        <v>200</v>
      </c>
      <c r="C54" s="73">
        <v>67995</v>
      </c>
      <c r="D54" s="71">
        <v>66915</v>
      </c>
      <c r="E54" s="74">
        <f t="shared" si="0"/>
        <v>1080</v>
      </c>
      <c r="F54" s="74"/>
      <c r="G54" s="71" t="s">
        <v>260</v>
      </c>
    </row>
    <row r="55" spans="2:7" x14ac:dyDescent="0.25">
      <c r="B55" s="70" t="s">
        <v>200</v>
      </c>
      <c r="C55" s="15">
        <v>11746</v>
      </c>
      <c r="D55" s="1">
        <v>11746</v>
      </c>
      <c r="E55" s="13">
        <f t="shared" si="0"/>
        <v>0</v>
      </c>
      <c r="F55" s="13"/>
      <c r="G55" s="4"/>
    </row>
    <row r="56" spans="2:7" x14ac:dyDescent="0.25">
      <c r="B56" s="72" t="s">
        <v>201</v>
      </c>
      <c r="C56" s="73">
        <v>31960</v>
      </c>
      <c r="D56" s="71">
        <v>31960</v>
      </c>
      <c r="E56" s="74">
        <f t="shared" si="0"/>
        <v>0</v>
      </c>
      <c r="F56" s="74"/>
      <c r="G56" s="71" t="s">
        <v>259</v>
      </c>
    </row>
    <row r="57" spans="2:7" x14ac:dyDescent="0.25">
      <c r="B57" s="72" t="s">
        <v>202</v>
      </c>
      <c r="C57" s="73">
        <v>57020</v>
      </c>
      <c r="D57" s="71">
        <v>57020</v>
      </c>
      <c r="E57" s="74">
        <f t="shared" si="0"/>
        <v>0</v>
      </c>
      <c r="F57" s="74"/>
      <c r="G57" s="71" t="s">
        <v>258</v>
      </c>
    </row>
    <row r="58" spans="2:7" x14ac:dyDescent="0.25">
      <c r="B58" s="70" t="s">
        <v>203</v>
      </c>
      <c r="C58" s="15">
        <v>28515</v>
      </c>
      <c r="D58" s="1">
        <v>29225</v>
      </c>
      <c r="E58" s="13">
        <f t="shared" si="0"/>
        <v>-710</v>
      </c>
      <c r="F58" s="13"/>
      <c r="G58" s="4"/>
    </row>
    <row r="59" spans="2:7" x14ac:dyDescent="0.25">
      <c r="B59" s="70" t="s">
        <v>204</v>
      </c>
      <c r="C59" s="15">
        <v>34230</v>
      </c>
      <c r="D59" s="1">
        <v>34230</v>
      </c>
      <c r="E59" s="13">
        <f t="shared" si="0"/>
        <v>0</v>
      </c>
      <c r="F59" s="13"/>
      <c r="G59" s="4"/>
    </row>
    <row r="60" spans="2:7" x14ac:dyDescent="0.25">
      <c r="C60" s="69">
        <f>SUM(C2:C59)</f>
        <v>2822838</v>
      </c>
      <c r="D60" s="29">
        <f>SUM(D2:D59)</f>
        <v>2809318</v>
      </c>
      <c r="E60" s="69">
        <f>SUM(E2:E59)</f>
        <v>13520</v>
      </c>
      <c r="F60" s="69"/>
    </row>
    <row r="63" spans="2:7" x14ac:dyDescent="0.25">
      <c r="G63" t="s">
        <v>261</v>
      </c>
    </row>
    <row r="66" spans="5:7" x14ac:dyDescent="0.25">
      <c r="G66" t="s">
        <v>262</v>
      </c>
    </row>
    <row r="72" spans="5:7" x14ac:dyDescent="0.25">
      <c r="E72" s="37">
        <v>46114</v>
      </c>
      <c r="F72">
        <v>45698</v>
      </c>
    </row>
    <row r="74" spans="5:7" x14ac:dyDescent="0.25">
      <c r="G74" t="s">
        <v>263</v>
      </c>
    </row>
    <row r="79" spans="5:7" x14ac:dyDescent="0.25">
      <c r="G79">
        <v>5075</v>
      </c>
    </row>
    <row r="80" spans="5:7" x14ac:dyDescent="0.25">
      <c r="G80">
        <v>13520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5CDA-E0CB-41CC-AB8D-1A3029A3654C}">
  <dimension ref="A1:L225"/>
  <sheetViews>
    <sheetView tabSelected="1" topLeftCell="A193" workbookViewId="0">
      <selection activeCell="G211" sqref="G211"/>
    </sheetView>
  </sheetViews>
  <sheetFormatPr defaultRowHeight="15" x14ac:dyDescent="0.25"/>
  <cols>
    <col min="1" max="1" width="14.85546875" style="81" customWidth="1"/>
    <col min="2" max="2" width="34.42578125" customWidth="1"/>
    <col min="3" max="3" width="20.28515625" style="14" customWidth="1"/>
    <col min="4" max="4" width="19.28515625" style="14" customWidth="1"/>
    <col min="5" max="5" width="23.42578125" style="14" customWidth="1"/>
    <col min="7" max="7" width="17.140625" customWidth="1"/>
    <col min="8" max="8" width="30.140625" customWidth="1"/>
    <col min="9" max="9" width="12.5703125" style="14" customWidth="1"/>
    <col min="10" max="10" width="12.28515625" style="14" customWidth="1"/>
    <col min="11" max="11" width="12.85546875" style="77" customWidth="1"/>
  </cols>
  <sheetData>
    <row r="1" spans="1:7" x14ac:dyDescent="0.25">
      <c r="A1" s="84"/>
      <c r="B1" s="85"/>
      <c r="C1" s="86"/>
      <c r="D1" s="86"/>
      <c r="E1" s="86"/>
    </row>
    <row r="2" spans="1:7" x14ac:dyDescent="0.25">
      <c r="A2" s="82" t="s">
        <v>208</v>
      </c>
      <c r="B2" s="34" t="s">
        <v>264</v>
      </c>
      <c r="C2" s="76" t="s">
        <v>265</v>
      </c>
      <c r="D2" s="76" t="s">
        <v>266</v>
      </c>
      <c r="E2" s="78" t="s">
        <v>267</v>
      </c>
      <c r="F2" s="87" t="s">
        <v>210</v>
      </c>
      <c r="G2" s="87" t="s">
        <v>345</v>
      </c>
    </row>
    <row r="3" spans="1:7" x14ac:dyDescent="0.25">
      <c r="A3" s="80">
        <v>45717</v>
      </c>
      <c r="B3" s="4" t="s">
        <v>325</v>
      </c>
      <c r="C3" s="22">
        <v>30000</v>
      </c>
      <c r="D3" s="53"/>
      <c r="E3" s="7">
        <f>C3+D3</f>
        <v>30000</v>
      </c>
      <c r="F3" s="4"/>
      <c r="G3" s="4"/>
    </row>
    <row r="4" spans="1:7" x14ac:dyDescent="0.25">
      <c r="A4" s="80">
        <v>45721</v>
      </c>
      <c r="B4" s="4" t="s">
        <v>325</v>
      </c>
      <c r="C4" s="22">
        <v>10000</v>
      </c>
      <c r="D4" s="53"/>
      <c r="E4" s="7">
        <f>E3+C4-D4</f>
        <v>40000</v>
      </c>
      <c r="F4" s="4"/>
      <c r="G4" s="4"/>
    </row>
    <row r="5" spans="1:7" x14ac:dyDescent="0.25">
      <c r="A5" s="80">
        <v>45721</v>
      </c>
      <c r="B5" s="4" t="s">
        <v>16</v>
      </c>
      <c r="C5" s="53"/>
      <c r="D5" s="22">
        <v>38675</v>
      </c>
      <c r="E5" s="7">
        <f t="shared" ref="E5:E68" si="0">E4+C5-D5</f>
        <v>1325</v>
      </c>
      <c r="F5" s="4"/>
      <c r="G5" s="4"/>
    </row>
    <row r="6" spans="1:7" x14ac:dyDescent="0.25">
      <c r="A6" s="80">
        <v>45729</v>
      </c>
      <c r="B6" s="4" t="s">
        <v>325</v>
      </c>
      <c r="C6" s="22">
        <v>30000</v>
      </c>
      <c r="D6" s="53"/>
      <c r="E6" s="7">
        <f t="shared" si="0"/>
        <v>31325</v>
      </c>
      <c r="F6" s="4"/>
      <c r="G6" s="4"/>
    </row>
    <row r="7" spans="1:7" x14ac:dyDescent="0.25">
      <c r="A7" s="80">
        <v>46109</v>
      </c>
      <c r="B7" s="4" t="s">
        <v>326</v>
      </c>
      <c r="C7" s="22">
        <v>762</v>
      </c>
      <c r="D7" s="53"/>
      <c r="E7" s="7">
        <f t="shared" si="0"/>
        <v>32087</v>
      </c>
      <c r="F7" s="4"/>
      <c r="G7" s="4"/>
    </row>
    <row r="8" spans="1:7" x14ac:dyDescent="0.25">
      <c r="A8" s="80">
        <v>46123</v>
      </c>
      <c r="B8" s="4" t="s">
        <v>17</v>
      </c>
      <c r="C8" s="53"/>
      <c r="D8" s="22">
        <v>15465</v>
      </c>
      <c r="E8" s="7">
        <f t="shared" si="0"/>
        <v>16622</v>
      </c>
      <c r="F8" s="4"/>
      <c r="G8" s="4"/>
    </row>
    <row r="9" spans="1:7" x14ac:dyDescent="0.25">
      <c r="A9" s="80">
        <v>45761</v>
      </c>
      <c r="B9" s="4" t="s">
        <v>327</v>
      </c>
      <c r="C9" s="53"/>
      <c r="D9" s="22">
        <v>480</v>
      </c>
      <c r="E9" s="7">
        <f t="shared" si="0"/>
        <v>16142</v>
      </c>
      <c r="F9" s="4"/>
      <c r="G9" s="4"/>
    </row>
    <row r="10" spans="1:7" x14ac:dyDescent="0.25">
      <c r="A10" s="80">
        <v>45796</v>
      </c>
      <c r="B10" s="4"/>
      <c r="C10" s="13"/>
      <c r="D10" s="13">
        <v>0</v>
      </c>
      <c r="E10" s="7">
        <f t="shared" si="0"/>
        <v>16142</v>
      </c>
      <c r="F10" s="4"/>
      <c r="G10" s="4"/>
    </row>
    <row r="11" spans="1:7" x14ac:dyDescent="0.25">
      <c r="A11" s="80">
        <v>45806</v>
      </c>
      <c r="B11" s="4" t="s">
        <v>316</v>
      </c>
      <c r="C11" s="53"/>
      <c r="D11" s="22">
        <v>11628</v>
      </c>
      <c r="E11" s="7">
        <f t="shared" si="0"/>
        <v>4514</v>
      </c>
      <c r="F11" s="4"/>
      <c r="G11" s="4"/>
    </row>
    <row r="12" spans="1:7" x14ac:dyDescent="0.25">
      <c r="A12" s="80">
        <v>45818</v>
      </c>
      <c r="B12" s="4" t="s">
        <v>316</v>
      </c>
      <c r="C12" s="53"/>
      <c r="D12" s="22">
        <v>16720</v>
      </c>
      <c r="E12" s="7">
        <f t="shared" si="0"/>
        <v>-12206</v>
      </c>
      <c r="F12" s="4"/>
      <c r="G12" s="4"/>
    </row>
    <row r="13" spans="1:7" x14ac:dyDescent="0.25">
      <c r="A13" s="80">
        <v>45819</v>
      </c>
      <c r="B13" s="4" t="s">
        <v>325</v>
      </c>
      <c r="C13" s="22">
        <v>20000</v>
      </c>
      <c r="D13" s="53"/>
      <c r="E13" s="7">
        <f t="shared" si="0"/>
        <v>7794</v>
      </c>
      <c r="F13" s="4"/>
      <c r="G13" s="4"/>
    </row>
    <row r="14" spans="1:7" x14ac:dyDescent="0.25">
      <c r="A14" s="80">
        <v>45824</v>
      </c>
      <c r="B14" s="4" t="s">
        <v>325</v>
      </c>
      <c r="C14" s="22">
        <v>20000</v>
      </c>
      <c r="D14" s="53"/>
      <c r="E14" s="7">
        <f t="shared" si="0"/>
        <v>27794</v>
      </c>
      <c r="F14" s="4"/>
      <c r="G14" s="4"/>
    </row>
    <row r="15" spans="1:7" x14ac:dyDescent="0.25">
      <c r="A15" s="80">
        <v>45838</v>
      </c>
      <c r="B15" s="4" t="s">
        <v>325</v>
      </c>
      <c r="C15" s="22">
        <v>20000</v>
      </c>
      <c r="D15" s="53"/>
      <c r="E15" s="7">
        <f t="shared" si="0"/>
        <v>47794</v>
      </c>
      <c r="F15" s="4"/>
      <c r="G15" s="4"/>
    </row>
    <row r="16" spans="1:7" x14ac:dyDescent="0.25">
      <c r="A16" s="80">
        <v>45842</v>
      </c>
      <c r="B16" s="4" t="s">
        <v>325</v>
      </c>
      <c r="C16" s="22">
        <v>20000</v>
      </c>
      <c r="D16" s="53"/>
      <c r="E16" s="7">
        <f t="shared" si="0"/>
        <v>67794</v>
      </c>
      <c r="F16" s="4"/>
      <c r="G16" s="4"/>
    </row>
    <row r="17" spans="1:7" x14ac:dyDescent="0.25">
      <c r="A17" s="80">
        <v>45842</v>
      </c>
      <c r="B17" s="4" t="s">
        <v>325</v>
      </c>
      <c r="C17" s="22">
        <v>15000</v>
      </c>
      <c r="D17" s="53"/>
      <c r="E17" s="7">
        <f t="shared" si="0"/>
        <v>82794</v>
      </c>
      <c r="F17" s="4"/>
      <c r="G17" s="4"/>
    </row>
    <row r="18" spans="1:7" x14ac:dyDescent="0.25">
      <c r="A18" s="80">
        <v>45845</v>
      </c>
      <c r="B18" s="4" t="s">
        <v>316</v>
      </c>
      <c r="C18" s="53"/>
      <c r="D18" s="22">
        <v>21070</v>
      </c>
      <c r="E18" s="7">
        <f t="shared" si="0"/>
        <v>61724</v>
      </c>
      <c r="F18" s="4"/>
      <c r="G18" s="4"/>
    </row>
    <row r="19" spans="1:7" x14ac:dyDescent="0.25">
      <c r="A19" s="80">
        <v>45850</v>
      </c>
      <c r="B19" s="4" t="s">
        <v>316</v>
      </c>
      <c r="C19" s="53"/>
      <c r="D19" s="22">
        <v>39190</v>
      </c>
      <c r="E19" s="7">
        <f t="shared" si="0"/>
        <v>22534</v>
      </c>
      <c r="F19" s="4">
        <v>400</v>
      </c>
      <c r="G19" s="4" t="s">
        <v>135</v>
      </c>
    </row>
    <row r="20" spans="1:7" x14ac:dyDescent="0.25">
      <c r="A20" s="80">
        <v>45851</v>
      </c>
      <c r="B20" s="4" t="s">
        <v>325</v>
      </c>
      <c r="C20" s="22">
        <v>20000</v>
      </c>
      <c r="D20" s="53"/>
      <c r="E20" s="7">
        <f t="shared" si="0"/>
        <v>42534</v>
      </c>
      <c r="F20" s="4"/>
      <c r="G20" s="4"/>
    </row>
    <row r="21" spans="1:7" x14ac:dyDescent="0.25">
      <c r="A21" s="80">
        <v>45852</v>
      </c>
      <c r="B21" s="4" t="s">
        <v>325</v>
      </c>
      <c r="C21" s="22">
        <v>20000</v>
      </c>
      <c r="D21" s="53"/>
      <c r="E21" s="7">
        <f t="shared" si="0"/>
        <v>62534</v>
      </c>
      <c r="F21" s="4"/>
      <c r="G21" s="4"/>
    </row>
    <row r="22" spans="1:7" x14ac:dyDescent="0.25">
      <c r="A22" s="80">
        <v>45859</v>
      </c>
      <c r="B22" s="4" t="s">
        <v>325</v>
      </c>
      <c r="C22" s="22">
        <v>40000</v>
      </c>
      <c r="D22" s="53"/>
      <c r="E22" s="7">
        <f t="shared" si="0"/>
        <v>102534</v>
      </c>
      <c r="F22" s="4"/>
      <c r="G22" s="4"/>
    </row>
    <row r="23" spans="1:7" x14ac:dyDescent="0.25">
      <c r="A23" s="80">
        <v>45859</v>
      </c>
      <c r="B23" s="4" t="s">
        <v>316</v>
      </c>
      <c r="C23" s="53"/>
      <c r="D23" s="22">
        <v>46940</v>
      </c>
      <c r="E23" s="7">
        <f t="shared" si="0"/>
        <v>55594</v>
      </c>
      <c r="F23" s="4"/>
      <c r="G23" s="4"/>
    </row>
    <row r="24" spans="1:7" x14ac:dyDescent="0.25">
      <c r="A24" s="80">
        <v>45862</v>
      </c>
      <c r="B24" s="4" t="s">
        <v>325</v>
      </c>
      <c r="C24" s="22">
        <v>30000</v>
      </c>
      <c r="D24" s="53"/>
      <c r="E24" s="7">
        <f t="shared" si="0"/>
        <v>85594</v>
      </c>
      <c r="F24" s="4"/>
      <c r="G24" s="4"/>
    </row>
    <row r="25" spans="1:7" x14ac:dyDescent="0.25">
      <c r="A25" s="80">
        <v>45863</v>
      </c>
      <c r="B25" s="4" t="s">
        <v>316</v>
      </c>
      <c r="C25" s="53"/>
      <c r="D25" s="22">
        <v>21975</v>
      </c>
      <c r="E25" s="7">
        <f t="shared" si="0"/>
        <v>63619</v>
      </c>
      <c r="F25" s="4">
        <v>-60</v>
      </c>
      <c r="G25" s="4" t="s">
        <v>135</v>
      </c>
    </row>
    <row r="26" spans="1:7" x14ac:dyDescent="0.25">
      <c r="A26" s="80">
        <v>45864</v>
      </c>
      <c r="B26" s="4" t="s">
        <v>325</v>
      </c>
      <c r="C26" s="22">
        <v>50000</v>
      </c>
      <c r="D26" s="53"/>
      <c r="E26" s="7">
        <f t="shared" si="0"/>
        <v>113619</v>
      </c>
      <c r="F26" s="4"/>
      <c r="G26" s="4"/>
    </row>
    <row r="27" spans="1:7" x14ac:dyDescent="0.25">
      <c r="A27" s="80">
        <v>45870</v>
      </c>
      <c r="B27" s="4" t="s">
        <v>325</v>
      </c>
      <c r="C27" s="22">
        <v>30000</v>
      </c>
      <c r="D27" s="53"/>
      <c r="E27" s="7">
        <f t="shared" si="0"/>
        <v>143619</v>
      </c>
      <c r="F27" s="4"/>
      <c r="G27" s="4"/>
    </row>
    <row r="28" spans="1:7" x14ac:dyDescent="0.25">
      <c r="A28" s="80">
        <v>45871</v>
      </c>
      <c r="B28" s="4" t="s">
        <v>316</v>
      </c>
      <c r="C28" s="53"/>
      <c r="D28" s="22">
        <v>39895</v>
      </c>
      <c r="E28" s="7">
        <f t="shared" si="0"/>
        <v>103724</v>
      </c>
      <c r="F28" s="4">
        <v>-490</v>
      </c>
      <c r="G28" s="4" t="s">
        <v>135</v>
      </c>
    </row>
    <row r="29" spans="1:7" x14ac:dyDescent="0.25">
      <c r="A29" s="80">
        <v>45874</v>
      </c>
      <c r="B29" s="4" t="s">
        <v>316</v>
      </c>
      <c r="C29" s="53"/>
      <c r="D29" s="22">
        <v>42360</v>
      </c>
      <c r="E29" s="7">
        <f t="shared" si="0"/>
        <v>61364</v>
      </c>
      <c r="F29" s="4">
        <v>725</v>
      </c>
      <c r="G29" s="4" t="s">
        <v>135</v>
      </c>
    </row>
    <row r="30" spans="1:7" x14ac:dyDescent="0.25">
      <c r="A30" s="80">
        <v>45878</v>
      </c>
      <c r="B30" s="4" t="s">
        <v>325</v>
      </c>
      <c r="C30" s="22">
        <v>20000</v>
      </c>
      <c r="D30" s="53"/>
      <c r="E30" s="7">
        <f t="shared" si="0"/>
        <v>81364</v>
      </c>
      <c r="F30" s="4"/>
      <c r="G30" s="4"/>
    </row>
    <row r="31" spans="1:7" x14ac:dyDescent="0.25">
      <c r="A31" s="80">
        <v>45884</v>
      </c>
      <c r="B31" s="4" t="s">
        <v>325</v>
      </c>
      <c r="C31" s="22">
        <v>20000</v>
      </c>
      <c r="D31" s="53"/>
      <c r="E31" s="7">
        <f t="shared" si="0"/>
        <v>101364</v>
      </c>
      <c r="F31" s="4"/>
      <c r="G31" s="4"/>
    </row>
    <row r="32" spans="1:7" x14ac:dyDescent="0.25">
      <c r="A32" s="80">
        <v>45889</v>
      </c>
      <c r="B32" s="4" t="s">
        <v>328</v>
      </c>
      <c r="C32" s="22">
        <v>5555</v>
      </c>
      <c r="D32" s="53"/>
      <c r="E32" s="7">
        <f t="shared" si="0"/>
        <v>106919</v>
      </c>
      <c r="F32" s="4"/>
      <c r="G32" s="4"/>
    </row>
    <row r="33" spans="1:7" x14ac:dyDescent="0.25">
      <c r="A33" s="80">
        <v>45891</v>
      </c>
      <c r="B33" s="4" t="s">
        <v>325</v>
      </c>
      <c r="C33" s="22">
        <v>30000</v>
      </c>
      <c r="D33" s="53"/>
      <c r="E33" s="7">
        <f t="shared" si="0"/>
        <v>136919</v>
      </c>
      <c r="F33" s="4"/>
      <c r="G33" s="4"/>
    </row>
    <row r="34" spans="1:7" x14ac:dyDescent="0.25">
      <c r="A34" s="80">
        <v>45891</v>
      </c>
      <c r="B34" s="4" t="s">
        <v>329</v>
      </c>
      <c r="C34" s="53"/>
      <c r="D34" s="22">
        <v>5000</v>
      </c>
      <c r="E34" s="7">
        <f t="shared" si="0"/>
        <v>131919</v>
      </c>
      <c r="F34" s="4">
        <v>35</v>
      </c>
      <c r="G34" s="4" t="s">
        <v>343</v>
      </c>
    </row>
    <row r="35" spans="1:7" x14ac:dyDescent="0.25">
      <c r="A35" s="80">
        <v>45894</v>
      </c>
      <c r="B35" s="4" t="s">
        <v>316</v>
      </c>
      <c r="C35" s="53"/>
      <c r="D35" s="22">
        <v>52960</v>
      </c>
      <c r="E35" s="7">
        <f t="shared" si="0"/>
        <v>78959</v>
      </c>
      <c r="F35" s="4">
        <v>-40</v>
      </c>
      <c r="G35" s="4" t="s">
        <v>135</v>
      </c>
    </row>
    <row r="36" spans="1:7" x14ac:dyDescent="0.25">
      <c r="A36" s="80">
        <v>45895</v>
      </c>
      <c r="B36" s="4" t="s">
        <v>325</v>
      </c>
      <c r="C36" s="22">
        <v>25000</v>
      </c>
      <c r="D36" s="53"/>
      <c r="E36" s="7">
        <f t="shared" si="0"/>
        <v>103959</v>
      </c>
      <c r="F36" s="4"/>
      <c r="G36" s="4"/>
    </row>
    <row r="37" spans="1:7" x14ac:dyDescent="0.25">
      <c r="A37" s="80">
        <v>45899</v>
      </c>
      <c r="B37" s="4" t="s">
        <v>325</v>
      </c>
      <c r="C37" s="22">
        <v>30000</v>
      </c>
      <c r="D37" s="53"/>
      <c r="E37" s="7">
        <f t="shared" si="0"/>
        <v>133959</v>
      </c>
      <c r="F37" s="4"/>
      <c r="G37" s="4"/>
    </row>
    <row r="38" spans="1:7" x14ac:dyDescent="0.25">
      <c r="A38" s="80">
        <v>45902</v>
      </c>
      <c r="B38" s="4" t="s">
        <v>316</v>
      </c>
      <c r="C38" s="53"/>
      <c r="D38" s="22">
        <v>41030</v>
      </c>
      <c r="E38" s="7">
        <f t="shared" si="0"/>
        <v>92929</v>
      </c>
      <c r="F38" s="4">
        <v>1455</v>
      </c>
      <c r="G38" s="4" t="s">
        <v>135</v>
      </c>
    </row>
    <row r="39" spans="1:7" x14ac:dyDescent="0.25">
      <c r="A39" s="80">
        <v>45905</v>
      </c>
      <c r="B39" s="4" t="s">
        <v>325</v>
      </c>
      <c r="C39" s="22">
        <v>20000</v>
      </c>
      <c r="D39" s="53"/>
      <c r="E39" s="7">
        <f t="shared" si="0"/>
        <v>112929</v>
      </c>
      <c r="F39" s="4"/>
      <c r="G39" s="4"/>
    </row>
    <row r="40" spans="1:7" x14ac:dyDescent="0.25">
      <c r="A40" s="80">
        <v>45906</v>
      </c>
      <c r="B40" s="4" t="s">
        <v>330</v>
      </c>
      <c r="C40" s="53"/>
      <c r="D40" s="22">
        <v>5000</v>
      </c>
      <c r="E40" s="7">
        <f t="shared" si="0"/>
        <v>107929</v>
      </c>
      <c r="F40" s="4"/>
      <c r="G40" s="4"/>
    </row>
    <row r="41" spans="1:7" x14ac:dyDescent="0.25">
      <c r="A41" s="80">
        <v>45908</v>
      </c>
      <c r="B41" s="4" t="s">
        <v>316</v>
      </c>
      <c r="C41" s="53"/>
      <c r="D41" s="22">
        <v>29920</v>
      </c>
      <c r="E41" s="7">
        <f t="shared" si="0"/>
        <v>78009</v>
      </c>
      <c r="F41" s="4">
        <v>-1810</v>
      </c>
      <c r="G41" s="4" t="s">
        <v>135</v>
      </c>
    </row>
    <row r="42" spans="1:7" x14ac:dyDescent="0.25">
      <c r="A42" s="80">
        <v>45908</v>
      </c>
      <c r="B42" s="4" t="s">
        <v>329</v>
      </c>
      <c r="C42" s="53"/>
      <c r="D42" s="22">
        <v>25000</v>
      </c>
      <c r="E42" s="7">
        <f t="shared" si="0"/>
        <v>53009</v>
      </c>
      <c r="F42" s="4"/>
      <c r="G42" s="4"/>
    </row>
    <row r="43" spans="1:7" x14ac:dyDescent="0.25">
      <c r="A43" s="80">
        <v>45909</v>
      </c>
      <c r="B43" s="4" t="s">
        <v>325</v>
      </c>
      <c r="C43" s="22">
        <v>34100</v>
      </c>
      <c r="D43" s="53"/>
      <c r="E43" s="7">
        <f t="shared" si="0"/>
        <v>87109</v>
      </c>
      <c r="F43" s="4"/>
      <c r="G43" s="4"/>
    </row>
    <row r="44" spans="1:7" x14ac:dyDescent="0.25">
      <c r="A44" s="80">
        <v>45910</v>
      </c>
      <c r="B44" s="4" t="s">
        <v>330</v>
      </c>
      <c r="C44" s="53"/>
      <c r="D44" s="22">
        <v>20000</v>
      </c>
      <c r="E44" s="7">
        <f t="shared" si="0"/>
        <v>67109</v>
      </c>
      <c r="F44" s="4"/>
      <c r="G44" s="4"/>
    </row>
    <row r="45" spans="1:7" x14ac:dyDescent="0.25">
      <c r="A45" s="80">
        <v>45914</v>
      </c>
      <c r="B45" s="4" t="s">
        <v>331</v>
      </c>
      <c r="C45" s="53"/>
      <c r="D45" s="22">
        <v>10000</v>
      </c>
      <c r="E45" s="7">
        <f t="shared" si="0"/>
        <v>57109</v>
      </c>
      <c r="F45" s="4"/>
      <c r="G45" s="4"/>
    </row>
    <row r="46" spans="1:7" x14ac:dyDescent="0.25">
      <c r="A46" s="80">
        <v>45919</v>
      </c>
      <c r="B46" s="4" t="s">
        <v>325</v>
      </c>
      <c r="C46" s="22">
        <v>40000</v>
      </c>
      <c r="D46" s="53"/>
      <c r="E46" s="7">
        <f t="shared" si="0"/>
        <v>97109</v>
      </c>
      <c r="F46" s="4"/>
      <c r="G46" s="4"/>
    </row>
    <row r="47" spans="1:7" x14ac:dyDescent="0.25">
      <c r="A47" s="80">
        <v>45921</v>
      </c>
      <c r="B47" s="4" t="s">
        <v>325</v>
      </c>
      <c r="C47" s="22">
        <v>20000</v>
      </c>
      <c r="D47" s="53"/>
      <c r="E47" s="7">
        <f t="shared" si="0"/>
        <v>117109</v>
      </c>
      <c r="F47" s="4"/>
      <c r="G47" s="4"/>
    </row>
    <row r="48" spans="1:7" x14ac:dyDescent="0.25">
      <c r="A48" s="80">
        <v>45924</v>
      </c>
      <c r="B48" s="4" t="s">
        <v>325</v>
      </c>
      <c r="C48" s="22">
        <v>30000</v>
      </c>
      <c r="D48" s="53"/>
      <c r="E48" s="7">
        <f t="shared" si="0"/>
        <v>147109</v>
      </c>
      <c r="F48" s="4"/>
      <c r="G48" s="4"/>
    </row>
    <row r="49" spans="1:7" x14ac:dyDescent="0.25">
      <c r="A49" s="80">
        <v>45924</v>
      </c>
      <c r="B49" s="4" t="s">
        <v>332</v>
      </c>
      <c r="C49" s="53"/>
      <c r="D49" s="22">
        <v>5000</v>
      </c>
      <c r="E49" s="7">
        <f t="shared" si="0"/>
        <v>142109</v>
      </c>
      <c r="F49" s="4"/>
      <c r="G49" s="4"/>
    </row>
    <row r="50" spans="1:7" x14ac:dyDescent="0.25">
      <c r="A50" s="80">
        <v>45926</v>
      </c>
      <c r="B50" s="4" t="s">
        <v>333</v>
      </c>
      <c r="C50" s="53"/>
      <c r="D50" s="22">
        <v>11975</v>
      </c>
      <c r="E50" s="7">
        <f t="shared" si="0"/>
        <v>130134</v>
      </c>
      <c r="F50" s="4">
        <v>25</v>
      </c>
      <c r="G50" s="4" t="s">
        <v>343</v>
      </c>
    </row>
    <row r="51" spans="1:7" x14ac:dyDescent="0.25">
      <c r="A51" s="80">
        <v>45930</v>
      </c>
      <c r="B51" s="4" t="s">
        <v>325</v>
      </c>
      <c r="C51" s="22">
        <v>25000</v>
      </c>
      <c r="D51" s="53"/>
      <c r="E51" s="7">
        <f t="shared" si="0"/>
        <v>155134</v>
      </c>
      <c r="F51" s="4"/>
      <c r="G51" s="4"/>
    </row>
    <row r="52" spans="1:7" x14ac:dyDescent="0.25">
      <c r="A52" s="80">
        <v>45930</v>
      </c>
      <c r="B52" s="4" t="s">
        <v>325</v>
      </c>
      <c r="C52" s="22">
        <v>30000</v>
      </c>
      <c r="D52" s="53"/>
      <c r="E52" s="7">
        <f t="shared" si="0"/>
        <v>185134</v>
      </c>
      <c r="F52" s="4"/>
      <c r="G52" s="4"/>
    </row>
    <row r="53" spans="1:7" x14ac:dyDescent="0.25">
      <c r="A53" s="80">
        <v>45932</v>
      </c>
      <c r="B53" s="4" t="s">
        <v>316</v>
      </c>
      <c r="C53" s="53"/>
      <c r="D53" s="22">
        <v>43615</v>
      </c>
      <c r="E53" s="7">
        <f t="shared" si="0"/>
        <v>141519</v>
      </c>
      <c r="F53" s="4">
        <v>-410</v>
      </c>
      <c r="G53" s="4" t="s">
        <v>135</v>
      </c>
    </row>
    <row r="54" spans="1:7" x14ac:dyDescent="0.25">
      <c r="A54" s="80">
        <v>45933</v>
      </c>
      <c r="B54" s="4" t="s">
        <v>325</v>
      </c>
      <c r="C54" s="22">
        <v>30000</v>
      </c>
      <c r="D54" s="53"/>
      <c r="E54" s="7">
        <f t="shared" si="0"/>
        <v>171519</v>
      </c>
      <c r="F54" s="4"/>
      <c r="G54" s="4"/>
    </row>
    <row r="55" spans="1:7" x14ac:dyDescent="0.25">
      <c r="A55" s="80">
        <v>45933</v>
      </c>
      <c r="B55" s="4" t="s">
        <v>316</v>
      </c>
      <c r="C55" s="53"/>
      <c r="D55" s="22">
        <v>32175</v>
      </c>
      <c r="E55" s="7">
        <f t="shared" si="0"/>
        <v>139344</v>
      </c>
      <c r="F55" s="4">
        <v>345</v>
      </c>
      <c r="G55" s="4" t="s">
        <v>135</v>
      </c>
    </row>
    <row r="56" spans="1:7" x14ac:dyDescent="0.25">
      <c r="A56" s="80">
        <v>45934</v>
      </c>
      <c r="B56" s="4" t="s">
        <v>325</v>
      </c>
      <c r="C56" s="22">
        <v>25000</v>
      </c>
      <c r="D56" s="53"/>
      <c r="E56" s="7">
        <f t="shared" si="0"/>
        <v>164344</v>
      </c>
      <c r="F56" s="4"/>
      <c r="G56" s="4"/>
    </row>
    <row r="57" spans="1:7" x14ac:dyDescent="0.25">
      <c r="A57" s="80">
        <v>45936</v>
      </c>
      <c r="B57" s="4" t="s">
        <v>316</v>
      </c>
      <c r="C57" s="53"/>
      <c r="D57" s="22">
        <v>46575</v>
      </c>
      <c r="E57" s="7">
        <f t="shared" si="0"/>
        <v>117769</v>
      </c>
      <c r="F57" s="4">
        <v>-160</v>
      </c>
      <c r="G57" s="4" t="s">
        <v>135</v>
      </c>
    </row>
    <row r="58" spans="1:7" x14ac:dyDescent="0.25">
      <c r="A58" s="80">
        <v>45940</v>
      </c>
      <c r="B58" s="4" t="s">
        <v>325</v>
      </c>
      <c r="C58" s="22">
        <v>50000</v>
      </c>
      <c r="D58" s="53"/>
      <c r="E58" s="7">
        <f t="shared" si="0"/>
        <v>167769</v>
      </c>
      <c r="F58" s="4"/>
      <c r="G58" s="4"/>
    </row>
    <row r="59" spans="1:7" x14ac:dyDescent="0.25">
      <c r="A59" s="80">
        <v>45944</v>
      </c>
      <c r="B59" s="4" t="s">
        <v>316</v>
      </c>
      <c r="C59" s="53"/>
      <c r="D59" s="22">
        <v>55365</v>
      </c>
      <c r="E59" s="7">
        <f t="shared" si="0"/>
        <v>112404</v>
      </c>
      <c r="F59" s="4">
        <v>80</v>
      </c>
      <c r="G59" s="4" t="s">
        <v>135</v>
      </c>
    </row>
    <row r="60" spans="1:7" x14ac:dyDescent="0.25">
      <c r="A60" s="80">
        <v>45944</v>
      </c>
      <c r="B60" s="4" t="s">
        <v>332</v>
      </c>
      <c r="C60" s="53"/>
      <c r="D60" s="22">
        <v>3000</v>
      </c>
      <c r="E60" s="7">
        <f t="shared" si="0"/>
        <v>109404</v>
      </c>
      <c r="F60" s="4">
        <v>35</v>
      </c>
      <c r="G60" s="4" t="s">
        <v>343</v>
      </c>
    </row>
    <row r="61" spans="1:7" x14ac:dyDescent="0.25">
      <c r="A61" s="80">
        <v>45946</v>
      </c>
      <c r="B61" s="4" t="s">
        <v>325</v>
      </c>
      <c r="C61" s="22">
        <v>39500</v>
      </c>
      <c r="D61" s="53"/>
      <c r="E61" s="7">
        <f t="shared" si="0"/>
        <v>148904</v>
      </c>
      <c r="F61" s="4"/>
      <c r="G61" s="4"/>
    </row>
    <row r="62" spans="1:7" x14ac:dyDescent="0.25">
      <c r="A62" s="80">
        <v>45946</v>
      </c>
      <c r="B62" s="4" t="s">
        <v>325</v>
      </c>
      <c r="C62" s="22">
        <v>40000</v>
      </c>
      <c r="D62" s="53"/>
      <c r="E62" s="7">
        <f t="shared" si="0"/>
        <v>188904</v>
      </c>
      <c r="F62" s="4"/>
      <c r="G62" s="4"/>
    </row>
    <row r="63" spans="1:7" x14ac:dyDescent="0.25">
      <c r="A63" s="80">
        <v>45946</v>
      </c>
      <c r="B63" s="4" t="s">
        <v>325</v>
      </c>
      <c r="C63" s="22">
        <v>50000</v>
      </c>
      <c r="D63" s="53"/>
      <c r="E63" s="7">
        <f t="shared" si="0"/>
        <v>238904</v>
      </c>
      <c r="F63" s="4"/>
      <c r="G63" s="4"/>
    </row>
    <row r="64" spans="1:7" x14ac:dyDescent="0.25">
      <c r="A64" s="80">
        <v>45946</v>
      </c>
      <c r="B64" s="4" t="s">
        <v>334</v>
      </c>
      <c r="C64" s="53"/>
      <c r="D64" s="22">
        <v>30000</v>
      </c>
      <c r="E64" s="7">
        <f t="shared" si="0"/>
        <v>208904</v>
      </c>
      <c r="F64" s="4"/>
      <c r="G64" s="4"/>
    </row>
    <row r="65" spans="1:7" x14ac:dyDescent="0.25">
      <c r="A65" s="80">
        <v>45948</v>
      </c>
      <c r="B65" s="4" t="s">
        <v>316</v>
      </c>
      <c r="C65" s="53"/>
      <c r="D65" s="22">
        <v>62070</v>
      </c>
      <c r="E65" s="7">
        <f t="shared" si="0"/>
        <v>146834</v>
      </c>
      <c r="F65" s="4">
        <v>1527</v>
      </c>
      <c r="G65" s="4" t="s">
        <v>135</v>
      </c>
    </row>
    <row r="66" spans="1:7" x14ac:dyDescent="0.25">
      <c r="A66" s="80">
        <v>45950</v>
      </c>
      <c r="B66" s="4" t="s">
        <v>325</v>
      </c>
      <c r="C66" s="22">
        <v>50000</v>
      </c>
      <c r="D66" s="53"/>
      <c r="E66" s="7">
        <f t="shared" si="0"/>
        <v>196834</v>
      </c>
      <c r="F66" s="4"/>
      <c r="G66" s="4"/>
    </row>
    <row r="67" spans="1:7" x14ac:dyDescent="0.25">
      <c r="A67" s="80">
        <v>45950</v>
      </c>
      <c r="B67" s="4" t="s">
        <v>316</v>
      </c>
      <c r="C67" s="53"/>
      <c r="D67" s="22">
        <v>74417</v>
      </c>
      <c r="E67" s="7">
        <f t="shared" si="0"/>
        <v>122417</v>
      </c>
      <c r="F67" s="4">
        <v>113</v>
      </c>
      <c r="G67" s="4" t="s">
        <v>135</v>
      </c>
    </row>
    <row r="68" spans="1:7" x14ac:dyDescent="0.25">
      <c r="A68" s="80">
        <v>45953</v>
      </c>
      <c r="B68" s="4" t="s">
        <v>325</v>
      </c>
      <c r="C68" s="22">
        <v>25000</v>
      </c>
      <c r="D68" s="53"/>
      <c r="E68" s="7">
        <f t="shared" si="0"/>
        <v>147417</v>
      </c>
      <c r="F68" s="4"/>
      <c r="G68" s="4"/>
    </row>
    <row r="69" spans="1:7" x14ac:dyDescent="0.25">
      <c r="A69" s="80">
        <v>45953</v>
      </c>
      <c r="B69" s="4" t="s">
        <v>332</v>
      </c>
      <c r="C69" s="53"/>
      <c r="D69" s="22">
        <v>3975</v>
      </c>
      <c r="E69" s="7">
        <f t="shared" ref="E69:E132" si="1">E68+C69-D69</f>
        <v>143442</v>
      </c>
      <c r="F69" s="4">
        <v>25</v>
      </c>
      <c r="G69" s="4" t="s">
        <v>343</v>
      </c>
    </row>
    <row r="70" spans="1:7" x14ac:dyDescent="0.25">
      <c r="A70" s="80">
        <v>45958</v>
      </c>
      <c r="B70" s="4" t="s">
        <v>325</v>
      </c>
      <c r="C70" s="22">
        <v>20000</v>
      </c>
      <c r="D70" s="53"/>
      <c r="E70" s="7">
        <f t="shared" si="1"/>
        <v>163442</v>
      </c>
      <c r="F70" s="4"/>
      <c r="G70" s="4"/>
    </row>
    <row r="71" spans="1:7" x14ac:dyDescent="0.25">
      <c r="A71" s="80">
        <v>45960</v>
      </c>
      <c r="B71" s="4" t="s">
        <v>325</v>
      </c>
      <c r="C71" s="22">
        <v>40000</v>
      </c>
      <c r="D71" s="53"/>
      <c r="E71" s="7">
        <f t="shared" si="1"/>
        <v>203442</v>
      </c>
      <c r="F71" s="4"/>
      <c r="G71" s="4"/>
    </row>
    <row r="72" spans="1:7" x14ac:dyDescent="0.25">
      <c r="A72" s="80">
        <v>45964</v>
      </c>
      <c r="B72" s="4" t="s">
        <v>316</v>
      </c>
      <c r="C72" s="53"/>
      <c r="D72" s="22">
        <v>64060</v>
      </c>
      <c r="E72" s="7">
        <f t="shared" si="1"/>
        <v>139382</v>
      </c>
      <c r="F72" s="4">
        <v>-10</v>
      </c>
      <c r="G72" s="4" t="s">
        <v>135</v>
      </c>
    </row>
    <row r="73" spans="1:7" x14ac:dyDescent="0.25">
      <c r="A73" s="80">
        <v>45966</v>
      </c>
      <c r="B73" s="4" t="s">
        <v>316</v>
      </c>
      <c r="C73" s="53"/>
      <c r="D73" s="22">
        <v>64640</v>
      </c>
      <c r="E73" s="7">
        <f t="shared" si="1"/>
        <v>74742</v>
      </c>
      <c r="F73" s="4">
        <v>-455</v>
      </c>
      <c r="G73" s="4" t="s">
        <v>135</v>
      </c>
    </row>
    <row r="74" spans="1:7" x14ac:dyDescent="0.25">
      <c r="A74" s="80">
        <v>45968</v>
      </c>
      <c r="B74" s="4" t="s">
        <v>325</v>
      </c>
      <c r="C74" s="22">
        <v>70000</v>
      </c>
      <c r="D74" s="53"/>
      <c r="E74" s="7">
        <f t="shared" si="1"/>
        <v>144742</v>
      </c>
      <c r="F74" s="4"/>
      <c r="G74" s="4"/>
    </row>
    <row r="75" spans="1:7" x14ac:dyDescent="0.25">
      <c r="A75" s="80">
        <v>45968</v>
      </c>
      <c r="B75" s="4" t="s">
        <v>325</v>
      </c>
      <c r="C75" s="22">
        <v>30000</v>
      </c>
      <c r="D75" s="53"/>
      <c r="E75" s="7">
        <f t="shared" si="1"/>
        <v>174742</v>
      </c>
      <c r="F75" s="4"/>
      <c r="G75" s="4"/>
    </row>
    <row r="76" spans="1:7" x14ac:dyDescent="0.25">
      <c r="A76" s="80">
        <v>45969</v>
      </c>
      <c r="B76" s="4" t="s">
        <v>325</v>
      </c>
      <c r="C76" s="22">
        <v>30000</v>
      </c>
      <c r="D76" s="53"/>
      <c r="E76" s="7">
        <f t="shared" si="1"/>
        <v>204742</v>
      </c>
      <c r="F76" s="4">
        <v>-4315</v>
      </c>
      <c r="G76" s="4" t="s">
        <v>344</v>
      </c>
    </row>
    <row r="77" spans="1:7" x14ac:dyDescent="0.25">
      <c r="A77" s="80">
        <v>45969</v>
      </c>
      <c r="B77" s="4" t="s">
        <v>316</v>
      </c>
      <c r="C77" s="53"/>
      <c r="D77" s="22">
        <v>64386</v>
      </c>
      <c r="E77" s="7">
        <f t="shared" si="1"/>
        <v>140356</v>
      </c>
      <c r="F77" s="4">
        <v>169</v>
      </c>
      <c r="G77" s="4" t="s">
        <v>135</v>
      </c>
    </row>
    <row r="78" spans="1:7" x14ac:dyDescent="0.25">
      <c r="A78" s="80">
        <v>45972</v>
      </c>
      <c r="B78" s="4" t="s">
        <v>332</v>
      </c>
      <c r="C78" s="53"/>
      <c r="D78" s="22">
        <v>1230</v>
      </c>
      <c r="E78" s="7">
        <f t="shared" si="1"/>
        <v>139126</v>
      </c>
      <c r="F78" s="4"/>
      <c r="G78" s="4"/>
    </row>
    <row r="79" spans="1:7" x14ac:dyDescent="0.25">
      <c r="A79" s="80">
        <v>45974</v>
      </c>
      <c r="B79" s="4" t="s">
        <v>325</v>
      </c>
      <c r="C79" s="22">
        <v>7700</v>
      </c>
      <c r="D79" s="53"/>
      <c r="E79" s="7">
        <f t="shared" si="1"/>
        <v>146826</v>
      </c>
      <c r="F79" s="4"/>
      <c r="G79" s="4"/>
    </row>
    <row r="80" spans="1:7" x14ac:dyDescent="0.25">
      <c r="A80" s="80">
        <v>45974</v>
      </c>
      <c r="B80" s="4" t="s">
        <v>325</v>
      </c>
      <c r="C80" s="22">
        <v>20000</v>
      </c>
      <c r="D80" s="53"/>
      <c r="E80" s="7">
        <f t="shared" si="1"/>
        <v>166826</v>
      </c>
      <c r="F80" s="4"/>
      <c r="G80" s="4"/>
    </row>
    <row r="81" spans="1:7" x14ac:dyDescent="0.25">
      <c r="A81" s="80">
        <v>45974</v>
      </c>
      <c r="B81" s="4" t="s">
        <v>316</v>
      </c>
      <c r="C81" s="53"/>
      <c r="D81" s="22">
        <v>22440</v>
      </c>
      <c r="E81" s="7">
        <f t="shared" si="1"/>
        <v>144386</v>
      </c>
      <c r="F81" s="4"/>
      <c r="G81" s="4"/>
    </row>
    <row r="82" spans="1:7" x14ac:dyDescent="0.25">
      <c r="A82" s="80">
        <v>45978</v>
      </c>
      <c r="B82" s="4" t="s">
        <v>332</v>
      </c>
      <c r="C82" s="53"/>
      <c r="D82" s="22">
        <v>2025</v>
      </c>
      <c r="E82" s="7">
        <f t="shared" si="1"/>
        <v>142361</v>
      </c>
      <c r="F82" s="4"/>
      <c r="G82" s="4"/>
    </row>
    <row r="83" spans="1:7" x14ac:dyDescent="0.25">
      <c r="A83" s="80">
        <v>45979</v>
      </c>
      <c r="B83" s="4" t="s">
        <v>325</v>
      </c>
      <c r="C83" s="22">
        <v>50000</v>
      </c>
      <c r="D83" s="53"/>
      <c r="E83" s="7">
        <f t="shared" si="1"/>
        <v>192361</v>
      </c>
      <c r="F83" s="4"/>
      <c r="G83" s="4"/>
    </row>
    <row r="84" spans="1:7" x14ac:dyDescent="0.25">
      <c r="A84" s="80">
        <v>45985</v>
      </c>
      <c r="B84" s="4" t="s">
        <v>325</v>
      </c>
      <c r="C84" s="22">
        <v>25000</v>
      </c>
      <c r="D84" s="53"/>
      <c r="E84" s="7">
        <f t="shared" si="1"/>
        <v>217361</v>
      </c>
      <c r="F84" s="4"/>
      <c r="G84" s="4"/>
    </row>
    <row r="85" spans="1:7" x14ac:dyDescent="0.25">
      <c r="A85" s="80">
        <v>45985</v>
      </c>
      <c r="B85" s="4" t="s">
        <v>325</v>
      </c>
      <c r="C85" s="22">
        <v>20000</v>
      </c>
      <c r="D85" s="53"/>
      <c r="E85" s="7">
        <f t="shared" si="1"/>
        <v>237361</v>
      </c>
      <c r="F85" s="4"/>
      <c r="G85" s="4"/>
    </row>
    <row r="86" spans="1:7" x14ac:dyDescent="0.25">
      <c r="A86" s="80">
        <v>45990</v>
      </c>
      <c r="B86" s="4" t="s">
        <v>325</v>
      </c>
      <c r="C86" s="22">
        <v>40000</v>
      </c>
      <c r="D86" s="53"/>
      <c r="E86" s="7">
        <f t="shared" si="1"/>
        <v>277361</v>
      </c>
      <c r="F86" s="4"/>
      <c r="G86" s="4"/>
    </row>
    <row r="87" spans="1:7" x14ac:dyDescent="0.25">
      <c r="A87" s="80">
        <v>45994</v>
      </c>
      <c r="B87" s="4" t="s">
        <v>316</v>
      </c>
      <c r="C87" s="53"/>
      <c r="D87" s="22">
        <v>24495</v>
      </c>
      <c r="E87" s="7">
        <f t="shared" si="1"/>
        <v>252866</v>
      </c>
      <c r="F87" s="4">
        <v>100</v>
      </c>
      <c r="G87" s="4" t="s">
        <v>135</v>
      </c>
    </row>
    <row r="88" spans="1:7" x14ac:dyDescent="0.25">
      <c r="A88" s="80">
        <v>45997</v>
      </c>
      <c r="B88" s="4" t="s">
        <v>327</v>
      </c>
      <c r="C88" s="53"/>
      <c r="D88" s="22">
        <v>546</v>
      </c>
      <c r="E88" s="7">
        <f t="shared" si="1"/>
        <v>252320</v>
      </c>
      <c r="F88" s="4"/>
      <c r="G88" s="4"/>
    </row>
    <row r="89" spans="1:7" x14ac:dyDescent="0.25">
      <c r="A89" s="80">
        <v>45997</v>
      </c>
      <c r="B89" s="4" t="s">
        <v>327</v>
      </c>
      <c r="C89" s="53"/>
      <c r="D89" s="22">
        <v>400</v>
      </c>
      <c r="E89" s="7">
        <f t="shared" si="1"/>
        <v>251920</v>
      </c>
      <c r="F89" s="4"/>
      <c r="G89" s="4"/>
    </row>
    <row r="90" spans="1:7" x14ac:dyDescent="0.25">
      <c r="A90" s="80">
        <v>46000</v>
      </c>
      <c r="B90" s="4" t="s">
        <v>316</v>
      </c>
      <c r="C90" s="53"/>
      <c r="D90" s="22">
        <v>57990</v>
      </c>
      <c r="E90" s="7">
        <f t="shared" si="1"/>
        <v>193930</v>
      </c>
      <c r="F90" s="4">
        <v>710</v>
      </c>
      <c r="G90" s="4" t="s">
        <v>135</v>
      </c>
    </row>
    <row r="91" spans="1:7" x14ac:dyDescent="0.25">
      <c r="A91" s="80">
        <v>46001</v>
      </c>
      <c r="B91" s="4" t="s">
        <v>316</v>
      </c>
      <c r="C91" s="53"/>
      <c r="D91" s="22">
        <v>68960</v>
      </c>
      <c r="E91" s="7">
        <f t="shared" si="1"/>
        <v>124970</v>
      </c>
      <c r="F91" s="4"/>
      <c r="G91" s="4"/>
    </row>
    <row r="92" spans="1:7" x14ac:dyDescent="0.25">
      <c r="A92" s="80">
        <v>46005</v>
      </c>
      <c r="B92" s="4" t="s">
        <v>332</v>
      </c>
      <c r="C92" s="53"/>
      <c r="D92" s="22">
        <v>2000</v>
      </c>
      <c r="E92" s="7">
        <f t="shared" si="1"/>
        <v>122970</v>
      </c>
      <c r="F92" s="4">
        <v>35</v>
      </c>
      <c r="G92" s="4" t="s">
        <v>343</v>
      </c>
    </row>
    <row r="93" spans="1:7" x14ac:dyDescent="0.25">
      <c r="A93" s="80">
        <v>46005</v>
      </c>
      <c r="B93" s="4" t="s">
        <v>332</v>
      </c>
      <c r="C93" s="53"/>
      <c r="D93" s="22">
        <v>5000</v>
      </c>
      <c r="E93" s="7">
        <f t="shared" si="1"/>
        <v>117970</v>
      </c>
      <c r="F93" s="4">
        <v>35</v>
      </c>
      <c r="G93" s="4" t="s">
        <v>343</v>
      </c>
    </row>
    <row r="94" spans="1:7" x14ac:dyDescent="0.25">
      <c r="A94" s="80">
        <v>46006</v>
      </c>
      <c r="B94" s="4" t="s">
        <v>335</v>
      </c>
      <c r="C94" s="22">
        <v>25000</v>
      </c>
      <c r="D94" s="53"/>
      <c r="E94" s="7">
        <f t="shared" si="1"/>
        <v>142970</v>
      </c>
      <c r="F94" s="4"/>
      <c r="G94" s="4"/>
    </row>
    <row r="95" spans="1:7" x14ac:dyDescent="0.25">
      <c r="A95" s="80">
        <v>46006</v>
      </c>
      <c r="B95" s="4" t="s">
        <v>325</v>
      </c>
      <c r="C95" s="22">
        <v>30000</v>
      </c>
      <c r="D95" s="53"/>
      <c r="E95" s="7">
        <f t="shared" si="1"/>
        <v>172970</v>
      </c>
      <c r="F95" s="4"/>
      <c r="G95" s="4"/>
    </row>
    <row r="96" spans="1:7" x14ac:dyDescent="0.25">
      <c r="A96" s="80">
        <v>46006</v>
      </c>
      <c r="B96" s="4" t="s">
        <v>325</v>
      </c>
      <c r="C96" s="22">
        <v>10000</v>
      </c>
      <c r="D96" s="53"/>
      <c r="E96" s="7">
        <f t="shared" si="1"/>
        <v>182970</v>
      </c>
      <c r="F96" s="4"/>
      <c r="G96" s="4"/>
    </row>
    <row r="97" spans="1:7" x14ac:dyDescent="0.25">
      <c r="A97" s="80">
        <v>46006</v>
      </c>
      <c r="B97" s="4" t="s">
        <v>325</v>
      </c>
      <c r="C97" s="22">
        <v>30000</v>
      </c>
      <c r="D97" s="53"/>
      <c r="E97" s="7">
        <f t="shared" si="1"/>
        <v>212970</v>
      </c>
      <c r="F97" s="4"/>
      <c r="G97" s="4"/>
    </row>
    <row r="98" spans="1:7" x14ac:dyDescent="0.25">
      <c r="A98" s="80">
        <v>46006</v>
      </c>
      <c r="B98" s="4" t="s">
        <v>336</v>
      </c>
      <c r="C98" s="53"/>
      <c r="D98" s="22">
        <v>14845</v>
      </c>
      <c r="E98" s="7">
        <f t="shared" si="1"/>
        <v>198125</v>
      </c>
      <c r="F98" s="4">
        <v>190</v>
      </c>
      <c r="G98" s="4" t="s">
        <v>343</v>
      </c>
    </row>
    <row r="99" spans="1:7" x14ac:dyDescent="0.25">
      <c r="A99" s="80">
        <v>46006</v>
      </c>
      <c r="B99" s="4" t="s">
        <v>337</v>
      </c>
      <c r="C99" s="53"/>
      <c r="D99" s="22">
        <v>13580</v>
      </c>
      <c r="E99" s="7">
        <f t="shared" si="1"/>
        <v>184545</v>
      </c>
      <c r="F99" s="4">
        <v>-16455</v>
      </c>
      <c r="G99" s="4" t="s">
        <v>135</v>
      </c>
    </row>
    <row r="100" spans="1:7" x14ac:dyDescent="0.25">
      <c r="A100" s="80">
        <v>46007</v>
      </c>
      <c r="B100" s="4" t="s">
        <v>316</v>
      </c>
      <c r="C100" s="53"/>
      <c r="D100" s="22">
        <v>97059</v>
      </c>
      <c r="E100" s="7">
        <f t="shared" si="1"/>
        <v>87486</v>
      </c>
      <c r="F100" s="4"/>
      <c r="G100" s="4"/>
    </row>
    <row r="101" spans="1:7" x14ac:dyDescent="0.25">
      <c r="A101" s="80">
        <v>46014</v>
      </c>
      <c r="B101" s="4" t="s">
        <v>316</v>
      </c>
      <c r="C101" s="53"/>
      <c r="D101" s="22">
        <v>96819</v>
      </c>
      <c r="E101" s="7">
        <f t="shared" si="1"/>
        <v>-9333</v>
      </c>
      <c r="F101" s="4">
        <v>1158</v>
      </c>
      <c r="G101" s="4" t="s">
        <v>135</v>
      </c>
    </row>
    <row r="102" spans="1:7" x14ac:dyDescent="0.25">
      <c r="A102" s="80">
        <v>46017</v>
      </c>
      <c r="B102" s="4" t="s">
        <v>338</v>
      </c>
      <c r="C102" s="22">
        <v>30000</v>
      </c>
      <c r="D102" s="53"/>
      <c r="E102" s="7">
        <f t="shared" si="1"/>
        <v>20667</v>
      </c>
      <c r="F102" s="4"/>
      <c r="G102" s="4"/>
    </row>
    <row r="103" spans="1:7" x14ac:dyDescent="0.25">
      <c r="A103" s="80">
        <v>46017</v>
      </c>
      <c r="B103" s="4" t="s">
        <v>339</v>
      </c>
      <c r="C103" s="22">
        <v>20000</v>
      </c>
      <c r="D103" s="53"/>
      <c r="E103" s="7">
        <f t="shared" si="1"/>
        <v>40667</v>
      </c>
      <c r="F103" s="4"/>
      <c r="G103" s="4"/>
    </row>
    <row r="104" spans="1:7" x14ac:dyDescent="0.25">
      <c r="A104" s="80">
        <v>46017</v>
      </c>
      <c r="B104" s="4" t="s">
        <v>340</v>
      </c>
      <c r="C104" s="22">
        <v>30000</v>
      </c>
      <c r="D104" s="53"/>
      <c r="E104" s="7">
        <f t="shared" si="1"/>
        <v>70667</v>
      </c>
      <c r="F104" s="4"/>
      <c r="G104" s="4"/>
    </row>
    <row r="105" spans="1:7" x14ac:dyDescent="0.25">
      <c r="A105" s="80">
        <v>46019</v>
      </c>
      <c r="B105" s="4" t="s">
        <v>325</v>
      </c>
      <c r="C105" s="22">
        <v>70000</v>
      </c>
      <c r="D105" s="53"/>
      <c r="E105" s="7">
        <f t="shared" si="1"/>
        <v>140667</v>
      </c>
      <c r="F105" s="4"/>
      <c r="G105" s="4"/>
    </row>
    <row r="106" spans="1:7" x14ac:dyDescent="0.25">
      <c r="A106" s="80">
        <v>46023</v>
      </c>
      <c r="B106" s="4" t="s">
        <v>268</v>
      </c>
      <c r="C106" s="53"/>
      <c r="D106" s="22">
        <v>31600</v>
      </c>
      <c r="E106" s="7">
        <f t="shared" si="1"/>
        <v>109067</v>
      </c>
      <c r="F106" s="4">
        <v>40</v>
      </c>
      <c r="G106" s="4" t="s">
        <v>135</v>
      </c>
    </row>
    <row r="107" spans="1:7" x14ac:dyDescent="0.25">
      <c r="A107" s="80">
        <v>46030</v>
      </c>
      <c r="B107" s="4" t="s">
        <v>270</v>
      </c>
      <c r="C107" s="53"/>
      <c r="D107" s="22">
        <v>31410</v>
      </c>
      <c r="E107" s="7">
        <f t="shared" si="1"/>
        <v>77657</v>
      </c>
      <c r="F107" s="4"/>
      <c r="G107" s="4"/>
    </row>
    <row r="108" spans="1:7" x14ac:dyDescent="0.25">
      <c r="A108" s="80">
        <v>46035</v>
      </c>
      <c r="B108" s="4" t="s">
        <v>271</v>
      </c>
      <c r="C108" s="22">
        <v>1260</v>
      </c>
      <c r="D108" s="53"/>
      <c r="E108" s="7">
        <f t="shared" si="1"/>
        <v>78917</v>
      </c>
      <c r="F108" s="4">
        <v>-1260</v>
      </c>
      <c r="G108" s="4" t="s">
        <v>135</v>
      </c>
    </row>
    <row r="109" spans="1:7" x14ac:dyDescent="0.25">
      <c r="A109" s="80">
        <v>46035</v>
      </c>
      <c r="B109" s="4" t="s">
        <v>272</v>
      </c>
      <c r="C109" s="22">
        <v>700</v>
      </c>
      <c r="D109" s="53"/>
      <c r="E109" s="7">
        <f t="shared" si="1"/>
        <v>79617</v>
      </c>
      <c r="F109" s="4">
        <v>-700</v>
      </c>
      <c r="G109" s="4" t="s">
        <v>135</v>
      </c>
    </row>
    <row r="110" spans="1:7" x14ac:dyDescent="0.25">
      <c r="A110" s="80">
        <v>46035</v>
      </c>
      <c r="B110" s="4" t="s">
        <v>273</v>
      </c>
      <c r="C110" s="22">
        <v>10000</v>
      </c>
      <c r="D110" s="53"/>
      <c r="E110" s="7">
        <f t="shared" si="1"/>
        <v>89617</v>
      </c>
      <c r="F110" s="4"/>
      <c r="G110" s="4"/>
    </row>
    <row r="111" spans="1:7" x14ac:dyDescent="0.25">
      <c r="A111" s="80">
        <v>46035</v>
      </c>
      <c r="B111" s="4" t="s">
        <v>274</v>
      </c>
      <c r="C111" s="22">
        <v>20000</v>
      </c>
      <c r="D111" s="53"/>
      <c r="E111" s="7">
        <f t="shared" si="1"/>
        <v>109617</v>
      </c>
      <c r="F111" s="4"/>
      <c r="G111" s="4"/>
    </row>
    <row r="112" spans="1:7" x14ac:dyDescent="0.25">
      <c r="A112" s="80">
        <v>46037</v>
      </c>
      <c r="B112" s="4" t="s">
        <v>275</v>
      </c>
      <c r="C112" s="53"/>
      <c r="D112" s="22">
        <v>76450</v>
      </c>
      <c r="E112" s="7">
        <f t="shared" si="1"/>
        <v>33167</v>
      </c>
      <c r="F112" s="4">
        <v>980</v>
      </c>
      <c r="G112" s="4" t="s">
        <v>135</v>
      </c>
    </row>
    <row r="113" spans="1:7" x14ac:dyDescent="0.25">
      <c r="A113" s="80">
        <v>46037</v>
      </c>
      <c r="B113" s="4" t="s">
        <v>276</v>
      </c>
      <c r="C113" s="53"/>
      <c r="D113" s="22">
        <v>3880</v>
      </c>
      <c r="E113" s="7">
        <f t="shared" si="1"/>
        <v>29287</v>
      </c>
      <c r="F113" s="4">
        <v>-3880</v>
      </c>
      <c r="G113" s="4" t="s">
        <v>135</v>
      </c>
    </row>
    <row r="114" spans="1:7" x14ac:dyDescent="0.25">
      <c r="A114" s="80">
        <v>46039</v>
      </c>
      <c r="B114" s="4" t="s">
        <v>274</v>
      </c>
      <c r="C114" s="22">
        <v>50000</v>
      </c>
      <c r="D114" s="53"/>
      <c r="E114" s="7">
        <f t="shared" si="1"/>
        <v>79287</v>
      </c>
      <c r="F114" s="4"/>
      <c r="G114" s="4"/>
    </row>
    <row r="115" spans="1:7" x14ac:dyDescent="0.25">
      <c r="A115" s="80">
        <v>46039</v>
      </c>
      <c r="B115" s="4" t="s">
        <v>277</v>
      </c>
      <c r="C115" s="22">
        <v>50000</v>
      </c>
      <c r="D115" s="53"/>
      <c r="E115" s="7">
        <f t="shared" si="1"/>
        <v>129287</v>
      </c>
      <c r="F115" s="4"/>
      <c r="G115" s="4"/>
    </row>
    <row r="116" spans="1:7" x14ac:dyDescent="0.25">
      <c r="A116" s="80">
        <v>46041</v>
      </c>
      <c r="B116" s="4" t="s">
        <v>278</v>
      </c>
      <c r="C116" s="53"/>
      <c r="D116" s="22">
        <v>62565</v>
      </c>
      <c r="E116" s="7">
        <f t="shared" si="1"/>
        <v>66722</v>
      </c>
      <c r="F116" s="4">
        <v>1140</v>
      </c>
      <c r="G116" s="4" t="s">
        <v>135</v>
      </c>
    </row>
    <row r="117" spans="1:7" x14ac:dyDescent="0.25">
      <c r="A117" s="80">
        <v>46046</v>
      </c>
      <c r="B117" s="4" t="s">
        <v>279</v>
      </c>
      <c r="C117" s="53"/>
      <c r="D117" s="22">
        <v>44610</v>
      </c>
      <c r="E117" s="7">
        <f t="shared" si="1"/>
        <v>22112</v>
      </c>
      <c r="F117" s="4">
        <v>30</v>
      </c>
      <c r="G117" s="4" t="s">
        <v>135</v>
      </c>
    </row>
    <row r="118" spans="1:7" x14ac:dyDescent="0.25">
      <c r="A118" s="80">
        <v>46048</v>
      </c>
      <c r="B118" s="4" t="s">
        <v>280</v>
      </c>
      <c r="C118" s="22">
        <v>25000</v>
      </c>
      <c r="D118" s="53"/>
      <c r="E118" s="7">
        <f t="shared" si="1"/>
        <v>47112</v>
      </c>
      <c r="F118" s="4"/>
      <c r="G118" s="4"/>
    </row>
    <row r="119" spans="1:7" x14ac:dyDescent="0.25">
      <c r="A119" s="80">
        <v>46048</v>
      </c>
      <c r="B119" s="4" t="s">
        <v>281</v>
      </c>
      <c r="C119" s="22">
        <v>25000</v>
      </c>
      <c r="D119" s="53"/>
      <c r="E119" s="7">
        <f t="shared" si="1"/>
        <v>72112</v>
      </c>
      <c r="F119" s="4"/>
      <c r="G119" s="4"/>
    </row>
    <row r="120" spans="1:7" x14ac:dyDescent="0.25">
      <c r="A120" s="80">
        <v>46048</v>
      </c>
      <c r="B120" s="4" t="s">
        <v>282</v>
      </c>
      <c r="C120" s="22">
        <v>26000</v>
      </c>
      <c r="D120" s="53"/>
      <c r="E120" s="7">
        <f t="shared" si="1"/>
        <v>98112</v>
      </c>
      <c r="F120" s="4"/>
      <c r="G120" s="4"/>
    </row>
    <row r="121" spans="1:7" x14ac:dyDescent="0.25">
      <c r="A121" s="80">
        <v>46048</v>
      </c>
      <c r="B121" s="4" t="s">
        <v>283</v>
      </c>
      <c r="C121" s="22">
        <v>40000</v>
      </c>
      <c r="D121" s="53"/>
      <c r="E121" s="7">
        <f t="shared" si="1"/>
        <v>138112</v>
      </c>
      <c r="F121" s="4"/>
      <c r="G121" s="4"/>
    </row>
    <row r="122" spans="1:7" x14ac:dyDescent="0.25">
      <c r="A122" s="80">
        <v>46049</v>
      </c>
      <c r="B122" s="4" t="s">
        <v>284</v>
      </c>
      <c r="C122" s="22">
        <v>50000</v>
      </c>
      <c r="D122" s="53"/>
      <c r="E122" s="7">
        <f t="shared" si="1"/>
        <v>188112</v>
      </c>
      <c r="F122" s="4"/>
      <c r="G122" s="4"/>
    </row>
    <row r="123" spans="1:7" x14ac:dyDescent="0.25">
      <c r="A123" s="80">
        <v>46053</v>
      </c>
      <c r="B123" s="4" t="s">
        <v>285</v>
      </c>
      <c r="C123" s="22">
        <v>6000</v>
      </c>
      <c r="D123" s="53"/>
      <c r="E123" s="7">
        <f t="shared" si="1"/>
        <v>194112</v>
      </c>
      <c r="F123" s="4">
        <v>-6000</v>
      </c>
      <c r="G123" s="4" t="s">
        <v>135</v>
      </c>
    </row>
    <row r="124" spans="1:7" x14ac:dyDescent="0.25">
      <c r="A124" s="80">
        <v>46058</v>
      </c>
      <c r="B124" s="4" t="s">
        <v>284</v>
      </c>
      <c r="C124" s="22">
        <v>10000</v>
      </c>
      <c r="D124" s="53"/>
      <c r="E124" s="7">
        <f t="shared" si="1"/>
        <v>204112</v>
      </c>
      <c r="F124" s="4"/>
      <c r="G124" s="4"/>
    </row>
    <row r="125" spans="1:7" x14ac:dyDescent="0.25">
      <c r="A125" s="80">
        <v>46060</v>
      </c>
      <c r="B125" s="4" t="s">
        <v>286</v>
      </c>
      <c r="C125" s="22">
        <v>30000</v>
      </c>
      <c r="D125" s="53"/>
      <c r="E125" s="7">
        <f t="shared" si="1"/>
        <v>234112</v>
      </c>
      <c r="F125" s="4"/>
      <c r="G125" s="4"/>
    </row>
    <row r="126" spans="1:7" x14ac:dyDescent="0.25">
      <c r="A126" s="80">
        <v>46060</v>
      </c>
      <c r="B126" s="4" t="s">
        <v>287</v>
      </c>
      <c r="C126" s="22">
        <v>40000</v>
      </c>
      <c r="D126" s="53"/>
      <c r="E126" s="7">
        <f t="shared" si="1"/>
        <v>274112</v>
      </c>
      <c r="F126" s="4"/>
      <c r="G126" s="4"/>
    </row>
    <row r="127" spans="1:7" x14ac:dyDescent="0.25">
      <c r="A127" s="80">
        <v>46060</v>
      </c>
      <c r="B127" s="4" t="s">
        <v>287</v>
      </c>
      <c r="C127" s="22">
        <v>30000</v>
      </c>
      <c r="D127" s="53"/>
      <c r="E127" s="7">
        <f t="shared" si="1"/>
        <v>304112</v>
      </c>
      <c r="F127" s="4"/>
      <c r="G127" s="4"/>
    </row>
    <row r="128" spans="1:7" x14ac:dyDescent="0.25">
      <c r="A128" s="80">
        <v>46065</v>
      </c>
      <c r="B128" s="4" t="s">
        <v>284</v>
      </c>
      <c r="C128" s="22">
        <v>60000</v>
      </c>
      <c r="D128" s="53"/>
      <c r="E128" s="7">
        <f t="shared" si="1"/>
        <v>364112</v>
      </c>
      <c r="F128" s="4"/>
      <c r="G128" s="4"/>
    </row>
    <row r="129" spans="1:7" x14ac:dyDescent="0.25">
      <c r="A129" s="80">
        <v>46065</v>
      </c>
      <c r="B129" s="4" t="s">
        <v>288</v>
      </c>
      <c r="C129" s="53"/>
      <c r="D129" s="22">
        <v>68726</v>
      </c>
      <c r="E129" s="7">
        <f t="shared" si="1"/>
        <v>295386</v>
      </c>
      <c r="F129" s="4">
        <v>-1116</v>
      </c>
      <c r="G129" s="4" t="s">
        <v>135</v>
      </c>
    </row>
    <row r="130" spans="1:7" x14ac:dyDescent="0.25">
      <c r="A130" s="80">
        <v>46066</v>
      </c>
      <c r="B130" s="4" t="s">
        <v>284</v>
      </c>
      <c r="C130" s="22">
        <v>40000</v>
      </c>
      <c r="D130" s="53"/>
      <c r="E130" s="7">
        <f t="shared" si="1"/>
        <v>335386</v>
      </c>
      <c r="F130" s="4"/>
      <c r="G130" s="4"/>
    </row>
    <row r="131" spans="1:7" x14ac:dyDescent="0.25">
      <c r="A131" s="80">
        <v>46067</v>
      </c>
      <c r="B131" s="4" t="s">
        <v>289</v>
      </c>
      <c r="C131" s="53"/>
      <c r="D131" s="22">
        <v>81405</v>
      </c>
      <c r="E131" s="7">
        <f t="shared" si="1"/>
        <v>253981</v>
      </c>
      <c r="F131" s="4">
        <v>360</v>
      </c>
      <c r="G131" s="4" t="s">
        <v>135</v>
      </c>
    </row>
    <row r="132" spans="1:7" x14ac:dyDescent="0.25">
      <c r="A132" s="80">
        <v>46069</v>
      </c>
      <c r="B132" s="4" t="s">
        <v>284</v>
      </c>
      <c r="C132" s="22">
        <v>50000</v>
      </c>
      <c r="D132" s="53"/>
      <c r="E132" s="7">
        <f t="shared" si="1"/>
        <v>303981</v>
      </c>
      <c r="F132" s="4"/>
      <c r="G132" s="4"/>
    </row>
    <row r="133" spans="1:7" x14ac:dyDescent="0.25">
      <c r="A133" s="80">
        <v>46071</v>
      </c>
      <c r="B133" s="4" t="s">
        <v>284</v>
      </c>
      <c r="C133" s="22">
        <v>50000</v>
      </c>
      <c r="D133" s="53"/>
      <c r="E133" s="7">
        <f t="shared" ref="E133:E196" si="2">E132+C133-D133</f>
        <v>353981</v>
      </c>
      <c r="F133" s="4"/>
      <c r="G133" s="4"/>
    </row>
    <row r="134" spans="1:7" x14ac:dyDescent="0.25">
      <c r="A134" s="80">
        <v>46072</v>
      </c>
      <c r="B134" s="4" t="s">
        <v>290</v>
      </c>
      <c r="C134" s="53"/>
      <c r="D134" s="22">
        <v>93880</v>
      </c>
      <c r="E134" s="7">
        <f t="shared" si="2"/>
        <v>260101</v>
      </c>
      <c r="F134" s="4">
        <v>1475</v>
      </c>
      <c r="G134" s="4" t="s">
        <v>135</v>
      </c>
    </row>
    <row r="135" spans="1:7" x14ac:dyDescent="0.25">
      <c r="A135" s="80">
        <v>46073</v>
      </c>
      <c r="B135" s="4" t="s">
        <v>291</v>
      </c>
      <c r="C135" s="53"/>
      <c r="D135" s="22">
        <v>44090</v>
      </c>
      <c r="E135" s="7">
        <f t="shared" si="2"/>
        <v>216011</v>
      </c>
      <c r="F135" s="4"/>
      <c r="G135" s="4"/>
    </row>
    <row r="136" spans="1:7" x14ac:dyDescent="0.25">
      <c r="A136" s="80">
        <v>46074</v>
      </c>
      <c r="B136" s="4" t="s">
        <v>292</v>
      </c>
      <c r="C136" s="22">
        <v>50000</v>
      </c>
      <c r="D136" s="53"/>
      <c r="E136" s="7">
        <f t="shared" si="2"/>
        <v>266011</v>
      </c>
      <c r="F136" s="4"/>
      <c r="G136" s="4"/>
    </row>
    <row r="137" spans="1:7" x14ac:dyDescent="0.25">
      <c r="A137" s="80">
        <v>46076</v>
      </c>
      <c r="B137" s="4" t="s">
        <v>284</v>
      </c>
      <c r="C137" s="22">
        <v>100000</v>
      </c>
      <c r="D137" s="53"/>
      <c r="E137" s="7">
        <f t="shared" si="2"/>
        <v>366011</v>
      </c>
      <c r="F137" s="4"/>
      <c r="G137" s="4"/>
    </row>
    <row r="138" spans="1:7" x14ac:dyDescent="0.25">
      <c r="A138" s="80">
        <v>46077</v>
      </c>
      <c r="B138" s="4" t="s">
        <v>293</v>
      </c>
      <c r="C138" s="53"/>
      <c r="D138" s="22">
        <v>64395</v>
      </c>
      <c r="E138" s="7">
        <f t="shared" si="2"/>
        <v>301616</v>
      </c>
      <c r="F138" s="4">
        <v>-590</v>
      </c>
      <c r="G138" s="4" t="s">
        <v>135</v>
      </c>
    </row>
    <row r="139" spans="1:7" x14ac:dyDescent="0.25">
      <c r="A139" s="80">
        <v>46078</v>
      </c>
      <c r="B139" s="4" t="s">
        <v>294</v>
      </c>
      <c r="C139" s="22">
        <v>50000</v>
      </c>
      <c r="D139" s="53"/>
      <c r="E139" s="7">
        <f t="shared" si="2"/>
        <v>351616</v>
      </c>
      <c r="F139" s="4"/>
      <c r="G139" s="4"/>
    </row>
    <row r="140" spans="1:7" x14ac:dyDescent="0.25">
      <c r="A140" s="80">
        <v>46079</v>
      </c>
      <c r="B140" s="4" t="s">
        <v>284</v>
      </c>
      <c r="C140" s="22">
        <v>51000</v>
      </c>
      <c r="D140" s="53"/>
      <c r="E140" s="7">
        <f t="shared" si="2"/>
        <v>402616</v>
      </c>
      <c r="F140" s="4"/>
      <c r="G140" s="4"/>
    </row>
    <row r="141" spans="1:7" x14ac:dyDescent="0.25">
      <c r="A141" s="80">
        <v>46080</v>
      </c>
      <c r="B141" s="4" t="s">
        <v>295</v>
      </c>
      <c r="C141" s="53"/>
      <c r="D141" s="22">
        <v>29880</v>
      </c>
      <c r="E141" s="7">
        <f t="shared" si="2"/>
        <v>372736</v>
      </c>
      <c r="F141" s="4"/>
      <c r="G141" s="4"/>
    </row>
    <row r="142" spans="1:7" x14ac:dyDescent="0.25">
      <c r="A142" s="80">
        <v>46080</v>
      </c>
      <c r="B142" s="4" t="s">
        <v>296</v>
      </c>
      <c r="C142" s="53"/>
      <c r="D142" s="22">
        <v>84985</v>
      </c>
      <c r="E142" s="7">
        <f t="shared" si="2"/>
        <v>287751</v>
      </c>
      <c r="F142" s="4"/>
      <c r="G142" s="4"/>
    </row>
    <row r="143" spans="1:7" x14ac:dyDescent="0.25">
      <c r="A143" s="80">
        <v>46082</v>
      </c>
      <c r="B143" s="4" t="s">
        <v>284</v>
      </c>
      <c r="C143" s="22">
        <v>52900</v>
      </c>
      <c r="D143" s="53"/>
      <c r="E143" s="7">
        <f t="shared" si="2"/>
        <v>340651</v>
      </c>
      <c r="F143" s="4"/>
      <c r="G143" s="4"/>
    </row>
    <row r="144" spans="1:7" x14ac:dyDescent="0.25">
      <c r="A144" s="80">
        <v>46082</v>
      </c>
      <c r="B144" s="4" t="s">
        <v>297</v>
      </c>
      <c r="C144" s="53"/>
      <c r="D144" s="22">
        <v>52285</v>
      </c>
      <c r="E144" s="7">
        <f t="shared" si="2"/>
        <v>288366</v>
      </c>
      <c r="F144" s="4"/>
      <c r="G144" s="4"/>
    </row>
    <row r="145" spans="1:7" x14ac:dyDescent="0.25">
      <c r="A145" s="80">
        <v>46097</v>
      </c>
      <c r="B145" s="4" t="s">
        <v>298</v>
      </c>
      <c r="C145" s="53"/>
      <c r="D145" s="22">
        <v>6475</v>
      </c>
      <c r="E145" s="7">
        <f t="shared" si="2"/>
        <v>281891</v>
      </c>
      <c r="F145" s="4">
        <v>25</v>
      </c>
      <c r="G145" s="4" t="s">
        <v>135</v>
      </c>
    </row>
    <row r="146" spans="1:7" x14ac:dyDescent="0.25">
      <c r="A146" s="80">
        <v>46099</v>
      </c>
      <c r="B146" s="4" t="s">
        <v>284</v>
      </c>
      <c r="C146" s="22">
        <v>25000</v>
      </c>
      <c r="D146" s="53"/>
      <c r="E146" s="7">
        <f t="shared" si="2"/>
        <v>306891</v>
      </c>
      <c r="F146" s="4"/>
      <c r="G146" s="4"/>
    </row>
    <row r="147" spans="1:7" x14ac:dyDescent="0.25">
      <c r="A147" s="80">
        <v>46100</v>
      </c>
      <c r="B147" s="4" t="s">
        <v>284</v>
      </c>
      <c r="C147" s="22">
        <v>50000</v>
      </c>
      <c r="D147" s="53"/>
      <c r="E147" s="7">
        <f t="shared" si="2"/>
        <v>356891</v>
      </c>
      <c r="F147" s="4"/>
      <c r="G147" s="4"/>
    </row>
    <row r="148" spans="1:7" x14ac:dyDescent="0.25">
      <c r="A148" s="80">
        <v>46101</v>
      </c>
      <c r="B148" s="4" t="s">
        <v>284</v>
      </c>
      <c r="C148" s="22">
        <v>35000</v>
      </c>
      <c r="D148" s="53"/>
      <c r="E148" s="7">
        <f t="shared" si="2"/>
        <v>391891</v>
      </c>
      <c r="F148" s="4"/>
      <c r="G148" s="4"/>
    </row>
    <row r="149" spans="1:7" x14ac:dyDescent="0.25">
      <c r="A149" s="80">
        <v>46112</v>
      </c>
      <c r="B149" s="4" t="s">
        <v>284</v>
      </c>
      <c r="C149" s="22">
        <v>20000</v>
      </c>
      <c r="D149" s="53"/>
      <c r="E149" s="7">
        <f t="shared" si="2"/>
        <v>411891</v>
      </c>
      <c r="F149" s="4"/>
      <c r="G149" s="4"/>
    </row>
    <row r="150" spans="1:7" x14ac:dyDescent="0.25">
      <c r="A150" s="80">
        <v>46112</v>
      </c>
      <c r="B150" s="4" t="s">
        <v>299</v>
      </c>
      <c r="C150" s="53"/>
      <c r="D150" s="22">
        <v>4475</v>
      </c>
      <c r="E150" s="7">
        <f t="shared" si="2"/>
        <v>407416</v>
      </c>
      <c r="F150" s="4">
        <v>25</v>
      </c>
      <c r="G150" s="4" t="s">
        <v>135</v>
      </c>
    </row>
    <row r="151" spans="1:7" x14ac:dyDescent="0.25">
      <c r="A151" s="80">
        <v>46112</v>
      </c>
      <c r="B151" s="4" t="s">
        <v>300</v>
      </c>
      <c r="C151" s="53"/>
      <c r="D151" s="22">
        <v>4975</v>
      </c>
      <c r="E151" s="7">
        <f t="shared" si="2"/>
        <v>402441</v>
      </c>
      <c r="F151" s="4">
        <v>25</v>
      </c>
      <c r="G151" s="4" t="s">
        <v>135</v>
      </c>
    </row>
    <row r="152" spans="1:7" x14ac:dyDescent="0.25">
      <c r="A152" s="80">
        <v>46112</v>
      </c>
      <c r="B152" s="4" t="s">
        <v>301</v>
      </c>
      <c r="C152" s="53"/>
      <c r="D152" s="22">
        <v>8000</v>
      </c>
      <c r="E152" s="7">
        <f t="shared" si="2"/>
        <v>394441</v>
      </c>
      <c r="F152" s="4"/>
      <c r="G152" s="4"/>
    </row>
    <row r="153" spans="1:7" x14ac:dyDescent="0.25">
      <c r="A153" s="80">
        <v>46112</v>
      </c>
      <c r="B153" s="4" t="s">
        <v>302</v>
      </c>
      <c r="C153" s="53"/>
      <c r="D153" s="22">
        <v>2750</v>
      </c>
      <c r="E153" s="7">
        <f t="shared" si="2"/>
        <v>391691</v>
      </c>
      <c r="F153" s="4"/>
      <c r="G153" s="4"/>
    </row>
    <row r="154" spans="1:7" x14ac:dyDescent="0.25">
      <c r="A154" s="80">
        <v>46112</v>
      </c>
      <c r="B154" s="4" t="s">
        <v>298</v>
      </c>
      <c r="C154" s="53"/>
      <c r="D154" s="22">
        <v>3975</v>
      </c>
      <c r="E154" s="7">
        <f t="shared" si="2"/>
        <v>387716</v>
      </c>
      <c r="F154" s="4">
        <v>25</v>
      </c>
      <c r="G154" s="4" t="s">
        <v>135</v>
      </c>
    </row>
    <row r="155" spans="1:7" x14ac:dyDescent="0.25">
      <c r="A155" s="80">
        <v>46113</v>
      </c>
      <c r="B155" s="4" t="s">
        <v>303</v>
      </c>
      <c r="C155" s="53"/>
      <c r="D155" s="22">
        <v>33528</v>
      </c>
      <c r="E155" s="7">
        <f t="shared" si="2"/>
        <v>354188</v>
      </c>
      <c r="F155" s="98">
        <v>407</v>
      </c>
      <c r="G155" s="98" t="s">
        <v>135</v>
      </c>
    </row>
    <row r="156" spans="1:7" x14ac:dyDescent="0.25">
      <c r="A156" s="80">
        <v>46113</v>
      </c>
      <c r="B156" s="4" t="s">
        <v>303</v>
      </c>
      <c r="C156" s="53"/>
      <c r="D156" s="22">
        <v>129020</v>
      </c>
      <c r="E156" s="7">
        <f t="shared" si="2"/>
        <v>225168</v>
      </c>
      <c r="F156" s="98"/>
      <c r="G156" s="98"/>
    </row>
    <row r="157" spans="1:7" x14ac:dyDescent="0.25">
      <c r="A157" s="80">
        <v>46114</v>
      </c>
      <c r="B157" s="4" t="s">
        <v>284</v>
      </c>
      <c r="C157" s="22">
        <v>40000</v>
      </c>
      <c r="D157" s="53"/>
      <c r="E157" s="7">
        <f t="shared" si="2"/>
        <v>265168</v>
      </c>
      <c r="F157" s="4"/>
      <c r="G157" s="4"/>
    </row>
    <row r="158" spans="1:7" x14ac:dyDescent="0.25">
      <c r="A158" s="80">
        <v>46114</v>
      </c>
      <c r="B158" s="4" t="s">
        <v>304</v>
      </c>
      <c r="C158" s="53"/>
      <c r="D158" s="22">
        <v>2750</v>
      </c>
      <c r="E158" s="7">
        <f t="shared" si="2"/>
        <v>262418</v>
      </c>
      <c r="F158" s="4"/>
      <c r="G158" s="4"/>
    </row>
    <row r="159" spans="1:7" x14ac:dyDescent="0.25">
      <c r="A159" s="80">
        <v>46116</v>
      </c>
      <c r="B159" s="4" t="s">
        <v>305</v>
      </c>
      <c r="C159" s="53"/>
      <c r="D159" s="22">
        <v>20071</v>
      </c>
      <c r="E159" s="7">
        <f t="shared" si="2"/>
        <v>242347</v>
      </c>
      <c r="F159" s="4">
        <v>194</v>
      </c>
      <c r="G159" s="4" t="s">
        <v>135</v>
      </c>
    </row>
    <row r="160" spans="1:7" x14ac:dyDescent="0.25">
      <c r="A160" s="80">
        <v>46119</v>
      </c>
      <c r="B160" s="4" t="s">
        <v>306</v>
      </c>
      <c r="C160" s="22">
        <v>710</v>
      </c>
      <c r="D160" s="53"/>
      <c r="E160" s="7">
        <f t="shared" si="2"/>
        <v>243057</v>
      </c>
      <c r="F160" s="4">
        <v>-710</v>
      </c>
      <c r="G160" s="4"/>
    </row>
    <row r="161" spans="1:7" x14ac:dyDescent="0.25">
      <c r="A161" s="80">
        <v>46119</v>
      </c>
      <c r="B161" s="4" t="s">
        <v>307</v>
      </c>
      <c r="C161" s="22">
        <v>1745</v>
      </c>
      <c r="D161" s="53"/>
      <c r="E161" s="7">
        <f t="shared" si="2"/>
        <v>244802</v>
      </c>
      <c r="F161" s="4">
        <v>-1745</v>
      </c>
      <c r="G161" s="4"/>
    </row>
    <row r="162" spans="1:7" x14ac:dyDescent="0.25">
      <c r="A162" s="80">
        <v>46119</v>
      </c>
      <c r="B162" s="4" t="s">
        <v>284</v>
      </c>
      <c r="C162" s="22">
        <v>30000</v>
      </c>
      <c r="D162" s="53"/>
      <c r="E162" s="7">
        <f t="shared" si="2"/>
        <v>274802</v>
      </c>
      <c r="F162" s="4"/>
      <c r="G162" s="4"/>
    </row>
    <row r="163" spans="1:7" x14ac:dyDescent="0.25">
      <c r="A163" s="80">
        <v>46121</v>
      </c>
      <c r="B163" s="4" t="s">
        <v>284</v>
      </c>
      <c r="C163" s="22">
        <v>70000</v>
      </c>
      <c r="D163" s="53"/>
      <c r="E163" s="7">
        <f t="shared" si="2"/>
        <v>344802</v>
      </c>
      <c r="F163" s="4"/>
      <c r="G163" s="4"/>
    </row>
    <row r="164" spans="1:7" x14ac:dyDescent="0.25">
      <c r="A164" s="80">
        <v>46123</v>
      </c>
      <c r="B164" s="4" t="s">
        <v>284</v>
      </c>
      <c r="C164" s="22">
        <v>60000</v>
      </c>
      <c r="D164" s="53"/>
      <c r="E164" s="7">
        <f t="shared" si="2"/>
        <v>404802</v>
      </c>
      <c r="F164" s="4"/>
      <c r="G164" s="4"/>
    </row>
    <row r="165" spans="1:7" x14ac:dyDescent="0.25">
      <c r="A165" s="80">
        <v>46130</v>
      </c>
      <c r="B165" s="4" t="s">
        <v>284</v>
      </c>
      <c r="C165" s="22">
        <v>40000</v>
      </c>
      <c r="D165" s="53"/>
      <c r="E165" s="7">
        <f t="shared" si="2"/>
        <v>444802</v>
      </c>
      <c r="F165" s="4"/>
      <c r="G165" s="4"/>
    </row>
    <row r="166" spans="1:7" x14ac:dyDescent="0.25">
      <c r="A166" s="80">
        <v>46132</v>
      </c>
      <c r="B166" s="4" t="s">
        <v>308</v>
      </c>
      <c r="C166" s="53"/>
      <c r="D166" s="22">
        <v>45590</v>
      </c>
      <c r="E166" s="7">
        <f t="shared" si="2"/>
        <v>399212</v>
      </c>
      <c r="F166" s="4">
        <v>440</v>
      </c>
      <c r="G166" s="4" t="s">
        <v>135</v>
      </c>
    </row>
    <row r="167" spans="1:7" x14ac:dyDescent="0.25">
      <c r="A167" s="80">
        <v>46132</v>
      </c>
      <c r="B167" s="4" t="s">
        <v>309</v>
      </c>
      <c r="C167" s="53"/>
      <c r="D167" s="22">
        <v>41305</v>
      </c>
      <c r="E167" s="7">
        <f t="shared" si="2"/>
        <v>357907</v>
      </c>
      <c r="F167" s="4">
        <v>30</v>
      </c>
      <c r="G167" s="4" t="s">
        <v>135</v>
      </c>
    </row>
    <row r="168" spans="1:7" x14ac:dyDescent="0.25">
      <c r="A168" s="80">
        <v>46134</v>
      </c>
      <c r="B168" s="4" t="s">
        <v>284</v>
      </c>
      <c r="C168" s="22">
        <v>50000</v>
      </c>
      <c r="D168" s="53"/>
      <c r="E168" s="7">
        <f t="shared" si="2"/>
        <v>407907</v>
      </c>
      <c r="F168" s="4"/>
      <c r="G168" s="4"/>
    </row>
    <row r="169" spans="1:7" x14ac:dyDescent="0.25">
      <c r="A169" s="80">
        <v>46135</v>
      </c>
      <c r="B169" s="4" t="s">
        <v>311</v>
      </c>
      <c r="C169" s="53"/>
      <c r="D169" s="22">
        <v>58569</v>
      </c>
      <c r="E169" s="7">
        <f t="shared" si="2"/>
        <v>349338</v>
      </c>
      <c r="F169" s="4"/>
      <c r="G169" s="4"/>
    </row>
    <row r="170" spans="1:7" x14ac:dyDescent="0.25">
      <c r="A170" s="80">
        <v>46136</v>
      </c>
      <c r="B170" s="4" t="s">
        <v>310</v>
      </c>
      <c r="C170" s="53"/>
      <c r="D170" s="22">
        <v>1903</v>
      </c>
      <c r="E170" s="7">
        <f t="shared" si="2"/>
        <v>347435</v>
      </c>
      <c r="F170" s="4"/>
      <c r="G170" s="4"/>
    </row>
    <row r="171" spans="1:7" x14ac:dyDescent="0.25">
      <c r="A171" s="80">
        <v>46137</v>
      </c>
      <c r="B171" s="4" t="s">
        <v>284</v>
      </c>
      <c r="C171" s="22">
        <v>40000</v>
      </c>
      <c r="D171" s="53"/>
      <c r="E171" s="7">
        <f t="shared" si="2"/>
        <v>387435</v>
      </c>
      <c r="F171" s="4"/>
      <c r="G171" s="4"/>
    </row>
    <row r="172" spans="1:7" x14ac:dyDescent="0.25">
      <c r="A172" s="80">
        <v>46139</v>
      </c>
      <c r="B172" s="4" t="s">
        <v>312</v>
      </c>
      <c r="C172" s="53"/>
      <c r="D172" s="22">
        <v>61860</v>
      </c>
      <c r="E172" s="7">
        <f t="shared" si="2"/>
        <v>325575</v>
      </c>
      <c r="F172" s="4">
        <v>2250</v>
      </c>
      <c r="G172" s="4" t="s">
        <v>135</v>
      </c>
    </row>
    <row r="173" spans="1:7" x14ac:dyDescent="0.25">
      <c r="A173" s="80">
        <v>46140</v>
      </c>
      <c r="B173" s="4" t="s">
        <v>284</v>
      </c>
      <c r="C173" s="22">
        <v>30000</v>
      </c>
      <c r="D173" s="53"/>
      <c r="E173" s="7">
        <f t="shared" si="2"/>
        <v>355575</v>
      </c>
      <c r="F173" s="4"/>
      <c r="G173" s="4"/>
    </row>
    <row r="174" spans="1:7" x14ac:dyDescent="0.25">
      <c r="A174" s="80">
        <v>46140</v>
      </c>
      <c r="B174" s="4" t="s">
        <v>313</v>
      </c>
      <c r="C174" s="53"/>
      <c r="D174" s="22">
        <v>54635</v>
      </c>
      <c r="E174" s="7">
        <f t="shared" si="2"/>
        <v>300940</v>
      </c>
      <c r="F174" s="4">
        <v>115</v>
      </c>
      <c r="G174" s="4" t="s">
        <v>135</v>
      </c>
    </row>
    <row r="175" spans="1:7" x14ac:dyDescent="0.25">
      <c r="A175" s="80">
        <v>46141</v>
      </c>
      <c r="B175" s="4" t="s">
        <v>314</v>
      </c>
      <c r="C175" s="22">
        <v>3875</v>
      </c>
      <c r="D175" s="53"/>
      <c r="E175" s="7">
        <f t="shared" si="2"/>
        <v>304815</v>
      </c>
      <c r="F175" s="4">
        <v>-3875</v>
      </c>
      <c r="G175" s="4" t="s">
        <v>135</v>
      </c>
    </row>
    <row r="176" spans="1:7" x14ac:dyDescent="0.25">
      <c r="A176" s="80">
        <v>46141</v>
      </c>
      <c r="B176" s="4" t="s">
        <v>284</v>
      </c>
      <c r="C176" s="22">
        <v>30000</v>
      </c>
      <c r="D176" s="53"/>
      <c r="E176" s="7">
        <f t="shared" si="2"/>
        <v>334815</v>
      </c>
      <c r="F176" s="4"/>
      <c r="G176" s="4"/>
    </row>
    <row r="177" spans="1:7" x14ac:dyDescent="0.25">
      <c r="A177" s="80">
        <v>46141</v>
      </c>
      <c r="B177" s="4" t="s">
        <v>315</v>
      </c>
      <c r="C177" s="53"/>
      <c r="D177" s="22">
        <v>61743</v>
      </c>
      <c r="E177" s="7">
        <f t="shared" si="2"/>
        <v>273072</v>
      </c>
      <c r="F177" s="4">
        <v>415</v>
      </c>
      <c r="G177" s="4" t="s">
        <v>135</v>
      </c>
    </row>
    <row r="178" spans="1:7" x14ac:dyDescent="0.25">
      <c r="A178" s="80">
        <v>46141</v>
      </c>
      <c r="B178" s="4" t="s">
        <v>310</v>
      </c>
      <c r="C178" s="53"/>
      <c r="D178" s="22">
        <v>1092</v>
      </c>
      <c r="E178" s="7">
        <f t="shared" si="2"/>
        <v>271980</v>
      </c>
      <c r="F178" s="4"/>
      <c r="G178" s="4"/>
    </row>
    <row r="179" spans="1:7" x14ac:dyDescent="0.25">
      <c r="A179" s="80">
        <v>46142</v>
      </c>
      <c r="B179" s="4" t="s">
        <v>284</v>
      </c>
      <c r="C179" s="22">
        <v>31000</v>
      </c>
      <c r="D179" s="53"/>
      <c r="E179" s="7">
        <f t="shared" si="2"/>
        <v>302980</v>
      </c>
      <c r="F179" s="4"/>
      <c r="G179" s="4"/>
    </row>
    <row r="180" spans="1:7" x14ac:dyDescent="0.25">
      <c r="A180" s="80">
        <v>46144</v>
      </c>
      <c r="B180" s="4" t="s">
        <v>304</v>
      </c>
      <c r="C180" s="53"/>
      <c r="D180" s="22">
        <v>2750</v>
      </c>
      <c r="E180" s="7">
        <f t="shared" si="2"/>
        <v>300230</v>
      </c>
      <c r="F180" s="4"/>
      <c r="G180" s="4"/>
    </row>
    <row r="181" spans="1:7" x14ac:dyDescent="0.25">
      <c r="A181" s="80">
        <v>46145</v>
      </c>
      <c r="B181" s="4" t="s">
        <v>284</v>
      </c>
      <c r="C181" s="22">
        <v>30000</v>
      </c>
      <c r="D181" s="53"/>
      <c r="E181" s="7">
        <f t="shared" si="2"/>
        <v>330230</v>
      </c>
      <c r="F181" s="4"/>
      <c r="G181" s="4"/>
    </row>
    <row r="182" spans="1:7" x14ac:dyDescent="0.25">
      <c r="A182" s="80">
        <v>46147</v>
      </c>
      <c r="B182" s="4" t="s">
        <v>316</v>
      </c>
      <c r="C182" s="53"/>
      <c r="D182" s="22">
        <v>66915</v>
      </c>
      <c r="E182" s="7">
        <f t="shared" si="2"/>
        <v>263315</v>
      </c>
      <c r="F182" s="4">
        <v>1080</v>
      </c>
      <c r="G182" s="4" t="s">
        <v>135</v>
      </c>
    </row>
    <row r="183" spans="1:7" x14ac:dyDescent="0.25">
      <c r="A183" s="80">
        <v>46147</v>
      </c>
      <c r="B183" s="4" t="s">
        <v>316</v>
      </c>
      <c r="C183" s="53"/>
      <c r="D183" s="22">
        <v>11746</v>
      </c>
      <c r="E183" s="7">
        <f t="shared" si="2"/>
        <v>251569</v>
      </c>
      <c r="F183" s="4"/>
      <c r="G183" s="4"/>
    </row>
    <row r="184" spans="1:7" x14ac:dyDescent="0.25">
      <c r="A184" s="80">
        <v>46148</v>
      </c>
      <c r="B184" s="4" t="s">
        <v>317</v>
      </c>
      <c r="C184" s="53"/>
      <c r="D184" s="22">
        <v>4000</v>
      </c>
      <c r="E184" s="7">
        <f t="shared" si="2"/>
        <v>247569</v>
      </c>
      <c r="F184" s="4"/>
      <c r="G184" s="4"/>
    </row>
    <row r="185" spans="1:7" x14ac:dyDescent="0.25">
      <c r="A185" s="80">
        <v>46149</v>
      </c>
      <c r="B185" s="4" t="s">
        <v>298</v>
      </c>
      <c r="C185" s="53"/>
      <c r="D185" s="22">
        <v>10000</v>
      </c>
      <c r="E185" s="7">
        <f t="shared" si="2"/>
        <v>237569</v>
      </c>
      <c r="F185" s="4"/>
      <c r="G185" s="4"/>
    </row>
    <row r="186" spans="1:7" x14ac:dyDescent="0.25">
      <c r="A186" s="80">
        <v>46156</v>
      </c>
      <c r="B186" s="4" t="s">
        <v>318</v>
      </c>
      <c r="C186" s="53"/>
      <c r="D186" s="22">
        <v>5000</v>
      </c>
      <c r="E186" s="7">
        <f t="shared" si="2"/>
        <v>232569</v>
      </c>
      <c r="F186" s="4"/>
      <c r="G186" s="4"/>
    </row>
    <row r="187" spans="1:7" x14ac:dyDescent="0.25">
      <c r="A187" s="80">
        <v>46156</v>
      </c>
      <c r="B187" s="4" t="s">
        <v>319</v>
      </c>
      <c r="C187" s="53"/>
      <c r="D187" s="22">
        <v>5000</v>
      </c>
      <c r="E187" s="7">
        <f t="shared" si="2"/>
        <v>227569</v>
      </c>
      <c r="F187" s="4"/>
      <c r="G187" s="4"/>
    </row>
    <row r="188" spans="1:7" x14ac:dyDescent="0.25">
      <c r="A188" s="80">
        <v>46158</v>
      </c>
      <c r="B188" s="4" t="s">
        <v>320</v>
      </c>
      <c r="C188" s="53"/>
      <c r="D188" s="22">
        <v>31960</v>
      </c>
      <c r="E188" s="7">
        <f t="shared" si="2"/>
        <v>195609</v>
      </c>
      <c r="F188" s="4"/>
      <c r="G188" s="4"/>
    </row>
    <row r="189" spans="1:7" x14ac:dyDescent="0.25">
      <c r="A189" s="80">
        <v>46159</v>
      </c>
      <c r="B189" s="4" t="s">
        <v>284</v>
      </c>
      <c r="C189" s="22">
        <v>30000</v>
      </c>
      <c r="D189" s="53"/>
      <c r="E189" s="7">
        <f t="shared" si="2"/>
        <v>225609</v>
      </c>
      <c r="F189" s="4"/>
      <c r="G189" s="4"/>
    </row>
    <row r="190" spans="1:7" x14ac:dyDescent="0.25">
      <c r="A190" s="80">
        <v>46162</v>
      </c>
      <c r="B190" s="4" t="s">
        <v>321</v>
      </c>
      <c r="C190" s="53"/>
      <c r="D190" s="22">
        <v>57020</v>
      </c>
      <c r="E190" s="7">
        <f t="shared" si="2"/>
        <v>168589</v>
      </c>
      <c r="F190" s="4"/>
      <c r="G190" s="4"/>
    </row>
    <row r="191" spans="1:7" x14ac:dyDescent="0.25">
      <c r="A191" s="80">
        <v>46167</v>
      </c>
      <c r="B191" s="4" t="s">
        <v>316</v>
      </c>
      <c r="C191" s="53"/>
      <c r="D191" s="22">
        <v>29225</v>
      </c>
      <c r="E191" s="7">
        <f t="shared" si="2"/>
        <v>139364</v>
      </c>
      <c r="F191" s="4">
        <v>-710</v>
      </c>
      <c r="G191" s="4" t="s">
        <v>135</v>
      </c>
    </row>
    <row r="192" spans="1:7" x14ac:dyDescent="0.25">
      <c r="A192" s="80">
        <v>46172</v>
      </c>
      <c r="B192" s="4" t="s">
        <v>322</v>
      </c>
      <c r="C192" s="22">
        <v>30000</v>
      </c>
      <c r="D192" s="53"/>
      <c r="E192" s="7">
        <f t="shared" si="2"/>
        <v>169364</v>
      </c>
      <c r="F192" s="4"/>
      <c r="G192" s="4"/>
    </row>
    <row r="193" spans="1:11" x14ac:dyDescent="0.25">
      <c r="A193" s="80">
        <v>46178</v>
      </c>
      <c r="B193" s="4" t="s">
        <v>284</v>
      </c>
      <c r="C193" s="22">
        <v>25000</v>
      </c>
      <c r="D193" s="53"/>
      <c r="E193" s="7">
        <f t="shared" si="2"/>
        <v>194364</v>
      </c>
      <c r="F193" s="4"/>
      <c r="G193" s="4"/>
    </row>
    <row r="194" spans="1:11" x14ac:dyDescent="0.25">
      <c r="A194" s="80">
        <v>46181</v>
      </c>
      <c r="B194" s="4" t="s">
        <v>323</v>
      </c>
      <c r="C194" s="53"/>
      <c r="D194" s="22">
        <v>34230</v>
      </c>
      <c r="E194" s="7">
        <f t="shared" si="2"/>
        <v>160134</v>
      </c>
      <c r="F194" s="4"/>
      <c r="G194" s="4"/>
    </row>
    <row r="195" spans="1:11" x14ac:dyDescent="0.25">
      <c r="A195" s="80">
        <v>46183</v>
      </c>
      <c r="B195" s="4" t="s">
        <v>284</v>
      </c>
      <c r="C195" s="22">
        <v>25000</v>
      </c>
      <c r="D195" s="53"/>
      <c r="E195" s="7">
        <f t="shared" si="2"/>
        <v>185134</v>
      </c>
      <c r="F195" s="4"/>
      <c r="G195" s="4"/>
    </row>
    <row r="196" spans="1:11" x14ac:dyDescent="0.25">
      <c r="A196" s="80">
        <v>46185</v>
      </c>
      <c r="B196" s="4" t="s">
        <v>284</v>
      </c>
      <c r="C196" s="53">
        <v>0</v>
      </c>
      <c r="D196" s="53"/>
      <c r="E196" s="7">
        <f t="shared" si="2"/>
        <v>185134</v>
      </c>
      <c r="F196" s="4"/>
      <c r="G196" s="4"/>
    </row>
    <row r="197" spans="1:11" x14ac:dyDescent="0.25">
      <c r="A197" s="80">
        <v>46185</v>
      </c>
      <c r="B197" s="4" t="s">
        <v>317</v>
      </c>
      <c r="C197" s="53"/>
      <c r="D197" s="22">
        <v>2750</v>
      </c>
      <c r="E197" s="7">
        <f t="shared" ref="E197:E206" si="3">E196+C197-D197</f>
        <v>182384</v>
      </c>
      <c r="F197" s="4"/>
      <c r="G197" s="4"/>
    </row>
    <row r="198" spans="1:11" x14ac:dyDescent="0.25">
      <c r="A198" s="80">
        <v>46190</v>
      </c>
      <c r="B198" s="4" t="s">
        <v>324</v>
      </c>
      <c r="C198" s="53"/>
      <c r="D198" s="22">
        <v>16180</v>
      </c>
      <c r="E198" s="7">
        <f t="shared" si="3"/>
        <v>166204</v>
      </c>
      <c r="F198" s="4"/>
      <c r="G198" s="4"/>
    </row>
    <row r="199" spans="1:11" x14ac:dyDescent="0.25">
      <c r="A199" s="80">
        <v>46190</v>
      </c>
      <c r="B199" s="4" t="s">
        <v>316</v>
      </c>
      <c r="C199" s="53"/>
      <c r="D199" s="22">
        <v>42205</v>
      </c>
      <c r="E199" s="7">
        <f t="shared" si="3"/>
        <v>123999</v>
      </c>
      <c r="F199" s="4">
        <v>80</v>
      </c>
      <c r="G199" s="4" t="s">
        <v>135</v>
      </c>
      <c r="H199" s="30"/>
      <c r="I199" s="79"/>
      <c r="J199" s="79"/>
      <c r="K199" s="48"/>
    </row>
    <row r="200" spans="1:11" x14ac:dyDescent="0.25">
      <c r="A200" s="32"/>
      <c r="B200" s="17" t="s">
        <v>15</v>
      </c>
      <c r="C200" s="53"/>
      <c r="D200" s="53">
        <v>2962</v>
      </c>
      <c r="E200" s="7">
        <f t="shared" si="3"/>
        <v>121037</v>
      </c>
      <c r="F200" s="4"/>
      <c r="G200" s="4"/>
    </row>
    <row r="201" spans="1:11" x14ac:dyDescent="0.25">
      <c r="A201" s="32"/>
      <c r="B201" s="17" t="s">
        <v>346</v>
      </c>
      <c r="C201" s="53"/>
      <c r="D201" s="53">
        <v>160</v>
      </c>
      <c r="E201" s="7">
        <f t="shared" si="3"/>
        <v>120877</v>
      </c>
      <c r="F201" s="4"/>
      <c r="G201" s="4"/>
    </row>
    <row r="202" spans="1:11" x14ac:dyDescent="0.25">
      <c r="A202" s="32"/>
      <c r="B202" s="17" t="s">
        <v>347</v>
      </c>
      <c r="C202" s="53"/>
      <c r="D202" s="53">
        <v>1400</v>
      </c>
      <c r="E202" s="7">
        <f t="shared" si="3"/>
        <v>119477</v>
      </c>
      <c r="F202" s="4"/>
      <c r="G202" s="4"/>
    </row>
    <row r="203" spans="1:11" x14ac:dyDescent="0.25">
      <c r="E203" s="83">
        <f t="shared" si="3"/>
        <v>119477</v>
      </c>
    </row>
    <row r="204" spans="1:11" x14ac:dyDescent="0.25">
      <c r="E204" s="7">
        <f t="shared" si="3"/>
        <v>119477</v>
      </c>
    </row>
    <row r="205" spans="1:11" x14ac:dyDescent="0.25">
      <c r="E205" s="7">
        <f t="shared" si="3"/>
        <v>119477</v>
      </c>
    </row>
    <row r="206" spans="1:11" x14ac:dyDescent="0.25">
      <c r="E206" s="7">
        <f t="shared" si="3"/>
        <v>119477</v>
      </c>
    </row>
    <row r="216" spans="10:12" x14ac:dyDescent="0.25">
      <c r="J216" s="103"/>
      <c r="K216" s="30"/>
      <c r="L216" s="79"/>
    </row>
    <row r="217" spans="10:12" x14ac:dyDescent="0.25">
      <c r="J217" s="100">
        <v>46265</v>
      </c>
      <c r="K217" s="101" t="s">
        <v>348</v>
      </c>
      <c r="L217" s="79">
        <v>16500</v>
      </c>
    </row>
    <row r="218" spans="10:12" x14ac:dyDescent="0.25">
      <c r="J218" s="100">
        <v>46273</v>
      </c>
      <c r="K218" s="101" t="s">
        <v>349</v>
      </c>
      <c r="L218" s="79">
        <v>4315</v>
      </c>
    </row>
    <row r="219" spans="10:12" x14ac:dyDescent="0.25">
      <c r="J219" s="100">
        <v>46119</v>
      </c>
      <c r="K219" s="101" t="s">
        <v>307</v>
      </c>
      <c r="L219" s="79">
        <v>1745</v>
      </c>
    </row>
    <row r="220" spans="10:12" x14ac:dyDescent="0.25">
      <c r="J220" s="100">
        <v>46053</v>
      </c>
      <c r="K220" s="102" t="s">
        <v>350</v>
      </c>
      <c r="L220" s="79">
        <v>6000</v>
      </c>
    </row>
    <row r="221" spans="10:12" x14ac:dyDescent="0.25">
      <c r="J221" s="103"/>
      <c r="K221" s="99" t="s">
        <v>351</v>
      </c>
      <c r="L221" s="79">
        <v>4444</v>
      </c>
    </row>
    <row r="222" spans="10:12" x14ac:dyDescent="0.25">
      <c r="J222" s="100">
        <v>46141</v>
      </c>
      <c r="K222" s="30" t="s">
        <v>314</v>
      </c>
      <c r="L222" s="79">
        <v>3875</v>
      </c>
    </row>
    <row r="223" spans="10:12" x14ac:dyDescent="0.25">
      <c r="J223" s="100">
        <v>46119</v>
      </c>
      <c r="K223" s="30" t="s">
        <v>306</v>
      </c>
      <c r="L223" s="79">
        <v>710</v>
      </c>
    </row>
    <row r="224" spans="10:12" x14ac:dyDescent="0.25">
      <c r="J224" s="103"/>
      <c r="K224" s="30"/>
      <c r="L224" s="79"/>
    </row>
    <row r="225" spans="10:12" x14ac:dyDescent="0.25">
      <c r="J225" s="81"/>
      <c r="K225"/>
      <c r="L225" s="69">
        <f>SUM(L217:L224)</f>
        <v>37589</v>
      </c>
    </row>
  </sheetData>
  <autoFilter ref="A2:G206" xr:uid="{8E925CDA-E0CB-41CC-AB8D-1A3029A3654C}"/>
  <mergeCells count="2">
    <mergeCell ref="F155:F156"/>
    <mergeCell ref="G155:G156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F9E1-24F5-4454-88B6-A8B24CCF82DE}">
  <dimension ref="A1:E96"/>
  <sheetViews>
    <sheetView workbookViewId="0">
      <selection activeCell="D102" sqref="D102"/>
    </sheetView>
  </sheetViews>
  <sheetFormatPr defaultRowHeight="15" x14ac:dyDescent="0.25"/>
  <cols>
    <col min="1" max="1" width="14.42578125" customWidth="1"/>
    <col min="2" max="2" width="35" customWidth="1"/>
    <col min="3" max="3" width="20.140625" customWidth="1"/>
    <col min="4" max="4" width="23.5703125" customWidth="1"/>
    <col min="5" max="5" width="24.28515625" customWidth="1"/>
  </cols>
  <sheetData>
    <row r="1" spans="1:5" x14ac:dyDescent="0.25">
      <c r="A1" s="34" t="s">
        <v>208</v>
      </c>
      <c r="B1" s="34" t="s">
        <v>264</v>
      </c>
      <c r="C1" s="76" t="s">
        <v>265</v>
      </c>
      <c r="D1" s="76" t="s">
        <v>266</v>
      </c>
      <c r="E1" s="76" t="s">
        <v>267</v>
      </c>
    </row>
    <row r="2" spans="1:5" x14ac:dyDescent="0.25">
      <c r="A2" s="4"/>
      <c r="B2" s="4" t="s">
        <v>269</v>
      </c>
      <c r="C2" s="53"/>
      <c r="D2" s="53"/>
      <c r="E2" s="53">
        <v>138750</v>
      </c>
    </row>
    <row r="3" spans="1:5" x14ac:dyDescent="0.25">
      <c r="A3" s="54">
        <v>46023</v>
      </c>
      <c r="B3" s="4" t="s">
        <v>268</v>
      </c>
      <c r="C3" s="53"/>
      <c r="D3" s="53">
        <v>31600</v>
      </c>
      <c r="E3" s="53">
        <f t="shared" ref="E3:E34" si="0">E2-D3+C3</f>
        <v>107150</v>
      </c>
    </row>
    <row r="4" spans="1:5" x14ac:dyDescent="0.25">
      <c r="A4" s="54">
        <v>46030</v>
      </c>
      <c r="B4" s="4" t="s">
        <v>270</v>
      </c>
      <c r="C4" s="53"/>
      <c r="D4" s="53">
        <v>31410</v>
      </c>
      <c r="E4" s="53">
        <f t="shared" si="0"/>
        <v>75740</v>
      </c>
    </row>
    <row r="5" spans="1:5" x14ac:dyDescent="0.25">
      <c r="A5" s="54">
        <v>46035</v>
      </c>
      <c r="B5" s="4" t="s">
        <v>271</v>
      </c>
      <c r="C5" s="53">
        <v>1260</v>
      </c>
      <c r="D5" s="53"/>
      <c r="E5" s="53">
        <f t="shared" si="0"/>
        <v>77000</v>
      </c>
    </row>
    <row r="6" spans="1:5" x14ac:dyDescent="0.25">
      <c r="A6" s="54">
        <v>46035</v>
      </c>
      <c r="B6" s="4" t="s">
        <v>272</v>
      </c>
      <c r="C6" s="53">
        <v>700</v>
      </c>
      <c r="D6" s="53"/>
      <c r="E6" s="53">
        <f t="shared" si="0"/>
        <v>77700</v>
      </c>
    </row>
    <row r="7" spans="1:5" x14ac:dyDescent="0.25">
      <c r="A7" s="54">
        <v>46035</v>
      </c>
      <c r="B7" s="4" t="s">
        <v>273</v>
      </c>
      <c r="C7" s="53">
        <v>10000</v>
      </c>
      <c r="D7" s="53"/>
      <c r="E7" s="53">
        <f t="shared" si="0"/>
        <v>87700</v>
      </c>
    </row>
    <row r="8" spans="1:5" x14ac:dyDescent="0.25">
      <c r="A8" s="54">
        <v>46035</v>
      </c>
      <c r="B8" s="4" t="s">
        <v>274</v>
      </c>
      <c r="C8" s="53">
        <v>20000</v>
      </c>
      <c r="D8" s="53"/>
      <c r="E8" s="53">
        <f t="shared" si="0"/>
        <v>107700</v>
      </c>
    </row>
    <row r="9" spans="1:5" x14ac:dyDescent="0.25">
      <c r="A9" s="54">
        <v>46037</v>
      </c>
      <c r="B9" s="4" t="s">
        <v>275</v>
      </c>
      <c r="C9" s="53"/>
      <c r="D9" s="53">
        <v>76450</v>
      </c>
      <c r="E9" s="53">
        <f t="shared" si="0"/>
        <v>31250</v>
      </c>
    </row>
    <row r="10" spans="1:5" x14ac:dyDescent="0.25">
      <c r="A10" s="54">
        <v>46037</v>
      </c>
      <c r="B10" s="4" t="s">
        <v>276</v>
      </c>
      <c r="C10" s="53"/>
      <c r="D10" s="53">
        <v>3880</v>
      </c>
      <c r="E10" s="53">
        <f t="shared" si="0"/>
        <v>27370</v>
      </c>
    </row>
    <row r="11" spans="1:5" x14ac:dyDescent="0.25">
      <c r="A11" s="54">
        <v>46039</v>
      </c>
      <c r="B11" s="4" t="s">
        <v>274</v>
      </c>
      <c r="C11" s="53">
        <v>50000</v>
      </c>
      <c r="D11" s="53"/>
      <c r="E11" s="53">
        <f t="shared" si="0"/>
        <v>77370</v>
      </c>
    </row>
    <row r="12" spans="1:5" x14ac:dyDescent="0.25">
      <c r="A12" s="54">
        <v>46039</v>
      </c>
      <c r="B12" s="4" t="s">
        <v>277</v>
      </c>
      <c r="C12" s="53">
        <v>50000</v>
      </c>
      <c r="D12" s="53"/>
      <c r="E12" s="53">
        <f t="shared" si="0"/>
        <v>127370</v>
      </c>
    </row>
    <row r="13" spans="1:5" x14ac:dyDescent="0.25">
      <c r="A13" s="54">
        <v>46041</v>
      </c>
      <c r="B13" s="4" t="s">
        <v>278</v>
      </c>
      <c r="C13" s="53"/>
      <c r="D13" s="53">
        <v>62565</v>
      </c>
      <c r="E13" s="53">
        <f t="shared" si="0"/>
        <v>64805</v>
      </c>
    </row>
    <row r="14" spans="1:5" x14ac:dyDescent="0.25">
      <c r="A14" s="54">
        <v>46046</v>
      </c>
      <c r="B14" s="4" t="s">
        <v>279</v>
      </c>
      <c r="C14" s="53"/>
      <c r="D14" s="53">
        <v>44610</v>
      </c>
      <c r="E14" s="53">
        <f t="shared" si="0"/>
        <v>20195</v>
      </c>
    </row>
    <row r="15" spans="1:5" x14ac:dyDescent="0.25">
      <c r="A15" s="54">
        <v>46048</v>
      </c>
      <c r="B15" s="4" t="s">
        <v>280</v>
      </c>
      <c r="C15" s="53">
        <v>25000</v>
      </c>
      <c r="D15" s="53"/>
      <c r="E15" s="53">
        <f t="shared" si="0"/>
        <v>45195</v>
      </c>
    </row>
    <row r="16" spans="1:5" x14ac:dyDescent="0.25">
      <c r="A16" s="54">
        <v>46048</v>
      </c>
      <c r="B16" s="4" t="s">
        <v>281</v>
      </c>
      <c r="C16" s="53">
        <v>25000</v>
      </c>
      <c r="D16" s="53"/>
      <c r="E16" s="53">
        <f t="shared" si="0"/>
        <v>70195</v>
      </c>
    </row>
    <row r="17" spans="1:5" x14ac:dyDescent="0.25">
      <c r="A17" s="54">
        <v>46048</v>
      </c>
      <c r="B17" s="4" t="s">
        <v>282</v>
      </c>
      <c r="C17" s="53">
        <v>26000</v>
      </c>
      <c r="D17" s="53"/>
      <c r="E17" s="53">
        <f t="shared" si="0"/>
        <v>96195</v>
      </c>
    </row>
    <row r="18" spans="1:5" x14ac:dyDescent="0.25">
      <c r="A18" s="54">
        <v>46048</v>
      </c>
      <c r="B18" s="4" t="s">
        <v>283</v>
      </c>
      <c r="C18" s="53">
        <v>40000</v>
      </c>
      <c r="D18" s="53"/>
      <c r="E18" s="53">
        <f t="shared" si="0"/>
        <v>136195</v>
      </c>
    </row>
    <row r="19" spans="1:5" x14ac:dyDescent="0.25">
      <c r="A19" s="54">
        <v>46049</v>
      </c>
      <c r="B19" s="4" t="s">
        <v>284</v>
      </c>
      <c r="C19" s="53">
        <v>50000</v>
      </c>
      <c r="D19" s="53"/>
      <c r="E19" s="53">
        <f t="shared" si="0"/>
        <v>186195</v>
      </c>
    </row>
    <row r="20" spans="1:5" x14ac:dyDescent="0.25">
      <c r="A20" s="54">
        <v>46053</v>
      </c>
      <c r="B20" s="4" t="s">
        <v>285</v>
      </c>
      <c r="C20" s="53">
        <v>6000</v>
      </c>
      <c r="D20" s="53"/>
      <c r="E20" s="53">
        <f t="shared" si="0"/>
        <v>192195</v>
      </c>
    </row>
    <row r="21" spans="1:5" x14ac:dyDescent="0.25">
      <c r="A21" s="54">
        <v>46058</v>
      </c>
      <c r="B21" s="4" t="s">
        <v>284</v>
      </c>
      <c r="C21" s="53">
        <v>10000</v>
      </c>
      <c r="D21" s="53"/>
      <c r="E21" s="53">
        <f t="shared" si="0"/>
        <v>202195</v>
      </c>
    </row>
    <row r="22" spans="1:5" x14ac:dyDescent="0.25">
      <c r="A22" s="54">
        <v>46060</v>
      </c>
      <c r="B22" s="4" t="s">
        <v>286</v>
      </c>
      <c r="C22" s="53">
        <v>30000</v>
      </c>
      <c r="D22" s="53"/>
      <c r="E22" s="53">
        <f t="shared" si="0"/>
        <v>232195</v>
      </c>
    </row>
    <row r="23" spans="1:5" x14ac:dyDescent="0.25">
      <c r="A23" s="54">
        <v>46060</v>
      </c>
      <c r="B23" s="4" t="s">
        <v>287</v>
      </c>
      <c r="C23" s="53">
        <v>40000</v>
      </c>
      <c r="D23" s="53"/>
      <c r="E23" s="53">
        <f t="shared" si="0"/>
        <v>272195</v>
      </c>
    </row>
    <row r="24" spans="1:5" x14ac:dyDescent="0.25">
      <c r="A24" s="54">
        <v>46060</v>
      </c>
      <c r="B24" s="4" t="s">
        <v>287</v>
      </c>
      <c r="C24" s="53">
        <v>30000</v>
      </c>
      <c r="D24" s="53"/>
      <c r="E24" s="53">
        <f t="shared" si="0"/>
        <v>302195</v>
      </c>
    </row>
    <row r="25" spans="1:5" x14ac:dyDescent="0.25">
      <c r="A25" s="54">
        <v>46065</v>
      </c>
      <c r="B25" s="4" t="s">
        <v>284</v>
      </c>
      <c r="C25" s="53">
        <v>60000</v>
      </c>
      <c r="D25" s="53"/>
      <c r="E25" s="53">
        <f t="shared" si="0"/>
        <v>362195</v>
      </c>
    </row>
    <row r="26" spans="1:5" x14ac:dyDescent="0.25">
      <c r="A26" s="54">
        <v>46065</v>
      </c>
      <c r="B26" s="4" t="s">
        <v>288</v>
      </c>
      <c r="C26" s="53"/>
      <c r="D26" s="53">
        <v>68726</v>
      </c>
      <c r="E26" s="53">
        <f t="shared" si="0"/>
        <v>293469</v>
      </c>
    </row>
    <row r="27" spans="1:5" x14ac:dyDescent="0.25">
      <c r="A27" s="54">
        <v>46066</v>
      </c>
      <c r="B27" s="4" t="s">
        <v>284</v>
      </c>
      <c r="C27" s="53">
        <v>40000</v>
      </c>
      <c r="D27" s="53"/>
      <c r="E27" s="53">
        <f t="shared" si="0"/>
        <v>333469</v>
      </c>
    </row>
    <row r="28" spans="1:5" x14ac:dyDescent="0.25">
      <c r="A28" s="54">
        <v>46067</v>
      </c>
      <c r="B28" s="4" t="s">
        <v>289</v>
      </c>
      <c r="C28" s="53"/>
      <c r="D28" s="53">
        <v>81405</v>
      </c>
      <c r="E28" s="53">
        <f t="shared" si="0"/>
        <v>252064</v>
      </c>
    </row>
    <row r="29" spans="1:5" x14ac:dyDescent="0.25">
      <c r="A29" s="54">
        <v>46069</v>
      </c>
      <c r="B29" s="4" t="s">
        <v>284</v>
      </c>
      <c r="C29" s="53">
        <v>50000</v>
      </c>
      <c r="D29" s="53"/>
      <c r="E29" s="53">
        <f t="shared" si="0"/>
        <v>302064</v>
      </c>
    </row>
    <row r="30" spans="1:5" x14ac:dyDescent="0.25">
      <c r="A30" s="54">
        <v>46071</v>
      </c>
      <c r="B30" s="4" t="s">
        <v>284</v>
      </c>
      <c r="C30" s="53">
        <v>50000</v>
      </c>
      <c r="D30" s="53"/>
      <c r="E30" s="53">
        <f t="shared" si="0"/>
        <v>352064</v>
      </c>
    </row>
    <row r="31" spans="1:5" x14ac:dyDescent="0.25">
      <c r="A31" s="54">
        <v>46072</v>
      </c>
      <c r="B31" s="4" t="s">
        <v>290</v>
      </c>
      <c r="C31" s="53"/>
      <c r="D31" s="53">
        <v>93880</v>
      </c>
      <c r="E31" s="53">
        <f t="shared" si="0"/>
        <v>258184</v>
      </c>
    </row>
    <row r="32" spans="1:5" x14ac:dyDescent="0.25">
      <c r="A32" s="54">
        <v>46073</v>
      </c>
      <c r="B32" s="4" t="s">
        <v>291</v>
      </c>
      <c r="C32" s="53"/>
      <c r="D32" s="53">
        <v>44090</v>
      </c>
      <c r="E32" s="53">
        <f t="shared" si="0"/>
        <v>214094</v>
      </c>
    </row>
    <row r="33" spans="1:5" x14ac:dyDescent="0.25">
      <c r="A33" s="54">
        <v>46074</v>
      </c>
      <c r="B33" s="4" t="s">
        <v>292</v>
      </c>
      <c r="C33" s="53">
        <v>50000</v>
      </c>
      <c r="D33" s="53"/>
      <c r="E33" s="53">
        <f t="shared" si="0"/>
        <v>264094</v>
      </c>
    </row>
    <row r="34" spans="1:5" x14ac:dyDescent="0.25">
      <c r="A34" s="54">
        <v>46076</v>
      </c>
      <c r="B34" s="4" t="s">
        <v>284</v>
      </c>
      <c r="C34" s="53">
        <v>100000</v>
      </c>
      <c r="D34" s="53"/>
      <c r="E34" s="53">
        <f t="shared" si="0"/>
        <v>364094</v>
      </c>
    </row>
    <row r="35" spans="1:5" x14ac:dyDescent="0.25">
      <c r="A35" s="54">
        <v>46077</v>
      </c>
      <c r="B35" s="4" t="s">
        <v>293</v>
      </c>
      <c r="C35" s="53"/>
      <c r="D35" s="53">
        <v>64395</v>
      </c>
      <c r="E35" s="53">
        <f t="shared" ref="E35:E66" si="1">E34-D35+C35</f>
        <v>299699</v>
      </c>
    </row>
    <row r="36" spans="1:5" x14ac:dyDescent="0.25">
      <c r="A36" s="54">
        <v>46078</v>
      </c>
      <c r="B36" s="4" t="s">
        <v>294</v>
      </c>
      <c r="C36" s="53">
        <v>50000</v>
      </c>
      <c r="D36" s="53"/>
      <c r="E36" s="53">
        <f t="shared" si="1"/>
        <v>349699</v>
      </c>
    </row>
    <row r="37" spans="1:5" x14ac:dyDescent="0.25">
      <c r="A37" s="54">
        <v>46079</v>
      </c>
      <c r="B37" s="4" t="s">
        <v>284</v>
      </c>
      <c r="C37" s="53">
        <v>51000</v>
      </c>
      <c r="D37" s="53"/>
      <c r="E37" s="53">
        <f t="shared" si="1"/>
        <v>400699</v>
      </c>
    </row>
    <row r="38" spans="1:5" x14ac:dyDescent="0.25">
      <c r="A38" s="54">
        <v>46080</v>
      </c>
      <c r="B38" s="4" t="s">
        <v>295</v>
      </c>
      <c r="C38" s="53"/>
      <c r="D38" s="53">
        <v>29880</v>
      </c>
      <c r="E38" s="53">
        <f t="shared" si="1"/>
        <v>370819</v>
      </c>
    </row>
    <row r="39" spans="1:5" x14ac:dyDescent="0.25">
      <c r="A39" s="54">
        <v>46080</v>
      </c>
      <c r="B39" s="4" t="s">
        <v>296</v>
      </c>
      <c r="C39" s="53"/>
      <c r="D39" s="53">
        <v>84985</v>
      </c>
      <c r="E39" s="53">
        <f t="shared" si="1"/>
        <v>285834</v>
      </c>
    </row>
    <row r="40" spans="1:5" x14ac:dyDescent="0.25">
      <c r="A40" s="54">
        <v>46082</v>
      </c>
      <c r="B40" s="4" t="s">
        <v>284</v>
      </c>
      <c r="C40" s="53">
        <v>52900</v>
      </c>
      <c r="D40" s="53"/>
      <c r="E40" s="53">
        <f t="shared" si="1"/>
        <v>338734</v>
      </c>
    </row>
    <row r="41" spans="1:5" x14ac:dyDescent="0.25">
      <c r="A41" s="54">
        <v>46082</v>
      </c>
      <c r="B41" s="4" t="s">
        <v>297</v>
      </c>
      <c r="C41" s="53"/>
      <c r="D41" s="53">
        <v>52285</v>
      </c>
      <c r="E41" s="53">
        <f t="shared" si="1"/>
        <v>286449</v>
      </c>
    </row>
    <row r="42" spans="1:5" x14ac:dyDescent="0.25">
      <c r="A42" s="54">
        <v>46097</v>
      </c>
      <c r="B42" s="4" t="s">
        <v>298</v>
      </c>
      <c r="C42" s="53"/>
      <c r="D42" s="53">
        <v>6475</v>
      </c>
      <c r="E42" s="53">
        <f t="shared" si="1"/>
        <v>279974</v>
      </c>
    </row>
    <row r="43" spans="1:5" x14ac:dyDescent="0.25">
      <c r="A43" s="54">
        <v>46099</v>
      </c>
      <c r="B43" s="4" t="s">
        <v>284</v>
      </c>
      <c r="C43" s="53">
        <v>25000</v>
      </c>
      <c r="D43" s="53"/>
      <c r="E43" s="53">
        <f t="shared" si="1"/>
        <v>304974</v>
      </c>
    </row>
    <row r="44" spans="1:5" x14ac:dyDescent="0.25">
      <c r="A44" s="54">
        <v>46100</v>
      </c>
      <c r="B44" s="4" t="s">
        <v>284</v>
      </c>
      <c r="C44" s="53">
        <v>50000</v>
      </c>
      <c r="D44" s="53"/>
      <c r="E44" s="53">
        <f t="shared" si="1"/>
        <v>354974</v>
      </c>
    </row>
    <row r="45" spans="1:5" x14ac:dyDescent="0.25">
      <c r="A45" s="54">
        <v>46101</v>
      </c>
      <c r="B45" s="4" t="s">
        <v>284</v>
      </c>
      <c r="C45" s="53">
        <v>35000</v>
      </c>
      <c r="D45" s="53"/>
      <c r="E45" s="53">
        <f t="shared" si="1"/>
        <v>389974</v>
      </c>
    </row>
    <row r="46" spans="1:5" x14ac:dyDescent="0.25">
      <c r="A46" s="54">
        <v>46112</v>
      </c>
      <c r="B46" s="4" t="s">
        <v>284</v>
      </c>
      <c r="C46" s="53">
        <v>20000</v>
      </c>
      <c r="D46" s="53"/>
      <c r="E46" s="53">
        <f t="shared" si="1"/>
        <v>409974</v>
      </c>
    </row>
    <row r="47" spans="1:5" x14ac:dyDescent="0.25">
      <c r="A47" s="54">
        <v>46112</v>
      </c>
      <c r="B47" s="4" t="s">
        <v>299</v>
      </c>
      <c r="C47" s="53"/>
      <c r="D47" s="53">
        <v>4475</v>
      </c>
      <c r="E47" s="53">
        <f t="shared" si="1"/>
        <v>405499</v>
      </c>
    </row>
    <row r="48" spans="1:5" x14ac:dyDescent="0.25">
      <c r="A48" s="54">
        <v>46112</v>
      </c>
      <c r="B48" s="4" t="s">
        <v>300</v>
      </c>
      <c r="C48" s="53"/>
      <c r="D48" s="53">
        <v>4975</v>
      </c>
      <c r="E48" s="53">
        <f t="shared" si="1"/>
        <v>400524</v>
      </c>
    </row>
    <row r="49" spans="1:5" x14ac:dyDescent="0.25">
      <c r="A49" s="54">
        <v>46112</v>
      </c>
      <c r="B49" s="4" t="s">
        <v>301</v>
      </c>
      <c r="C49" s="53"/>
      <c r="D49" s="53">
        <v>8000</v>
      </c>
      <c r="E49" s="53">
        <f t="shared" si="1"/>
        <v>392524</v>
      </c>
    </row>
    <row r="50" spans="1:5" x14ac:dyDescent="0.25">
      <c r="A50" s="54">
        <v>46112</v>
      </c>
      <c r="B50" s="4" t="s">
        <v>302</v>
      </c>
      <c r="C50" s="53"/>
      <c r="D50" s="53">
        <v>2750</v>
      </c>
      <c r="E50" s="53">
        <f t="shared" si="1"/>
        <v>389774</v>
      </c>
    </row>
    <row r="51" spans="1:5" x14ac:dyDescent="0.25">
      <c r="A51" s="54">
        <v>46112</v>
      </c>
      <c r="B51" s="4" t="s">
        <v>298</v>
      </c>
      <c r="C51" s="53"/>
      <c r="D51" s="53">
        <v>3975</v>
      </c>
      <c r="E51" s="53">
        <f t="shared" si="1"/>
        <v>385799</v>
      </c>
    </row>
    <row r="52" spans="1:5" x14ac:dyDescent="0.25">
      <c r="A52" s="54">
        <v>46113</v>
      </c>
      <c r="B52" s="4" t="s">
        <v>303</v>
      </c>
      <c r="C52" s="53"/>
      <c r="D52" s="53">
        <v>33528</v>
      </c>
      <c r="E52" s="53">
        <f t="shared" si="1"/>
        <v>352271</v>
      </c>
    </row>
    <row r="53" spans="1:5" x14ac:dyDescent="0.25">
      <c r="A53" s="54">
        <v>46113</v>
      </c>
      <c r="B53" s="4" t="s">
        <v>303</v>
      </c>
      <c r="C53" s="53"/>
      <c r="D53" s="53">
        <v>129020</v>
      </c>
      <c r="E53" s="53">
        <f t="shared" si="1"/>
        <v>223251</v>
      </c>
    </row>
    <row r="54" spans="1:5" x14ac:dyDescent="0.25">
      <c r="A54" s="54">
        <v>46114</v>
      </c>
      <c r="B54" s="4" t="s">
        <v>284</v>
      </c>
      <c r="C54" s="53">
        <v>40000</v>
      </c>
      <c r="D54" s="53"/>
      <c r="E54" s="53">
        <f t="shared" si="1"/>
        <v>263251</v>
      </c>
    </row>
    <row r="55" spans="1:5" x14ac:dyDescent="0.25">
      <c r="A55" s="54">
        <v>46114</v>
      </c>
      <c r="B55" s="4" t="s">
        <v>304</v>
      </c>
      <c r="C55" s="53"/>
      <c r="D55" s="53">
        <v>2750</v>
      </c>
      <c r="E55" s="53">
        <f t="shared" si="1"/>
        <v>260501</v>
      </c>
    </row>
    <row r="56" spans="1:5" x14ac:dyDescent="0.25">
      <c r="A56" s="54">
        <v>46116</v>
      </c>
      <c r="B56" s="4" t="s">
        <v>305</v>
      </c>
      <c r="C56" s="53"/>
      <c r="D56" s="53">
        <v>20071</v>
      </c>
      <c r="E56" s="53">
        <f t="shared" si="1"/>
        <v>240430</v>
      </c>
    </row>
    <row r="57" spans="1:5" x14ac:dyDescent="0.25">
      <c r="A57" s="54">
        <v>46119</v>
      </c>
      <c r="B57" s="4" t="s">
        <v>306</v>
      </c>
      <c r="C57" s="53">
        <v>710</v>
      </c>
      <c r="D57" s="53"/>
      <c r="E57" s="53">
        <f t="shared" si="1"/>
        <v>241140</v>
      </c>
    </row>
    <row r="58" spans="1:5" x14ac:dyDescent="0.25">
      <c r="A58" s="54">
        <v>46119</v>
      </c>
      <c r="B58" s="4" t="s">
        <v>307</v>
      </c>
      <c r="C58" s="53">
        <v>1745</v>
      </c>
      <c r="D58" s="53"/>
      <c r="E58" s="53">
        <f t="shared" si="1"/>
        <v>242885</v>
      </c>
    </row>
    <row r="59" spans="1:5" x14ac:dyDescent="0.25">
      <c r="A59" s="54">
        <v>46119</v>
      </c>
      <c r="B59" s="4" t="s">
        <v>284</v>
      </c>
      <c r="C59" s="53">
        <v>30000</v>
      </c>
      <c r="D59" s="53"/>
      <c r="E59" s="53">
        <f t="shared" si="1"/>
        <v>272885</v>
      </c>
    </row>
    <row r="60" spans="1:5" x14ac:dyDescent="0.25">
      <c r="A60" s="54">
        <v>46121</v>
      </c>
      <c r="B60" s="4" t="s">
        <v>284</v>
      </c>
      <c r="C60" s="53">
        <v>70000</v>
      </c>
      <c r="D60" s="53"/>
      <c r="E60" s="53">
        <f t="shared" si="1"/>
        <v>342885</v>
      </c>
    </row>
    <row r="61" spans="1:5" x14ac:dyDescent="0.25">
      <c r="A61" s="54">
        <v>46123</v>
      </c>
      <c r="B61" s="4" t="s">
        <v>284</v>
      </c>
      <c r="C61" s="53">
        <v>60000</v>
      </c>
      <c r="D61" s="53"/>
      <c r="E61" s="53">
        <f t="shared" si="1"/>
        <v>402885</v>
      </c>
    </row>
    <row r="62" spans="1:5" x14ac:dyDescent="0.25">
      <c r="A62" s="54">
        <v>46130</v>
      </c>
      <c r="B62" s="4" t="s">
        <v>284</v>
      </c>
      <c r="C62" s="53">
        <v>40000</v>
      </c>
      <c r="D62" s="53"/>
      <c r="E62" s="53">
        <f t="shared" si="1"/>
        <v>442885</v>
      </c>
    </row>
    <row r="63" spans="1:5" x14ac:dyDescent="0.25">
      <c r="A63" s="54">
        <v>46132</v>
      </c>
      <c r="B63" s="4" t="s">
        <v>308</v>
      </c>
      <c r="C63" s="53"/>
      <c r="D63" s="53">
        <v>45590</v>
      </c>
      <c r="E63" s="53">
        <f t="shared" si="1"/>
        <v>397295</v>
      </c>
    </row>
    <row r="64" spans="1:5" x14ac:dyDescent="0.25">
      <c r="A64" s="54">
        <v>46132</v>
      </c>
      <c r="B64" s="4" t="s">
        <v>309</v>
      </c>
      <c r="C64" s="53"/>
      <c r="D64" s="53">
        <v>41305</v>
      </c>
      <c r="E64" s="53">
        <f t="shared" si="1"/>
        <v>355990</v>
      </c>
    </row>
    <row r="65" spans="1:5" x14ac:dyDescent="0.25">
      <c r="A65" s="54">
        <v>46134</v>
      </c>
      <c r="B65" s="4" t="s">
        <v>284</v>
      </c>
      <c r="C65" s="53">
        <v>50000</v>
      </c>
      <c r="D65" s="53"/>
      <c r="E65" s="53">
        <f t="shared" si="1"/>
        <v>405990</v>
      </c>
    </row>
    <row r="66" spans="1:5" x14ac:dyDescent="0.25">
      <c r="A66" s="54">
        <v>46135</v>
      </c>
      <c r="B66" s="4" t="s">
        <v>311</v>
      </c>
      <c r="C66" s="53"/>
      <c r="D66" s="53">
        <v>58569</v>
      </c>
      <c r="E66" s="53">
        <f t="shared" si="1"/>
        <v>347421</v>
      </c>
    </row>
    <row r="67" spans="1:5" x14ac:dyDescent="0.25">
      <c r="A67" s="54">
        <v>46136</v>
      </c>
      <c r="B67" s="4" t="s">
        <v>310</v>
      </c>
      <c r="C67" s="53"/>
      <c r="D67" s="53">
        <v>1903</v>
      </c>
      <c r="E67" s="53">
        <f t="shared" ref="E67:E96" si="2">E66-D67+C67</f>
        <v>345518</v>
      </c>
    </row>
    <row r="68" spans="1:5" x14ac:dyDescent="0.25">
      <c r="A68" s="54">
        <v>46137</v>
      </c>
      <c r="B68" s="4" t="s">
        <v>284</v>
      </c>
      <c r="C68" s="53">
        <v>40000</v>
      </c>
      <c r="D68" s="53"/>
      <c r="E68" s="53">
        <f t="shared" si="2"/>
        <v>385518</v>
      </c>
    </row>
    <row r="69" spans="1:5" x14ac:dyDescent="0.25">
      <c r="A69" s="54">
        <v>46139</v>
      </c>
      <c r="B69" s="4" t="s">
        <v>312</v>
      </c>
      <c r="C69" s="53"/>
      <c r="D69" s="53">
        <v>61860</v>
      </c>
      <c r="E69" s="53">
        <f t="shared" si="2"/>
        <v>323658</v>
      </c>
    </row>
    <row r="70" spans="1:5" x14ac:dyDescent="0.25">
      <c r="A70" s="54">
        <v>46140</v>
      </c>
      <c r="B70" s="4" t="s">
        <v>284</v>
      </c>
      <c r="C70" s="53">
        <v>30000</v>
      </c>
      <c r="D70" s="53"/>
      <c r="E70" s="53">
        <f t="shared" si="2"/>
        <v>353658</v>
      </c>
    </row>
    <row r="71" spans="1:5" x14ac:dyDescent="0.25">
      <c r="A71" s="54">
        <v>46140</v>
      </c>
      <c r="B71" s="4" t="s">
        <v>313</v>
      </c>
      <c r="C71" s="53"/>
      <c r="D71" s="53">
        <v>54635</v>
      </c>
      <c r="E71" s="53">
        <f t="shared" si="2"/>
        <v>299023</v>
      </c>
    </row>
    <row r="72" spans="1:5" x14ac:dyDescent="0.25">
      <c r="A72" s="54">
        <v>46141</v>
      </c>
      <c r="B72" s="4" t="s">
        <v>314</v>
      </c>
      <c r="C72" s="53">
        <v>3875</v>
      </c>
      <c r="D72" s="53"/>
      <c r="E72" s="53">
        <f t="shared" si="2"/>
        <v>302898</v>
      </c>
    </row>
    <row r="73" spans="1:5" x14ac:dyDescent="0.25">
      <c r="A73" s="54">
        <v>46141</v>
      </c>
      <c r="B73" s="4" t="s">
        <v>284</v>
      </c>
      <c r="C73" s="53">
        <v>30000</v>
      </c>
      <c r="D73" s="53"/>
      <c r="E73" s="53">
        <f t="shared" si="2"/>
        <v>332898</v>
      </c>
    </row>
    <row r="74" spans="1:5" x14ac:dyDescent="0.25">
      <c r="A74" s="54">
        <v>46141</v>
      </c>
      <c r="B74" s="4" t="s">
        <v>315</v>
      </c>
      <c r="C74" s="53"/>
      <c r="D74" s="53">
        <v>61743</v>
      </c>
      <c r="E74" s="53">
        <f t="shared" si="2"/>
        <v>271155</v>
      </c>
    </row>
    <row r="75" spans="1:5" x14ac:dyDescent="0.25">
      <c r="A75" s="54">
        <v>46141</v>
      </c>
      <c r="B75" s="4" t="s">
        <v>310</v>
      </c>
      <c r="C75" s="53"/>
      <c r="D75" s="53">
        <v>1092</v>
      </c>
      <c r="E75" s="53">
        <f t="shared" si="2"/>
        <v>270063</v>
      </c>
    </row>
    <row r="76" spans="1:5" x14ac:dyDescent="0.25">
      <c r="A76" s="54">
        <v>46142</v>
      </c>
      <c r="B76" s="4" t="s">
        <v>284</v>
      </c>
      <c r="C76" s="53">
        <v>31000</v>
      </c>
      <c r="D76" s="53"/>
      <c r="E76" s="53">
        <f t="shared" si="2"/>
        <v>301063</v>
      </c>
    </row>
    <row r="77" spans="1:5" x14ac:dyDescent="0.25">
      <c r="A77" s="54">
        <v>46144</v>
      </c>
      <c r="B77" s="4" t="s">
        <v>304</v>
      </c>
      <c r="C77" s="53"/>
      <c r="D77" s="53">
        <v>2750</v>
      </c>
      <c r="E77" s="53">
        <f t="shared" si="2"/>
        <v>298313</v>
      </c>
    </row>
    <row r="78" spans="1:5" x14ac:dyDescent="0.25">
      <c r="A78" s="54">
        <v>46145</v>
      </c>
      <c r="B78" s="4" t="s">
        <v>284</v>
      </c>
      <c r="C78" s="53">
        <v>30000</v>
      </c>
      <c r="D78" s="53"/>
      <c r="E78" s="53">
        <f t="shared" si="2"/>
        <v>328313</v>
      </c>
    </row>
    <row r="79" spans="1:5" x14ac:dyDescent="0.25">
      <c r="A79" s="54">
        <v>46147</v>
      </c>
      <c r="B79" s="4" t="s">
        <v>316</v>
      </c>
      <c r="C79" s="53"/>
      <c r="D79" s="53">
        <v>66915</v>
      </c>
      <c r="E79" s="53">
        <f t="shared" si="2"/>
        <v>261398</v>
      </c>
    </row>
    <row r="80" spans="1:5" x14ac:dyDescent="0.25">
      <c r="A80" s="54">
        <v>46147</v>
      </c>
      <c r="B80" s="4" t="s">
        <v>316</v>
      </c>
      <c r="C80" s="53"/>
      <c r="D80" s="53">
        <v>11746</v>
      </c>
      <c r="E80" s="53">
        <f t="shared" si="2"/>
        <v>249652</v>
      </c>
    </row>
    <row r="81" spans="1:5" x14ac:dyDescent="0.25">
      <c r="A81" s="54">
        <v>46148</v>
      </c>
      <c r="B81" s="4" t="s">
        <v>317</v>
      </c>
      <c r="C81" s="53"/>
      <c r="D81" s="53">
        <v>4000</v>
      </c>
      <c r="E81" s="53">
        <f t="shared" si="2"/>
        <v>245652</v>
      </c>
    </row>
    <row r="82" spans="1:5" x14ac:dyDescent="0.25">
      <c r="A82" s="54">
        <v>46149</v>
      </c>
      <c r="B82" s="4" t="s">
        <v>298</v>
      </c>
      <c r="C82" s="53"/>
      <c r="D82" s="53">
        <v>10000</v>
      </c>
      <c r="E82" s="53">
        <f t="shared" si="2"/>
        <v>235652</v>
      </c>
    </row>
    <row r="83" spans="1:5" x14ac:dyDescent="0.25">
      <c r="A83" s="54">
        <v>46156</v>
      </c>
      <c r="B83" s="4" t="s">
        <v>318</v>
      </c>
      <c r="C83" s="53"/>
      <c r="D83" s="53">
        <v>5000</v>
      </c>
      <c r="E83" s="53">
        <f t="shared" si="2"/>
        <v>230652</v>
      </c>
    </row>
    <row r="84" spans="1:5" x14ac:dyDescent="0.25">
      <c r="A84" s="54">
        <v>46156</v>
      </c>
      <c r="B84" s="4" t="s">
        <v>319</v>
      </c>
      <c r="C84" s="53"/>
      <c r="D84" s="53">
        <v>5000</v>
      </c>
      <c r="E84" s="53">
        <f t="shared" si="2"/>
        <v>225652</v>
      </c>
    </row>
    <row r="85" spans="1:5" x14ac:dyDescent="0.25">
      <c r="A85" s="54">
        <v>46158</v>
      </c>
      <c r="B85" s="4" t="s">
        <v>320</v>
      </c>
      <c r="C85" s="53"/>
      <c r="D85" s="53">
        <v>31960</v>
      </c>
      <c r="E85" s="53">
        <f t="shared" si="2"/>
        <v>193692</v>
      </c>
    </row>
    <row r="86" spans="1:5" x14ac:dyDescent="0.25">
      <c r="A86" s="54">
        <v>46159</v>
      </c>
      <c r="B86" s="4" t="s">
        <v>284</v>
      </c>
      <c r="C86" s="53">
        <v>30000</v>
      </c>
      <c r="D86" s="53"/>
      <c r="E86" s="53">
        <f t="shared" si="2"/>
        <v>223692</v>
      </c>
    </row>
    <row r="87" spans="1:5" x14ac:dyDescent="0.25">
      <c r="A87" s="54">
        <v>46162</v>
      </c>
      <c r="B87" s="4" t="s">
        <v>321</v>
      </c>
      <c r="C87" s="53"/>
      <c r="D87" s="53">
        <v>57020</v>
      </c>
      <c r="E87" s="53">
        <f t="shared" si="2"/>
        <v>166672</v>
      </c>
    </row>
    <row r="88" spans="1:5" x14ac:dyDescent="0.25">
      <c r="A88" s="54">
        <v>46167</v>
      </c>
      <c r="B88" s="4" t="s">
        <v>316</v>
      </c>
      <c r="C88" s="53"/>
      <c r="D88" s="53">
        <v>29225</v>
      </c>
      <c r="E88" s="53">
        <f t="shared" si="2"/>
        <v>137447</v>
      </c>
    </row>
    <row r="89" spans="1:5" x14ac:dyDescent="0.25">
      <c r="A89" s="54">
        <v>46172</v>
      </c>
      <c r="B89" s="4" t="s">
        <v>322</v>
      </c>
      <c r="C89" s="53">
        <v>30000</v>
      </c>
      <c r="D89" s="53"/>
      <c r="E89" s="53">
        <f t="shared" si="2"/>
        <v>167447</v>
      </c>
    </row>
    <row r="90" spans="1:5" x14ac:dyDescent="0.25">
      <c r="A90" s="54">
        <v>46178</v>
      </c>
      <c r="B90" s="4" t="s">
        <v>284</v>
      </c>
      <c r="C90" s="53">
        <v>25000</v>
      </c>
      <c r="D90" s="53"/>
      <c r="E90" s="53">
        <f t="shared" si="2"/>
        <v>192447</v>
      </c>
    </row>
    <row r="91" spans="1:5" x14ac:dyDescent="0.25">
      <c r="A91" s="54">
        <v>46181</v>
      </c>
      <c r="B91" s="4" t="s">
        <v>323</v>
      </c>
      <c r="C91" s="53"/>
      <c r="D91" s="53">
        <v>34230</v>
      </c>
      <c r="E91" s="53">
        <f t="shared" si="2"/>
        <v>158217</v>
      </c>
    </row>
    <row r="92" spans="1:5" x14ac:dyDescent="0.25">
      <c r="A92" s="54">
        <v>46183</v>
      </c>
      <c r="B92" s="4" t="s">
        <v>284</v>
      </c>
      <c r="C92" s="53">
        <v>25000</v>
      </c>
      <c r="D92" s="53"/>
      <c r="E92" s="53">
        <f t="shared" si="2"/>
        <v>183217</v>
      </c>
    </row>
    <row r="93" spans="1:5" x14ac:dyDescent="0.25">
      <c r="A93" s="54">
        <v>46185</v>
      </c>
      <c r="B93" s="4" t="s">
        <v>284</v>
      </c>
      <c r="C93" s="53">
        <v>20000</v>
      </c>
      <c r="D93" s="53"/>
      <c r="E93" s="53">
        <f t="shared" si="2"/>
        <v>203217</v>
      </c>
    </row>
    <row r="94" spans="1:5" x14ac:dyDescent="0.25">
      <c r="A94" s="54">
        <v>46185</v>
      </c>
      <c r="B94" s="4" t="s">
        <v>317</v>
      </c>
      <c r="C94" s="53"/>
      <c r="D94" s="53">
        <v>2750</v>
      </c>
      <c r="E94" s="53">
        <f t="shared" si="2"/>
        <v>200467</v>
      </c>
    </row>
    <row r="95" spans="1:5" x14ac:dyDescent="0.25">
      <c r="A95" s="54">
        <v>46190</v>
      </c>
      <c r="B95" s="4" t="s">
        <v>324</v>
      </c>
      <c r="C95" s="53"/>
      <c r="D95" s="53">
        <v>16180</v>
      </c>
      <c r="E95" s="53">
        <f t="shared" si="2"/>
        <v>184287</v>
      </c>
    </row>
    <row r="96" spans="1:5" x14ac:dyDescent="0.25">
      <c r="A96" s="4"/>
      <c r="B96" s="4"/>
      <c r="C96" s="53"/>
      <c r="D96" s="53"/>
      <c r="E96" s="53">
        <f t="shared" si="2"/>
        <v>184287</v>
      </c>
    </row>
  </sheetData>
  <autoFilter ref="A1:E96" xr:uid="{DB13F9E1-24F5-4454-88B6-A8B24CCF82D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EE8B-7266-434A-8D8E-355CEF875D98}">
  <dimension ref="A1:D99"/>
  <sheetViews>
    <sheetView topLeftCell="A65" workbookViewId="0">
      <selection activeCell="G16" sqref="G16"/>
    </sheetView>
  </sheetViews>
  <sheetFormatPr defaultRowHeight="15" x14ac:dyDescent="0.25"/>
  <cols>
    <col min="1" max="1" width="12.7109375" customWidth="1"/>
    <col min="2" max="2" width="35.85546875" customWidth="1"/>
    <col min="3" max="3" width="35.28515625" customWidth="1"/>
    <col min="4" max="4" width="18.42578125" customWidth="1"/>
  </cols>
  <sheetData>
    <row r="1" spans="1:4" x14ac:dyDescent="0.25">
      <c r="A1" t="s">
        <v>131</v>
      </c>
      <c r="B1" t="s">
        <v>264</v>
      </c>
      <c r="C1" t="s">
        <v>341</v>
      </c>
      <c r="D1" t="s">
        <v>342</v>
      </c>
    </row>
    <row r="2" spans="1:4" x14ac:dyDescent="0.25">
      <c r="A2" s="80">
        <v>45717</v>
      </c>
      <c r="B2" s="4" t="s">
        <v>325</v>
      </c>
      <c r="C2" s="53">
        <v>30000</v>
      </c>
      <c r="D2">
        <v>30000</v>
      </c>
    </row>
    <row r="3" spans="1:4" x14ac:dyDescent="0.25">
      <c r="A3" s="80">
        <v>45721</v>
      </c>
      <c r="B3" s="4" t="s">
        <v>325</v>
      </c>
      <c r="C3" s="53">
        <v>10000</v>
      </c>
      <c r="D3">
        <v>10000</v>
      </c>
    </row>
    <row r="4" spans="1:4" x14ac:dyDescent="0.25">
      <c r="A4" s="80">
        <v>45729</v>
      </c>
      <c r="B4" s="4" t="s">
        <v>325</v>
      </c>
      <c r="C4" s="53">
        <v>30000</v>
      </c>
      <c r="D4">
        <v>30000</v>
      </c>
    </row>
    <row r="5" spans="1:4" x14ac:dyDescent="0.25">
      <c r="A5" s="80">
        <v>45819</v>
      </c>
      <c r="B5" s="4" t="s">
        <v>325</v>
      </c>
      <c r="C5" s="53">
        <v>20000</v>
      </c>
      <c r="D5">
        <v>20000</v>
      </c>
    </row>
    <row r="6" spans="1:4" x14ac:dyDescent="0.25">
      <c r="A6" s="80">
        <v>45824</v>
      </c>
      <c r="B6" s="4" t="s">
        <v>325</v>
      </c>
      <c r="C6" s="53">
        <v>20000</v>
      </c>
      <c r="D6">
        <v>20000</v>
      </c>
    </row>
    <row r="7" spans="1:4" x14ac:dyDescent="0.25">
      <c r="A7" s="80">
        <v>45838</v>
      </c>
      <c r="B7" s="4" t="s">
        <v>325</v>
      </c>
      <c r="C7" s="53">
        <v>20000</v>
      </c>
      <c r="D7">
        <v>20000</v>
      </c>
    </row>
    <row r="8" spans="1:4" x14ac:dyDescent="0.25">
      <c r="A8" s="80">
        <v>45842</v>
      </c>
      <c r="B8" s="4" t="s">
        <v>325</v>
      </c>
      <c r="C8" s="53">
        <v>20000</v>
      </c>
      <c r="D8">
        <v>35000</v>
      </c>
    </row>
    <row r="9" spans="1:4" x14ac:dyDescent="0.25">
      <c r="A9" s="80">
        <v>45842</v>
      </c>
      <c r="B9" s="4" t="s">
        <v>325</v>
      </c>
      <c r="C9" s="53">
        <v>15000</v>
      </c>
      <c r="D9">
        <v>40000</v>
      </c>
    </row>
    <row r="10" spans="1:4" x14ac:dyDescent="0.25">
      <c r="A10" s="80">
        <v>45851</v>
      </c>
      <c r="B10" s="4" t="s">
        <v>325</v>
      </c>
      <c r="C10" s="53">
        <v>20000</v>
      </c>
      <c r="D10">
        <v>40000</v>
      </c>
    </row>
    <row r="11" spans="1:4" x14ac:dyDescent="0.25">
      <c r="A11" s="80">
        <v>45852</v>
      </c>
      <c r="B11" s="4" t="s">
        <v>325</v>
      </c>
      <c r="C11" s="53">
        <v>20000</v>
      </c>
      <c r="D11">
        <v>30000</v>
      </c>
    </row>
    <row r="12" spans="1:4" x14ac:dyDescent="0.25">
      <c r="A12" s="80">
        <v>45859</v>
      </c>
      <c r="B12" s="4" t="s">
        <v>325</v>
      </c>
      <c r="C12" s="53">
        <v>40000</v>
      </c>
      <c r="D12">
        <v>50000</v>
      </c>
    </row>
    <row r="13" spans="1:4" x14ac:dyDescent="0.25">
      <c r="A13" s="80">
        <v>45862</v>
      </c>
      <c r="B13" s="4" t="s">
        <v>325</v>
      </c>
      <c r="C13" s="53">
        <v>30000</v>
      </c>
      <c r="D13">
        <v>30000</v>
      </c>
    </row>
    <row r="14" spans="1:4" x14ac:dyDescent="0.25">
      <c r="A14" s="80">
        <v>45864</v>
      </c>
      <c r="B14" s="4" t="s">
        <v>325</v>
      </c>
      <c r="C14" s="53">
        <v>50000</v>
      </c>
      <c r="D14">
        <v>20000</v>
      </c>
    </row>
    <row r="15" spans="1:4" x14ac:dyDescent="0.25">
      <c r="A15" s="80">
        <v>45870</v>
      </c>
      <c r="B15" s="4" t="s">
        <v>325</v>
      </c>
      <c r="C15" s="53">
        <v>30000</v>
      </c>
      <c r="D15">
        <v>20000</v>
      </c>
    </row>
    <row r="16" spans="1:4" x14ac:dyDescent="0.25">
      <c r="A16" s="80">
        <v>45878</v>
      </c>
      <c r="B16" s="4" t="s">
        <v>325</v>
      </c>
      <c r="C16" s="53">
        <v>20000</v>
      </c>
      <c r="D16">
        <v>30000</v>
      </c>
    </row>
    <row r="17" spans="1:4" x14ac:dyDescent="0.25">
      <c r="A17" s="80">
        <v>45884</v>
      </c>
      <c r="B17" s="4" t="s">
        <v>325</v>
      </c>
      <c r="C17" s="53">
        <v>20000</v>
      </c>
      <c r="D17">
        <v>25000</v>
      </c>
    </row>
    <row r="18" spans="1:4" x14ac:dyDescent="0.25">
      <c r="A18" s="80">
        <v>45891</v>
      </c>
      <c r="B18" s="4" t="s">
        <v>325</v>
      </c>
      <c r="C18" s="53">
        <v>30000</v>
      </c>
      <c r="D18">
        <v>30000</v>
      </c>
    </row>
    <row r="19" spans="1:4" x14ac:dyDescent="0.25">
      <c r="A19" s="80">
        <v>45895</v>
      </c>
      <c r="B19" s="4" t="s">
        <v>325</v>
      </c>
      <c r="C19" s="53">
        <v>25000</v>
      </c>
      <c r="D19">
        <v>20000</v>
      </c>
    </row>
    <row r="20" spans="1:4" x14ac:dyDescent="0.25">
      <c r="A20" s="80">
        <v>45899</v>
      </c>
      <c r="B20" s="4" t="s">
        <v>325</v>
      </c>
      <c r="C20" s="53">
        <v>30000</v>
      </c>
      <c r="D20">
        <v>14100</v>
      </c>
    </row>
    <row r="21" spans="1:4" x14ac:dyDescent="0.25">
      <c r="A21" s="80">
        <v>45905</v>
      </c>
      <c r="B21" s="4" t="s">
        <v>325</v>
      </c>
      <c r="C21" s="53">
        <v>20000</v>
      </c>
      <c r="D21">
        <v>20000</v>
      </c>
    </row>
    <row r="22" spans="1:4" x14ac:dyDescent="0.25">
      <c r="A22" s="80">
        <v>45909</v>
      </c>
      <c r="B22" s="4" t="s">
        <v>325</v>
      </c>
      <c r="C22" s="53">
        <v>34100</v>
      </c>
      <c r="D22">
        <v>10000</v>
      </c>
    </row>
    <row r="23" spans="1:4" x14ac:dyDescent="0.25">
      <c r="A23" s="80">
        <v>45919</v>
      </c>
      <c r="B23" s="4" t="s">
        <v>325</v>
      </c>
      <c r="C23" s="53">
        <v>40000</v>
      </c>
      <c r="D23">
        <v>20000</v>
      </c>
    </row>
    <row r="24" spans="1:4" x14ac:dyDescent="0.25">
      <c r="A24" s="80">
        <v>45921</v>
      </c>
      <c r="B24" s="4" t="s">
        <v>325</v>
      </c>
      <c r="C24" s="53">
        <v>20000</v>
      </c>
      <c r="D24">
        <v>30000</v>
      </c>
    </row>
    <row r="25" spans="1:4" x14ac:dyDescent="0.25">
      <c r="A25" s="80">
        <v>45924</v>
      </c>
      <c r="B25" s="4" t="s">
        <v>325</v>
      </c>
      <c r="C25" s="53">
        <v>30000</v>
      </c>
      <c r="D25">
        <v>30000</v>
      </c>
    </row>
    <row r="26" spans="1:4" x14ac:dyDescent="0.25">
      <c r="A26" s="80">
        <v>45930</v>
      </c>
      <c r="B26" s="4" t="s">
        <v>325</v>
      </c>
      <c r="C26" s="53">
        <v>25000</v>
      </c>
      <c r="D26">
        <v>25000</v>
      </c>
    </row>
    <row r="27" spans="1:4" x14ac:dyDescent="0.25">
      <c r="A27" s="80">
        <v>45930</v>
      </c>
      <c r="B27" s="4" t="s">
        <v>325</v>
      </c>
      <c r="C27" s="53">
        <v>30000</v>
      </c>
      <c r="D27">
        <v>30000</v>
      </c>
    </row>
    <row r="28" spans="1:4" x14ac:dyDescent="0.25">
      <c r="A28" s="80">
        <v>45933</v>
      </c>
      <c r="B28" s="4" t="s">
        <v>325</v>
      </c>
      <c r="C28" s="53">
        <v>30000</v>
      </c>
      <c r="D28">
        <v>25000</v>
      </c>
    </row>
    <row r="29" spans="1:4" x14ac:dyDescent="0.25">
      <c r="A29" s="80">
        <v>45934</v>
      </c>
      <c r="B29" s="4" t="s">
        <v>325</v>
      </c>
      <c r="C29" s="53">
        <v>25000</v>
      </c>
      <c r="D29">
        <v>50000</v>
      </c>
    </row>
    <row r="30" spans="1:4" x14ac:dyDescent="0.25">
      <c r="A30" s="80">
        <v>45940</v>
      </c>
      <c r="B30" s="4" t="s">
        <v>325</v>
      </c>
      <c r="C30" s="53">
        <v>50000</v>
      </c>
      <c r="D30">
        <v>39500</v>
      </c>
    </row>
    <row r="31" spans="1:4" x14ac:dyDescent="0.25">
      <c r="A31" s="80">
        <v>45946</v>
      </c>
      <c r="B31" s="4" t="s">
        <v>325</v>
      </c>
      <c r="C31" s="53">
        <v>39500</v>
      </c>
      <c r="D31">
        <v>40000</v>
      </c>
    </row>
    <row r="32" spans="1:4" x14ac:dyDescent="0.25">
      <c r="A32" s="80">
        <v>45946</v>
      </c>
      <c r="B32" s="4" t="s">
        <v>325</v>
      </c>
      <c r="C32" s="53">
        <v>40000</v>
      </c>
      <c r="D32">
        <v>20000</v>
      </c>
    </row>
    <row r="33" spans="1:4" x14ac:dyDescent="0.25">
      <c r="A33" s="80">
        <v>45946</v>
      </c>
      <c r="B33" s="4" t="s">
        <v>325</v>
      </c>
      <c r="C33" s="53">
        <v>50000</v>
      </c>
      <c r="D33">
        <v>50000</v>
      </c>
    </row>
    <row r="34" spans="1:4" x14ac:dyDescent="0.25">
      <c r="A34" s="80">
        <v>45950</v>
      </c>
      <c r="B34" s="4" t="s">
        <v>325</v>
      </c>
      <c r="C34" s="53">
        <v>50000</v>
      </c>
      <c r="D34">
        <v>25000</v>
      </c>
    </row>
    <row r="35" spans="1:4" x14ac:dyDescent="0.25">
      <c r="A35" s="80">
        <v>45953</v>
      </c>
      <c r="B35" s="4" t="s">
        <v>325</v>
      </c>
      <c r="C35" s="53">
        <v>25000</v>
      </c>
      <c r="D35">
        <v>20000</v>
      </c>
    </row>
    <row r="36" spans="1:4" x14ac:dyDescent="0.25">
      <c r="A36" s="80">
        <v>45958</v>
      </c>
      <c r="B36" s="4" t="s">
        <v>325</v>
      </c>
      <c r="C36" s="53">
        <v>20000</v>
      </c>
      <c r="D36">
        <v>40000</v>
      </c>
    </row>
    <row r="37" spans="1:4" x14ac:dyDescent="0.25">
      <c r="A37" s="80">
        <v>45960</v>
      </c>
      <c r="B37" s="4" t="s">
        <v>325</v>
      </c>
      <c r="C37" s="53">
        <v>40000</v>
      </c>
      <c r="D37">
        <v>70000</v>
      </c>
    </row>
    <row r="38" spans="1:4" x14ac:dyDescent="0.25">
      <c r="A38" s="80">
        <v>45968</v>
      </c>
      <c r="B38" s="4" t="s">
        <v>325</v>
      </c>
      <c r="C38" s="53">
        <v>70000</v>
      </c>
      <c r="D38">
        <v>40000</v>
      </c>
    </row>
    <row r="39" spans="1:4" x14ac:dyDescent="0.25">
      <c r="A39" s="80">
        <v>45968</v>
      </c>
      <c r="B39" s="4" t="s">
        <v>325</v>
      </c>
      <c r="C39" s="53">
        <v>30000</v>
      </c>
      <c r="D39">
        <v>10165</v>
      </c>
    </row>
    <row r="40" spans="1:4" x14ac:dyDescent="0.25">
      <c r="A40" s="80">
        <v>45969</v>
      </c>
      <c r="B40" s="4" t="s">
        <v>325</v>
      </c>
      <c r="C40" s="53">
        <v>30000</v>
      </c>
      <c r="D40">
        <v>7700</v>
      </c>
    </row>
    <row r="41" spans="1:4" x14ac:dyDescent="0.25">
      <c r="A41" s="80">
        <v>45974</v>
      </c>
      <c r="B41" s="4" t="s">
        <v>325</v>
      </c>
      <c r="C41" s="53">
        <v>7700</v>
      </c>
      <c r="D41">
        <v>20000</v>
      </c>
    </row>
    <row r="42" spans="1:4" x14ac:dyDescent="0.25">
      <c r="A42" s="80">
        <v>45974</v>
      </c>
      <c r="B42" s="4" t="s">
        <v>325</v>
      </c>
      <c r="C42" s="53">
        <v>20000</v>
      </c>
      <c r="D42">
        <v>2730</v>
      </c>
    </row>
    <row r="43" spans="1:4" x14ac:dyDescent="0.25">
      <c r="A43" s="80">
        <v>45979</v>
      </c>
      <c r="B43" s="4" t="s">
        <v>325</v>
      </c>
      <c r="C43" s="53">
        <v>50000</v>
      </c>
      <c r="D43">
        <v>2790</v>
      </c>
    </row>
    <row r="44" spans="1:4" x14ac:dyDescent="0.25">
      <c r="A44" s="80">
        <v>45985</v>
      </c>
      <c r="B44" s="4" t="s">
        <v>325</v>
      </c>
      <c r="C44" s="53">
        <v>25000</v>
      </c>
      <c r="D44">
        <v>50000</v>
      </c>
    </row>
    <row r="45" spans="1:4" x14ac:dyDescent="0.25">
      <c r="A45" s="80">
        <v>45985</v>
      </c>
      <c r="B45" s="4" t="s">
        <v>325</v>
      </c>
      <c r="C45" s="53">
        <v>20000</v>
      </c>
      <c r="D45">
        <v>25000</v>
      </c>
    </row>
    <row r="46" spans="1:4" x14ac:dyDescent="0.25">
      <c r="A46" s="80">
        <v>45990</v>
      </c>
      <c r="B46" s="4" t="s">
        <v>325</v>
      </c>
      <c r="C46" s="53">
        <v>40000</v>
      </c>
      <c r="D46">
        <v>20000</v>
      </c>
    </row>
    <row r="47" spans="1:4" x14ac:dyDescent="0.25">
      <c r="A47" s="80">
        <v>46006</v>
      </c>
      <c r="B47" s="4" t="s">
        <v>325</v>
      </c>
      <c r="C47" s="53">
        <v>30000</v>
      </c>
      <c r="D47">
        <v>40000</v>
      </c>
    </row>
    <row r="48" spans="1:4" x14ac:dyDescent="0.25">
      <c r="A48" s="80">
        <v>46006</v>
      </c>
      <c r="B48" s="4" t="s">
        <v>325</v>
      </c>
      <c r="C48" s="53">
        <v>10000</v>
      </c>
      <c r="D48">
        <v>30000</v>
      </c>
    </row>
    <row r="49" spans="1:4" x14ac:dyDescent="0.25">
      <c r="A49" s="80">
        <v>46006</v>
      </c>
      <c r="B49" s="4" t="s">
        <v>325</v>
      </c>
      <c r="C49" s="53">
        <v>30000</v>
      </c>
      <c r="D49">
        <v>2000</v>
      </c>
    </row>
    <row r="50" spans="1:4" x14ac:dyDescent="0.25">
      <c r="A50" s="80">
        <v>46017</v>
      </c>
      <c r="B50" s="4" t="s">
        <v>338</v>
      </c>
      <c r="C50" s="53">
        <v>30000</v>
      </c>
      <c r="D50">
        <v>2080</v>
      </c>
    </row>
    <row r="51" spans="1:4" x14ac:dyDescent="0.25">
      <c r="A51" s="80">
        <v>46017</v>
      </c>
      <c r="B51" s="4" t="s">
        <v>339</v>
      </c>
      <c r="C51" s="53">
        <v>20000</v>
      </c>
      <c r="D51">
        <v>30000</v>
      </c>
    </row>
    <row r="52" spans="1:4" x14ac:dyDescent="0.25">
      <c r="A52" s="80">
        <v>46017</v>
      </c>
      <c r="B52" s="4" t="s">
        <v>340</v>
      </c>
      <c r="C52" s="53">
        <v>30000</v>
      </c>
      <c r="D52">
        <v>2560</v>
      </c>
    </row>
    <row r="53" spans="1:4" x14ac:dyDescent="0.25">
      <c r="A53" s="80">
        <v>46019</v>
      </c>
      <c r="B53" s="4" t="s">
        <v>325</v>
      </c>
      <c r="C53" s="53">
        <v>70000</v>
      </c>
      <c r="D53">
        <v>20000</v>
      </c>
    </row>
    <row r="54" spans="1:4" x14ac:dyDescent="0.25">
      <c r="A54" s="80">
        <v>46035</v>
      </c>
      <c r="B54" s="4" t="s">
        <v>273</v>
      </c>
      <c r="C54" s="53">
        <v>10000</v>
      </c>
      <c r="D54">
        <v>30000</v>
      </c>
    </row>
    <row r="55" spans="1:4" x14ac:dyDescent="0.25">
      <c r="A55" s="80">
        <v>46035</v>
      </c>
      <c r="B55" s="4" t="s">
        <v>274</v>
      </c>
      <c r="C55" s="53">
        <v>20000</v>
      </c>
      <c r="D55">
        <v>3360</v>
      </c>
    </row>
    <row r="56" spans="1:4" x14ac:dyDescent="0.25">
      <c r="A56" s="80">
        <v>46039</v>
      </c>
      <c r="B56" s="4" t="s">
        <v>274</v>
      </c>
      <c r="C56" s="53">
        <v>50000</v>
      </c>
      <c r="D56">
        <v>30000</v>
      </c>
    </row>
    <row r="57" spans="1:4" x14ac:dyDescent="0.25">
      <c r="A57" s="80">
        <v>46039</v>
      </c>
      <c r="B57" s="4" t="s">
        <v>277</v>
      </c>
      <c r="C57" s="53">
        <v>50000</v>
      </c>
      <c r="D57">
        <v>70000</v>
      </c>
    </row>
    <row r="58" spans="1:4" x14ac:dyDescent="0.25">
      <c r="A58" s="80">
        <v>46048</v>
      </c>
      <c r="B58" s="4" t="s">
        <v>280</v>
      </c>
      <c r="C58" s="53">
        <v>25000</v>
      </c>
      <c r="D58">
        <v>10000</v>
      </c>
    </row>
    <row r="59" spans="1:4" x14ac:dyDescent="0.25">
      <c r="A59" s="80">
        <v>46048</v>
      </c>
      <c r="B59" s="4" t="s">
        <v>281</v>
      </c>
      <c r="C59" s="53">
        <v>25000</v>
      </c>
      <c r="D59">
        <v>20000</v>
      </c>
    </row>
    <row r="60" spans="1:4" x14ac:dyDescent="0.25">
      <c r="A60" s="80">
        <v>46048</v>
      </c>
      <c r="B60" s="4" t="s">
        <v>282</v>
      </c>
      <c r="C60" s="53">
        <v>26000</v>
      </c>
      <c r="D60">
        <v>50000</v>
      </c>
    </row>
    <row r="61" spans="1:4" x14ac:dyDescent="0.25">
      <c r="A61" s="80">
        <v>46048</v>
      </c>
      <c r="B61" s="4" t="s">
        <v>283</v>
      </c>
      <c r="C61" s="53">
        <v>40000</v>
      </c>
      <c r="D61">
        <v>50000</v>
      </c>
    </row>
    <row r="62" spans="1:4" x14ac:dyDescent="0.25">
      <c r="A62" s="80">
        <v>46049</v>
      </c>
      <c r="B62" s="4" t="s">
        <v>284</v>
      </c>
      <c r="C62" s="53">
        <v>50000</v>
      </c>
      <c r="D62">
        <v>25000</v>
      </c>
    </row>
    <row r="63" spans="1:4" x14ac:dyDescent="0.25">
      <c r="A63" s="80">
        <v>46058</v>
      </c>
      <c r="B63" s="4" t="s">
        <v>284</v>
      </c>
      <c r="C63" s="53">
        <v>10000</v>
      </c>
      <c r="D63">
        <v>25000</v>
      </c>
    </row>
    <row r="64" spans="1:4" x14ac:dyDescent="0.25">
      <c r="A64" s="80">
        <v>46060</v>
      </c>
      <c r="B64" s="4" t="s">
        <v>286</v>
      </c>
      <c r="C64" s="53">
        <v>30000</v>
      </c>
      <c r="D64">
        <v>26000</v>
      </c>
    </row>
    <row r="65" spans="1:4" x14ac:dyDescent="0.25">
      <c r="A65" s="80">
        <v>46060</v>
      </c>
      <c r="B65" s="4" t="s">
        <v>287</v>
      </c>
      <c r="C65" s="53">
        <v>40000</v>
      </c>
      <c r="D65">
        <v>40000</v>
      </c>
    </row>
    <row r="66" spans="1:4" x14ac:dyDescent="0.25">
      <c r="A66" s="80">
        <v>46060</v>
      </c>
      <c r="B66" s="4" t="s">
        <v>287</v>
      </c>
      <c r="C66" s="53">
        <v>30000</v>
      </c>
      <c r="D66">
        <v>50000</v>
      </c>
    </row>
    <row r="67" spans="1:4" x14ac:dyDescent="0.25">
      <c r="A67" s="80">
        <v>46065</v>
      </c>
      <c r="B67" s="4" t="s">
        <v>284</v>
      </c>
      <c r="C67" s="53">
        <v>60000</v>
      </c>
      <c r="D67">
        <v>30000</v>
      </c>
    </row>
    <row r="68" spans="1:4" x14ac:dyDescent="0.25">
      <c r="A68" s="80">
        <v>46066</v>
      </c>
      <c r="B68" s="4" t="s">
        <v>284</v>
      </c>
      <c r="C68" s="53">
        <v>40000</v>
      </c>
      <c r="D68">
        <v>40000</v>
      </c>
    </row>
    <row r="69" spans="1:4" x14ac:dyDescent="0.25">
      <c r="A69" s="80">
        <v>46069</v>
      </c>
      <c r="B69" s="4" t="s">
        <v>284</v>
      </c>
      <c r="C69" s="53">
        <v>50000</v>
      </c>
      <c r="D69">
        <v>30000</v>
      </c>
    </row>
    <row r="70" spans="1:4" x14ac:dyDescent="0.25">
      <c r="A70" s="80">
        <v>46071</v>
      </c>
      <c r="B70" s="4" t="s">
        <v>284</v>
      </c>
      <c r="C70" s="53">
        <v>50000</v>
      </c>
      <c r="D70">
        <v>10000</v>
      </c>
    </row>
    <row r="71" spans="1:4" x14ac:dyDescent="0.25">
      <c r="A71" s="80">
        <v>46074</v>
      </c>
      <c r="B71" s="4" t="s">
        <v>292</v>
      </c>
      <c r="C71" s="53">
        <v>50000</v>
      </c>
      <c r="D71">
        <v>50000</v>
      </c>
    </row>
    <row r="72" spans="1:4" x14ac:dyDescent="0.25">
      <c r="A72" s="80">
        <v>46076</v>
      </c>
      <c r="B72" s="4" t="s">
        <v>284</v>
      </c>
      <c r="C72" s="53">
        <v>100000</v>
      </c>
      <c r="D72">
        <v>60000</v>
      </c>
    </row>
    <row r="73" spans="1:4" x14ac:dyDescent="0.25">
      <c r="A73" s="80">
        <v>46078</v>
      </c>
      <c r="B73" s="4" t="s">
        <v>294</v>
      </c>
      <c r="C73" s="53">
        <v>50000</v>
      </c>
      <c r="D73">
        <v>40000</v>
      </c>
    </row>
    <row r="74" spans="1:4" x14ac:dyDescent="0.25">
      <c r="A74" s="80">
        <v>46079</v>
      </c>
      <c r="B74" s="4" t="s">
        <v>284</v>
      </c>
      <c r="C74" s="53">
        <v>51000</v>
      </c>
      <c r="D74">
        <v>50000</v>
      </c>
    </row>
    <row r="75" spans="1:4" x14ac:dyDescent="0.25">
      <c r="A75" s="80">
        <v>46082</v>
      </c>
      <c r="B75" s="4" t="s">
        <v>284</v>
      </c>
      <c r="C75" s="53">
        <v>52900</v>
      </c>
      <c r="D75">
        <v>50000</v>
      </c>
    </row>
    <row r="76" spans="1:4" x14ac:dyDescent="0.25">
      <c r="A76" s="80">
        <v>46099</v>
      </c>
      <c r="B76" s="4" t="s">
        <v>284</v>
      </c>
      <c r="C76" s="53">
        <v>25000</v>
      </c>
      <c r="D76">
        <v>100000</v>
      </c>
    </row>
    <row r="77" spans="1:4" x14ac:dyDescent="0.25">
      <c r="A77" s="80">
        <v>46100</v>
      </c>
      <c r="B77" s="4" t="s">
        <v>284</v>
      </c>
      <c r="C77" s="53">
        <v>50000</v>
      </c>
      <c r="D77">
        <v>50000</v>
      </c>
    </row>
    <row r="78" spans="1:4" x14ac:dyDescent="0.25">
      <c r="A78" s="80">
        <v>46101</v>
      </c>
      <c r="B78" s="4" t="s">
        <v>284</v>
      </c>
      <c r="C78" s="53">
        <v>35000</v>
      </c>
      <c r="D78">
        <v>51000</v>
      </c>
    </row>
    <row r="79" spans="1:4" x14ac:dyDescent="0.25">
      <c r="A79" s="80">
        <v>46112</v>
      </c>
      <c r="B79" s="4" t="s">
        <v>284</v>
      </c>
      <c r="C79" s="53">
        <v>20000</v>
      </c>
      <c r="D79">
        <v>52900</v>
      </c>
    </row>
    <row r="80" spans="1:4" x14ac:dyDescent="0.25">
      <c r="A80" s="80">
        <v>46114</v>
      </c>
      <c r="B80" s="4" t="s">
        <v>284</v>
      </c>
      <c r="C80" s="53">
        <v>40000</v>
      </c>
      <c r="D80">
        <v>50000</v>
      </c>
    </row>
    <row r="81" spans="1:4" x14ac:dyDescent="0.25">
      <c r="A81" s="80">
        <v>46119</v>
      </c>
      <c r="B81" s="4" t="s">
        <v>284</v>
      </c>
      <c r="C81" s="53">
        <v>30000</v>
      </c>
      <c r="D81">
        <v>25000</v>
      </c>
    </row>
    <row r="82" spans="1:4" x14ac:dyDescent="0.25">
      <c r="A82" s="80">
        <v>46121</v>
      </c>
      <c r="B82" s="4" t="s">
        <v>284</v>
      </c>
      <c r="C82" s="53">
        <v>70000</v>
      </c>
      <c r="D82">
        <v>35000</v>
      </c>
    </row>
    <row r="83" spans="1:4" x14ac:dyDescent="0.25">
      <c r="A83" s="80">
        <v>46123</v>
      </c>
      <c r="B83" s="4" t="s">
        <v>284</v>
      </c>
      <c r="C83" s="53">
        <v>60000</v>
      </c>
      <c r="D83">
        <v>20000</v>
      </c>
    </row>
    <row r="84" spans="1:4" x14ac:dyDescent="0.25">
      <c r="A84" s="80">
        <v>46130</v>
      </c>
      <c r="B84" s="4" t="s">
        <v>284</v>
      </c>
      <c r="C84" s="53">
        <v>40000</v>
      </c>
      <c r="D84">
        <v>40000</v>
      </c>
    </row>
    <row r="85" spans="1:4" x14ac:dyDescent="0.25">
      <c r="A85" s="80">
        <v>46134</v>
      </c>
      <c r="B85" s="4" t="s">
        <v>284</v>
      </c>
      <c r="C85" s="53">
        <v>50000</v>
      </c>
      <c r="D85">
        <v>30000</v>
      </c>
    </row>
    <row r="86" spans="1:4" x14ac:dyDescent="0.25">
      <c r="A86" s="80">
        <v>46137</v>
      </c>
      <c r="B86" s="4" t="s">
        <v>284</v>
      </c>
      <c r="C86" s="53">
        <v>40000</v>
      </c>
      <c r="D86">
        <v>70000</v>
      </c>
    </row>
    <row r="87" spans="1:4" x14ac:dyDescent="0.25">
      <c r="A87" s="80">
        <v>46140</v>
      </c>
      <c r="B87" s="4" t="s">
        <v>284</v>
      </c>
      <c r="C87" s="53">
        <v>30000</v>
      </c>
      <c r="D87">
        <v>60000</v>
      </c>
    </row>
    <row r="88" spans="1:4" x14ac:dyDescent="0.25">
      <c r="A88" s="80">
        <v>46141</v>
      </c>
      <c r="B88" s="4" t="s">
        <v>284</v>
      </c>
      <c r="C88" s="53">
        <v>30000</v>
      </c>
      <c r="D88">
        <v>50000</v>
      </c>
    </row>
    <row r="89" spans="1:4" x14ac:dyDescent="0.25">
      <c r="A89" s="80">
        <v>46142</v>
      </c>
      <c r="B89" s="4" t="s">
        <v>284</v>
      </c>
      <c r="C89" s="53">
        <v>31000</v>
      </c>
      <c r="D89">
        <v>40000</v>
      </c>
    </row>
    <row r="90" spans="1:4" x14ac:dyDescent="0.25">
      <c r="A90" s="80">
        <v>46145</v>
      </c>
      <c r="B90" s="4" t="s">
        <v>284</v>
      </c>
      <c r="C90" s="53">
        <v>30000</v>
      </c>
      <c r="D90">
        <v>30000</v>
      </c>
    </row>
    <row r="91" spans="1:4" x14ac:dyDescent="0.25">
      <c r="A91" s="80">
        <v>46159</v>
      </c>
      <c r="B91" s="4" t="s">
        <v>284</v>
      </c>
      <c r="C91" s="53">
        <v>30000</v>
      </c>
      <c r="D91">
        <v>30000</v>
      </c>
    </row>
    <row r="92" spans="1:4" x14ac:dyDescent="0.25">
      <c r="A92" s="80">
        <v>46172</v>
      </c>
      <c r="B92" s="4" t="s">
        <v>322</v>
      </c>
      <c r="C92" s="53">
        <v>30000</v>
      </c>
      <c r="D92">
        <v>31000</v>
      </c>
    </row>
    <row r="93" spans="1:4" x14ac:dyDescent="0.25">
      <c r="A93" s="80">
        <v>46178</v>
      </c>
      <c r="B93" s="4" t="s">
        <v>284</v>
      </c>
      <c r="C93" s="53">
        <v>25000</v>
      </c>
      <c r="D93">
        <v>30000</v>
      </c>
    </row>
    <row r="94" spans="1:4" x14ac:dyDescent="0.25">
      <c r="A94" s="80">
        <v>46183</v>
      </c>
      <c r="B94" s="4" t="s">
        <v>284</v>
      </c>
      <c r="C94" s="53">
        <v>25000</v>
      </c>
      <c r="D94">
        <v>30000</v>
      </c>
    </row>
    <row r="95" spans="1:4" x14ac:dyDescent="0.25">
      <c r="A95" s="80">
        <v>46185</v>
      </c>
      <c r="B95" s="4" t="s">
        <v>284</v>
      </c>
      <c r="C95" s="53">
        <v>0</v>
      </c>
      <c r="D95">
        <v>30000</v>
      </c>
    </row>
    <row r="96" spans="1:4" x14ac:dyDescent="0.25">
      <c r="D96">
        <v>25000</v>
      </c>
    </row>
    <row r="97" spans="4:4" x14ac:dyDescent="0.25">
      <c r="D97">
        <v>25000</v>
      </c>
    </row>
    <row r="98" spans="4:4" x14ac:dyDescent="0.25">
      <c r="D98">
        <v>4315</v>
      </c>
    </row>
    <row r="99" spans="4:4" x14ac:dyDescent="0.25">
      <c r="D99">
        <v>40000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1A6C75-7557-4619-A98C-3FBD98D16B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Invoice </vt:lpstr>
      <vt:lpstr>ST Ledger in USD</vt:lpstr>
      <vt:lpstr>jan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Abubaker</dc:creator>
  <cp:lastModifiedBy>Swiss Tech</cp:lastModifiedBy>
  <cp:lastPrinted>2026-06-20T09:25:03Z</cp:lastPrinted>
  <dcterms:created xsi:type="dcterms:W3CDTF">2025-10-20T13:13:18Z</dcterms:created>
  <dcterms:modified xsi:type="dcterms:W3CDTF">2026-06-29T17:49:58Z</dcterms:modified>
</cp:coreProperties>
</file>