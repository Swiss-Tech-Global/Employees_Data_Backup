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F227BC88-7A84-4BDA-93D7-40F50CF87E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3" i="2"/>
  <c r="E4" i="2"/>
  <c r="E5" i="2"/>
  <c r="E6" i="2"/>
  <c r="E8" i="2"/>
  <c r="E9" i="2"/>
  <c r="E10" i="2"/>
  <c r="E12" i="2"/>
  <c r="E13" i="2"/>
  <c r="E14" i="2"/>
  <c r="E3" i="2"/>
</calcChain>
</file>

<file path=xl/sharedStrings.xml><?xml version="1.0" encoding="utf-8"?>
<sst xmlns="http://schemas.openxmlformats.org/spreadsheetml/2006/main" count="59" uniqueCount="17">
  <si>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</si>
  <si>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</si>
  <si>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</si>
  <si>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</si>
  <si>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</si>
  <si>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</si>
  <si>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</si>
  <si>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</si>
  <si>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885824396623 Master</t>
  </si>
  <si>
    <t>886165323555 Master</t>
  </si>
  <si>
    <t>886248827028 Master</t>
  </si>
  <si>
    <t>885825374761 Master</t>
  </si>
  <si>
    <t>885715775467 Master</t>
  </si>
  <si>
    <t>886200376598 Master</t>
  </si>
  <si>
    <t>Price to Mudassir</t>
  </si>
  <si>
    <t>Difference</t>
  </si>
  <si>
    <t>Differnce in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</si>
</sst>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AED&quot;* #,##0.00_-;\-&quot;AED&quot;* #,##0.00_-;_-&quot;AED&quot;* &quot;-&quot;??_-;_-@_-"/>
    <numFmt numFmtId="164" formatCode="_-[$$-409]* #,##0.00_ ;_-[$$-409]* \-#,##0.00\ ;_-[$$-409]* &quot;-&quot;??_ ;_-@_ "/>
    <numFmt numFmtId="166" formatCode="_-[$AED-4C09]* #,##0.00_-;\-[$AED-4C09]* #,##0.00_-;_-[$AED-4C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2" fillId="0" borderId="2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6" fontId="1" fillId="2" borderId="1" xfId="1" applyNumberFormat="1" applyFon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164" fontId="0" fillId="4" borderId="1" xfId="0" applyNumberFormat="1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C22" sqref="C22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7" t="s">
        <v>4</v>
      </c>
      <c r="B1" s="17"/>
      <c r="C1" s="17"/>
      <c r="D1" s="17"/>
    </row>
    <row r="2" spans="1:6" s="4" customFormat="1" ht="31.5" customHeight="1" x14ac:dyDescent="0.25">
      <c r="A2" s="9" t="s">
        <v>3</v>
      </c>
      <c r="B2" s="6" t="s">
        <v>0</v>
      </c>
      <c r="C2" s="6" t="s">
        <v>1</v>
      </c>
      <c r="D2" s="6"/>
    </row>
    <row r="3" spans="1:6" x14ac:dyDescent="0.25">
      <c r="A3" s="12">
        <v>45964</v>
      </c>
      <c r="B3" s="13">
        <v>885722026141</v>
      </c>
      <c r="C3" s="14">
        <v>235.85</v>
      </c>
      <c r="D3" s="15" t="s">
        <v>2</v>
      </c>
      <c r="E3" s="16" t="s">
        <v>6</v>
      </c>
    </row>
    <row r="4" spans="1:6" x14ac:dyDescent="0.25">
      <c r="A4" s="12">
        <v>45964</v>
      </c>
      <c r="B4" s="13">
        <v>885724057268</v>
      </c>
      <c r="C4" s="14">
        <v>236.9</v>
      </c>
      <c r="D4" s="15" t="s">
        <v>2</v>
      </c>
      <c r="E4" s="16" t="s">
        <v>6</v>
      </c>
      <c r="F4" s="5"/>
    </row>
    <row r="5" spans="1:6" x14ac:dyDescent="0.25">
      <c r="A5" s="12">
        <v>45967</v>
      </c>
      <c r="B5" s="13" t="s">
        <v>8</v>
      </c>
      <c r="C5" s="14">
        <v>228.98</v>
      </c>
      <c r="D5" s="15" t="s">
        <v>2</v>
      </c>
      <c r="E5" s="16" t="s">
        <v>6</v>
      </c>
    </row>
    <row r="6" spans="1:6" x14ac:dyDescent="0.25">
      <c r="A6" s="12">
        <v>45979</v>
      </c>
      <c r="B6" s="13" t="s">
        <v>9</v>
      </c>
      <c r="C6" s="14">
        <v>501.46</v>
      </c>
      <c r="D6" s="15" t="s">
        <v>2</v>
      </c>
      <c r="E6" s="16" t="s">
        <v>6</v>
      </c>
    </row>
    <row r="7" spans="1:6" x14ac:dyDescent="0.25">
      <c r="A7" s="12">
        <v>45981</v>
      </c>
      <c r="B7" s="13" t="s">
        <v>10</v>
      </c>
      <c r="C7" s="14">
        <v>563.07000000000005</v>
      </c>
      <c r="D7" s="15" t="s">
        <v>2</v>
      </c>
      <c r="E7" s="16" t="s">
        <v>6</v>
      </c>
      <c r="F7" s="5"/>
    </row>
    <row r="8" spans="1:6" x14ac:dyDescent="0.25">
      <c r="A8" s="12">
        <v>45982</v>
      </c>
      <c r="B8" s="13">
        <v>886283512360</v>
      </c>
      <c r="C8" s="14">
        <v>409.91</v>
      </c>
      <c r="D8" s="15" t="s">
        <v>2</v>
      </c>
      <c r="E8" s="16" t="s">
        <v>6</v>
      </c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1"/>
      <c r="B15" s="2"/>
      <c r="C15" s="1"/>
      <c r="D15" s="8"/>
    </row>
    <row r="16" spans="1:6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I24"/>
  <sheetViews>
    <sheetView tabSelected="1" workbookViewId="0">
      <pane ySplit="2" topLeftCell="A3" activePane="bottomLeft" state="frozen"/>
      <selection pane="bottomLeft" activeCell="F17" sqref="F17"/>
    </sheetView>
  </sheetViews>
  <sheetFormatPr defaultRowHeight="15" x14ac:dyDescent="0.25"/>
  <cols>
    <col min="1" max="1" width="16" style="4" customWidth="1"/>
    <col min="2" max="2" width="35.42578125" style="5" customWidth="1"/>
    <col min="3" max="4" width="27" customWidth="1"/>
    <col min="5" max="5" width="27" style="21" customWidth="1"/>
    <col min="6" max="6" width="27" style="25" customWidth="1"/>
    <col min="7" max="7" width="21.5703125" style="5" customWidth="1"/>
    <col min="8" max="8" width="36.7109375" bestFit="1" customWidth="1"/>
    <col min="9" max="9" width="28.85546875" style="5" customWidth="1"/>
  </cols>
  <sheetData>
    <row r="1" spans="1:8" ht="43.5" customHeight="1" x14ac:dyDescent="0.25">
      <c r="A1" s="17" t="s">
        <v>5</v>
      </c>
      <c r="B1" s="17"/>
      <c r="C1" s="17"/>
      <c r="D1" s="17"/>
      <c r="E1" s="17"/>
      <c r="F1" s="17"/>
      <c r="G1" s="17"/>
    </row>
    <row r="2" spans="1:8" s="4" customFormat="1" ht="30" customHeight="1" x14ac:dyDescent="0.25">
      <c r="A2" s="9" t="s">
        <v>3</v>
      </c>
      <c r="B2" s="6" t="s">
        <v>0</v>
      </c>
      <c r="C2" s="6" t="s">
        <v>1</v>
      </c>
      <c r="D2" s="6" t="s">
        <v>14</v>
      </c>
      <c r="E2" s="18" t="s">
        <v>15</v>
      </c>
      <c r="F2" s="22" t="s">
        <v>16</v>
      </c>
      <c r="G2" s="6"/>
    </row>
    <row r="3" spans="1:8" x14ac:dyDescent="0.25">
      <c r="A3" s="12">
        <v>45964</v>
      </c>
      <c r="B3" s="13">
        <v>885685740000</v>
      </c>
      <c r="C3" s="14">
        <v>272.27999999999997</v>
      </c>
      <c r="D3" s="14">
        <v>400</v>
      </c>
      <c r="E3" s="26">
        <f>D3-C3</f>
        <v>127.72000000000003</v>
      </c>
      <c r="F3" s="27">
        <f>E3*3.678</f>
        <v>469.75416000000007</v>
      </c>
      <c r="G3" s="15" t="s">
        <v>2</v>
      </c>
      <c r="H3" s="16" t="s">
        <v>6</v>
      </c>
    </row>
    <row r="4" spans="1:8" x14ac:dyDescent="0.25">
      <c r="A4" s="12">
        <v>45964</v>
      </c>
      <c r="B4" s="13" t="s">
        <v>12</v>
      </c>
      <c r="C4" s="14">
        <v>144.75</v>
      </c>
      <c r="D4" s="14">
        <v>576</v>
      </c>
      <c r="E4" s="26">
        <f t="shared" ref="E4:E14" si="0">D4-C4</f>
        <v>431.25</v>
      </c>
      <c r="F4" s="27">
        <f t="shared" ref="F4:F14" si="1">E4*3.678</f>
        <v>1586.1375</v>
      </c>
      <c r="G4" s="15" t="s">
        <v>2</v>
      </c>
      <c r="H4" s="16" t="s">
        <v>6</v>
      </c>
    </row>
    <row r="5" spans="1:8" x14ac:dyDescent="0.25">
      <c r="A5" s="12">
        <v>45966</v>
      </c>
      <c r="B5" s="13">
        <v>885779784197</v>
      </c>
      <c r="C5" s="14">
        <v>56.74</v>
      </c>
      <c r="D5" s="14">
        <v>400</v>
      </c>
      <c r="E5" s="26">
        <f t="shared" si="0"/>
        <v>343.26</v>
      </c>
      <c r="F5" s="27">
        <f t="shared" si="1"/>
        <v>1262.51028</v>
      </c>
      <c r="G5" s="15" t="s">
        <v>2</v>
      </c>
      <c r="H5" s="16" t="s">
        <v>6</v>
      </c>
    </row>
    <row r="6" spans="1:8" x14ac:dyDescent="0.25">
      <c r="A6" s="12">
        <v>45967</v>
      </c>
      <c r="B6" s="13" t="s">
        <v>11</v>
      </c>
      <c r="C6" s="14">
        <v>102.78</v>
      </c>
      <c r="D6" s="14">
        <v>576</v>
      </c>
      <c r="E6" s="26">
        <f t="shared" si="0"/>
        <v>473.22</v>
      </c>
      <c r="F6" s="27">
        <f t="shared" si="1"/>
        <v>1740.50316</v>
      </c>
      <c r="G6" s="15" t="s">
        <v>2</v>
      </c>
      <c r="H6" s="16" t="s">
        <v>6</v>
      </c>
    </row>
    <row r="7" spans="1:8" x14ac:dyDescent="0.25">
      <c r="A7" s="3">
        <v>45968</v>
      </c>
      <c r="B7" s="2">
        <v>885857433303</v>
      </c>
      <c r="C7" s="7">
        <v>20.81</v>
      </c>
      <c r="D7" s="7">
        <v>0</v>
      </c>
      <c r="E7" s="19"/>
      <c r="F7" s="23">
        <f t="shared" si="1"/>
        <v>0</v>
      </c>
      <c r="G7" s="11" t="s">
        <v>2</v>
      </c>
      <c r="H7" t="s">
        <v>6</v>
      </c>
    </row>
    <row r="8" spans="1:8" x14ac:dyDescent="0.25">
      <c r="A8" s="12">
        <v>45972</v>
      </c>
      <c r="B8" s="13">
        <v>885946336728</v>
      </c>
      <c r="C8" s="14">
        <v>237.8</v>
      </c>
      <c r="D8" s="14">
        <v>400</v>
      </c>
      <c r="E8" s="26">
        <f t="shared" si="0"/>
        <v>162.19999999999999</v>
      </c>
      <c r="F8" s="27">
        <f t="shared" si="1"/>
        <v>596.57159999999999</v>
      </c>
      <c r="G8" s="15" t="s">
        <v>2</v>
      </c>
      <c r="H8" s="16" t="s">
        <v>6</v>
      </c>
    </row>
    <row r="9" spans="1:8" x14ac:dyDescent="0.25">
      <c r="A9" s="12">
        <v>45979</v>
      </c>
      <c r="B9" s="13">
        <v>886166203914</v>
      </c>
      <c r="C9" s="14">
        <v>276.02999999999997</v>
      </c>
      <c r="D9" s="14">
        <v>400</v>
      </c>
      <c r="E9" s="26">
        <f t="shared" si="0"/>
        <v>123.97000000000003</v>
      </c>
      <c r="F9" s="27">
        <f t="shared" si="1"/>
        <v>455.96166000000011</v>
      </c>
      <c r="G9" s="15" t="s">
        <v>2</v>
      </c>
      <c r="H9" s="16" t="s">
        <v>6</v>
      </c>
    </row>
    <row r="10" spans="1:8" x14ac:dyDescent="0.25">
      <c r="A10" s="12">
        <v>45979</v>
      </c>
      <c r="B10" s="13">
        <v>886166640471</v>
      </c>
      <c r="C10" s="14">
        <v>121.1</v>
      </c>
      <c r="D10" s="14">
        <v>150</v>
      </c>
      <c r="E10" s="26">
        <f t="shared" si="0"/>
        <v>28.900000000000006</v>
      </c>
      <c r="F10" s="27">
        <f t="shared" si="1"/>
        <v>106.29420000000002</v>
      </c>
      <c r="G10" s="15" t="s">
        <v>2</v>
      </c>
      <c r="H10" s="16" t="s">
        <v>6</v>
      </c>
    </row>
    <row r="11" spans="1:8" x14ac:dyDescent="0.25">
      <c r="A11" s="3">
        <v>45979</v>
      </c>
      <c r="B11" s="2">
        <v>886167178570</v>
      </c>
      <c r="C11" s="1">
        <v>43.78</v>
      </c>
      <c r="D11" s="1"/>
      <c r="E11" s="19"/>
      <c r="F11" s="23">
        <f t="shared" si="1"/>
        <v>0</v>
      </c>
      <c r="G11" s="11" t="s">
        <v>2</v>
      </c>
      <c r="H11" t="s">
        <v>6</v>
      </c>
    </row>
    <row r="12" spans="1:8" x14ac:dyDescent="0.25">
      <c r="A12" s="12">
        <v>45981</v>
      </c>
      <c r="B12" s="13">
        <v>886246191631</v>
      </c>
      <c r="C12" s="14">
        <v>121.34</v>
      </c>
      <c r="D12" s="14">
        <v>150</v>
      </c>
      <c r="E12" s="26">
        <f t="shared" si="0"/>
        <v>28.659999999999997</v>
      </c>
      <c r="F12" s="27">
        <f t="shared" si="1"/>
        <v>105.41147999999998</v>
      </c>
      <c r="G12" s="15" t="s">
        <v>2</v>
      </c>
      <c r="H12" s="16" t="s">
        <v>6</v>
      </c>
    </row>
    <row r="13" spans="1:8" x14ac:dyDescent="0.25">
      <c r="A13" s="12">
        <v>45981</v>
      </c>
      <c r="B13" s="13">
        <v>886246349894</v>
      </c>
      <c r="C13" s="14">
        <v>121.34</v>
      </c>
      <c r="D13" s="14">
        <v>150</v>
      </c>
      <c r="E13" s="26">
        <f t="shared" si="0"/>
        <v>28.659999999999997</v>
      </c>
      <c r="F13" s="27">
        <f t="shared" si="1"/>
        <v>105.41147999999998</v>
      </c>
      <c r="G13" s="15" t="s">
        <v>2</v>
      </c>
      <c r="H13" s="16" t="s">
        <v>6</v>
      </c>
    </row>
    <row r="14" spans="1:8" x14ac:dyDescent="0.25">
      <c r="A14" s="12">
        <v>45985</v>
      </c>
      <c r="B14" s="13">
        <v>886353820345</v>
      </c>
      <c r="C14" s="14">
        <v>121.34</v>
      </c>
      <c r="D14" s="14">
        <v>150</v>
      </c>
      <c r="E14" s="26">
        <f t="shared" si="0"/>
        <v>28.659999999999997</v>
      </c>
      <c r="F14" s="27">
        <f t="shared" si="1"/>
        <v>105.41147999999998</v>
      </c>
      <c r="G14" s="15" t="s">
        <v>2</v>
      </c>
      <c r="H14" s="16" t="s">
        <v>6</v>
      </c>
    </row>
    <row r="15" spans="1:8" x14ac:dyDescent="0.25">
      <c r="A15" s="3"/>
      <c r="B15" s="2"/>
      <c r="C15" s="7"/>
      <c r="D15" s="7"/>
      <c r="E15" s="19"/>
      <c r="F15" s="23"/>
      <c r="G15" s="1"/>
    </row>
    <row r="16" spans="1:8" x14ac:dyDescent="0.25">
      <c r="A16" s="3"/>
      <c r="B16" s="2"/>
      <c r="C16" s="1"/>
      <c r="D16" s="1"/>
      <c r="E16" s="20"/>
      <c r="F16" s="24"/>
      <c r="G16" s="11"/>
    </row>
    <row r="17" spans="1:7" x14ac:dyDescent="0.25">
      <c r="A17" s="3"/>
      <c r="B17" s="2"/>
      <c r="C17" s="1"/>
      <c r="D17" s="1"/>
      <c r="E17" s="20"/>
      <c r="F17" s="24"/>
      <c r="G17" s="8"/>
    </row>
    <row r="18" spans="1:7" x14ac:dyDescent="0.25">
      <c r="A18" s="10"/>
      <c r="B18" s="2"/>
      <c r="C18" s="1"/>
      <c r="D18" s="1"/>
      <c r="E18" s="20"/>
      <c r="F18" s="24"/>
      <c r="G18" s="8"/>
    </row>
    <row r="19" spans="1:7" x14ac:dyDescent="0.25">
      <c r="A19" s="10"/>
      <c r="B19" s="2"/>
      <c r="C19" s="1"/>
      <c r="D19" s="1"/>
      <c r="E19" s="20"/>
      <c r="F19" s="24"/>
      <c r="G19" s="8"/>
    </row>
    <row r="20" spans="1:7" x14ac:dyDescent="0.25">
      <c r="A20" s="10"/>
      <c r="B20" s="2"/>
      <c r="C20" s="1"/>
      <c r="D20" s="1"/>
      <c r="E20" s="20"/>
      <c r="F20" s="24"/>
      <c r="G20" s="8"/>
    </row>
    <row r="21" spans="1:7" x14ac:dyDescent="0.25">
      <c r="A21" s="10"/>
      <c r="B21" s="2"/>
      <c r="C21" s="1"/>
      <c r="D21" s="1"/>
      <c r="E21" s="20"/>
      <c r="F21" s="24"/>
      <c r="G21" s="11"/>
    </row>
    <row r="22" spans="1:7" x14ac:dyDescent="0.25">
      <c r="A22" s="10"/>
      <c r="B22" s="2"/>
      <c r="C22" s="1"/>
      <c r="D22" s="1"/>
      <c r="E22" s="20"/>
      <c r="F22" s="24"/>
      <c r="G22" s="11"/>
    </row>
    <row r="23" spans="1:7" x14ac:dyDescent="0.25">
      <c r="A23" s="10"/>
      <c r="B23" s="2"/>
      <c r="C23" s="1"/>
      <c r="D23" s="1"/>
      <c r="E23" s="20"/>
      <c r="F23" s="24"/>
      <c r="G23" s="11"/>
    </row>
    <row r="24" spans="1:7" x14ac:dyDescent="0.25">
      <c r="A24" s="10"/>
      <c r="B24" s="2"/>
      <c r="C24" s="1"/>
      <c r="D24" s="1"/>
      <c r="E24" s="20"/>
      <c r="F24" s="24"/>
      <c r="G24" s="11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C20" sqref="C20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36.7109375" bestFit="1" customWidth="1"/>
  </cols>
  <sheetData>
    <row r="1" spans="1:5" ht="42.75" customHeight="1" x14ac:dyDescent="0.25">
      <c r="A1" s="17" t="s">
        <v>7</v>
      </c>
      <c r="B1" s="17"/>
      <c r="C1" s="17"/>
      <c r="D1" s="17"/>
    </row>
    <row r="2" spans="1:5" s="4" customFormat="1" ht="33.75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>
        <v>45980</v>
      </c>
      <c r="B3" s="2" t="s">
        <v>13</v>
      </c>
      <c r="C3" s="7">
        <v>1822.17</v>
      </c>
      <c r="D3" s="11" t="s">
        <v>2</v>
      </c>
      <c r="E3" t="s">
        <v>6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2026-06-17T11:09:33Z</dcterms:modified>
</cp:coreProperties>
</file>