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ll5300\Documents\Ledgers 2025\"/>
    </mc:Choice>
  </mc:AlternateContent>
  <xr:revisionPtr revIDLastSave="0" documentId="13_ncr:1_{FDF60F82-C895-4C27-B3FA-54DAF6CB9A7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wiss Tech LLC Labels" sheetId="7" r:id="rId1"/>
    <sheet name="Labels for Mudassir" sheetId="2" r:id="rId2"/>
    <sheet name="Labels for Ahsan" sheetId="8" r:id="rId3"/>
    <sheet name="Labels for Abdul Majid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6" i="2" l="1"/>
  <c r="F33" i="2"/>
  <c r="F37" i="2"/>
  <c r="F38" i="2"/>
  <c r="F41" i="2"/>
  <c r="F45" i="2"/>
  <c r="F46" i="2"/>
  <c r="E47" i="2"/>
  <c r="F47" i="2" s="1"/>
  <c r="E46" i="2"/>
  <c r="E45" i="2"/>
  <c r="E44" i="2"/>
  <c r="F44" i="2" s="1"/>
  <c r="E43" i="2"/>
  <c r="F43" i="2" s="1"/>
  <c r="E42" i="2"/>
  <c r="F42" i="2" s="1"/>
  <c r="E41" i="2"/>
  <c r="E40" i="2"/>
  <c r="F40" i="2" s="1"/>
  <c r="E39" i="2"/>
  <c r="F39" i="2" s="1"/>
  <c r="E38" i="2"/>
  <c r="E37" i="2"/>
  <c r="E36" i="2"/>
  <c r="F36" i="2" s="1"/>
  <c r="E35" i="2"/>
  <c r="F35" i="2" s="1"/>
  <c r="E34" i="2"/>
  <c r="F34" i="2" s="1"/>
  <c r="E33" i="2"/>
  <c r="E32" i="2"/>
  <c r="F32" i="2" s="1"/>
  <c r="E31" i="2"/>
  <c r="F31" i="2" s="1"/>
  <c r="E30" i="2"/>
  <c r="F30" i="2" s="1"/>
  <c r="E29" i="2"/>
  <c r="F29" i="2" s="1"/>
  <c r="E28" i="2"/>
  <c r="F28" i="2" s="1"/>
  <c r="E27" i="2"/>
  <c r="E48" i="2" s="1"/>
  <c r="E19" i="2"/>
  <c r="F19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4" i="2"/>
  <c r="F4" i="2" s="1"/>
  <c r="F27" i="2" l="1"/>
  <c r="F48" i="2" s="1"/>
  <c r="E14" i="2"/>
  <c r="F14" i="2" s="1"/>
</calcChain>
</file>

<file path=xl/sharedStrings.xml><?xml version="1.0" encoding="utf-8"?>
<sst xmlns="http://schemas.openxmlformats.org/spreadsheetml/2006/main" count="112" uniqueCount="35">
  <si>
    <t>Shipping Label</t>
  </si>
  <si>
    <t>Price in USD</t>
  </si>
  <si>
    <t>Fedex Invoice Price</t>
  </si>
  <si>
    <t>Quote Price</t>
  </si>
  <si>
    <t>Label Creation Date</t>
  </si>
  <si>
    <t>FedEx Labels for Swiss Tech LLC</t>
  </si>
  <si>
    <t>FedEx Labels for Mudassir</t>
  </si>
  <si>
    <t>FedEx Labels for Ahsan</t>
  </si>
  <si>
    <t>Paid from Swiss Tech USA Wise Account</t>
  </si>
  <si>
    <t xml:space="preserve">884048881509 Pallet </t>
  </si>
  <si>
    <t>884350071489 Master</t>
  </si>
  <si>
    <t xml:space="preserve">884395762147 Pallet </t>
  </si>
  <si>
    <t xml:space="preserve">884577616314 Pallet </t>
  </si>
  <si>
    <t>884153427763 Master</t>
  </si>
  <si>
    <t>Label Cancelled</t>
  </si>
  <si>
    <t>884208794942 Master</t>
  </si>
  <si>
    <t>884247722815 Master</t>
  </si>
  <si>
    <t>USA to USA</t>
  </si>
  <si>
    <t>884574885700 Master</t>
  </si>
  <si>
    <t>884583815319 Master</t>
  </si>
  <si>
    <t>884764993533 Master</t>
  </si>
  <si>
    <t>884767135284 Master</t>
  </si>
  <si>
    <t>884338149515 Master</t>
  </si>
  <si>
    <t>884602368318 Master</t>
  </si>
  <si>
    <t>FedEx Labels for Abdul Majid</t>
  </si>
  <si>
    <t>884349020727 Master</t>
  </si>
  <si>
    <t>884804442640 Master</t>
  </si>
  <si>
    <t>884614874090 Master
884614874104</t>
  </si>
  <si>
    <t>Mudassir</t>
  </si>
  <si>
    <t>Difference</t>
  </si>
  <si>
    <t>Difference in AED</t>
  </si>
  <si>
    <t>884896497095 Master</t>
  </si>
  <si>
    <t>885073337013 Master</t>
  </si>
  <si>
    <t>885097150836 Master</t>
  </si>
  <si>
    <t>M labels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</si>
</sst>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AED-4C09]* #,##0.00_-;\-[$AED-4C09]* #,##0.00_-;_-[$AED-4C09]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/>
    </xf>
    <xf numFmtId="1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5" fontId="0" fillId="6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5" fontId="0" fillId="7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0" xfId="0" applyFill="1"/>
    <xf numFmtId="0" fontId="0" fillId="5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 wrapText="1"/>
    </xf>
    <xf numFmtId="15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 wrapText="1"/>
    </xf>
    <xf numFmtId="15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164" fontId="0" fillId="0" borderId="1" xfId="0" applyNumberFormat="1" applyBorder="1"/>
    <xf numFmtId="164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164" fontId="0" fillId="0" borderId="6" xfId="0" applyNumberFormat="1" applyBorder="1"/>
    <xf numFmtId="0" fontId="1" fillId="8" borderId="7" xfId="0" applyFont="1" applyFill="1" applyBorder="1" applyAlignment="1">
      <alignment horizontal="center" vertical="center"/>
    </xf>
    <xf numFmtId="164" fontId="1" fillId="8" borderId="8" xfId="0" applyNumberFormat="1" applyFont="1" applyFill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5" fontId="0" fillId="7" borderId="1" xfId="0" applyNumberFormat="1" applyFont="1" applyFill="1" applyBorder="1" applyAlignment="1">
      <alignment horizontal="center" vertical="center"/>
    </xf>
    <xf numFmtId="1" fontId="0" fillId="7" borderId="1" xfId="0" applyNumberFormat="1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2" fontId="0" fillId="7" borderId="1" xfId="0" applyNumberFormat="1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/>
    </xf>
    <xf numFmtId="0" fontId="0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B342-0B44-489B-B96D-4D138DFC54FD}">
  <dimension ref="A1:F16"/>
  <sheetViews>
    <sheetView workbookViewId="0">
      <pane ySplit="2" topLeftCell="A3" activePane="bottomLeft" state="frozen"/>
      <selection pane="bottomLeft" activeCell="C20" sqref="C20"/>
    </sheetView>
  </sheetViews>
  <sheetFormatPr defaultRowHeight="14.4" x14ac:dyDescent="0.3"/>
  <cols>
    <col min="1" max="1" width="16.88671875" style="4" customWidth="1"/>
    <col min="2" max="2" width="35.44140625" style="5" customWidth="1"/>
    <col min="3" max="3" width="27" customWidth="1"/>
    <col min="4" max="4" width="21.5546875" customWidth="1"/>
    <col min="5" max="5" width="36" customWidth="1"/>
    <col min="6" max="6" width="10.88671875" bestFit="1" customWidth="1"/>
  </cols>
  <sheetData>
    <row r="1" spans="1:6" ht="45" customHeight="1" x14ac:dyDescent="0.3">
      <c r="A1" s="40" t="s">
        <v>5</v>
      </c>
      <c r="B1" s="40"/>
      <c r="C1" s="40"/>
      <c r="D1" s="40"/>
    </row>
    <row r="2" spans="1:6" s="4" customFormat="1" ht="31.5" customHeight="1" x14ac:dyDescent="0.3">
      <c r="A2" s="9" t="s">
        <v>4</v>
      </c>
      <c r="B2" s="6" t="s">
        <v>0</v>
      </c>
      <c r="C2" s="6" t="s">
        <v>1</v>
      </c>
      <c r="D2" s="6"/>
    </row>
    <row r="3" spans="1:6" x14ac:dyDescent="0.3">
      <c r="A3" s="16">
        <v>45902</v>
      </c>
      <c r="B3" s="17" t="s">
        <v>9</v>
      </c>
      <c r="C3" s="18">
        <v>661.59</v>
      </c>
      <c r="D3" s="18" t="s">
        <v>2</v>
      </c>
      <c r="E3" t="s">
        <v>8</v>
      </c>
    </row>
    <row r="4" spans="1:6" x14ac:dyDescent="0.3">
      <c r="A4" s="16">
        <v>45913</v>
      </c>
      <c r="B4" s="17" t="s">
        <v>10</v>
      </c>
      <c r="C4" s="18">
        <v>335.74</v>
      </c>
      <c r="D4" s="18" t="s">
        <v>2</v>
      </c>
      <c r="E4" t="s">
        <v>8</v>
      </c>
      <c r="F4" s="5" t="s">
        <v>17</v>
      </c>
    </row>
    <row r="5" spans="1:6" x14ac:dyDescent="0.3">
      <c r="A5" s="16">
        <v>45915</v>
      </c>
      <c r="B5" s="17" t="s">
        <v>11</v>
      </c>
      <c r="C5" s="18">
        <v>1310.54</v>
      </c>
      <c r="D5" s="18" t="s">
        <v>2</v>
      </c>
      <c r="E5" t="s">
        <v>8</v>
      </c>
    </row>
    <row r="6" spans="1:6" x14ac:dyDescent="0.3">
      <c r="A6" s="16">
        <v>45922</v>
      </c>
      <c r="B6" s="17" t="s">
        <v>12</v>
      </c>
      <c r="C6" s="18">
        <v>2058.16</v>
      </c>
      <c r="D6" s="18" t="s">
        <v>2</v>
      </c>
      <c r="E6" t="s">
        <v>8</v>
      </c>
    </row>
    <row r="7" spans="1:6" x14ac:dyDescent="0.3">
      <c r="A7" s="16">
        <v>45922</v>
      </c>
      <c r="B7" s="17">
        <v>884584171886</v>
      </c>
      <c r="C7" s="18">
        <v>124.3</v>
      </c>
      <c r="D7" s="18" t="s">
        <v>2</v>
      </c>
      <c r="E7" t="s">
        <v>8</v>
      </c>
      <c r="F7" s="5" t="s">
        <v>17</v>
      </c>
    </row>
    <row r="8" spans="1:6" x14ac:dyDescent="0.3">
      <c r="A8" s="16">
        <v>45930</v>
      </c>
      <c r="B8" s="17" t="s">
        <v>26</v>
      </c>
      <c r="C8" s="18">
        <v>453.33</v>
      </c>
      <c r="D8" s="18" t="s">
        <v>2</v>
      </c>
      <c r="E8" t="s">
        <v>8</v>
      </c>
    </row>
    <row r="9" spans="1:6" x14ac:dyDescent="0.3">
      <c r="A9" s="3"/>
      <c r="B9" s="2"/>
      <c r="C9" s="1"/>
      <c r="D9" s="8"/>
    </row>
    <row r="10" spans="1:6" x14ac:dyDescent="0.3">
      <c r="A10" s="3"/>
      <c r="B10" s="2"/>
      <c r="C10" s="1"/>
      <c r="D10" s="8"/>
    </row>
    <row r="11" spans="1:6" x14ac:dyDescent="0.3">
      <c r="A11" s="3"/>
      <c r="B11" s="2"/>
      <c r="C11" s="1"/>
      <c r="D11" s="8"/>
    </row>
    <row r="12" spans="1:6" x14ac:dyDescent="0.3">
      <c r="A12" s="3"/>
      <c r="B12" s="2"/>
      <c r="C12" s="1"/>
      <c r="D12" s="8"/>
    </row>
    <row r="13" spans="1:6" x14ac:dyDescent="0.3">
      <c r="A13" s="3"/>
      <c r="B13" s="2"/>
      <c r="C13" s="1"/>
      <c r="D13" s="8"/>
    </row>
    <row r="14" spans="1:6" x14ac:dyDescent="0.3">
      <c r="A14" s="3"/>
      <c r="B14" s="2"/>
      <c r="C14" s="1"/>
      <c r="D14" s="8"/>
    </row>
    <row r="15" spans="1:6" x14ac:dyDescent="0.3">
      <c r="A15" s="1"/>
      <c r="B15" s="2"/>
      <c r="C15" s="1"/>
      <c r="D15" s="8"/>
    </row>
    <row r="16" spans="1:6" x14ac:dyDescent="0.3">
      <c r="A16" s="1"/>
      <c r="B16" s="2"/>
      <c r="C16" s="1"/>
      <c r="D16" s="8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7FB0-F30D-455D-AEEA-06781F01DE95}">
  <dimension ref="A1:I76"/>
  <sheetViews>
    <sheetView tabSelected="1" workbookViewId="0">
      <pane ySplit="2" topLeftCell="A3" activePane="bottomLeft" state="frozen"/>
      <selection pane="bottomLeft" activeCell="B18" sqref="B18"/>
    </sheetView>
  </sheetViews>
  <sheetFormatPr defaultRowHeight="14.4" x14ac:dyDescent="0.3"/>
  <cols>
    <col min="1" max="1" width="16" style="4" customWidth="1"/>
    <col min="2" max="2" width="35.44140625" style="5" customWidth="1"/>
    <col min="3" max="6" width="27" customWidth="1"/>
    <col min="7" max="7" width="19" style="5" customWidth="1"/>
    <col min="8" max="8" width="36.6640625" bestFit="1" customWidth="1"/>
    <col min="9" max="9" width="28.88671875" style="5" customWidth="1"/>
  </cols>
  <sheetData>
    <row r="1" spans="1:9" ht="43.5" customHeight="1" x14ac:dyDescent="0.3">
      <c r="A1" s="40" t="s">
        <v>6</v>
      </c>
      <c r="B1" s="40"/>
      <c r="C1" s="40"/>
      <c r="D1" s="40"/>
      <c r="E1" s="40"/>
      <c r="F1" s="40"/>
      <c r="G1" s="40"/>
    </row>
    <row r="2" spans="1:9" s="4" customFormat="1" ht="30" customHeight="1" x14ac:dyDescent="0.3">
      <c r="A2" s="9" t="s">
        <v>4</v>
      </c>
      <c r="B2" s="6" t="s">
        <v>0</v>
      </c>
      <c r="C2" s="6" t="s">
        <v>1</v>
      </c>
      <c r="D2" s="6" t="s">
        <v>28</v>
      </c>
      <c r="E2" s="6" t="s">
        <v>29</v>
      </c>
      <c r="F2" s="6" t="s">
        <v>30</v>
      </c>
      <c r="G2" s="6"/>
    </row>
    <row r="3" spans="1:9" x14ac:dyDescent="0.3">
      <c r="A3" s="3">
        <v>45905</v>
      </c>
      <c r="B3" s="11" t="s">
        <v>13</v>
      </c>
      <c r="C3" s="7" t="s">
        <v>14</v>
      </c>
      <c r="D3" s="7"/>
      <c r="E3" s="7"/>
      <c r="F3" s="7"/>
      <c r="G3" s="12"/>
    </row>
    <row r="4" spans="1:9" x14ac:dyDescent="0.3">
      <c r="A4" s="16">
        <v>45908</v>
      </c>
      <c r="B4" s="17">
        <v>884208471185</v>
      </c>
      <c r="C4" s="18">
        <v>290.55</v>
      </c>
      <c r="D4" s="18">
        <v>360</v>
      </c>
      <c r="E4" s="18">
        <f>D4-C4</f>
        <v>69.449999999999989</v>
      </c>
      <c r="F4" s="23">
        <f>E4*3.59</f>
        <v>249.32549999999995</v>
      </c>
      <c r="G4" s="19" t="s">
        <v>2</v>
      </c>
      <c r="H4" s="20" t="s">
        <v>8</v>
      </c>
    </row>
    <row r="5" spans="1:9" x14ac:dyDescent="0.3">
      <c r="A5" s="16">
        <v>45908</v>
      </c>
      <c r="B5" s="17" t="s">
        <v>15</v>
      </c>
      <c r="C5" s="18">
        <v>257.17</v>
      </c>
      <c r="D5" s="18">
        <v>576</v>
      </c>
      <c r="E5" s="18">
        <f t="shared" ref="E5:E13" si="0">D5-C5</f>
        <v>318.83</v>
      </c>
      <c r="F5" s="23">
        <f t="shared" ref="F5:F14" si="1">E5*3.59</f>
        <v>1144.5997</v>
      </c>
      <c r="G5" s="19" t="s">
        <v>2</v>
      </c>
      <c r="H5" s="20" t="s">
        <v>8</v>
      </c>
    </row>
    <row r="6" spans="1:9" x14ac:dyDescent="0.3">
      <c r="A6" s="44">
        <v>45909</v>
      </c>
      <c r="B6" s="45">
        <v>884240212850</v>
      </c>
      <c r="C6" s="46">
        <v>243.89</v>
      </c>
      <c r="D6" s="46">
        <v>360</v>
      </c>
      <c r="E6" s="46">
        <f t="shared" si="0"/>
        <v>116.11000000000001</v>
      </c>
      <c r="F6" s="47">
        <f>E6*3.59</f>
        <v>416.8349</v>
      </c>
      <c r="G6" s="48" t="s">
        <v>2</v>
      </c>
      <c r="H6" s="49" t="s">
        <v>8</v>
      </c>
    </row>
    <row r="7" spans="1:9" x14ac:dyDescent="0.3">
      <c r="A7" s="16">
        <v>45910</v>
      </c>
      <c r="B7" s="17" t="s">
        <v>16</v>
      </c>
      <c r="C7" s="18">
        <v>236.9</v>
      </c>
      <c r="D7" s="18">
        <v>576</v>
      </c>
      <c r="E7" s="18">
        <f t="shared" si="0"/>
        <v>339.1</v>
      </c>
      <c r="F7" s="23">
        <f t="shared" si="1"/>
        <v>1217.3690000000001</v>
      </c>
      <c r="G7" s="19" t="s">
        <v>2</v>
      </c>
      <c r="H7" s="20" t="s">
        <v>8</v>
      </c>
    </row>
    <row r="8" spans="1:9" x14ac:dyDescent="0.3">
      <c r="A8" s="16">
        <v>45912</v>
      </c>
      <c r="B8" s="17">
        <v>884337543305</v>
      </c>
      <c r="C8" s="18">
        <v>23.01</v>
      </c>
      <c r="D8" s="18">
        <v>60</v>
      </c>
      <c r="E8" s="18">
        <f t="shared" si="0"/>
        <v>36.989999999999995</v>
      </c>
      <c r="F8" s="23">
        <f t="shared" si="1"/>
        <v>132.79409999999999</v>
      </c>
      <c r="G8" s="19" t="s">
        <v>2</v>
      </c>
      <c r="H8" s="20" t="s">
        <v>8</v>
      </c>
      <c r="I8" s="5" t="s">
        <v>17</v>
      </c>
    </row>
    <row r="9" spans="1:9" x14ac:dyDescent="0.3">
      <c r="A9" s="16">
        <v>45916</v>
      </c>
      <c r="B9" s="17">
        <v>884423139238</v>
      </c>
      <c r="C9" s="18">
        <v>324.04000000000002</v>
      </c>
      <c r="D9" s="18">
        <v>360</v>
      </c>
      <c r="E9" s="18">
        <f t="shared" si="0"/>
        <v>35.95999999999998</v>
      </c>
      <c r="F9" s="23">
        <f t="shared" si="1"/>
        <v>129.09639999999993</v>
      </c>
      <c r="G9" s="19" t="s">
        <v>2</v>
      </c>
      <c r="H9" s="20" t="s">
        <v>8</v>
      </c>
    </row>
    <row r="10" spans="1:9" x14ac:dyDescent="0.3">
      <c r="A10" s="16">
        <v>45922</v>
      </c>
      <c r="B10" s="17" t="s">
        <v>18</v>
      </c>
      <c r="C10" s="18">
        <v>287.77999999999997</v>
      </c>
      <c r="D10" s="18">
        <v>576</v>
      </c>
      <c r="E10" s="18">
        <f t="shared" si="0"/>
        <v>288.22000000000003</v>
      </c>
      <c r="F10" s="23">
        <f t="shared" si="1"/>
        <v>1034.7098000000001</v>
      </c>
      <c r="G10" s="19" t="s">
        <v>2</v>
      </c>
      <c r="H10" s="20" t="s">
        <v>8</v>
      </c>
    </row>
    <row r="11" spans="1:9" ht="28.8" x14ac:dyDescent="0.3">
      <c r="A11" s="16">
        <v>45923</v>
      </c>
      <c r="B11" s="25" t="s">
        <v>27</v>
      </c>
      <c r="C11" s="18">
        <v>161.83000000000001</v>
      </c>
      <c r="D11" s="18">
        <v>360</v>
      </c>
      <c r="E11" s="18">
        <f t="shared" si="0"/>
        <v>198.17</v>
      </c>
      <c r="F11" s="23">
        <f t="shared" si="1"/>
        <v>711.43029999999987</v>
      </c>
      <c r="G11" s="18" t="s">
        <v>3</v>
      </c>
      <c r="H11" s="20"/>
    </row>
    <row r="12" spans="1:9" x14ac:dyDescent="0.3">
      <c r="A12" s="16">
        <v>45929</v>
      </c>
      <c r="B12" s="17" t="s">
        <v>20</v>
      </c>
      <c r="C12" s="18">
        <v>157.91</v>
      </c>
      <c r="D12" s="18">
        <v>400</v>
      </c>
      <c r="E12" s="18">
        <f t="shared" si="0"/>
        <v>242.09</v>
      </c>
      <c r="F12" s="23">
        <f t="shared" si="1"/>
        <v>869.10309999999993</v>
      </c>
      <c r="G12" s="19" t="s">
        <v>2</v>
      </c>
      <c r="H12" s="20" t="s">
        <v>8</v>
      </c>
    </row>
    <row r="13" spans="1:9" x14ac:dyDescent="0.3">
      <c r="A13" s="16">
        <v>45929</v>
      </c>
      <c r="B13" s="17" t="s">
        <v>21</v>
      </c>
      <c r="C13" s="18">
        <v>162.13</v>
      </c>
      <c r="D13" s="18">
        <v>576</v>
      </c>
      <c r="E13" s="18">
        <f t="shared" si="0"/>
        <v>413.87</v>
      </c>
      <c r="F13" s="23">
        <f t="shared" si="1"/>
        <v>1485.7933</v>
      </c>
      <c r="G13" s="19" t="s">
        <v>2</v>
      </c>
      <c r="H13" s="20" t="s">
        <v>8</v>
      </c>
    </row>
    <row r="14" spans="1:9" x14ac:dyDescent="0.3">
      <c r="A14" s="3"/>
      <c r="B14" s="2"/>
      <c r="C14" s="1"/>
      <c r="D14" s="1"/>
      <c r="E14" s="22">
        <f>SUM(E4:E13)</f>
        <v>2058.79</v>
      </c>
      <c r="F14" s="24">
        <f t="shared" si="1"/>
        <v>7391.0560999999998</v>
      </c>
      <c r="G14" s="8"/>
    </row>
    <row r="15" spans="1:9" x14ac:dyDescent="0.3">
      <c r="A15" s="10"/>
      <c r="B15" s="2"/>
      <c r="C15" s="1"/>
      <c r="D15" s="1"/>
      <c r="E15" s="1"/>
      <c r="F15" s="1"/>
      <c r="G15" s="8"/>
    </row>
    <row r="16" spans="1:9" x14ac:dyDescent="0.3">
      <c r="A16" s="10"/>
      <c r="B16" s="2"/>
      <c r="C16" s="1"/>
      <c r="D16" s="1"/>
      <c r="E16" s="1"/>
      <c r="F16" s="1"/>
      <c r="G16" s="8"/>
    </row>
    <row r="17" spans="1:7" x14ac:dyDescent="0.3">
      <c r="A17" s="10"/>
      <c r="B17" s="2"/>
      <c r="C17" s="1"/>
      <c r="D17" s="1"/>
      <c r="E17" s="1"/>
      <c r="F17" s="1"/>
      <c r="G17" s="8"/>
    </row>
    <row r="18" spans="1:7" x14ac:dyDescent="0.3">
      <c r="A18" s="10"/>
      <c r="B18" s="2"/>
      <c r="C18" s="1"/>
      <c r="D18" s="1"/>
      <c r="E18" s="1"/>
      <c r="F18" s="1"/>
      <c r="G18" s="12"/>
    </row>
    <row r="19" spans="1:7" x14ac:dyDescent="0.3">
      <c r="A19" s="13">
        <v>45922</v>
      </c>
      <c r="B19" s="14" t="s">
        <v>19</v>
      </c>
      <c r="C19" s="15" t="s">
        <v>14</v>
      </c>
      <c r="D19" s="15" t="s">
        <v>14</v>
      </c>
      <c r="E19" s="15" t="e">
        <f>D19-C19</f>
        <v>#VALUE!</v>
      </c>
      <c r="F19" s="15" t="e">
        <f>E19*3.59</f>
        <v>#VALUE!</v>
      </c>
      <c r="G19" s="12"/>
    </row>
    <row r="20" spans="1:7" x14ac:dyDescent="0.3">
      <c r="A20" s="10"/>
      <c r="B20" s="2"/>
      <c r="C20" s="1"/>
      <c r="D20" s="1"/>
      <c r="E20" s="1"/>
      <c r="F20" s="1"/>
      <c r="G20" s="12"/>
    </row>
    <row r="21" spans="1:7" x14ac:dyDescent="0.3">
      <c r="A21" s="10"/>
      <c r="B21" s="2"/>
      <c r="C21" s="1"/>
      <c r="D21" s="1"/>
      <c r="E21" s="1"/>
      <c r="F21" s="1"/>
      <c r="G21" s="12"/>
    </row>
    <row r="25" spans="1:7" ht="27" customHeight="1" x14ac:dyDescent="0.3">
      <c r="A25" s="41" t="s">
        <v>6</v>
      </c>
      <c r="B25" s="41"/>
      <c r="C25" s="41"/>
      <c r="D25" s="41"/>
      <c r="E25" s="41"/>
      <c r="F25" s="41"/>
      <c r="G25" s="41"/>
    </row>
    <row r="26" spans="1:7" ht="25.2" customHeight="1" x14ac:dyDescent="0.3">
      <c r="A26" s="9" t="s">
        <v>4</v>
      </c>
      <c r="B26" s="6" t="s">
        <v>0</v>
      </c>
      <c r="C26" s="6" t="s">
        <v>1</v>
      </c>
      <c r="D26" s="6" t="s">
        <v>28</v>
      </c>
      <c r="E26" s="6" t="s">
        <v>29</v>
      </c>
      <c r="F26" s="6" t="s">
        <v>30</v>
      </c>
      <c r="G26" s="6" t="s">
        <v>34</v>
      </c>
    </row>
    <row r="27" spans="1:7" x14ac:dyDescent="0.3">
      <c r="A27" s="26">
        <v>45908</v>
      </c>
      <c r="B27" s="27">
        <v>884208471185</v>
      </c>
      <c r="C27" s="7">
        <v>290.55</v>
      </c>
      <c r="D27" s="7">
        <v>360</v>
      </c>
      <c r="E27" s="7">
        <f>D27-C27</f>
        <v>69.449999999999989</v>
      </c>
      <c r="F27" s="31">
        <f>E27*3.678</f>
        <v>255.43709999999996</v>
      </c>
      <c r="G27" s="12"/>
    </row>
    <row r="28" spans="1:7" x14ac:dyDescent="0.3">
      <c r="A28" s="26">
        <v>45908</v>
      </c>
      <c r="B28" s="27" t="s">
        <v>15</v>
      </c>
      <c r="C28" s="7">
        <v>257.17</v>
      </c>
      <c r="D28" s="7">
        <v>576</v>
      </c>
      <c r="E28" s="7">
        <f t="shared" ref="E28:E36" si="2">D28-C28</f>
        <v>318.83</v>
      </c>
      <c r="F28" s="31">
        <f t="shared" ref="F28:F47" si="3">E28*3.678</f>
        <v>1172.6567399999999</v>
      </c>
      <c r="G28" s="12"/>
    </row>
    <row r="29" spans="1:7" x14ac:dyDescent="0.3">
      <c r="A29" s="29">
        <v>45909</v>
      </c>
      <c r="B29" s="30">
        <v>884240212850</v>
      </c>
      <c r="C29" s="21">
        <v>243.89</v>
      </c>
      <c r="D29" s="21">
        <v>575</v>
      </c>
      <c r="E29" s="21">
        <f t="shared" si="2"/>
        <v>331.11</v>
      </c>
      <c r="F29" s="32">
        <f t="shared" si="3"/>
        <v>1217.82258</v>
      </c>
      <c r="G29" s="33">
        <v>360</v>
      </c>
    </row>
    <row r="30" spans="1:7" x14ac:dyDescent="0.3">
      <c r="A30" s="29">
        <v>45910</v>
      </c>
      <c r="B30" s="30" t="s">
        <v>16</v>
      </c>
      <c r="C30" s="21">
        <v>236.9</v>
      </c>
      <c r="D30" s="21">
        <v>573</v>
      </c>
      <c r="E30" s="21">
        <f t="shared" si="2"/>
        <v>336.1</v>
      </c>
      <c r="F30" s="32">
        <f t="shared" si="3"/>
        <v>1236.1758</v>
      </c>
      <c r="G30" s="33">
        <v>576</v>
      </c>
    </row>
    <row r="31" spans="1:7" x14ac:dyDescent="0.3">
      <c r="A31" s="26">
        <v>45912</v>
      </c>
      <c r="B31" s="27">
        <v>884337543305</v>
      </c>
      <c r="C31" s="7">
        <v>23.01</v>
      </c>
      <c r="D31" s="7">
        <v>60</v>
      </c>
      <c r="E31" s="7">
        <f t="shared" si="2"/>
        <v>36.989999999999995</v>
      </c>
      <c r="F31" s="31">
        <f t="shared" si="3"/>
        <v>136.04921999999999</v>
      </c>
      <c r="G31" s="12"/>
    </row>
    <row r="32" spans="1:7" x14ac:dyDescent="0.3">
      <c r="A32" s="29">
        <v>45916</v>
      </c>
      <c r="B32" s="30">
        <v>884423139238</v>
      </c>
      <c r="C32" s="21">
        <v>324.04000000000002</v>
      </c>
      <c r="D32" s="21">
        <v>581</v>
      </c>
      <c r="E32" s="21">
        <f t="shared" si="2"/>
        <v>256.95999999999998</v>
      </c>
      <c r="F32" s="32">
        <f t="shared" si="3"/>
        <v>945.09887999999989</v>
      </c>
      <c r="G32" s="33">
        <v>360</v>
      </c>
    </row>
    <row r="33" spans="1:7" x14ac:dyDescent="0.3">
      <c r="A33" s="26">
        <v>45922</v>
      </c>
      <c r="B33" s="27" t="s">
        <v>18</v>
      </c>
      <c r="C33" s="7">
        <v>287.77999999999997</v>
      </c>
      <c r="D33" s="7">
        <v>576</v>
      </c>
      <c r="E33" s="7">
        <f t="shared" si="2"/>
        <v>288.22000000000003</v>
      </c>
      <c r="F33" s="31">
        <f t="shared" si="3"/>
        <v>1060.0731600000001</v>
      </c>
      <c r="G33" s="12"/>
    </row>
    <row r="34" spans="1:7" ht="28.8" x14ac:dyDescent="0.3">
      <c r="A34" s="26">
        <v>45923</v>
      </c>
      <c r="B34" s="28" t="s">
        <v>27</v>
      </c>
      <c r="C34" s="7">
        <v>161.83000000000001</v>
      </c>
      <c r="D34" s="7">
        <v>360</v>
      </c>
      <c r="E34" s="7">
        <f t="shared" si="2"/>
        <v>198.17</v>
      </c>
      <c r="F34" s="31">
        <f t="shared" si="3"/>
        <v>728.86925999999994</v>
      </c>
      <c r="G34" s="12"/>
    </row>
    <row r="35" spans="1:7" x14ac:dyDescent="0.3">
      <c r="A35" s="26">
        <v>45929</v>
      </c>
      <c r="B35" s="27" t="s">
        <v>20</v>
      </c>
      <c r="C35" s="7">
        <v>157.91</v>
      </c>
      <c r="D35" s="7">
        <v>400</v>
      </c>
      <c r="E35" s="7">
        <f t="shared" si="2"/>
        <v>242.09</v>
      </c>
      <c r="F35" s="31">
        <f t="shared" si="3"/>
        <v>890.40701999999999</v>
      </c>
      <c r="G35" s="12"/>
    </row>
    <row r="36" spans="1:7" x14ac:dyDescent="0.3">
      <c r="A36" s="26">
        <v>45929</v>
      </c>
      <c r="B36" s="27" t="s">
        <v>21</v>
      </c>
      <c r="C36" s="7">
        <v>162.13</v>
      </c>
      <c r="D36" s="7">
        <v>576</v>
      </c>
      <c r="E36" s="7">
        <f t="shared" si="2"/>
        <v>413.87</v>
      </c>
      <c r="F36" s="31">
        <f t="shared" si="3"/>
        <v>1522.2138600000001</v>
      </c>
      <c r="G36" s="12"/>
    </row>
    <row r="37" spans="1:7" x14ac:dyDescent="0.3">
      <c r="A37" s="26">
        <v>45933</v>
      </c>
      <c r="B37" s="27" t="s">
        <v>31</v>
      </c>
      <c r="C37" s="7">
        <v>131.18</v>
      </c>
      <c r="D37" s="7">
        <v>360</v>
      </c>
      <c r="E37" s="7">
        <f>D37-C37</f>
        <v>228.82</v>
      </c>
      <c r="F37" s="31">
        <f t="shared" si="3"/>
        <v>841.59996000000001</v>
      </c>
      <c r="G37" s="12"/>
    </row>
    <row r="38" spans="1:7" x14ac:dyDescent="0.3">
      <c r="A38" s="26">
        <v>45940</v>
      </c>
      <c r="B38" s="27" t="s">
        <v>32</v>
      </c>
      <c r="C38" s="7">
        <v>148.72999999999999</v>
      </c>
      <c r="D38" s="7">
        <v>400</v>
      </c>
      <c r="E38" s="7">
        <f t="shared" ref="E38:E47" si="4">D38-C38</f>
        <v>251.27</v>
      </c>
      <c r="F38" s="31">
        <f t="shared" si="3"/>
        <v>924.17106000000001</v>
      </c>
      <c r="G38" s="12"/>
    </row>
    <row r="39" spans="1:7" x14ac:dyDescent="0.3">
      <c r="A39" s="26">
        <v>45941</v>
      </c>
      <c r="B39" s="27" t="s">
        <v>33</v>
      </c>
      <c r="C39" s="7">
        <v>237.8</v>
      </c>
      <c r="D39" s="7">
        <v>576</v>
      </c>
      <c r="E39" s="7">
        <f t="shared" si="4"/>
        <v>338.2</v>
      </c>
      <c r="F39" s="31">
        <f t="shared" si="3"/>
        <v>1243.8996</v>
      </c>
      <c r="G39" s="12"/>
    </row>
    <row r="40" spans="1:7" x14ac:dyDescent="0.3">
      <c r="A40" s="26">
        <v>45941</v>
      </c>
      <c r="B40" s="27">
        <v>885113992558</v>
      </c>
      <c r="C40" s="7">
        <v>280.43</v>
      </c>
      <c r="D40" s="7">
        <v>400</v>
      </c>
      <c r="E40" s="7">
        <f t="shared" si="4"/>
        <v>119.57</v>
      </c>
      <c r="F40" s="31">
        <f t="shared" si="3"/>
        <v>439.77846</v>
      </c>
      <c r="G40" s="12"/>
    </row>
    <row r="41" spans="1:7" x14ac:dyDescent="0.3">
      <c r="A41" s="26">
        <v>45950</v>
      </c>
      <c r="B41" s="27">
        <v>885303364990</v>
      </c>
      <c r="C41" s="7">
        <v>288.54000000000002</v>
      </c>
      <c r="D41" s="7">
        <v>400</v>
      </c>
      <c r="E41" s="7">
        <f t="shared" si="4"/>
        <v>111.45999999999998</v>
      </c>
      <c r="F41" s="31">
        <f t="shared" si="3"/>
        <v>409.94987999999989</v>
      </c>
      <c r="G41" s="12"/>
    </row>
    <row r="42" spans="1:7" x14ac:dyDescent="0.3">
      <c r="A42" s="26">
        <v>45952</v>
      </c>
      <c r="B42" s="27">
        <v>885397208270</v>
      </c>
      <c r="C42" s="7">
        <v>236.09</v>
      </c>
      <c r="D42" s="7">
        <v>400</v>
      </c>
      <c r="E42" s="7">
        <f t="shared" si="4"/>
        <v>163.91</v>
      </c>
      <c r="F42" s="31">
        <f t="shared" si="3"/>
        <v>602.86097999999993</v>
      </c>
      <c r="G42" s="12"/>
    </row>
    <row r="43" spans="1:7" x14ac:dyDescent="0.3">
      <c r="A43" s="26">
        <v>45953</v>
      </c>
      <c r="B43" s="27">
        <v>885437006729</v>
      </c>
      <c r="C43" s="7">
        <v>119.89</v>
      </c>
      <c r="D43" s="7">
        <v>400</v>
      </c>
      <c r="E43" s="7">
        <f t="shared" si="4"/>
        <v>280.11</v>
      </c>
      <c r="F43" s="31">
        <f t="shared" si="3"/>
        <v>1030.24458</v>
      </c>
      <c r="G43" s="12"/>
    </row>
    <row r="44" spans="1:7" x14ac:dyDescent="0.3">
      <c r="A44" s="26">
        <v>45959</v>
      </c>
      <c r="B44" s="27">
        <v>885595456580</v>
      </c>
      <c r="C44" s="7">
        <v>119.89</v>
      </c>
      <c r="D44" s="7">
        <v>150</v>
      </c>
      <c r="E44" s="7">
        <f t="shared" si="4"/>
        <v>30.11</v>
      </c>
      <c r="F44" s="31">
        <f t="shared" si="3"/>
        <v>110.74458</v>
      </c>
      <c r="G44" s="12"/>
    </row>
    <row r="45" spans="1:7" x14ac:dyDescent="0.3">
      <c r="A45" s="26">
        <v>45959</v>
      </c>
      <c r="B45" s="27">
        <v>885595695115</v>
      </c>
      <c r="C45" s="7">
        <v>119.89</v>
      </c>
      <c r="D45" s="7">
        <v>150</v>
      </c>
      <c r="E45" s="7">
        <f t="shared" si="4"/>
        <v>30.11</v>
      </c>
      <c r="F45" s="31">
        <f t="shared" si="3"/>
        <v>110.74458</v>
      </c>
      <c r="G45" s="12"/>
    </row>
    <row r="46" spans="1:7" x14ac:dyDescent="0.3">
      <c r="A46" s="26">
        <v>45960</v>
      </c>
      <c r="B46" s="27">
        <v>885623585218</v>
      </c>
      <c r="C46" s="7">
        <v>237</v>
      </c>
      <c r="D46" s="7">
        <v>400</v>
      </c>
      <c r="E46" s="7">
        <f t="shared" si="4"/>
        <v>163</v>
      </c>
      <c r="F46" s="31">
        <f t="shared" si="3"/>
        <v>599.51400000000001</v>
      </c>
      <c r="G46" s="12"/>
    </row>
    <row r="47" spans="1:7" ht="15" thickBot="1" x14ac:dyDescent="0.35">
      <c r="A47" s="26">
        <v>45960</v>
      </c>
      <c r="B47" s="27">
        <v>885623154950</v>
      </c>
      <c r="C47" s="7">
        <v>119.89</v>
      </c>
      <c r="D47" s="7">
        <v>150</v>
      </c>
      <c r="E47" s="35">
        <f t="shared" si="4"/>
        <v>30.11</v>
      </c>
      <c r="F47" s="36">
        <f t="shared" si="3"/>
        <v>110.74458</v>
      </c>
      <c r="G47" s="12"/>
    </row>
    <row r="48" spans="1:7" ht="15" thickBot="1" x14ac:dyDescent="0.35">
      <c r="A48" s="42"/>
      <c r="B48" s="43"/>
      <c r="C48" s="43"/>
      <c r="D48" s="43"/>
      <c r="E48" s="37">
        <f>SUM(E27:E47)</f>
        <v>4238.46</v>
      </c>
      <c r="F48" s="38">
        <f>SUM(F27:F47)</f>
        <v>15589.05588</v>
      </c>
      <c r="G48" s="34"/>
    </row>
    <row r="54" spans="1:3" ht="28.8" x14ac:dyDescent="0.3">
      <c r="A54" s="9" t="s">
        <v>4</v>
      </c>
      <c r="B54" s="6" t="s">
        <v>0</v>
      </c>
      <c r="C54" s="6" t="s">
        <v>28</v>
      </c>
    </row>
    <row r="55" spans="1:3" x14ac:dyDescent="0.3">
      <c r="A55" s="26">
        <v>45908</v>
      </c>
      <c r="B55" s="27">
        <v>884208471185</v>
      </c>
      <c r="C55" s="7">
        <v>360</v>
      </c>
    </row>
    <row r="56" spans="1:3" x14ac:dyDescent="0.3">
      <c r="A56" s="26">
        <v>45908</v>
      </c>
      <c r="B56" s="27" t="s">
        <v>15</v>
      </c>
      <c r="C56" s="7">
        <v>576</v>
      </c>
    </row>
    <row r="57" spans="1:3" x14ac:dyDescent="0.3">
      <c r="A57" s="29">
        <v>45909</v>
      </c>
      <c r="B57" s="30">
        <v>884240212850</v>
      </c>
      <c r="C57" s="21">
        <v>360</v>
      </c>
    </row>
    <row r="58" spans="1:3" x14ac:dyDescent="0.3">
      <c r="A58" s="29">
        <v>45910</v>
      </c>
      <c r="B58" s="30" t="s">
        <v>16</v>
      </c>
      <c r="C58" s="21">
        <v>576</v>
      </c>
    </row>
    <row r="59" spans="1:3" x14ac:dyDescent="0.3">
      <c r="A59" s="26">
        <v>45912</v>
      </c>
      <c r="B59" s="27">
        <v>884337543305</v>
      </c>
      <c r="C59" s="7">
        <v>60</v>
      </c>
    </row>
    <row r="60" spans="1:3" x14ac:dyDescent="0.3">
      <c r="A60" s="29">
        <v>45916</v>
      </c>
      <c r="B60" s="30">
        <v>884423139238</v>
      </c>
      <c r="C60" s="21">
        <v>360</v>
      </c>
    </row>
    <row r="61" spans="1:3" x14ac:dyDescent="0.3">
      <c r="A61" s="26">
        <v>45922</v>
      </c>
      <c r="B61" s="27" t="s">
        <v>18</v>
      </c>
      <c r="C61" s="7">
        <v>576</v>
      </c>
    </row>
    <row r="62" spans="1:3" ht="28.8" x14ac:dyDescent="0.3">
      <c r="A62" s="26">
        <v>45923</v>
      </c>
      <c r="B62" s="28" t="s">
        <v>27</v>
      </c>
      <c r="C62" s="7">
        <v>360</v>
      </c>
    </row>
    <row r="63" spans="1:3" x14ac:dyDescent="0.3">
      <c r="A63" s="26">
        <v>45929</v>
      </c>
      <c r="B63" s="27" t="s">
        <v>20</v>
      </c>
      <c r="C63" s="7">
        <v>400</v>
      </c>
    </row>
    <row r="64" spans="1:3" x14ac:dyDescent="0.3">
      <c r="A64" s="26">
        <v>45929</v>
      </c>
      <c r="B64" s="27" t="s">
        <v>21</v>
      </c>
      <c r="C64" s="7">
        <v>576</v>
      </c>
    </row>
    <row r="65" spans="1:3" x14ac:dyDescent="0.3">
      <c r="A65" s="26">
        <v>45933</v>
      </c>
      <c r="B65" s="27" t="s">
        <v>31</v>
      </c>
      <c r="C65" s="7">
        <v>360</v>
      </c>
    </row>
    <row r="66" spans="1:3" x14ac:dyDescent="0.3">
      <c r="A66" s="26">
        <v>45940</v>
      </c>
      <c r="B66" s="27" t="s">
        <v>32</v>
      </c>
      <c r="C66" s="7">
        <v>400</v>
      </c>
    </row>
    <row r="67" spans="1:3" x14ac:dyDescent="0.3">
      <c r="A67" s="26">
        <v>45941</v>
      </c>
      <c r="B67" s="27" t="s">
        <v>33</v>
      </c>
      <c r="C67" s="7">
        <v>576</v>
      </c>
    </row>
    <row r="68" spans="1:3" x14ac:dyDescent="0.3">
      <c r="A68" s="26">
        <v>45941</v>
      </c>
      <c r="B68" s="27">
        <v>885113992558</v>
      </c>
      <c r="C68" s="7">
        <v>400</v>
      </c>
    </row>
    <row r="69" spans="1:3" x14ac:dyDescent="0.3">
      <c r="A69" s="26">
        <v>45950</v>
      </c>
      <c r="B69" s="27">
        <v>885303364990</v>
      </c>
      <c r="C69" s="7">
        <v>400</v>
      </c>
    </row>
    <row r="70" spans="1:3" x14ac:dyDescent="0.3">
      <c r="A70" s="26">
        <v>45952</v>
      </c>
      <c r="B70" s="27">
        <v>885397208270</v>
      </c>
      <c r="C70" s="7">
        <v>400</v>
      </c>
    </row>
    <row r="71" spans="1:3" x14ac:dyDescent="0.3">
      <c r="A71" s="26">
        <v>45953</v>
      </c>
      <c r="B71" s="27">
        <v>885437006729</v>
      </c>
      <c r="C71" s="7">
        <v>400</v>
      </c>
    </row>
    <row r="72" spans="1:3" x14ac:dyDescent="0.3">
      <c r="A72" s="26">
        <v>45959</v>
      </c>
      <c r="B72" s="27">
        <v>885595456580</v>
      </c>
      <c r="C72" s="7">
        <v>150</v>
      </c>
    </row>
    <row r="73" spans="1:3" x14ac:dyDescent="0.3">
      <c r="A73" s="26">
        <v>45959</v>
      </c>
      <c r="B73" s="27">
        <v>885595695115</v>
      </c>
      <c r="C73" s="7">
        <v>150</v>
      </c>
    </row>
    <row r="74" spans="1:3" x14ac:dyDescent="0.3">
      <c r="A74" s="26">
        <v>45960</v>
      </c>
      <c r="B74" s="27">
        <v>885623585218</v>
      </c>
      <c r="C74" s="7">
        <v>400</v>
      </c>
    </row>
    <row r="75" spans="1:3" x14ac:dyDescent="0.3">
      <c r="A75" s="26">
        <v>45960</v>
      </c>
      <c r="B75" s="27">
        <v>885623154950</v>
      </c>
      <c r="C75" s="7">
        <v>150</v>
      </c>
    </row>
    <row r="76" spans="1:3" x14ac:dyDescent="0.3">
      <c r="C76" s="39">
        <f>SUM(C55:C75)</f>
        <v>7990</v>
      </c>
    </row>
  </sheetData>
  <mergeCells count="3">
    <mergeCell ref="A1:G1"/>
    <mergeCell ref="A25:G25"/>
    <mergeCell ref="A48:D4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1BCC-3E49-4268-87B5-D71BE13C04FB}">
  <dimension ref="A1:E16"/>
  <sheetViews>
    <sheetView workbookViewId="0">
      <pane ySplit="2" topLeftCell="A9" activePane="bottomLeft" state="frozen"/>
      <selection pane="bottomLeft" activeCell="C9" sqref="C9"/>
    </sheetView>
  </sheetViews>
  <sheetFormatPr defaultRowHeight="14.4" x14ac:dyDescent="0.3"/>
  <cols>
    <col min="1" max="1" width="15.33203125" style="4" customWidth="1"/>
    <col min="2" max="2" width="35.44140625" style="5" customWidth="1"/>
    <col min="3" max="3" width="27" customWidth="1"/>
    <col min="4" max="4" width="21.5546875" customWidth="1"/>
    <col min="5" max="5" width="36.6640625" bestFit="1" customWidth="1"/>
  </cols>
  <sheetData>
    <row r="1" spans="1:5" ht="42.75" customHeight="1" x14ac:dyDescent="0.3">
      <c r="A1" s="40" t="s">
        <v>7</v>
      </c>
      <c r="B1" s="40"/>
      <c r="C1" s="40"/>
      <c r="D1" s="40"/>
    </row>
    <row r="2" spans="1:5" s="4" customFormat="1" ht="33.75" customHeight="1" x14ac:dyDescent="0.3">
      <c r="A2" s="9" t="s">
        <v>4</v>
      </c>
      <c r="B2" s="6" t="s">
        <v>0</v>
      </c>
      <c r="C2" s="6" t="s">
        <v>1</v>
      </c>
      <c r="D2" s="6"/>
    </row>
    <row r="3" spans="1:5" x14ac:dyDescent="0.3">
      <c r="A3" s="16">
        <v>45905</v>
      </c>
      <c r="B3" s="17">
        <v>884144941560</v>
      </c>
      <c r="C3" s="18">
        <v>399.54</v>
      </c>
      <c r="D3" s="19" t="s">
        <v>2</v>
      </c>
      <c r="E3" t="s">
        <v>8</v>
      </c>
    </row>
    <row r="4" spans="1:5" x14ac:dyDescent="0.3">
      <c r="A4" s="16">
        <v>45912</v>
      </c>
      <c r="B4" s="17" t="s">
        <v>22</v>
      </c>
      <c r="C4" s="18">
        <v>328.89</v>
      </c>
      <c r="D4" s="19" t="s">
        <v>2</v>
      </c>
      <c r="E4" t="s">
        <v>8</v>
      </c>
    </row>
    <row r="5" spans="1:5" x14ac:dyDescent="0.3">
      <c r="A5" s="16">
        <v>45923</v>
      </c>
      <c r="B5" s="17" t="s">
        <v>23</v>
      </c>
      <c r="C5" s="18">
        <v>826.8</v>
      </c>
      <c r="D5" s="19" t="s">
        <v>2</v>
      </c>
      <c r="E5" t="s">
        <v>8</v>
      </c>
    </row>
    <row r="6" spans="1:5" x14ac:dyDescent="0.3">
      <c r="A6" s="3"/>
      <c r="B6" s="2"/>
      <c r="C6" s="7"/>
      <c r="D6" s="8"/>
    </row>
    <row r="7" spans="1:5" x14ac:dyDescent="0.3">
      <c r="A7" s="3"/>
      <c r="B7" s="2"/>
      <c r="C7" s="1"/>
      <c r="D7" s="8"/>
    </row>
    <row r="8" spans="1:5" x14ac:dyDescent="0.3">
      <c r="A8" s="3"/>
      <c r="B8" s="2"/>
      <c r="C8" s="1"/>
      <c r="D8" s="8"/>
    </row>
    <row r="9" spans="1:5" x14ac:dyDescent="0.3">
      <c r="A9" s="3"/>
      <c r="B9" s="2"/>
      <c r="C9" s="1"/>
      <c r="D9" s="8"/>
    </row>
    <row r="10" spans="1:5" x14ac:dyDescent="0.3">
      <c r="A10" s="3"/>
      <c r="B10" s="2"/>
      <c r="C10" s="1"/>
      <c r="D10" s="8"/>
    </row>
    <row r="11" spans="1:5" x14ac:dyDescent="0.3">
      <c r="A11" s="3"/>
      <c r="B11" s="2"/>
      <c r="C11" s="1"/>
      <c r="D11" s="8"/>
    </row>
    <row r="12" spans="1:5" x14ac:dyDescent="0.3">
      <c r="A12" s="3"/>
      <c r="B12" s="2"/>
      <c r="C12" s="1"/>
      <c r="D12" s="8"/>
    </row>
    <row r="13" spans="1:5" x14ac:dyDescent="0.3">
      <c r="A13" s="3"/>
      <c r="B13" s="2"/>
      <c r="C13" s="1"/>
      <c r="D13" s="8"/>
    </row>
    <row r="14" spans="1:5" x14ac:dyDescent="0.3">
      <c r="A14" s="3"/>
      <c r="B14" s="2"/>
      <c r="C14" s="1"/>
      <c r="D14" s="8"/>
    </row>
    <row r="15" spans="1:5" x14ac:dyDescent="0.3">
      <c r="A15" s="1"/>
      <c r="B15" s="2"/>
      <c r="C15" s="1"/>
      <c r="D15" s="8"/>
    </row>
    <row r="16" spans="1:5" x14ac:dyDescent="0.3">
      <c r="A16" s="1"/>
      <c r="B16" s="2"/>
      <c r="C16" s="1"/>
      <c r="D16" s="8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9D435-5B20-47B3-868E-0B7C7AD9ECF0}">
  <dimension ref="A1:F16"/>
  <sheetViews>
    <sheetView workbookViewId="0">
      <pane ySplit="2" topLeftCell="A3" activePane="bottomLeft" state="frozen"/>
      <selection pane="bottomLeft" activeCell="B16" sqref="B16"/>
    </sheetView>
  </sheetViews>
  <sheetFormatPr defaultRowHeight="14.4" x14ac:dyDescent="0.3"/>
  <cols>
    <col min="1" max="1" width="15.33203125" style="4" customWidth="1"/>
    <col min="2" max="2" width="35.44140625" style="5" customWidth="1"/>
    <col min="3" max="3" width="27" customWidth="1"/>
    <col min="4" max="4" width="21.5546875" customWidth="1"/>
    <col min="5" max="5" width="36.6640625" bestFit="1" customWidth="1"/>
    <col min="6" max="6" width="10.88671875" bestFit="1" customWidth="1"/>
  </cols>
  <sheetData>
    <row r="1" spans="1:6" ht="42.75" customHeight="1" x14ac:dyDescent="0.3">
      <c r="A1" s="40" t="s">
        <v>24</v>
      </c>
      <c r="B1" s="40"/>
      <c r="C1" s="40"/>
      <c r="D1" s="40"/>
    </row>
    <row r="2" spans="1:6" s="4" customFormat="1" ht="33.75" customHeight="1" x14ac:dyDescent="0.3">
      <c r="A2" s="9" t="s">
        <v>4</v>
      </c>
      <c r="B2" s="6" t="s">
        <v>0</v>
      </c>
      <c r="C2" s="6" t="s">
        <v>1</v>
      </c>
      <c r="D2" s="6"/>
    </row>
    <row r="3" spans="1:6" x14ac:dyDescent="0.3">
      <c r="A3" s="16">
        <v>45913</v>
      </c>
      <c r="B3" s="17" t="s">
        <v>25</v>
      </c>
      <c r="C3" s="18">
        <v>103.29</v>
      </c>
      <c r="D3" s="19" t="s">
        <v>2</v>
      </c>
      <c r="E3" t="s">
        <v>8</v>
      </c>
    </row>
    <row r="4" spans="1:6" x14ac:dyDescent="0.3">
      <c r="A4" s="16">
        <v>45925</v>
      </c>
      <c r="B4" s="17">
        <v>884664530351</v>
      </c>
      <c r="C4" s="18">
        <v>15.54</v>
      </c>
      <c r="D4" s="19" t="s">
        <v>2</v>
      </c>
      <c r="E4" t="s">
        <v>8</v>
      </c>
      <c r="F4" s="5" t="s">
        <v>17</v>
      </c>
    </row>
    <row r="5" spans="1:6" x14ac:dyDescent="0.3">
      <c r="A5" s="3"/>
      <c r="B5" s="2"/>
      <c r="C5" s="7"/>
      <c r="D5" s="12"/>
    </row>
    <row r="6" spans="1:6" x14ac:dyDescent="0.3">
      <c r="A6" s="3"/>
      <c r="B6" s="2"/>
      <c r="C6" s="7"/>
      <c r="D6" s="8"/>
    </row>
    <row r="7" spans="1:6" x14ac:dyDescent="0.3">
      <c r="A7" s="3"/>
      <c r="B7" s="2"/>
      <c r="C7" s="1"/>
      <c r="D7" s="8"/>
    </row>
    <row r="8" spans="1:6" x14ac:dyDescent="0.3">
      <c r="A8" s="3"/>
      <c r="B8" s="2"/>
      <c r="C8" s="1"/>
      <c r="D8" s="8"/>
    </row>
    <row r="9" spans="1:6" x14ac:dyDescent="0.3">
      <c r="A9" s="3"/>
      <c r="B9" s="2"/>
      <c r="C9" s="1"/>
      <c r="D9" s="8"/>
    </row>
    <row r="10" spans="1:6" x14ac:dyDescent="0.3">
      <c r="A10" s="3"/>
      <c r="B10" s="2"/>
      <c r="C10" s="1"/>
      <c r="D10" s="8"/>
    </row>
    <row r="11" spans="1:6" x14ac:dyDescent="0.3">
      <c r="A11" s="3"/>
      <c r="B11" s="2"/>
      <c r="C11" s="1"/>
      <c r="D11" s="8"/>
    </row>
    <row r="12" spans="1:6" x14ac:dyDescent="0.3">
      <c r="A12" s="3"/>
      <c r="B12" s="2"/>
      <c r="C12" s="1"/>
      <c r="D12" s="8"/>
    </row>
    <row r="13" spans="1:6" x14ac:dyDescent="0.3">
      <c r="A13" s="3"/>
      <c r="B13" s="2"/>
      <c r="C13" s="1"/>
      <c r="D13" s="8"/>
    </row>
    <row r="14" spans="1:6" x14ac:dyDescent="0.3">
      <c r="A14" s="3"/>
      <c r="B14" s="2"/>
      <c r="C14" s="1"/>
      <c r="D14" s="8"/>
    </row>
    <row r="15" spans="1:6" x14ac:dyDescent="0.3">
      <c r="A15" s="1"/>
      <c r="B15" s="2"/>
      <c r="C15" s="1"/>
      <c r="D15" s="8"/>
    </row>
    <row r="16" spans="1:6" x14ac:dyDescent="0.3">
      <c r="A16" s="1"/>
      <c r="B16" s="2"/>
      <c r="C16" s="1"/>
      <c r="D16" s="8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Swiss Tech LLC Labels</vt:lpstr>
      <vt:lpstr>Labels for Mudassir</vt:lpstr>
      <vt:lpstr>Labels for Ahsan</vt:lpstr>
      <vt:lpstr>Labels for Abdul Majid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Tipu</dc:creator>
  <cp:lastModifiedBy>Swiss Tech</cp:lastModifiedBy>
  <dcterms:created xsi:type="dcterms:W3CDTF">2015-06-05T18:17:20Z</dcterms:created>
  <dcterms:modified xsi:type="dcterms:W3CDTF">2025-11-29T12:59:46Z</dcterms:modified>
</cp:coreProperties>
</file>