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Fedex Labels\"/>
    </mc:Choice>
  </mc:AlternateContent>
  <xr:revisionPtr revIDLastSave="0" documentId="13_ncr:1_{1B00C87E-F17A-4E13-8173-E67301B92E6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wiss Tech LLC Labels" sheetId="7" r:id="rId1"/>
    <sheet name="Labels for Mudassir" sheetId="2" r:id="rId2"/>
    <sheet name="Labels for Ahsan CB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3" i="2"/>
  <c r="F3" i="2"/>
  <c r="E14" i="2"/>
  <c r="E4" i="2"/>
  <c r="E5" i="2"/>
  <c r="E6" i="2"/>
  <c r="E7" i="2"/>
  <c r="E8" i="2"/>
  <c r="E9" i="2"/>
  <c r="E10" i="2"/>
  <c r="E11" i="2"/>
  <c r="E12" i="2"/>
  <c r="F12" i="2" s="1"/>
  <c r="E13" i="2"/>
  <c r="E3" i="2"/>
  <c r="F14" i="2" l="1"/>
</calcChain>
</file>

<file path=xl/sharedStrings.xml><?xml version="1.0" encoding="utf-8"?>
<sst xmlns="http://schemas.openxmlformats.org/spreadsheetml/2006/main" count="44" uniqueCount="18">
  <si>
    <t>Shipping Label</t>
  </si>
  <si>
    <t>Price in USD</t>
  </si>
  <si>
    <t>Fedex Invoice Price</t>
  </si>
  <si>
    <t>Label Creation Date</t>
  </si>
  <si>
    <t>FedEx Labels for Swiss Tech LLC</t>
  </si>
  <si>
    <t>FedEx Labels for Mudassir</t>
  </si>
  <si>
    <t>Paid from Swiss Tech USA Wise Account</t>
  </si>
  <si>
    <t>884838339796 Master</t>
  </si>
  <si>
    <t>884896497095 Master</t>
  </si>
  <si>
    <t>885073337013 Master</t>
  </si>
  <si>
    <t>885097150836 Master</t>
  </si>
  <si>
    <t>885013014740 Pallet</t>
  </si>
  <si>
    <t>885140745756 Master</t>
  </si>
  <si>
    <t>885245436173 Master</t>
  </si>
  <si>
    <t>FedEx Labels for Ahsan CBA</t>
  </si>
  <si>
    <t>Mudassir</t>
  </si>
  <si>
    <t>Difference</t>
  </si>
  <si>
    <t>Difference in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</si>
</sst>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16"/>
  <sheetViews>
    <sheetView workbookViewId="0">
      <pane ySplit="2" topLeftCell="A3" activePane="bottomLeft" state="frozen"/>
      <selection pane="bottomLeft" activeCell="B19" sqref="B19"/>
    </sheetView>
  </sheetViews>
  <sheetFormatPr defaultRowHeight="14.4" x14ac:dyDescent="0.3"/>
  <cols>
    <col min="1" max="1" width="16.88671875" style="4" customWidth="1"/>
    <col min="2" max="2" width="35.44140625" style="5" customWidth="1"/>
    <col min="3" max="3" width="27" customWidth="1"/>
    <col min="4" max="4" width="21.5546875" customWidth="1"/>
    <col min="5" max="5" width="36" customWidth="1"/>
    <col min="6" max="6" width="10.88671875" bestFit="1" customWidth="1"/>
  </cols>
  <sheetData>
    <row r="1" spans="1:6" ht="45" customHeight="1" x14ac:dyDescent="0.3">
      <c r="A1" s="29" t="s">
        <v>4</v>
      </c>
      <c r="B1" s="29"/>
      <c r="C1" s="29"/>
      <c r="D1" s="29"/>
    </row>
    <row r="2" spans="1:6" s="4" customFormat="1" ht="31.5" customHeight="1" x14ac:dyDescent="0.3">
      <c r="A2" s="9" t="s">
        <v>3</v>
      </c>
      <c r="B2" s="6" t="s">
        <v>0</v>
      </c>
      <c r="C2" s="6" t="s">
        <v>1</v>
      </c>
      <c r="D2" s="6"/>
    </row>
    <row r="3" spans="1:6" x14ac:dyDescent="0.3">
      <c r="A3" s="3"/>
      <c r="B3" s="2"/>
      <c r="C3" s="7"/>
      <c r="D3" s="1"/>
    </row>
    <row r="4" spans="1:6" x14ac:dyDescent="0.3">
      <c r="A4" s="3"/>
      <c r="B4" s="2"/>
      <c r="C4" s="7"/>
      <c r="D4" s="8"/>
      <c r="F4" s="5"/>
    </row>
    <row r="5" spans="1:6" x14ac:dyDescent="0.3">
      <c r="A5" s="3"/>
      <c r="B5" s="2"/>
      <c r="C5" s="7"/>
      <c r="D5" s="8"/>
    </row>
    <row r="6" spans="1:6" x14ac:dyDescent="0.3">
      <c r="A6" s="22">
        <v>45932</v>
      </c>
      <c r="B6" s="23">
        <v>884867225109</v>
      </c>
      <c r="C6" s="24">
        <v>59.36</v>
      </c>
      <c r="D6" s="27" t="s">
        <v>2</v>
      </c>
      <c r="E6" s="26" t="s">
        <v>6</v>
      </c>
    </row>
    <row r="7" spans="1:6" x14ac:dyDescent="0.3">
      <c r="A7" s="22">
        <v>45938</v>
      </c>
      <c r="B7" s="28" t="s">
        <v>11</v>
      </c>
      <c r="C7" s="24">
        <v>1720.2</v>
      </c>
      <c r="D7" s="27" t="s">
        <v>2</v>
      </c>
      <c r="E7" s="26" t="s">
        <v>6</v>
      </c>
      <c r="F7" s="5"/>
    </row>
    <row r="8" spans="1:6" x14ac:dyDescent="0.3">
      <c r="A8" s="22">
        <v>45943</v>
      </c>
      <c r="B8" s="23" t="s">
        <v>12</v>
      </c>
      <c r="C8" s="24">
        <v>323.51</v>
      </c>
      <c r="D8" s="27" t="s">
        <v>2</v>
      </c>
      <c r="E8" s="26" t="s">
        <v>6</v>
      </c>
    </row>
    <row r="9" spans="1:6" x14ac:dyDescent="0.3">
      <c r="A9" s="22">
        <v>45946</v>
      </c>
      <c r="B9" s="23" t="s">
        <v>13</v>
      </c>
      <c r="C9" s="24">
        <v>706.79</v>
      </c>
      <c r="D9" s="27" t="s">
        <v>2</v>
      </c>
      <c r="E9" s="26" t="s">
        <v>6</v>
      </c>
    </row>
    <row r="10" spans="1:6" x14ac:dyDescent="0.3">
      <c r="A10" s="22">
        <v>45952</v>
      </c>
      <c r="B10" s="23">
        <v>885400845797</v>
      </c>
      <c r="C10" s="24">
        <v>334.79</v>
      </c>
      <c r="D10" s="27" t="s">
        <v>2</v>
      </c>
      <c r="E10" s="26" t="s">
        <v>6</v>
      </c>
    </row>
    <row r="11" spans="1:6" x14ac:dyDescent="0.3">
      <c r="A11" s="3"/>
      <c r="B11" s="2"/>
      <c r="C11" s="1"/>
      <c r="D11" s="8"/>
    </row>
    <row r="12" spans="1:6" x14ac:dyDescent="0.3">
      <c r="A12" s="3"/>
      <c r="B12" s="2"/>
      <c r="C12" s="1"/>
      <c r="D12" s="8"/>
    </row>
    <row r="13" spans="1:6" x14ac:dyDescent="0.3">
      <c r="A13" s="3"/>
      <c r="B13" s="2"/>
      <c r="C13" s="1"/>
      <c r="D13" s="8"/>
    </row>
    <row r="14" spans="1:6" x14ac:dyDescent="0.3">
      <c r="A14" s="3"/>
      <c r="B14" s="2"/>
      <c r="C14" s="1"/>
      <c r="D14" s="8"/>
    </row>
    <row r="15" spans="1:6" x14ac:dyDescent="0.3">
      <c r="A15" s="1"/>
      <c r="B15" s="2"/>
      <c r="C15" s="1"/>
      <c r="D15" s="8"/>
    </row>
    <row r="16" spans="1:6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H22"/>
  <sheetViews>
    <sheetView tabSelected="1" workbookViewId="0">
      <pane ySplit="2" topLeftCell="A3" activePane="bottomLeft" state="frozen"/>
      <selection pane="bottomLeft" activeCell="E19" sqref="E19"/>
    </sheetView>
  </sheetViews>
  <sheetFormatPr defaultRowHeight="14.4" x14ac:dyDescent="0.3"/>
  <cols>
    <col min="1" max="1" width="16" style="4" customWidth="1"/>
    <col min="2" max="2" width="35.44140625" style="5" customWidth="1"/>
    <col min="3" max="6" width="27" customWidth="1"/>
    <col min="7" max="7" width="36.6640625" bestFit="1" customWidth="1"/>
    <col min="8" max="8" width="28.88671875" style="5" customWidth="1"/>
  </cols>
  <sheetData>
    <row r="1" spans="1:7" ht="43.5" customHeight="1" x14ac:dyDescent="0.3">
      <c r="A1" s="29" t="s">
        <v>5</v>
      </c>
      <c r="B1" s="29"/>
      <c r="C1" s="29"/>
      <c r="D1" s="29"/>
      <c r="E1" s="12"/>
      <c r="F1" s="12"/>
    </row>
    <row r="2" spans="1:7" s="4" customFormat="1" ht="30" customHeight="1" x14ac:dyDescent="0.3">
      <c r="A2" s="15" t="s">
        <v>3</v>
      </c>
      <c r="B2" s="16" t="s">
        <v>0</v>
      </c>
      <c r="C2" s="16" t="s">
        <v>1</v>
      </c>
      <c r="D2" s="16" t="s">
        <v>15</v>
      </c>
      <c r="E2" s="13" t="s">
        <v>16</v>
      </c>
      <c r="F2" s="13" t="s">
        <v>17</v>
      </c>
    </row>
    <row r="3" spans="1:7" x14ac:dyDescent="0.3">
      <c r="A3" s="22">
        <v>45933</v>
      </c>
      <c r="B3" s="23" t="s">
        <v>8</v>
      </c>
      <c r="C3" s="24">
        <v>131.18</v>
      </c>
      <c r="D3" s="24">
        <v>360</v>
      </c>
      <c r="E3" s="24">
        <f>D3-C3</f>
        <v>228.82</v>
      </c>
      <c r="F3" s="25">
        <f>E3*3.678</f>
        <v>841.59996000000001</v>
      </c>
      <c r="G3" s="26" t="s">
        <v>6</v>
      </c>
    </row>
    <row r="4" spans="1:7" x14ac:dyDescent="0.3">
      <c r="A4" s="22">
        <v>45940</v>
      </c>
      <c r="B4" s="23" t="s">
        <v>9</v>
      </c>
      <c r="C4" s="24">
        <v>148.72999999999999</v>
      </c>
      <c r="D4" s="24">
        <v>400</v>
      </c>
      <c r="E4" s="24">
        <f t="shared" ref="E4:E13" si="0">D4-C4</f>
        <v>251.27</v>
      </c>
      <c r="F4" s="25">
        <f t="shared" ref="F4:F13" si="1">E4*3.678</f>
        <v>924.17106000000001</v>
      </c>
      <c r="G4" s="26" t="s">
        <v>6</v>
      </c>
    </row>
    <row r="5" spans="1:7" x14ac:dyDescent="0.3">
      <c r="A5" s="22">
        <v>45941</v>
      </c>
      <c r="B5" s="23" t="s">
        <v>10</v>
      </c>
      <c r="C5" s="24">
        <v>237.8</v>
      </c>
      <c r="D5" s="24">
        <v>576</v>
      </c>
      <c r="E5" s="24">
        <f t="shared" si="0"/>
        <v>338.2</v>
      </c>
      <c r="F5" s="25">
        <f t="shared" si="1"/>
        <v>1243.8996</v>
      </c>
      <c r="G5" s="26" t="s">
        <v>6</v>
      </c>
    </row>
    <row r="6" spans="1:7" x14ac:dyDescent="0.3">
      <c r="A6" s="22">
        <v>45941</v>
      </c>
      <c r="B6" s="23">
        <v>885113992558</v>
      </c>
      <c r="C6" s="24">
        <v>280.43</v>
      </c>
      <c r="D6" s="24">
        <v>400</v>
      </c>
      <c r="E6" s="24">
        <f t="shared" si="0"/>
        <v>119.57</v>
      </c>
      <c r="F6" s="25">
        <f t="shared" si="1"/>
        <v>439.77846</v>
      </c>
      <c r="G6" s="26" t="s">
        <v>6</v>
      </c>
    </row>
    <row r="7" spans="1:7" x14ac:dyDescent="0.3">
      <c r="A7" s="22">
        <v>45950</v>
      </c>
      <c r="B7" s="23">
        <v>885303364990</v>
      </c>
      <c r="C7" s="24">
        <v>288.54000000000002</v>
      </c>
      <c r="D7" s="24">
        <v>400</v>
      </c>
      <c r="E7" s="24">
        <f t="shared" si="0"/>
        <v>111.45999999999998</v>
      </c>
      <c r="F7" s="25">
        <f t="shared" si="1"/>
        <v>409.94987999999989</v>
      </c>
      <c r="G7" s="26" t="s">
        <v>6</v>
      </c>
    </row>
    <row r="8" spans="1:7" x14ac:dyDescent="0.3">
      <c r="A8" s="22">
        <v>45952</v>
      </c>
      <c r="B8" s="23">
        <v>885397208270</v>
      </c>
      <c r="C8" s="24">
        <v>236.09</v>
      </c>
      <c r="D8" s="24">
        <v>400</v>
      </c>
      <c r="E8" s="24">
        <f t="shared" si="0"/>
        <v>163.91</v>
      </c>
      <c r="F8" s="25">
        <f t="shared" si="1"/>
        <v>602.86097999999993</v>
      </c>
      <c r="G8" s="26" t="s">
        <v>6</v>
      </c>
    </row>
    <row r="9" spans="1:7" x14ac:dyDescent="0.3">
      <c r="A9" s="22">
        <v>45953</v>
      </c>
      <c r="B9" s="23">
        <v>885437006729</v>
      </c>
      <c r="C9" s="24">
        <v>119.89</v>
      </c>
      <c r="D9" s="24">
        <v>400</v>
      </c>
      <c r="E9" s="24">
        <f t="shared" si="0"/>
        <v>280.11</v>
      </c>
      <c r="F9" s="25">
        <f t="shared" si="1"/>
        <v>1030.24458</v>
      </c>
      <c r="G9" s="26" t="s">
        <v>6</v>
      </c>
    </row>
    <row r="10" spans="1:7" x14ac:dyDescent="0.3">
      <c r="A10" s="22">
        <v>45959</v>
      </c>
      <c r="B10" s="23">
        <v>885595456580</v>
      </c>
      <c r="C10" s="24">
        <v>119.89</v>
      </c>
      <c r="D10" s="24">
        <v>150</v>
      </c>
      <c r="E10" s="24">
        <f t="shared" si="0"/>
        <v>30.11</v>
      </c>
      <c r="F10" s="25">
        <f t="shared" si="1"/>
        <v>110.74458</v>
      </c>
      <c r="G10" s="26"/>
    </row>
    <row r="11" spans="1:7" x14ac:dyDescent="0.3">
      <c r="A11" s="22">
        <v>45959</v>
      </c>
      <c r="B11" s="23">
        <v>885595695115</v>
      </c>
      <c r="C11" s="24">
        <v>119.89</v>
      </c>
      <c r="D11" s="24">
        <v>150</v>
      </c>
      <c r="E11" s="24">
        <f t="shared" si="0"/>
        <v>30.11</v>
      </c>
      <c r="F11" s="25">
        <f t="shared" si="1"/>
        <v>110.74458</v>
      </c>
      <c r="G11" s="26" t="s">
        <v>6</v>
      </c>
    </row>
    <row r="12" spans="1:7" x14ac:dyDescent="0.3">
      <c r="A12" s="22">
        <v>45960</v>
      </c>
      <c r="B12" s="23">
        <v>885623585218</v>
      </c>
      <c r="C12" s="24">
        <v>340.2</v>
      </c>
      <c r="D12" s="24">
        <v>400</v>
      </c>
      <c r="E12" s="24">
        <f t="shared" si="0"/>
        <v>59.800000000000011</v>
      </c>
      <c r="F12" s="25">
        <f t="shared" si="1"/>
        <v>219.94440000000003</v>
      </c>
      <c r="G12" s="26"/>
    </row>
    <row r="13" spans="1:7" x14ac:dyDescent="0.3">
      <c r="A13" s="22">
        <v>45960</v>
      </c>
      <c r="B13" s="23">
        <v>885623154950</v>
      </c>
      <c r="C13" s="24">
        <v>119.89</v>
      </c>
      <c r="D13" s="24">
        <v>150</v>
      </c>
      <c r="E13" s="24">
        <f t="shared" si="0"/>
        <v>30.11</v>
      </c>
      <c r="F13" s="25">
        <f t="shared" si="1"/>
        <v>110.74458</v>
      </c>
      <c r="G13" s="26"/>
    </row>
    <row r="14" spans="1:7" x14ac:dyDescent="0.3">
      <c r="A14" s="17"/>
      <c r="B14" s="18"/>
      <c r="C14" s="19"/>
      <c r="D14" s="19"/>
      <c r="E14" s="20">
        <f>SUM(E3:E13)</f>
        <v>1643.4699999999998</v>
      </c>
      <c r="F14" s="21">
        <f>SUM(F3:F13)</f>
        <v>6044.6826599999995</v>
      </c>
    </row>
    <row r="15" spans="1:7" x14ac:dyDescent="0.3">
      <c r="A15" s="3"/>
      <c r="B15" s="2"/>
      <c r="C15" s="1"/>
      <c r="D15" s="1"/>
      <c r="E15" s="14"/>
      <c r="F15" s="14"/>
    </row>
    <row r="16" spans="1:7" x14ac:dyDescent="0.3">
      <c r="A16" s="10"/>
      <c r="B16" s="2"/>
      <c r="C16" s="1"/>
      <c r="D16" s="1"/>
      <c r="E16" s="14"/>
      <c r="F16" s="14"/>
    </row>
    <row r="17" spans="1:6" x14ac:dyDescent="0.3">
      <c r="A17" s="10"/>
      <c r="B17" s="2"/>
      <c r="C17" s="1"/>
      <c r="D17" s="1"/>
      <c r="E17" s="14"/>
      <c r="F17" s="14"/>
    </row>
    <row r="18" spans="1:6" x14ac:dyDescent="0.3">
      <c r="A18" s="10"/>
      <c r="B18" s="2"/>
      <c r="C18" s="1"/>
      <c r="D18" s="1"/>
      <c r="E18" s="14"/>
      <c r="F18" s="14"/>
    </row>
    <row r="19" spans="1:6" x14ac:dyDescent="0.3">
      <c r="A19" s="10"/>
      <c r="B19" s="2"/>
      <c r="C19" s="1"/>
      <c r="D19" s="1"/>
      <c r="E19" s="14"/>
      <c r="F19" s="14"/>
    </row>
    <row r="20" spans="1:6" x14ac:dyDescent="0.3">
      <c r="A20" s="10"/>
      <c r="B20" s="2"/>
      <c r="C20" s="1"/>
      <c r="D20" s="1"/>
      <c r="E20" s="14"/>
      <c r="F20" s="14"/>
    </row>
    <row r="21" spans="1:6" x14ac:dyDescent="0.3">
      <c r="A21" s="10"/>
      <c r="B21" s="2"/>
      <c r="C21" s="1"/>
      <c r="D21" s="1"/>
      <c r="E21" s="14"/>
      <c r="F21" s="14"/>
    </row>
    <row r="22" spans="1:6" x14ac:dyDescent="0.3">
      <c r="A22" s="10"/>
      <c r="B22" s="2"/>
      <c r="C22" s="1"/>
      <c r="D22" s="1"/>
      <c r="E22" s="14"/>
      <c r="F22" s="14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workbookViewId="0">
      <pane ySplit="2" topLeftCell="A3" activePane="bottomLeft" state="frozen"/>
      <selection pane="bottomLeft" activeCell="H10" sqref="H10"/>
    </sheetView>
  </sheetViews>
  <sheetFormatPr defaultRowHeight="14.4" x14ac:dyDescent="0.3"/>
  <cols>
    <col min="1" max="1" width="15.33203125" style="4" customWidth="1"/>
    <col min="2" max="2" width="35.44140625" style="5" customWidth="1"/>
    <col min="3" max="3" width="27" customWidth="1"/>
    <col min="4" max="4" width="21.5546875" customWidth="1"/>
    <col min="5" max="5" width="36.6640625" bestFit="1" customWidth="1"/>
  </cols>
  <sheetData>
    <row r="1" spans="1:5" ht="42.75" customHeight="1" x14ac:dyDescent="0.3">
      <c r="A1" s="29" t="s">
        <v>14</v>
      </c>
      <c r="B1" s="29"/>
      <c r="C1" s="29"/>
      <c r="D1" s="29"/>
    </row>
    <row r="2" spans="1:5" s="4" customFormat="1" ht="33.75" customHeight="1" x14ac:dyDescent="0.3">
      <c r="A2" s="9" t="s">
        <v>3</v>
      </c>
      <c r="B2" s="6" t="s">
        <v>0</v>
      </c>
      <c r="C2" s="6" t="s">
        <v>1</v>
      </c>
      <c r="D2" s="6"/>
    </row>
    <row r="3" spans="1:5" x14ac:dyDescent="0.3">
      <c r="A3" s="3">
        <v>45932</v>
      </c>
      <c r="B3" s="2" t="s">
        <v>7</v>
      </c>
      <c r="C3" s="7">
        <v>402.25</v>
      </c>
      <c r="D3" s="11" t="s">
        <v>2</v>
      </c>
      <c r="E3" t="s">
        <v>6</v>
      </c>
    </row>
    <row r="4" spans="1:5" x14ac:dyDescent="0.3">
      <c r="A4" s="3">
        <v>45959</v>
      </c>
      <c r="B4" s="2">
        <v>885582586770</v>
      </c>
      <c r="C4" s="7">
        <v>968.88</v>
      </c>
      <c r="D4" s="11" t="s">
        <v>2</v>
      </c>
      <c r="E4" t="s">
        <v>6</v>
      </c>
    </row>
    <row r="5" spans="1:5" x14ac:dyDescent="0.3">
      <c r="A5" s="3"/>
      <c r="B5" s="2"/>
      <c r="C5" s="7"/>
      <c r="D5" s="11"/>
    </row>
    <row r="6" spans="1:5" x14ac:dyDescent="0.3">
      <c r="A6" s="3"/>
      <c r="B6" s="2"/>
      <c r="C6" s="7"/>
      <c r="D6" s="8"/>
    </row>
    <row r="7" spans="1:5" x14ac:dyDescent="0.3">
      <c r="A7" s="3"/>
      <c r="B7" s="2"/>
      <c r="C7" s="1"/>
      <c r="D7" s="8"/>
    </row>
    <row r="8" spans="1:5" x14ac:dyDescent="0.3">
      <c r="A8" s="3"/>
      <c r="B8" s="2"/>
      <c r="C8" s="1"/>
      <c r="D8" s="8"/>
    </row>
    <row r="9" spans="1:5" x14ac:dyDescent="0.3">
      <c r="A9" s="3"/>
      <c r="B9" s="2"/>
      <c r="C9" s="1"/>
      <c r="D9" s="8"/>
    </row>
    <row r="10" spans="1:5" x14ac:dyDescent="0.3">
      <c r="A10" s="3"/>
      <c r="B10" s="2"/>
      <c r="C10" s="1"/>
      <c r="D10" s="8"/>
    </row>
    <row r="11" spans="1:5" x14ac:dyDescent="0.3">
      <c r="A11" s="3"/>
      <c r="B11" s="2"/>
      <c r="C11" s="1"/>
      <c r="D11" s="8"/>
    </row>
    <row r="12" spans="1:5" x14ac:dyDescent="0.3">
      <c r="A12" s="3"/>
      <c r="B12" s="2"/>
      <c r="C12" s="1"/>
      <c r="D12" s="8"/>
    </row>
    <row r="13" spans="1:5" x14ac:dyDescent="0.3">
      <c r="A13" s="3"/>
      <c r="B13" s="2"/>
      <c r="C13" s="1"/>
      <c r="D13" s="8"/>
    </row>
    <row r="14" spans="1:5" x14ac:dyDescent="0.3">
      <c r="A14" s="3"/>
      <c r="B14" s="2"/>
      <c r="C14" s="1"/>
      <c r="D14" s="8"/>
    </row>
    <row r="15" spans="1:5" x14ac:dyDescent="0.3">
      <c r="A15" s="1"/>
      <c r="B15" s="2"/>
      <c r="C15" s="1"/>
      <c r="D15" s="8"/>
    </row>
    <row r="16" spans="1:5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2026-03-04T19:05:33Z</dcterms:modified>
</cp:coreProperties>
</file>