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ell5300\Documents\Ledgers 2025\"/>
    </mc:Choice>
  </mc:AlternateContent>
  <xr:revisionPtr revIDLastSave="0" documentId="13_ncr:1_{A9060C6B-AF53-4097-BD62-900AA7B9EC2E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Swiss Tech LLC Labels" sheetId="7" r:id="rId1"/>
    <sheet name="Labels for Mudassir" sheetId="2" r:id="rId2"/>
    <sheet name="Labels for Ahsan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3" i="8" l="1"/>
  <c r="J24" i="8"/>
  <c r="J25" i="8"/>
  <c r="J26" i="8"/>
  <c r="J27" i="8"/>
  <c r="J28" i="8"/>
  <c r="J29" i="8"/>
  <c r="J22" i="8"/>
  <c r="H15" i="2"/>
  <c r="H16" i="2"/>
  <c r="H17" i="2"/>
  <c r="H13" i="2"/>
  <c r="G15" i="2"/>
  <c r="G16" i="2"/>
  <c r="G17" i="2"/>
  <c r="G1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Tipu</author>
  </authors>
  <commentList>
    <comment ref="B4" authorId="0" shapeId="0" xr:uid="{2F67D5E4-82C4-4F5F-B4C0-1B63C81785CE}">
      <text>
        <r>
          <rPr>
            <b/>
            <sz val="9"/>
            <color indexed="81"/>
            <rFont val="Tahoma"/>
            <family val="2"/>
          </rPr>
          <t>Tipu:</t>
        </r>
        <r>
          <rPr>
            <sz val="9"/>
            <color indexed="81"/>
            <rFont val="Tahoma"/>
            <family val="2"/>
          </rPr>
          <t xml:space="preserve">
Five Boxes Shippment
20 x 16 x 16 in and 40 Lbs
Master Tracking: 883002606532  Actual Dimension: 48x44x41 cms   ----- Actual Weigh: 50.3 lbs
Other Tracking:  883002606554  Actual Dimension: 49x45x40 cms   ----- Actual Weigh: 42.77 lbs
Other Tracking: 883002606565  Actual Dimension:  55x42x44 cms  ----- Actual Weigh: 41.45 lbs
Other Tracking: 883002606543  Actual Dimension: 49x46x41 cms   ----- Actual Weigh: 40.3 lbs
Other Tracking: 883002606576  Actual Dimension: 55x42x44 cms   ----- Actual Weigh: 40.34 lbs</t>
        </r>
      </text>
    </comment>
    <comment ref="G22" authorId="0" shapeId="0" xr:uid="{2A803EDA-A1C7-4994-A69A-CE1EA85D98E1}">
      <text>
        <r>
          <rPr>
            <b/>
            <sz val="9"/>
            <color indexed="81"/>
            <rFont val="Tahoma"/>
            <family val="2"/>
          </rPr>
          <t>Tipu:</t>
        </r>
        <r>
          <rPr>
            <sz val="9"/>
            <color indexed="81"/>
            <rFont val="Tahoma"/>
            <family val="2"/>
          </rPr>
          <t xml:space="preserve">
Five Boxes Shippment
20 x 16 x 16 in and 40 Lbs
Master Tracking: 883002606532  Actual Dimension: 48x44x41 cms   ----- Actual Weigh: 50.3 lbs
Other Tracking:  883002606554  Actual Dimension: 49x45x40 cms   ----- Actual Weigh: 42.77 lbs
Other Tracking: 883002606565  Actual Dimension:  55x42x44 cms  ----- Actual Weigh: 41.45 lbs
Other Tracking: 883002606543  Actual Dimension: 49x46x41 cms   ----- Actual Weigh: 40.3 lbs
Other Tracking: 883002606576  Actual Dimension: 55x42x44 cms   ----- Actual Weigh: 40.34 lbs</t>
        </r>
      </text>
    </comment>
    <comment ref="G36" authorId="0" shapeId="0" xr:uid="{D73ECDD0-CBE7-4F34-8063-F833C89D40CD}">
      <text>
        <r>
          <rPr>
            <b/>
            <sz val="9"/>
            <color indexed="81"/>
            <rFont val="Tahoma"/>
            <family val="2"/>
          </rPr>
          <t>Tipu:</t>
        </r>
        <r>
          <rPr>
            <sz val="9"/>
            <color indexed="81"/>
            <rFont val="Tahoma"/>
            <family val="2"/>
          </rPr>
          <t xml:space="preserve">
Five Boxes Shippment
20 x 16 x 16 in and 40 Lbs
Master Tracking: 883002606532  Actual Dimension: 48x44x41 cms   ----- Actual Weigh: 50.3 lbs
Other Tracking:  883002606554  Actual Dimension: 49x45x40 cms   ----- Actual Weigh: 42.77 lbs
Other Tracking: 883002606565  Actual Dimension:  55x42x44 cms  ----- Actual Weigh: 41.45 lbs
Other Tracking: 883002606543  Actual Dimension: 49x46x41 cms   ----- Actual Weigh: 40.3 lbs
Other Tracking: 883002606576  Actual Dimension: 55x42x44 cms   ----- Actual Weigh: 40.34 lbs</t>
        </r>
      </text>
    </comment>
  </commentList>
</comments>
</file>

<file path=xl/sharedStrings.xml><?xml version="1.0" encoding="utf-8"?>
<sst xmlns="http://schemas.openxmlformats.org/spreadsheetml/2006/main" count="66" uniqueCount="27">
  <si>
    <t>882516018213 CANCELLED</t>
  </si>
  <si>
    <t>Shipping Label</t>
  </si>
  <si>
    <t>Price in USD</t>
  </si>
  <si>
    <t>Fedex Invoice Price</t>
  </si>
  <si>
    <t>882617378411 (2 Pallets)</t>
  </si>
  <si>
    <t>Label Creation Date</t>
  </si>
  <si>
    <t>882858587862 (2 Pallets)</t>
  </si>
  <si>
    <t>882980166868 (1 Pallet)</t>
  </si>
  <si>
    <t>883127118767 (2 Pallets)</t>
  </si>
  <si>
    <t>883192634912 (2 Pallets)</t>
  </si>
  <si>
    <t>FedEx Labels for Swiss Tech LLC</t>
  </si>
  <si>
    <t>FedEx Labels for Mudassir</t>
  </si>
  <si>
    <t>FedEx Labels for Ahsan</t>
  </si>
  <si>
    <t>882778083163 (old)
883179247785 (new)</t>
  </si>
  <si>
    <t>883002606532 Master</t>
  </si>
  <si>
    <t>amt by AM</t>
  </si>
  <si>
    <t>amt by ahsan</t>
  </si>
  <si>
    <t>Label Number</t>
  </si>
  <si>
    <t>Date</t>
  </si>
  <si>
    <t>883242848934 (5 boxes)</t>
  </si>
  <si>
    <t>883365436110 (5 boxes)</t>
  </si>
  <si>
    <t>883726388633 (5 boxes)</t>
  </si>
  <si>
    <t>883943632410 (5 boxes)</t>
  </si>
  <si>
    <t>884338149515 Master</t>
  </si>
  <si>
    <t>884602368318 Master</t>
  </si>
  <si>
    <t>Difference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</si>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</sst>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/>
    </xf>
    <xf numFmtId="15" fontId="0" fillId="4" borderId="1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15" fontId="0" fillId="4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 wrapText="1"/>
    </xf>
    <xf numFmtId="15" fontId="0" fillId="5" borderId="1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1" fillId="0" borderId="1" xfId="0" applyFont="1" applyBorder="1" applyAlignment="1">
      <alignment horizontal="center"/>
    </xf>
    <xf numFmtId="0" fontId="0" fillId="6" borderId="1" xfId="0" applyFill="1" applyBorder="1"/>
    <xf numFmtId="0" fontId="0" fillId="0" borderId="1" xfId="0" applyBorder="1" applyAlignment="1">
      <alignment horizontal="center"/>
    </xf>
    <xf numFmtId="0" fontId="0" fillId="7" borderId="1" xfId="0" applyFill="1" applyBorder="1"/>
    <xf numFmtId="164" fontId="0" fillId="6" borderId="1" xfId="0" applyNumberFormat="1" applyFill="1" applyBorder="1"/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B342-0B44-489B-B96D-4D138DFC54FD}">
  <dimension ref="A1:D16"/>
  <sheetViews>
    <sheetView workbookViewId="0">
      <pane ySplit="2" topLeftCell="A3" activePane="bottomLeft" state="frozen"/>
      <selection pane="bottomLeft" activeCell="C25" sqref="C25"/>
    </sheetView>
  </sheetViews>
  <sheetFormatPr defaultRowHeight="14.4" x14ac:dyDescent="0.3"/>
  <cols>
    <col min="1" max="1" width="16.88671875" style="4" customWidth="1"/>
    <col min="2" max="2" width="35.44140625" style="5" customWidth="1"/>
    <col min="3" max="3" width="27" customWidth="1"/>
    <col min="4" max="4" width="21.5546875" customWidth="1"/>
  </cols>
  <sheetData>
    <row r="1" spans="1:4" ht="45" customHeight="1" x14ac:dyDescent="0.3">
      <c r="A1" s="26" t="s">
        <v>10</v>
      </c>
      <c r="B1" s="26"/>
      <c r="C1" s="26"/>
      <c r="D1" s="26"/>
    </row>
    <row r="2" spans="1:4" s="4" customFormat="1" ht="31.5" customHeight="1" x14ac:dyDescent="0.3">
      <c r="A2" s="9" t="s">
        <v>5</v>
      </c>
      <c r="B2" s="6" t="s">
        <v>1</v>
      </c>
      <c r="C2" s="6" t="s">
        <v>2</v>
      </c>
      <c r="D2" s="6"/>
    </row>
    <row r="3" spans="1:4" x14ac:dyDescent="0.3">
      <c r="A3" s="3">
        <v>45846</v>
      </c>
      <c r="B3" s="2" t="s">
        <v>4</v>
      </c>
      <c r="C3" s="7">
        <v>2276.88</v>
      </c>
      <c r="D3" s="8" t="s">
        <v>3</v>
      </c>
    </row>
    <row r="4" spans="1:4" x14ac:dyDescent="0.3">
      <c r="A4" s="3">
        <v>45855</v>
      </c>
      <c r="B4" s="2" t="s">
        <v>6</v>
      </c>
      <c r="C4" s="7">
        <v>2198.75</v>
      </c>
      <c r="D4" s="8" t="s">
        <v>3</v>
      </c>
    </row>
    <row r="5" spans="1:4" x14ac:dyDescent="0.3">
      <c r="A5" s="10">
        <v>45860</v>
      </c>
      <c r="B5" s="2" t="s">
        <v>7</v>
      </c>
      <c r="C5" s="7">
        <v>1175.0999999999999</v>
      </c>
      <c r="D5" s="8" t="s">
        <v>3</v>
      </c>
    </row>
    <row r="6" spans="1:4" x14ac:dyDescent="0.3">
      <c r="A6" s="10">
        <v>45866</v>
      </c>
      <c r="B6" s="2" t="s">
        <v>8</v>
      </c>
      <c r="C6" s="7">
        <v>1776.03</v>
      </c>
      <c r="D6" s="8" t="s">
        <v>3</v>
      </c>
    </row>
    <row r="7" spans="1:4" x14ac:dyDescent="0.3">
      <c r="A7" s="3">
        <v>45869</v>
      </c>
      <c r="B7" s="2" t="s">
        <v>9</v>
      </c>
      <c r="C7" s="1">
        <v>1855.85</v>
      </c>
      <c r="D7" s="8" t="s">
        <v>3</v>
      </c>
    </row>
    <row r="8" spans="1:4" x14ac:dyDescent="0.3">
      <c r="A8" s="3"/>
      <c r="B8" s="2"/>
      <c r="C8" s="1"/>
      <c r="D8" s="8"/>
    </row>
    <row r="9" spans="1:4" x14ac:dyDescent="0.3">
      <c r="A9" s="3"/>
      <c r="B9" s="2"/>
      <c r="C9" s="1"/>
      <c r="D9" s="8"/>
    </row>
    <row r="10" spans="1:4" x14ac:dyDescent="0.3">
      <c r="A10" s="3"/>
      <c r="B10" s="2"/>
      <c r="C10" s="1"/>
      <c r="D10" s="8"/>
    </row>
    <row r="11" spans="1:4" x14ac:dyDescent="0.3">
      <c r="A11" s="3"/>
      <c r="B11" s="2"/>
      <c r="C11" s="1"/>
      <c r="D11" s="8"/>
    </row>
    <row r="12" spans="1:4" x14ac:dyDescent="0.3">
      <c r="A12" s="3"/>
      <c r="B12" s="2"/>
      <c r="C12" s="1"/>
      <c r="D12" s="8"/>
    </row>
    <row r="13" spans="1:4" x14ac:dyDescent="0.3">
      <c r="A13" s="3"/>
      <c r="B13" s="2"/>
      <c r="C13" s="1"/>
      <c r="D13" s="8"/>
    </row>
    <row r="14" spans="1:4" x14ac:dyDescent="0.3">
      <c r="A14" s="3"/>
      <c r="B14" s="2"/>
      <c r="C14" s="1"/>
      <c r="D14" s="8"/>
    </row>
    <row r="15" spans="1:4" x14ac:dyDescent="0.3">
      <c r="A15" s="1"/>
      <c r="B15" s="2"/>
      <c r="C15" s="1"/>
      <c r="D15" s="8"/>
    </row>
    <row r="16" spans="1:4" x14ac:dyDescent="0.3">
      <c r="A16" s="1"/>
      <c r="B16" s="2"/>
      <c r="C16" s="1"/>
      <c r="D16" s="8"/>
    </row>
  </sheetData>
  <mergeCells count="1">
    <mergeCell ref="A1:D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7FB0-F30D-455D-AEEA-06781F01DE95}">
  <dimension ref="A1:H19"/>
  <sheetViews>
    <sheetView workbookViewId="0">
      <pane ySplit="2" topLeftCell="A3" activePane="bottomLeft" state="frozen"/>
      <selection pane="bottomLeft" activeCell="B18" sqref="B18:B19"/>
    </sheetView>
  </sheetViews>
  <sheetFormatPr defaultRowHeight="14.4" x14ac:dyDescent="0.3"/>
  <cols>
    <col min="1" max="1" width="16" style="4" customWidth="1"/>
    <col min="2" max="2" width="35.44140625" style="5" customWidth="1"/>
    <col min="3" max="4" width="27" customWidth="1"/>
    <col min="5" max="5" width="21.5546875" customWidth="1"/>
    <col min="8" max="8" width="11.88671875" customWidth="1"/>
  </cols>
  <sheetData>
    <row r="1" spans="1:8" ht="43.5" customHeight="1" x14ac:dyDescent="0.3">
      <c r="A1" s="26" t="s">
        <v>11</v>
      </c>
      <c r="B1" s="26"/>
      <c r="C1" s="26"/>
      <c r="D1" s="26"/>
      <c r="E1" s="26"/>
    </row>
    <row r="2" spans="1:8" s="4" customFormat="1" ht="30" customHeight="1" x14ac:dyDescent="0.3">
      <c r="A2" s="9" t="s">
        <v>5</v>
      </c>
      <c r="B2" s="6" t="s">
        <v>1</v>
      </c>
      <c r="C2" s="6" t="s">
        <v>2</v>
      </c>
      <c r="D2" s="6"/>
      <c r="E2" s="6"/>
    </row>
    <row r="3" spans="1:8" x14ac:dyDescent="0.3">
      <c r="A3" s="15">
        <v>45840</v>
      </c>
      <c r="B3" s="12">
        <v>882482082780</v>
      </c>
      <c r="C3" s="13">
        <v>19.18</v>
      </c>
      <c r="D3" s="13"/>
      <c r="E3" s="14" t="s">
        <v>3</v>
      </c>
    </row>
    <row r="4" spans="1:8" x14ac:dyDescent="0.3">
      <c r="A4" s="15">
        <v>45841</v>
      </c>
      <c r="B4" s="12">
        <v>882514785114</v>
      </c>
      <c r="C4" s="13">
        <v>332.29</v>
      </c>
      <c r="D4" s="13"/>
      <c r="E4" s="14" t="s">
        <v>3</v>
      </c>
    </row>
    <row r="5" spans="1:8" x14ac:dyDescent="0.3">
      <c r="A5" s="15">
        <v>45841</v>
      </c>
      <c r="B5" s="12">
        <v>882514794042</v>
      </c>
      <c r="C5" s="13">
        <v>356.46</v>
      </c>
      <c r="D5" s="13"/>
      <c r="E5" s="14" t="s">
        <v>3</v>
      </c>
    </row>
    <row r="6" spans="1:8" x14ac:dyDescent="0.3">
      <c r="A6" s="3">
        <v>45841</v>
      </c>
      <c r="B6" s="2" t="s">
        <v>0</v>
      </c>
      <c r="C6" s="1">
        <v>0</v>
      </c>
      <c r="D6" s="1"/>
      <c r="E6" s="8"/>
    </row>
    <row r="7" spans="1:8" x14ac:dyDescent="0.3">
      <c r="A7" s="15">
        <v>45845</v>
      </c>
      <c r="B7" s="12">
        <v>882576156598</v>
      </c>
      <c r="C7" s="13">
        <v>341.22</v>
      </c>
      <c r="D7" s="13"/>
      <c r="E7" s="14" t="s">
        <v>3</v>
      </c>
    </row>
    <row r="8" spans="1:8" x14ac:dyDescent="0.3">
      <c r="A8" s="15">
        <v>45845</v>
      </c>
      <c r="B8" s="12">
        <v>882583663746</v>
      </c>
      <c r="C8" s="13">
        <v>301.75</v>
      </c>
      <c r="D8" s="13"/>
      <c r="E8" s="14" t="s">
        <v>3</v>
      </c>
    </row>
    <row r="9" spans="1:8" x14ac:dyDescent="0.3">
      <c r="A9" s="15">
        <v>45852</v>
      </c>
      <c r="B9" s="12">
        <v>882762916529</v>
      </c>
      <c r="C9" s="13">
        <v>280.16000000000003</v>
      </c>
      <c r="D9" s="13"/>
      <c r="E9" s="14" t="s">
        <v>3</v>
      </c>
    </row>
    <row r="10" spans="1:8" ht="28.8" x14ac:dyDescent="0.3">
      <c r="A10" s="15">
        <v>45852</v>
      </c>
      <c r="B10" s="16" t="s">
        <v>13</v>
      </c>
      <c r="C10" s="13">
        <v>342.53</v>
      </c>
      <c r="D10" s="13"/>
      <c r="E10" s="14" t="s">
        <v>3</v>
      </c>
    </row>
    <row r="11" spans="1:8" x14ac:dyDescent="0.3">
      <c r="A11" s="15">
        <v>45855</v>
      </c>
      <c r="B11" s="12">
        <v>882857263746</v>
      </c>
      <c r="C11" s="13">
        <v>357.84</v>
      </c>
      <c r="D11" s="13"/>
      <c r="E11" s="14" t="s">
        <v>3</v>
      </c>
    </row>
    <row r="12" spans="1:8" x14ac:dyDescent="0.3">
      <c r="A12" s="15">
        <v>45856</v>
      </c>
      <c r="B12" s="12">
        <v>882884547421</v>
      </c>
      <c r="C12" s="13">
        <v>304.43</v>
      </c>
      <c r="D12" s="13"/>
      <c r="E12" s="14" t="s">
        <v>3</v>
      </c>
    </row>
    <row r="13" spans="1:8" x14ac:dyDescent="0.3">
      <c r="A13" s="11">
        <v>45862</v>
      </c>
      <c r="B13" s="12">
        <v>883045782080</v>
      </c>
      <c r="C13" s="13">
        <v>382.85</v>
      </c>
      <c r="D13" s="13">
        <v>576</v>
      </c>
      <c r="E13" s="14" t="s">
        <v>3</v>
      </c>
      <c r="G13">
        <f>D13-C13</f>
        <v>193.14999999999998</v>
      </c>
      <c r="H13">
        <f>G13*3.678</f>
        <v>710.40569999999991</v>
      </c>
    </row>
    <row r="14" spans="1:8" x14ac:dyDescent="0.3">
      <c r="A14" s="11">
        <v>45862</v>
      </c>
      <c r="B14" s="12">
        <v>883043369848</v>
      </c>
      <c r="C14" s="13">
        <v>383.49</v>
      </c>
      <c r="D14" s="13"/>
      <c r="E14" s="14" t="s">
        <v>3</v>
      </c>
    </row>
    <row r="15" spans="1:8" x14ac:dyDescent="0.3">
      <c r="A15" s="11">
        <v>45862</v>
      </c>
      <c r="B15" s="12">
        <v>883044458379</v>
      </c>
      <c r="C15" s="13">
        <v>341.11</v>
      </c>
      <c r="D15" s="13">
        <v>400</v>
      </c>
      <c r="E15" s="14" t="s">
        <v>3</v>
      </c>
      <c r="G15">
        <f t="shared" ref="G15:G17" si="0">D15-C15</f>
        <v>58.889999999999986</v>
      </c>
      <c r="H15">
        <f t="shared" ref="H15:H17" si="1">G15*3.678</f>
        <v>216.59741999999994</v>
      </c>
    </row>
    <row r="16" spans="1:8" x14ac:dyDescent="0.3">
      <c r="A16" s="11">
        <v>45868</v>
      </c>
      <c r="B16" s="12">
        <v>883181219833</v>
      </c>
      <c r="C16" s="13">
        <v>280.54000000000002</v>
      </c>
      <c r="D16" s="13">
        <v>576</v>
      </c>
      <c r="E16" s="14" t="s">
        <v>3</v>
      </c>
      <c r="G16">
        <f t="shared" si="0"/>
        <v>295.45999999999998</v>
      </c>
      <c r="H16">
        <f t="shared" si="1"/>
        <v>1086.7018799999998</v>
      </c>
    </row>
    <row r="17" spans="1:8" x14ac:dyDescent="0.3">
      <c r="A17" s="11">
        <v>45868</v>
      </c>
      <c r="B17" s="12">
        <v>883181822799</v>
      </c>
      <c r="C17" s="13">
        <v>319.61</v>
      </c>
      <c r="D17" s="13">
        <v>576</v>
      </c>
      <c r="E17" s="14" t="s">
        <v>3</v>
      </c>
      <c r="G17">
        <f t="shared" si="0"/>
        <v>256.39</v>
      </c>
      <c r="H17">
        <f t="shared" si="1"/>
        <v>943.00241999999992</v>
      </c>
    </row>
    <row r="18" spans="1:8" x14ac:dyDescent="0.3">
      <c r="A18" s="10"/>
      <c r="B18" s="2"/>
      <c r="C18" s="1"/>
      <c r="D18" s="1"/>
      <c r="E18" s="8"/>
    </row>
    <row r="19" spans="1:8" x14ac:dyDescent="0.3">
      <c r="A19" s="10"/>
      <c r="B19" s="2"/>
      <c r="C19" s="1"/>
      <c r="D19" s="1"/>
      <c r="E19" s="8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1BCC-3E49-4268-87B5-D71BE13C04FB}">
  <dimension ref="A1:K38"/>
  <sheetViews>
    <sheetView tabSelected="1" workbookViewId="0">
      <pane ySplit="2" topLeftCell="A3" activePane="bottomLeft" state="frozen"/>
      <selection pane="bottomLeft" activeCell="C19" sqref="C19"/>
    </sheetView>
  </sheetViews>
  <sheetFormatPr defaultRowHeight="14.4" x14ac:dyDescent="0.3"/>
  <cols>
    <col min="1" max="1" width="15.33203125" style="4" customWidth="1"/>
    <col min="2" max="2" width="35.44140625" style="5" customWidth="1"/>
    <col min="3" max="3" width="27" customWidth="1"/>
    <col min="4" max="4" width="21.5546875" customWidth="1"/>
    <col min="6" max="6" width="12.5546875" customWidth="1"/>
    <col min="7" max="7" width="26.6640625" customWidth="1"/>
    <col min="8" max="8" width="11.88671875" customWidth="1"/>
    <col min="9" max="9" width="14" customWidth="1"/>
    <col min="10" max="10" width="13.5546875" customWidth="1"/>
  </cols>
  <sheetData>
    <row r="1" spans="1:4" ht="42.75" customHeight="1" x14ac:dyDescent="0.3">
      <c r="A1" s="26" t="s">
        <v>12</v>
      </c>
      <c r="B1" s="26"/>
      <c r="C1" s="26"/>
      <c r="D1" s="26"/>
    </row>
    <row r="2" spans="1:4" s="4" customFormat="1" ht="33.75" customHeight="1" x14ac:dyDescent="0.3">
      <c r="A2" s="9" t="s">
        <v>5</v>
      </c>
      <c r="B2" s="6" t="s">
        <v>1</v>
      </c>
      <c r="C2" s="6" t="s">
        <v>2</v>
      </c>
      <c r="D2" s="6"/>
    </row>
    <row r="3" spans="1:4" x14ac:dyDescent="0.3">
      <c r="A3" s="17">
        <v>45845</v>
      </c>
      <c r="B3" s="18">
        <v>882574615599</v>
      </c>
      <c r="C3" s="19">
        <v>723.05</v>
      </c>
      <c r="D3" s="20" t="s">
        <v>3</v>
      </c>
    </row>
    <row r="4" spans="1:4" x14ac:dyDescent="0.3">
      <c r="A4" s="10">
        <v>45861</v>
      </c>
      <c r="B4" s="2" t="s">
        <v>14</v>
      </c>
      <c r="C4" s="7">
        <v>469.7</v>
      </c>
      <c r="D4" s="8" t="s">
        <v>3</v>
      </c>
    </row>
    <row r="5" spans="1:4" x14ac:dyDescent="0.3">
      <c r="A5" s="3"/>
      <c r="B5" s="2"/>
      <c r="C5" s="7"/>
      <c r="D5" s="8"/>
    </row>
    <row r="6" spans="1:4" x14ac:dyDescent="0.3">
      <c r="A6" s="3"/>
      <c r="B6" s="2"/>
      <c r="C6" s="7"/>
      <c r="D6" s="8"/>
    </row>
    <row r="7" spans="1:4" x14ac:dyDescent="0.3">
      <c r="A7" s="3"/>
      <c r="B7" s="2"/>
      <c r="C7" s="1"/>
      <c r="D7" s="8"/>
    </row>
    <row r="8" spans="1:4" x14ac:dyDescent="0.3">
      <c r="A8" s="3"/>
      <c r="B8" s="2"/>
      <c r="C8" s="1"/>
      <c r="D8" s="8"/>
    </row>
    <row r="9" spans="1:4" x14ac:dyDescent="0.3">
      <c r="A9" s="3"/>
      <c r="B9" s="2"/>
      <c r="C9" s="1"/>
      <c r="D9" s="8"/>
    </row>
    <row r="10" spans="1:4" x14ac:dyDescent="0.3">
      <c r="A10" s="3"/>
      <c r="B10" s="2"/>
      <c r="C10" s="1"/>
      <c r="D10" s="8"/>
    </row>
    <row r="11" spans="1:4" x14ac:dyDescent="0.3">
      <c r="A11" s="3"/>
      <c r="B11" s="2"/>
      <c r="C11" s="1"/>
      <c r="D11" s="8"/>
    </row>
    <row r="12" spans="1:4" x14ac:dyDescent="0.3">
      <c r="A12" s="3"/>
      <c r="B12" s="2"/>
      <c r="C12" s="1"/>
      <c r="D12" s="8"/>
    </row>
    <row r="13" spans="1:4" x14ac:dyDescent="0.3">
      <c r="A13" s="3"/>
      <c r="B13" s="2"/>
      <c r="C13" s="1"/>
      <c r="D13" s="8"/>
    </row>
    <row r="14" spans="1:4" x14ac:dyDescent="0.3">
      <c r="A14" s="3"/>
      <c r="B14" s="2"/>
      <c r="C14" s="1"/>
      <c r="D14" s="8"/>
    </row>
    <row r="15" spans="1:4" x14ac:dyDescent="0.3">
      <c r="A15" s="1"/>
      <c r="B15" s="2"/>
      <c r="C15" s="1"/>
      <c r="D15" s="8"/>
    </row>
    <row r="16" spans="1:4" x14ac:dyDescent="0.3">
      <c r="A16" s="1"/>
      <c r="B16" s="2"/>
      <c r="C16" s="1"/>
      <c r="D16" s="8"/>
    </row>
    <row r="21" spans="6:11" x14ac:dyDescent="0.3">
      <c r="F21" s="21" t="s">
        <v>18</v>
      </c>
      <c r="G21" s="21" t="s">
        <v>17</v>
      </c>
      <c r="H21" s="21" t="s">
        <v>15</v>
      </c>
      <c r="I21" s="21" t="s">
        <v>16</v>
      </c>
      <c r="J21" s="21" t="s">
        <v>25</v>
      </c>
    </row>
    <row r="22" spans="6:11" x14ac:dyDescent="0.3">
      <c r="F22" s="10">
        <v>45861</v>
      </c>
      <c r="G22" s="2" t="s">
        <v>14</v>
      </c>
      <c r="H22" s="7">
        <v>469.7</v>
      </c>
      <c r="I22" s="23">
        <v>442</v>
      </c>
      <c r="J22" s="22">
        <f>I22-H22</f>
        <v>-27.699999999999989</v>
      </c>
    </row>
    <row r="23" spans="6:11" x14ac:dyDescent="0.3">
      <c r="F23" s="10">
        <v>45870</v>
      </c>
      <c r="G23" s="2" t="s">
        <v>19</v>
      </c>
      <c r="H23" s="7">
        <v>626.72</v>
      </c>
      <c r="I23" s="23">
        <v>783.95</v>
      </c>
      <c r="J23" s="24">
        <f t="shared" ref="J23:J29" si="0">I23-H23</f>
        <v>157.23000000000002</v>
      </c>
      <c r="K23" t="s">
        <v>26</v>
      </c>
    </row>
    <row r="24" spans="6:11" x14ac:dyDescent="0.3">
      <c r="F24" s="10">
        <v>45875</v>
      </c>
      <c r="G24" s="2" t="s">
        <v>20</v>
      </c>
      <c r="H24" s="7">
        <v>567.44000000000005</v>
      </c>
      <c r="I24" s="23">
        <v>494</v>
      </c>
      <c r="J24" s="22">
        <f t="shared" si="0"/>
        <v>-73.440000000000055</v>
      </c>
    </row>
    <row r="25" spans="6:11" x14ac:dyDescent="0.3">
      <c r="F25" s="3">
        <v>45889</v>
      </c>
      <c r="G25" s="2" t="s">
        <v>21</v>
      </c>
      <c r="H25" s="7">
        <v>458.84</v>
      </c>
      <c r="I25" s="23">
        <v>590</v>
      </c>
      <c r="J25" s="24">
        <f t="shared" si="0"/>
        <v>131.16000000000003</v>
      </c>
      <c r="K25" t="s">
        <v>26</v>
      </c>
    </row>
    <row r="26" spans="6:11" x14ac:dyDescent="0.3">
      <c r="F26" s="3">
        <v>45897</v>
      </c>
      <c r="G26" s="2" t="s">
        <v>22</v>
      </c>
      <c r="H26" s="7">
        <v>438.82</v>
      </c>
      <c r="I26" s="23">
        <v>430</v>
      </c>
      <c r="J26" s="22">
        <f t="shared" si="0"/>
        <v>-8.8199999999999932</v>
      </c>
    </row>
    <row r="27" spans="6:11" x14ac:dyDescent="0.3">
      <c r="F27" s="3">
        <v>45905</v>
      </c>
      <c r="G27" s="2">
        <v>884144941560</v>
      </c>
      <c r="H27" s="7">
        <v>399.54</v>
      </c>
      <c r="I27" s="23">
        <v>475</v>
      </c>
      <c r="J27" s="24">
        <f t="shared" si="0"/>
        <v>75.45999999999998</v>
      </c>
      <c r="K27" t="s">
        <v>26</v>
      </c>
    </row>
    <row r="28" spans="6:11" x14ac:dyDescent="0.3">
      <c r="F28" s="3">
        <v>45912</v>
      </c>
      <c r="G28" s="2" t="s">
        <v>23</v>
      </c>
      <c r="H28" s="7">
        <v>328.89</v>
      </c>
      <c r="I28" s="23">
        <v>400</v>
      </c>
      <c r="J28" s="24">
        <f t="shared" si="0"/>
        <v>71.110000000000014</v>
      </c>
      <c r="K28" t="s">
        <v>26</v>
      </c>
    </row>
    <row r="29" spans="6:11" x14ac:dyDescent="0.3">
      <c r="F29" s="3">
        <v>45923</v>
      </c>
      <c r="G29" s="2" t="s">
        <v>24</v>
      </c>
      <c r="H29" s="7">
        <v>826.8</v>
      </c>
      <c r="I29" s="23">
        <v>875</v>
      </c>
      <c r="J29" s="24">
        <f t="shared" si="0"/>
        <v>48.200000000000045</v>
      </c>
      <c r="K29" t="s">
        <v>26</v>
      </c>
    </row>
    <row r="35" spans="6:10" x14ac:dyDescent="0.3">
      <c r="F35" s="21" t="s">
        <v>18</v>
      </c>
      <c r="G35" s="21" t="s">
        <v>17</v>
      </c>
      <c r="H35" s="21" t="s">
        <v>15</v>
      </c>
      <c r="I35" s="21" t="s">
        <v>16</v>
      </c>
      <c r="J35" s="21" t="s">
        <v>25</v>
      </c>
    </row>
    <row r="36" spans="6:10" x14ac:dyDescent="0.3">
      <c r="F36" s="10">
        <v>45861</v>
      </c>
      <c r="G36" s="2" t="s">
        <v>14</v>
      </c>
      <c r="H36" s="7">
        <v>469.7</v>
      </c>
      <c r="I36" s="23">
        <v>442</v>
      </c>
      <c r="J36" s="25">
        <v>-27.699999999999989</v>
      </c>
    </row>
    <row r="37" spans="6:10" x14ac:dyDescent="0.3">
      <c r="F37" s="10">
        <v>45875</v>
      </c>
      <c r="G37" s="2" t="s">
        <v>20</v>
      </c>
      <c r="H37" s="7">
        <v>567.44000000000005</v>
      </c>
      <c r="I37" s="23">
        <v>494</v>
      </c>
      <c r="J37" s="25">
        <v>-73.440000000000055</v>
      </c>
    </row>
    <row r="38" spans="6:10" x14ac:dyDescent="0.3">
      <c r="F38" s="3">
        <v>45897</v>
      </c>
      <c r="G38" s="2" t="s">
        <v>22</v>
      </c>
      <c r="H38" s="7">
        <v>438.82</v>
      </c>
      <c r="I38" s="23">
        <v>430</v>
      </c>
      <c r="J38" s="25">
        <v>-8.8199999999999932</v>
      </c>
    </row>
  </sheetData>
  <mergeCells count="1">
    <mergeCell ref="A1:D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Swiss Tech LLC Labels</vt:lpstr>
      <vt:lpstr>Labels for Mudassir</vt:lpstr>
      <vt:lpstr>Labels for Ahsan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Tipu</dc:creator>
  <cp:lastModifiedBy>Swiss Tech</cp:lastModifiedBy>
  <dcterms:created xsi:type="dcterms:W3CDTF">2015-06-05T18:17:20Z</dcterms:created>
  <dcterms:modified xsi:type="dcterms:W3CDTF">2025-10-27T18:31:46Z</dcterms:modified>
</cp:coreProperties>
</file>