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7C0B3001-D3AE-47AF-BAF4-461683D7E0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H31" i="1" s="1"/>
  <c r="H29" i="1"/>
  <c r="F38" i="1"/>
  <c r="F37" i="1"/>
  <c r="F35" i="1"/>
  <c r="F36" i="1"/>
  <c r="F34" i="1"/>
  <c r="F33" i="1"/>
  <c r="F32" i="1"/>
  <c r="F31" i="1"/>
  <c r="F30" i="1"/>
  <c r="F29" i="1"/>
  <c r="H32" i="1" l="1"/>
  <c r="H33" i="1" s="1"/>
  <c r="H34" i="1" s="1"/>
  <c r="H35" i="1" s="1"/>
  <c r="H36" i="1" s="1"/>
  <c r="H37" i="1" s="1"/>
  <c r="H38" i="1" s="1"/>
  <c r="G40" i="1"/>
  <c r="F27" i="1"/>
  <c r="F26" i="1"/>
  <c r="F25" i="1"/>
  <c r="F24" i="1"/>
  <c r="F23" i="1"/>
  <c r="F16" i="1"/>
  <c r="F14" i="1" l="1"/>
  <c r="F13" i="1"/>
  <c r="F12" i="1"/>
  <c r="F22" i="1"/>
  <c r="F21" i="1"/>
  <c r="F11" i="1"/>
  <c r="F15" i="1"/>
  <c r="F17" i="1"/>
  <c r="F19" i="1"/>
  <c r="F20" i="1"/>
  <c r="F8" i="1"/>
  <c r="F9" i="1"/>
  <c r="F10" i="1"/>
  <c r="F7" i="1"/>
  <c r="F5" i="1"/>
  <c r="F4" i="1"/>
  <c r="F3" i="1"/>
  <c r="A3" i="1"/>
  <c r="A4" i="1" s="1"/>
  <c r="A5" i="1" s="1"/>
  <c r="A7" i="1" s="1"/>
  <c r="A8" i="1" s="1"/>
  <c r="A9" i="1" s="1"/>
  <c r="F2" i="1"/>
  <c r="H2" i="1" l="1"/>
  <c r="F40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40" i="1"/>
</calcChain>
</file>

<file path=xl/sharedStrings.xml><?xml version="1.0" encoding="utf-8"?>
<sst xmlns="http://schemas.openxmlformats.org/spreadsheetml/2006/main" count="47" uniqueCount="23">
  <si>
    <t>SNO</t>
  </si>
  <si>
    <t>DATE</t>
  </si>
  <si>
    <t>LABEL TRACKING</t>
  </si>
  <si>
    <t>FEDEX COST</t>
  </si>
  <si>
    <t>CLEARING CHARGES</t>
  </si>
  <si>
    <t>AMOUNT</t>
  </si>
  <si>
    <t>BOXES</t>
  </si>
  <si>
    <t>(386$ @3.678)</t>
  </si>
  <si>
    <t>1 box</t>
  </si>
  <si>
    <t xml:space="preserve"> (525$ @3.678)</t>
  </si>
  <si>
    <t>2 box</t>
  </si>
  <si>
    <t>(507$ @3.678)</t>
  </si>
  <si>
    <t xml:space="preserve"> (39$ @3.678) usa to usa</t>
  </si>
  <si>
    <t>2 box 60pcs</t>
  </si>
  <si>
    <t>1 box 30 pcs</t>
  </si>
  <si>
    <t>balance</t>
  </si>
  <si>
    <t xml:space="preserve">paid </t>
  </si>
  <si>
    <t>paid in invoice # 2</t>
  </si>
  <si>
    <t>paid in invoice # 3</t>
  </si>
  <si>
    <t>paid in invoice # 15</t>
  </si>
  <si>
    <t>usa to usa</t>
  </si>
  <si>
    <t>usa to ua</t>
  </si>
  <si>
    <t>change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</si>
</sst>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-409]d\-mmm\-yy;@"/>
    <numFmt numFmtId="166" formatCode="_([$AED]\ * #,##0.00_);_([$AED]\ * \(#,##0.00\);_([$AED]\ * &quot;-&quot;??_);_(@_)"/>
    <numFmt numFmtId="167" formatCode="_([$AED]\ * #,##0.000_);_([$AED]\ * \(#,##0.000\);_([$AED]\ * &quot;-&quot;?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ras Demi ITC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Eras Demi IT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1" fontId="3" fillId="0" borderId="0" xfId="0" applyNumberFormat="1" applyFont="1"/>
    <xf numFmtId="165" fontId="3" fillId="0" borderId="0" xfId="0" applyNumberFormat="1" applyFont="1"/>
    <xf numFmtId="0" fontId="0" fillId="0" borderId="1" xfId="0" applyBorder="1"/>
    <xf numFmtId="1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left"/>
    </xf>
    <xf numFmtId="1" fontId="0" fillId="0" borderId="0" xfId="0" applyNumberFormat="1"/>
    <xf numFmtId="166" fontId="4" fillId="0" borderId="0" xfId="0" applyNumberFormat="1" applyFont="1"/>
    <xf numFmtId="164" fontId="3" fillId="0" borderId="0" xfId="1" applyFont="1" applyBorder="1" applyAlignment="1">
      <alignment horizontal="left"/>
    </xf>
    <xf numFmtId="166" fontId="3" fillId="0" borderId="1" xfId="0" applyNumberFormat="1" applyFont="1" applyBorder="1"/>
    <xf numFmtId="167" fontId="3" fillId="0" borderId="1" xfId="0" applyNumberFormat="1" applyFont="1" applyBorder="1"/>
    <xf numFmtId="164" fontId="3" fillId="0" borderId="0" xfId="1" applyFont="1" applyFill="1" applyBorder="1"/>
    <xf numFmtId="0" fontId="3" fillId="0" borderId="1" xfId="0" applyFont="1" applyBorder="1"/>
    <xf numFmtId="165" fontId="5" fillId="0" borderId="0" xfId="0" applyNumberFormat="1" applyFont="1"/>
    <xf numFmtId="1" fontId="5" fillId="0" borderId="0" xfId="0" applyNumberFormat="1" applyFont="1"/>
    <xf numFmtId="166" fontId="5" fillId="0" borderId="1" xfId="0" applyNumberFormat="1" applyFont="1" applyBorder="1"/>
    <xf numFmtId="0" fontId="2" fillId="0" borderId="0" xfId="0" applyFont="1"/>
    <xf numFmtId="0" fontId="5" fillId="0" borderId="0" xfId="0" applyFont="1"/>
    <xf numFmtId="0" fontId="2" fillId="0" borderId="1" xfId="0" applyFont="1" applyBorder="1"/>
    <xf numFmtId="166" fontId="0" fillId="0" borderId="1" xfId="0" applyNumberFormat="1" applyBorder="1"/>
    <xf numFmtId="164" fontId="3" fillId="2" borderId="0" xfId="1" applyFont="1" applyFill="1" applyBorder="1" applyAlignment="1">
      <alignment horizontal="left"/>
    </xf>
    <xf numFmtId="167" fontId="3" fillId="0" borderId="0" xfId="0" applyNumberFormat="1" applyFont="1"/>
    <xf numFmtId="166" fontId="0" fillId="0" borderId="0" xfId="0" applyNumberFormat="1"/>
    <xf numFmtId="166" fontId="3" fillId="0" borderId="0" xfId="0" applyNumberFormat="1" applyFont="1"/>
    <xf numFmtId="167" fontId="0" fillId="0" borderId="0" xfId="0" applyNumberFormat="1"/>
    <xf numFmtId="165" fontId="3" fillId="2" borderId="0" xfId="0" applyNumberFormat="1" applyFont="1" applyFill="1"/>
    <xf numFmtId="1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/>
    <xf numFmtId="167" fontId="3" fillId="2" borderId="0" xfId="0" applyNumberFormat="1" applyFont="1" applyFill="1"/>
    <xf numFmtId="0" fontId="0" fillId="2" borderId="0" xfId="0" applyFill="1"/>
    <xf numFmtId="167" fontId="0" fillId="2" borderId="0" xfId="0" applyNumberFormat="1" applyFill="1"/>
    <xf numFmtId="1" fontId="3" fillId="3" borderId="0" xfId="0" applyNumberFormat="1" applyFont="1" applyFill="1"/>
    <xf numFmtId="164" fontId="3" fillId="3" borderId="0" xfId="1" applyFont="1" applyFill="1"/>
    <xf numFmtId="1" fontId="3" fillId="3" borderId="0" xfId="0" applyNumberFormat="1" applyFont="1" applyFill="1" applyAlignment="1">
      <alignment horizontal="right"/>
    </xf>
    <xf numFmtId="164" fontId="3" fillId="3" borderId="0" xfId="1" applyFont="1" applyFill="1" applyBorder="1" applyAlignment="1">
      <alignment horizontal="left"/>
    </xf>
    <xf numFmtId="1" fontId="5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0" zoomScaleNormal="100" workbookViewId="0">
      <selection activeCell="D37" sqref="D37"/>
    </sheetView>
  </sheetViews>
  <sheetFormatPr defaultRowHeight="14.4" x14ac:dyDescent="0.3"/>
  <cols>
    <col min="2" max="2" width="15.6640625" customWidth="1"/>
    <col min="3" max="3" width="19.44140625" bestFit="1" customWidth="1"/>
    <col min="4" max="4" width="26.6640625" bestFit="1" customWidth="1"/>
    <col min="5" max="5" width="22.6640625" bestFit="1" customWidth="1"/>
    <col min="6" max="6" width="17.88671875" customWidth="1"/>
    <col min="7" max="7" width="20.33203125" bestFit="1" customWidth="1"/>
    <col min="8" max="8" width="17.88671875" customWidth="1"/>
    <col min="9" max="9" width="12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15</v>
      </c>
      <c r="I1" s="1" t="s">
        <v>6</v>
      </c>
    </row>
    <row r="2" spans="1:9" ht="15" customHeight="1" x14ac:dyDescent="0.3">
      <c r="A2">
        <v>1</v>
      </c>
      <c r="B2" s="2">
        <v>45828</v>
      </c>
      <c r="C2" s="31">
        <v>882190243917</v>
      </c>
      <c r="D2" s="31" t="s">
        <v>7</v>
      </c>
      <c r="E2" s="9">
        <v>650</v>
      </c>
      <c r="F2" s="9">
        <f>E2+386*3.678</f>
        <v>2069.7080000000001</v>
      </c>
      <c r="G2" s="9"/>
      <c r="H2" s="9">
        <f>F2</f>
        <v>2069.7080000000001</v>
      </c>
      <c r="I2" s="3" t="s">
        <v>8</v>
      </c>
    </row>
    <row r="3" spans="1:9" x14ac:dyDescent="0.3">
      <c r="A3">
        <f>A2+1</f>
        <v>2</v>
      </c>
      <c r="B3" s="2">
        <v>45831</v>
      </c>
      <c r="C3" s="31">
        <v>882247971323</v>
      </c>
      <c r="D3" s="31" t="s">
        <v>9</v>
      </c>
      <c r="E3" s="9">
        <v>650</v>
      </c>
      <c r="F3" s="9">
        <f>E3+525*3.678</f>
        <v>2580.9499999999998</v>
      </c>
      <c r="G3" s="9"/>
      <c r="H3" s="9">
        <f>H2+F3</f>
        <v>4650.6579999999994</v>
      </c>
      <c r="I3" s="3" t="s">
        <v>10</v>
      </c>
    </row>
    <row r="4" spans="1:9" x14ac:dyDescent="0.3">
      <c r="A4">
        <f t="shared" ref="A4:A9" si="0">A3+1</f>
        <v>3</v>
      </c>
      <c r="B4" s="2">
        <v>45832</v>
      </c>
      <c r="C4" s="31">
        <v>882279322688</v>
      </c>
      <c r="D4" s="31" t="s">
        <v>11</v>
      </c>
      <c r="E4" s="9">
        <v>650</v>
      </c>
      <c r="F4" s="9">
        <f>E4+507*3.678</f>
        <v>2514.7460000000001</v>
      </c>
      <c r="G4" s="9"/>
      <c r="H4" s="9">
        <f>H3+F4</f>
        <v>7165.4039999999995</v>
      </c>
      <c r="I4" s="3" t="s">
        <v>10</v>
      </c>
    </row>
    <row r="5" spans="1:9" x14ac:dyDescent="0.3">
      <c r="A5">
        <f>A4+1</f>
        <v>4</v>
      </c>
      <c r="B5" s="2">
        <v>45840</v>
      </c>
      <c r="C5" s="31">
        <v>882482082780</v>
      </c>
      <c r="D5" s="31" t="s">
        <v>12</v>
      </c>
      <c r="E5" s="9">
        <v>0</v>
      </c>
      <c r="F5" s="10">
        <f>3.678*39</f>
        <v>143.44200000000001</v>
      </c>
      <c r="G5" s="10"/>
      <c r="H5" s="9">
        <f>H4+F5</f>
        <v>7308.8459999999995</v>
      </c>
      <c r="I5" s="3"/>
    </row>
    <row r="6" spans="1:9" ht="15" customHeight="1" x14ac:dyDescent="0.3">
      <c r="B6" s="13">
        <v>45845</v>
      </c>
      <c r="C6" s="35" t="s">
        <v>17</v>
      </c>
      <c r="D6" s="35"/>
      <c r="E6" s="14"/>
      <c r="F6" s="15"/>
      <c r="G6" s="15">
        <v>7308.85</v>
      </c>
      <c r="H6" s="15">
        <f>H5+F6-G6</f>
        <v>-4.0000000008149073E-3</v>
      </c>
      <c r="I6" s="3"/>
    </row>
    <row r="7" spans="1:9" x14ac:dyDescent="0.3">
      <c r="A7">
        <f>A5+1</f>
        <v>5</v>
      </c>
      <c r="B7" s="2">
        <v>45841</v>
      </c>
      <c r="C7" s="31">
        <v>882514785114</v>
      </c>
      <c r="D7" s="32">
        <v>553</v>
      </c>
      <c r="E7" s="9">
        <v>650</v>
      </c>
      <c r="F7" s="10">
        <f>D7*3.678+E7</f>
        <v>2683.9340000000002</v>
      </c>
      <c r="G7" s="10"/>
      <c r="H7" s="9">
        <f t="shared" ref="H7:H10" si="1">H6+F7</f>
        <v>2683.9299999999994</v>
      </c>
      <c r="I7" s="3" t="s">
        <v>10</v>
      </c>
    </row>
    <row r="8" spans="1:9" x14ac:dyDescent="0.3">
      <c r="A8">
        <f t="shared" si="0"/>
        <v>6</v>
      </c>
      <c r="B8" s="2">
        <v>45841</v>
      </c>
      <c r="C8" s="31">
        <v>882514794042</v>
      </c>
      <c r="D8" s="32">
        <v>575</v>
      </c>
      <c r="E8" s="9">
        <v>650</v>
      </c>
      <c r="F8" s="10">
        <f t="shared" ref="F8:F27" si="2">D8*3.678+E8</f>
        <v>2764.85</v>
      </c>
      <c r="G8" s="10"/>
      <c r="H8" s="9">
        <f t="shared" si="1"/>
        <v>5448.7799999999988</v>
      </c>
      <c r="I8" s="3" t="s">
        <v>10</v>
      </c>
    </row>
    <row r="9" spans="1:9" x14ac:dyDescent="0.3">
      <c r="A9">
        <f t="shared" si="0"/>
        <v>7</v>
      </c>
      <c r="B9" s="2">
        <v>45841</v>
      </c>
      <c r="C9" s="1">
        <v>882516018213</v>
      </c>
      <c r="D9" s="11">
        <v>0</v>
      </c>
      <c r="E9" s="9"/>
      <c r="F9" s="10">
        <f t="shared" si="2"/>
        <v>0</v>
      </c>
      <c r="G9" s="12"/>
      <c r="H9" s="9">
        <f t="shared" si="1"/>
        <v>5448.7799999999988</v>
      </c>
      <c r="I9" s="3"/>
    </row>
    <row r="10" spans="1:9" x14ac:dyDescent="0.3">
      <c r="A10">
        <v>8</v>
      </c>
      <c r="B10" s="2">
        <v>45845</v>
      </c>
      <c r="C10" s="31">
        <v>882576156598</v>
      </c>
      <c r="D10" s="32">
        <v>400</v>
      </c>
      <c r="E10" s="9">
        <v>650</v>
      </c>
      <c r="F10" s="10">
        <f t="shared" si="2"/>
        <v>2121.1999999999998</v>
      </c>
      <c r="G10" s="10"/>
      <c r="H10" s="9">
        <f t="shared" si="1"/>
        <v>7569.9799999999987</v>
      </c>
      <c r="I10" s="3" t="s">
        <v>8</v>
      </c>
    </row>
    <row r="11" spans="1:9" s="16" customFormat="1" x14ac:dyDescent="0.3">
      <c r="C11" s="35" t="s">
        <v>18</v>
      </c>
      <c r="D11" s="35"/>
      <c r="E11" s="17"/>
      <c r="F11" s="10">
        <f t="shared" si="2"/>
        <v>0</v>
      </c>
      <c r="G11" s="15">
        <v>6915.3</v>
      </c>
      <c r="H11" s="15">
        <f>H10-G11</f>
        <v>654.67999999999847</v>
      </c>
      <c r="I11" s="18"/>
    </row>
    <row r="12" spans="1:9" x14ac:dyDescent="0.3">
      <c r="A12">
        <v>9</v>
      </c>
      <c r="B12" s="2">
        <v>45848</v>
      </c>
      <c r="C12" s="33">
        <v>882583663746</v>
      </c>
      <c r="D12" s="34">
        <v>400</v>
      </c>
      <c r="E12" s="9">
        <v>650</v>
      </c>
      <c r="F12" s="10">
        <f>D12*3.678+E12</f>
        <v>2121.1999999999998</v>
      </c>
      <c r="G12" s="3"/>
      <c r="H12" s="19">
        <f>H11+F12</f>
        <v>2775.8799999999983</v>
      </c>
      <c r="I12" s="3" t="s">
        <v>8</v>
      </c>
    </row>
    <row r="13" spans="1:9" x14ac:dyDescent="0.3">
      <c r="A13">
        <v>10</v>
      </c>
      <c r="B13" s="2">
        <v>45852</v>
      </c>
      <c r="C13" s="33">
        <v>882762916529</v>
      </c>
      <c r="D13" s="34">
        <v>576</v>
      </c>
      <c r="E13" s="9">
        <v>650</v>
      </c>
      <c r="F13" s="10">
        <f>D13*3.678+E13</f>
        <v>2768.5279999999998</v>
      </c>
      <c r="G13" s="3"/>
      <c r="H13" s="19">
        <f t="shared" ref="H13:H17" si="3">H12+F13</f>
        <v>5544.4079999999976</v>
      </c>
      <c r="I13" s="3" t="s">
        <v>10</v>
      </c>
    </row>
    <row r="14" spans="1:9" x14ac:dyDescent="0.3">
      <c r="A14">
        <v>11</v>
      </c>
      <c r="B14" s="2">
        <v>45852</v>
      </c>
      <c r="C14" s="33">
        <v>882778083163</v>
      </c>
      <c r="D14" s="34">
        <v>400</v>
      </c>
      <c r="E14" s="9">
        <v>650</v>
      </c>
      <c r="F14" s="10">
        <f>D14*3.678+E14</f>
        <v>2121.1999999999998</v>
      </c>
      <c r="G14" s="3"/>
      <c r="H14" s="19">
        <f t="shared" si="3"/>
        <v>7665.6079999999974</v>
      </c>
      <c r="I14" s="3" t="s">
        <v>8</v>
      </c>
    </row>
    <row r="15" spans="1:9" x14ac:dyDescent="0.3">
      <c r="A15">
        <v>12</v>
      </c>
      <c r="B15" s="2">
        <v>45855</v>
      </c>
      <c r="C15" s="33">
        <v>882857263746</v>
      </c>
      <c r="D15" s="34">
        <v>576</v>
      </c>
      <c r="E15" s="9">
        <v>650</v>
      </c>
      <c r="F15" s="10">
        <f t="shared" si="2"/>
        <v>2768.5279999999998</v>
      </c>
      <c r="G15" s="3"/>
      <c r="H15" s="19">
        <f t="shared" si="3"/>
        <v>10434.135999999997</v>
      </c>
      <c r="I15" s="3" t="s">
        <v>10</v>
      </c>
    </row>
    <row r="16" spans="1:9" x14ac:dyDescent="0.3">
      <c r="A16">
        <v>13</v>
      </c>
      <c r="B16" s="2">
        <v>45856</v>
      </c>
      <c r="C16" s="33">
        <v>882884547421</v>
      </c>
      <c r="D16" s="34">
        <v>576</v>
      </c>
      <c r="E16" s="9">
        <v>650</v>
      </c>
      <c r="F16" s="10">
        <f>E16</f>
        <v>650</v>
      </c>
      <c r="G16" s="3"/>
      <c r="H16" s="19">
        <f t="shared" si="3"/>
        <v>11084.135999999997</v>
      </c>
      <c r="I16" s="3" t="s">
        <v>13</v>
      </c>
    </row>
    <row r="17" spans="1:9" x14ac:dyDescent="0.3">
      <c r="A17">
        <v>14</v>
      </c>
      <c r="B17" s="2">
        <v>45862</v>
      </c>
      <c r="C17" s="33">
        <v>883043369848</v>
      </c>
      <c r="D17" s="34">
        <v>400</v>
      </c>
      <c r="E17" s="9">
        <v>650</v>
      </c>
      <c r="F17" s="10">
        <f t="shared" si="2"/>
        <v>2121.1999999999998</v>
      </c>
      <c r="G17" s="3"/>
      <c r="H17" s="19">
        <f t="shared" si="3"/>
        <v>13205.335999999996</v>
      </c>
      <c r="I17" s="3" t="s">
        <v>14</v>
      </c>
    </row>
    <row r="18" spans="1:9" x14ac:dyDescent="0.3">
      <c r="B18" s="2"/>
      <c r="C18" s="4"/>
      <c r="D18" s="8"/>
      <c r="E18" s="9"/>
      <c r="F18" s="10"/>
      <c r="G18" s="15">
        <v>12020</v>
      </c>
      <c r="H18" s="19">
        <f>H17-G18</f>
        <v>1185.3359999999957</v>
      </c>
      <c r="I18" s="3"/>
    </row>
    <row r="19" spans="1:9" x14ac:dyDescent="0.3">
      <c r="A19">
        <v>15</v>
      </c>
      <c r="B19" s="2">
        <v>45862</v>
      </c>
      <c r="C19" s="33">
        <v>883044458379</v>
      </c>
      <c r="D19" s="34">
        <v>400</v>
      </c>
      <c r="E19" s="9">
        <v>650</v>
      </c>
      <c r="F19" s="10">
        <f t="shared" si="2"/>
        <v>2121.1999999999998</v>
      </c>
      <c r="G19" s="3"/>
      <c r="H19" s="19">
        <f>H18+F19</f>
        <v>3306.5359999999955</v>
      </c>
      <c r="I19" s="3" t="s">
        <v>14</v>
      </c>
    </row>
    <row r="20" spans="1:9" x14ac:dyDescent="0.3">
      <c r="A20">
        <v>16</v>
      </c>
      <c r="B20" s="2">
        <v>45862</v>
      </c>
      <c r="C20" s="33">
        <v>883045782080</v>
      </c>
      <c r="D20" s="34">
        <v>576</v>
      </c>
      <c r="E20" s="9">
        <v>650</v>
      </c>
      <c r="F20" s="10">
        <f t="shared" si="2"/>
        <v>2768.5279999999998</v>
      </c>
      <c r="G20" s="3"/>
      <c r="H20" s="19">
        <f t="shared" ref="H20:H27" si="4">H19+F20</f>
        <v>6075.0639999999948</v>
      </c>
      <c r="I20" s="3" t="s">
        <v>13</v>
      </c>
    </row>
    <row r="21" spans="1:9" x14ac:dyDescent="0.3">
      <c r="A21">
        <v>17</v>
      </c>
      <c r="B21" s="2">
        <v>45868</v>
      </c>
      <c r="C21" s="33">
        <v>883181822799</v>
      </c>
      <c r="D21" s="34">
        <v>576</v>
      </c>
      <c r="E21" s="9">
        <v>650</v>
      </c>
      <c r="F21" s="10">
        <f t="shared" si="2"/>
        <v>2768.5279999999998</v>
      </c>
      <c r="H21" s="19">
        <f t="shared" si="4"/>
        <v>8843.5919999999951</v>
      </c>
      <c r="I21" s="3" t="s">
        <v>13</v>
      </c>
    </row>
    <row r="22" spans="1:9" x14ac:dyDescent="0.3">
      <c r="A22">
        <v>18</v>
      </c>
      <c r="B22" s="2">
        <v>45868</v>
      </c>
      <c r="C22" s="33">
        <v>883181219833</v>
      </c>
      <c r="D22" s="34">
        <v>576</v>
      </c>
      <c r="E22" s="9">
        <v>650</v>
      </c>
      <c r="F22" s="10">
        <f t="shared" si="2"/>
        <v>2768.5279999999998</v>
      </c>
      <c r="H22" s="19">
        <f t="shared" si="4"/>
        <v>11612.119999999995</v>
      </c>
      <c r="I22" s="3" t="s">
        <v>13</v>
      </c>
    </row>
    <row r="23" spans="1:9" x14ac:dyDescent="0.3">
      <c r="A23">
        <v>19</v>
      </c>
      <c r="B23" s="2">
        <v>45875</v>
      </c>
      <c r="C23" s="33">
        <v>883370027775</v>
      </c>
      <c r="D23" s="34">
        <v>400</v>
      </c>
      <c r="E23" s="9">
        <v>650</v>
      </c>
      <c r="F23" s="21">
        <f t="shared" si="2"/>
        <v>2121.1999999999998</v>
      </c>
      <c r="H23" s="19">
        <f t="shared" si="4"/>
        <v>13733.319999999996</v>
      </c>
      <c r="I23" s="3" t="s">
        <v>14</v>
      </c>
    </row>
    <row r="24" spans="1:9" x14ac:dyDescent="0.3">
      <c r="A24">
        <v>20</v>
      </c>
      <c r="B24" s="2">
        <v>45875</v>
      </c>
      <c r="C24" s="33">
        <v>883370708860</v>
      </c>
      <c r="D24" s="34">
        <v>576</v>
      </c>
      <c r="E24" s="9">
        <v>650</v>
      </c>
      <c r="F24" s="21">
        <f t="shared" si="2"/>
        <v>2768.5279999999998</v>
      </c>
      <c r="H24" s="19">
        <f t="shared" si="4"/>
        <v>16501.847999999994</v>
      </c>
      <c r="I24" s="3" t="s">
        <v>13</v>
      </c>
    </row>
    <row r="25" spans="1:9" x14ac:dyDescent="0.3">
      <c r="A25">
        <v>21</v>
      </c>
      <c r="B25" s="2">
        <v>45884</v>
      </c>
      <c r="C25" s="33">
        <v>883609061335</v>
      </c>
      <c r="D25" s="34">
        <v>360</v>
      </c>
      <c r="E25" s="9">
        <v>650</v>
      </c>
      <c r="F25" s="21">
        <f t="shared" si="2"/>
        <v>1974.08</v>
      </c>
      <c r="H25" s="19">
        <f t="shared" si="4"/>
        <v>18475.927999999993</v>
      </c>
      <c r="I25" s="3" t="s">
        <v>14</v>
      </c>
    </row>
    <row r="26" spans="1:9" x14ac:dyDescent="0.3">
      <c r="A26">
        <v>22</v>
      </c>
      <c r="B26" s="2">
        <v>45884</v>
      </c>
      <c r="C26" s="33">
        <v>883609383084</v>
      </c>
      <c r="D26" s="34">
        <v>360</v>
      </c>
      <c r="E26" s="9">
        <v>650</v>
      </c>
      <c r="F26" s="21">
        <f t="shared" si="2"/>
        <v>1974.08</v>
      </c>
      <c r="H26" s="19">
        <f t="shared" si="4"/>
        <v>20450.007999999994</v>
      </c>
      <c r="I26" s="3" t="s">
        <v>14</v>
      </c>
    </row>
    <row r="27" spans="1:9" x14ac:dyDescent="0.3">
      <c r="A27">
        <v>23</v>
      </c>
      <c r="B27" s="2">
        <v>45885</v>
      </c>
      <c r="C27" s="33">
        <v>883625023786</v>
      </c>
      <c r="D27" s="34">
        <v>576</v>
      </c>
      <c r="E27" s="9">
        <v>650</v>
      </c>
      <c r="F27" s="21">
        <f t="shared" si="2"/>
        <v>2768.5279999999998</v>
      </c>
      <c r="H27" s="19">
        <f t="shared" si="4"/>
        <v>23218.535999999993</v>
      </c>
      <c r="I27" s="3" t="s">
        <v>13</v>
      </c>
    </row>
    <row r="28" spans="1:9" x14ac:dyDescent="0.3">
      <c r="B28" s="2"/>
      <c r="C28" s="35" t="s">
        <v>19</v>
      </c>
      <c r="D28" s="35"/>
      <c r="E28" s="9"/>
      <c r="F28" s="21"/>
      <c r="G28" s="15">
        <v>23218.54</v>
      </c>
      <c r="H28" s="22">
        <f>H27-G28</f>
        <v>-4.0000000080908649E-3</v>
      </c>
    </row>
    <row r="29" spans="1:9" x14ac:dyDescent="0.3">
      <c r="A29">
        <v>1</v>
      </c>
      <c r="B29" s="2">
        <v>45891</v>
      </c>
      <c r="C29" s="33">
        <v>883788751040</v>
      </c>
      <c r="D29" s="34">
        <v>576</v>
      </c>
      <c r="E29" s="9">
        <v>650</v>
      </c>
      <c r="F29" s="21">
        <f t="shared" ref="F29:F34" si="5">D29*3.678+E29</f>
        <v>2768.5279999999998</v>
      </c>
      <c r="H29" s="24">
        <f>F29</f>
        <v>2768.5279999999998</v>
      </c>
      <c r="I29" t="s">
        <v>10</v>
      </c>
    </row>
    <row r="30" spans="1:9" x14ac:dyDescent="0.3">
      <c r="A30">
        <v>2</v>
      </c>
      <c r="B30" s="2">
        <v>45897</v>
      </c>
      <c r="C30" s="33">
        <v>883946231157</v>
      </c>
      <c r="D30" s="34">
        <v>350</v>
      </c>
      <c r="E30" s="23">
        <v>650</v>
      </c>
      <c r="F30" s="21">
        <f t="shared" si="5"/>
        <v>1937.3</v>
      </c>
      <c r="H30" s="24">
        <f>H29+F30</f>
        <v>4705.8279999999995</v>
      </c>
      <c r="I30" t="s">
        <v>8</v>
      </c>
    </row>
    <row r="31" spans="1:9" x14ac:dyDescent="0.3">
      <c r="A31">
        <v>3</v>
      </c>
      <c r="B31" s="2">
        <v>45898</v>
      </c>
      <c r="C31" s="33">
        <v>883961143478</v>
      </c>
      <c r="D31" s="34">
        <v>16.59</v>
      </c>
      <c r="E31" s="23">
        <v>0</v>
      </c>
      <c r="F31" s="21">
        <f t="shared" si="5"/>
        <v>61.01802</v>
      </c>
      <c r="H31" s="24">
        <f t="shared" ref="H31:H38" si="6">H30+F31</f>
        <v>4766.84602</v>
      </c>
      <c r="I31" t="s">
        <v>20</v>
      </c>
    </row>
    <row r="32" spans="1:9" x14ac:dyDescent="0.3">
      <c r="A32">
        <v>4</v>
      </c>
      <c r="B32" s="25">
        <v>45905</v>
      </c>
      <c r="C32" s="26">
        <v>884153427763</v>
      </c>
      <c r="D32" s="20">
        <v>0</v>
      </c>
      <c r="E32" s="27">
        <v>0</v>
      </c>
      <c r="F32" s="28">
        <f t="shared" si="5"/>
        <v>0</v>
      </c>
      <c r="G32" s="29"/>
      <c r="H32" s="30">
        <f t="shared" si="6"/>
        <v>4766.84602</v>
      </c>
      <c r="I32" t="s">
        <v>22</v>
      </c>
    </row>
    <row r="33" spans="1:9" x14ac:dyDescent="0.3">
      <c r="A33">
        <v>5</v>
      </c>
      <c r="B33" s="2">
        <v>45908</v>
      </c>
      <c r="C33" s="33">
        <v>884208471185</v>
      </c>
      <c r="D33" s="34">
        <v>360</v>
      </c>
      <c r="E33" s="23">
        <v>650</v>
      </c>
      <c r="F33" s="21">
        <f t="shared" si="5"/>
        <v>1974.08</v>
      </c>
      <c r="H33" s="24">
        <f t="shared" si="6"/>
        <v>6740.9260199999999</v>
      </c>
      <c r="I33" t="s">
        <v>8</v>
      </c>
    </row>
    <row r="34" spans="1:9" x14ac:dyDescent="0.3">
      <c r="A34">
        <v>6</v>
      </c>
      <c r="B34" s="2">
        <v>45908</v>
      </c>
      <c r="C34" s="33">
        <v>884208794942</v>
      </c>
      <c r="D34" s="34">
        <v>576</v>
      </c>
      <c r="E34" s="23">
        <v>650</v>
      </c>
      <c r="F34" s="21">
        <f t="shared" si="5"/>
        <v>2768.5279999999998</v>
      </c>
      <c r="H34" s="24">
        <f t="shared" si="6"/>
        <v>9509.4540199999992</v>
      </c>
      <c r="I34" t="s">
        <v>10</v>
      </c>
    </row>
    <row r="35" spans="1:9" x14ac:dyDescent="0.3">
      <c r="A35">
        <v>7</v>
      </c>
      <c r="B35" s="2">
        <v>45909</v>
      </c>
      <c r="C35" s="4">
        <v>884240212850</v>
      </c>
      <c r="D35" s="8"/>
      <c r="E35" s="23"/>
      <c r="F35" s="21">
        <f t="shared" ref="F35:F38" si="7">D35*3.678+E35</f>
        <v>0</v>
      </c>
      <c r="H35" s="24">
        <f t="shared" si="6"/>
        <v>9509.4540199999992</v>
      </c>
      <c r="I35" t="s">
        <v>8</v>
      </c>
    </row>
    <row r="36" spans="1:9" x14ac:dyDescent="0.3">
      <c r="A36">
        <v>8</v>
      </c>
      <c r="B36" s="2">
        <v>45910</v>
      </c>
      <c r="C36" s="4">
        <v>884247722815</v>
      </c>
      <c r="D36" s="8"/>
      <c r="E36" s="23"/>
      <c r="F36" s="21">
        <f t="shared" si="7"/>
        <v>0</v>
      </c>
      <c r="H36" s="24">
        <f t="shared" si="6"/>
        <v>9509.4540199999992</v>
      </c>
      <c r="I36" t="s">
        <v>10</v>
      </c>
    </row>
    <row r="37" spans="1:9" x14ac:dyDescent="0.3">
      <c r="A37">
        <v>9</v>
      </c>
      <c r="B37" s="2">
        <v>45912</v>
      </c>
      <c r="C37" s="33">
        <v>884337543305</v>
      </c>
      <c r="D37" s="34">
        <v>60</v>
      </c>
      <c r="E37" s="23">
        <v>0</v>
      </c>
      <c r="F37" s="21">
        <f t="shared" si="7"/>
        <v>220.68</v>
      </c>
      <c r="H37" s="24">
        <f t="shared" si="6"/>
        <v>9730.1340199999995</v>
      </c>
      <c r="I37" t="s">
        <v>21</v>
      </c>
    </row>
    <row r="38" spans="1:9" x14ac:dyDescent="0.3">
      <c r="A38">
        <v>10</v>
      </c>
      <c r="B38" s="2">
        <v>45916</v>
      </c>
      <c r="C38" s="4">
        <v>884423139238</v>
      </c>
      <c r="D38" s="8"/>
      <c r="E38" s="23"/>
      <c r="F38" s="21">
        <f t="shared" si="7"/>
        <v>0</v>
      </c>
      <c r="H38" s="24">
        <f t="shared" si="6"/>
        <v>9730.1340199999995</v>
      </c>
      <c r="I38" t="s">
        <v>8</v>
      </c>
    </row>
    <row r="39" spans="1:9" x14ac:dyDescent="0.3">
      <c r="B39" s="2"/>
      <c r="C39" s="4"/>
      <c r="D39" s="8"/>
      <c r="E39" s="23"/>
      <c r="F39" s="21"/>
    </row>
    <row r="40" spans="1:9" x14ac:dyDescent="0.3">
      <c r="B40" s="2"/>
      <c r="C40" s="6"/>
      <c r="D40" s="8"/>
      <c r="E40" s="5"/>
      <c r="F40" s="7">
        <f>SUM(F2:F38)</f>
        <v>59192.820019999999</v>
      </c>
      <c r="G40" s="7">
        <f>SUM(G2:G29)</f>
        <v>49462.69</v>
      </c>
      <c r="H40" s="7">
        <f>F40-G40</f>
        <v>9730.1300199999969</v>
      </c>
    </row>
    <row r="41" spans="1:9" x14ac:dyDescent="0.3">
      <c r="B41" s="2"/>
      <c r="D41" s="8"/>
      <c r="E41" s="6"/>
    </row>
    <row r="42" spans="1:9" x14ac:dyDescent="0.3">
      <c r="B42" s="2"/>
      <c r="D42" s="8"/>
    </row>
    <row r="43" spans="1:9" x14ac:dyDescent="0.3">
      <c r="D43" s="8"/>
    </row>
    <row r="44" spans="1:9" x14ac:dyDescent="0.3">
      <c r="D44" s="8"/>
    </row>
    <row r="45" spans="1:9" x14ac:dyDescent="0.3">
      <c r="D45" s="8"/>
    </row>
    <row r="46" spans="1:9" x14ac:dyDescent="0.3">
      <c r="D46" s="8"/>
    </row>
  </sheetData>
  <mergeCells count="3">
    <mergeCell ref="C6:D6"/>
    <mergeCell ref="C11:D11"/>
    <mergeCell ref="C28:D28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dell5300</cp:lastModifiedBy>
  <dcterms:created xsi:type="dcterms:W3CDTF">2025-08-10T13:24:28Z</dcterms:created>
  <dcterms:modified xsi:type="dcterms:W3CDTF">2025-10-03T17:10:51Z</dcterms:modified>
</cp:coreProperties>
</file>