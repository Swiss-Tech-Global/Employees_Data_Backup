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5300\Documents\Swiss Tech Files 2025\Ledgers 2025\Mudassir\Mudassir Ledgers\"/>
    </mc:Choice>
  </mc:AlternateContent>
  <xr:revisionPtr revIDLastSave="0" documentId="13_ncr:1_{6BCDBBAE-A5BF-4F27-95B4-958A30E193DA}" xr6:coauthVersionLast="47" xr6:coauthVersionMax="47" xr10:uidLastSave="{00000000-0000-0000-0000-000000000000}"/>
  <bookViews>
    <workbookView xWindow="-120" yWindow="-120" windowWidth="29040" windowHeight="15720" xr2:uid="{C376D8CD-7082-4B82-9A1A-E5C62D24D2C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2" i="2" l="1"/>
  <c r="D11" i="2"/>
  <c r="D3" i="2"/>
  <c r="D4" i="2"/>
  <c r="D5" i="2"/>
  <c r="D6" i="2"/>
  <c r="D7" i="2"/>
  <c r="D8" i="2"/>
  <c r="D9" i="2"/>
  <c r="D10" i="2"/>
  <c r="D2" i="2"/>
  <c r="D181" i="1"/>
  <c r="D179" i="1"/>
  <c r="D165" i="1" l="1"/>
  <c r="F25" i="1" l="1"/>
  <c r="F26" i="1"/>
  <c r="F27" i="1"/>
  <c r="F24" i="1"/>
  <c r="D145" i="1" l="1"/>
  <c r="D147" i="1" s="1"/>
  <c r="D90" i="1" l="1"/>
  <c r="D89" i="1"/>
  <c r="D88" i="1"/>
  <c r="D87" i="1"/>
  <c r="D86" i="1"/>
  <c r="D85" i="1"/>
  <c r="D84" i="1"/>
  <c r="D83" i="1"/>
  <c r="D82" i="1"/>
  <c r="D39" i="1"/>
  <c r="D74" i="1"/>
  <c r="D76" i="1" s="1"/>
  <c r="D95" i="1" l="1"/>
  <c r="D149" i="1" s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3" i="1"/>
</calcChain>
</file>

<file path=xl/sharedStrings.xml><?xml version="1.0" encoding="utf-8"?>
<sst xmlns="http://schemas.openxmlformats.org/spreadsheetml/2006/main" count="171" uniqueCount="145">
  <si>
    <t>Mudassir invoice</t>
  </si>
  <si>
    <t>invoice 1</t>
  </si>
  <si>
    <t>invoice 2</t>
  </si>
  <si>
    <t>invoice 3</t>
  </si>
  <si>
    <t xml:space="preserve">Rates </t>
  </si>
  <si>
    <t>Purchased by Swisstech</t>
  </si>
  <si>
    <t>invoice 4</t>
  </si>
  <si>
    <t>invoice 5</t>
  </si>
  <si>
    <t>invoice 6</t>
  </si>
  <si>
    <t>invoice 7</t>
  </si>
  <si>
    <t>invoice 8</t>
  </si>
  <si>
    <t>invoice 9</t>
  </si>
  <si>
    <t>invoice 10</t>
  </si>
  <si>
    <t>invoice 11</t>
  </si>
  <si>
    <t>invoice 12</t>
  </si>
  <si>
    <t>invoice 13</t>
  </si>
  <si>
    <t>invoice 14</t>
  </si>
  <si>
    <t>invoice 15</t>
  </si>
  <si>
    <t>invoice 16</t>
  </si>
  <si>
    <t>invoice 17</t>
  </si>
  <si>
    <t>invoice 18</t>
  </si>
  <si>
    <t>invoice 19</t>
  </si>
  <si>
    <t>invoice 20</t>
  </si>
  <si>
    <t>invoice 21</t>
  </si>
  <si>
    <t>Difference</t>
  </si>
  <si>
    <t>Date</t>
  </si>
  <si>
    <t>Description</t>
  </si>
  <si>
    <t>Amount</t>
  </si>
  <si>
    <t>{ 1 lakh paid to Mudassir @79.60 from AB MZN }</t>
  </si>
  <si>
    <t>{ 238k @79.60 to Muadassir from Abubaker Meezan }</t>
  </si>
  <si>
    <t>{ 94k PKR @79.60 to Mudassir from Abubaker MZN }</t>
  </si>
  <si>
    <t>{ 2 lakh @79.60 from Haseeb to Mudassir }</t>
  </si>
  <si>
    <t>{ 237500 @79.60 from Shahnawaz to Mudassir }</t>
  </si>
  <si>
    <t>{ 214k @79.60 from Haseeb to Mudassir }</t>
  </si>
  <si>
    <t>{ 1 lakh @79.60 from Abubaker to Mudassir }</t>
  </si>
  <si>
    <t>{ 300k @80.5 from AB MZN }</t>
  </si>
  <si>
    <t>{ 300k @79.5 from sumair to mudassir }</t>
  </si>
  <si>
    <t>{ 500k @79.5 to mudassir from AB MZN }</t>
  </si>
  <si>
    <t>{ 250k @79.5 to mudassir from AB MZN }</t>
  </si>
  <si>
    <t>{ 100k @80.5 from AR }</t>
  </si>
  <si>
    <t>{ 25k @79.5 to mudassir from AB MZN }</t>
  </si>
  <si>
    <t>{ 200k @79.5 to mudassir from AB MZN }</t>
  </si>
  <si>
    <t>{ 264k @79.5 from mota bhai to mudassir }</t>
  </si>
  <si>
    <t>{ 100k @79.5 from Z,fariya to mudassir }</t>
  </si>
  <si>
    <t>{ 300k @79.5 from Z,Fariya to Mudassir }</t>
  </si>
  <si>
    <t>{ 132.6k pkr @79.5 to mudassir }</t>
  </si>
  <si>
    <t>{ 128k @79.5 from Z,fariya to mudassir }</t>
  </si>
  <si>
    <t>{ 200k @79.5 from Z,Fariya to Mudassir }</t>
  </si>
  <si>
    <t>{ 161.5k @79.5 from Z,fariya to mudassir }</t>
  </si>
  <si>
    <t>{ 175k @79.5 from customer to mudassir }</t>
  </si>
  <si>
    <t>{ 58k @79.5 from customer to mudassir }</t>
  </si>
  <si>
    <t>{ 150k @79.5 from Z,fariya to mudassir }</t>
  </si>
  <si>
    <t>{ 218.4k @79.5 from sumair to mudassir }</t>
  </si>
  <si>
    <t>{ 23.6k @79.5 from sumair to mudassir }</t>
  </si>
  <si>
    <t>Paid online via Abu Bakar (2578500)@79.40</t>
  </si>
  <si>
    <t>paid online via Abu bakar (1361100) @79.60</t>
  </si>
  <si>
    <t>Paid online via Abu Bakar (426400)@79.70</t>
  </si>
  <si>
    <t>Total</t>
  </si>
  <si>
    <t>PKR Payments Paid by Swiss Tech</t>
  </si>
  <si>
    <t>PKR Payments Received By Mudassir</t>
  </si>
  <si>
    <t>882190243917 (386$ @3.678)</t>
  </si>
  <si>
    <t>882247971323 (525$ @3.678)</t>
  </si>
  <si>
    <t>882279322688 (507$ @3.678)</t>
  </si>
  <si>
    <t>Clearing Charges 3 x 650 AED</t>
  </si>
  <si>
    <t>882482082780 (39$ @3.678) usa to usa</t>
  </si>
  <si>
    <t>882482082780(500$ @3.678)</t>
  </si>
  <si>
    <t>882523663746(500$ @3.678)</t>
  </si>
  <si>
    <t>882514974053(350$ @3.678)</t>
  </si>
  <si>
    <t>fedex lablel payment</t>
  </si>
  <si>
    <t>fedex lablel payment (Till 17/8/2025)</t>
  </si>
  <si>
    <t>{ SHP label 2780 paid by A Majid 39 USD @3.678 }</t>
  </si>
  <si>
    <t>{ SHP label 3917 paid by A Majid 386 USD @3.678 }</t>
  </si>
  <si>
    <t>{ SHP label 1323 paid by A Majid 525 USD @3.678 }</t>
  </si>
  <si>
    <t>{ SHP label 3668 paid by A Majid 507 USD @3.678 }</t>
  </si>
  <si>
    <t>{ Fadex 882514785114 553US$ @3.61 }</t>
  </si>
  <si>
    <t>{ Fadex 882514794042 575US$ @3.61 }</t>
  </si>
  <si>
    <t>{ clearing Charges to Turbo @650 AED x 3 }</t>
  </si>
  <si>
    <t>{ Fadex 882576156598 400US$ @3.61 }</t>
  </si>
  <si>
    <t>{ paid to express for USA Mudassir shipment }</t>
  </si>
  <si>
    <t>{ for Mudassir USA shipment to express }</t>
  </si>
  <si>
    <t>{ paid to express for Mudassir shipment }</t>
  </si>
  <si>
    <t>{ shipment label 882482082780(500$ @3.678) }</t>
  </si>
  <si>
    <t>{ shipment label 882514974053(350$ @3.678) }</t>
  </si>
  <si>
    <t>{ Fadex 882884547421 576US$ @3.61 }</t>
  </si>
  <si>
    <t>{ Mudassir shipment express cargo }</t>
  </si>
  <si>
    <t>{ paid to express Mudassir shipment payment }</t>
  </si>
  <si>
    <t>{ 650 paid Mudassir shipment to express }</t>
  </si>
  <si>
    <t>{ paid to express Mudassir 2 shipments }</t>
  </si>
  <si>
    <t>{ Paid to express Mudassir charges 650 }</t>
  </si>
  <si>
    <t>{ paid Mudassir shipment express charges }</t>
  </si>
  <si>
    <t>{ 2 shipment charges mudassir }</t>
  </si>
  <si>
    <t>{ express paid Mudassir shipment }</t>
  </si>
  <si>
    <t>{ 400usd @3.61 fadex label 882583663746 }</t>
  </si>
  <si>
    <t>{ 576 usd @3.61 fadex label 882762916529 }</t>
  </si>
  <si>
    <t>{ 400 usd @3.61 fadex label 882778083163 }</t>
  </si>
  <si>
    <t>{ 576 usd @3.61 fadex label 882857263746 }</t>
  </si>
  <si>
    <t>400 usd @3.61 fadex label 883043369848 }</t>
  </si>
  <si>
    <t>{ Paid to express 883370027775</t>
  </si>
  <si>
    <t>{ Mudassir previous shipment }</t>
  </si>
  <si>
    <t>{ 883044458379 400$ @3.678 fedex label }</t>
  </si>
  <si>
    <t>{ 883045782080 576$ @3.678 fedex label }</t>
  </si>
  <si>
    <t>{ 883181822799 576$ @3.678 fedex label }</t>
  </si>
  <si>
    <t>883181219833 576$ @3.678 fedex label }</t>
  </si>
  <si>
    <t>{ 883370027775 400$ @3.678 fedex label }</t>
  </si>
  <si>
    <t>{ 883370708860 576$ @3.678 fedex label }</t>
  </si>
  <si>
    <t>{ 883609061335 360$ @3.678 fedex label }</t>
  </si>
  <si>
    <t>{ 883609383084 360$ @3.678 fedex label }</t>
  </si>
  <si>
    <t>{ 883625023786 576$ @3.678 fedex label }</t>
  </si>
  <si>
    <t>{ 883788751040 576$ @3.678 fedex label }</t>
  </si>
  <si>
    <t>{ 883946231157 350$ @3.678 fedex label }</t>
  </si>
  <si>
    <t>{ 883961143478 16.59$ @3.678 fedex label }</t>
  </si>
  <si>
    <t>{ 884208471185 360$ @3.678 fedex label }</t>
  </si>
  <si>
    <t>{ 884208794942 576$ @3.678 fedex label }</t>
  </si>
  <si>
    <t>{ 884337543305 60$ @3.678 fedex label }</t>
  </si>
  <si>
    <t>Labels Amount Received By Mudassir</t>
  </si>
  <si>
    <t>Labels Paid By Swiss Tech</t>
  </si>
  <si>
    <t>650*5</t>
  </si>
  <si>
    <t>conversion</t>
  </si>
  <si>
    <t>invoice 22</t>
  </si>
  <si>
    <t>invoice 23</t>
  </si>
  <si>
    <t>invoice 24</t>
  </si>
  <si>
    <t>invoice 25</t>
  </si>
  <si>
    <t>Payments Not Received By Mudassir</t>
  </si>
  <si>
    <t>done</t>
  </si>
  <si>
    <t>received</t>
  </si>
  <si>
    <t>16 pro 128gb return</t>
  </si>
  <si>
    <t>mudassir balance</t>
  </si>
  <si>
    <t>subtract swisstech balance 4-oct-25</t>
  </si>
  <si>
    <t xml:space="preserve">iphone 16 pro return </t>
  </si>
  <si>
    <t>invoice 23 not purchased and not received</t>
  </si>
  <si>
    <t>228500@79.5 to be refund</t>
  </si>
  <si>
    <t xml:space="preserve">Total </t>
  </si>
  <si>
    <t>Mudassir Ledger</t>
  </si>
  <si>
    <t>Swisstech Ledger</t>
  </si>
  <si>
    <t>Invoice 41</t>
  </si>
  <si>
    <t>Invoice 42</t>
  </si>
  <si>
    <t>Invoice 43</t>
  </si>
  <si>
    <t>Invoice 44</t>
  </si>
  <si>
    <t>Invoice 45</t>
  </si>
  <si>
    <t>Invoice 46</t>
  </si>
  <si>
    <t>Invoice 47</t>
  </si>
  <si>
    <t>Macbook invoice</t>
  </si>
  <si>
    <t>Invoice 48</t>
  </si>
  <si>
    <t>invoice 49</t>
  </si>
  <si>
    <t>Invoice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</si>
</sst>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AED&quot;* #,##0.00_-;\-&quot;AED&quot;* #,##0.00_-;_-&quot;AED&quot;* &quot;-&quot;??_-;_-@_-"/>
    <numFmt numFmtId="164" formatCode="_([$AED]\ * #,##0.00_);_([$AED]\ * \(#,##0.00\);_([$AED]\ * &quot;-&quot;??_);_(@_)"/>
    <numFmt numFmtId="165" formatCode="[$-409]d\-mmm\-yy;@"/>
    <numFmt numFmtId="166" formatCode="_-[$AED]\ * #,##0.00_-;\-[$AED]\ * #,##0.00_-;_-[$AED]\ * &quot;-&quot;??_-;_-@_-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Eras Demi ITC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0" fontId="9" fillId="0" borderId="0" applyNumberFormat="0" applyFill="0" applyBorder="0" applyAlignment="0" applyProtection="0"/>
  </cellStyleXfs>
  <cellXfs count="46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5" fontId="4" fillId="2" borderId="1" xfId="0" applyNumberFormat="1" applyFont="1" applyFill="1" applyBorder="1"/>
    <xf numFmtId="0" fontId="4" fillId="2" borderId="1" xfId="0" applyFont="1" applyFill="1" applyBorder="1"/>
    <xf numFmtId="164" fontId="4" fillId="2" borderId="1" xfId="0" applyNumberFormat="1" applyFont="1" applyFill="1" applyBorder="1"/>
    <xf numFmtId="164" fontId="3" fillId="0" borderId="1" xfId="0" applyNumberFormat="1" applyFont="1" applyBorder="1" applyAlignment="1">
      <alignment horizontal="center"/>
    </xf>
    <xf numFmtId="0" fontId="5" fillId="0" borderId="0" xfId="0" applyFont="1"/>
    <xf numFmtId="164" fontId="4" fillId="0" borderId="0" xfId="0" applyNumberFormat="1" applyFont="1"/>
    <xf numFmtId="0" fontId="2" fillId="0" borderId="1" xfId="0" applyFont="1" applyBorder="1" applyAlignment="1">
      <alignment horizontal="center"/>
    </xf>
    <xf numFmtId="15" fontId="0" fillId="0" borderId="1" xfId="0" applyNumberFormat="1" applyBorder="1"/>
    <xf numFmtId="14" fontId="0" fillId="0" borderId="1" xfId="0" applyNumberFormat="1" applyBorder="1"/>
    <xf numFmtId="0" fontId="3" fillId="0" borderId="1" xfId="0" applyFont="1" applyBorder="1"/>
    <xf numFmtId="0" fontId="6" fillId="0" borderId="0" xfId="0" applyFont="1" applyAlignment="1">
      <alignment horizontal="center"/>
    </xf>
    <xf numFmtId="166" fontId="7" fillId="2" borderId="0" xfId="0" applyNumberFormat="1" applyFont="1" applyFill="1" applyAlignment="1">
      <alignment horizontal="center"/>
    </xf>
    <xf numFmtId="165" fontId="4" fillId="3" borderId="1" xfId="0" applyNumberFormat="1" applyFont="1" applyFill="1" applyBorder="1"/>
    <xf numFmtId="1" fontId="4" fillId="3" borderId="1" xfId="0" applyNumberFormat="1" applyFont="1" applyFill="1" applyBorder="1"/>
    <xf numFmtId="0" fontId="4" fillId="3" borderId="1" xfId="0" applyFont="1" applyFill="1" applyBorder="1"/>
    <xf numFmtId="0" fontId="0" fillId="4" borderId="1" xfId="0" applyFill="1" applyBorder="1"/>
    <xf numFmtId="44" fontId="0" fillId="0" borderId="1" xfId="0" applyNumberFormat="1" applyBorder="1" applyAlignment="1">
      <alignment horizontal="center"/>
    </xf>
    <xf numFmtId="14" fontId="0" fillId="4" borderId="1" xfId="0" applyNumberFormat="1" applyFill="1" applyBorder="1"/>
    <xf numFmtId="44" fontId="0" fillId="4" borderId="1" xfId="0" applyNumberFormat="1" applyFill="1" applyBorder="1" applyAlignment="1">
      <alignment horizontal="center"/>
    </xf>
    <xf numFmtId="44" fontId="3" fillId="0" borderId="1" xfId="0" applyNumberFormat="1" applyFont="1" applyBorder="1" applyAlignment="1">
      <alignment horizontal="center"/>
    </xf>
    <xf numFmtId="44" fontId="4" fillId="3" borderId="1" xfId="0" applyNumberFormat="1" applyFont="1" applyFill="1" applyBorder="1"/>
    <xf numFmtId="44" fontId="3" fillId="4" borderId="1" xfId="0" applyNumberFormat="1" applyFont="1" applyFill="1" applyBorder="1" applyAlignment="1">
      <alignment horizontal="center"/>
    </xf>
    <xf numFmtId="14" fontId="0" fillId="5" borderId="1" xfId="0" applyNumberFormat="1" applyFill="1" applyBorder="1"/>
    <xf numFmtId="0" fontId="0" fillId="5" borderId="1" xfId="0" applyFill="1" applyBorder="1"/>
    <xf numFmtId="44" fontId="0" fillId="5" borderId="1" xfId="0" applyNumberFormat="1" applyFill="1" applyBorder="1"/>
    <xf numFmtId="44" fontId="0" fillId="5" borderId="1" xfId="0" applyNumberFormat="1" applyFill="1" applyBorder="1" applyAlignment="1">
      <alignment horizontal="center"/>
    </xf>
    <xf numFmtId="166" fontId="5" fillId="3" borderId="0" xfId="0" applyNumberFormat="1" applyFont="1" applyFill="1" applyAlignment="1">
      <alignment horizontal="center"/>
    </xf>
    <xf numFmtId="0" fontId="5" fillId="0" borderId="0" xfId="0" applyFont="1" applyAlignment="1">
      <alignment horizontal="center"/>
    </xf>
    <xf numFmtId="0" fontId="0" fillId="2" borderId="1" xfId="0" applyFill="1" applyBorder="1"/>
    <xf numFmtId="0" fontId="3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/>
    <xf numFmtId="0" fontId="3" fillId="0" borderId="0" xfId="0" applyFont="1"/>
    <xf numFmtId="1" fontId="0" fillId="7" borderId="0" xfId="0" applyNumberFormat="1" applyFill="1" applyAlignment="1">
      <alignment horizontal="center"/>
    </xf>
    <xf numFmtId="1" fontId="8" fillId="7" borderId="0" xfId="1" applyNumberFormat="1" applyFill="1" applyAlignment="1">
      <alignment horizontal="center"/>
    </xf>
    <xf numFmtId="0" fontId="9" fillId="0" borderId="0" xfId="2" applyAlignment="1">
      <alignment horizontal="center"/>
    </xf>
    <xf numFmtId="0" fontId="5" fillId="4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3">
    <cellStyle name="Hyperlink" xfId="2" builtinId="8"/>
    <cellStyle name="Normal" xfId="0" builtinId="0"/>
    <cellStyle name="Normal 2" xfId="1" xr:uid="{464082AA-65C9-400F-BA85-84BA059EC6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228500@79.5%20to%20be%20re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1D553-6DB7-4120-ABD4-686D001DEEF7}">
  <dimension ref="B2:H184"/>
  <sheetViews>
    <sheetView tabSelected="1" topLeftCell="A8" zoomScale="110" zoomScaleNormal="110" workbookViewId="0">
      <selection activeCell="F24" sqref="F24"/>
    </sheetView>
  </sheetViews>
  <sheetFormatPr defaultRowHeight="15" x14ac:dyDescent="0.25"/>
  <cols>
    <col min="2" max="2" width="20.42578125" customWidth="1"/>
    <col min="3" max="3" width="44.5703125" style="2" customWidth="1"/>
    <col min="4" max="4" width="21.28515625" style="2" customWidth="1"/>
    <col min="5" max="5" width="22.28515625" style="2" customWidth="1"/>
    <col min="6" max="6" width="16.85546875" customWidth="1"/>
    <col min="7" max="7" width="21.7109375" customWidth="1"/>
    <col min="9" max="9" width="12.5703125" customWidth="1"/>
    <col min="10" max="10" width="45.7109375" customWidth="1"/>
    <col min="11" max="11" width="16.5703125" customWidth="1"/>
  </cols>
  <sheetData>
    <row r="2" spans="3:8" ht="15.75" x14ac:dyDescent="0.25">
      <c r="C2" s="1" t="s">
        <v>0</v>
      </c>
      <c r="D2" s="1" t="s">
        <v>4</v>
      </c>
      <c r="E2" s="1" t="s">
        <v>5</v>
      </c>
      <c r="F2" s="1" t="s">
        <v>24</v>
      </c>
    </row>
    <row r="3" spans="3:8" x14ac:dyDescent="0.25">
      <c r="C3" s="2" t="s">
        <v>1</v>
      </c>
      <c r="D3" s="2">
        <v>141530</v>
      </c>
      <c r="E3" s="2">
        <v>141530</v>
      </c>
      <c r="F3">
        <f>D3-E3</f>
        <v>0</v>
      </c>
    </row>
    <row r="4" spans="3:8" x14ac:dyDescent="0.25">
      <c r="C4" s="2" t="s">
        <v>2</v>
      </c>
      <c r="D4" s="2">
        <v>117290</v>
      </c>
      <c r="E4" s="2">
        <v>117290</v>
      </c>
      <c r="F4">
        <f t="shared" ref="F4:F27" si="0">D4-E4</f>
        <v>0</v>
      </c>
    </row>
    <row r="5" spans="3:8" x14ac:dyDescent="0.25">
      <c r="C5" s="35" t="s">
        <v>3</v>
      </c>
      <c r="D5" s="35">
        <v>228660</v>
      </c>
      <c r="E5" s="35">
        <v>222670</v>
      </c>
      <c r="F5" s="36">
        <f t="shared" si="0"/>
        <v>5990</v>
      </c>
      <c r="G5" s="36" t="s">
        <v>124</v>
      </c>
      <c r="H5" s="36"/>
    </row>
    <row r="6" spans="3:8" x14ac:dyDescent="0.25">
      <c r="C6" s="2" t="s">
        <v>6</v>
      </c>
      <c r="D6" s="2">
        <v>155410</v>
      </c>
      <c r="E6" s="2">
        <v>155350</v>
      </c>
      <c r="F6">
        <f t="shared" si="0"/>
        <v>60</v>
      </c>
    </row>
    <row r="7" spans="3:8" x14ac:dyDescent="0.25">
      <c r="C7" s="2" t="s">
        <v>7</v>
      </c>
      <c r="D7" s="2">
        <v>113640</v>
      </c>
      <c r="E7" s="2">
        <v>113640</v>
      </c>
      <c r="F7">
        <f t="shared" si="0"/>
        <v>0</v>
      </c>
    </row>
    <row r="8" spans="3:8" x14ac:dyDescent="0.25">
      <c r="C8" s="2" t="s">
        <v>8</v>
      </c>
      <c r="D8" s="2">
        <v>30750</v>
      </c>
      <c r="E8" s="2">
        <v>30750</v>
      </c>
      <c r="F8">
        <f t="shared" si="0"/>
        <v>0</v>
      </c>
    </row>
    <row r="9" spans="3:8" x14ac:dyDescent="0.25">
      <c r="C9" s="2" t="s">
        <v>9</v>
      </c>
      <c r="D9" s="2">
        <v>130820</v>
      </c>
      <c r="E9" s="2">
        <v>130820</v>
      </c>
      <c r="F9">
        <f t="shared" si="0"/>
        <v>0</v>
      </c>
    </row>
    <row r="10" spans="3:8" x14ac:dyDescent="0.25">
      <c r="C10" s="2" t="s">
        <v>10</v>
      </c>
      <c r="D10" s="2">
        <v>77890</v>
      </c>
      <c r="E10" s="2">
        <v>77770</v>
      </c>
      <c r="F10">
        <f t="shared" si="0"/>
        <v>120</v>
      </c>
    </row>
    <row r="11" spans="3:8" x14ac:dyDescent="0.25">
      <c r="C11" s="2" t="s">
        <v>11</v>
      </c>
      <c r="D11" s="2">
        <v>72940</v>
      </c>
      <c r="E11" s="2">
        <v>72840</v>
      </c>
      <c r="F11">
        <f t="shared" si="0"/>
        <v>100</v>
      </c>
    </row>
    <row r="12" spans="3:8" x14ac:dyDescent="0.25">
      <c r="C12" s="2" t="s">
        <v>12</v>
      </c>
      <c r="D12" s="2">
        <v>140580</v>
      </c>
      <c r="E12" s="2">
        <v>140580</v>
      </c>
      <c r="F12">
        <f t="shared" si="0"/>
        <v>0</v>
      </c>
    </row>
    <row r="13" spans="3:8" x14ac:dyDescent="0.25">
      <c r="C13" s="2" t="s">
        <v>13</v>
      </c>
      <c r="D13" s="2">
        <v>61670</v>
      </c>
      <c r="E13" s="2">
        <v>61670</v>
      </c>
      <c r="F13">
        <f t="shared" si="0"/>
        <v>0</v>
      </c>
    </row>
    <row r="14" spans="3:8" x14ac:dyDescent="0.25">
      <c r="C14" s="2" t="s">
        <v>14</v>
      </c>
      <c r="D14" s="2">
        <v>114190</v>
      </c>
      <c r="E14" s="2">
        <v>114190</v>
      </c>
      <c r="F14">
        <f t="shared" si="0"/>
        <v>0</v>
      </c>
    </row>
    <row r="15" spans="3:8" x14ac:dyDescent="0.25">
      <c r="C15" s="2" t="s">
        <v>15</v>
      </c>
      <c r="D15" s="2">
        <v>130800</v>
      </c>
      <c r="E15" s="2">
        <v>130590</v>
      </c>
      <c r="F15">
        <f t="shared" si="0"/>
        <v>210</v>
      </c>
    </row>
    <row r="16" spans="3:8" x14ac:dyDescent="0.25">
      <c r="C16" s="2" t="s">
        <v>16</v>
      </c>
      <c r="D16" s="2">
        <v>119900</v>
      </c>
      <c r="E16" s="2">
        <v>120770</v>
      </c>
      <c r="F16">
        <f t="shared" si="0"/>
        <v>-870</v>
      </c>
    </row>
    <row r="17" spans="3:7" x14ac:dyDescent="0.25">
      <c r="C17" s="2" t="s">
        <v>17</v>
      </c>
      <c r="D17" s="2">
        <v>66000</v>
      </c>
      <c r="E17" s="2">
        <v>66050</v>
      </c>
      <c r="F17">
        <f t="shared" si="0"/>
        <v>-50</v>
      </c>
    </row>
    <row r="18" spans="3:7" x14ac:dyDescent="0.25">
      <c r="C18" s="2" t="s">
        <v>18</v>
      </c>
      <c r="D18" s="2">
        <v>132145</v>
      </c>
      <c r="E18" s="2">
        <v>132245</v>
      </c>
      <c r="F18">
        <f t="shared" si="0"/>
        <v>-100</v>
      </c>
    </row>
    <row r="19" spans="3:7" x14ac:dyDescent="0.25">
      <c r="C19" s="2" t="s">
        <v>19</v>
      </c>
      <c r="D19" s="2">
        <v>52250</v>
      </c>
      <c r="E19" s="2">
        <v>52250</v>
      </c>
      <c r="F19">
        <f t="shared" si="0"/>
        <v>0</v>
      </c>
    </row>
    <row r="20" spans="3:7" x14ac:dyDescent="0.25">
      <c r="C20" s="2" t="s">
        <v>20</v>
      </c>
      <c r="D20" s="2">
        <v>43235</v>
      </c>
      <c r="E20" s="2">
        <v>43235</v>
      </c>
      <c r="F20">
        <f t="shared" si="0"/>
        <v>0</v>
      </c>
    </row>
    <row r="21" spans="3:7" x14ac:dyDescent="0.25">
      <c r="C21" s="2" t="s">
        <v>21</v>
      </c>
      <c r="D21" s="2">
        <v>81140</v>
      </c>
      <c r="E21" s="2">
        <v>81140</v>
      </c>
      <c r="F21">
        <f t="shared" si="0"/>
        <v>0</v>
      </c>
    </row>
    <row r="22" spans="3:7" x14ac:dyDescent="0.25">
      <c r="C22" s="2" t="s">
        <v>22</v>
      </c>
      <c r="D22" s="2">
        <v>58200</v>
      </c>
      <c r="E22" s="2">
        <v>58560</v>
      </c>
      <c r="F22">
        <f t="shared" si="0"/>
        <v>-360</v>
      </c>
    </row>
    <row r="23" spans="3:7" x14ac:dyDescent="0.25">
      <c r="C23" s="2" t="s">
        <v>23</v>
      </c>
      <c r="D23" s="2">
        <v>90460</v>
      </c>
      <c r="E23" s="2">
        <v>90510</v>
      </c>
      <c r="F23">
        <f t="shared" si="0"/>
        <v>-50</v>
      </c>
    </row>
    <row r="24" spans="3:7" x14ac:dyDescent="0.25">
      <c r="C24" s="2" t="s">
        <v>118</v>
      </c>
      <c r="D24" s="2">
        <v>79430</v>
      </c>
      <c r="E24" s="2">
        <v>79230</v>
      </c>
      <c r="F24">
        <f t="shared" si="0"/>
        <v>200</v>
      </c>
    </row>
    <row r="25" spans="3:7" x14ac:dyDescent="0.25">
      <c r="C25" s="2" t="s">
        <v>119</v>
      </c>
      <c r="D25" s="2">
        <v>50500</v>
      </c>
      <c r="E25" s="2">
        <v>50500</v>
      </c>
      <c r="F25">
        <f t="shared" si="0"/>
        <v>0</v>
      </c>
    </row>
    <row r="26" spans="3:7" x14ac:dyDescent="0.25">
      <c r="C26" s="2" t="s">
        <v>120</v>
      </c>
      <c r="D26" s="2">
        <v>74400</v>
      </c>
      <c r="E26" s="2">
        <v>72270</v>
      </c>
      <c r="F26">
        <f t="shared" si="0"/>
        <v>2130</v>
      </c>
      <c r="G26" t="s">
        <v>125</v>
      </c>
    </row>
    <row r="27" spans="3:7" x14ac:dyDescent="0.25">
      <c r="C27" s="2" t="s">
        <v>121</v>
      </c>
      <c r="D27" s="2">
        <v>116430</v>
      </c>
      <c r="E27" s="2">
        <v>116430</v>
      </c>
      <c r="F27">
        <f t="shared" si="0"/>
        <v>0</v>
      </c>
    </row>
    <row r="34" spans="2:6" ht="18.75" x14ac:dyDescent="0.3">
      <c r="B34" s="43" t="s">
        <v>59</v>
      </c>
      <c r="C34" s="43"/>
      <c r="D34" s="43"/>
      <c r="E34" s="9"/>
      <c r="F34" s="9"/>
    </row>
    <row r="35" spans="2:6" x14ac:dyDescent="0.25">
      <c r="B35" s="5">
        <v>45884</v>
      </c>
      <c r="C35" s="6" t="s">
        <v>54</v>
      </c>
      <c r="D35" s="7">
        <v>32474.811083123423</v>
      </c>
      <c r="F35" s="10"/>
    </row>
    <row r="36" spans="2:6" x14ac:dyDescent="0.25">
      <c r="B36" s="5">
        <v>45899</v>
      </c>
      <c r="C36" s="6" t="s">
        <v>55</v>
      </c>
      <c r="D36" s="7">
        <v>17099.246231155779</v>
      </c>
      <c r="F36" s="10"/>
    </row>
    <row r="37" spans="2:6" x14ac:dyDescent="0.25">
      <c r="B37" s="5">
        <v>45899</v>
      </c>
      <c r="C37" s="6" t="s">
        <v>56</v>
      </c>
      <c r="D37" s="7">
        <v>5336.6708385481852</v>
      </c>
      <c r="F37" s="10"/>
    </row>
    <row r="38" spans="2:6" x14ac:dyDescent="0.25">
      <c r="B38" s="3"/>
      <c r="C38" s="4"/>
      <c r="D38" s="4"/>
    </row>
    <row r="39" spans="2:6" x14ac:dyDescent="0.25">
      <c r="B39" s="3"/>
      <c r="C39" s="4" t="s">
        <v>57</v>
      </c>
      <c r="D39" s="8">
        <f>SUM(D35:D38)</f>
        <v>54910.728152827382</v>
      </c>
    </row>
    <row r="41" spans="2:6" ht="18.75" x14ac:dyDescent="0.3">
      <c r="B41" s="43" t="s">
        <v>58</v>
      </c>
      <c r="C41" s="43"/>
      <c r="D41" s="43"/>
    </row>
    <row r="42" spans="2:6" ht="15.75" x14ac:dyDescent="0.25">
      <c r="B42" s="11" t="s">
        <v>25</v>
      </c>
      <c r="C42" s="11" t="s">
        <v>26</v>
      </c>
      <c r="D42" s="11" t="s">
        <v>27</v>
      </c>
    </row>
    <row r="43" spans="2:6" x14ac:dyDescent="0.25">
      <c r="B43" s="12"/>
      <c r="C43" s="3"/>
      <c r="D43" s="3"/>
    </row>
    <row r="44" spans="2:6" x14ac:dyDescent="0.25">
      <c r="B44" s="13">
        <v>45867</v>
      </c>
      <c r="C44" s="20" t="s">
        <v>28</v>
      </c>
      <c r="D44" s="3">
        <v>1256</v>
      </c>
    </row>
    <row r="45" spans="2:6" x14ac:dyDescent="0.25">
      <c r="B45" s="13">
        <v>45867</v>
      </c>
      <c r="C45" s="20" t="s">
        <v>29</v>
      </c>
      <c r="D45" s="3">
        <v>2990</v>
      </c>
    </row>
    <row r="46" spans="2:6" x14ac:dyDescent="0.25">
      <c r="B46" s="13">
        <v>45868</v>
      </c>
      <c r="C46" s="20" t="s">
        <v>30</v>
      </c>
      <c r="D46" s="3">
        <v>1181</v>
      </c>
    </row>
    <row r="47" spans="2:6" x14ac:dyDescent="0.25">
      <c r="B47" s="13">
        <v>45868</v>
      </c>
      <c r="C47" s="20" t="s">
        <v>31</v>
      </c>
      <c r="D47" s="3">
        <v>2513</v>
      </c>
    </row>
    <row r="48" spans="2:6" x14ac:dyDescent="0.25">
      <c r="B48" s="13">
        <v>45869</v>
      </c>
      <c r="C48" s="20" t="s">
        <v>32</v>
      </c>
      <c r="D48" s="3">
        <v>2984</v>
      </c>
    </row>
    <row r="49" spans="2:4" x14ac:dyDescent="0.25">
      <c r="B49" s="13">
        <v>45870</v>
      </c>
      <c r="C49" s="20" t="s">
        <v>33</v>
      </c>
      <c r="D49" s="3">
        <v>2688</v>
      </c>
    </row>
    <row r="50" spans="2:4" x14ac:dyDescent="0.25">
      <c r="B50" s="13">
        <v>45870</v>
      </c>
      <c r="C50" s="20" t="s">
        <v>34</v>
      </c>
      <c r="D50" s="3">
        <v>1256</v>
      </c>
    </row>
    <row r="51" spans="2:4" x14ac:dyDescent="0.25">
      <c r="B51" s="13">
        <v>45882</v>
      </c>
      <c r="C51" s="20" t="s">
        <v>35</v>
      </c>
      <c r="D51" s="3">
        <v>3727</v>
      </c>
    </row>
    <row r="52" spans="2:4" x14ac:dyDescent="0.25">
      <c r="B52" s="13">
        <v>45882</v>
      </c>
      <c r="C52" s="20" t="s">
        <v>36</v>
      </c>
      <c r="D52" s="3">
        <v>3774</v>
      </c>
    </row>
    <row r="53" spans="2:4" x14ac:dyDescent="0.25">
      <c r="B53" s="13">
        <v>45883</v>
      </c>
      <c r="C53" s="20" t="s">
        <v>37</v>
      </c>
      <c r="D53" s="3">
        <v>6289</v>
      </c>
    </row>
    <row r="54" spans="2:4" x14ac:dyDescent="0.25">
      <c r="B54" s="13">
        <v>45883</v>
      </c>
      <c r="C54" s="20" t="s">
        <v>38</v>
      </c>
      <c r="D54" s="3">
        <v>3145</v>
      </c>
    </row>
    <row r="55" spans="2:4" x14ac:dyDescent="0.25">
      <c r="B55" s="13">
        <v>45884</v>
      </c>
      <c r="C55" s="33" t="s">
        <v>39</v>
      </c>
      <c r="D55" s="3">
        <v>1242</v>
      </c>
    </row>
    <row r="56" spans="2:4" x14ac:dyDescent="0.25">
      <c r="B56" s="13">
        <v>45884</v>
      </c>
      <c r="C56" s="20" t="s">
        <v>37</v>
      </c>
      <c r="D56" s="3">
        <v>6289</v>
      </c>
    </row>
    <row r="57" spans="2:4" x14ac:dyDescent="0.25">
      <c r="B57" s="13">
        <v>45884</v>
      </c>
      <c r="C57" s="20" t="s">
        <v>38</v>
      </c>
      <c r="D57" s="3">
        <v>3145</v>
      </c>
    </row>
    <row r="58" spans="2:4" x14ac:dyDescent="0.25">
      <c r="B58" s="13">
        <v>45884</v>
      </c>
      <c r="C58" s="20" t="s">
        <v>38</v>
      </c>
      <c r="D58" s="3">
        <v>3145</v>
      </c>
    </row>
    <row r="59" spans="2:4" x14ac:dyDescent="0.25">
      <c r="B59" s="13">
        <v>45888</v>
      </c>
      <c r="C59" s="33" t="s">
        <v>40</v>
      </c>
      <c r="D59" s="3">
        <v>314</v>
      </c>
    </row>
    <row r="60" spans="2:4" x14ac:dyDescent="0.25">
      <c r="B60" s="13">
        <v>45888</v>
      </c>
      <c r="C60" s="33" t="s">
        <v>41</v>
      </c>
      <c r="D60" s="3">
        <v>2516</v>
      </c>
    </row>
    <row r="61" spans="2:4" x14ac:dyDescent="0.25">
      <c r="B61" s="13">
        <v>45890</v>
      </c>
      <c r="C61" s="20" t="s">
        <v>42</v>
      </c>
      <c r="D61" s="3">
        <v>3321</v>
      </c>
    </row>
    <row r="62" spans="2:4" x14ac:dyDescent="0.25">
      <c r="B62" s="13">
        <v>45890</v>
      </c>
      <c r="C62" s="33" t="s">
        <v>43</v>
      </c>
      <c r="D62" s="3">
        <v>1258</v>
      </c>
    </row>
    <row r="63" spans="2:4" x14ac:dyDescent="0.25">
      <c r="B63" s="13">
        <v>45895</v>
      </c>
      <c r="C63" s="20" t="s">
        <v>44</v>
      </c>
      <c r="D63" s="3">
        <v>3774</v>
      </c>
    </row>
    <row r="64" spans="2:4" x14ac:dyDescent="0.25">
      <c r="B64" s="13">
        <v>45896</v>
      </c>
      <c r="C64" s="20" t="s">
        <v>45</v>
      </c>
      <c r="D64" s="3">
        <v>1668</v>
      </c>
    </row>
    <row r="65" spans="2:4" x14ac:dyDescent="0.25">
      <c r="B65" s="13">
        <v>45896</v>
      </c>
      <c r="C65" s="20" t="s">
        <v>46</v>
      </c>
      <c r="D65" s="3">
        <v>1610</v>
      </c>
    </row>
    <row r="66" spans="2:4" x14ac:dyDescent="0.25">
      <c r="B66" s="13">
        <v>45897</v>
      </c>
      <c r="C66" s="20" t="s">
        <v>47</v>
      </c>
      <c r="D66" s="3">
        <v>2516</v>
      </c>
    </row>
    <row r="67" spans="2:4" x14ac:dyDescent="0.25">
      <c r="B67" s="13">
        <v>45898</v>
      </c>
      <c r="C67" s="20" t="s">
        <v>48</v>
      </c>
      <c r="D67" s="3">
        <v>2031</v>
      </c>
    </row>
    <row r="68" spans="2:4" x14ac:dyDescent="0.25">
      <c r="B68" s="13">
        <v>45899</v>
      </c>
      <c r="C68" s="20" t="s">
        <v>49</v>
      </c>
      <c r="D68" s="3">
        <v>2201</v>
      </c>
    </row>
    <row r="69" spans="2:4" x14ac:dyDescent="0.25">
      <c r="B69" s="13">
        <v>45899</v>
      </c>
      <c r="C69" s="20" t="s">
        <v>50</v>
      </c>
      <c r="D69" s="3">
        <v>730</v>
      </c>
    </row>
    <row r="70" spans="2:4" x14ac:dyDescent="0.25">
      <c r="B70" s="13">
        <v>45899</v>
      </c>
      <c r="C70" s="20" t="s">
        <v>51</v>
      </c>
      <c r="D70" s="3">
        <v>1887</v>
      </c>
    </row>
    <row r="71" spans="2:4" x14ac:dyDescent="0.25">
      <c r="B71" s="13">
        <v>45899</v>
      </c>
      <c r="C71" s="20" t="s">
        <v>52</v>
      </c>
      <c r="D71" s="3">
        <v>2747</v>
      </c>
    </row>
    <row r="72" spans="2:4" x14ac:dyDescent="0.25">
      <c r="B72" s="13">
        <v>45901</v>
      </c>
      <c r="C72" s="33" t="s">
        <v>53</v>
      </c>
      <c r="D72" s="3">
        <v>297</v>
      </c>
    </row>
    <row r="73" spans="2:4" x14ac:dyDescent="0.25">
      <c r="B73" s="13"/>
      <c r="C73" s="3"/>
      <c r="D73" s="3"/>
    </row>
    <row r="74" spans="2:4" x14ac:dyDescent="0.25">
      <c r="B74" s="3"/>
      <c r="C74" s="4" t="s">
        <v>57</v>
      </c>
      <c r="D74" s="14">
        <f>SUM(D44:D73)</f>
        <v>72494</v>
      </c>
    </row>
    <row r="76" spans="2:4" ht="21" x14ac:dyDescent="0.35">
      <c r="C76" s="15" t="s">
        <v>24</v>
      </c>
      <c r="D76" s="16">
        <f>D74-D39</f>
        <v>17583.271847172618</v>
      </c>
    </row>
    <row r="81" spans="2:4" ht="24.6" customHeight="1" x14ac:dyDescent="0.25">
      <c r="B81" s="44" t="s">
        <v>114</v>
      </c>
      <c r="C81" s="44"/>
      <c r="D81" s="44"/>
    </row>
    <row r="82" spans="2:4" x14ac:dyDescent="0.25">
      <c r="B82" s="17">
        <v>45828</v>
      </c>
      <c r="C82" s="18" t="s">
        <v>60</v>
      </c>
      <c r="D82" s="25">
        <f>3.678*386</f>
        <v>1419.7080000000001</v>
      </c>
    </row>
    <row r="83" spans="2:4" x14ac:dyDescent="0.25">
      <c r="B83" s="17">
        <v>45831</v>
      </c>
      <c r="C83" s="18" t="s">
        <v>61</v>
      </c>
      <c r="D83" s="25">
        <f>3.678*525</f>
        <v>1930.95</v>
      </c>
    </row>
    <row r="84" spans="2:4" x14ac:dyDescent="0.25">
      <c r="B84" s="17">
        <v>45832</v>
      </c>
      <c r="C84" s="18" t="s">
        <v>62</v>
      </c>
      <c r="D84" s="25">
        <f>3.678*507</f>
        <v>1864.7459999999999</v>
      </c>
    </row>
    <row r="85" spans="2:4" x14ac:dyDescent="0.25">
      <c r="B85" s="17">
        <v>45845</v>
      </c>
      <c r="C85" s="18" t="s">
        <v>63</v>
      </c>
      <c r="D85" s="25">
        <f>650*3</f>
        <v>1950</v>
      </c>
    </row>
    <row r="86" spans="2:4" x14ac:dyDescent="0.25">
      <c r="B86" s="17">
        <v>45841</v>
      </c>
      <c r="C86" s="18" t="s">
        <v>64</v>
      </c>
      <c r="D86" s="25">
        <f>3.678*39</f>
        <v>143.44200000000001</v>
      </c>
    </row>
    <row r="87" spans="2:4" x14ac:dyDescent="0.25">
      <c r="B87" s="17"/>
      <c r="C87" s="19" t="s">
        <v>65</v>
      </c>
      <c r="D87" s="25">
        <f>500*3.678</f>
        <v>1839</v>
      </c>
    </row>
    <row r="88" spans="2:4" x14ac:dyDescent="0.25">
      <c r="B88" s="17"/>
      <c r="C88" s="19" t="s">
        <v>66</v>
      </c>
      <c r="D88" s="25">
        <f>500*3.678</f>
        <v>1839</v>
      </c>
    </row>
    <row r="89" spans="2:4" x14ac:dyDescent="0.25">
      <c r="B89" s="17"/>
      <c r="C89" s="19" t="s">
        <v>67</v>
      </c>
      <c r="D89" s="25">
        <f>350*3.678</f>
        <v>1287.3</v>
      </c>
    </row>
    <row r="90" spans="2:4" x14ac:dyDescent="0.25">
      <c r="B90" s="17"/>
      <c r="C90" s="18" t="s">
        <v>63</v>
      </c>
      <c r="D90" s="25">
        <f>3*650</f>
        <v>1950</v>
      </c>
    </row>
    <row r="91" spans="2:4" x14ac:dyDescent="0.25">
      <c r="B91" s="17"/>
      <c r="C91" s="19" t="s">
        <v>68</v>
      </c>
      <c r="D91" s="25">
        <v>12020</v>
      </c>
    </row>
    <row r="92" spans="2:4" x14ac:dyDescent="0.25">
      <c r="B92" s="17">
        <v>45889</v>
      </c>
      <c r="C92" s="19" t="s">
        <v>69</v>
      </c>
      <c r="D92" s="25">
        <v>23218.54</v>
      </c>
    </row>
    <row r="93" spans="2:4" x14ac:dyDescent="0.25">
      <c r="B93" s="17">
        <v>45920</v>
      </c>
      <c r="C93" s="19" t="s">
        <v>68</v>
      </c>
      <c r="D93" s="25">
        <v>9800</v>
      </c>
    </row>
    <row r="94" spans="2:4" x14ac:dyDescent="0.25">
      <c r="B94" s="3"/>
      <c r="C94" s="4"/>
      <c r="D94" s="4"/>
    </row>
    <row r="95" spans="2:4" x14ac:dyDescent="0.25">
      <c r="B95" s="3"/>
      <c r="C95" s="4"/>
      <c r="D95" s="8">
        <f>SUM(D82:D94)</f>
        <v>59262.686000000002</v>
      </c>
    </row>
    <row r="98" spans="2:7" ht="25.15" customHeight="1" x14ac:dyDescent="0.25">
      <c r="B98" s="44" t="s">
        <v>115</v>
      </c>
      <c r="C98" s="44"/>
      <c r="D98" s="44"/>
    </row>
    <row r="99" spans="2:7" x14ac:dyDescent="0.25">
      <c r="B99" s="13">
        <v>45842</v>
      </c>
      <c r="C99" s="20" t="s">
        <v>70</v>
      </c>
      <c r="D99" s="21">
        <v>143</v>
      </c>
    </row>
    <row r="100" spans="2:7" x14ac:dyDescent="0.25">
      <c r="B100" s="13">
        <v>45842</v>
      </c>
      <c r="C100" s="20" t="s">
        <v>71</v>
      </c>
      <c r="D100" s="21">
        <v>1420</v>
      </c>
    </row>
    <row r="101" spans="2:7" x14ac:dyDescent="0.25">
      <c r="B101" s="13">
        <v>45842</v>
      </c>
      <c r="C101" s="20" t="s">
        <v>72</v>
      </c>
      <c r="D101" s="21">
        <v>1931</v>
      </c>
    </row>
    <row r="102" spans="2:7" x14ac:dyDescent="0.25">
      <c r="B102" s="13">
        <v>45842</v>
      </c>
      <c r="C102" s="20" t="s">
        <v>73</v>
      </c>
      <c r="D102" s="21">
        <v>1865</v>
      </c>
    </row>
    <row r="103" spans="2:7" x14ac:dyDescent="0.25">
      <c r="B103" s="13">
        <v>45841</v>
      </c>
      <c r="C103" s="20" t="s">
        <v>74</v>
      </c>
      <c r="D103" s="21">
        <v>1996</v>
      </c>
      <c r="E103" s="2" t="s">
        <v>117</v>
      </c>
      <c r="G103" t="s">
        <v>123</v>
      </c>
    </row>
    <row r="104" spans="2:7" x14ac:dyDescent="0.25">
      <c r="B104" s="13">
        <v>45841</v>
      </c>
      <c r="C104" s="20" t="s">
        <v>75</v>
      </c>
      <c r="D104" s="21">
        <v>2076</v>
      </c>
      <c r="E104" s="2" t="s">
        <v>117</v>
      </c>
    </row>
    <row r="105" spans="2:7" x14ac:dyDescent="0.25">
      <c r="B105" s="27">
        <v>45843</v>
      </c>
      <c r="C105" s="28" t="s">
        <v>76</v>
      </c>
      <c r="D105" s="29">
        <v>1950</v>
      </c>
    </row>
    <row r="106" spans="2:7" x14ac:dyDescent="0.25">
      <c r="B106" s="13">
        <v>45845</v>
      </c>
      <c r="C106" s="20" t="s">
        <v>77</v>
      </c>
      <c r="D106" s="21">
        <v>1444</v>
      </c>
      <c r="E106" s="2" t="s">
        <v>117</v>
      </c>
    </row>
    <row r="107" spans="2:7" x14ac:dyDescent="0.25">
      <c r="B107" s="27">
        <v>45849</v>
      </c>
      <c r="C107" s="28" t="s">
        <v>78</v>
      </c>
      <c r="D107" s="30">
        <v>650</v>
      </c>
    </row>
    <row r="108" spans="2:7" x14ac:dyDescent="0.25">
      <c r="B108" s="27">
        <v>45850</v>
      </c>
      <c r="C108" s="28" t="s">
        <v>79</v>
      </c>
      <c r="D108" s="30">
        <v>650</v>
      </c>
    </row>
    <row r="109" spans="2:7" x14ac:dyDescent="0.25">
      <c r="B109" s="27">
        <v>45854</v>
      </c>
      <c r="C109" s="28" t="s">
        <v>80</v>
      </c>
      <c r="D109" s="30">
        <v>650</v>
      </c>
    </row>
    <row r="110" spans="2:7" x14ac:dyDescent="0.25">
      <c r="B110" s="22">
        <v>45854</v>
      </c>
      <c r="C110" s="20" t="s">
        <v>81</v>
      </c>
      <c r="D110" s="23">
        <v>1839</v>
      </c>
    </row>
    <row r="111" spans="2:7" x14ac:dyDescent="0.25">
      <c r="B111" s="22">
        <v>45854</v>
      </c>
      <c r="C111" s="20" t="s">
        <v>82</v>
      </c>
      <c r="D111" s="23">
        <v>1287</v>
      </c>
    </row>
    <row r="112" spans="2:7" x14ac:dyDescent="0.25">
      <c r="B112" s="13">
        <v>45854</v>
      </c>
      <c r="C112" s="20" t="s">
        <v>83</v>
      </c>
      <c r="D112" s="21">
        <v>2079</v>
      </c>
      <c r="E112" s="2" t="s">
        <v>117</v>
      </c>
    </row>
    <row r="113" spans="2:5" x14ac:dyDescent="0.25">
      <c r="B113" s="27">
        <v>45855</v>
      </c>
      <c r="C113" s="28" t="s">
        <v>84</v>
      </c>
      <c r="D113" s="30">
        <v>650</v>
      </c>
    </row>
    <row r="114" spans="2:5" x14ac:dyDescent="0.25">
      <c r="B114" s="27">
        <v>45859</v>
      </c>
      <c r="C114" s="28" t="s">
        <v>85</v>
      </c>
      <c r="D114" s="30">
        <v>650</v>
      </c>
    </row>
    <row r="115" spans="2:5" x14ac:dyDescent="0.25">
      <c r="B115" s="27">
        <v>45861</v>
      </c>
      <c r="C115" s="28" t="s">
        <v>86</v>
      </c>
      <c r="D115" s="30">
        <v>650</v>
      </c>
    </row>
    <row r="116" spans="2:5" x14ac:dyDescent="0.25">
      <c r="B116" s="27">
        <v>45867</v>
      </c>
      <c r="C116" s="28" t="s">
        <v>87</v>
      </c>
      <c r="D116" s="30">
        <v>1300</v>
      </c>
    </row>
    <row r="117" spans="2:5" x14ac:dyDescent="0.25">
      <c r="B117" s="27">
        <v>45868</v>
      </c>
      <c r="C117" s="28" t="s">
        <v>88</v>
      </c>
      <c r="D117" s="30">
        <v>650</v>
      </c>
    </row>
    <row r="118" spans="2:5" x14ac:dyDescent="0.25">
      <c r="B118" s="27">
        <v>45871</v>
      </c>
      <c r="C118" s="28" t="s">
        <v>89</v>
      </c>
      <c r="D118" s="30">
        <v>650</v>
      </c>
    </row>
    <row r="119" spans="2:5" x14ac:dyDescent="0.25">
      <c r="B119" s="27">
        <v>45874</v>
      </c>
      <c r="C119" s="28" t="s">
        <v>90</v>
      </c>
      <c r="D119" s="30">
        <v>1300</v>
      </c>
    </row>
    <row r="120" spans="2:5" x14ac:dyDescent="0.25">
      <c r="B120" s="27">
        <v>45882</v>
      </c>
      <c r="C120" s="28" t="s">
        <v>91</v>
      </c>
      <c r="D120" s="30">
        <v>650</v>
      </c>
    </row>
    <row r="121" spans="2:5" x14ac:dyDescent="0.25">
      <c r="B121" s="13">
        <v>45882</v>
      </c>
      <c r="C121" s="20" t="s">
        <v>92</v>
      </c>
      <c r="D121" s="21">
        <v>1444</v>
      </c>
      <c r="E121" s="2" t="s">
        <v>117</v>
      </c>
    </row>
    <row r="122" spans="2:5" x14ac:dyDescent="0.25">
      <c r="B122" s="13">
        <v>45882</v>
      </c>
      <c r="C122" s="20" t="s">
        <v>93</v>
      </c>
      <c r="D122" s="21">
        <v>2079</v>
      </c>
      <c r="E122" s="2" t="s">
        <v>117</v>
      </c>
    </row>
    <row r="123" spans="2:5" x14ac:dyDescent="0.25">
      <c r="B123" s="13">
        <v>45882</v>
      </c>
      <c r="C123" s="20" t="s">
        <v>94</v>
      </c>
      <c r="D123" s="21">
        <v>1444</v>
      </c>
      <c r="E123" s="2" t="s">
        <v>117</v>
      </c>
    </row>
    <row r="124" spans="2:5" x14ac:dyDescent="0.25">
      <c r="B124" s="13">
        <v>45882</v>
      </c>
      <c r="C124" s="20" t="s">
        <v>95</v>
      </c>
      <c r="D124" s="21">
        <v>2079</v>
      </c>
      <c r="E124" s="2" t="s">
        <v>117</v>
      </c>
    </row>
    <row r="125" spans="2:5" x14ac:dyDescent="0.25">
      <c r="B125" s="13">
        <v>45882</v>
      </c>
      <c r="C125" s="20" t="s">
        <v>96</v>
      </c>
      <c r="D125" s="21">
        <v>1444</v>
      </c>
      <c r="E125" s="2" t="s">
        <v>117</v>
      </c>
    </row>
    <row r="126" spans="2:5" x14ac:dyDescent="0.25">
      <c r="B126" s="27">
        <v>45883</v>
      </c>
      <c r="C126" s="28" t="s">
        <v>97</v>
      </c>
      <c r="D126" s="30">
        <v>650</v>
      </c>
    </row>
    <row r="127" spans="2:5" x14ac:dyDescent="0.25">
      <c r="B127" s="27">
        <v>45894</v>
      </c>
      <c r="C127" s="28" t="s">
        <v>80</v>
      </c>
      <c r="D127" s="30">
        <v>650</v>
      </c>
    </row>
    <row r="128" spans="2:5" x14ac:dyDescent="0.25">
      <c r="B128" s="27">
        <v>45894</v>
      </c>
      <c r="C128" s="28" t="s">
        <v>98</v>
      </c>
      <c r="D128" s="30">
        <v>500</v>
      </c>
    </row>
    <row r="129" spans="2:4" x14ac:dyDescent="0.25">
      <c r="B129" s="27">
        <v>45895</v>
      </c>
      <c r="C129" s="28" t="s">
        <v>80</v>
      </c>
      <c r="D129" s="30">
        <v>650</v>
      </c>
    </row>
    <row r="130" spans="2:4" x14ac:dyDescent="0.25">
      <c r="B130" s="22">
        <v>45930</v>
      </c>
      <c r="C130" s="20" t="s">
        <v>99</v>
      </c>
      <c r="D130" s="23">
        <v>1471</v>
      </c>
    </row>
    <row r="131" spans="2:4" x14ac:dyDescent="0.25">
      <c r="B131" s="22">
        <v>45930</v>
      </c>
      <c r="C131" s="20" t="s">
        <v>100</v>
      </c>
      <c r="D131" s="26">
        <v>2119</v>
      </c>
    </row>
    <row r="132" spans="2:4" x14ac:dyDescent="0.25">
      <c r="B132" s="22">
        <v>45930</v>
      </c>
      <c r="C132" s="20" t="s">
        <v>101</v>
      </c>
      <c r="D132" s="23">
        <v>2119</v>
      </c>
    </row>
    <row r="133" spans="2:4" x14ac:dyDescent="0.25">
      <c r="B133" s="22">
        <v>45930</v>
      </c>
      <c r="C133" s="20" t="s">
        <v>102</v>
      </c>
      <c r="D133" s="23">
        <v>2119</v>
      </c>
    </row>
    <row r="134" spans="2:4" x14ac:dyDescent="0.25">
      <c r="B134" s="22">
        <v>45930</v>
      </c>
      <c r="C134" s="20" t="s">
        <v>103</v>
      </c>
      <c r="D134" s="23">
        <v>1471</v>
      </c>
    </row>
    <row r="135" spans="2:4" x14ac:dyDescent="0.25">
      <c r="B135" s="22">
        <v>45930</v>
      </c>
      <c r="C135" s="20" t="s">
        <v>104</v>
      </c>
      <c r="D135" s="23">
        <v>2119</v>
      </c>
    </row>
    <row r="136" spans="2:4" x14ac:dyDescent="0.25">
      <c r="B136" s="22">
        <v>45930</v>
      </c>
      <c r="C136" s="20" t="s">
        <v>105</v>
      </c>
      <c r="D136" s="23">
        <v>1324</v>
      </c>
    </row>
    <row r="137" spans="2:4" x14ac:dyDescent="0.25">
      <c r="B137" s="22">
        <v>45930</v>
      </c>
      <c r="C137" s="20" t="s">
        <v>106</v>
      </c>
      <c r="D137" s="23">
        <v>1324</v>
      </c>
    </row>
    <row r="138" spans="2:4" x14ac:dyDescent="0.25">
      <c r="B138" s="22">
        <v>45930</v>
      </c>
      <c r="C138" s="20" t="s">
        <v>107</v>
      </c>
      <c r="D138" s="23">
        <v>2119</v>
      </c>
    </row>
    <row r="139" spans="2:4" x14ac:dyDescent="0.25">
      <c r="B139" s="13">
        <v>45930</v>
      </c>
      <c r="C139" s="3" t="s">
        <v>108</v>
      </c>
      <c r="D139" s="21">
        <v>2119</v>
      </c>
    </row>
    <row r="140" spans="2:4" x14ac:dyDescent="0.25">
      <c r="B140" s="13">
        <v>45930</v>
      </c>
      <c r="C140" s="3" t="s">
        <v>109</v>
      </c>
      <c r="D140" s="21">
        <v>1287</v>
      </c>
    </row>
    <row r="141" spans="2:4" x14ac:dyDescent="0.25">
      <c r="B141" s="13">
        <v>45930</v>
      </c>
      <c r="C141" s="3" t="s">
        <v>110</v>
      </c>
      <c r="D141" s="21">
        <v>61</v>
      </c>
    </row>
    <row r="142" spans="2:4" x14ac:dyDescent="0.25">
      <c r="B142" s="13">
        <v>45930</v>
      </c>
      <c r="C142" s="3" t="s">
        <v>111</v>
      </c>
      <c r="D142" s="21">
        <v>1324</v>
      </c>
    </row>
    <row r="143" spans="2:4" x14ac:dyDescent="0.25">
      <c r="B143" s="13">
        <v>45930</v>
      </c>
      <c r="C143" s="3" t="s">
        <v>112</v>
      </c>
      <c r="D143" s="21">
        <v>2119</v>
      </c>
    </row>
    <row r="144" spans="2:4" x14ac:dyDescent="0.25">
      <c r="B144" s="13">
        <v>45930</v>
      </c>
      <c r="C144" s="3" t="s">
        <v>113</v>
      </c>
      <c r="D144" s="21">
        <v>221</v>
      </c>
    </row>
    <row r="145" spans="2:4" x14ac:dyDescent="0.25">
      <c r="B145" s="3"/>
      <c r="C145" s="4" t="s">
        <v>116</v>
      </c>
      <c r="D145" s="21">
        <f>650*5</f>
        <v>3250</v>
      </c>
    </row>
    <row r="146" spans="2:4" x14ac:dyDescent="0.25">
      <c r="B146" s="3"/>
      <c r="C146" s="4"/>
      <c r="D146" s="21"/>
    </row>
    <row r="147" spans="2:4" x14ac:dyDescent="0.25">
      <c r="B147" s="3"/>
      <c r="C147" s="4"/>
      <c r="D147" s="24">
        <f>SUM(D99:D145)</f>
        <v>63986</v>
      </c>
    </row>
    <row r="149" spans="2:4" ht="18.75" x14ac:dyDescent="0.3">
      <c r="C149" s="32" t="s">
        <v>24</v>
      </c>
      <c r="D149" s="31">
        <f>D147-D95</f>
        <v>4723.3139999999985</v>
      </c>
    </row>
    <row r="159" spans="2:4" x14ac:dyDescent="0.25">
      <c r="B159" s="45" t="s">
        <v>122</v>
      </c>
      <c r="C159" s="45"/>
      <c r="D159" s="45"/>
    </row>
    <row r="160" spans="2:4" x14ac:dyDescent="0.25">
      <c r="B160" s="13">
        <v>45884</v>
      </c>
      <c r="C160" s="33" t="s">
        <v>39</v>
      </c>
      <c r="D160" s="3">
        <v>1242</v>
      </c>
    </row>
    <row r="161" spans="2:6" x14ac:dyDescent="0.25">
      <c r="B161" s="13">
        <v>45888</v>
      </c>
      <c r="C161" s="33" t="s">
        <v>40</v>
      </c>
      <c r="D161" s="3">
        <v>314</v>
      </c>
    </row>
    <row r="162" spans="2:6" x14ac:dyDescent="0.25">
      <c r="B162" s="13">
        <v>45888</v>
      </c>
      <c r="C162" s="33" t="s">
        <v>41</v>
      </c>
      <c r="D162" s="3">
        <v>2516</v>
      </c>
    </row>
    <row r="163" spans="2:6" x14ac:dyDescent="0.25">
      <c r="B163" s="13">
        <v>45890</v>
      </c>
      <c r="C163" s="33" t="s">
        <v>43</v>
      </c>
      <c r="D163" s="3">
        <v>1258</v>
      </c>
    </row>
    <row r="164" spans="2:6" x14ac:dyDescent="0.25">
      <c r="B164" s="13">
        <v>45901</v>
      </c>
      <c r="C164" s="33" t="s">
        <v>53</v>
      </c>
      <c r="D164" s="3">
        <v>297</v>
      </c>
    </row>
    <row r="165" spans="2:6" x14ac:dyDescent="0.25">
      <c r="D165" s="34">
        <f>SUM(D160:D164)</f>
        <v>5627</v>
      </c>
    </row>
    <row r="172" spans="2:6" ht="18.75" x14ac:dyDescent="0.3">
      <c r="C172" s="42" t="s">
        <v>126</v>
      </c>
      <c r="D172" s="42">
        <v>22338</v>
      </c>
    </row>
    <row r="173" spans="2:6" ht="12" customHeight="1" x14ac:dyDescent="0.3">
      <c r="C173" s="32"/>
      <c r="D173" s="32"/>
    </row>
    <row r="174" spans="2:6" x14ac:dyDescent="0.25">
      <c r="C174" s="2" t="s">
        <v>127</v>
      </c>
      <c r="D174" s="2">
        <v>913</v>
      </c>
    </row>
    <row r="175" spans="2:6" x14ac:dyDescent="0.25">
      <c r="C175" s="4" t="s">
        <v>116</v>
      </c>
      <c r="D175" s="2">
        <v>3250</v>
      </c>
      <c r="F175" s="37"/>
    </row>
    <row r="176" spans="2:6" x14ac:dyDescent="0.25">
      <c r="C176" s="2" t="s">
        <v>128</v>
      </c>
      <c r="D176" s="2">
        <v>2130</v>
      </c>
    </row>
    <row r="177" spans="3:7" x14ac:dyDescent="0.25">
      <c r="C177" s="2" t="s">
        <v>129</v>
      </c>
      <c r="D177" s="2">
        <v>13400</v>
      </c>
    </row>
    <row r="178" spans="3:7" x14ac:dyDescent="0.25">
      <c r="C178" s="40" t="s">
        <v>130</v>
      </c>
      <c r="D178" s="2">
        <v>2874.21</v>
      </c>
    </row>
    <row r="179" spans="3:7" ht="18.75" x14ac:dyDescent="0.3">
      <c r="C179" s="42" t="s">
        <v>131</v>
      </c>
      <c r="D179" s="42">
        <f>SUM(D174:D178)</f>
        <v>22567.21</v>
      </c>
    </row>
    <row r="181" spans="3:7" ht="18.75" x14ac:dyDescent="0.3">
      <c r="C181" s="41" t="s">
        <v>24</v>
      </c>
      <c r="D181" s="41">
        <f>D179-D172</f>
        <v>229.20999999999913</v>
      </c>
    </row>
    <row r="182" spans="3:7" x14ac:dyDescent="0.25">
      <c r="G182" s="38">
        <v>353938641892538</v>
      </c>
    </row>
    <row r="183" spans="3:7" x14ac:dyDescent="0.25">
      <c r="G183" s="39">
        <v>356768329224549</v>
      </c>
    </row>
    <row r="184" spans="3:7" x14ac:dyDescent="0.25">
      <c r="G184" s="39">
        <v>356768324617291</v>
      </c>
    </row>
  </sheetData>
  <mergeCells count="5">
    <mergeCell ref="B34:D34"/>
    <mergeCell ref="B41:D41"/>
    <mergeCell ref="B81:D81"/>
    <mergeCell ref="B98:D98"/>
    <mergeCell ref="B159:D159"/>
  </mergeCells>
  <phoneticPr fontId="1" type="noConversion"/>
  <hyperlinks>
    <hyperlink ref="C178" r:id="rId1" xr:uid="{ED8BD885-1645-4D71-86C0-2E12A0285C6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DDAEB-D47D-41A8-A236-C6DC2082E2D6}">
  <dimension ref="A1:D12"/>
  <sheetViews>
    <sheetView workbookViewId="0">
      <selection activeCell="D12" sqref="D12"/>
    </sheetView>
  </sheetViews>
  <sheetFormatPr defaultRowHeight="15" x14ac:dyDescent="0.25"/>
  <cols>
    <col min="1" max="1" width="23.85546875" customWidth="1"/>
    <col min="2" max="2" width="24" customWidth="1"/>
    <col min="3" max="3" width="24.42578125" customWidth="1"/>
    <col min="4" max="4" width="20.5703125" customWidth="1"/>
  </cols>
  <sheetData>
    <row r="1" spans="1:4" x14ac:dyDescent="0.25">
      <c r="B1" t="s">
        <v>132</v>
      </c>
      <c r="C1" t="s">
        <v>133</v>
      </c>
      <c r="D1" t="s">
        <v>24</v>
      </c>
    </row>
    <row r="2" spans="1:4" x14ac:dyDescent="0.25">
      <c r="A2" t="s">
        <v>134</v>
      </c>
      <c r="B2">
        <v>50900</v>
      </c>
      <c r="C2">
        <v>50850</v>
      </c>
      <c r="D2">
        <f>B2-C2</f>
        <v>50</v>
      </c>
    </row>
    <row r="3" spans="1:4" x14ac:dyDescent="0.25">
      <c r="A3" t="s">
        <v>135</v>
      </c>
      <c r="B3">
        <v>64900</v>
      </c>
      <c r="C3">
        <v>64900</v>
      </c>
      <c r="D3">
        <f t="shared" ref="D3:D12" si="0">B3-C3</f>
        <v>0</v>
      </c>
    </row>
    <row r="4" spans="1:4" x14ac:dyDescent="0.25">
      <c r="A4" t="s">
        <v>136</v>
      </c>
      <c r="B4">
        <v>63370</v>
      </c>
      <c r="C4">
        <v>63370</v>
      </c>
      <c r="D4">
        <f t="shared" si="0"/>
        <v>0</v>
      </c>
    </row>
    <row r="5" spans="1:4" x14ac:dyDescent="0.25">
      <c r="A5" t="s">
        <v>137</v>
      </c>
      <c r="B5">
        <v>82520</v>
      </c>
      <c r="C5">
        <v>82810</v>
      </c>
      <c r="D5">
        <f t="shared" si="0"/>
        <v>-290</v>
      </c>
    </row>
    <row r="6" spans="1:4" x14ac:dyDescent="0.25">
      <c r="A6" t="s">
        <v>138</v>
      </c>
      <c r="B6">
        <v>161800</v>
      </c>
      <c r="C6">
        <v>161800</v>
      </c>
      <c r="D6">
        <f t="shared" si="0"/>
        <v>0</v>
      </c>
    </row>
    <row r="7" spans="1:4" x14ac:dyDescent="0.25">
      <c r="A7" t="s">
        <v>139</v>
      </c>
      <c r="B7">
        <v>70540</v>
      </c>
      <c r="C7">
        <v>69380</v>
      </c>
      <c r="D7">
        <f t="shared" si="0"/>
        <v>1160</v>
      </c>
    </row>
    <row r="8" spans="1:4" x14ac:dyDescent="0.25">
      <c r="A8" t="s">
        <v>140</v>
      </c>
      <c r="B8">
        <v>36600</v>
      </c>
      <c r="C8">
        <v>36600</v>
      </c>
      <c r="D8">
        <f t="shared" si="0"/>
        <v>0</v>
      </c>
    </row>
    <row r="9" spans="1:4" x14ac:dyDescent="0.25">
      <c r="A9" t="s">
        <v>141</v>
      </c>
      <c r="B9">
        <v>37535</v>
      </c>
      <c r="C9">
        <v>37535</v>
      </c>
      <c r="D9">
        <f t="shared" si="0"/>
        <v>0</v>
      </c>
    </row>
    <row r="10" spans="1:4" x14ac:dyDescent="0.25">
      <c r="A10" t="s">
        <v>142</v>
      </c>
      <c r="B10">
        <v>38110</v>
      </c>
      <c r="C10">
        <v>38110</v>
      </c>
      <c r="D10">
        <f t="shared" si="0"/>
        <v>0</v>
      </c>
    </row>
    <row r="11" spans="1:4" x14ac:dyDescent="0.25">
      <c r="A11" t="s">
        <v>143</v>
      </c>
      <c r="B11">
        <v>86180</v>
      </c>
      <c r="C11">
        <v>86310</v>
      </c>
      <c r="D11">
        <f t="shared" si="0"/>
        <v>-130</v>
      </c>
    </row>
    <row r="12" spans="1:4" x14ac:dyDescent="0.25">
      <c r="A12" t="s">
        <v>144</v>
      </c>
      <c r="B12">
        <v>73860</v>
      </c>
      <c r="C12">
        <v>66260</v>
      </c>
      <c r="D12">
        <f t="shared" si="0"/>
        <v>7600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dell5300</dc:creator>
  <cp:lastModifiedBy>Swiss Tech</cp:lastModifiedBy>
  <cp:lastPrinted>2025-09-30T18:37:15Z</cp:lastPrinted>
  <dcterms:created xsi:type="dcterms:W3CDTF">2025-09-27T15:10:30Z</dcterms:created>
  <dcterms:modified xsi:type="dcterms:W3CDTF">2026-06-25T14:19:16Z</dcterms:modified>
</cp:coreProperties>
</file>