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331A1316-9658-455B-89B7-41365931A8CF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ummary (2)" sheetId="9" r:id="rId1"/>
    <sheet name="invoice 8" sheetId="1" r:id="rId2"/>
    <sheet name="Invoice 09" sheetId="4" r:id="rId3"/>
    <sheet name="Invoice 10" sheetId="2" r:id="rId4"/>
    <sheet name="invoice 11" sheetId="7" r:id="rId5"/>
    <sheet name="invoice 12" sheetId="8" r:id="rId6"/>
    <sheet name="Invoice 13" sheetId="10" r:id="rId7"/>
    <sheet name="invoice 14" sheetId="11" r:id="rId8"/>
    <sheet name="Invoice 15" sheetId="12" r:id="rId9"/>
  </sheets>
  <externalReferences>
    <externalReference r:id="rId10"/>
  </externalReferences>
  <definedNames>
    <definedName name="_xlnm._FilterDatabase" localSheetId="2" hidden="1">'Invoice 09'!$A$2:$E$33</definedName>
    <definedName name="_xlnm._FilterDatabase" localSheetId="3" hidden="1">'Invoice 10'!$A$2:$E$62</definedName>
    <definedName name="_xlnm._FilterDatabase" localSheetId="4" hidden="1">'invoice 11'!$A$2:$E$2</definedName>
    <definedName name="_xlnm._FilterDatabase" localSheetId="5" hidden="1">'invoice 12'!$B$3:$G$63</definedName>
    <definedName name="_xlnm._FilterDatabase" localSheetId="6" hidden="1">'Invoice 13'!$A$2:$F$62</definedName>
    <definedName name="_xlnm._FilterDatabase" localSheetId="7" hidden="1">'invoice 14'!$A$2:$F$62</definedName>
    <definedName name="_xlnm._FilterDatabase" localSheetId="8" hidden="1">'Invoice 15'!$A$2:$F$2</definedName>
    <definedName name="_xlnm._FilterDatabase" localSheetId="1" hidden="1">'invoice 8'!$A$2:$F$34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2" l="1"/>
  <c r="C60" i="9" s="1"/>
  <c r="E64" i="11"/>
  <c r="C59" i="9" s="1"/>
  <c r="E64" i="10" l="1"/>
  <c r="C56" i="9" s="1"/>
  <c r="D48" i="9" l="1"/>
  <c r="D44" i="9" l="1"/>
  <c r="D39" i="9" l="1"/>
  <c r="D38" i="9"/>
  <c r="C36" i="9"/>
  <c r="C35" i="9"/>
  <c r="C34" i="9"/>
  <c r="C30" i="9"/>
  <c r="D28" i="9"/>
  <c r="D27" i="9"/>
  <c r="D26" i="9"/>
  <c r="D25" i="9"/>
  <c r="C22" i="9"/>
  <c r="D20" i="9"/>
  <c r="D19" i="9"/>
  <c r="D18" i="9"/>
  <c r="D17" i="9"/>
  <c r="D16" i="9"/>
  <c r="D15" i="9"/>
  <c r="D14" i="9"/>
  <c r="D13" i="9"/>
  <c r="D12" i="9"/>
  <c r="D9" i="9"/>
  <c r="C7" i="9"/>
  <c r="C3" i="9"/>
  <c r="D63" i="9" l="1"/>
  <c r="E3" i="9"/>
  <c r="E4" i="9" s="1"/>
  <c r="E5" i="9" s="1"/>
  <c r="E7" i="9" s="1"/>
  <c r="E8" i="9" s="1"/>
  <c r="E9" i="9" s="1"/>
  <c r="E10" i="9" s="1"/>
  <c r="E12" i="9" s="1"/>
  <c r="E13" i="9" s="1"/>
  <c r="E14" i="9" s="1"/>
  <c r="E15" i="9" s="1"/>
  <c r="E16" i="9" s="1"/>
  <c r="E17" i="9" s="1"/>
  <c r="E18" i="9" s="1"/>
  <c r="E19" i="9" s="1"/>
  <c r="E20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4" i="9" s="1"/>
  <c r="E35" i="9" s="1"/>
  <c r="E36" i="9" s="1"/>
  <c r="E37" i="9" s="1"/>
  <c r="E38" i="9" s="1"/>
  <c r="E39" i="9" s="1"/>
  <c r="A68" i="2" l="1"/>
  <c r="A69" i="2" s="1"/>
  <c r="A70" i="2" s="1"/>
  <c r="A71" i="2" s="1"/>
  <c r="A72" i="2" s="1"/>
  <c r="A73" i="2" s="1"/>
  <c r="A74" i="2" s="1"/>
  <c r="A75" i="2" s="1"/>
  <c r="A76" i="2" s="1"/>
  <c r="A77" i="2" s="1"/>
  <c r="E69" i="2"/>
  <c r="F75" i="8"/>
  <c r="G75" i="8"/>
  <c r="E34" i="7" l="1"/>
  <c r="C46" i="9" s="1"/>
  <c r="F65" i="8" l="1"/>
  <c r="C47" i="9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E12" i="2" l="1"/>
  <c r="E33" i="4" l="1"/>
  <c r="C42" i="9" s="1"/>
  <c r="E34" i="1" l="1"/>
  <c r="E64" i="2"/>
  <c r="C43" i="9" s="1"/>
  <c r="C41" i="9" l="1"/>
  <c r="C63" i="9" s="1"/>
  <c r="E41" i="9" l="1"/>
  <c r="E42" i="9" s="1"/>
  <c r="E43" i="9" s="1"/>
  <c r="E44" i="9" s="1"/>
  <c r="E46" i="9" s="1"/>
  <c r="E63" i="9"/>
  <c r="E47" i="9" l="1"/>
  <c r="E48" i="9" s="1"/>
  <c r="E50" i="9" s="1"/>
  <c r="E51" i="9" s="1"/>
  <c r="E52" i="9" s="1"/>
  <c r="E53" i="9" s="1"/>
  <c r="E54" i="9" s="1"/>
  <c r="E56" i="9" l="1"/>
  <c r="E57" i="9" s="1"/>
  <c r="E58" i="9" s="1"/>
  <c r="E59" i="9" s="1"/>
  <c r="E60" i="9" s="1"/>
</calcChain>
</file>

<file path=xl/sharedStrings.xml><?xml version="1.0" encoding="utf-8"?>
<sst xmlns="http://schemas.openxmlformats.org/spreadsheetml/2006/main" count="911" uniqueCount="238">
  <si>
    <t>Ipad 13" W+C Black 256gb</t>
  </si>
  <si>
    <t>Iphone 16 PM DT 256gb</t>
  </si>
  <si>
    <t>Iwatch Ultra 2</t>
  </si>
  <si>
    <t>Iphone 16 PM BT 256gb</t>
  </si>
  <si>
    <t>Iphone 16 PM WT 256gb</t>
  </si>
  <si>
    <t>Imei</t>
  </si>
  <si>
    <t>S.No</t>
  </si>
  <si>
    <t>Description</t>
  </si>
  <si>
    <t>Status</t>
  </si>
  <si>
    <t>Price</t>
  </si>
  <si>
    <t>Ipad Pro 11"  W+C 256gb Black</t>
  </si>
  <si>
    <t>Ipad Air M3 128gb</t>
  </si>
  <si>
    <t>Ipad Pro 13"  W+C 256gb Black</t>
  </si>
  <si>
    <t>Ipad Pro 13"  W+C 512gb Black</t>
  </si>
  <si>
    <t>Iphone 16 Pro DT 1TB</t>
  </si>
  <si>
    <t>Iphone 16 Pro BT 1TB</t>
  </si>
  <si>
    <t>Ipad Pro 13" W+C 2TB Black</t>
  </si>
  <si>
    <t>Required</t>
  </si>
  <si>
    <t>Iwatch Series 10 42mm Rose Gold</t>
  </si>
  <si>
    <t>Iwatch Series 10 46mm Jet Black</t>
  </si>
  <si>
    <t>Galaxy S10+ Tab 256gb Gray</t>
  </si>
  <si>
    <t>Samsung S25 Ultra TG 256gb</t>
  </si>
  <si>
    <t>Samsung S25 Ultra TB 256gb</t>
  </si>
  <si>
    <t>Samsung S25 Ultra TSB 256gb</t>
  </si>
  <si>
    <t>Iphone 16 Pro DT 128gb</t>
  </si>
  <si>
    <t>Iphone 16 Pro DT 256gb (Not for Sale)</t>
  </si>
  <si>
    <t>Iphone 16 Pro NT 128gb</t>
  </si>
  <si>
    <t>Iphone 16 PM NT 256gb</t>
  </si>
  <si>
    <t>Iphone 16 Pro DT 256gb</t>
  </si>
  <si>
    <t>Iphone 16 Pro BT 128gb</t>
  </si>
  <si>
    <t>Iphone 16 Pro BT 256gb</t>
  </si>
  <si>
    <t>Iphone 16 Pro NT 256gb</t>
  </si>
  <si>
    <t>Samsung S25+ Navy 256gb</t>
  </si>
  <si>
    <t>Non-Active</t>
  </si>
  <si>
    <t>Active</t>
  </si>
  <si>
    <t>ipad 13 inch 512GB</t>
  </si>
  <si>
    <t>non active</t>
  </si>
  <si>
    <t>active</t>
  </si>
  <si>
    <t>16 pro max 512 GB NT</t>
  </si>
  <si>
    <t>16 pro max 256gb BT</t>
  </si>
  <si>
    <t>16 pro max 256GB NT</t>
  </si>
  <si>
    <t>16 pro max 256GB DT</t>
  </si>
  <si>
    <t>16 pro max 512GB BT</t>
  </si>
  <si>
    <t>16 pro max 256GB BT</t>
  </si>
  <si>
    <t>16 256GB pink</t>
  </si>
  <si>
    <t>16 pro 256GB DT</t>
  </si>
  <si>
    <t>16 pro max 512GB DT</t>
  </si>
  <si>
    <t>Iphone 16 PM BT KIT Only (Detail Req)</t>
  </si>
  <si>
    <t>Iphone 16 PM DT KIT Only (Detail Req)</t>
  </si>
  <si>
    <t>Iwatch KIT only (condition Req)</t>
  </si>
  <si>
    <t>apple watch ultra 2 (not for sale)</t>
  </si>
  <si>
    <t>samsung s25 ultra (GB req)</t>
  </si>
  <si>
    <t>Iphone 16 Plus Black 128gb  (Not for Sale)</t>
  </si>
  <si>
    <t>Iphone 16 Plus Pink 128gb (Not for Sale)</t>
  </si>
  <si>
    <t xml:space="preserve">phone retrun daengye </t>
  </si>
  <si>
    <t>comments</t>
  </si>
  <si>
    <t>Comments</t>
  </si>
  <si>
    <t xml:space="preserve"> (Not for Sale)</t>
  </si>
  <si>
    <t>not for sale</t>
  </si>
  <si>
    <t>Invoice no 8</t>
  </si>
  <si>
    <t>Dated:30-07-2025</t>
  </si>
  <si>
    <t>Invoice no 10</t>
  </si>
  <si>
    <t>Tracking(883044458379)</t>
  </si>
  <si>
    <t>Tracking(883045782080)</t>
  </si>
  <si>
    <t>Tracking(883043369848)</t>
  </si>
  <si>
    <t>Invoice no 09</t>
  </si>
  <si>
    <t>only watch without straps</t>
  </si>
  <si>
    <t>Iphone 16 Pro BT 512gb</t>
  </si>
  <si>
    <t>Invoice 8</t>
  </si>
  <si>
    <t>Invoice 10</t>
  </si>
  <si>
    <t>Invoice no 11</t>
  </si>
  <si>
    <t>Tracking</t>
  </si>
  <si>
    <t>Dated:02-08-2025</t>
  </si>
  <si>
    <t>k3vc2xl9jk</t>
  </si>
  <si>
    <t>ipad pro 13 inch 512GB space black (not for sale)</t>
  </si>
  <si>
    <t>Non Active</t>
  </si>
  <si>
    <t>hc71xp496j</t>
  </si>
  <si>
    <t>apple watch ultra 2 49 mm black ti</t>
  </si>
  <si>
    <t>m1xj125t20</t>
  </si>
  <si>
    <t>hf5v9v07qj</t>
  </si>
  <si>
    <t>apple watch series 10 46mm</t>
  </si>
  <si>
    <t>cppj93jm2n</t>
  </si>
  <si>
    <t>16 pro max black titanium 256 GB</t>
  </si>
  <si>
    <t>serial not clear</t>
  </si>
  <si>
    <t>lj4twf4wm4</t>
  </si>
  <si>
    <t>gfjdv7k5wo</t>
  </si>
  <si>
    <t>16 pro max natural titanium 256 GB</t>
  </si>
  <si>
    <t>lhdy6wdlvv</t>
  </si>
  <si>
    <t>16 pro max desert titanium 512 GB (not for sale)</t>
  </si>
  <si>
    <t>kq3h7thjxg</t>
  </si>
  <si>
    <t>galaxy s25 ultra titanium black 512 GB</t>
  </si>
  <si>
    <t>galaxy s25 ultra titanium black 256 GB</t>
  </si>
  <si>
    <t>lwn2lw95pf</t>
  </si>
  <si>
    <t>kv9w1y60qq</t>
  </si>
  <si>
    <t>16 pro max desert titanium 1TB</t>
  </si>
  <si>
    <t>dfcq077fq2</t>
  </si>
  <si>
    <t>ckk4t41khx</t>
  </si>
  <si>
    <t>d6xpp76202</t>
  </si>
  <si>
    <t>lr4y6m7xjh</t>
  </si>
  <si>
    <t>hp1v90wyp7</t>
  </si>
  <si>
    <t>g3xmq9k2lr</t>
  </si>
  <si>
    <t>16 pro max desert titanium 512GB</t>
  </si>
  <si>
    <t>ghk377x9mf</t>
  </si>
  <si>
    <t>d6xpg972lx</t>
  </si>
  <si>
    <t>t4lt1jh147</t>
  </si>
  <si>
    <t>16 pro max black titanium 512GB</t>
  </si>
  <si>
    <t>myq9x52tmq</t>
  </si>
  <si>
    <t>kqvk2jxp07</t>
  </si>
  <si>
    <t>16 pro max desert titanium 256GB</t>
  </si>
  <si>
    <t>jgd43dmcw4</t>
  </si>
  <si>
    <t>16 pro max black titanium 256GB</t>
  </si>
  <si>
    <t>lp752ylx7w</t>
  </si>
  <si>
    <t>gwfxlqg9q7</t>
  </si>
  <si>
    <t>IPHONE 16 PRO BLACK 256GB</t>
  </si>
  <si>
    <t>IPHONE 16 PRO MAX BLACK 256GB (Not For Sale)</t>
  </si>
  <si>
    <t>IPHONE 16 PRO MAX WHITE 256GB (Not For Sale)</t>
  </si>
  <si>
    <t>IPHONE 16 PRO MAX DESERT 256GB</t>
  </si>
  <si>
    <t>IPHONE 16 PRO MAX BLACK 256GB</t>
  </si>
  <si>
    <t>IPHONE 16 TL 128GB</t>
  </si>
  <si>
    <t>IPHONE 16 PRO MAX DESERT 1TB</t>
  </si>
  <si>
    <t>IPHONE 16 PRO MAX BLACK 512GB</t>
  </si>
  <si>
    <t>IPHONE 16 PRO MAX NATURAL 256GB (Not For Sale)</t>
  </si>
  <si>
    <t>IPHONE 16 PRO MAX NATURAL 256GB</t>
  </si>
  <si>
    <t>IPHONE 16 UMR 128GB</t>
  </si>
  <si>
    <t>IPHONE 16 PLUS PNK 128GB</t>
  </si>
  <si>
    <t>IPHONE 16 PRO BLACK 128GB</t>
  </si>
  <si>
    <t>IPHONE 16 PRO NATURAL 128GB</t>
  </si>
  <si>
    <t>IPHONE 16 UMR 256GB</t>
  </si>
  <si>
    <t>IPHONE 16 PRO WHITE 256GB</t>
  </si>
  <si>
    <t>APPLE WATCH ULTRA2 49 NT TI NV OB-</t>
  </si>
  <si>
    <t>IPHONE 16 PLUS WHT 128GB</t>
  </si>
  <si>
    <t>IPHONE 16 PLUS TL 128GB (Not For Sale)</t>
  </si>
  <si>
    <t>IPHONE 16 PLUS PNK 128GB (Not For Sale)</t>
  </si>
  <si>
    <t>IPHONE 16 PRO MAX NATURAL 256GB-</t>
  </si>
  <si>
    <t>IPHONE 16 PRO MAX DESERT 512GB</t>
  </si>
  <si>
    <t>IPHONE 16 PRO MAX BLACK 256GB-</t>
  </si>
  <si>
    <t>samsung S25U 256GB</t>
  </si>
  <si>
    <t>samsung S25U 256 GB pre own (Not For Sale)</t>
  </si>
  <si>
    <t>ipad pro 13 inch 512GB space black (Not For Sale)</t>
  </si>
  <si>
    <t>16 pro max desert titanium 512 GB (Not For Sale)</t>
  </si>
  <si>
    <t>16 pro max desert titanium 512GB (Not For Sale)</t>
  </si>
  <si>
    <t>Invoice no 12</t>
  </si>
  <si>
    <t>phone will retrun</t>
  </si>
  <si>
    <t>phone will retrun rate 256gb</t>
  </si>
  <si>
    <t xml:space="preserve">IPHONE 16 PRO MAX WHITE 256GB </t>
  </si>
  <si>
    <t xml:space="preserve">IPHONE 16 PRO MAX BLACK 256GB </t>
  </si>
  <si>
    <t xml:space="preserve">IPHONE 16 PRO MAX NATURAL 256GB </t>
  </si>
  <si>
    <t>Iwatch SE Gen 2 (Not For Sale)</t>
  </si>
  <si>
    <t>Watch ultra 2</t>
  </si>
  <si>
    <t>no straps (kit)</t>
  </si>
  <si>
    <t xml:space="preserve">Dubai selling ledger </t>
  </si>
  <si>
    <t>DATE</t>
  </si>
  <si>
    <t>DETAIL</t>
  </si>
  <si>
    <t>Total Amount</t>
  </si>
  <si>
    <t>Paid</t>
  </si>
  <si>
    <t>Balance</t>
  </si>
  <si>
    <t>Invoice 1</t>
  </si>
  <si>
    <t xml:space="preserve">PAID TO Hawla person </t>
  </si>
  <si>
    <t>PAID TO WAJAHAT</t>
  </si>
  <si>
    <t>Invoice 2</t>
  </si>
  <si>
    <t>8 Device Return</t>
  </si>
  <si>
    <t>Hawala 39,00000 @79.20</t>
  </si>
  <si>
    <t>882190243917 (386$ @3.678)</t>
  </si>
  <si>
    <t>882247971323 (525$ @3.678)</t>
  </si>
  <si>
    <t>882279322688 (507$ @3.678)</t>
  </si>
  <si>
    <t>Clearing Charges 3 x 650 AED</t>
  </si>
  <si>
    <t>882482082780 (39$ @3.678) usa to usa</t>
  </si>
  <si>
    <t>ONLINE PAYMENT  PKR 500000 @79.20</t>
  </si>
  <si>
    <t>CASH PAYMENT PKR 646500 @79.20</t>
  </si>
  <si>
    <t>ONLINE PAYMENT  PKR 268450 @79.20</t>
  </si>
  <si>
    <t>Invoice 3</t>
  </si>
  <si>
    <t>PAID TO MUDDASSIR @79.60 (60k) clear</t>
  </si>
  <si>
    <t>882482082780(500$ @3.678)</t>
  </si>
  <si>
    <t>882523663746(500$ @3.678)</t>
  </si>
  <si>
    <t>882514974053(350$ @3.678)</t>
  </si>
  <si>
    <t>Invoice 4</t>
  </si>
  <si>
    <t>PAID TO MUDDASSIR@79.70 (475500) clear</t>
  </si>
  <si>
    <t>PAID TO MUDDASSIR @79.70</t>
  </si>
  <si>
    <t>Invoice 5</t>
  </si>
  <si>
    <t>Invoice 6</t>
  </si>
  <si>
    <t>Invoice 7</t>
  </si>
  <si>
    <t>PAID TO MUDDASSIR @79.80</t>
  </si>
  <si>
    <t>PAID TO MUDDASSIR ACC 79.80 (17 LAC)</t>
  </si>
  <si>
    <t>paid to MUDDASSIR CASH @79.6 (1CR)</t>
  </si>
  <si>
    <t>Invoice 9</t>
  </si>
  <si>
    <t>Paid to Muddassir Cash @79.60 (2CR)</t>
  </si>
  <si>
    <t>Inovice 11</t>
  </si>
  <si>
    <t>Inovice 12</t>
  </si>
  <si>
    <t>Iphone 16 Plus Teal 512gb</t>
  </si>
  <si>
    <t>Iphone 16 black 128gb</t>
  </si>
  <si>
    <t>Iphone 16 UM 128gb</t>
  </si>
  <si>
    <t>Iphone 16 Pink 128gb</t>
  </si>
  <si>
    <t>Ipad Pro 11" W+C 1TB Black</t>
  </si>
  <si>
    <t>Iphone 16 Pro WT 512gb</t>
  </si>
  <si>
    <t>Samsung S25 Ultra TB 512gb</t>
  </si>
  <si>
    <t>Samsung S25 Ultra TWS 256gb</t>
  </si>
  <si>
    <t>Invoice no 13</t>
  </si>
  <si>
    <t>Not for sale</t>
  </si>
  <si>
    <t>Invoice#3 ( 2 devices return to wajahat )imei 354895821959990 &amp;356706681597888</t>
  </si>
  <si>
    <t xml:space="preserve">Invoice#7 (16 pro max dt icloud rate 2530AED actucal is 1450AED differnce 1080AED </t>
  </si>
  <si>
    <t xml:space="preserve">2 device discount 356334540475707 &amp; 354895822309840 250AED extra paid </t>
  </si>
  <si>
    <t xml:space="preserve">atnt box </t>
  </si>
  <si>
    <t>Paid to Muddassir Cash @79.75 (1660700 lac)</t>
  </si>
  <si>
    <t>Invoice 13</t>
  </si>
  <si>
    <t>Dated:05-08-2025</t>
  </si>
  <si>
    <t>Previous Adjustment</t>
  </si>
  <si>
    <t>r</t>
  </si>
  <si>
    <t>n</t>
  </si>
  <si>
    <t>fedex lablel payment</t>
  </si>
  <si>
    <t>Invoice no 14</t>
  </si>
  <si>
    <t>Label by Rehman (WareHouse) 883370708860 , 883370708871</t>
  </si>
  <si>
    <t>Dated:13-08-2025</t>
  </si>
  <si>
    <t>Galaxy Tab S10+ 256gb</t>
  </si>
  <si>
    <t>Ipad A16 128GB</t>
  </si>
  <si>
    <t>Ipad Pro 13" W+C 256gb</t>
  </si>
  <si>
    <t>Activated</t>
  </si>
  <si>
    <t>Iphone 16 UMR 256gb</t>
  </si>
  <si>
    <t>Iwatch SE Gen 2</t>
  </si>
  <si>
    <t>Iwatch Series 10 46mm black</t>
  </si>
  <si>
    <t>Iwatch Ultra 2 Ti black not for sale</t>
  </si>
  <si>
    <t>Not for Sale</t>
  </si>
  <si>
    <t>Iwatch Ultra 2 Ti navy not for sale</t>
  </si>
  <si>
    <t>Iwatch Ultra 2 not for sale</t>
  </si>
  <si>
    <t>H93GPKJ579</t>
  </si>
  <si>
    <t>Samsung Z Fold 7 256gb Jet Black</t>
  </si>
  <si>
    <t>Samsung S25 ultra TG 256gb</t>
  </si>
  <si>
    <t>Actiavted</t>
  </si>
  <si>
    <t>Label by Rehman (WareHouse)  883370027775</t>
  </si>
  <si>
    <t>Dated:14-08-2025</t>
  </si>
  <si>
    <t>Invoice no 15</t>
  </si>
  <si>
    <t>Invoice 14</t>
  </si>
  <si>
    <t>Invoice 15</t>
  </si>
  <si>
    <t>s</t>
  </si>
  <si>
    <t>ok</t>
  </si>
  <si>
    <t>not purchase</t>
  </si>
  <si>
    <t>128gb purchased</t>
  </si>
  <si>
    <t>up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</si>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</sst>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[$AED]\ * #,##0.00_);_([$AED]\ * \(#,##0.00\);_([$AED]\ * &quot;-&quot;??_);_(@_)"/>
    <numFmt numFmtId="167" formatCode="[$-409]d\-mmm\-yy;@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Eras Demi ITC"/>
      <family val="2"/>
    </font>
    <font>
      <sz val="11"/>
      <color theme="1"/>
      <name val="Baskerville Old Face"/>
      <family val="1"/>
    </font>
    <font>
      <sz val="11"/>
      <color theme="1"/>
      <name val="Eras Demi ITC"/>
      <family val="2"/>
    </font>
    <font>
      <b/>
      <sz val="11"/>
      <color theme="1"/>
      <name val="Baskerville Old Face"/>
      <family val="1"/>
    </font>
    <font>
      <b/>
      <sz val="11"/>
      <color theme="1"/>
      <name val="Eras Demi ITC"/>
      <family val="2"/>
    </font>
    <font>
      <b/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20"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166" fontId="1" fillId="2" borderId="0" xfId="1" applyNumberFormat="1" applyFont="1" applyFill="1" applyAlignment="1">
      <alignment horizontal="center" vertical="center"/>
    </xf>
    <xf numFmtId="166" fontId="0" fillId="0" borderId="0" xfId="1" applyNumberFormat="1" applyFont="1" applyAlignment="1">
      <alignment vertical="center"/>
    </xf>
    <xf numFmtId="166" fontId="0" fillId="0" borderId="0" xfId="1" applyNumberFormat="1" applyFont="1"/>
    <xf numFmtId="166" fontId="1" fillId="2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vertical="center"/>
    </xf>
    <xf numFmtId="166" fontId="0" fillId="0" borderId="0" xfId="0" applyNumberFormat="1"/>
    <xf numFmtId="0" fontId="0" fillId="3" borderId="0" xfId="0" applyFill="1" applyAlignment="1">
      <alignment vertical="center"/>
    </xf>
    <xf numFmtId="166" fontId="0" fillId="3" borderId="0" xfId="0" applyNumberFormat="1" applyFill="1" applyAlignment="1">
      <alignment vertical="center"/>
    </xf>
    <xf numFmtId="166" fontId="3" fillId="0" borderId="0" xfId="1" applyNumberFormat="1" applyFont="1"/>
    <xf numFmtId="166" fontId="3" fillId="0" borderId="0" xfId="0" applyNumberFormat="1" applyFont="1"/>
    <xf numFmtId="0" fontId="3" fillId="2" borderId="0" xfId="0" applyFont="1" applyFill="1"/>
    <xf numFmtId="1" fontId="3" fillId="2" borderId="0" xfId="0" applyNumberFormat="1" applyFont="1" applyFill="1"/>
    <xf numFmtId="166" fontId="3" fillId="2" borderId="0" xfId="0" applyNumberFormat="1" applyFont="1" applyFill="1"/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3" borderId="0" xfId="0" applyNumberFormat="1" applyFill="1" applyAlignment="1">
      <alignment horizontal="left" vertical="center"/>
    </xf>
    <xf numFmtId="1" fontId="0" fillId="4" borderId="0" xfId="0" applyNumberFormat="1" applyFill="1" applyAlignment="1">
      <alignment horizontal="left"/>
    </xf>
    <xf numFmtId="0" fontId="0" fillId="4" borderId="0" xfId="0" applyFill="1" applyAlignment="1">
      <alignment vertical="center"/>
    </xf>
    <xf numFmtId="166" fontId="0" fillId="4" borderId="0" xfId="0" applyNumberFormat="1" applyFill="1" applyAlignment="1">
      <alignment vertical="center"/>
    </xf>
    <xf numFmtId="0" fontId="0" fillId="4" borderId="0" xfId="0" applyFill="1"/>
    <xf numFmtId="1" fontId="0" fillId="4" borderId="0" xfId="0" applyNumberFormat="1" applyFill="1" applyAlignment="1">
      <alignment horizontal="center" vertical="center"/>
    </xf>
    <xf numFmtId="166" fontId="0" fillId="4" borderId="0" xfId="1" applyNumberFormat="1" applyFont="1" applyFill="1" applyAlignment="1">
      <alignment vertical="center"/>
    </xf>
    <xf numFmtId="1" fontId="0" fillId="4" borderId="0" xfId="0" applyNumberFormat="1" applyFill="1" applyAlignment="1">
      <alignment horizontal="left" vertical="center"/>
    </xf>
    <xf numFmtId="1" fontId="0" fillId="3" borderId="0" xfId="0" applyNumberFormat="1" applyFill="1" applyAlignment="1">
      <alignment horizontal="center" vertical="center"/>
    </xf>
    <xf numFmtId="166" fontId="0" fillId="3" borderId="0" xfId="1" applyNumberFormat="1" applyFont="1" applyFill="1" applyAlignment="1">
      <alignment vertical="center"/>
    </xf>
    <xf numFmtId="1" fontId="0" fillId="3" borderId="0" xfId="0" applyNumberFormat="1" applyFill="1" applyAlignment="1">
      <alignment horizontal="left"/>
    </xf>
    <xf numFmtId="0" fontId="0" fillId="3" borderId="0" xfId="0" applyFill="1"/>
    <xf numFmtId="0" fontId="4" fillId="0" borderId="0" xfId="0" applyFont="1"/>
    <xf numFmtId="165" fontId="0" fillId="0" borderId="0" xfId="2" applyFont="1"/>
    <xf numFmtId="0" fontId="3" fillId="0" borderId="0" xfId="0" applyFont="1" applyAlignment="1">
      <alignment horizontal="left"/>
    </xf>
    <xf numFmtId="0" fontId="5" fillId="4" borderId="0" xfId="0" applyFont="1" applyFill="1" applyAlignment="1">
      <alignment horizontal="left" wrapText="1"/>
    </xf>
    <xf numFmtId="0" fontId="6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166" fontId="0" fillId="4" borderId="0" xfId="0" applyNumberFormat="1" applyFill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1" fontId="5" fillId="0" borderId="0" xfId="0" applyNumberFormat="1" applyFont="1" applyAlignment="1">
      <alignment horizontal="left" wrapText="1"/>
    </xf>
    <xf numFmtId="0" fontId="3" fillId="0" borderId="0" xfId="0" applyFont="1"/>
    <xf numFmtId="0" fontId="7" fillId="0" borderId="1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4" borderId="1" xfId="0" applyFont="1" applyFill="1" applyBorder="1" applyAlignment="1">
      <alignment horizontal="center" wrapText="1"/>
    </xf>
    <xf numFmtId="1" fontId="7" fillId="4" borderId="1" xfId="0" applyNumberFormat="1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7" fillId="4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1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wrapText="1"/>
    </xf>
    <xf numFmtId="1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1" fontId="0" fillId="4" borderId="0" xfId="0" applyNumberFormat="1" applyFill="1" applyAlignment="1">
      <alignment vertical="center"/>
    </xf>
    <xf numFmtId="166" fontId="0" fillId="3" borderId="0" xfId="1" applyNumberFormat="1" applyFont="1" applyFill="1"/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10" fillId="0" borderId="0" xfId="0" applyFont="1"/>
    <xf numFmtId="167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7" fontId="11" fillId="0" borderId="0" xfId="0" applyNumberFormat="1" applyFont="1"/>
    <xf numFmtId="0" fontId="11" fillId="0" borderId="0" xfId="0" applyFont="1"/>
    <xf numFmtId="166" fontId="11" fillId="0" borderId="2" xfId="0" applyNumberFormat="1" applyFont="1" applyBorder="1"/>
    <xf numFmtId="1" fontId="11" fillId="0" borderId="0" xfId="0" applyNumberFormat="1" applyFont="1"/>
    <xf numFmtId="0" fontId="12" fillId="0" borderId="0" xfId="0" applyFont="1"/>
    <xf numFmtId="166" fontId="10" fillId="0" borderId="0" xfId="0" applyNumberFormat="1" applyFont="1"/>
    <xf numFmtId="167" fontId="13" fillId="0" borderId="0" xfId="0" applyNumberFormat="1" applyFont="1"/>
    <xf numFmtId="0" fontId="13" fillId="0" borderId="0" xfId="0" applyFont="1"/>
    <xf numFmtId="166" fontId="13" fillId="0" borderId="2" xfId="0" applyNumberFormat="1" applyFont="1" applyBorder="1"/>
    <xf numFmtId="167" fontId="0" fillId="0" borderId="0" xfId="0" applyNumberFormat="1"/>
    <xf numFmtId="1" fontId="15" fillId="6" borderId="0" xfId="0" applyNumberFormat="1" applyFont="1" applyFill="1"/>
    <xf numFmtId="0" fontId="15" fillId="6" borderId="0" xfId="0" applyFont="1" applyFill="1"/>
    <xf numFmtId="1" fontId="0" fillId="7" borderId="0" xfId="0" applyNumberFormat="1" applyFill="1"/>
    <xf numFmtId="0" fontId="0" fillId="7" borderId="0" xfId="0" applyFill="1"/>
    <xf numFmtId="1" fontId="0" fillId="8" borderId="0" xfId="0" applyNumberFormat="1" applyFill="1"/>
    <xf numFmtId="0" fontId="0" fillId="8" borderId="0" xfId="0" applyFill="1"/>
    <xf numFmtId="1" fontId="0" fillId="9" borderId="0" xfId="0" applyNumberFormat="1" applyFill="1"/>
    <xf numFmtId="0" fontId="0" fillId="9" borderId="0" xfId="0" applyFill="1"/>
    <xf numFmtId="1" fontId="0" fillId="10" borderId="0" xfId="0" applyNumberFormat="1" applyFill="1"/>
    <xf numFmtId="0" fontId="0" fillId="10" borderId="0" xfId="0" applyFill="1"/>
    <xf numFmtId="1" fontId="0" fillId="11" borderId="0" xfId="0" applyNumberFormat="1" applyFill="1"/>
    <xf numFmtId="0" fontId="0" fillId="11" borderId="0" xfId="0" applyFill="1"/>
    <xf numFmtId="166" fontId="11" fillId="0" borderId="7" xfId="0" applyNumberFormat="1" applyFont="1" applyBorder="1"/>
    <xf numFmtId="0" fontId="11" fillId="4" borderId="3" xfId="0" applyFont="1" applyFill="1" applyBorder="1"/>
    <xf numFmtId="0" fontId="0" fillId="12" borderId="0" xfId="0" applyFill="1"/>
    <xf numFmtId="0" fontId="0" fillId="13" borderId="0" xfId="0" applyFill="1"/>
    <xf numFmtId="0" fontId="16" fillId="0" borderId="0" xfId="0" applyFont="1"/>
    <xf numFmtId="1" fontId="0" fillId="0" borderId="0" xfId="0" applyNumberFormat="1" applyAlignment="1">
      <alignment horizontal="right"/>
    </xf>
    <xf numFmtId="166" fontId="17" fillId="0" borderId="0" xfId="0" applyNumberFormat="1" applyFont="1"/>
    <xf numFmtId="0" fontId="1" fillId="2" borderId="0" xfId="0" applyFont="1" applyFill="1"/>
    <xf numFmtId="0" fontId="0" fillId="14" borderId="0" xfId="0" applyFill="1" applyAlignment="1">
      <alignment vertical="center"/>
    </xf>
    <xf numFmtId="1" fontId="0" fillId="14" borderId="0" xfId="0" applyNumberFormat="1" applyFill="1" applyAlignment="1">
      <alignment horizontal="center" vertical="center"/>
    </xf>
    <xf numFmtId="166" fontId="0" fillId="14" borderId="0" xfId="1" applyNumberFormat="1" applyFont="1" applyFill="1" applyAlignment="1">
      <alignment vertical="center"/>
    </xf>
    <xf numFmtId="166" fontId="0" fillId="0" borderId="0" xfId="1" applyNumberFormat="1" applyFont="1" applyFill="1" applyAlignment="1">
      <alignment vertical="center"/>
    </xf>
    <xf numFmtId="0" fontId="0" fillId="15" borderId="0" xfId="0" applyFill="1" applyAlignment="1">
      <alignment vertical="center"/>
    </xf>
    <xf numFmtId="1" fontId="0" fillId="15" borderId="0" xfId="0" applyNumberFormat="1" applyFill="1" applyAlignment="1">
      <alignment horizontal="center" vertical="center"/>
    </xf>
    <xf numFmtId="166" fontId="0" fillId="15" borderId="0" xfId="1" applyNumberFormat="1" applyFont="1" applyFill="1" applyAlignment="1">
      <alignment vertical="center"/>
    </xf>
    <xf numFmtId="1" fontId="18" fillId="6" borderId="0" xfId="0" applyNumberFormat="1" applyFont="1" applyFill="1"/>
    <xf numFmtId="1" fontId="16" fillId="6" borderId="0" xfId="0" applyNumberFormat="1" applyFont="1" applyFill="1"/>
    <xf numFmtId="1" fontId="0" fillId="4" borderId="0" xfId="0" applyNumberFormat="1" applyFill="1"/>
    <xf numFmtId="1" fontId="19" fillId="4" borderId="0" xfId="0" applyNumberFormat="1" applyFont="1" applyFill="1"/>
    <xf numFmtId="1" fontId="7" fillId="12" borderId="1" xfId="0" applyNumberFormat="1" applyFont="1" applyFill="1" applyBorder="1" applyAlignment="1">
      <alignment horizontal="center" wrapText="1"/>
    </xf>
    <xf numFmtId="0" fontId="7" fillId="12" borderId="1" xfId="0" applyFont="1" applyFill="1" applyBorder="1" applyAlignment="1">
      <alignment horizontal="center" wrapText="1"/>
    </xf>
    <xf numFmtId="0" fontId="7" fillId="12" borderId="1" xfId="0" applyFont="1" applyFill="1" applyBorder="1" applyAlignment="1">
      <alignment wrapText="1"/>
    </xf>
    <xf numFmtId="0" fontId="5" fillId="12" borderId="1" xfId="0" applyFont="1" applyFill="1" applyBorder="1" applyAlignment="1">
      <alignment wrapText="1"/>
    </xf>
    <xf numFmtId="166" fontId="0" fillId="12" borderId="0" xfId="0" applyNumberFormat="1" applyFill="1"/>
    <xf numFmtId="167" fontId="9" fillId="5" borderId="0" xfId="0" applyNumberFormat="1" applyFont="1" applyFill="1" applyAlignment="1">
      <alignment horizontal="center"/>
    </xf>
    <xf numFmtId="0" fontId="14" fillId="0" borderId="4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/Downloads/Dubai%20Selling%20List%20(1)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els (2)"/>
      <sheetName val="Summary"/>
      <sheetName val="labels"/>
      <sheetName val="invoice 1"/>
      <sheetName val="invoice 2"/>
      <sheetName val="invoice 3"/>
      <sheetName val="invoice 4"/>
      <sheetName val="invoice 5"/>
      <sheetName val="invoice 6"/>
      <sheetName val="invoice 07"/>
      <sheetName val="Sheet4"/>
      <sheetName val="ASAD WAJAHAT 01"/>
      <sheetName val="ASAD WAJAHAT 02"/>
      <sheetName val="ASAD WAJAHAT 03"/>
      <sheetName val="Wajahat invoice 4 &amp;5"/>
      <sheetName val="PROFIT SHEET"/>
      <sheetName val="Return"/>
      <sheetName val="wajahat"/>
      <sheetName val="SAMSUNG"/>
      <sheetName val="Sheet1"/>
      <sheetName val="Sheet2"/>
      <sheetName val="Sheet3"/>
    </sheetNames>
    <sheetDataSet>
      <sheetData sheetId="0"/>
      <sheetData sheetId="1"/>
      <sheetData sheetId="2"/>
      <sheetData sheetId="3">
        <row r="60">
          <cell r="F60">
            <v>141530</v>
          </cell>
        </row>
      </sheetData>
      <sheetData sheetId="4">
        <row r="52">
          <cell r="F52">
            <v>117290</v>
          </cell>
        </row>
      </sheetData>
      <sheetData sheetId="5">
        <row r="97">
          <cell r="E97">
            <v>228660</v>
          </cell>
        </row>
      </sheetData>
      <sheetData sheetId="6">
        <row r="79">
          <cell r="E79">
            <v>155410</v>
          </cell>
        </row>
      </sheetData>
      <sheetData sheetId="7">
        <row r="64">
          <cell r="E64">
            <v>113640</v>
          </cell>
        </row>
      </sheetData>
      <sheetData sheetId="8">
        <row r="18">
          <cell r="E18">
            <v>30750</v>
          </cell>
        </row>
      </sheetData>
      <sheetData sheetId="9">
        <row r="56">
          <cell r="E56">
            <v>130820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12">
          <cell r="E12">
            <v>27090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opLeftCell="A51" zoomScale="87" zoomScaleNormal="91" workbookViewId="0">
      <selection activeCell="E66" sqref="E66"/>
    </sheetView>
  </sheetViews>
  <sheetFormatPr defaultRowHeight="14.4" x14ac:dyDescent="0.3"/>
  <cols>
    <col min="1" max="1" width="10.21875" style="75" bestFit="1" customWidth="1"/>
    <col min="2" max="2" width="41.77734375" bestFit="1" customWidth="1"/>
    <col min="3" max="4" width="21.88671875" customWidth="1"/>
    <col min="5" max="5" width="21.77734375" bestFit="1" customWidth="1"/>
    <col min="6" max="6" width="18.21875" bestFit="1" customWidth="1"/>
    <col min="8" max="8" width="18.88671875" bestFit="1" customWidth="1"/>
    <col min="10" max="10" width="11.33203125" customWidth="1"/>
  </cols>
  <sheetData>
    <row r="1" spans="1:6" ht="21" x14ac:dyDescent="0.4">
      <c r="A1" s="112" t="s">
        <v>150</v>
      </c>
      <c r="B1" s="112"/>
      <c r="C1" s="112"/>
      <c r="D1" s="112"/>
      <c r="E1" s="112"/>
      <c r="F1" s="63"/>
    </row>
    <row r="2" spans="1:6" x14ac:dyDescent="0.3">
      <c r="A2" s="64" t="s">
        <v>151</v>
      </c>
      <c r="B2" s="65" t="s">
        <v>152</v>
      </c>
      <c r="C2" s="65" t="s">
        <v>153</v>
      </c>
      <c r="D2" s="65" t="s">
        <v>154</v>
      </c>
      <c r="E2" s="65" t="s">
        <v>155</v>
      </c>
      <c r="F2" s="63"/>
    </row>
    <row r="3" spans="1:6" x14ac:dyDescent="0.3">
      <c r="A3" s="66">
        <v>45838</v>
      </c>
      <c r="B3" s="67" t="s">
        <v>156</v>
      </c>
      <c r="C3" s="68">
        <f>'[1]invoice 1'!F60</f>
        <v>141530</v>
      </c>
      <c r="D3" s="68"/>
      <c r="E3" s="68">
        <f>C3</f>
        <v>141530</v>
      </c>
      <c r="F3" s="63"/>
    </row>
    <row r="4" spans="1:6" x14ac:dyDescent="0.3">
      <c r="A4" s="66">
        <v>45839</v>
      </c>
      <c r="B4" s="67" t="s">
        <v>157</v>
      </c>
      <c r="C4" s="68"/>
      <c r="D4" s="68">
        <v>100000</v>
      </c>
      <c r="E4" s="68">
        <f>E3-D4</f>
        <v>41530</v>
      </c>
      <c r="F4" s="63"/>
    </row>
    <row r="5" spans="1:6" x14ac:dyDescent="0.3">
      <c r="A5" s="66">
        <v>45839</v>
      </c>
      <c r="B5" s="67" t="s">
        <v>158</v>
      </c>
      <c r="C5" s="68"/>
      <c r="D5" s="68">
        <v>41000</v>
      </c>
      <c r="E5" s="68">
        <f>E4-D5</f>
        <v>530</v>
      </c>
      <c r="F5" s="63"/>
    </row>
    <row r="6" spans="1:6" x14ac:dyDescent="0.3">
      <c r="A6" s="66"/>
      <c r="B6" s="67"/>
      <c r="C6" s="68"/>
      <c r="D6" s="68"/>
      <c r="E6" s="68"/>
      <c r="F6" s="63"/>
    </row>
    <row r="7" spans="1:6" x14ac:dyDescent="0.3">
      <c r="A7" s="66">
        <v>45840</v>
      </c>
      <c r="B7" s="67" t="s">
        <v>159</v>
      </c>
      <c r="C7" s="68">
        <f>'[1]invoice 2'!F52</f>
        <v>117290</v>
      </c>
      <c r="D7" s="68"/>
      <c r="E7" s="68">
        <f>E5+C7</f>
        <v>117820</v>
      </c>
      <c r="F7" s="63"/>
    </row>
    <row r="8" spans="1:6" x14ac:dyDescent="0.3">
      <c r="A8" s="66">
        <v>45842</v>
      </c>
      <c r="B8" s="67" t="s">
        <v>158</v>
      </c>
      <c r="C8" s="68"/>
      <c r="D8" s="68">
        <v>10000</v>
      </c>
      <c r="E8" s="68">
        <f>E7-D8</f>
        <v>107820</v>
      </c>
      <c r="F8" s="63"/>
    </row>
    <row r="9" spans="1:6" x14ac:dyDescent="0.3">
      <c r="A9" s="66">
        <v>45842</v>
      </c>
      <c r="B9" s="67" t="s">
        <v>160</v>
      </c>
      <c r="C9" s="68"/>
      <c r="D9" s="68">
        <f>[1]Return!E12</f>
        <v>27090</v>
      </c>
      <c r="E9" s="68">
        <f>E8-D9</f>
        <v>80730</v>
      </c>
      <c r="F9" s="63"/>
    </row>
    <row r="10" spans="1:6" x14ac:dyDescent="0.3">
      <c r="A10" s="66">
        <v>45845</v>
      </c>
      <c r="B10" s="67" t="s">
        <v>161</v>
      </c>
      <c r="C10" s="68"/>
      <c r="D10" s="68">
        <v>49242.42</v>
      </c>
      <c r="E10" s="68">
        <f>E9-D10</f>
        <v>31487.58</v>
      </c>
      <c r="F10" s="63"/>
    </row>
    <row r="11" spans="1:6" x14ac:dyDescent="0.3">
      <c r="A11" s="66"/>
      <c r="B11" s="67"/>
      <c r="C11" s="68"/>
      <c r="D11" s="68"/>
      <c r="E11" s="68"/>
      <c r="F11" s="63"/>
    </row>
    <row r="12" spans="1:6" x14ac:dyDescent="0.3">
      <c r="A12" s="66">
        <v>45828</v>
      </c>
      <c r="B12" s="69" t="s">
        <v>162</v>
      </c>
      <c r="C12" s="68"/>
      <c r="D12" s="68">
        <f>3.678*386</f>
        <v>1419.7080000000001</v>
      </c>
      <c r="E12" s="68">
        <f>E10-D12</f>
        <v>30067.872000000003</v>
      </c>
      <c r="F12" s="63"/>
    </row>
    <row r="13" spans="1:6" x14ac:dyDescent="0.3">
      <c r="A13" s="66">
        <v>45831</v>
      </c>
      <c r="B13" s="69" t="s">
        <v>163</v>
      </c>
      <c r="C13" s="68"/>
      <c r="D13" s="68">
        <f>3.678*525</f>
        <v>1930.95</v>
      </c>
      <c r="E13" s="68">
        <f>E12-D13</f>
        <v>28136.922000000002</v>
      </c>
      <c r="F13" s="70"/>
    </row>
    <row r="14" spans="1:6" x14ac:dyDescent="0.3">
      <c r="A14" s="66">
        <v>45832</v>
      </c>
      <c r="B14" s="69" t="s">
        <v>164</v>
      </c>
      <c r="C14" s="68"/>
      <c r="D14" s="68">
        <f>3.678*507</f>
        <v>1864.7459999999999</v>
      </c>
      <c r="E14" s="68">
        <f t="shared" ref="E14:E20" si="0">E13-D14</f>
        <v>26272.176000000003</v>
      </c>
      <c r="F14" s="63"/>
    </row>
    <row r="15" spans="1:6" x14ac:dyDescent="0.3">
      <c r="A15" s="66">
        <v>45845</v>
      </c>
      <c r="B15" s="69" t="s">
        <v>165</v>
      </c>
      <c r="C15" s="68"/>
      <c r="D15" s="68">
        <f>650*3</f>
        <v>1950</v>
      </c>
      <c r="E15" s="68">
        <f t="shared" si="0"/>
        <v>24322.176000000003</v>
      </c>
      <c r="F15" s="63"/>
    </row>
    <row r="16" spans="1:6" x14ac:dyDescent="0.3">
      <c r="A16" s="66">
        <v>45841</v>
      </c>
      <c r="B16" s="69" t="s">
        <v>166</v>
      </c>
      <c r="C16" s="68"/>
      <c r="D16" s="68">
        <f>3.678*39</f>
        <v>143.44200000000001</v>
      </c>
      <c r="E16" s="68">
        <f t="shared" si="0"/>
        <v>24178.734000000004</v>
      </c>
      <c r="F16" s="63"/>
    </row>
    <row r="17" spans="1:6" x14ac:dyDescent="0.3">
      <c r="A17" s="66">
        <v>45845</v>
      </c>
      <c r="B17" s="69" t="s">
        <v>167</v>
      </c>
      <c r="C17" s="68"/>
      <c r="D17" s="68">
        <f>500000/79.2</f>
        <v>6313.1313131313127</v>
      </c>
      <c r="E17" s="68">
        <f t="shared" si="0"/>
        <v>17865.602686868689</v>
      </c>
      <c r="F17" s="63"/>
    </row>
    <row r="18" spans="1:6" x14ac:dyDescent="0.3">
      <c r="A18" s="66">
        <v>45845</v>
      </c>
      <c r="B18" s="69" t="s">
        <v>168</v>
      </c>
      <c r="C18" s="68"/>
      <c r="D18" s="68">
        <f>646500/79.2</f>
        <v>8162.878787878788</v>
      </c>
      <c r="E18" s="68">
        <f t="shared" si="0"/>
        <v>9702.7238989899015</v>
      </c>
      <c r="F18" s="63"/>
    </row>
    <row r="19" spans="1:6" x14ac:dyDescent="0.3">
      <c r="A19" s="66">
        <v>45846</v>
      </c>
      <c r="B19" s="69" t="s">
        <v>167</v>
      </c>
      <c r="C19" s="68"/>
      <c r="D19" s="68">
        <f>500000/79.2</f>
        <v>6313.1313131313127</v>
      </c>
      <c r="E19" s="68">
        <f t="shared" si="0"/>
        <v>3389.5925858585888</v>
      </c>
      <c r="F19" s="63"/>
    </row>
    <row r="20" spans="1:6" x14ac:dyDescent="0.3">
      <c r="A20" s="66">
        <v>45848</v>
      </c>
      <c r="B20" s="69" t="s">
        <v>169</v>
      </c>
      <c r="C20" s="68"/>
      <c r="D20" s="68">
        <f>268450/79.2</f>
        <v>3389.5202020202019</v>
      </c>
      <c r="E20" s="68">
        <f t="shared" si="0"/>
        <v>7.2383838386940624E-2</v>
      </c>
      <c r="F20" s="63"/>
    </row>
    <row r="21" spans="1:6" x14ac:dyDescent="0.3">
      <c r="A21" s="66"/>
      <c r="B21" s="69"/>
      <c r="C21" s="68"/>
      <c r="D21" s="68"/>
      <c r="E21" s="68"/>
      <c r="F21" s="63"/>
    </row>
    <row r="22" spans="1:6" x14ac:dyDescent="0.3">
      <c r="A22" s="66">
        <v>45848</v>
      </c>
      <c r="B22" s="67" t="s">
        <v>170</v>
      </c>
      <c r="C22" s="68">
        <f>'[1]invoice 3'!E97</f>
        <v>228660</v>
      </c>
      <c r="D22" s="68"/>
      <c r="E22" s="68">
        <f>E20+C22</f>
        <v>228660.07238383839</v>
      </c>
      <c r="F22" s="63"/>
    </row>
    <row r="23" spans="1:6" x14ac:dyDescent="0.3">
      <c r="A23" s="66">
        <v>45849</v>
      </c>
      <c r="B23" s="67" t="s">
        <v>158</v>
      </c>
      <c r="C23" s="68"/>
      <c r="D23" s="68">
        <v>100000</v>
      </c>
      <c r="E23" s="68">
        <f>E22-D23</f>
        <v>128660.07238383839</v>
      </c>
      <c r="F23" s="63"/>
    </row>
    <row r="24" spans="1:6" x14ac:dyDescent="0.3">
      <c r="A24" s="66">
        <v>45850</v>
      </c>
      <c r="B24" s="69" t="s">
        <v>171</v>
      </c>
      <c r="C24" s="68"/>
      <c r="D24" s="68">
        <v>100000</v>
      </c>
      <c r="E24" s="68">
        <f>E23-D24</f>
        <v>28660.072383838386</v>
      </c>
      <c r="F24" s="71"/>
    </row>
    <row r="25" spans="1:6" x14ac:dyDescent="0.3">
      <c r="A25" s="66"/>
      <c r="B25" s="67" t="s">
        <v>172</v>
      </c>
      <c r="C25" s="68"/>
      <c r="D25" s="67">
        <f>500*3.678</f>
        <v>1839</v>
      </c>
      <c r="E25" s="68">
        <f>E24-D25</f>
        <v>26821.072383838386</v>
      </c>
      <c r="F25" s="63"/>
    </row>
    <row r="26" spans="1:6" x14ac:dyDescent="0.3">
      <c r="A26" s="66"/>
      <c r="B26" s="67" t="s">
        <v>173</v>
      </c>
      <c r="C26" s="68"/>
      <c r="D26" s="67">
        <f>500*3.678</f>
        <v>1839</v>
      </c>
      <c r="E26" s="68">
        <f t="shared" ref="E26:E29" si="1">E25-D26</f>
        <v>24982.072383838386</v>
      </c>
      <c r="F26" s="63"/>
    </row>
    <row r="27" spans="1:6" x14ac:dyDescent="0.3">
      <c r="A27" s="66"/>
      <c r="B27" s="67" t="s">
        <v>174</v>
      </c>
      <c r="C27" s="68"/>
      <c r="D27" s="67">
        <f>350*3.678</f>
        <v>1287.3</v>
      </c>
      <c r="E27" s="68">
        <f t="shared" si="1"/>
        <v>23694.772383838386</v>
      </c>
      <c r="F27" s="63"/>
    </row>
    <row r="28" spans="1:6" x14ac:dyDescent="0.3">
      <c r="A28" s="66"/>
      <c r="B28" s="69" t="s">
        <v>165</v>
      </c>
      <c r="C28" s="68"/>
      <c r="D28" s="67">
        <f>3*650</f>
        <v>1950</v>
      </c>
      <c r="E28" s="68">
        <f t="shared" si="1"/>
        <v>21744.772383838386</v>
      </c>
      <c r="F28" s="63"/>
    </row>
    <row r="29" spans="1:6" x14ac:dyDescent="0.3">
      <c r="A29" s="66"/>
      <c r="B29" s="67"/>
      <c r="C29" s="68"/>
      <c r="D29" s="68">
        <v>21745</v>
      </c>
      <c r="E29" s="68">
        <f t="shared" si="1"/>
        <v>-0.22761616161369602</v>
      </c>
    </row>
    <row r="30" spans="1:6" x14ac:dyDescent="0.3">
      <c r="A30" s="66">
        <v>45854</v>
      </c>
      <c r="B30" s="67" t="s">
        <v>175</v>
      </c>
      <c r="C30" s="68">
        <f>'[1]invoice 4'!E79</f>
        <v>155410</v>
      </c>
      <c r="D30" s="68"/>
      <c r="E30" s="68">
        <f>E29+C30</f>
        <v>155409.7723838384</v>
      </c>
    </row>
    <row r="31" spans="1:6" x14ac:dyDescent="0.3">
      <c r="A31" s="66">
        <v>45857</v>
      </c>
      <c r="B31" s="67" t="s">
        <v>176</v>
      </c>
      <c r="C31" s="68"/>
      <c r="D31" s="68">
        <v>100000</v>
      </c>
      <c r="E31" s="68">
        <f>E30-D31</f>
        <v>55409.772383838397</v>
      </c>
    </row>
    <row r="32" spans="1:6" x14ac:dyDescent="0.3">
      <c r="A32" s="66">
        <v>45860</v>
      </c>
      <c r="B32" s="67" t="s">
        <v>177</v>
      </c>
      <c r="C32" s="68"/>
      <c r="D32" s="68">
        <v>50000</v>
      </c>
      <c r="E32" s="68">
        <f>E31-D32</f>
        <v>5409.7723838383972</v>
      </c>
    </row>
    <row r="33" spans="1:6" x14ac:dyDescent="0.3">
      <c r="A33" s="66"/>
      <c r="B33" s="67"/>
      <c r="C33" s="68"/>
      <c r="D33" s="68"/>
      <c r="E33" s="68"/>
    </row>
    <row r="34" spans="1:6" x14ac:dyDescent="0.3">
      <c r="A34" s="66">
        <v>45859</v>
      </c>
      <c r="B34" s="67" t="s">
        <v>178</v>
      </c>
      <c r="C34" s="68">
        <f>'[1]invoice 5'!E64</f>
        <v>113640</v>
      </c>
      <c r="D34" s="68"/>
      <c r="E34" s="68">
        <f>E32+C34</f>
        <v>119049.7723838384</v>
      </c>
    </row>
    <row r="35" spans="1:6" x14ac:dyDescent="0.3">
      <c r="A35" s="66">
        <v>45859</v>
      </c>
      <c r="B35" s="67" t="s">
        <v>179</v>
      </c>
      <c r="C35" s="68">
        <f>'[1]invoice 6'!E18</f>
        <v>30750</v>
      </c>
      <c r="D35" s="68"/>
      <c r="E35" s="68">
        <f>+E34+C35</f>
        <v>149799.7723838384</v>
      </c>
    </row>
    <row r="36" spans="1:6" x14ac:dyDescent="0.3">
      <c r="A36" s="66">
        <v>45860</v>
      </c>
      <c r="B36" s="67" t="s">
        <v>180</v>
      </c>
      <c r="C36" s="68">
        <f>'[1]invoice 07'!E56</f>
        <v>130820</v>
      </c>
      <c r="D36" s="68"/>
      <c r="E36" s="68">
        <f>+E35+C36</f>
        <v>280619.77238383843</v>
      </c>
    </row>
    <row r="37" spans="1:6" x14ac:dyDescent="0.3">
      <c r="A37" s="66">
        <v>45862</v>
      </c>
      <c r="B37" s="67" t="s">
        <v>181</v>
      </c>
      <c r="C37" s="68"/>
      <c r="D37" s="68">
        <v>152783.20800000001</v>
      </c>
      <c r="E37" s="68">
        <f>E36-D37</f>
        <v>127836.56438383841</v>
      </c>
    </row>
    <row r="38" spans="1:6" x14ac:dyDescent="0.3">
      <c r="A38" s="66">
        <v>45864</v>
      </c>
      <c r="B38" s="67" t="s">
        <v>182</v>
      </c>
      <c r="C38" s="68"/>
      <c r="D38" s="68">
        <f>1700000/79.8</f>
        <v>21303.258145363408</v>
      </c>
      <c r="E38" s="68">
        <f>E37-D38</f>
        <v>106533.30623847501</v>
      </c>
    </row>
    <row r="39" spans="1:6" x14ac:dyDescent="0.3">
      <c r="A39" s="66">
        <v>45867</v>
      </c>
      <c r="B39" s="67" t="s">
        <v>183</v>
      </c>
      <c r="C39" s="68"/>
      <c r="D39" s="68">
        <f>10000000/79.6</f>
        <v>125628.14070351759</v>
      </c>
      <c r="E39" s="68">
        <f>E38-D39</f>
        <v>-19094.834465042586</v>
      </c>
    </row>
    <row r="40" spans="1:6" x14ac:dyDescent="0.3">
      <c r="A40" s="66"/>
      <c r="B40" s="67"/>
      <c r="C40" s="68"/>
      <c r="D40" s="68"/>
      <c r="E40" s="68"/>
    </row>
    <row r="41" spans="1:6" x14ac:dyDescent="0.3">
      <c r="A41" s="66">
        <v>45868</v>
      </c>
      <c r="B41" s="67" t="s">
        <v>68</v>
      </c>
      <c r="C41" s="68">
        <f>'invoice 8'!E34</f>
        <v>77890</v>
      </c>
      <c r="D41" s="68"/>
      <c r="E41" s="68">
        <f>E39+C41</f>
        <v>58795.165534957414</v>
      </c>
    </row>
    <row r="42" spans="1:6" x14ac:dyDescent="0.3">
      <c r="A42" s="66">
        <v>45868</v>
      </c>
      <c r="B42" s="67" t="s">
        <v>184</v>
      </c>
      <c r="C42" s="68">
        <f>'Invoice 09'!E33</f>
        <v>72940</v>
      </c>
      <c r="D42" s="68"/>
      <c r="E42" s="68">
        <f>E41+C42</f>
        <v>131735.16553495743</v>
      </c>
    </row>
    <row r="43" spans="1:6" x14ac:dyDescent="0.3">
      <c r="A43" s="66">
        <v>45868</v>
      </c>
      <c r="B43" s="67" t="s">
        <v>69</v>
      </c>
      <c r="C43" s="68">
        <f>'Invoice 10'!E64</f>
        <v>140580</v>
      </c>
      <c r="D43" s="68"/>
      <c r="E43" s="68">
        <f>E42+C43</f>
        <v>272315.16553495743</v>
      </c>
    </row>
    <row r="44" spans="1:6" x14ac:dyDescent="0.3">
      <c r="A44" s="66">
        <v>45868</v>
      </c>
      <c r="B44" s="67" t="s">
        <v>185</v>
      </c>
      <c r="C44" s="68"/>
      <c r="D44" s="68">
        <f>20000000/79.6</f>
        <v>251256.28140703519</v>
      </c>
      <c r="E44" s="68">
        <f>E43-D44</f>
        <v>21058.88412792224</v>
      </c>
    </row>
    <row r="45" spans="1:6" x14ac:dyDescent="0.3">
      <c r="A45" s="66"/>
      <c r="B45" s="67"/>
      <c r="C45" s="68"/>
      <c r="D45" s="68"/>
      <c r="E45" s="68"/>
    </row>
    <row r="46" spans="1:6" x14ac:dyDescent="0.3">
      <c r="A46" s="66">
        <v>45869</v>
      </c>
      <c r="B46" s="67" t="s">
        <v>186</v>
      </c>
      <c r="C46" s="68">
        <f>'invoice 11'!E34</f>
        <v>61670</v>
      </c>
      <c r="D46" s="68"/>
      <c r="E46" s="68">
        <f>E44+C46</f>
        <v>82728.88412792224</v>
      </c>
    </row>
    <row r="47" spans="1:6" x14ac:dyDescent="0.3">
      <c r="A47" s="66">
        <v>45870</v>
      </c>
      <c r="B47" s="67" t="s">
        <v>187</v>
      </c>
      <c r="C47" s="68">
        <f>'invoice 12'!F65</f>
        <v>114190</v>
      </c>
      <c r="D47" s="68"/>
      <c r="E47" s="68">
        <f>E46+C47</f>
        <v>196918.88412792224</v>
      </c>
    </row>
    <row r="48" spans="1:6" ht="15" thickBot="1" x14ac:dyDescent="0.35">
      <c r="A48" s="66">
        <v>45873</v>
      </c>
      <c r="B48" s="67" t="s">
        <v>202</v>
      </c>
      <c r="C48" s="68"/>
      <c r="D48" s="68">
        <f>16607000/79.75</f>
        <v>208238.24451410657</v>
      </c>
      <c r="E48" s="68">
        <f>E47-D48</f>
        <v>-11319.360386184329</v>
      </c>
      <c r="F48" s="10"/>
    </row>
    <row r="49" spans="1:6" ht="15" thickBot="1" x14ac:dyDescent="0.35">
      <c r="A49" s="66"/>
      <c r="B49" s="89" t="s">
        <v>205</v>
      </c>
      <c r="C49" s="88"/>
      <c r="D49" s="68"/>
      <c r="E49" s="68"/>
    </row>
    <row r="50" spans="1:6" x14ac:dyDescent="0.3">
      <c r="A50" s="66"/>
      <c r="B50" s="113" t="s">
        <v>198</v>
      </c>
      <c r="D50" s="68">
        <v>2390</v>
      </c>
      <c r="E50" s="68">
        <f>E48-D50</f>
        <v>-13709.360386184329</v>
      </c>
    </row>
    <row r="51" spans="1:6" x14ac:dyDescent="0.3">
      <c r="A51" s="66"/>
      <c r="B51" s="114"/>
      <c r="D51" s="68">
        <v>3600</v>
      </c>
      <c r="E51" s="68">
        <f>E50-D51</f>
        <v>-17309.360386184329</v>
      </c>
    </row>
    <row r="52" spans="1:6" x14ac:dyDescent="0.3">
      <c r="A52" s="66"/>
      <c r="B52" s="115" t="s">
        <v>200</v>
      </c>
      <c r="D52" s="68">
        <v>250</v>
      </c>
      <c r="E52" s="68">
        <f>E51-D52</f>
        <v>-17559.360386184329</v>
      </c>
    </row>
    <row r="53" spans="1:6" ht="15" thickBot="1" x14ac:dyDescent="0.35">
      <c r="A53" s="66"/>
      <c r="B53" s="116"/>
      <c r="D53" s="68">
        <v>220</v>
      </c>
      <c r="E53" s="68">
        <f>E52-D53</f>
        <v>-17779.360386184329</v>
      </c>
    </row>
    <row r="54" spans="1:6" ht="27" customHeight="1" x14ac:dyDescent="0.3">
      <c r="A54" s="66"/>
      <c r="B54" s="117" t="s">
        <v>199</v>
      </c>
      <c r="D54" s="68">
        <v>1080</v>
      </c>
      <c r="E54" s="68">
        <f>E53-D54</f>
        <v>-18859.360386184329</v>
      </c>
      <c r="F54" s="10"/>
    </row>
    <row r="55" spans="1:6" ht="15" thickBot="1" x14ac:dyDescent="0.35">
      <c r="A55" s="66"/>
      <c r="B55" s="118"/>
      <c r="C55" s="88"/>
      <c r="D55" s="68"/>
      <c r="E55" s="68"/>
      <c r="F55" s="10"/>
    </row>
    <row r="56" spans="1:6" x14ac:dyDescent="0.3">
      <c r="A56" s="66">
        <v>45874</v>
      </c>
      <c r="B56" s="67" t="s">
        <v>203</v>
      </c>
      <c r="C56" s="68">
        <f>'Invoice 13'!E64</f>
        <v>130880</v>
      </c>
      <c r="D56" s="68"/>
      <c r="E56" s="68">
        <f>C56+E54</f>
        <v>112020.63961381567</v>
      </c>
      <c r="F56" s="10"/>
    </row>
    <row r="57" spans="1:6" x14ac:dyDescent="0.3">
      <c r="A57" s="66">
        <v>45881</v>
      </c>
      <c r="B57" s="67" t="s">
        <v>158</v>
      </c>
      <c r="C57" s="68"/>
      <c r="D57" s="68">
        <v>100000</v>
      </c>
      <c r="E57" s="68">
        <f>E56-D57</f>
        <v>12020.639613815671</v>
      </c>
    </row>
    <row r="58" spans="1:6" x14ac:dyDescent="0.3">
      <c r="A58" s="66"/>
      <c r="B58" s="67" t="s">
        <v>208</v>
      </c>
      <c r="C58" s="68"/>
      <c r="D58" s="68">
        <v>12020</v>
      </c>
      <c r="E58" s="68">
        <f>E57-D58</f>
        <v>0.63961381567060016</v>
      </c>
      <c r="F58" s="10"/>
    </row>
    <row r="59" spans="1:6" x14ac:dyDescent="0.3">
      <c r="A59" s="66">
        <v>45882</v>
      </c>
      <c r="B59" s="67" t="s">
        <v>230</v>
      </c>
      <c r="C59" s="68">
        <f>'invoice 14'!E64</f>
        <v>120770</v>
      </c>
      <c r="D59" s="68"/>
      <c r="E59" s="68">
        <f>E58+C59</f>
        <v>120770.63961381567</v>
      </c>
    </row>
    <row r="60" spans="1:6" x14ac:dyDescent="0.3">
      <c r="A60" s="66">
        <v>45883</v>
      </c>
      <c r="B60" s="67" t="s">
        <v>231</v>
      </c>
      <c r="C60" s="68">
        <f>'Invoice 15'!E33</f>
        <v>66050</v>
      </c>
      <c r="D60" s="68"/>
      <c r="E60" s="68">
        <f>E59+C60</f>
        <v>186820.63961381567</v>
      </c>
    </row>
    <row r="61" spans="1:6" x14ac:dyDescent="0.3">
      <c r="A61" s="66"/>
      <c r="B61" s="67"/>
      <c r="C61" s="68"/>
      <c r="D61" s="68"/>
      <c r="E61" s="68"/>
    </row>
    <row r="62" spans="1:6" x14ac:dyDescent="0.3">
      <c r="A62" s="66"/>
      <c r="B62" s="67"/>
      <c r="C62" s="68"/>
      <c r="D62" s="68"/>
      <c r="E62" s="68"/>
    </row>
    <row r="63" spans="1:6" x14ac:dyDescent="0.3">
      <c r="A63" s="72"/>
      <c r="B63" s="73"/>
      <c r="C63" s="74">
        <f>SUM(C3:C60)</f>
        <v>1703070</v>
      </c>
      <c r="D63" s="74">
        <f>SUM(D3:D58)</f>
        <v>1516249.3603861842</v>
      </c>
      <c r="E63" s="74">
        <f>C63-D63</f>
        <v>186820.63961381582</v>
      </c>
      <c r="F63" s="10"/>
    </row>
    <row r="64" spans="1:6" x14ac:dyDescent="0.3">
      <c r="A64"/>
    </row>
    <row r="65" spans="1:11" x14ac:dyDescent="0.3">
      <c r="A65"/>
    </row>
    <row r="66" spans="1:11" x14ac:dyDescent="0.3">
      <c r="A66"/>
    </row>
    <row r="67" spans="1:11" x14ac:dyDescent="0.3">
      <c r="A67"/>
    </row>
    <row r="68" spans="1:11" x14ac:dyDescent="0.3">
      <c r="A68"/>
    </row>
    <row r="69" spans="1:11" x14ac:dyDescent="0.3">
      <c r="A69"/>
    </row>
    <row r="70" spans="1:11" x14ac:dyDescent="0.3">
      <c r="A70"/>
    </row>
    <row r="71" spans="1:11" x14ac:dyDescent="0.3">
      <c r="A71"/>
    </row>
    <row r="72" spans="1:11" x14ac:dyDescent="0.3">
      <c r="A72"/>
    </row>
    <row r="73" spans="1:11" x14ac:dyDescent="0.3">
      <c r="A73"/>
    </row>
    <row r="74" spans="1:11" x14ac:dyDescent="0.3">
      <c r="A74"/>
    </row>
    <row r="75" spans="1:11" x14ac:dyDescent="0.3">
      <c r="A75"/>
    </row>
    <row r="76" spans="1:11" x14ac:dyDescent="0.3">
      <c r="A76"/>
    </row>
    <row r="77" spans="1:11" x14ac:dyDescent="0.3">
      <c r="A77"/>
      <c r="K77" t="s">
        <v>232</v>
      </c>
    </row>
    <row r="78" spans="1:11" x14ac:dyDescent="0.3">
      <c r="A78"/>
    </row>
    <row r="79" spans="1:11" x14ac:dyDescent="0.3">
      <c r="A79"/>
    </row>
    <row r="80" spans="1:1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</sheetData>
  <mergeCells count="4">
    <mergeCell ref="A1:E1"/>
    <mergeCell ref="B50:B51"/>
    <mergeCell ref="B52:B53"/>
    <mergeCell ref="B54:B5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abSelected="1" topLeftCell="A10" zoomScale="80" zoomScaleNormal="80" workbookViewId="0">
      <selection activeCell="I27" sqref="I27"/>
    </sheetView>
  </sheetViews>
  <sheetFormatPr defaultRowHeight="20.25" customHeight="1" x14ac:dyDescent="0.3"/>
  <cols>
    <col min="1" max="1" width="4.88671875" bestFit="1" customWidth="1"/>
    <col min="2" max="2" width="18.77734375" bestFit="1" customWidth="1"/>
    <col min="3" max="3" width="33.109375" bestFit="1" customWidth="1"/>
    <col min="4" max="4" width="10.21875" bestFit="1" customWidth="1"/>
    <col min="5" max="5" width="18.109375" style="7" bestFit="1" customWidth="1"/>
    <col min="6" max="6" width="14" bestFit="1" customWidth="1"/>
  </cols>
  <sheetData>
    <row r="1" spans="1:6" ht="20.25" customHeight="1" x14ac:dyDescent="0.3">
      <c r="A1" s="15" t="s">
        <v>59</v>
      </c>
      <c r="B1" s="15"/>
      <c r="C1" s="16" t="s">
        <v>62</v>
      </c>
      <c r="D1" s="15"/>
      <c r="E1" s="17" t="s">
        <v>60</v>
      </c>
      <c r="F1" s="2"/>
    </row>
    <row r="2" spans="1:6" ht="20.25" customHeight="1" x14ac:dyDescent="0.3">
      <c r="A2" s="2" t="s">
        <v>6</v>
      </c>
      <c r="B2" s="2" t="s">
        <v>5</v>
      </c>
      <c r="C2" s="2" t="s">
        <v>7</v>
      </c>
      <c r="D2" s="2" t="s">
        <v>8</v>
      </c>
      <c r="E2" s="5" t="s">
        <v>9</v>
      </c>
      <c r="F2" s="2" t="s">
        <v>56</v>
      </c>
    </row>
    <row r="3" spans="1:6" ht="20.25" customHeight="1" x14ac:dyDescent="0.3">
      <c r="A3" s="3">
        <v>1</v>
      </c>
      <c r="B3" s="4">
        <v>352066341531346</v>
      </c>
      <c r="C3" s="3" t="s">
        <v>0</v>
      </c>
      <c r="D3" s="3" t="s">
        <v>33</v>
      </c>
      <c r="E3" s="6">
        <v>3600</v>
      </c>
    </row>
    <row r="4" spans="1:6" ht="20.25" customHeight="1" x14ac:dyDescent="0.3">
      <c r="A4" s="3">
        <v>2</v>
      </c>
      <c r="B4" s="4">
        <v>352066341326796</v>
      </c>
      <c r="C4" s="3" t="s">
        <v>0</v>
      </c>
      <c r="D4" s="3" t="s">
        <v>33</v>
      </c>
      <c r="E4" s="6">
        <v>3600</v>
      </c>
    </row>
    <row r="5" spans="1:6" ht="20.25" customHeight="1" x14ac:dyDescent="0.3">
      <c r="A5" s="3">
        <v>3</v>
      </c>
      <c r="B5" s="28">
        <v>352066341775315</v>
      </c>
      <c r="C5" s="11" t="s">
        <v>0</v>
      </c>
      <c r="D5" s="11" t="s">
        <v>34</v>
      </c>
      <c r="E5" s="29">
        <v>3450</v>
      </c>
    </row>
    <row r="6" spans="1:6" ht="20.25" customHeight="1" x14ac:dyDescent="0.3">
      <c r="A6" s="3">
        <v>4</v>
      </c>
      <c r="B6" s="4">
        <v>354895821446817</v>
      </c>
      <c r="C6" s="3" t="s">
        <v>0</v>
      </c>
      <c r="D6" s="3" t="s">
        <v>33</v>
      </c>
      <c r="E6" s="6">
        <v>3600</v>
      </c>
    </row>
    <row r="7" spans="1:6" ht="20.25" customHeight="1" x14ac:dyDescent="0.3">
      <c r="A7" s="3">
        <v>5</v>
      </c>
      <c r="B7" s="4">
        <v>356864561466094</v>
      </c>
      <c r="C7" s="3" t="s">
        <v>3</v>
      </c>
      <c r="D7" s="3" t="s">
        <v>33</v>
      </c>
      <c r="E7" s="6">
        <v>2400</v>
      </c>
    </row>
    <row r="8" spans="1:6" ht="20.25" customHeight="1" x14ac:dyDescent="0.3">
      <c r="A8" s="3">
        <v>6</v>
      </c>
      <c r="B8" s="4">
        <v>352315406131249</v>
      </c>
      <c r="C8" s="3" t="s">
        <v>3</v>
      </c>
      <c r="D8" s="3" t="s">
        <v>33</v>
      </c>
      <c r="E8" s="6">
        <v>2400</v>
      </c>
    </row>
    <row r="9" spans="1:6" ht="20.25" customHeight="1" x14ac:dyDescent="0.3">
      <c r="A9" s="3">
        <v>7</v>
      </c>
      <c r="B9" s="4">
        <v>358862981257646</v>
      </c>
      <c r="C9" s="3" t="s">
        <v>3</v>
      </c>
      <c r="D9" s="3" t="s">
        <v>33</v>
      </c>
      <c r="E9" s="6">
        <v>2400</v>
      </c>
    </row>
    <row r="10" spans="1:6" ht="20.25" customHeight="1" x14ac:dyDescent="0.3">
      <c r="A10" s="3">
        <v>8</v>
      </c>
      <c r="B10" s="4">
        <v>354331127564343</v>
      </c>
      <c r="C10" s="3" t="s">
        <v>3</v>
      </c>
      <c r="D10" s="3" t="s">
        <v>33</v>
      </c>
      <c r="E10" s="6">
        <v>2400</v>
      </c>
    </row>
    <row r="11" spans="1:6" ht="20.25" customHeight="1" x14ac:dyDescent="0.3">
      <c r="A11" s="3">
        <v>9</v>
      </c>
      <c r="B11" s="4">
        <v>353393817564075</v>
      </c>
      <c r="C11" s="3" t="s">
        <v>3</v>
      </c>
      <c r="D11" s="3" t="s">
        <v>33</v>
      </c>
      <c r="E11" s="6">
        <v>2400</v>
      </c>
    </row>
    <row r="12" spans="1:6" ht="20.25" customHeight="1" x14ac:dyDescent="0.3">
      <c r="A12" s="3">
        <v>10</v>
      </c>
      <c r="B12" s="4">
        <v>355469924308545</v>
      </c>
      <c r="C12" s="3" t="s">
        <v>3</v>
      </c>
      <c r="D12" s="3" t="s">
        <v>33</v>
      </c>
      <c r="E12" s="6">
        <v>2400</v>
      </c>
    </row>
    <row r="13" spans="1:6" ht="20.25" customHeight="1" x14ac:dyDescent="0.3">
      <c r="A13" s="3">
        <v>11</v>
      </c>
      <c r="B13" s="4">
        <v>355783829149865</v>
      </c>
      <c r="C13" s="3" t="s">
        <v>3</v>
      </c>
      <c r="D13" s="3" t="s">
        <v>33</v>
      </c>
      <c r="E13" s="6">
        <v>2400</v>
      </c>
    </row>
    <row r="14" spans="1:6" ht="20.25" customHeight="1" x14ac:dyDescent="0.3">
      <c r="A14" s="3">
        <v>12</v>
      </c>
      <c r="B14" s="4">
        <v>350319294583984</v>
      </c>
      <c r="C14" s="3" t="s">
        <v>3</v>
      </c>
      <c r="D14" s="3" t="s">
        <v>33</v>
      </c>
      <c r="E14" s="6">
        <v>2400</v>
      </c>
    </row>
    <row r="15" spans="1:6" ht="20.25" customHeight="1" x14ac:dyDescent="0.3">
      <c r="A15" s="100">
        <v>13</v>
      </c>
      <c r="B15" s="101"/>
      <c r="C15" s="100" t="s">
        <v>47</v>
      </c>
      <c r="D15" s="100"/>
      <c r="E15" s="102">
        <v>2100</v>
      </c>
    </row>
    <row r="16" spans="1:6" ht="20.25" customHeight="1" x14ac:dyDescent="0.3">
      <c r="A16" s="3">
        <v>14</v>
      </c>
      <c r="B16" s="4">
        <v>356339497280964</v>
      </c>
      <c r="C16" s="3" t="s">
        <v>1</v>
      </c>
      <c r="D16" s="3" t="s">
        <v>33</v>
      </c>
      <c r="E16" s="99">
        <v>2580</v>
      </c>
    </row>
    <row r="17" spans="1:5" ht="20.25" customHeight="1" x14ac:dyDescent="0.3">
      <c r="A17" s="3">
        <v>15</v>
      </c>
      <c r="B17" s="4">
        <v>353393819911035</v>
      </c>
      <c r="C17" s="3" t="s">
        <v>1</v>
      </c>
      <c r="D17" s="3" t="s">
        <v>33</v>
      </c>
      <c r="E17" s="6">
        <v>2580</v>
      </c>
    </row>
    <row r="18" spans="1:5" ht="20.25" customHeight="1" x14ac:dyDescent="0.3">
      <c r="A18" s="3">
        <v>16</v>
      </c>
      <c r="B18" s="4">
        <v>356864560093519</v>
      </c>
      <c r="C18" s="3" t="s">
        <v>1</v>
      </c>
      <c r="D18" s="3" t="s">
        <v>34</v>
      </c>
      <c r="E18" s="6">
        <v>2530</v>
      </c>
    </row>
    <row r="19" spans="1:5" ht="20.25" customHeight="1" x14ac:dyDescent="0.3">
      <c r="A19" s="3">
        <v>17</v>
      </c>
      <c r="B19" s="4">
        <v>353393819089626</v>
      </c>
      <c r="C19" s="3" t="s">
        <v>1</v>
      </c>
      <c r="D19" s="3" t="s">
        <v>33</v>
      </c>
      <c r="E19" s="6">
        <v>2580</v>
      </c>
    </row>
    <row r="20" spans="1:5" ht="20.25" customHeight="1" x14ac:dyDescent="0.3">
      <c r="A20" s="3">
        <v>18</v>
      </c>
      <c r="B20" s="4">
        <v>353393819782402</v>
      </c>
      <c r="C20" s="3" t="s">
        <v>1</v>
      </c>
      <c r="D20" s="3" t="s">
        <v>33</v>
      </c>
      <c r="E20" s="6">
        <v>2580</v>
      </c>
    </row>
    <row r="21" spans="1:5" ht="20.25" customHeight="1" x14ac:dyDescent="0.3">
      <c r="A21" s="3">
        <v>19</v>
      </c>
      <c r="B21" s="4">
        <v>355008280690813</v>
      </c>
      <c r="C21" s="3" t="s">
        <v>1</v>
      </c>
      <c r="D21" s="3" t="s">
        <v>33</v>
      </c>
      <c r="E21" s="6">
        <v>2580</v>
      </c>
    </row>
    <row r="22" spans="1:5" ht="20.25" customHeight="1" x14ac:dyDescent="0.3">
      <c r="A22" s="3">
        <v>20</v>
      </c>
      <c r="B22" s="4">
        <v>354737613393759</v>
      </c>
      <c r="C22" s="3" t="s">
        <v>1</v>
      </c>
      <c r="D22" s="3" t="s">
        <v>33</v>
      </c>
      <c r="E22" s="6">
        <v>2700</v>
      </c>
    </row>
    <row r="23" spans="1:5" ht="20.25" customHeight="1" x14ac:dyDescent="0.3">
      <c r="A23" s="3">
        <v>21</v>
      </c>
      <c r="B23" s="4">
        <v>355300185349706</v>
      </c>
      <c r="C23" s="3" t="s">
        <v>1</v>
      </c>
      <c r="D23" s="3" t="s">
        <v>33</v>
      </c>
      <c r="E23" s="6">
        <v>2580</v>
      </c>
    </row>
    <row r="24" spans="1:5" ht="20.25" customHeight="1" x14ac:dyDescent="0.3">
      <c r="A24" s="3">
        <v>22</v>
      </c>
      <c r="B24" s="4">
        <v>357590879687399</v>
      </c>
      <c r="C24" s="3" t="s">
        <v>1</v>
      </c>
      <c r="D24" s="3" t="s">
        <v>33</v>
      </c>
      <c r="E24" s="6">
        <v>2580</v>
      </c>
    </row>
    <row r="25" spans="1:5" ht="20.25" customHeight="1" x14ac:dyDescent="0.3">
      <c r="A25" s="3">
        <v>23</v>
      </c>
      <c r="B25" s="4">
        <v>353484629925149</v>
      </c>
      <c r="C25" s="3" t="s">
        <v>1</v>
      </c>
      <c r="D25" s="3" t="s">
        <v>33</v>
      </c>
      <c r="E25" s="6">
        <v>2580</v>
      </c>
    </row>
    <row r="26" spans="1:5" ht="20.25" customHeight="1" x14ac:dyDescent="0.3">
      <c r="A26" s="3">
        <v>24</v>
      </c>
      <c r="B26" s="4">
        <v>356339493842050</v>
      </c>
      <c r="C26" s="3" t="s">
        <v>1</v>
      </c>
      <c r="D26" s="3" t="s">
        <v>33</v>
      </c>
      <c r="E26" s="6">
        <v>2580</v>
      </c>
    </row>
    <row r="27" spans="1:5" ht="20.25" customHeight="1" x14ac:dyDescent="0.3">
      <c r="A27" s="96">
        <v>25</v>
      </c>
      <c r="B27" s="97"/>
      <c r="C27" s="96" t="s">
        <v>48</v>
      </c>
      <c r="D27" s="96"/>
      <c r="E27" s="98">
        <v>2200</v>
      </c>
    </row>
    <row r="28" spans="1:5" ht="20.25" customHeight="1" x14ac:dyDescent="0.3">
      <c r="A28" s="3">
        <v>26</v>
      </c>
      <c r="B28" s="4">
        <v>358862981128672</v>
      </c>
      <c r="C28" s="3" t="s">
        <v>4</v>
      </c>
      <c r="D28" s="3" t="s">
        <v>33</v>
      </c>
      <c r="E28" s="6">
        <v>2500</v>
      </c>
    </row>
    <row r="29" spans="1:5" ht="20.25" customHeight="1" x14ac:dyDescent="0.3">
      <c r="A29" s="3">
        <v>27</v>
      </c>
      <c r="B29" s="4">
        <v>357463447819375</v>
      </c>
      <c r="C29" s="3" t="s">
        <v>24</v>
      </c>
      <c r="D29" s="3" t="s">
        <v>33</v>
      </c>
      <c r="E29" s="6">
        <v>2070</v>
      </c>
    </row>
    <row r="30" spans="1:5" ht="20.25" customHeight="1" x14ac:dyDescent="0.3">
      <c r="A30" s="3">
        <v>28</v>
      </c>
      <c r="B30" s="25"/>
      <c r="C30" s="22" t="s">
        <v>49</v>
      </c>
      <c r="D30" s="22"/>
      <c r="E30" s="26"/>
    </row>
    <row r="31" spans="1:5" ht="20.25" customHeight="1" x14ac:dyDescent="0.3">
      <c r="A31" s="3">
        <v>29</v>
      </c>
      <c r="B31" s="4">
        <v>356706681701754</v>
      </c>
      <c r="C31" s="3" t="s">
        <v>2</v>
      </c>
      <c r="D31" s="3" t="s">
        <v>33</v>
      </c>
      <c r="E31" s="6">
        <v>2410</v>
      </c>
    </row>
    <row r="32" spans="1:5" ht="20.25" customHeight="1" x14ac:dyDescent="0.3">
      <c r="A32" s="3">
        <v>30</v>
      </c>
      <c r="B32" s="4">
        <v>358712821665492</v>
      </c>
      <c r="C32" s="3" t="s">
        <v>2</v>
      </c>
      <c r="D32" s="3" t="s">
        <v>33</v>
      </c>
      <c r="E32" s="6">
        <v>2410</v>
      </c>
    </row>
    <row r="33" spans="1:5" ht="20.25" customHeight="1" x14ac:dyDescent="0.3">
      <c r="A33" s="11">
        <v>31</v>
      </c>
      <c r="B33" s="28">
        <v>356706680451202</v>
      </c>
      <c r="C33" s="11" t="s">
        <v>2</v>
      </c>
      <c r="D33" s="31"/>
      <c r="E33" s="59">
        <v>2300</v>
      </c>
    </row>
    <row r="34" spans="1:5" ht="20.25" customHeight="1" x14ac:dyDescent="0.3">
      <c r="B34" s="1"/>
      <c r="E34" s="13">
        <f>SUM(E3:E33)</f>
        <v>77890</v>
      </c>
    </row>
    <row r="35" spans="1:5" ht="20.25" customHeight="1" x14ac:dyDescent="0.3">
      <c r="B35" s="1"/>
    </row>
  </sheetData>
  <autoFilter ref="A2:F34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zoomScale="77" workbookViewId="0">
      <selection activeCell="H10" sqref="H10"/>
    </sheetView>
  </sheetViews>
  <sheetFormatPr defaultRowHeight="14.4" x14ac:dyDescent="0.3"/>
  <cols>
    <col min="1" max="1" width="5.109375" bestFit="1" customWidth="1"/>
    <col min="2" max="2" width="26.21875" customWidth="1"/>
    <col min="3" max="3" width="29.77734375" bestFit="1" customWidth="1"/>
    <col min="4" max="4" width="13.44140625" customWidth="1"/>
    <col min="5" max="5" width="17.109375" style="10" bestFit="1" customWidth="1"/>
    <col min="6" max="6" width="9.88671875" bestFit="1" customWidth="1"/>
    <col min="7" max="7" width="15.44140625" bestFit="1" customWidth="1"/>
  </cols>
  <sheetData>
    <row r="1" spans="1:6" x14ac:dyDescent="0.3">
      <c r="A1" s="15" t="s">
        <v>65</v>
      </c>
      <c r="B1" s="15"/>
      <c r="C1" s="16" t="s">
        <v>64</v>
      </c>
      <c r="D1" s="15"/>
      <c r="E1" s="17" t="s">
        <v>60</v>
      </c>
      <c r="F1" s="2"/>
    </row>
    <row r="2" spans="1:6" x14ac:dyDescent="0.3">
      <c r="A2" s="2" t="s">
        <v>6</v>
      </c>
      <c r="B2" s="2" t="s">
        <v>5</v>
      </c>
      <c r="C2" s="2" t="s">
        <v>7</v>
      </c>
      <c r="D2" s="2" t="s">
        <v>8</v>
      </c>
      <c r="E2" s="8" t="s">
        <v>9</v>
      </c>
      <c r="F2" s="2" t="s">
        <v>56</v>
      </c>
    </row>
    <row r="3" spans="1:6" ht="19.2" customHeight="1" x14ac:dyDescent="0.3">
      <c r="A3" s="3">
        <v>1</v>
      </c>
      <c r="B3" s="4">
        <v>354563839418992</v>
      </c>
      <c r="C3" s="3" t="s">
        <v>44</v>
      </c>
      <c r="D3" s="3" t="s">
        <v>36</v>
      </c>
      <c r="E3" s="9">
        <v>1550</v>
      </c>
    </row>
    <row r="4" spans="1:6" ht="19.2" customHeight="1" x14ac:dyDescent="0.3">
      <c r="A4" s="3">
        <v>2</v>
      </c>
      <c r="B4" s="4">
        <v>354959417626503</v>
      </c>
      <c r="C4" s="3" t="s">
        <v>45</v>
      </c>
      <c r="D4" s="3" t="s">
        <v>36</v>
      </c>
      <c r="E4" s="9">
        <v>2150</v>
      </c>
    </row>
    <row r="5" spans="1:6" ht="19.2" customHeight="1" x14ac:dyDescent="0.3">
      <c r="A5" s="3">
        <v>3</v>
      </c>
      <c r="B5" s="4">
        <v>358282725417200</v>
      </c>
      <c r="C5" s="3" t="s">
        <v>45</v>
      </c>
      <c r="D5" s="3" t="s">
        <v>36</v>
      </c>
      <c r="E5" s="9">
        <v>2150</v>
      </c>
    </row>
    <row r="6" spans="1:6" ht="19.2" customHeight="1" x14ac:dyDescent="0.3">
      <c r="A6" s="3">
        <v>4</v>
      </c>
      <c r="B6" s="4">
        <v>356864561432963</v>
      </c>
      <c r="C6" s="3" t="s">
        <v>39</v>
      </c>
      <c r="D6" s="3" t="s">
        <v>36</v>
      </c>
      <c r="E6" s="9">
        <v>2400</v>
      </c>
    </row>
    <row r="7" spans="1:6" ht="19.2" customHeight="1" x14ac:dyDescent="0.3">
      <c r="A7" s="3">
        <v>5</v>
      </c>
      <c r="B7" s="4">
        <v>353393814681906</v>
      </c>
      <c r="C7" s="3" t="s">
        <v>43</v>
      </c>
      <c r="D7" s="3" t="s">
        <v>36</v>
      </c>
      <c r="E7" s="9">
        <v>2400</v>
      </c>
    </row>
    <row r="8" spans="1:6" ht="19.2" customHeight="1" x14ac:dyDescent="0.3">
      <c r="A8" s="3">
        <v>6</v>
      </c>
      <c r="B8" s="4">
        <v>355469925296442</v>
      </c>
      <c r="C8" s="3" t="s">
        <v>43</v>
      </c>
      <c r="D8" s="3" t="s">
        <v>36</v>
      </c>
      <c r="E8" s="9">
        <v>2400</v>
      </c>
    </row>
    <row r="9" spans="1:6" ht="19.2" customHeight="1" x14ac:dyDescent="0.3">
      <c r="A9" s="3">
        <v>7</v>
      </c>
      <c r="B9" s="4">
        <v>355469925413245</v>
      </c>
      <c r="C9" s="3" t="s">
        <v>43</v>
      </c>
      <c r="D9" s="3" t="s">
        <v>36</v>
      </c>
      <c r="E9" s="9">
        <v>2400</v>
      </c>
    </row>
    <row r="10" spans="1:6" ht="19.2" customHeight="1" x14ac:dyDescent="0.3">
      <c r="A10" s="3">
        <v>8</v>
      </c>
      <c r="B10" s="4">
        <v>358245529041443</v>
      </c>
      <c r="C10" s="3" t="s">
        <v>43</v>
      </c>
      <c r="D10" s="3" t="s">
        <v>36</v>
      </c>
      <c r="E10" s="9">
        <v>2400</v>
      </c>
    </row>
    <row r="11" spans="1:6" ht="19.2" customHeight="1" x14ac:dyDescent="0.3">
      <c r="A11" s="3">
        <v>9</v>
      </c>
      <c r="B11" s="4">
        <v>353393818408496</v>
      </c>
      <c r="C11" s="3" t="s">
        <v>41</v>
      </c>
      <c r="D11" s="3" t="s">
        <v>36</v>
      </c>
      <c r="E11" s="9">
        <v>2580</v>
      </c>
    </row>
    <row r="12" spans="1:6" ht="19.2" customHeight="1" x14ac:dyDescent="0.3">
      <c r="A12" s="3">
        <v>10</v>
      </c>
      <c r="B12" s="4">
        <v>357205988073767</v>
      </c>
      <c r="C12" s="3" t="s">
        <v>41</v>
      </c>
      <c r="D12" s="3" t="s">
        <v>36</v>
      </c>
      <c r="E12" s="9">
        <v>2580</v>
      </c>
    </row>
    <row r="13" spans="1:6" ht="19.2" customHeight="1" x14ac:dyDescent="0.3">
      <c r="A13" s="3">
        <v>11</v>
      </c>
      <c r="B13" s="4">
        <v>358594368942397</v>
      </c>
      <c r="C13" s="3" t="s">
        <v>41</v>
      </c>
      <c r="D13" s="3" t="s">
        <v>36</v>
      </c>
      <c r="E13" s="9">
        <v>2580</v>
      </c>
    </row>
    <row r="14" spans="1:6" ht="19.2" customHeight="1" x14ac:dyDescent="0.3">
      <c r="A14" s="3">
        <v>12</v>
      </c>
      <c r="B14" s="4">
        <v>353393818700074</v>
      </c>
      <c r="C14" s="3" t="s">
        <v>41</v>
      </c>
      <c r="D14" s="3" t="s">
        <v>36</v>
      </c>
      <c r="E14" s="9">
        <v>2580</v>
      </c>
    </row>
    <row r="15" spans="1:6" ht="19.2" customHeight="1" x14ac:dyDescent="0.3">
      <c r="A15" s="3">
        <v>13</v>
      </c>
      <c r="B15" s="4">
        <v>353393819990088</v>
      </c>
      <c r="C15" s="3" t="s">
        <v>41</v>
      </c>
      <c r="D15" s="3" t="s">
        <v>36</v>
      </c>
      <c r="E15" s="9">
        <v>2580</v>
      </c>
    </row>
    <row r="16" spans="1:6" ht="19.2" customHeight="1" x14ac:dyDescent="0.3">
      <c r="A16" s="3">
        <v>14</v>
      </c>
      <c r="B16" s="4">
        <v>358245529871906</v>
      </c>
      <c r="C16" s="3" t="s">
        <v>41</v>
      </c>
      <c r="D16" s="3" t="s">
        <v>36</v>
      </c>
      <c r="E16" s="9">
        <v>2580</v>
      </c>
    </row>
    <row r="17" spans="1:7" ht="19.2" customHeight="1" x14ac:dyDescent="0.3">
      <c r="A17" s="3">
        <v>15</v>
      </c>
      <c r="B17" s="4">
        <v>353484629188151</v>
      </c>
      <c r="C17" s="3" t="s">
        <v>40</v>
      </c>
      <c r="D17" s="3" t="s">
        <v>36</v>
      </c>
      <c r="E17" s="9">
        <v>2500</v>
      </c>
    </row>
    <row r="18" spans="1:7" ht="19.2" customHeight="1" x14ac:dyDescent="0.3">
      <c r="A18" s="3">
        <v>16</v>
      </c>
      <c r="B18" s="4">
        <v>359906329449602</v>
      </c>
      <c r="C18" s="3" t="s">
        <v>40</v>
      </c>
      <c r="D18" s="3" t="s">
        <v>36</v>
      </c>
      <c r="E18" s="9">
        <v>2500</v>
      </c>
    </row>
    <row r="19" spans="1:7" ht="19.2" customHeight="1" x14ac:dyDescent="0.3">
      <c r="A19" s="3">
        <v>17</v>
      </c>
      <c r="B19" s="4">
        <v>350773432846218</v>
      </c>
      <c r="C19" s="3" t="s">
        <v>38</v>
      </c>
      <c r="D19" s="3" t="s">
        <v>36</v>
      </c>
      <c r="E19" s="9">
        <v>2600</v>
      </c>
    </row>
    <row r="20" spans="1:7" ht="19.2" customHeight="1" x14ac:dyDescent="0.3">
      <c r="A20" s="3">
        <v>18</v>
      </c>
      <c r="B20" s="4">
        <v>354423239121359</v>
      </c>
      <c r="C20" s="3" t="s">
        <v>42</v>
      </c>
      <c r="D20" s="3" t="s">
        <v>36</v>
      </c>
      <c r="E20" s="9">
        <v>2600</v>
      </c>
    </row>
    <row r="21" spans="1:7" ht="19.2" customHeight="1" x14ac:dyDescent="0.3">
      <c r="A21" s="3">
        <v>19</v>
      </c>
      <c r="B21" s="4">
        <v>353393811497819</v>
      </c>
      <c r="C21" s="3" t="s">
        <v>42</v>
      </c>
      <c r="D21" s="3" t="s">
        <v>36</v>
      </c>
      <c r="E21" s="9">
        <v>2600</v>
      </c>
    </row>
    <row r="22" spans="1:7" ht="19.2" customHeight="1" x14ac:dyDescent="0.3">
      <c r="A22" s="3">
        <v>20</v>
      </c>
      <c r="B22" s="4">
        <v>358862985316109</v>
      </c>
      <c r="C22" s="3" t="s">
        <v>46</v>
      </c>
      <c r="D22" s="3" t="s">
        <v>36</v>
      </c>
      <c r="E22" s="9">
        <v>2700</v>
      </c>
    </row>
    <row r="23" spans="1:7" ht="19.2" customHeight="1" x14ac:dyDescent="0.3">
      <c r="A23" s="3">
        <v>21</v>
      </c>
      <c r="B23" s="60">
        <v>356706681476646</v>
      </c>
      <c r="C23" s="61" t="s">
        <v>50</v>
      </c>
      <c r="D23" s="61" t="s">
        <v>36</v>
      </c>
      <c r="E23" s="62">
        <v>2410</v>
      </c>
      <c r="F23" s="32"/>
    </row>
    <row r="24" spans="1:7" ht="19.2" customHeight="1" x14ac:dyDescent="0.3">
      <c r="A24" s="3">
        <v>22</v>
      </c>
      <c r="B24" s="4">
        <v>356334540430173</v>
      </c>
      <c r="C24" s="3" t="s">
        <v>35</v>
      </c>
      <c r="D24" s="3" t="s">
        <v>36</v>
      </c>
      <c r="E24" s="9">
        <v>3700</v>
      </c>
    </row>
    <row r="25" spans="1:7" ht="19.2" customHeight="1" x14ac:dyDescent="0.3">
      <c r="A25" s="3">
        <v>23</v>
      </c>
      <c r="B25" s="28">
        <v>354895821312837</v>
      </c>
      <c r="C25" s="11" t="s">
        <v>35</v>
      </c>
      <c r="D25" s="11" t="s">
        <v>37</v>
      </c>
      <c r="E25" s="12">
        <v>3450</v>
      </c>
    </row>
    <row r="26" spans="1:7" ht="19.2" customHeight="1" x14ac:dyDescent="0.3">
      <c r="A26" s="3">
        <v>24</v>
      </c>
      <c r="B26" s="4">
        <v>356334540389320</v>
      </c>
      <c r="C26" s="3" t="s">
        <v>35</v>
      </c>
      <c r="D26" s="3" t="s">
        <v>36</v>
      </c>
      <c r="E26" s="9">
        <v>3700</v>
      </c>
    </row>
    <row r="27" spans="1:7" ht="19.2" customHeight="1" x14ac:dyDescent="0.3">
      <c r="A27" s="3">
        <v>25</v>
      </c>
      <c r="B27" s="28">
        <v>354895821731218</v>
      </c>
      <c r="C27" s="11" t="s">
        <v>35</v>
      </c>
      <c r="D27" s="11" t="s">
        <v>37</v>
      </c>
      <c r="E27" s="12">
        <v>3450</v>
      </c>
    </row>
    <row r="28" spans="1:7" ht="19.2" customHeight="1" x14ac:dyDescent="0.3">
      <c r="A28" s="3">
        <v>26</v>
      </c>
      <c r="B28" s="4">
        <v>354895822236563</v>
      </c>
      <c r="C28" s="3" t="s">
        <v>35</v>
      </c>
      <c r="D28" s="3" t="s">
        <v>36</v>
      </c>
      <c r="E28" s="9">
        <v>3700</v>
      </c>
    </row>
    <row r="29" spans="1:7" ht="19.2" customHeight="1" x14ac:dyDescent="0.3">
      <c r="A29" s="3">
        <v>27</v>
      </c>
      <c r="B29" s="4">
        <v>352066341940364</v>
      </c>
      <c r="C29" s="3" t="s">
        <v>35</v>
      </c>
      <c r="D29" s="3" t="s">
        <v>36</v>
      </c>
      <c r="E29" s="9">
        <v>3700</v>
      </c>
    </row>
    <row r="30" spans="1:7" ht="19.2" customHeight="1" x14ac:dyDescent="0.3">
      <c r="A30" s="3">
        <v>28</v>
      </c>
      <c r="B30" s="25"/>
      <c r="C30" s="22" t="s">
        <v>51</v>
      </c>
      <c r="D30" s="22" t="s">
        <v>36</v>
      </c>
      <c r="E30" s="23"/>
      <c r="G30" s="10"/>
    </row>
    <row r="31" spans="1:7" ht="19.2" customHeight="1" x14ac:dyDescent="0.3">
      <c r="A31" s="3">
        <v>29</v>
      </c>
      <c r="B31" s="25"/>
      <c r="C31" s="22" t="s">
        <v>51</v>
      </c>
      <c r="D31" s="22" t="s">
        <v>36</v>
      </c>
      <c r="E31" s="23"/>
    </row>
    <row r="32" spans="1:7" ht="19.2" customHeight="1" x14ac:dyDescent="0.3">
      <c r="A32" s="3">
        <v>30</v>
      </c>
      <c r="B32" s="25"/>
      <c r="C32" s="22" t="s">
        <v>51</v>
      </c>
      <c r="D32" s="22" t="s">
        <v>36</v>
      </c>
      <c r="E32" s="23"/>
    </row>
    <row r="33" spans="5:5" x14ac:dyDescent="0.3">
      <c r="E33" s="14">
        <f>SUM(E3:E32)</f>
        <v>72940</v>
      </c>
    </row>
    <row r="34" spans="5:5" x14ac:dyDescent="0.3">
      <c r="E34" s="33"/>
    </row>
  </sheetData>
  <autoFilter ref="A2:E33" xr:uid="{00000000-0009-0000-0000-000002000000}">
    <sortState xmlns:xlrd2="http://schemas.microsoft.com/office/spreadsheetml/2017/richdata2" ref="A2:E31">
      <sortCondition ref="C1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7"/>
  <sheetViews>
    <sheetView topLeftCell="A10" zoomScale="77" zoomScaleNormal="85" workbookViewId="0">
      <selection activeCell="B5" sqref="B5"/>
    </sheetView>
  </sheetViews>
  <sheetFormatPr defaultRowHeight="14.4" x14ac:dyDescent="0.3"/>
  <cols>
    <col min="1" max="1" width="5" bestFit="1" customWidth="1"/>
    <col min="2" max="2" width="17.44140625" customWidth="1"/>
    <col min="3" max="3" width="35.88671875" bestFit="1" customWidth="1"/>
    <col min="4" max="4" width="9.6640625" bestFit="1" customWidth="1"/>
    <col min="5" max="5" width="22.6640625" style="10" customWidth="1"/>
    <col min="6" max="6" width="21.77734375" bestFit="1" customWidth="1"/>
  </cols>
  <sheetData>
    <row r="1" spans="1:6" x14ac:dyDescent="0.3">
      <c r="A1" s="15" t="s">
        <v>61</v>
      </c>
      <c r="B1" s="15"/>
      <c r="C1" s="16" t="s">
        <v>63</v>
      </c>
      <c r="D1" s="15"/>
      <c r="E1" s="17" t="s">
        <v>60</v>
      </c>
      <c r="F1" s="2"/>
    </row>
    <row r="2" spans="1:6" x14ac:dyDescent="0.3">
      <c r="A2" s="2" t="s">
        <v>6</v>
      </c>
      <c r="B2" s="2" t="s">
        <v>5</v>
      </c>
      <c r="C2" s="2" t="s">
        <v>7</v>
      </c>
      <c r="D2" s="2" t="s">
        <v>8</v>
      </c>
      <c r="E2" s="8" t="s">
        <v>9</v>
      </c>
      <c r="F2" s="2" t="s">
        <v>55</v>
      </c>
    </row>
    <row r="3" spans="1:6" x14ac:dyDescent="0.3">
      <c r="A3" s="3">
        <v>1</v>
      </c>
      <c r="B3" s="18">
        <v>352919734174597</v>
      </c>
      <c r="C3" s="3" t="s">
        <v>20</v>
      </c>
      <c r="D3" s="3"/>
      <c r="E3" s="9">
        <v>2100</v>
      </c>
    </row>
    <row r="4" spans="1:6" x14ac:dyDescent="0.3">
      <c r="A4" s="3">
        <v>2</v>
      </c>
      <c r="B4" s="18">
        <v>350158864156122</v>
      </c>
      <c r="C4" s="3" t="s">
        <v>20</v>
      </c>
      <c r="D4" s="3"/>
      <c r="E4" s="9">
        <v>2100</v>
      </c>
    </row>
    <row r="5" spans="1:6" x14ac:dyDescent="0.3">
      <c r="A5" s="3">
        <v>3</v>
      </c>
      <c r="B5" s="18">
        <v>357241835060756</v>
      </c>
      <c r="C5" s="3" t="s">
        <v>11</v>
      </c>
      <c r="D5" s="3" t="s">
        <v>33</v>
      </c>
      <c r="E5" s="9">
        <v>2200</v>
      </c>
    </row>
    <row r="6" spans="1:6" x14ac:dyDescent="0.3">
      <c r="A6" s="3">
        <v>4</v>
      </c>
      <c r="B6" s="18">
        <v>353357701231083</v>
      </c>
      <c r="C6" s="3" t="s">
        <v>10</v>
      </c>
      <c r="D6" s="3" t="s">
        <v>33</v>
      </c>
      <c r="E6" s="9">
        <v>3350</v>
      </c>
    </row>
    <row r="7" spans="1:6" x14ac:dyDescent="0.3">
      <c r="A7" s="3">
        <v>5</v>
      </c>
      <c r="B7" s="18">
        <v>352066342015596</v>
      </c>
      <c r="C7" s="3" t="s">
        <v>12</v>
      </c>
      <c r="D7" s="3" t="s">
        <v>33</v>
      </c>
      <c r="E7" s="9">
        <v>3600</v>
      </c>
    </row>
    <row r="8" spans="1:6" x14ac:dyDescent="0.3">
      <c r="A8" s="3">
        <v>6</v>
      </c>
      <c r="B8" s="18">
        <v>352066341330137</v>
      </c>
      <c r="C8" s="3" t="s">
        <v>12</v>
      </c>
      <c r="D8" s="3" t="s">
        <v>33</v>
      </c>
      <c r="E8" s="9">
        <v>3600</v>
      </c>
    </row>
    <row r="9" spans="1:6" x14ac:dyDescent="0.3">
      <c r="A9" s="3">
        <v>7</v>
      </c>
      <c r="B9" s="18">
        <v>352066341420805</v>
      </c>
      <c r="C9" s="3" t="s">
        <v>12</v>
      </c>
      <c r="D9" s="3" t="s">
        <v>33</v>
      </c>
      <c r="E9" s="9">
        <v>3600</v>
      </c>
    </row>
    <row r="10" spans="1:6" x14ac:dyDescent="0.3">
      <c r="A10" s="3">
        <v>8</v>
      </c>
      <c r="B10" s="18">
        <v>354895821467821</v>
      </c>
      <c r="C10" s="3" t="s">
        <v>12</v>
      </c>
      <c r="D10" s="3" t="s">
        <v>33</v>
      </c>
      <c r="E10" s="9">
        <v>3600</v>
      </c>
    </row>
    <row r="11" spans="1:6" x14ac:dyDescent="0.3">
      <c r="A11" s="3">
        <v>9</v>
      </c>
      <c r="B11" s="18">
        <v>354895821318222</v>
      </c>
      <c r="C11" s="3" t="s">
        <v>12</v>
      </c>
      <c r="D11" s="3" t="s">
        <v>33</v>
      </c>
      <c r="E11" s="9">
        <v>3600</v>
      </c>
    </row>
    <row r="12" spans="1:6" x14ac:dyDescent="0.3">
      <c r="A12" s="3">
        <v>10</v>
      </c>
      <c r="B12" s="20">
        <v>352066342028508</v>
      </c>
      <c r="C12" s="11" t="s">
        <v>12</v>
      </c>
      <c r="D12" s="11"/>
      <c r="E12" s="12">
        <f>3600-150</f>
        <v>3450</v>
      </c>
    </row>
    <row r="13" spans="1:6" x14ac:dyDescent="0.3">
      <c r="A13" s="3">
        <v>11</v>
      </c>
      <c r="B13" s="18">
        <v>352066342319071</v>
      </c>
      <c r="C13" s="3" t="s">
        <v>12</v>
      </c>
      <c r="D13" s="3" t="s">
        <v>33</v>
      </c>
      <c r="E13" s="9">
        <v>3600</v>
      </c>
    </row>
    <row r="14" spans="1:6" x14ac:dyDescent="0.3">
      <c r="A14" s="3">
        <v>12</v>
      </c>
      <c r="B14" s="18">
        <v>356334540698548</v>
      </c>
      <c r="C14" s="3" t="s">
        <v>12</v>
      </c>
      <c r="D14" s="3" t="s">
        <v>33</v>
      </c>
      <c r="E14" s="9">
        <v>3600</v>
      </c>
    </row>
    <row r="15" spans="1:6" x14ac:dyDescent="0.3">
      <c r="A15" s="3">
        <v>13</v>
      </c>
      <c r="B15" s="18">
        <v>354895821475311</v>
      </c>
      <c r="C15" s="3" t="s">
        <v>12</v>
      </c>
      <c r="D15" s="3" t="s">
        <v>33</v>
      </c>
      <c r="E15" s="9">
        <v>3600</v>
      </c>
    </row>
    <row r="16" spans="1:6" x14ac:dyDescent="0.3">
      <c r="A16" s="3">
        <v>14</v>
      </c>
      <c r="B16" s="18">
        <v>352066342079741</v>
      </c>
      <c r="C16" s="3" t="s">
        <v>12</v>
      </c>
      <c r="D16" s="3" t="s">
        <v>33</v>
      </c>
      <c r="E16" s="9">
        <v>3600</v>
      </c>
    </row>
    <row r="17" spans="1:5" x14ac:dyDescent="0.3">
      <c r="A17" s="3">
        <v>15</v>
      </c>
      <c r="B17" s="18">
        <v>352066342299190</v>
      </c>
      <c r="C17" s="3" t="s">
        <v>13</v>
      </c>
      <c r="D17" s="3" t="s">
        <v>33</v>
      </c>
      <c r="E17" s="9">
        <v>3700</v>
      </c>
    </row>
    <row r="18" spans="1:5" x14ac:dyDescent="0.3">
      <c r="A18" s="3">
        <v>16</v>
      </c>
      <c r="B18" s="18" t="s">
        <v>17</v>
      </c>
      <c r="C18" s="3" t="s">
        <v>16</v>
      </c>
      <c r="D18" s="3"/>
      <c r="E18" s="9">
        <v>4100</v>
      </c>
    </row>
    <row r="19" spans="1:5" x14ac:dyDescent="0.3">
      <c r="A19" s="3">
        <v>17</v>
      </c>
      <c r="B19" s="18">
        <v>358282724721727</v>
      </c>
      <c r="C19" s="3" t="s">
        <v>67</v>
      </c>
      <c r="D19" s="3" t="s">
        <v>33</v>
      </c>
      <c r="E19" s="9">
        <v>2200</v>
      </c>
    </row>
    <row r="20" spans="1:5" x14ac:dyDescent="0.3">
      <c r="A20" s="3">
        <v>18</v>
      </c>
      <c r="B20" s="18">
        <v>355469921016745</v>
      </c>
      <c r="C20" s="3" t="s">
        <v>1</v>
      </c>
      <c r="D20" s="3" t="s">
        <v>33</v>
      </c>
      <c r="E20" s="9">
        <v>2580</v>
      </c>
    </row>
    <row r="21" spans="1:5" x14ac:dyDescent="0.3">
      <c r="A21" s="3">
        <v>19</v>
      </c>
      <c r="B21" s="18">
        <v>355469921391569</v>
      </c>
      <c r="C21" s="3" t="s">
        <v>1</v>
      </c>
      <c r="D21" s="3" t="s">
        <v>33</v>
      </c>
      <c r="E21" s="9">
        <v>2580</v>
      </c>
    </row>
    <row r="22" spans="1:5" x14ac:dyDescent="0.3">
      <c r="A22" s="3">
        <v>20</v>
      </c>
      <c r="B22" s="18">
        <v>354331125336868</v>
      </c>
      <c r="C22" s="3" t="s">
        <v>1</v>
      </c>
      <c r="D22" s="3" t="s">
        <v>33</v>
      </c>
      <c r="E22" s="9">
        <v>2580</v>
      </c>
    </row>
    <row r="23" spans="1:5" x14ac:dyDescent="0.3">
      <c r="A23" s="3">
        <v>21</v>
      </c>
      <c r="B23" s="18">
        <v>353393815788486</v>
      </c>
      <c r="C23" s="3" t="s">
        <v>1</v>
      </c>
      <c r="D23" s="3" t="s">
        <v>33</v>
      </c>
      <c r="E23" s="9">
        <v>2580</v>
      </c>
    </row>
    <row r="24" spans="1:5" x14ac:dyDescent="0.3">
      <c r="A24" s="3">
        <v>22</v>
      </c>
      <c r="B24" s="19">
        <v>351614400599703</v>
      </c>
      <c r="C24" s="3" t="s">
        <v>1</v>
      </c>
      <c r="D24" s="3" t="s">
        <v>33</v>
      </c>
      <c r="E24" s="9">
        <v>2580</v>
      </c>
    </row>
    <row r="25" spans="1:5" x14ac:dyDescent="0.3">
      <c r="A25" s="3">
        <v>23</v>
      </c>
      <c r="B25" s="19">
        <v>357205986351538</v>
      </c>
      <c r="C25" s="3" t="s">
        <v>1</v>
      </c>
      <c r="D25" s="3" t="s">
        <v>34</v>
      </c>
      <c r="E25" s="9">
        <v>2530</v>
      </c>
    </row>
    <row r="26" spans="1:5" x14ac:dyDescent="0.3">
      <c r="A26" s="3">
        <v>24</v>
      </c>
      <c r="B26" s="19">
        <v>357205986260382</v>
      </c>
      <c r="C26" s="3" t="s">
        <v>1</v>
      </c>
      <c r="D26" s="3" t="s">
        <v>34</v>
      </c>
      <c r="E26" s="9">
        <v>2530</v>
      </c>
    </row>
    <row r="27" spans="1:5" x14ac:dyDescent="0.3">
      <c r="A27" s="3">
        <v>25</v>
      </c>
      <c r="B27" s="19">
        <v>356339495491070</v>
      </c>
      <c r="C27" s="3" t="s">
        <v>1</v>
      </c>
      <c r="D27" s="3" t="s">
        <v>33</v>
      </c>
      <c r="E27" s="9">
        <v>2580</v>
      </c>
    </row>
    <row r="28" spans="1:5" x14ac:dyDescent="0.3">
      <c r="A28" s="3">
        <v>26</v>
      </c>
      <c r="B28" s="19">
        <v>353484626480205</v>
      </c>
      <c r="C28" s="3" t="s">
        <v>1</v>
      </c>
      <c r="D28" s="3" t="s">
        <v>33</v>
      </c>
      <c r="E28" s="9">
        <v>2580</v>
      </c>
    </row>
    <row r="29" spans="1:5" x14ac:dyDescent="0.3">
      <c r="A29" s="3">
        <v>27</v>
      </c>
      <c r="B29" s="19">
        <v>353484626399603</v>
      </c>
      <c r="C29" s="3" t="s">
        <v>1</v>
      </c>
      <c r="D29" s="3" t="s">
        <v>33</v>
      </c>
      <c r="E29" s="9">
        <v>2580</v>
      </c>
    </row>
    <row r="30" spans="1:5" x14ac:dyDescent="0.3">
      <c r="A30" s="3">
        <v>28</v>
      </c>
      <c r="B30" s="19">
        <v>355067545436495</v>
      </c>
      <c r="C30" s="3" t="s">
        <v>1</v>
      </c>
      <c r="D30" s="3" t="s">
        <v>33</v>
      </c>
      <c r="E30" s="9">
        <v>2580</v>
      </c>
    </row>
    <row r="31" spans="1:5" x14ac:dyDescent="0.3">
      <c r="A31" s="3">
        <v>29</v>
      </c>
      <c r="B31" s="19">
        <v>354423239459585</v>
      </c>
      <c r="C31" s="3" t="s">
        <v>27</v>
      </c>
      <c r="D31" s="3" t="s">
        <v>33</v>
      </c>
      <c r="E31" s="9">
        <v>2500</v>
      </c>
    </row>
    <row r="32" spans="1:5" x14ac:dyDescent="0.3">
      <c r="A32" s="3">
        <v>30</v>
      </c>
      <c r="B32" s="18">
        <v>355688666481646</v>
      </c>
      <c r="C32" s="3" t="s">
        <v>4</v>
      </c>
      <c r="D32" s="3" t="s">
        <v>34</v>
      </c>
      <c r="E32" s="9">
        <v>2450</v>
      </c>
    </row>
    <row r="33" spans="1:6" x14ac:dyDescent="0.3">
      <c r="A33" s="3">
        <v>31</v>
      </c>
      <c r="B33" s="19">
        <v>350319295084503</v>
      </c>
      <c r="C33" s="3" t="s">
        <v>29</v>
      </c>
      <c r="D33" s="3" t="s">
        <v>33</v>
      </c>
      <c r="E33" s="9">
        <v>1900</v>
      </c>
    </row>
    <row r="34" spans="1:6" x14ac:dyDescent="0.3">
      <c r="A34" s="3">
        <v>32</v>
      </c>
      <c r="B34" s="19">
        <v>350328822808417</v>
      </c>
      <c r="C34" s="3" t="s">
        <v>29</v>
      </c>
      <c r="D34" s="3" t="s">
        <v>33</v>
      </c>
      <c r="E34" s="9">
        <v>1900</v>
      </c>
    </row>
    <row r="35" spans="1:6" x14ac:dyDescent="0.3">
      <c r="A35" s="3">
        <v>33</v>
      </c>
      <c r="B35" s="18">
        <v>356043388199739</v>
      </c>
      <c r="C35" s="3" t="s">
        <v>15</v>
      </c>
      <c r="D35" s="3" t="s">
        <v>33</v>
      </c>
      <c r="E35" s="9">
        <v>2150</v>
      </c>
    </row>
    <row r="36" spans="1:6" x14ac:dyDescent="0.3">
      <c r="A36" s="3">
        <v>34</v>
      </c>
      <c r="B36" s="19">
        <v>358282725354494</v>
      </c>
      <c r="C36" s="3" t="s">
        <v>15</v>
      </c>
      <c r="D36" s="3" t="s">
        <v>33</v>
      </c>
      <c r="E36" s="9">
        <v>2150</v>
      </c>
    </row>
    <row r="37" spans="1:6" x14ac:dyDescent="0.3">
      <c r="A37" s="3">
        <v>35</v>
      </c>
      <c r="B37" s="19">
        <v>351670272559175</v>
      </c>
      <c r="C37" s="3" t="s">
        <v>30</v>
      </c>
      <c r="D37" s="3" t="s">
        <v>33</v>
      </c>
      <c r="E37" s="9">
        <v>2050</v>
      </c>
    </row>
    <row r="38" spans="1:6" x14ac:dyDescent="0.3">
      <c r="A38" s="3">
        <v>36</v>
      </c>
      <c r="B38" s="19">
        <v>351670270548964</v>
      </c>
      <c r="C38" s="3" t="s">
        <v>24</v>
      </c>
      <c r="D38" s="3" t="s">
        <v>33</v>
      </c>
      <c r="E38" s="9">
        <v>2070</v>
      </c>
    </row>
    <row r="39" spans="1:6" x14ac:dyDescent="0.3">
      <c r="A39" s="3">
        <v>37</v>
      </c>
      <c r="B39" s="18">
        <v>357463448065374</v>
      </c>
      <c r="C39" s="3" t="s">
        <v>14</v>
      </c>
      <c r="D39" s="3" t="s">
        <v>33</v>
      </c>
      <c r="E39" s="9">
        <v>2350</v>
      </c>
    </row>
    <row r="40" spans="1:6" x14ac:dyDescent="0.3">
      <c r="A40" s="3">
        <v>38</v>
      </c>
      <c r="B40" s="19">
        <v>358282723315950</v>
      </c>
      <c r="C40" s="3" t="s">
        <v>14</v>
      </c>
      <c r="D40" s="3" t="s">
        <v>33</v>
      </c>
      <c r="E40" s="9">
        <v>2350</v>
      </c>
    </row>
    <row r="41" spans="1:6" x14ac:dyDescent="0.3">
      <c r="A41" s="3">
        <v>39</v>
      </c>
      <c r="B41" s="19">
        <v>358282725274981</v>
      </c>
      <c r="C41" s="3" t="s">
        <v>28</v>
      </c>
      <c r="D41" s="3" t="s">
        <v>33</v>
      </c>
      <c r="E41" s="9">
        <v>2200</v>
      </c>
    </row>
    <row r="42" spans="1:6" x14ac:dyDescent="0.3">
      <c r="A42" s="3">
        <v>40</v>
      </c>
      <c r="B42" s="19">
        <v>358536504869216</v>
      </c>
      <c r="C42" s="3" t="s">
        <v>28</v>
      </c>
      <c r="D42" s="3" t="s">
        <v>33</v>
      </c>
      <c r="E42" s="9">
        <v>2200</v>
      </c>
    </row>
    <row r="43" spans="1:6" x14ac:dyDescent="0.3">
      <c r="A43" s="3">
        <v>41</v>
      </c>
      <c r="B43" s="21">
        <v>358282725472734</v>
      </c>
      <c r="C43" s="22" t="s">
        <v>25</v>
      </c>
      <c r="D43" s="22" t="s">
        <v>33</v>
      </c>
      <c r="E43" s="23">
        <v>0</v>
      </c>
      <c r="F43" s="24" t="s">
        <v>57</v>
      </c>
    </row>
    <row r="44" spans="1:6" x14ac:dyDescent="0.3">
      <c r="A44" s="3">
        <v>42</v>
      </c>
      <c r="B44" s="19">
        <v>356043382959583</v>
      </c>
      <c r="C44" s="3" t="s">
        <v>26</v>
      </c>
      <c r="D44" s="3" t="s">
        <v>33</v>
      </c>
      <c r="E44" s="9">
        <v>1950</v>
      </c>
    </row>
    <row r="45" spans="1:6" x14ac:dyDescent="0.3">
      <c r="A45" s="3">
        <v>43</v>
      </c>
      <c r="B45" s="19">
        <v>351895494900341</v>
      </c>
      <c r="C45" s="3" t="s">
        <v>31</v>
      </c>
      <c r="D45" s="3" t="s">
        <v>33</v>
      </c>
      <c r="E45" s="9">
        <v>2050</v>
      </c>
    </row>
    <row r="46" spans="1:6" x14ac:dyDescent="0.3">
      <c r="A46" s="3">
        <v>44</v>
      </c>
      <c r="B46" s="27">
        <v>352161331206338</v>
      </c>
      <c r="C46" s="22" t="s">
        <v>52</v>
      </c>
      <c r="D46" s="22" t="s">
        <v>33</v>
      </c>
      <c r="E46" s="23">
        <v>0</v>
      </c>
      <c r="F46" s="24" t="s">
        <v>57</v>
      </c>
    </row>
    <row r="47" spans="1:6" x14ac:dyDescent="0.3">
      <c r="A47" s="3">
        <v>45</v>
      </c>
      <c r="B47" s="27">
        <v>352942561742401</v>
      </c>
      <c r="C47" s="22" t="s">
        <v>53</v>
      </c>
      <c r="D47" s="22" t="s">
        <v>33</v>
      </c>
      <c r="E47" s="23">
        <v>1600</v>
      </c>
      <c r="F47" s="24" t="s">
        <v>54</v>
      </c>
    </row>
    <row r="48" spans="1:6" x14ac:dyDescent="0.3">
      <c r="A48" s="3">
        <v>46</v>
      </c>
      <c r="B48" s="18">
        <v>350836183781767</v>
      </c>
      <c r="C48" s="3" t="s">
        <v>19</v>
      </c>
      <c r="D48" s="3" t="s">
        <v>33</v>
      </c>
      <c r="E48" s="9">
        <v>1300</v>
      </c>
    </row>
    <row r="49" spans="1:6" x14ac:dyDescent="0.3">
      <c r="A49" s="3">
        <v>47</v>
      </c>
      <c r="B49" s="18">
        <v>351791641632061</v>
      </c>
      <c r="C49" s="3" t="s">
        <v>18</v>
      </c>
      <c r="D49" s="3" t="s">
        <v>33</v>
      </c>
      <c r="E49" s="9">
        <v>1220</v>
      </c>
    </row>
    <row r="50" spans="1:6" x14ac:dyDescent="0.3">
      <c r="A50" s="3">
        <v>48</v>
      </c>
      <c r="B50" s="18">
        <v>357810544318422</v>
      </c>
      <c r="C50" s="3" t="s">
        <v>19</v>
      </c>
      <c r="D50" s="3" t="s">
        <v>33</v>
      </c>
      <c r="E50" s="9">
        <v>1300</v>
      </c>
    </row>
    <row r="51" spans="1:6" x14ac:dyDescent="0.3">
      <c r="A51" s="3">
        <v>49</v>
      </c>
      <c r="B51" s="30">
        <v>358712821473749</v>
      </c>
      <c r="C51" s="11" t="s">
        <v>2</v>
      </c>
      <c r="D51" s="11" t="s">
        <v>34</v>
      </c>
      <c r="E51" s="12">
        <v>2000</v>
      </c>
      <c r="F51" s="31" t="s">
        <v>66</v>
      </c>
    </row>
    <row r="52" spans="1:6" x14ac:dyDescent="0.3">
      <c r="A52" s="3">
        <v>50</v>
      </c>
      <c r="B52" s="19">
        <v>358712820329652</v>
      </c>
      <c r="C52" s="3" t="s">
        <v>2</v>
      </c>
      <c r="D52" s="3" t="s">
        <v>33</v>
      </c>
      <c r="E52" s="9">
        <v>2410</v>
      </c>
    </row>
    <row r="53" spans="1:6" x14ac:dyDescent="0.3">
      <c r="A53" s="3">
        <v>51</v>
      </c>
      <c r="B53" s="18">
        <v>358754771473469</v>
      </c>
      <c r="C53" s="3" t="s">
        <v>22</v>
      </c>
      <c r="D53" s="3"/>
      <c r="E53" s="9">
        <v>1800</v>
      </c>
    </row>
    <row r="54" spans="1:6" x14ac:dyDescent="0.3">
      <c r="A54" s="3">
        <v>52</v>
      </c>
      <c r="B54" s="18">
        <v>358754771502929</v>
      </c>
      <c r="C54" s="3" t="s">
        <v>22</v>
      </c>
      <c r="D54" s="3"/>
      <c r="E54" s="9">
        <v>1800</v>
      </c>
    </row>
    <row r="55" spans="1:6" x14ac:dyDescent="0.3">
      <c r="A55" s="3">
        <v>53</v>
      </c>
      <c r="B55" s="19">
        <v>352512146742950</v>
      </c>
      <c r="C55" s="3" t="s">
        <v>22</v>
      </c>
      <c r="E55" s="9">
        <v>1800</v>
      </c>
    </row>
    <row r="56" spans="1:6" x14ac:dyDescent="0.3">
      <c r="A56" s="3">
        <v>54</v>
      </c>
      <c r="B56" s="19">
        <v>358754771650520</v>
      </c>
      <c r="C56" s="3" t="s">
        <v>22</v>
      </c>
      <c r="E56" s="9">
        <v>1800</v>
      </c>
    </row>
    <row r="57" spans="1:6" x14ac:dyDescent="0.3">
      <c r="A57" s="3">
        <v>55</v>
      </c>
      <c r="B57" s="19">
        <v>358754771568250</v>
      </c>
      <c r="C57" s="3" t="s">
        <v>22</v>
      </c>
      <c r="E57" s="9">
        <v>1800</v>
      </c>
    </row>
    <row r="58" spans="1:6" x14ac:dyDescent="0.3">
      <c r="A58" s="3">
        <v>56</v>
      </c>
      <c r="B58" s="19">
        <v>352512146707557</v>
      </c>
      <c r="C58" s="3" t="s">
        <v>22</v>
      </c>
      <c r="E58" s="9">
        <v>1800</v>
      </c>
    </row>
    <row r="59" spans="1:6" x14ac:dyDescent="0.3">
      <c r="A59" s="3">
        <v>57</v>
      </c>
      <c r="B59" s="18">
        <v>352512146616527</v>
      </c>
      <c r="C59" s="3" t="s">
        <v>21</v>
      </c>
      <c r="D59" s="3"/>
      <c r="E59" s="9">
        <v>1800</v>
      </c>
    </row>
    <row r="60" spans="1:6" x14ac:dyDescent="0.3">
      <c r="A60" s="3">
        <v>58</v>
      </c>
      <c r="B60" s="18">
        <v>356930604009256</v>
      </c>
      <c r="C60" s="3" t="s">
        <v>23</v>
      </c>
      <c r="D60" s="3"/>
      <c r="E60" s="9">
        <v>1800</v>
      </c>
    </row>
    <row r="61" spans="1:6" x14ac:dyDescent="0.3">
      <c r="A61" s="3">
        <v>59</v>
      </c>
      <c r="B61" s="19">
        <v>354771320010265</v>
      </c>
      <c r="C61" s="3" t="s">
        <v>32</v>
      </c>
      <c r="E61" s="9">
        <v>1100</v>
      </c>
    </row>
    <row r="62" spans="1:6" x14ac:dyDescent="0.3">
      <c r="A62" s="3">
        <v>60</v>
      </c>
      <c r="B62" s="19">
        <v>351135448996883</v>
      </c>
      <c r="C62" s="3" t="s">
        <v>32</v>
      </c>
      <c r="E62" s="9">
        <v>1100</v>
      </c>
    </row>
    <row r="64" spans="1:6" x14ac:dyDescent="0.3">
      <c r="E64" s="14">
        <f>SUM(E3:E63)</f>
        <v>140580</v>
      </c>
    </row>
    <row r="67" spans="1:6" x14ac:dyDescent="0.3">
      <c r="A67">
        <v>1</v>
      </c>
      <c r="B67" s="18">
        <v>352919734174597</v>
      </c>
      <c r="C67" s="3" t="s">
        <v>20</v>
      </c>
      <c r="D67" s="3"/>
      <c r="E67" s="9">
        <v>2100</v>
      </c>
    </row>
    <row r="68" spans="1:6" x14ac:dyDescent="0.3">
      <c r="A68">
        <f>+A67+1</f>
        <v>2</v>
      </c>
      <c r="B68" s="18">
        <v>350158864156122</v>
      </c>
      <c r="C68" s="3" t="s">
        <v>20</v>
      </c>
      <c r="D68" s="3"/>
      <c r="E68" s="9">
        <v>2100</v>
      </c>
    </row>
    <row r="69" spans="1:6" x14ac:dyDescent="0.3">
      <c r="A69">
        <f t="shared" ref="A69:A77" si="0">+A68+1</f>
        <v>3</v>
      </c>
      <c r="B69" s="20">
        <v>352066342028508</v>
      </c>
      <c r="C69" s="11" t="s">
        <v>12</v>
      </c>
      <c r="D69" s="11"/>
      <c r="E69" s="12">
        <f>3600-150</f>
        <v>3450</v>
      </c>
    </row>
    <row r="70" spans="1:6" x14ac:dyDescent="0.3">
      <c r="A70">
        <f t="shared" si="0"/>
        <v>4</v>
      </c>
      <c r="B70" s="30">
        <v>358712821473749</v>
      </c>
      <c r="C70" s="11" t="s">
        <v>2</v>
      </c>
      <c r="D70" s="11" t="s">
        <v>34</v>
      </c>
      <c r="E70" s="12">
        <v>2000</v>
      </c>
      <c r="F70" s="31" t="s">
        <v>66</v>
      </c>
    </row>
    <row r="71" spans="1:6" x14ac:dyDescent="0.3">
      <c r="A71">
        <f t="shared" si="0"/>
        <v>5</v>
      </c>
      <c r="B71" s="28">
        <v>354895821312837</v>
      </c>
      <c r="C71" s="11" t="s">
        <v>35</v>
      </c>
      <c r="D71" s="11" t="s">
        <v>37</v>
      </c>
      <c r="E71" s="12">
        <v>3500</v>
      </c>
    </row>
    <row r="72" spans="1:6" x14ac:dyDescent="0.3">
      <c r="A72">
        <f t="shared" si="0"/>
        <v>6</v>
      </c>
      <c r="B72" s="28">
        <v>354895821731218</v>
      </c>
      <c r="C72" s="11" t="s">
        <v>35</v>
      </c>
      <c r="D72" s="11" t="s">
        <v>37</v>
      </c>
      <c r="E72" s="12">
        <v>3500</v>
      </c>
    </row>
    <row r="73" spans="1:6" x14ac:dyDescent="0.3">
      <c r="A73">
        <f t="shared" si="0"/>
        <v>7</v>
      </c>
      <c r="B73" s="28">
        <v>352066341775315</v>
      </c>
      <c r="C73" s="11" t="s">
        <v>0</v>
      </c>
      <c r="D73" s="11" t="s">
        <v>34</v>
      </c>
      <c r="E73" s="29">
        <v>3450</v>
      </c>
    </row>
    <row r="74" spans="1:6" x14ac:dyDescent="0.3">
      <c r="A74">
        <f t="shared" si="0"/>
        <v>8</v>
      </c>
      <c r="B74" s="28">
        <v>356706680451202</v>
      </c>
      <c r="C74" s="11" t="s">
        <v>2</v>
      </c>
      <c r="D74" s="31"/>
      <c r="E74" s="59">
        <v>2300</v>
      </c>
    </row>
    <row r="75" spans="1:6" x14ac:dyDescent="0.3">
      <c r="A75">
        <f t="shared" si="0"/>
        <v>9</v>
      </c>
      <c r="B75" s="25"/>
      <c r="C75" s="22" t="s">
        <v>51</v>
      </c>
      <c r="D75" s="22" t="s">
        <v>36</v>
      </c>
      <c r="E75" s="23">
        <v>1800</v>
      </c>
    </row>
    <row r="76" spans="1:6" x14ac:dyDescent="0.3">
      <c r="A76">
        <f t="shared" si="0"/>
        <v>10</v>
      </c>
      <c r="B76" s="25"/>
      <c r="C76" s="22" t="s">
        <v>51</v>
      </c>
      <c r="D76" s="22" t="s">
        <v>36</v>
      </c>
      <c r="E76" s="23">
        <v>1800</v>
      </c>
    </row>
    <row r="77" spans="1:6" x14ac:dyDescent="0.3">
      <c r="A77">
        <f t="shared" si="0"/>
        <v>11</v>
      </c>
      <c r="B77" s="25"/>
      <c r="C77" s="22" t="s">
        <v>51</v>
      </c>
      <c r="D77" s="22" t="s">
        <v>36</v>
      </c>
      <c r="E77" s="23">
        <v>1700</v>
      </c>
    </row>
  </sheetData>
  <autoFilter ref="A2:E62" xr:uid="{00000000-0009-0000-0000-000003000000}">
    <sortState xmlns:xlrd2="http://schemas.microsoft.com/office/spreadsheetml/2017/richdata2" ref="A2:E61">
      <sortCondition ref="C1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workbookViewId="0">
      <selection activeCell="A2" sqref="A2:E2"/>
    </sheetView>
  </sheetViews>
  <sheetFormatPr defaultRowHeight="14.4" x14ac:dyDescent="0.3"/>
  <cols>
    <col min="1" max="1" width="9.33203125" customWidth="1"/>
    <col min="2" max="2" width="18" customWidth="1"/>
    <col min="3" max="3" width="35.33203125" bestFit="1" customWidth="1"/>
    <col min="4" max="4" width="13.44140625" bestFit="1" customWidth="1"/>
    <col min="5" max="5" width="17.33203125" bestFit="1" customWidth="1"/>
    <col min="6" max="6" width="14.21875" bestFit="1" customWidth="1"/>
  </cols>
  <sheetData>
    <row r="1" spans="1:6" x14ac:dyDescent="0.3">
      <c r="A1" s="15" t="s">
        <v>70</v>
      </c>
      <c r="B1" s="15"/>
      <c r="C1" s="16" t="s">
        <v>71</v>
      </c>
      <c r="D1" s="15"/>
      <c r="E1" s="17" t="s">
        <v>72</v>
      </c>
      <c r="F1" s="2"/>
    </row>
    <row r="2" spans="1:6" x14ac:dyDescent="0.3">
      <c r="A2" s="2" t="s">
        <v>6</v>
      </c>
      <c r="B2" s="2" t="s">
        <v>5</v>
      </c>
      <c r="C2" s="2" t="s">
        <v>7</v>
      </c>
      <c r="D2" s="2" t="s">
        <v>8</v>
      </c>
      <c r="E2" s="5" t="s">
        <v>9</v>
      </c>
      <c r="F2" s="2" t="s">
        <v>56</v>
      </c>
    </row>
    <row r="3" spans="1:6" ht="24" x14ac:dyDescent="0.3">
      <c r="A3" s="34">
        <v>1</v>
      </c>
      <c r="B3" s="35" t="s">
        <v>73</v>
      </c>
      <c r="C3" s="36" t="s">
        <v>74</v>
      </c>
      <c r="D3" s="37" t="s">
        <v>75</v>
      </c>
      <c r="E3" s="38">
        <v>0</v>
      </c>
      <c r="F3" t="s">
        <v>58</v>
      </c>
    </row>
    <row r="4" spans="1:6" x14ac:dyDescent="0.3">
      <c r="A4" s="34">
        <f>A3+1</f>
        <v>2</v>
      </c>
      <c r="B4" s="39" t="s">
        <v>76</v>
      </c>
      <c r="C4" s="40" t="s">
        <v>77</v>
      </c>
      <c r="D4" s="40" t="s">
        <v>75</v>
      </c>
      <c r="E4" s="10">
        <v>2410</v>
      </c>
    </row>
    <row r="5" spans="1:6" x14ac:dyDescent="0.3">
      <c r="A5" s="34">
        <f t="shared" ref="A5:A32" si="0">A4+1</f>
        <v>3</v>
      </c>
      <c r="B5" s="39" t="s">
        <v>78</v>
      </c>
      <c r="C5" s="40" t="s">
        <v>77</v>
      </c>
      <c r="D5" s="40" t="s">
        <v>75</v>
      </c>
      <c r="E5" s="10">
        <v>2410</v>
      </c>
    </row>
    <row r="6" spans="1:6" x14ac:dyDescent="0.3">
      <c r="A6" s="34">
        <f t="shared" si="0"/>
        <v>4</v>
      </c>
      <c r="B6" s="39" t="s">
        <v>79</v>
      </c>
      <c r="C6" s="40" t="s">
        <v>80</v>
      </c>
      <c r="D6" s="40" t="s">
        <v>75</v>
      </c>
      <c r="E6" s="10">
        <v>1220</v>
      </c>
    </row>
    <row r="7" spans="1:6" x14ac:dyDescent="0.3">
      <c r="A7" s="34">
        <f t="shared" si="0"/>
        <v>5</v>
      </c>
      <c r="B7" s="39" t="s">
        <v>81</v>
      </c>
      <c r="C7" s="40" t="s">
        <v>82</v>
      </c>
      <c r="D7" s="40" t="s">
        <v>83</v>
      </c>
      <c r="E7" s="10">
        <v>2400</v>
      </c>
    </row>
    <row r="8" spans="1:6" x14ac:dyDescent="0.3">
      <c r="A8" s="34">
        <f t="shared" si="0"/>
        <v>6</v>
      </c>
      <c r="B8" s="39" t="s">
        <v>84</v>
      </c>
      <c r="C8" s="40" t="s">
        <v>82</v>
      </c>
      <c r="D8" s="40" t="s">
        <v>75</v>
      </c>
      <c r="E8" s="10">
        <v>2400</v>
      </c>
    </row>
    <row r="9" spans="1:6" x14ac:dyDescent="0.3">
      <c r="A9" s="34">
        <f t="shared" si="0"/>
        <v>7</v>
      </c>
      <c r="B9" s="39" t="s">
        <v>85</v>
      </c>
      <c r="C9" s="40" t="s">
        <v>86</v>
      </c>
      <c r="D9" s="40" t="s">
        <v>34</v>
      </c>
      <c r="E9" s="10">
        <v>2450</v>
      </c>
    </row>
    <row r="10" spans="1:6" ht="24" x14ac:dyDescent="0.3">
      <c r="A10" s="34">
        <f t="shared" si="0"/>
        <v>8</v>
      </c>
      <c r="B10" s="35" t="s">
        <v>87</v>
      </c>
      <c r="C10" s="36" t="s">
        <v>88</v>
      </c>
      <c r="D10" s="37"/>
      <c r="E10" s="38">
        <v>0</v>
      </c>
      <c r="F10" t="s">
        <v>58</v>
      </c>
    </row>
    <row r="11" spans="1:6" ht="24" x14ac:dyDescent="0.3">
      <c r="A11" s="34">
        <f t="shared" si="0"/>
        <v>9</v>
      </c>
      <c r="B11" s="35" t="s">
        <v>89</v>
      </c>
      <c r="C11" s="36" t="s">
        <v>88</v>
      </c>
      <c r="D11" s="37"/>
      <c r="E11" s="38">
        <v>0</v>
      </c>
      <c r="F11" t="s">
        <v>58</v>
      </c>
    </row>
    <row r="12" spans="1:6" x14ac:dyDescent="0.3">
      <c r="A12" s="34">
        <f t="shared" si="0"/>
        <v>10</v>
      </c>
      <c r="B12" s="41">
        <v>358915380007432</v>
      </c>
      <c r="C12" s="40" t="s">
        <v>90</v>
      </c>
      <c r="D12" s="40" t="s">
        <v>75</v>
      </c>
      <c r="E12" s="10">
        <v>1850</v>
      </c>
    </row>
    <row r="13" spans="1:6" x14ac:dyDescent="0.3">
      <c r="A13" s="34">
        <f t="shared" si="0"/>
        <v>11</v>
      </c>
      <c r="B13" s="41">
        <v>352512146092935</v>
      </c>
      <c r="C13" s="40" t="s">
        <v>91</v>
      </c>
      <c r="D13" s="40" t="s">
        <v>75</v>
      </c>
      <c r="E13" s="10">
        <v>1800</v>
      </c>
    </row>
    <row r="14" spans="1:6" x14ac:dyDescent="0.3">
      <c r="A14" s="34">
        <f t="shared" si="0"/>
        <v>12</v>
      </c>
      <c r="B14" s="41">
        <v>352512146242332</v>
      </c>
      <c r="C14" s="40" t="s">
        <v>90</v>
      </c>
      <c r="D14" s="40" t="s">
        <v>75</v>
      </c>
      <c r="E14" s="10">
        <v>1850</v>
      </c>
    </row>
    <row r="15" spans="1:6" x14ac:dyDescent="0.3">
      <c r="A15" s="34">
        <f t="shared" si="0"/>
        <v>13</v>
      </c>
      <c r="B15" s="41">
        <v>352512146253271</v>
      </c>
      <c r="C15" s="40" t="s">
        <v>90</v>
      </c>
      <c r="D15" s="40" t="s">
        <v>75</v>
      </c>
      <c r="E15" s="10">
        <v>1850</v>
      </c>
    </row>
    <row r="16" spans="1:6" x14ac:dyDescent="0.3">
      <c r="A16" s="34">
        <f t="shared" si="0"/>
        <v>14</v>
      </c>
      <c r="B16" s="41">
        <v>358915390049660</v>
      </c>
      <c r="C16" s="40" t="s">
        <v>90</v>
      </c>
      <c r="D16" s="40" t="s">
        <v>75</v>
      </c>
      <c r="E16" s="10">
        <v>1850</v>
      </c>
    </row>
    <row r="17" spans="1:6" x14ac:dyDescent="0.3">
      <c r="A17" s="34">
        <f t="shared" si="0"/>
        <v>15</v>
      </c>
      <c r="B17" s="39" t="s">
        <v>92</v>
      </c>
      <c r="C17" s="40" t="s">
        <v>82</v>
      </c>
      <c r="D17" s="40" t="s">
        <v>75</v>
      </c>
      <c r="E17" s="10">
        <v>2400</v>
      </c>
    </row>
    <row r="18" spans="1:6" x14ac:dyDescent="0.3">
      <c r="A18" s="34">
        <f t="shared" si="0"/>
        <v>16</v>
      </c>
      <c r="B18" s="39" t="s">
        <v>93</v>
      </c>
      <c r="C18" s="40" t="s">
        <v>94</v>
      </c>
      <c r="D18" s="40" t="s">
        <v>75</v>
      </c>
      <c r="E18" s="10">
        <v>2750</v>
      </c>
    </row>
    <row r="19" spans="1:6" x14ac:dyDescent="0.3">
      <c r="A19" s="34">
        <f t="shared" si="0"/>
        <v>17</v>
      </c>
      <c r="B19" s="39" t="s">
        <v>95</v>
      </c>
      <c r="C19" s="40" t="s">
        <v>94</v>
      </c>
      <c r="D19" s="40" t="s">
        <v>75</v>
      </c>
      <c r="E19" s="10">
        <v>2750</v>
      </c>
    </row>
    <row r="20" spans="1:6" x14ac:dyDescent="0.3">
      <c r="A20" s="34">
        <f t="shared" si="0"/>
        <v>18</v>
      </c>
      <c r="B20" s="39" t="s">
        <v>96</v>
      </c>
      <c r="C20" s="40" t="s">
        <v>94</v>
      </c>
      <c r="D20" s="40" t="s">
        <v>75</v>
      </c>
      <c r="E20" s="10">
        <v>2750</v>
      </c>
    </row>
    <row r="21" spans="1:6" x14ac:dyDescent="0.3">
      <c r="A21" s="34">
        <f t="shared" si="0"/>
        <v>19</v>
      </c>
      <c r="B21" s="39" t="s">
        <v>97</v>
      </c>
      <c r="C21" s="40" t="s">
        <v>82</v>
      </c>
      <c r="D21" s="40" t="s">
        <v>75</v>
      </c>
      <c r="E21" s="10">
        <v>2400</v>
      </c>
    </row>
    <row r="22" spans="1:6" x14ac:dyDescent="0.3">
      <c r="A22" s="34">
        <f t="shared" si="0"/>
        <v>20</v>
      </c>
      <c r="B22" s="39" t="s">
        <v>98</v>
      </c>
      <c r="C22" s="40" t="s">
        <v>94</v>
      </c>
      <c r="D22" s="40" t="s">
        <v>75</v>
      </c>
      <c r="E22" s="10">
        <v>2750</v>
      </c>
    </row>
    <row r="23" spans="1:6" ht="24" x14ac:dyDescent="0.3">
      <c r="A23" s="34">
        <f t="shared" si="0"/>
        <v>21</v>
      </c>
      <c r="B23" s="35" t="s">
        <v>99</v>
      </c>
      <c r="C23" s="36" t="s">
        <v>88</v>
      </c>
      <c r="D23" s="37" t="s">
        <v>75</v>
      </c>
      <c r="E23" s="38">
        <v>0</v>
      </c>
      <c r="F23" t="s">
        <v>58</v>
      </c>
    </row>
    <row r="24" spans="1:6" x14ac:dyDescent="0.3">
      <c r="A24" s="34">
        <f t="shared" si="0"/>
        <v>22</v>
      </c>
      <c r="B24" s="39" t="s">
        <v>100</v>
      </c>
      <c r="C24" s="40" t="s">
        <v>101</v>
      </c>
      <c r="D24" s="40" t="s">
        <v>75</v>
      </c>
      <c r="E24" s="10">
        <v>2700</v>
      </c>
    </row>
    <row r="25" spans="1:6" x14ac:dyDescent="0.3">
      <c r="A25" s="34">
        <f t="shared" si="0"/>
        <v>23</v>
      </c>
      <c r="B25" s="39" t="s">
        <v>102</v>
      </c>
      <c r="C25" s="40" t="s">
        <v>101</v>
      </c>
      <c r="D25" s="40" t="s">
        <v>75</v>
      </c>
      <c r="E25" s="10">
        <v>2700</v>
      </c>
    </row>
    <row r="26" spans="1:6" x14ac:dyDescent="0.3">
      <c r="A26" s="34">
        <f t="shared" si="0"/>
        <v>24</v>
      </c>
      <c r="B26" s="39" t="s">
        <v>103</v>
      </c>
      <c r="C26" s="40" t="s">
        <v>101</v>
      </c>
      <c r="D26" s="40" t="s">
        <v>75</v>
      </c>
      <c r="E26" s="10">
        <v>2700</v>
      </c>
    </row>
    <row r="27" spans="1:6" x14ac:dyDescent="0.3">
      <c r="A27" s="34">
        <f t="shared" si="0"/>
        <v>25</v>
      </c>
      <c r="B27" s="39" t="s">
        <v>104</v>
      </c>
      <c r="C27" s="40" t="s">
        <v>105</v>
      </c>
      <c r="D27" s="40" t="s">
        <v>75</v>
      </c>
      <c r="E27" s="10">
        <v>2600</v>
      </c>
    </row>
    <row r="28" spans="1:6" x14ac:dyDescent="0.3">
      <c r="A28" s="34">
        <f t="shared" si="0"/>
        <v>26</v>
      </c>
      <c r="B28" s="39" t="s">
        <v>106</v>
      </c>
      <c r="C28" s="40" t="s">
        <v>105</v>
      </c>
      <c r="D28" s="40" t="s">
        <v>75</v>
      </c>
      <c r="E28" s="10">
        <v>2600</v>
      </c>
    </row>
    <row r="29" spans="1:6" x14ac:dyDescent="0.3">
      <c r="A29" s="34">
        <f t="shared" si="0"/>
        <v>27</v>
      </c>
      <c r="B29" s="39" t="s">
        <v>107</v>
      </c>
      <c r="C29" s="40" t="s">
        <v>108</v>
      </c>
      <c r="D29" s="40" t="s">
        <v>75</v>
      </c>
      <c r="E29" s="10">
        <v>2700</v>
      </c>
    </row>
    <row r="30" spans="1:6" x14ac:dyDescent="0.3">
      <c r="A30" s="34">
        <f t="shared" si="0"/>
        <v>28</v>
      </c>
      <c r="B30" s="39" t="s">
        <v>109</v>
      </c>
      <c r="C30" s="40" t="s">
        <v>110</v>
      </c>
      <c r="D30" s="40" t="s">
        <v>75</v>
      </c>
      <c r="E30" s="10">
        <v>2400</v>
      </c>
    </row>
    <row r="31" spans="1:6" x14ac:dyDescent="0.3">
      <c r="A31" s="34">
        <f t="shared" si="0"/>
        <v>29</v>
      </c>
      <c r="B31" s="39" t="s">
        <v>111</v>
      </c>
      <c r="C31" s="40" t="s">
        <v>108</v>
      </c>
      <c r="D31" s="40" t="s">
        <v>75</v>
      </c>
      <c r="E31" s="10">
        <v>2580</v>
      </c>
    </row>
    <row r="32" spans="1:6" x14ac:dyDescent="0.3">
      <c r="A32" s="34">
        <f t="shared" si="0"/>
        <v>30</v>
      </c>
      <c r="B32" s="39" t="s">
        <v>112</v>
      </c>
      <c r="C32" s="40" t="s">
        <v>110</v>
      </c>
      <c r="D32" s="40" t="s">
        <v>75</v>
      </c>
      <c r="E32" s="10">
        <v>2400</v>
      </c>
    </row>
    <row r="33" spans="1:5" x14ac:dyDescent="0.3">
      <c r="A33" s="42"/>
    </row>
    <row r="34" spans="1:5" x14ac:dyDescent="0.3">
      <c r="E34" s="14">
        <f>SUM(E3:E33)</f>
        <v>61670</v>
      </c>
    </row>
  </sheetData>
  <autoFilter ref="A2:E2" xr:uid="{00000000-0001-0000-0400-000000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97"/>
  <sheetViews>
    <sheetView topLeftCell="A13" zoomScale="77" workbookViewId="0">
      <selection activeCell="C59" sqref="C59"/>
    </sheetView>
  </sheetViews>
  <sheetFormatPr defaultRowHeight="14.4" x14ac:dyDescent="0.3"/>
  <cols>
    <col min="1" max="1" width="15.5546875" customWidth="1"/>
    <col min="3" max="3" width="26.88671875" customWidth="1"/>
    <col min="4" max="4" width="57.109375" bestFit="1" customWidth="1"/>
    <col min="5" max="5" width="16.44140625" customWidth="1"/>
    <col min="6" max="6" width="17.33203125" bestFit="1" customWidth="1"/>
    <col min="7" max="7" width="23.21875" customWidth="1"/>
    <col min="8" max="8" width="14.5546875" customWidth="1"/>
  </cols>
  <sheetData>
    <row r="1" spans="2:7" ht="30" customHeight="1" x14ac:dyDescent="0.3"/>
    <row r="2" spans="2:7" ht="19.95" customHeight="1" x14ac:dyDescent="0.3">
      <c r="B2" s="15" t="s">
        <v>141</v>
      </c>
      <c r="C2" s="15"/>
      <c r="D2" s="16" t="s">
        <v>71</v>
      </c>
      <c r="E2" s="15"/>
      <c r="F2" s="17" t="s">
        <v>72</v>
      </c>
      <c r="G2" s="2"/>
    </row>
    <row r="3" spans="2:7" ht="19.95" customHeight="1" thickBot="1" x14ac:dyDescent="0.35">
      <c r="B3" s="2" t="s">
        <v>6</v>
      </c>
      <c r="C3" s="2" t="s">
        <v>5</v>
      </c>
      <c r="D3" s="2" t="s">
        <v>7</v>
      </c>
      <c r="E3" s="2" t="s">
        <v>8</v>
      </c>
      <c r="F3" s="5" t="s">
        <v>9</v>
      </c>
      <c r="G3" s="2" t="s">
        <v>56</v>
      </c>
    </row>
    <row r="4" spans="2:7" ht="19.95" customHeight="1" thickBot="1" x14ac:dyDescent="0.35">
      <c r="B4" s="43">
        <v>1</v>
      </c>
      <c r="C4" s="44">
        <v>356706680325976</v>
      </c>
      <c r="D4" s="45" t="s">
        <v>129</v>
      </c>
      <c r="E4" s="43" t="s">
        <v>36</v>
      </c>
      <c r="F4" s="10">
        <v>2410</v>
      </c>
    </row>
    <row r="5" spans="2:7" ht="19.95" customHeight="1" thickBot="1" x14ac:dyDescent="0.35">
      <c r="B5" s="43">
        <v>2</v>
      </c>
      <c r="C5" s="44">
        <v>352942561891059</v>
      </c>
      <c r="D5" s="45" t="s">
        <v>124</v>
      </c>
      <c r="E5" s="43" t="s">
        <v>36</v>
      </c>
      <c r="F5" s="10">
        <v>1600</v>
      </c>
    </row>
    <row r="6" spans="2:7" ht="19.95" customHeight="1" thickBot="1" x14ac:dyDescent="0.35">
      <c r="B6" s="43">
        <v>3</v>
      </c>
      <c r="C6" s="44">
        <v>352942561739464</v>
      </c>
      <c r="D6" s="45" t="s">
        <v>124</v>
      </c>
      <c r="E6" s="43" t="s">
        <v>36</v>
      </c>
      <c r="F6" s="10">
        <v>1600</v>
      </c>
    </row>
    <row r="7" spans="2:7" ht="19.95" customHeight="1" thickBot="1" x14ac:dyDescent="0.35">
      <c r="B7" s="43">
        <v>4</v>
      </c>
      <c r="C7" s="44">
        <v>352113551465078</v>
      </c>
      <c r="D7" s="45" t="s">
        <v>124</v>
      </c>
      <c r="E7" s="43" t="s">
        <v>36</v>
      </c>
      <c r="F7" s="10">
        <v>1600</v>
      </c>
    </row>
    <row r="8" spans="2:7" ht="19.95" customHeight="1" thickBot="1" x14ac:dyDescent="0.35">
      <c r="B8" s="43">
        <v>5</v>
      </c>
      <c r="C8" s="44">
        <v>352113551349108</v>
      </c>
      <c r="D8" s="45" t="s">
        <v>124</v>
      </c>
      <c r="E8" s="43" t="s">
        <v>36</v>
      </c>
      <c r="F8" s="10">
        <v>1600</v>
      </c>
    </row>
    <row r="9" spans="2:7" ht="19.95" customHeight="1" thickBot="1" x14ac:dyDescent="0.35">
      <c r="B9" s="43">
        <v>6</v>
      </c>
      <c r="C9" s="47">
        <v>352942560034180</v>
      </c>
      <c r="D9" s="48" t="s">
        <v>132</v>
      </c>
      <c r="E9" s="46" t="s">
        <v>36</v>
      </c>
      <c r="F9" s="10">
        <v>1600</v>
      </c>
      <c r="G9" t="s">
        <v>142</v>
      </c>
    </row>
    <row r="10" spans="2:7" ht="19.95" customHeight="1" thickBot="1" x14ac:dyDescent="0.35">
      <c r="B10" s="43">
        <v>7</v>
      </c>
      <c r="C10" s="47">
        <v>352942560220888</v>
      </c>
      <c r="D10" s="48" t="s">
        <v>132</v>
      </c>
      <c r="E10" s="46" t="s">
        <v>36</v>
      </c>
      <c r="F10" s="10">
        <v>1700</v>
      </c>
      <c r="G10" t="s">
        <v>143</v>
      </c>
    </row>
    <row r="11" spans="2:7" ht="19.95" customHeight="1" thickBot="1" x14ac:dyDescent="0.35">
      <c r="B11" s="43">
        <v>8</v>
      </c>
      <c r="C11" s="47">
        <v>359103740143804</v>
      </c>
      <c r="D11" s="48" t="s">
        <v>131</v>
      </c>
      <c r="E11" s="46" t="s">
        <v>36</v>
      </c>
      <c r="F11" s="10">
        <v>0</v>
      </c>
    </row>
    <row r="12" spans="2:7" ht="19.95" customHeight="1" thickBot="1" x14ac:dyDescent="0.35">
      <c r="B12" s="43">
        <v>9</v>
      </c>
      <c r="C12" s="44">
        <v>352161333156770</v>
      </c>
      <c r="D12" s="45" t="s">
        <v>130</v>
      </c>
      <c r="E12" s="43" t="s">
        <v>36</v>
      </c>
      <c r="F12" s="10">
        <v>1600</v>
      </c>
    </row>
    <row r="13" spans="2:7" ht="19.95" customHeight="1" thickBot="1" x14ac:dyDescent="0.35">
      <c r="B13" s="43">
        <v>10</v>
      </c>
      <c r="C13" s="44">
        <v>352161333103186</v>
      </c>
      <c r="D13" s="45" t="s">
        <v>130</v>
      </c>
      <c r="E13" s="43" t="s">
        <v>36</v>
      </c>
      <c r="F13" s="10">
        <v>1600</v>
      </c>
    </row>
    <row r="14" spans="2:7" ht="19.95" customHeight="1" thickBot="1" x14ac:dyDescent="0.35">
      <c r="B14" s="43">
        <v>11</v>
      </c>
      <c r="C14" s="44">
        <v>352161333450355</v>
      </c>
      <c r="D14" s="45" t="s">
        <v>130</v>
      </c>
      <c r="E14" s="43" t="s">
        <v>36</v>
      </c>
      <c r="F14" s="10">
        <v>1600</v>
      </c>
    </row>
    <row r="15" spans="2:7" ht="19.95" customHeight="1" thickBot="1" x14ac:dyDescent="0.35">
      <c r="B15" s="43">
        <v>12</v>
      </c>
      <c r="C15" s="44">
        <v>359297747836699</v>
      </c>
      <c r="D15" s="45" t="s">
        <v>125</v>
      </c>
      <c r="E15" s="43" t="s">
        <v>36</v>
      </c>
      <c r="F15" s="10">
        <v>1900</v>
      </c>
    </row>
    <row r="16" spans="2:7" ht="19.95" customHeight="1" thickBot="1" x14ac:dyDescent="0.35">
      <c r="B16" s="43">
        <v>13</v>
      </c>
      <c r="C16" s="44">
        <v>358282725230504</v>
      </c>
      <c r="D16" s="45" t="s">
        <v>125</v>
      </c>
      <c r="E16" s="43" t="s">
        <v>36</v>
      </c>
      <c r="F16" s="10">
        <v>1900</v>
      </c>
    </row>
    <row r="17" spans="2:6" ht="19.95" customHeight="1" thickBot="1" x14ac:dyDescent="0.35">
      <c r="B17" s="43">
        <v>14</v>
      </c>
      <c r="C17" s="44">
        <v>358282725039335</v>
      </c>
      <c r="D17" s="45" t="s">
        <v>125</v>
      </c>
      <c r="E17" s="43" t="s">
        <v>36</v>
      </c>
      <c r="F17" s="10">
        <v>1900</v>
      </c>
    </row>
    <row r="18" spans="2:6" ht="19.95" customHeight="1" thickBot="1" x14ac:dyDescent="0.35">
      <c r="B18" s="43">
        <v>15</v>
      </c>
      <c r="C18" s="44">
        <v>356102154611689</v>
      </c>
      <c r="D18" s="45" t="s">
        <v>113</v>
      </c>
      <c r="E18" s="43" t="s">
        <v>36</v>
      </c>
      <c r="F18" s="10">
        <v>2050</v>
      </c>
    </row>
    <row r="19" spans="2:6" ht="19.95" customHeight="1" thickBot="1" x14ac:dyDescent="0.35">
      <c r="B19" s="43">
        <v>16</v>
      </c>
      <c r="C19" s="44">
        <v>353393817621412</v>
      </c>
      <c r="D19" s="45" t="s">
        <v>117</v>
      </c>
      <c r="E19" s="43" t="s">
        <v>36</v>
      </c>
      <c r="F19" s="10">
        <v>2400</v>
      </c>
    </row>
    <row r="20" spans="2:6" ht="19.95" customHeight="1" thickBot="1" x14ac:dyDescent="0.35">
      <c r="B20" s="43">
        <v>17</v>
      </c>
      <c r="C20" s="44">
        <v>356308869025459</v>
      </c>
      <c r="D20" s="45" t="s">
        <v>117</v>
      </c>
      <c r="E20" s="43" t="s">
        <v>36</v>
      </c>
      <c r="F20" s="10">
        <v>2400</v>
      </c>
    </row>
    <row r="21" spans="2:6" ht="19.95" customHeight="1" thickBot="1" x14ac:dyDescent="0.35">
      <c r="B21" s="43">
        <v>18</v>
      </c>
      <c r="C21" s="44">
        <v>351614405090443</v>
      </c>
      <c r="D21" s="45" t="s">
        <v>117</v>
      </c>
      <c r="E21" s="43" t="s">
        <v>36</v>
      </c>
      <c r="F21" s="10">
        <v>2400</v>
      </c>
    </row>
    <row r="22" spans="2:6" ht="19.95" customHeight="1" thickBot="1" x14ac:dyDescent="0.35">
      <c r="B22" s="43">
        <v>19</v>
      </c>
      <c r="C22" s="44">
        <v>350773434693303</v>
      </c>
      <c r="D22" s="45" t="s">
        <v>117</v>
      </c>
      <c r="E22" s="43" t="s">
        <v>36</v>
      </c>
      <c r="F22" s="10">
        <v>2400</v>
      </c>
    </row>
    <row r="23" spans="2:6" ht="19.95" customHeight="1" thickBot="1" x14ac:dyDescent="0.35">
      <c r="B23" s="43">
        <v>20</v>
      </c>
      <c r="C23" s="44">
        <v>352315401551961</v>
      </c>
      <c r="D23" s="45" t="s">
        <v>117</v>
      </c>
      <c r="E23" s="43" t="s">
        <v>36</v>
      </c>
      <c r="F23" s="10">
        <v>2400</v>
      </c>
    </row>
    <row r="24" spans="2:6" ht="19.95" customHeight="1" thickBot="1" x14ac:dyDescent="0.35">
      <c r="B24" s="43">
        <v>21</v>
      </c>
      <c r="C24" s="44">
        <v>353393817555404</v>
      </c>
      <c r="D24" s="45" t="s">
        <v>135</v>
      </c>
      <c r="E24" s="43" t="s">
        <v>36</v>
      </c>
      <c r="F24" s="10">
        <v>2400</v>
      </c>
    </row>
    <row r="25" spans="2:6" ht="19.95" customHeight="1" thickBot="1" x14ac:dyDescent="0.35">
      <c r="B25" s="43">
        <v>22</v>
      </c>
      <c r="C25" s="47">
        <v>358862982908593</v>
      </c>
      <c r="D25" s="48" t="s">
        <v>114</v>
      </c>
      <c r="E25" s="46" t="s">
        <v>36</v>
      </c>
      <c r="F25" s="10">
        <v>0</v>
      </c>
    </row>
    <row r="26" spans="2:6" ht="19.95" customHeight="1" thickBot="1" x14ac:dyDescent="0.35">
      <c r="B26" s="43">
        <v>23</v>
      </c>
      <c r="C26" s="44">
        <v>350773433201397</v>
      </c>
      <c r="D26" s="45" t="s">
        <v>120</v>
      </c>
      <c r="E26" s="43" t="s">
        <v>36</v>
      </c>
      <c r="F26" s="10">
        <v>2600</v>
      </c>
    </row>
    <row r="27" spans="2:6" ht="19.95" customHeight="1" thickBot="1" x14ac:dyDescent="0.35">
      <c r="B27" s="43">
        <v>24</v>
      </c>
      <c r="C27" s="44">
        <v>350773432101465</v>
      </c>
      <c r="D27" s="45" t="s">
        <v>119</v>
      </c>
      <c r="E27" s="43" t="s">
        <v>36</v>
      </c>
      <c r="F27" s="10">
        <v>2750</v>
      </c>
    </row>
    <row r="28" spans="2:6" ht="19.95" customHeight="1" thickBot="1" x14ac:dyDescent="0.35">
      <c r="B28" s="43">
        <v>25</v>
      </c>
      <c r="C28" s="44">
        <v>354210976001070</v>
      </c>
      <c r="D28" s="45" t="s">
        <v>116</v>
      </c>
      <c r="E28" s="43" t="s">
        <v>36</v>
      </c>
      <c r="F28" s="10">
        <v>2580</v>
      </c>
    </row>
    <row r="29" spans="2:6" ht="19.95" customHeight="1" thickBot="1" x14ac:dyDescent="0.35">
      <c r="B29" s="43">
        <v>26</v>
      </c>
      <c r="C29" s="44">
        <v>357205986280711</v>
      </c>
      <c r="D29" s="45" t="s">
        <v>116</v>
      </c>
      <c r="E29" s="43" t="s">
        <v>36</v>
      </c>
      <c r="F29" s="10">
        <v>2580</v>
      </c>
    </row>
    <row r="30" spans="2:6" ht="19.95" customHeight="1" thickBot="1" x14ac:dyDescent="0.35">
      <c r="B30" s="43">
        <v>27</v>
      </c>
      <c r="C30" s="44">
        <v>358536504268054</v>
      </c>
      <c r="D30" s="45" t="s">
        <v>116</v>
      </c>
      <c r="E30" s="43" t="s">
        <v>36</v>
      </c>
      <c r="F30" s="10">
        <v>2580</v>
      </c>
    </row>
    <row r="31" spans="2:6" ht="19.95" customHeight="1" thickBot="1" x14ac:dyDescent="0.35">
      <c r="B31" s="43">
        <v>28</v>
      </c>
      <c r="C31" s="44">
        <v>358536504334302</v>
      </c>
      <c r="D31" s="45" t="s">
        <v>116</v>
      </c>
      <c r="E31" s="43" t="s">
        <v>36</v>
      </c>
      <c r="F31" s="10">
        <v>2580</v>
      </c>
    </row>
    <row r="32" spans="2:6" ht="19.95" customHeight="1" thickBot="1" x14ac:dyDescent="0.35">
      <c r="B32" s="43">
        <v>29</v>
      </c>
      <c r="C32" s="44">
        <v>358862980934872</v>
      </c>
      <c r="D32" s="45" t="s">
        <v>116</v>
      </c>
      <c r="E32" s="43" t="s">
        <v>36</v>
      </c>
      <c r="F32" s="10">
        <v>2580</v>
      </c>
    </row>
    <row r="33" spans="2:6" ht="19.95" customHeight="1" thickBot="1" x14ac:dyDescent="0.35">
      <c r="B33" s="43">
        <v>30</v>
      </c>
      <c r="C33" s="44">
        <v>358245529114760</v>
      </c>
      <c r="D33" s="45" t="s">
        <v>116</v>
      </c>
      <c r="E33" s="43" t="s">
        <v>36</v>
      </c>
      <c r="F33" s="10">
        <v>2580</v>
      </c>
    </row>
    <row r="34" spans="2:6" ht="19.95" customHeight="1" thickBot="1" x14ac:dyDescent="0.35">
      <c r="B34" s="43">
        <v>31</v>
      </c>
      <c r="C34" s="44">
        <v>358245529093139</v>
      </c>
      <c r="D34" s="45" t="s">
        <v>116</v>
      </c>
      <c r="E34" s="43" t="s">
        <v>36</v>
      </c>
      <c r="F34" s="10">
        <v>2580</v>
      </c>
    </row>
    <row r="35" spans="2:6" ht="19.95" customHeight="1" thickBot="1" x14ac:dyDescent="0.35">
      <c r="B35" s="43">
        <v>32</v>
      </c>
      <c r="C35" s="44">
        <v>353393814112142</v>
      </c>
      <c r="D35" s="45" t="s">
        <v>116</v>
      </c>
      <c r="E35" s="43" t="s">
        <v>36</v>
      </c>
      <c r="F35" s="10">
        <v>2580</v>
      </c>
    </row>
    <row r="36" spans="2:6" ht="19.95" customHeight="1" thickBot="1" x14ac:dyDescent="0.35">
      <c r="B36" s="43">
        <v>33</v>
      </c>
      <c r="C36" s="44">
        <v>353393817420773</v>
      </c>
      <c r="D36" s="45" t="s">
        <v>116</v>
      </c>
      <c r="E36" s="43" t="s">
        <v>36</v>
      </c>
      <c r="F36" s="10">
        <v>2580</v>
      </c>
    </row>
    <row r="37" spans="2:6" ht="19.95" customHeight="1" thickBot="1" x14ac:dyDescent="0.35">
      <c r="B37" s="43">
        <v>34</v>
      </c>
      <c r="C37" s="44">
        <v>353484629833707</v>
      </c>
      <c r="D37" s="45" t="s">
        <v>116</v>
      </c>
      <c r="E37" s="43" t="s">
        <v>36</v>
      </c>
      <c r="F37" s="10">
        <v>2580</v>
      </c>
    </row>
    <row r="38" spans="2:6" ht="19.95" customHeight="1" thickBot="1" x14ac:dyDescent="0.35">
      <c r="B38" s="43">
        <v>35</v>
      </c>
      <c r="C38" s="44">
        <v>355783824717138</v>
      </c>
      <c r="D38" s="45" t="s">
        <v>134</v>
      </c>
      <c r="E38" s="43" t="s">
        <v>36</v>
      </c>
      <c r="F38" s="10">
        <v>2700</v>
      </c>
    </row>
    <row r="39" spans="2:6" ht="19.95" customHeight="1" thickBot="1" x14ac:dyDescent="0.35">
      <c r="B39" s="43">
        <v>36</v>
      </c>
      <c r="C39" s="44">
        <v>3533933818486300</v>
      </c>
      <c r="D39" s="45" t="s">
        <v>122</v>
      </c>
      <c r="E39" s="43" t="s">
        <v>36</v>
      </c>
      <c r="F39" s="10">
        <v>2500</v>
      </c>
    </row>
    <row r="40" spans="2:6" ht="19.95" customHeight="1" thickBot="1" x14ac:dyDescent="0.35">
      <c r="B40" s="43">
        <v>37</v>
      </c>
      <c r="C40" s="44">
        <v>353393818357578</v>
      </c>
      <c r="D40" s="45" t="s">
        <v>122</v>
      </c>
      <c r="E40" s="43" t="s">
        <v>36</v>
      </c>
      <c r="F40" s="10">
        <v>2500</v>
      </c>
    </row>
    <row r="41" spans="2:6" ht="19.95" customHeight="1" thickBot="1" x14ac:dyDescent="0.35">
      <c r="B41" s="43">
        <v>38</v>
      </c>
      <c r="C41" s="44">
        <v>353393818444145</v>
      </c>
      <c r="D41" s="45" t="s">
        <v>122</v>
      </c>
      <c r="E41" s="43" t="s">
        <v>36</v>
      </c>
      <c r="F41" s="10">
        <v>2500</v>
      </c>
    </row>
    <row r="42" spans="2:6" ht="19.95" customHeight="1" thickBot="1" x14ac:dyDescent="0.35">
      <c r="B42" s="43">
        <v>39</v>
      </c>
      <c r="C42" s="44">
        <v>353393818000368</v>
      </c>
      <c r="D42" s="45" t="s">
        <v>133</v>
      </c>
      <c r="E42" s="43" t="s">
        <v>36</v>
      </c>
      <c r="F42" s="10">
        <v>2500</v>
      </c>
    </row>
    <row r="43" spans="2:6" ht="19.95" customHeight="1" thickBot="1" x14ac:dyDescent="0.35">
      <c r="B43" s="43">
        <v>40</v>
      </c>
      <c r="C43" s="47">
        <v>353393818423230</v>
      </c>
      <c r="D43" s="48" t="s">
        <v>121</v>
      </c>
      <c r="E43" s="46" t="s">
        <v>36</v>
      </c>
      <c r="F43" s="10">
        <v>0</v>
      </c>
    </row>
    <row r="44" spans="2:6" ht="19.95" customHeight="1" thickBot="1" x14ac:dyDescent="0.35">
      <c r="B44" s="43">
        <v>41</v>
      </c>
      <c r="C44" s="47">
        <v>358536507391838</v>
      </c>
      <c r="D44" s="48" t="s">
        <v>115</v>
      </c>
      <c r="E44" s="46" t="s">
        <v>36</v>
      </c>
      <c r="F44" s="10">
        <v>0</v>
      </c>
    </row>
    <row r="45" spans="2:6" ht="19.95" customHeight="1" thickBot="1" x14ac:dyDescent="0.35">
      <c r="B45" s="43">
        <v>42</v>
      </c>
      <c r="C45" s="44">
        <v>357017255468681</v>
      </c>
      <c r="D45" s="45" t="s">
        <v>126</v>
      </c>
      <c r="E45" s="43" t="s">
        <v>36</v>
      </c>
      <c r="F45" s="10">
        <v>2000</v>
      </c>
    </row>
    <row r="46" spans="2:6" ht="19.95" customHeight="1" thickBot="1" x14ac:dyDescent="0.35">
      <c r="B46" s="43">
        <v>43</v>
      </c>
      <c r="C46" s="44">
        <v>357719284728122</v>
      </c>
      <c r="D46" s="45" t="s">
        <v>128</v>
      </c>
      <c r="E46" s="43" t="s">
        <v>36</v>
      </c>
      <c r="F46" s="10">
        <v>2150</v>
      </c>
    </row>
    <row r="47" spans="2:6" ht="19.95" customHeight="1" thickBot="1" x14ac:dyDescent="0.35">
      <c r="B47" s="43">
        <v>44</v>
      </c>
      <c r="C47" s="44">
        <v>357985600424296</v>
      </c>
      <c r="D47" s="45" t="s">
        <v>118</v>
      </c>
      <c r="E47" s="43" t="s">
        <v>36</v>
      </c>
      <c r="F47" s="10">
        <v>1450</v>
      </c>
    </row>
    <row r="48" spans="2:6" ht="19.95" customHeight="1" thickBot="1" x14ac:dyDescent="0.35">
      <c r="B48" s="43">
        <v>45</v>
      </c>
      <c r="C48" s="44">
        <v>354563832497373</v>
      </c>
      <c r="D48" s="45" t="s">
        <v>118</v>
      </c>
      <c r="E48" s="43" t="s">
        <v>36</v>
      </c>
      <c r="F48" s="10">
        <v>1450</v>
      </c>
    </row>
    <row r="49" spans="2:8" ht="19.95" customHeight="1" thickBot="1" x14ac:dyDescent="0.35">
      <c r="B49" s="43">
        <v>46</v>
      </c>
      <c r="C49" s="44">
        <v>357189986864213</v>
      </c>
      <c r="D49" s="45" t="s">
        <v>123</v>
      </c>
      <c r="E49" s="43" t="s">
        <v>36</v>
      </c>
      <c r="F49" s="10">
        <v>1500</v>
      </c>
    </row>
    <row r="50" spans="2:8" ht="19.95" customHeight="1" thickBot="1" x14ac:dyDescent="0.35">
      <c r="B50" s="43">
        <v>47</v>
      </c>
      <c r="C50" s="44">
        <v>357189986754968</v>
      </c>
      <c r="D50" s="45" t="s">
        <v>123</v>
      </c>
      <c r="E50" s="43" t="s">
        <v>36</v>
      </c>
      <c r="F50" s="10">
        <v>1500</v>
      </c>
    </row>
    <row r="51" spans="2:8" ht="19.95" customHeight="1" thickBot="1" x14ac:dyDescent="0.35">
      <c r="B51" s="43">
        <v>48</v>
      </c>
      <c r="C51" s="44">
        <v>359696881197299</v>
      </c>
      <c r="D51" s="45" t="s">
        <v>127</v>
      </c>
      <c r="E51" s="43" t="s">
        <v>36</v>
      </c>
      <c r="F51" s="10">
        <v>1600</v>
      </c>
    </row>
    <row r="52" spans="2:8" ht="19.95" customHeight="1" thickBot="1" x14ac:dyDescent="0.35">
      <c r="B52" s="43">
        <v>49</v>
      </c>
      <c r="C52" s="47">
        <v>352512146761431</v>
      </c>
      <c r="D52" s="48" t="s">
        <v>137</v>
      </c>
      <c r="E52" s="50"/>
      <c r="F52" s="10">
        <v>0</v>
      </c>
    </row>
    <row r="53" spans="2:8" ht="19.95" customHeight="1" thickBot="1" x14ac:dyDescent="0.35">
      <c r="B53" s="43">
        <v>50</v>
      </c>
      <c r="C53" s="44">
        <v>352512143815304</v>
      </c>
      <c r="D53" s="45" t="s">
        <v>136</v>
      </c>
      <c r="E53" s="49"/>
      <c r="F53" s="10">
        <v>1800</v>
      </c>
    </row>
    <row r="54" spans="2:8" ht="19.95" customHeight="1" thickBot="1" x14ac:dyDescent="0.35">
      <c r="B54" s="43">
        <v>51</v>
      </c>
      <c r="C54" s="44">
        <v>3525121468771580</v>
      </c>
      <c r="D54" s="45" t="s">
        <v>136</v>
      </c>
      <c r="E54" s="49"/>
      <c r="F54" s="10">
        <v>1800</v>
      </c>
    </row>
    <row r="55" spans="2:8" ht="19.95" customHeight="1" thickBot="1" x14ac:dyDescent="0.35">
      <c r="B55" s="43">
        <v>52</v>
      </c>
      <c r="C55" s="44">
        <v>358754771133667</v>
      </c>
      <c r="D55" s="45" t="s">
        <v>136</v>
      </c>
      <c r="E55" s="49"/>
      <c r="F55" s="10">
        <v>1750</v>
      </c>
    </row>
    <row r="56" spans="2:8" ht="19.95" customHeight="1" thickBot="1" x14ac:dyDescent="0.35">
      <c r="B56" s="43">
        <v>53</v>
      </c>
      <c r="C56" s="44">
        <v>358754771670387</v>
      </c>
      <c r="D56" s="45" t="s">
        <v>136</v>
      </c>
      <c r="E56" s="49"/>
      <c r="F56" s="10">
        <v>1800</v>
      </c>
    </row>
    <row r="57" spans="2:8" ht="19.95" customHeight="1" thickBot="1" x14ac:dyDescent="0.35">
      <c r="B57" s="108">
        <v>54</v>
      </c>
      <c r="C57" s="107">
        <v>352512146261084</v>
      </c>
      <c r="D57" s="109" t="s">
        <v>136</v>
      </c>
      <c r="E57" s="110"/>
      <c r="F57" s="111">
        <v>1800</v>
      </c>
    </row>
    <row r="58" spans="2:8" ht="19.95" customHeight="1" thickBot="1" x14ac:dyDescent="0.35">
      <c r="B58" s="43">
        <v>55</v>
      </c>
      <c r="C58" s="44">
        <v>352512146703374</v>
      </c>
      <c r="D58" s="45" t="s">
        <v>136</v>
      </c>
      <c r="E58" s="49"/>
      <c r="F58" s="10">
        <v>1800</v>
      </c>
    </row>
    <row r="59" spans="2:8" ht="19.95" customHeight="1" thickBot="1" x14ac:dyDescent="0.35">
      <c r="B59" s="43">
        <v>56</v>
      </c>
      <c r="C59" s="44">
        <v>352512146790876</v>
      </c>
      <c r="D59" s="45" t="s">
        <v>136</v>
      </c>
      <c r="E59" s="49"/>
      <c r="F59" s="10">
        <v>1800</v>
      </c>
    </row>
    <row r="60" spans="2:8" ht="19.95" customHeight="1" thickBot="1" x14ac:dyDescent="0.35">
      <c r="B60" s="43">
        <v>57</v>
      </c>
      <c r="C60" s="44">
        <v>352512146739600</v>
      </c>
      <c r="D60" s="45" t="s">
        <v>136</v>
      </c>
      <c r="E60" s="49"/>
      <c r="F60" s="10">
        <v>1680</v>
      </c>
      <c r="G60" t="s">
        <v>201</v>
      </c>
      <c r="H60">
        <v>1750</v>
      </c>
    </row>
    <row r="61" spans="2:8" ht="19.95" customHeight="1" thickBot="1" x14ac:dyDescent="0.35">
      <c r="B61" s="43">
        <v>58</v>
      </c>
      <c r="C61" s="44">
        <v>352512146739063</v>
      </c>
      <c r="D61" s="45" t="s">
        <v>136</v>
      </c>
      <c r="E61" s="49"/>
      <c r="F61" s="10">
        <v>1800</v>
      </c>
    </row>
    <row r="62" spans="2:8" ht="19.95" customHeight="1" thickBot="1" x14ac:dyDescent="0.35">
      <c r="B62" s="43">
        <v>59</v>
      </c>
      <c r="C62" s="44">
        <v>358574637860612</v>
      </c>
      <c r="D62" s="45" t="s">
        <v>136</v>
      </c>
      <c r="E62" s="49"/>
      <c r="F62" s="10">
        <v>1800</v>
      </c>
    </row>
    <row r="63" spans="2:8" ht="19.95" customHeight="1" thickBot="1" x14ac:dyDescent="0.35">
      <c r="B63" s="43">
        <v>60</v>
      </c>
      <c r="C63" s="44">
        <v>352512146741259</v>
      </c>
      <c r="D63" s="45" t="s">
        <v>136</v>
      </c>
      <c r="E63" s="49"/>
      <c r="F63" s="10">
        <v>1800</v>
      </c>
    </row>
    <row r="65" spans="2:7" x14ac:dyDescent="0.3">
      <c r="F65" s="14">
        <f>SUM(F4:F64)</f>
        <v>114190</v>
      </c>
    </row>
    <row r="67" spans="2:7" ht="15.6" x14ac:dyDescent="0.3">
      <c r="B67" s="53"/>
    </row>
    <row r="68" spans="2:7" ht="15.6" x14ac:dyDescent="0.3">
      <c r="B68" s="53"/>
    </row>
    <row r="69" spans="2:7" ht="15.6" x14ac:dyDescent="0.3">
      <c r="B69" s="53"/>
    </row>
    <row r="70" spans="2:7" ht="15.6" x14ac:dyDescent="0.3">
      <c r="B70" s="53"/>
    </row>
    <row r="71" spans="2:7" ht="15.6" x14ac:dyDescent="0.3">
      <c r="B71" s="53"/>
    </row>
    <row r="72" spans="2:7" ht="15.6" x14ac:dyDescent="0.3">
      <c r="B72" s="53">
        <v>5</v>
      </c>
      <c r="C72" s="54">
        <v>358862982908593</v>
      </c>
      <c r="D72" s="55" t="s">
        <v>145</v>
      </c>
      <c r="E72" s="53" t="s">
        <v>36</v>
      </c>
      <c r="F72">
        <v>2450</v>
      </c>
      <c r="G72">
        <v>2400</v>
      </c>
    </row>
    <row r="73" spans="2:7" ht="15.6" x14ac:dyDescent="0.3">
      <c r="B73" s="53">
        <v>6</v>
      </c>
      <c r="C73" s="54">
        <v>358536507391838</v>
      </c>
      <c r="D73" s="55" t="s">
        <v>144</v>
      </c>
      <c r="E73" s="53" t="s">
        <v>36</v>
      </c>
      <c r="F73">
        <v>2570</v>
      </c>
      <c r="G73">
        <v>2500</v>
      </c>
    </row>
    <row r="74" spans="2:7" ht="15.6" x14ac:dyDescent="0.3">
      <c r="B74" s="53">
        <v>7</v>
      </c>
      <c r="C74" s="54">
        <v>353393818423230</v>
      </c>
      <c r="D74" s="55" t="s">
        <v>146</v>
      </c>
      <c r="E74" s="53" t="s">
        <v>36</v>
      </c>
      <c r="F74">
        <v>2570</v>
      </c>
      <c r="G74">
        <v>2500</v>
      </c>
    </row>
    <row r="75" spans="2:7" ht="15.6" x14ac:dyDescent="0.3">
      <c r="B75" s="53"/>
      <c r="C75" s="54"/>
      <c r="D75" s="55"/>
      <c r="E75" s="53"/>
      <c r="F75">
        <f>SUM(F72:F74)</f>
        <v>7590</v>
      </c>
      <c r="G75">
        <f>SUM(G71:G74)</f>
        <v>7400</v>
      </c>
    </row>
    <row r="76" spans="2:7" ht="15.6" x14ac:dyDescent="0.3">
      <c r="B76" s="51">
        <v>8</v>
      </c>
      <c r="C76" s="52" t="s">
        <v>73</v>
      </c>
      <c r="D76" s="37" t="s">
        <v>138</v>
      </c>
      <c r="E76" s="37"/>
    </row>
    <row r="77" spans="2:7" ht="15.6" x14ac:dyDescent="0.3">
      <c r="B77" s="51">
        <v>9</v>
      </c>
      <c r="C77" s="52" t="s">
        <v>87</v>
      </c>
      <c r="D77" s="37" t="s">
        <v>139</v>
      </c>
      <c r="E77" s="37"/>
    </row>
    <row r="78" spans="2:7" ht="15.6" x14ac:dyDescent="0.3">
      <c r="B78" s="51">
        <v>10</v>
      </c>
      <c r="C78" s="52" t="s">
        <v>89</v>
      </c>
      <c r="D78" s="37" t="s">
        <v>139</v>
      </c>
      <c r="E78" s="37"/>
    </row>
    <row r="79" spans="2:7" ht="15.6" x14ac:dyDescent="0.3">
      <c r="B79" s="51">
        <v>11</v>
      </c>
      <c r="C79" s="52" t="s">
        <v>99</v>
      </c>
      <c r="D79" s="37" t="s">
        <v>140</v>
      </c>
      <c r="E79" s="37"/>
    </row>
    <row r="87" spans="2:5" x14ac:dyDescent="0.3">
      <c r="B87">
        <v>1</v>
      </c>
      <c r="C87" s="1">
        <v>358712820279378</v>
      </c>
      <c r="D87" t="s">
        <v>148</v>
      </c>
      <c r="E87" t="s">
        <v>149</v>
      </c>
    </row>
    <row r="88" spans="2:5" x14ac:dyDescent="0.3">
      <c r="B88">
        <v>2</v>
      </c>
      <c r="C88" s="56">
        <v>355468252747803</v>
      </c>
      <c r="D88" s="57" t="s">
        <v>147</v>
      </c>
      <c r="E88" s="57" t="s">
        <v>33</v>
      </c>
    </row>
    <row r="89" spans="2:5" x14ac:dyDescent="0.3">
      <c r="B89">
        <v>3</v>
      </c>
      <c r="C89" s="56">
        <v>359401797645063</v>
      </c>
      <c r="D89" s="57" t="s">
        <v>147</v>
      </c>
      <c r="E89" s="57" t="s">
        <v>33</v>
      </c>
    </row>
    <row r="90" spans="2:5" x14ac:dyDescent="0.3">
      <c r="B90">
        <v>4</v>
      </c>
      <c r="C90" s="56">
        <v>352512146761431</v>
      </c>
      <c r="D90" s="57" t="s">
        <v>137</v>
      </c>
      <c r="E90" s="57"/>
    </row>
    <row r="91" spans="2:5" x14ac:dyDescent="0.3">
      <c r="B91">
        <v>5</v>
      </c>
      <c r="C91" s="56">
        <v>359103740143804</v>
      </c>
      <c r="D91" s="57" t="s">
        <v>131</v>
      </c>
      <c r="E91" s="57" t="s">
        <v>36</v>
      </c>
    </row>
    <row r="92" spans="2:5" x14ac:dyDescent="0.3">
      <c r="B92">
        <v>6</v>
      </c>
      <c r="C92" s="56">
        <v>352942560034180</v>
      </c>
      <c r="D92" s="57" t="s">
        <v>132</v>
      </c>
      <c r="E92" s="57" t="s">
        <v>36</v>
      </c>
    </row>
    <row r="93" spans="2:5" x14ac:dyDescent="0.3">
      <c r="B93">
        <v>7</v>
      </c>
      <c r="C93" s="56">
        <v>352942560220888</v>
      </c>
      <c r="D93" s="57" t="s">
        <v>132</v>
      </c>
      <c r="E93" s="57" t="s">
        <v>36</v>
      </c>
    </row>
    <row r="94" spans="2:5" x14ac:dyDescent="0.3">
      <c r="B94">
        <v>8</v>
      </c>
      <c r="C94" s="58">
        <v>358282725472734</v>
      </c>
      <c r="D94" s="22" t="s">
        <v>25</v>
      </c>
      <c r="E94" s="22" t="s">
        <v>33</v>
      </c>
    </row>
    <row r="95" spans="2:5" x14ac:dyDescent="0.3">
      <c r="B95">
        <v>9</v>
      </c>
      <c r="C95" s="58">
        <v>352161331206338</v>
      </c>
      <c r="D95" s="22" t="s">
        <v>52</v>
      </c>
      <c r="E95" s="22" t="s">
        <v>33</v>
      </c>
    </row>
    <row r="96" spans="2:5" x14ac:dyDescent="0.3">
      <c r="B96">
        <v>10</v>
      </c>
      <c r="C96" s="58">
        <v>352942561742401</v>
      </c>
      <c r="D96" s="22" t="s">
        <v>53</v>
      </c>
      <c r="E96" s="22" t="s">
        <v>33</v>
      </c>
    </row>
    <row r="97" spans="2:5" x14ac:dyDescent="0.3">
      <c r="B97">
        <v>11</v>
      </c>
      <c r="C97" s="58"/>
      <c r="D97" s="22" t="s">
        <v>49</v>
      </c>
      <c r="E97" s="22"/>
    </row>
  </sheetData>
  <autoFilter ref="B3:G63" xr:uid="{00000000-0009-0000-0000-000005000000}">
    <sortState xmlns:xlrd2="http://schemas.microsoft.com/office/spreadsheetml/2017/richdata2" ref="B4:G63">
      <sortCondition ref="D3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7"/>
  <sheetViews>
    <sheetView zoomScale="102" zoomScaleNormal="90" workbookViewId="0">
      <selection activeCell="B5" sqref="B5"/>
    </sheetView>
  </sheetViews>
  <sheetFormatPr defaultRowHeight="14.4" x14ac:dyDescent="0.3"/>
  <cols>
    <col min="2" max="2" width="17.21875" bestFit="1" customWidth="1"/>
    <col min="3" max="3" width="27.44140625" bestFit="1" customWidth="1"/>
    <col min="4" max="4" width="9.44140625" bestFit="1" customWidth="1"/>
    <col min="5" max="5" width="17.33203125" bestFit="1" customWidth="1"/>
    <col min="6" max="6" width="10.21875" bestFit="1" customWidth="1"/>
    <col min="8" max="8" width="15.44140625" bestFit="1" customWidth="1"/>
    <col min="9" max="9" width="22.5546875" customWidth="1"/>
  </cols>
  <sheetData>
    <row r="1" spans="1:8" x14ac:dyDescent="0.3">
      <c r="A1" s="15" t="s">
        <v>196</v>
      </c>
      <c r="B1" s="15"/>
      <c r="C1" s="16" t="s">
        <v>71</v>
      </c>
      <c r="D1" s="15"/>
      <c r="E1" s="17" t="s">
        <v>204</v>
      </c>
      <c r="F1" s="2"/>
    </row>
    <row r="2" spans="1:8" x14ac:dyDescent="0.3">
      <c r="A2" s="2" t="s">
        <v>6</v>
      </c>
      <c r="B2" s="2" t="s">
        <v>5</v>
      </c>
      <c r="C2" s="2" t="s">
        <v>7</v>
      </c>
      <c r="D2" s="2" t="s">
        <v>8</v>
      </c>
      <c r="E2" s="5" t="s">
        <v>9</v>
      </c>
      <c r="F2" s="2" t="s">
        <v>56</v>
      </c>
    </row>
    <row r="3" spans="1:8" x14ac:dyDescent="0.3">
      <c r="A3">
        <v>1</v>
      </c>
      <c r="B3" s="1">
        <v>351657591040474</v>
      </c>
      <c r="C3" t="s">
        <v>192</v>
      </c>
      <c r="D3" t="s">
        <v>75</v>
      </c>
      <c r="E3" s="10">
        <v>3700</v>
      </c>
    </row>
    <row r="4" spans="1:8" x14ac:dyDescent="0.3">
      <c r="A4">
        <v>2</v>
      </c>
      <c r="B4" s="1">
        <v>352066342104184</v>
      </c>
      <c r="C4" t="s">
        <v>16</v>
      </c>
      <c r="D4" t="s">
        <v>75</v>
      </c>
      <c r="E4" s="10">
        <v>4100</v>
      </c>
    </row>
    <row r="5" spans="1:8" x14ac:dyDescent="0.3">
      <c r="A5">
        <v>3</v>
      </c>
      <c r="B5" s="1">
        <v>352066342437857</v>
      </c>
      <c r="C5" t="s">
        <v>16</v>
      </c>
      <c r="D5" t="s">
        <v>75</v>
      </c>
      <c r="E5" s="10">
        <v>4100</v>
      </c>
    </row>
    <row r="6" spans="1:8" x14ac:dyDescent="0.3">
      <c r="A6">
        <v>4</v>
      </c>
      <c r="B6" s="1">
        <v>352066342349250</v>
      </c>
      <c r="C6" t="s">
        <v>16</v>
      </c>
      <c r="D6" t="s">
        <v>75</v>
      </c>
      <c r="E6" s="10">
        <v>4100</v>
      </c>
    </row>
    <row r="7" spans="1:8" x14ac:dyDescent="0.3">
      <c r="A7">
        <v>5</v>
      </c>
      <c r="B7" s="76">
        <v>357590873460900</v>
      </c>
      <c r="C7" s="77" t="s">
        <v>3</v>
      </c>
      <c r="D7" s="77" t="s">
        <v>75</v>
      </c>
      <c r="E7" s="10">
        <v>0</v>
      </c>
      <c r="F7" s="24" t="s">
        <v>197</v>
      </c>
      <c r="G7" s="90" t="s">
        <v>206</v>
      </c>
      <c r="H7">
        <v>2400</v>
      </c>
    </row>
    <row r="8" spans="1:8" x14ac:dyDescent="0.3">
      <c r="A8">
        <v>6</v>
      </c>
      <c r="B8" s="76">
        <v>358862980240197</v>
      </c>
      <c r="C8" s="77" t="s">
        <v>3</v>
      </c>
      <c r="D8" s="77" t="s">
        <v>75</v>
      </c>
      <c r="E8" s="10">
        <v>2400</v>
      </c>
    </row>
    <row r="9" spans="1:8" x14ac:dyDescent="0.3">
      <c r="A9">
        <v>7</v>
      </c>
      <c r="B9" s="76">
        <v>359906326817488</v>
      </c>
      <c r="C9" s="77" t="s">
        <v>3</v>
      </c>
      <c r="D9" s="77" t="s">
        <v>75</v>
      </c>
      <c r="E9" s="10">
        <v>2400</v>
      </c>
    </row>
    <row r="10" spans="1:8" x14ac:dyDescent="0.3">
      <c r="A10">
        <v>8</v>
      </c>
      <c r="B10" s="76">
        <v>351210975135556</v>
      </c>
      <c r="C10" s="77" t="s">
        <v>3</v>
      </c>
      <c r="D10" s="77"/>
      <c r="E10" s="10">
        <v>2400</v>
      </c>
    </row>
    <row r="11" spans="1:8" x14ac:dyDescent="0.3">
      <c r="A11">
        <v>9</v>
      </c>
      <c r="B11" s="78">
        <v>355008280298831</v>
      </c>
      <c r="C11" s="79" t="s">
        <v>1</v>
      </c>
      <c r="D11" s="79" t="s">
        <v>75</v>
      </c>
      <c r="E11" s="10">
        <v>2580</v>
      </c>
    </row>
    <row r="12" spans="1:8" x14ac:dyDescent="0.3">
      <c r="A12">
        <v>10</v>
      </c>
      <c r="B12" s="78">
        <v>355008284212325</v>
      </c>
      <c r="C12" s="79" t="s">
        <v>1</v>
      </c>
      <c r="D12" s="79" t="s">
        <v>75</v>
      </c>
      <c r="E12" s="10">
        <v>2580</v>
      </c>
    </row>
    <row r="13" spans="1:8" x14ac:dyDescent="0.3">
      <c r="A13">
        <v>11</v>
      </c>
      <c r="B13" s="78">
        <v>353484625464515</v>
      </c>
      <c r="C13" s="79" t="s">
        <v>1</v>
      </c>
      <c r="D13" s="79" t="s">
        <v>75</v>
      </c>
      <c r="E13" s="10">
        <v>2580</v>
      </c>
      <c r="F13" s="91"/>
      <c r="H13" t="s">
        <v>234</v>
      </c>
    </row>
    <row r="14" spans="1:8" x14ac:dyDescent="0.3">
      <c r="A14">
        <v>12</v>
      </c>
      <c r="B14" s="78">
        <v>352315403585843</v>
      </c>
      <c r="C14" s="79" t="s">
        <v>1</v>
      </c>
      <c r="D14" s="79" t="s">
        <v>75</v>
      </c>
      <c r="E14" s="10">
        <v>0</v>
      </c>
      <c r="F14" s="24" t="s">
        <v>197</v>
      </c>
      <c r="G14" s="90" t="s">
        <v>206</v>
      </c>
      <c r="H14">
        <v>2580</v>
      </c>
    </row>
    <row r="15" spans="1:8" x14ac:dyDescent="0.3">
      <c r="A15">
        <v>13</v>
      </c>
      <c r="B15" s="78">
        <v>352315403717560</v>
      </c>
      <c r="C15" s="79" t="s">
        <v>1</v>
      </c>
      <c r="D15" s="79" t="s">
        <v>34</v>
      </c>
      <c r="E15" s="10">
        <v>2530</v>
      </c>
      <c r="G15">
        <v>2580</v>
      </c>
    </row>
    <row r="16" spans="1:8" x14ac:dyDescent="0.3">
      <c r="A16">
        <v>14</v>
      </c>
      <c r="B16" s="78">
        <v>357590873019052</v>
      </c>
      <c r="C16" s="79" t="s">
        <v>1</v>
      </c>
      <c r="D16" s="79" t="s">
        <v>34</v>
      </c>
      <c r="E16" s="10">
        <v>2530</v>
      </c>
      <c r="G16">
        <v>2580</v>
      </c>
    </row>
    <row r="17" spans="1:7" x14ac:dyDescent="0.3">
      <c r="A17">
        <v>15</v>
      </c>
      <c r="B17" s="78">
        <v>357205988221697</v>
      </c>
      <c r="C17" s="79" t="s">
        <v>1</v>
      </c>
      <c r="D17" s="79" t="s">
        <v>75</v>
      </c>
      <c r="E17" s="10">
        <v>2580</v>
      </c>
    </row>
    <row r="18" spans="1:7" x14ac:dyDescent="0.3">
      <c r="A18">
        <v>16</v>
      </c>
      <c r="B18" s="78">
        <v>357205986286841</v>
      </c>
      <c r="C18" s="79" t="s">
        <v>1</v>
      </c>
      <c r="D18" s="79" t="s">
        <v>75</v>
      </c>
      <c r="E18" s="10">
        <v>2580</v>
      </c>
    </row>
    <row r="19" spans="1:7" x14ac:dyDescent="0.3">
      <c r="A19">
        <v>17</v>
      </c>
      <c r="B19" s="78">
        <v>356864562014174</v>
      </c>
      <c r="C19" s="79" t="s">
        <v>1</v>
      </c>
      <c r="D19" s="79" t="s">
        <v>75</v>
      </c>
      <c r="E19" s="10">
        <v>2580</v>
      </c>
    </row>
    <row r="20" spans="1:7" x14ac:dyDescent="0.3">
      <c r="A20">
        <v>18</v>
      </c>
      <c r="B20" s="78">
        <v>355008284462490</v>
      </c>
      <c r="C20" s="79" t="s">
        <v>1</v>
      </c>
      <c r="D20" s="79" t="s">
        <v>75</v>
      </c>
      <c r="E20" s="10">
        <v>2580</v>
      </c>
    </row>
    <row r="21" spans="1:7" x14ac:dyDescent="0.3">
      <c r="A21">
        <v>19</v>
      </c>
      <c r="B21" s="78">
        <v>356339491145340</v>
      </c>
      <c r="C21" s="79" t="s">
        <v>1</v>
      </c>
      <c r="D21" s="79" t="s">
        <v>75</v>
      </c>
      <c r="E21" s="10">
        <v>2580</v>
      </c>
    </row>
    <row r="22" spans="1:7" x14ac:dyDescent="0.3">
      <c r="A22">
        <v>20</v>
      </c>
      <c r="B22" s="78">
        <v>351614401728079</v>
      </c>
      <c r="C22" s="79" t="s">
        <v>1</v>
      </c>
      <c r="D22" s="79" t="s">
        <v>75</v>
      </c>
      <c r="E22" s="10">
        <v>2580</v>
      </c>
    </row>
    <row r="23" spans="1:7" x14ac:dyDescent="0.3">
      <c r="A23">
        <v>21</v>
      </c>
      <c r="B23" s="78">
        <v>357590877927673</v>
      </c>
      <c r="C23" s="79" t="s">
        <v>1</v>
      </c>
      <c r="D23" s="79" t="s">
        <v>75</v>
      </c>
      <c r="E23" s="10">
        <v>2580</v>
      </c>
    </row>
    <row r="24" spans="1:7" x14ac:dyDescent="0.3">
      <c r="A24">
        <v>22</v>
      </c>
      <c r="B24" s="78">
        <v>354331128857837</v>
      </c>
      <c r="C24" s="79" t="s">
        <v>1</v>
      </c>
      <c r="D24" s="79" t="s">
        <v>34</v>
      </c>
      <c r="E24" s="10">
        <v>2530</v>
      </c>
      <c r="G24">
        <v>2580</v>
      </c>
    </row>
    <row r="25" spans="1:7" x14ac:dyDescent="0.3">
      <c r="A25">
        <v>23</v>
      </c>
      <c r="B25" s="78">
        <v>355783823728664</v>
      </c>
      <c r="C25" s="79" t="s">
        <v>1</v>
      </c>
      <c r="D25" s="79" t="s">
        <v>75</v>
      </c>
      <c r="E25" s="10">
        <v>2580</v>
      </c>
    </row>
    <row r="26" spans="1:7" x14ac:dyDescent="0.3">
      <c r="A26">
        <v>24</v>
      </c>
      <c r="B26" s="78">
        <v>356339491037844</v>
      </c>
      <c r="C26" s="79" t="s">
        <v>1</v>
      </c>
      <c r="D26" s="79" t="s">
        <v>75</v>
      </c>
      <c r="E26" s="10">
        <v>2580</v>
      </c>
    </row>
    <row r="27" spans="1:7" x14ac:dyDescent="0.3">
      <c r="A27">
        <v>25</v>
      </c>
      <c r="B27" s="78">
        <v>357590873376197</v>
      </c>
      <c r="C27" s="79" t="s">
        <v>1</v>
      </c>
      <c r="D27" s="79" t="s">
        <v>75</v>
      </c>
      <c r="E27" s="10">
        <v>2580</v>
      </c>
    </row>
    <row r="28" spans="1:7" x14ac:dyDescent="0.3">
      <c r="A28">
        <v>26</v>
      </c>
      <c r="B28" s="80">
        <v>351614403446597</v>
      </c>
      <c r="C28" s="81" t="s">
        <v>27</v>
      </c>
      <c r="D28" s="81" t="s">
        <v>75</v>
      </c>
      <c r="E28" s="10">
        <v>2500</v>
      </c>
    </row>
    <row r="29" spans="1:7" x14ac:dyDescent="0.3">
      <c r="A29">
        <v>27</v>
      </c>
      <c r="B29" s="80">
        <v>356339491156289</v>
      </c>
      <c r="C29" s="81" t="s">
        <v>27</v>
      </c>
      <c r="D29" s="81" t="s">
        <v>75</v>
      </c>
      <c r="E29" s="10">
        <v>2500</v>
      </c>
    </row>
    <row r="30" spans="1:7" x14ac:dyDescent="0.3">
      <c r="A30">
        <v>28</v>
      </c>
      <c r="B30" s="80">
        <v>355469926855857</v>
      </c>
      <c r="C30" s="81" t="s">
        <v>27</v>
      </c>
      <c r="D30" s="81" t="s">
        <v>75</v>
      </c>
      <c r="E30" s="10">
        <v>2500</v>
      </c>
    </row>
    <row r="31" spans="1:7" x14ac:dyDescent="0.3">
      <c r="A31">
        <v>29</v>
      </c>
      <c r="B31" s="1">
        <v>358862981027833</v>
      </c>
      <c r="C31" t="s">
        <v>4</v>
      </c>
      <c r="D31" t="s">
        <v>75</v>
      </c>
      <c r="E31" s="10">
        <v>2500</v>
      </c>
    </row>
    <row r="32" spans="1:7" x14ac:dyDescent="0.3">
      <c r="A32">
        <v>30</v>
      </c>
      <c r="B32" s="103">
        <v>357017254562906</v>
      </c>
      <c r="C32" s="77" t="s">
        <v>29</v>
      </c>
      <c r="D32" s="77" t="s">
        <v>75</v>
      </c>
      <c r="E32" s="10">
        <v>1950</v>
      </c>
    </row>
    <row r="33" spans="1:10" x14ac:dyDescent="0.3">
      <c r="A33">
        <v>31</v>
      </c>
      <c r="B33" s="103">
        <v>357017254663548</v>
      </c>
      <c r="C33" s="77" t="s">
        <v>29</v>
      </c>
      <c r="D33" s="77" t="s">
        <v>75</v>
      </c>
      <c r="E33" s="10">
        <v>1950</v>
      </c>
    </row>
    <row r="34" spans="1:10" x14ac:dyDescent="0.3">
      <c r="A34">
        <v>32</v>
      </c>
      <c r="B34" s="103">
        <v>359297747838281</v>
      </c>
      <c r="C34" s="77" t="s">
        <v>29</v>
      </c>
      <c r="D34" s="77" t="s">
        <v>75</v>
      </c>
      <c r="E34" s="10">
        <v>1950</v>
      </c>
    </row>
    <row r="35" spans="1:10" x14ac:dyDescent="0.3">
      <c r="A35">
        <v>33</v>
      </c>
      <c r="B35" s="104">
        <v>356102151926478</v>
      </c>
      <c r="C35" s="77" t="s">
        <v>30</v>
      </c>
      <c r="D35" s="77" t="s">
        <v>75</v>
      </c>
      <c r="E35" s="10">
        <v>0</v>
      </c>
      <c r="F35" s="24" t="s">
        <v>197</v>
      </c>
      <c r="G35" t="s">
        <v>207</v>
      </c>
      <c r="H35">
        <v>1950</v>
      </c>
      <c r="I35" t="s">
        <v>235</v>
      </c>
      <c r="J35" t="s">
        <v>237</v>
      </c>
    </row>
    <row r="36" spans="1:10" x14ac:dyDescent="0.3">
      <c r="A36">
        <v>34</v>
      </c>
      <c r="B36" s="76">
        <v>356102152263996</v>
      </c>
      <c r="C36" s="77" t="s">
        <v>30</v>
      </c>
      <c r="D36" s="77" t="s">
        <v>75</v>
      </c>
      <c r="E36" s="10">
        <v>0</v>
      </c>
      <c r="F36" s="24" t="s">
        <v>197</v>
      </c>
      <c r="G36" s="90" t="s">
        <v>206</v>
      </c>
      <c r="H36">
        <v>1950</v>
      </c>
    </row>
    <row r="37" spans="1:10" x14ac:dyDescent="0.3">
      <c r="A37">
        <v>35</v>
      </c>
      <c r="B37" s="78">
        <v>350319294504535</v>
      </c>
      <c r="C37" s="79" t="s">
        <v>24</v>
      </c>
      <c r="D37" s="79" t="s">
        <v>75</v>
      </c>
      <c r="E37" s="10">
        <v>0</v>
      </c>
      <c r="F37" s="24" t="s">
        <v>197</v>
      </c>
      <c r="G37" s="90" t="s">
        <v>206</v>
      </c>
      <c r="H37">
        <v>1950</v>
      </c>
    </row>
    <row r="38" spans="1:10" x14ac:dyDescent="0.3">
      <c r="A38" s="24">
        <v>36</v>
      </c>
      <c r="B38" s="105">
        <v>351895498493533</v>
      </c>
      <c r="C38" s="24" t="s">
        <v>28</v>
      </c>
      <c r="D38" s="24" t="s">
        <v>75</v>
      </c>
      <c r="E38" s="38">
        <v>2200</v>
      </c>
      <c r="F38" s="24"/>
      <c r="G38" s="24">
        <v>2070</v>
      </c>
    </row>
    <row r="39" spans="1:10" x14ac:dyDescent="0.3">
      <c r="A39" s="24">
        <v>37</v>
      </c>
      <c r="B39" s="106">
        <v>350328825338909</v>
      </c>
      <c r="C39" s="24" t="s">
        <v>31</v>
      </c>
      <c r="D39" s="24" t="s">
        <v>75</v>
      </c>
      <c r="E39" s="38">
        <v>2100</v>
      </c>
      <c r="F39" s="24"/>
      <c r="G39" s="24">
        <v>2000</v>
      </c>
      <c r="I39" t="s">
        <v>235</v>
      </c>
    </row>
    <row r="40" spans="1:10" x14ac:dyDescent="0.3">
      <c r="A40">
        <v>38</v>
      </c>
      <c r="B40" s="80">
        <v>350328826000060</v>
      </c>
      <c r="C40" s="81" t="s">
        <v>26</v>
      </c>
      <c r="D40" s="81" t="s">
        <v>75</v>
      </c>
      <c r="E40" s="10">
        <v>2000</v>
      </c>
    </row>
    <row r="41" spans="1:10" x14ac:dyDescent="0.3">
      <c r="A41">
        <v>39</v>
      </c>
      <c r="B41" s="1">
        <v>350328828309683</v>
      </c>
      <c r="C41" t="s">
        <v>193</v>
      </c>
      <c r="D41" t="s">
        <v>75</v>
      </c>
      <c r="E41" s="10">
        <v>2200</v>
      </c>
    </row>
    <row r="42" spans="1:10" x14ac:dyDescent="0.3">
      <c r="A42">
        <v>40</v>
      </c>
      <c r="B42" s="82">
        <v>356207326475739</v>
      </c>
      <c r="C42" s="83" t="s">
        <v>190</v>
      </c>
      <c r="D42" s="83" t="s">
        <v>75</v>
      </c>
      <c r="E42" s="10">
        <v>1500</v>
      </c>
    </row>
    <row r="43" spans="1:10" x14ac:dyDescent="0.3">
      <c r="A43">
        <v>41</v>
      </c>
      <c r="B43" s="82">
        <v>353685838892918</v>
      </c>
      <c r="C43" s="83" t="s">
        <v>190</v>
      </c>
      <c r="D43" s="83" t="s">
        <v>75</v>
      </c>
      <c r="E43" s="10">
        <v>1500</v>
      </c>
    </row>
    <row r="44" spans="1:10" x14ac:dyDescent="0.3">
      <c r="A44">
        <v>42</v>
      </c>
      <c r="B44" s="76">
        <v>356207322844862</v>
      </c>
      <c r="C44" s="77" t="s">
        <v>189</v>
      </c>
      <c r="D44" s="77" t="s">
        <v>75</v>
      </c>
      <c r="E44" s="10">
        <v>1400</v>
      </c>
    </row>
    <row r="45" spans="1:10" x14ac:dyDescent="0.3">
      <c r="A45">
        <v>43</v>
      </c>
      <c r="B45" s="76">
        <v>353685837354381</v>
      </c>
      <c r="C45" s="77" t="s">
        <v>189</v>
      </c>
      <c r="D45" s="77" t="s">
        <v>75</v>
      </c>
      <c r="E45" s="10">
        <v>1400</v>
      </c>
    </row>
    <row r="46" spans="1:10" x14ac:dyDescent="0.3">
      <c r="A46">
        <v>44</v>
      </c>
      <c r="B46" s="84">
        <v>353685837061002</v>
      </c>
      <c r="C46" s="85" t="s">
        <v>191</v>
      </c>
      <c r="D46" s="85" t="s">
        <v>75</v>
      </c>
      <c r="E46" s="10">
        <v>1450</v>
      </c>
    </row>
    <row r="47" spans="1:10" x14ac:dyDescent="0.3">
      <c r="A47">
        <v>45</v>
      </c>
      <c r="B47" s="86">
        <v>354035838365078</v>
      </c>
      <c r="C47" s="87" t="s">
        <v>188</v>
      </c>
      <c r="D47" s="87" t="s">
        <v>75</v>
      </c>
      <c r="E47" s="10">
        <v>1800</v>
      </c>
    </row>
    <row r="48" spans="1:10" x14ac:dyDescent="0.3">
      <c r="A48">
        <v>46</v>
      </c>
      <c r="B48" s="1">
        <v>356706680985480</v>
      </c>
      <c r="C48" t="s">
        <v>2</v>
      </c>
      <c r="D48" t="s">
        <v>75</v>
      </c>
      <c r="E48" s="10">
        <v>2410</v>
      </c>
    </row>
    <row r="49" spans="1:7" x14ac:dyDescent="0.3">
      <c r="A49" s="24">
        <v>47</v>
      </c>
      <c r="B49" s="105">
        <v>356706680890482</v>
      </c>
      <c r="C49" s="24" t="s">
        <v>2</v>
      </c>
      <c r="D49" s="24" t="s">
        <v>34</v>
      </c>
      <c r="E49" s="38">
        <v>2410</v>
      </c>
      <c r="F49" s="24" t="s">
        <v>236</v>
      </c>
      <c r="G49" s="24">
        <v>2350</v>
      </c>
    </row>
    <row r="50" spans="1:7" x14ac:dyDescent="0.3">
      <c r="A50">
        <v>48</v>
      </c>
      <c r="B50" s="1">
        <v>356706680586494</v>
      </c>
      <c r="C50" t="s">
        <v>2</v>
      </c>
      <c r="D50" t="s">
        <v>75</v>
      </c>
      <c r="E50" s="10">
        <v>2410</v>
      </c>
    </row>
    <row r="51" spans="1:7" x14ac:dyDescent="0.3">
      <c r="A51">
        <v>49</v>
      </c>
      <c r="B51" s="1">
        <v>356706680662832</v>
      </c>
      <c r="C51" t="s">
        <v>2</v>
      </c>
      <c r="D51" t="s">
        <v>75</v>
      </c>
      <c r="E51" s="10">
        <v>2410</v>
      </c>
    </row>
    <row r="52" spans="1:7" x14ac:dyDescent="0.3">
      <c r="A52">
        <v>50</v>
      </c>
      <c r="B52" s="1">
        <v>352905160810515</v>
      </c>
      <c r="C52" t="s">
        <v>2</v>
      </c>
      <c r="D52" t="s">
        <v>75</v>
      </c>
      <c r="E52" s="10">
        <v>2410</v>
      </c>
    </row>
    <row r="53" spans="1:7" x14ac:dyDescent="0.3">
      <c r="A53">
        <v>51</v>
      </c>
      <c r="B53" s="1">
        <v>356706680378314</v>
      </c>
      <c r="C53" t="s">
        <v>2</v>
      </c>
      <c r="D53" t="s">
        <v>75</v>
      </c>
      <c r="E53" s="10">
        <v>2410</v>
      </c>
    </row>
    <row r="54" spans="1:7" x14ac:dyDescent="0.3">
      <c r="A54">
        <v>52</v>
      </c>
      <c r="B54" s="1">
        <v>356245747607175</v>
      </c>
      <c r="C54" t="s">
        <v>2</v>
      </c>
      <c r="D54" t="s">
        <v>75</v>
      </c>
      <c r="E54" s="10">
        <v>2410</v>
      </c>
    </row>
    <row r="55" spans="1:7" x14ac:dyDescent="0.3">
      <c r="A55">
        <v>53</v>
      </c>
      <c r="B55" s="1">
        <v>356706680494392</v>
      </c>
      <c r="C55" t="s">
        <v>2</v>
      </c>
      <c r="D55" t="s">
        <v>75</v>
      </c>
      <c r="E55" s="10">
        <v>2410</v>
      </c>
    </row>
    <row r="56" spans="1:7" x14ac:dyDescent="0.3">
      <c r="A56">
        <v>54</v>
      </c>
      <c r="B56" s="1">
        <v>358712820077871</v>
      </c>
      <c r="C56" t="s">
        <v>2</v>
      </c>
      <c r="D56" t="s">
        <v>75</v>
      </c>
      <c r="E56" s="10">
        <v>2410</v>
      </c>
    </row>
    <row r="57" spans="1:7" x14ac:dyDescent="0.3">
      <c r="A57">
        <v>55</v>
      </c>
      <c r="B57" s="1">
        <v>358712821645502</v>
      </c>
      <c r="C57" t="s">
        <v>2</v>
      </c>
      <c r="D57" t="s">
        <v>75</v>
      </c>
      <c r="E57" s="10">
        <v>2410</v>
      </c>
    </row>
    <row r="58" spans="1:7" x14ac:dyDescent="0.3">
      <c r="A58">
        <v>56</v>
      </c>
      <c r="B58" s="1">
        <v>358754771646809</v>
      </c>
      <c r="C58" t="s">
        <v>22</v>
      </c>
      <c r="E58" s="10">
        <v>1800</v>
      </c>
    </row>
    <row r="59" spans="1:7" x14ac:dyDescent="0.3">
      <c r="A59">
        <v>57</v>
      </c>
      <c r="B59" s="1">
        <v>355472316763087</v>
      </c>
      <c r="C59" t="s">
        <v>194</v>
      </c>
      <c r="E59" s="10">
        <v>1850</v>
      </c>
    </row>
    <row r="60" spans="1:7" x14ac:dyDescent="0.3">
      <c r="A60">
        <v>58</v>
      </c>
      <c r="B60" s="1">
        <v>352512145891212</v>
      </c>
      <c r="C60" t="s">
        <v>23</v>
      </c>
      <c r="E60" s="10">
        <v>1800</v>
      </c>
    </row>
    <row r="61" spans="1:7" x14ac:dyDescent="0.3">
      <c r="A61">
        <v>59</v>
      </c>
      <c r="B61" s="1">
        <v>352512146942402</v>
      </c>
      <c r="C61" t="s">
        <v>195</v>
      </c>
      <c r="E61" s="10">
        <v>1800</v>
      </c>
    </row>
    <row r="62" spans="1:7" x14ac:dyDescent="0.3">
      <c r="A62">
        <v>60</v>
      </c>
      <c r="B62" s="1">
        <v>352512146975436</v>
      </c>
      <c r="C62" t="s">
        <v>195</v>
      </c>
      <c r="E62" s="10">
        <v>1800</v>
      </c>
    </row>
    <row r="63" spans="1:7" x14ac:dyDescent="0.3">
      <c r="E63" s="10"/>
    </row>
    <row r="64" spans="1:7" x14ac:dyDescent="0.3">
      <c r="E64" s="14">
        <f>SUM(E3:E63)</f>
        <v>130880</v>
      </c>
    </row>
    <row r="65" spans="5:8" x14ac:dyDescent="0.3">
      <c r="H65" s="10"/>
    </row>
    <row r="67" spans="5:8" x14ac:dyDescent="0.3">
      <c r="E67" s="10"/>
    </row>
  </sheetData>
  <autoFilter ref="A2:F62" xr:uid="{00000000-0009-0000-0000-000006000000}">
    <sortState xmlns:xlrd2="http://schemas.microsoft.com/office/spreadsheetml/2017/richdata2" ref="A4:F63">
      <sortCondition ref="C3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4"/>
  <sheetViews>
    <sheetView workbookViewId="0">
      <selection activeCell="B7" sqref="B7"/>
    </sheetView>
  </sheetViews>
  <sheetFormatPr defaultRowHeight="14.4" x14ac:dyDescent="0.3"/>
  <cols>
    <col min="1" max="1" width="12.6640625" bestFit="1" customWidth="1"/>
    <col min="2" max="2" width="18.109375" customWidth="1"/>
    <col min="3" max="3" width="29.77734375" bestFit="1" customWidth="1"/>
    <col min="4" max="4" width="13.33203125" customWidth="1"/>
    <col min="5" max="5" width="15.44140625" style="10" bestFit="1" customWidth="1"/>
    <col min="6" max="6" width="16.109375" bestFit="1" customWidth="1"/>
    <col min="7" max="7" width="19.88671875" bestFit="1" customWidth="1"/>
  </cols>
  <sheetData>
    <row r="1" spans="1:6" x14ac:dyDescent="0.3">
      <c r="A1" s="95" t="s">
        <v>209</v>
      </c>
      <c r="B1" s="119" t="s">
        <v>210</v>
      </c>
      <c r="C1" s="119"/>
      <c r="D1" s="119"/>
      <c r="E1" s="17" t="s">
        <v>211</v>
      </c>
      <c r="F1" s="2"/>
    </row>
    <row r="2" spans="1:6" x14ac:dyDescent="0.3">
      <c r="A2" s="2" t="s">
        <v>6</v>
      </c>
      <c r="B2" s="2" t="s">
        <v>5</v>
      </c>
      <c r="C2" s="2" t="s">
        <v>7</v>
      </c>
      <c r="D2" s="2" t="s">
        <v>8</v>
      </c>
      <c r="E2" s="5" t="s">
        <v>9</v>
      </c>
      <c r="F2" s="2" t="s">
        <v>56</v>
      </c>
    </row>
    <row r="3" spans="1:6" x14ac:dyDescent="0.3">
      <c r="A3">
        <v>1</v>
      </c>
      <c r="B3" s="1">
        <v>350158864156411</v>
      </c>
      <c r="C3" t="s">
        <v>212</v>
      </c>
      <c r="E3" s="10">
        <v>2100</v>
      </c>
      <c r="F3" t="s">
        <v>233</v>
      </c>
    </row>
    <row r="4" spans="1:6" x14ac:dyDescent="0.3">
      <c r="A4">
        <v>2</v>
      </c>
      <c r="B4" s="1">
        <v>351159273970938</v>
      </c>
      <c r="C4" t="s">
        <v>213</v>
      </c>
      <c r="D4" t="s">
        <v>33</v>
      </c>
      <c r="E4" s="10">
        <v>2200</v>
      </c>
    </row>
    <row r="5" spans="1:6" x14ac:dyDescent="0.3">
      <c r="A5">
        <v>3</v>
      </c>
      <c r="B5" s="1">
        <v>358334540381634</v>
      </c>
      <c r="C5" t="s">
        <v>214</v>
      </c>
      <c r="D5" t="s">
        <v>33</v>
      </c>
      <c r="E5" s="10">
        <v>3600</v>
      </c>
    </row>
    <row r="6" spans="1:6" x14ac:dyDescent="0.3">
      <c r="A6">
        <v>4</v>
      </c>
      <c r="B6" s="1">
        <v>352066342214322</v>
      </c>
      <c r="C6" t="s">
        <v>214</v>
      </c>
      <c r="D6" t="s">
        <v>215</v>
      </c>
      <c r="E6" s="10">
        <v>3500</v>
      </c>
    </row>
    <row r="7" spans="1:6" x14ac:dyDescent="0.3">
      <c r="A7">
        <v>5</v>
      </c>
      <c r="B7" s="1">
        <v>352066342468399</v>
      </c>
      <c r="C7" t="s">
        <v>214</v>
      </c>
      <c r="D7" t="s">
        <v>33</v>
      </c>
      <c r="E7" s="10">
        <v>3600</v>
      </c>
    </row>
    <row r="8" spans="1:6" x14ac:dyDescent="0.3">
      <c r="A8">
        <v>6</v>
      </c>
      <c r="B8" s="1">
        <v>352066342278699</v>
      </c>
      <c r="C8" t="s">
        <v>214</v>
      </c>
      <c r="D8" t="s">
        <v>33</v>
      </c>
      <c r="E8" s="10">
        <v>3600</v>
      </c>
    </row>
    <row r="9" spans="1:6" x14ac:dyDescent="0.3">
      <c r="A9">
        <v>7</v>
      </c>
      <c r="B9" s="1">
        <v>356334541198241</v>
      </c>
      <c r="C9" t="s">
        <v>214</v>
      </c>
      <c r="D9" t="s">
        <v>33</v>
      </c>
      <c r="E9" s="10">
        <v>3600</v>
      </c>
    </row>
    <row r="10" spans="1:6" x14ac:dyDescent="0.3">
      <c r="A10">
        <v>8</v>
      </c>
      <c r="B10" s="1">
        <v>359696883582001</v>
      </c>
      <c r="C10" t="s">
        <v>191</v>
      </c>
      <c r="D10" t="s">
        <v>33</v>
      </c>
      <c r="E10" s="10">
        <v>1450</v>
      </c>
      <c r="F10" s="1"/>
    </row>
    <row r="11" spans="1:6" x14ac:dyDescent="0.3">
      <c r="A11">
        <v>9</v>
      </c>
      <c r="B11" s="1">
        <v>353393811729831</v>
      </c>
      <c r="C11" t="s">
        <v>3</v>
      </c>
      <c r="D11" t="s">
        <v>33</v>
      </c>
      <c r="E11" s="10">
        <v>2400</v>
      </c>
    </row>
    <row r="12" spans="1:6" x14ac:dyDescent="0.3">
      <c r="A12">
        <v>10</v>
      </c>
      <c r="B12" s="1">
        <v>355688666584118</v>
      </c>
      <c r="C12" t="s">
        <v>3</v>
      </c>
      <c r="D12" t="s">
        <v>215</v>
      </c>
      <c r="E12" s="10">
        <v>2400</v>
      </c>
      <c r="F12" s="1"/>
    </row>
    <row r="13" spans="1:6" x14ac:dyDescent="0.3">
      <c r="A13">
        <v>11</v>
      </c>
      <c r="B13" s="1">
        <v>351614406735442</v>
      </c>
      <c r="C13" t="s">
        <v>3</v>
      </c>
      <c r="D13" t="s">
        <v>33</v>
      </c>
      <c r="E13" s="10">
        <v>2400</v>
      </c>
    </row>
    <row r="14" spans="1:6" x14ac:dyDescent="0.3">
      <c r="A14">
        <v>12</v>
      </c>
      <c r="B14" s="1">
        <v>354210973939868</v>
      </c>
      <c r="C14" t="s">
        <v>3</v>
      </c>
      <c r="D14" t="s">
        <v>33</v>
      </c>
      <c r="E14" s="10">
        <v>2400</v>
      </c>
    </row>
    <row r="15" spans="1:6" x14ac:dyDescent="0.3">
      <c r="A15">
        <v>13</v>
      </c>
      <c r="B15" s="1">
        <v>355008284435355</v>
      </c>
      <c r="C15" t="s">
        <v>3</v>
      </c>
      <c r="D15" t="s">
        <v>33</v>
      </c>
      <c r="E15" s="10">
        <v>2400</v>
      </c>
    </row>
    <row r="16" spans="1:6" x14ac:dyDescent="0.3">
      <c r="A16">
        <v>14</v>
      </c>
      <c r="B16" s="1">
        <v>353484627435885</v>
      </c>
      <c r="C16" t="s">
        <v>3</v>
      </c>
      <c r="D16" t="s">
        <v>33</v>
      </c>
      <c r="E16" s="10">
        <v>2400</v>
      </c>
    </row>
    <row r="17" spans="1:7" x14ac:dyDescent="0.3">
      <c r="A17">
        <v>15</v>
      </c>
      <c r="B17" s="1">
        <v>353484628709189</v>
      </c>
      <c r="C17" t="s">
        <v>3</v>
      </c>
      <c r="D17" t="s">
        <v>33</v>
      </c>
      <c r="E17" s="10">
        <v>2400</v>
      </c>
    </row>
    <row r="18" spans="1:7" x14ac:dyDescent="0.3">
      <c r="A18">
        <v>16</v>
      </c>
      <c r="B18" s="1">
        <v>356864568323256</v>
      </c>
      <c r="C18" t="s">
        <v>3</v>
      </c>
      <c r="D18" t="s">
        <v>33</v>
      </c>
      <c r="E18" s="10">
        <v>2400</v>
      </c>
    </row>
    <row r="19" spans="1:7" x14ac:dyDescent="0.3">
      <c r="A19">
        <v>17</v>
      </c>
      <c r="B19" s="1">
        <v>355008281939284</v>
      </c>
      <c r="C19" t="s">
        <v>3</v>
      </c>
      <c r="D19" t="s">
        <v>33</v>
      </c>
      <c r="E19" s="10">
        <v>2400</v>
      </c>
    </row>
    <row r="20" spans="1:7" x14ac:dyDescent="0.3">
      <c r="A20">
        <v>18</v>
      </c>
      <c r="B20" s="1">
        <v>356864568647225</v>
      </c>
      <c r="C20" t="s">
        <v>3</v>
      </c>
      <c r="D20" t="s">
        <v>33</v>
      </c>
      <c r="E20" s="10">
        <v>2400</v>
      </c>
    </row>
    <row r="21" spans="1:7" x14ac:dyDescent="0.3">
      <c r="A21">
        <v>19</v>
      </c>
      <c r="B21" s="1">
        <v>358862980533385</v>
      </c>
      <c r="C21" t="s">
        <v>3</v>
      </c>
      <c r="D21" t="s">
        <v>33</v>
      </c>
      <c r="E21" s="10">
        <v>2400</v>
      </c>
    </row>
    <row r="22" spans="1:7" x14ac:dyDescent="0.3">
      <c r="A22">
        <v>20</v>
      </c>
      <c r="B22" s="1">
        <v>355469925425470</v>
      </c>
      <c r="C22" t="s">
        <v>3</v>
      </c>
      <c r="D22" t="s">
        <v>33</v>
      </c>
      <c r="E22" s="10">
        <v>2400</v>
      </c>
    </row>
    <row r="23" spans="1:7" x14ac:dyDescent="0.3">
      <c r="A23">
        <v>21</v>
      </c>
      <c r="B23" s="1">
        <v>356864561205492</v>
      </c>
      <c r="C23" t="s">
        <v>3</v>
      </c>
      <c r="D23" t="s">
        <v>33</v>
      </c>
      <c r="E23" s="10">
        <v>2400</v>
      </c>
    </row>
    <row r="24" spans="1:7" x14ac:dyDescent="0.3">
      <c r="A24">
        <v>22</v>
      </c>
      <c r="B24" s="1">
        <v>353393813341379</v>
      </c>
      <c r="C24" t="s">
        <v>1</v>
      </c>
      <c r="D24" t="s">
        <v>33</v>
      </c>
      <c r="E24" s="10">
        <v>2580</v>
      </c>
    </row>
    <row r="25" spans="1:7" x14ac:dyDescent="0.3">
      <c r="A25">
        <v>23</v>
      </c>
      <c r="B25" s="1">
        <v>353393818534093</v>
      </c>
      <c r="C25" t="s">
        <v>1</v>
      </c>
      <c r="D25" t="s">
        <v>33</v>
      </c>
      <c r="E25" s="10">
        <v>2580</v>
      </c>
    </row>
    <row r="26" spans="1:7" x14ac:dyDescent="0.3">
      <c r="A26">
        <v>24</v>
      </c>
      <c r="B26" s="1">
        <v>350773434789150</v>
      </c>
      <c r="C26" t="s">
        <v>1</v>
      </c>
      <c r="D26" t="s">
        <v>33</v>
      </c>
      <c r="E26" s="10">
        <v>2580</v>
      </c>
    </row>
    <row r="27" spans="1:7" x14ac:dyDescent="0.3">
      <c r="A27">
        <v>25</v>
      </c>
      <c r="B27" s="1">
        <v>353484627408551</v>
      </c>
      <c r="C27" t="s">
        <v>1</v>
      </c>
      <c r="D27" t="s">
        <v>33</v>
      </c>
      <c r="E27" s="10">
        <v>2580</v>
      </c>
      <c r="F27" s="1"/>
    </row>
    <row r="28" spans="1:7" x14ac:dyDescent="0.3">
      <c r="A28">
        <v>26</v>
      </c>
      <c r="B28" s="1">
        <v>350773435685001</v>
      </c>
      <c r="C28" t="s">
        <v>1</v>
      </c>
      <c r="D28" t="s">
        <v>33</v>
      </c>
      <c r="E28" s="10">
        <v>2580</v>
      </c>
    </row>
    <row r="29" spans="1:7" x14ac:dyDescent="0.3">
      <c r="A29">
        <v>27</v>
      </c>
      <c r="B29" s="1">
        <v>350773435544976</v>
      </c>
      <c r="C29" t="s">
        <v>1</v>
      </c>
      <c r="D29" t="s">
        <v>33</v>
      </c>
      <c r="E29" s="10">
        <v>2580</v>
      </c>
    </row>
    <row r="30" spans="1:7" x14ac:dyDescent="0.3">
      <c r="A30">
        <v>28</v>
      </c>
      <c r="B30" s="1">
        <v>350773435865090</v>
      </c>
      <c r="C30" t="s">
        <v>1</v>
      </c>
      <c r="D30" t="s">
        <v>33</v>
      </c>
      <c r="E30" s="10">
        <v>2580</v>
      </c>
    </row>
    <row r="31" spans="1:7" x14ac:dyDescent="0.3">
      <c r="A31">
        <v>29</v>
      </c>
      <c r="B31" s="1">
        <v>357590879285400</v>
      </c>
      <c r="C31" t="s">
        <v>1</v>
      </c>
      <c r="D31" t="s">
        <v>33</v>
      </c>
      <c r="E31" s="10">
        <v>2580</v>
      </c>
    </row>
    <row r="32" spans="1:7" x14ac:dyDescent="0.3">
      <c r="A32">
        <v>30</v>
      </c>
      <c r="B32" s="1">
        <v>350773435703135</v>
      </c>
      <c r="C32" t="s">
        <v>1</v>
      </c>
      <c r="D32" t="s">
        <v>33</v>
      </c>
      <c r="E32" s="10">
        <v>2580</v>
      </c>
      <c r="G32" s="92"/>
    </row>
    <row r="33" spans="1:7" x14ac:dyDescent="0.3">
      <c r="A33">
        <v>31</v>
      </c>
      <c r="B33" s="1">
        <v>356541625679264</v>
      </c>
      <c r="C33" t="s">
        <v>1</v>
      </c>
      <c r="D33" t="s">
        <v>33</v>
      </c>
      <c r="E33" s="10">
        <v>2580</v>
      </c>
      <c r="G33" s="92"/>
    </row>
    <row r="34" spans="1:7" x14ac:dyDescent="0.3">
      <c r="A34">
        <v>32</v>
      </c>
      <c r="B34" s="1">
        <v>350773436244782</v>
      </c>
      <c r="C34" t="s">
        <v>1</v>
      </c>
      <c r="D34" t="s">
        <v>33</v>
      </c>
      <c r="E34" s="10">
        <v>2580</v>
      </c>
      <c r="G34" s="92"/>
    </row>
    <row r="35" spans="1:7" x14ac:dyDescent="0.3">
      <c r="A35">
        <v>33</v>
      </c>
      <c r="B35" s="1">
        <v>355469926952027</v>
      </c>
      <c r="C35" t="s">
        <v>1</v>
      </c>
      <c r="D35" t="s">
        <v>33</v>
      </c>
      <c r="E35" s="10">
        <v>2580</v>
      </c>
    </row>
    <row r="36" spans="1:7" x14ac:dyDescent="0.3">
      <c r="A36">
        <v>34</v>
      </c>
      <c r="B36" s="1">
        <v>354331123767569</v>
      </c>
      <c r="C36" t="s">
        <v>1</v>
      </c>
      <c r="D36" t="s">
        <v>33</v>
      </c>
      <c r="E36" s="10">
        <v>2580</v>
      </c>
    </row>
    <row r="37" spans="1:7" x14ac:dyDescent="0.3">
      <c r="A37">
        <v>35</v>
      </c>
      <c r="B37" s="1">
        <v>358536508325272</v>
      </c>
      <c r="C37" t="s">
        <v>27</v>
      </c>
      <c r="D37" t="s">
        <v>215</v>
      </c>
      <c r="E37" s="10">
        <v>2450</v>
      </c>
    </row>
    <row r="38" spans="1:7" x14ac:dyDescent="0.3">
      <c r="A38">
        <v>36</v>
      </c>
      <c r="B38" s="1">
        <v>354959418282819</v>
      </c>
      <c r="C38" t="s">
        <v>30</v>
      </c>
      <c r="D38" t="s">
        <v>33</v>
      </c>
      <c r="E38" s="10">
        <v>2050</v>
      </c>
    </row>
    <row r="39" spans="1:7" x14ac:dyDescent="0.3">
      <c r="A39">
        <v>37</v>
      </c>
      <c r="B39" s="1">
        <v>351895498095213</v>
      </c>
      <c r="C39" t="s">
        <v>24</v>
      </c>
      <c r="D39" t="s">
        <v>33</v>
      </c>
      <c r="E39" s="10">
        <v>2070</v>
      </c>
    </row>
    <row r="40" spans="1:7" x14ac:dyDescent="0.3">
      <c r="A40">
        <v>38</v>
      </c>
      <c r="B40" s="1">
        <v>351895498179058</v>
      </c>
      <c r="C40" t="s">
        <v>24</v>
      </c>
      <c r="D40" t="s">
        <v>33</v>
      </c>
      <c r="E40" s="10">
        <v>2070</v>
      </c>
    </row>
    <row r="41" spans="1:7" x14ac:dyDescent="0.3">
      <c r="A41">
        <v>39</v>
      </c>
      <c r="B41" s="1">
        <v>356102158467161</v>
      </c>
      <c r="C41" t="s">
        <v>24</v>
      </c>
      <c r="D41" t="s">
        <v>33</v>
      </c>
      <c r="E41" s="10">
        <v>2070</v>
      </c>
    </row>
    <row r="42" spans="1:7" x14ac:dyDescent="0.3">
      <c r="A42">
        <v>40</v>
      </c>
      <c r="B42" s="1">
        <v>353685839768976</v>
      </c>
      <c r="C42" t="s">
        <v>216</v>
      </c>
      <c r="D42" t="s">
        <v>33</v>
      </c>
      <c r="E42" s="10">
        <v>1600</v>
      </c>
    </row>
    <row r="43" spans="1:7" x14ac:dyDescent="0.3">
      <c r="A43">
        <v>41</v>
      </c>
      <c r="B43" s="1">
        <v>359401798140189</v>
      </c>
      <c r="C43" t="s">
        <v>217</v>
      </c>
      <c r="D43" t="s">
        <v>33</v>
      </c>
      <c r="E43" s="10">
        <v>600</v>
      </c>
    </row>
    <row r="44" spans="1:7" x14ac:dyDescent="0.3">
      <c r="A44">
        <v>42</v>
      </c>
      <c r="B44" s="1">
        <v>355468251743837</v>
      </c>
      <c r="C44" t="s">
        <v>217</v>
      </c>
      <c r="D44" t="s">
        <v>33</v>
      </c>
      <c r="E44" s="10">
        <v>600</v>
      </c>
    </row>
    <row r="45" spans="1:7" x14ac:dyDescent="0.3">
      <c r="A45">
        <v>43</v>
      </c>
      <c r="B45" s="1">
        <v>357810544973093</v>
      </c>
      <c r="C45" t="s">
        <v>218</v>
      </c>
      <c r="D45" t="s">
        <v>33</v>
      </c>
      <c r="E45" s="10">
        <v>1220</v>
      </c>
    </row>
    <row r="46" spans="1:7" x14ac:dyDescent="0.3">
      <c r="A46">
        <v>44</v>
      </c>
      <c r="B46" s="1">
        <v>352905160496331</v>
      </c>
      <c r="C46" t="s">
        <v>219</v>
      </c>
      <c r="D46" t="s">
        <v>33</v>
      </c>
      <c r="E46" s="10">
        <v>0</v>
      </c>
      <c r="F46" t="s">
        <v>220</v>
      </c>
    </row>
    <row r="47" spans="1:7" x14ac:dyDescent="0.3">
      <c r="A47">
        <v>45</v>
      </c>
      <c r="B47" s="1">
        <v>358712820290433</v>
      </c>
      <c r="C47" t="s">
        <v>221</v>
      </c>
      <c r="D47" t="s">
        <v>33</v>
      </c>
      <c r="E47" s="10">
        <v>0</v>
      </c>
      <c r="F47" t="s">
        <v>220</v>
      </c>
    </row>
    <row r="48" spans="1:7" x14ac:dyDescent="0.3">
      <c r="A48">
        <v>46</v>
      </c>
      <c r="B48" s="1">
        <v>357494472144173</v>
      </c>
      <c r="C48" t="s">
        <v>219</v>
      </c>
      <c r="D48" t="s">
        <v>33</v>
      </c>
      <c r="E48" s="10">
        <v>0</v>
      </c>
      <c r="F48" t="s">
        <v>220</v>
      </c>
    </row>
    <row r="49" spans="1:6" x14ac:dyDescent="0.3">
      <c r="A49">
        <v>47</v>
      </c>
      <c r="B49" s="1">
        <v>356706681477883</v>
      </c>
      <c r="C49" t="s">
        <v>222</v>
      </c>
      <c r="D49" t="s">
        <v>33</v>
      </c>
      <c r="E49" s="10">
        <v>0</v>
      </c>
      <c r="F49" t="s">
        <v>220</v>
      </c>
    </row>
    <row r="50" spans="1:6" x14ac:dyDescent="0.3">
      <c r="A50">
        <v>48</v>
      </c>
      <c r="B50" s="1">
        <v>7910</v>
      </c>
      <c r="C50" t="s">
        <v>222</v>
      </c>
      <c r="D50" t="s">
        <v>33</v>
      </c>
      <c r="E50" s="10">
        <v>0</v>
      </c>
      <c r="F50" t="s">
        <v>220</v>
      </c>
    </row>
    <row r="51" spans="1:6" x14ac:dyDescent="0.3">
      <c r="A51">
        <v>49</v>
      </c>
      <c r="B51" s="93" t="s">
        <v>17</v>
      </c>
      <c r="C51" t="s">
        <v>222</v>
      </c>
      <c r="D51" t="s">
        <v>33</v>
      </c>
      <c r="E51" s="10">
        <v>0</v>
      </c>
      <c r="F51" t="s">
        <v>220</v>
      </c>
    </row>
    <row r="52" spans="1:6" x14ac:dyDescent="0.3">
      <c r="A52">
        <v>50</v>
      </c>
      <c r="B52" s="1">
        <v>352905160737064</v>
      </c>
      <c r="C52" t="s">
        <v>222</v>
      </c>
      <c r="D52" t="s">
        <v>33</v>
      </c>
      <c r="E52" s="10">
        <v>0</v>
      </c>
      <c r="F52" t="s">
        <v>220</v>
      </c>
    </row>
    <row r="53" spans="1:6" x14ac:dyDescent="0.3">
      <c r="A53">
        <v>51</v>
      </c>
      <c r="B53" s="93" t="s">
        <v>223</v>
      </c>
      <c r="C53" t="s">
        <v>222</v>
      </c>
      <c r="D53" t="s">
        <v>33</v>
      </c>
      <c r="E53" s="10">
        <v>0</v>
      </c>
      <c r="F53" t="s">
        <v>220</v>
      </c>
    </row>
    <row r="54" spans="1:6" x14ac:dyDescent="0.3">
      <c r="A54">
        <v>52</v>
      </c>
      <c r="B54" s="1">
        <v>352512147049694</v>
      </c>
      <c r="C54" t="s">
        <v>22</v>
      </c>
      <c r="E54" s="10">
        <v>1800</v>
      </c>
    </row>
    <row r="55" spans="1:6" x14ac:dyDescent="0.3">
      <c r="A55">
        <v>53</v>
      </c>
      <c r="B55" s="1">
        <v>358754771073400</v>
      </c>
      <c r="C55" t="s">
        <v>22</v>
      </c>
      <c r="E55" s="10">
        <v>1800</v>
      </c>
    </row>
    <row r="56" spans="1:6" x14ac:dyDescent="0.3">
      <c r="A56">
        <v>54</v>
      </c>
      <c r="B56" s="1">
        <v>352512147080251</v>
      </c>
      <c r="C56" t="s">
        <v>22</v>
      </c>
      <c r="E56" s="10">
        <v>1800</v>
      </c>
    </row>
    <row r="57" spans="1:6" x14ac:dyDescent="0.3">
      <c r="A57">
        <v>55</v>
      </c>
      <c r="B57" s="1">
        <v>352512146297930</v>
      </c>
      <c r="C57" t="s">
        <v>21</v>
      </c>
      <c r="E57" s="10">
        <v>1800</v>
      </c>
    </row>
    <row r="58" spans="1:6" x14ac:dyDescent="0.3">
      <c r="A58">
        <v>56</v>
      </c>
      <c r="B58" s="1">
        <v>352512146463391</v>
      </c>
      <c r="C58" t="s">
        <v>21</v>
      </c>
      <c r="E58" s="10">
        <v>1800</v>
      </c>
    </row>
    <row r="59" spans="1:6" x14ac:dyDescent="0.3">
      <c r="A59">
        <v>57</v>
      </c>
      <c r="B59" s="1">
        <v>359373961214168</v>
      </c>
      <c r="C59" t="s">
        <v>23</v>
      </c>
      <c r="E59" s="10">
        <v>1800</v>
      </c>
    </row>
    <row r="60" spans="1:6" x14ac:dyDescent="0.3">
      <c r="A60">
        <v>58</v>
      </c>
      <c r="B60" s="1">
        <v>359373961005000</v>
      </c>
      <c r="C60" t="s">
        <v>23</v>
      </c>
      <c r="E60" s="10">
        <v>1800</v>
      </c>
    </row>
    <row r="61" spans="1:6" x14ac:dyDescent="0.3">
      <c r="A61">
        <v>59</v>
      </c>
      <c r="B61" s="1">
        <v>359373960917662</v>
      </c>
      <c r="C61" t="s">
        <v>23</v>
      </c>
      <c r="E61" s="10">
        <v>1800</v>
      </c>
    </row>
    <row r="62" spans="1:6" x14ac:dyDescent="0.3">
      <c r="A62">
        <v>60</v>
      </c>
      <c r="B62" s="1">
        <v>350472953091953</v>
      </c>
      <c r="C62" t="s">
        <v>224</v>
      </c>
      <c r="E62" s="10">
        <v>3250</v>
      </c>
    </row>
    <row r="64" spans="1:6" x14ac:dyDescent="0.3">
      <c r="E64" s="14">
        <f>SUM(E3:E63)</f>
        <v>120770</v>
      </c>
    </row>
  </sheetData>
  <autoFilter ref="A2:F62" xr:uid="{00000000-0001-0000-0700-000000000000}"/>
  <mergeCells count="1">
    <mergeCell ref="B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2"/>
  <sheetViews>
    <sheetView workbookViewId="0">
      <selection activeCell="H34" sqref="H34"/>
    </sheetView>
  </sheetViews>
  <sheetFormatPr defaultRowHeight="14.4" x14ac:dyDescent="0.3"/>
  <cols>
    <col min="1" max="1" width="12.6640625" customWidth="1"/>
    <col min="2" max="2" width="22" customWidth="1"/>
    <col min="3" max="3" width="26.109375" customWidth="1"/>
    <col min="4" max="4" width="13.33203125" customWidth="1"/>
    <col min="5" max="6" width="16.109375" bestFit="1" customWidth="1"/>
    <col min="7" max="7" width="19.88671875" bestFit="1" customWidth="1"/>
  </cols>
  <sheetData>
    <row r="1" spans="1:6" x14ac:dyDescent="0.3">
      <c r="A1" s="15" t="s">
        <v>229</v>
      </c>
      <c r="B1" s="119" t="s">
        <v>227</v>
      </c>
      <c r="C1" s="119"/>
      <c r="D1" s="119"/>
      <c r="E1" s="17" t="s">
        <v>228</v>
      </c>
      <c r="F1" s="2"/>
    </row>
    <row r="2" spans="1:6" x14ac:dyDescent="0.3">
      <c r="A2" s="2" t="s">
        <v>6</v>
      </c>
      <c r="B2" s="2" t="s">
        <v>5</v>
      </c>
      <c r="C2" s="2" t="s">
        <v>7</v>
      </c>
      <c r="D2" s="2" t="s">
        <v>8</v>
      </c>
      <c r="E2" s="5" t="s">
        <v>9</v>
      </c>
      <c r="F2" s="2" t="s">
        <v>56</v>
      </c>
    </row>
    <row r="3" spans="1:6" x14ac:dyDescent="0.3">
      <c r="A3">
        <v>1</v>
      </c>
      <c r="B3" s="1">
        <v>353685832093729</v>
      </c>
      <c r="C3" t="s">
        <v>191</v>
      </c>
      <c r="D3" t="s">
        <v>226</v>
      </c>
      <c r="E3" s="10">
        <v>1400</v>
      </c>
    </row>
    <row r="4" spans="1:6" x14ac:dyDescent="0.3">
      <c r="A4">
        <v>2</v>
      </c>
      <c r="B4" s="1">
        <v>355008285632521</v>
      </c>
      <c r="C4" t="s">
        <v>3</v>
      </c>
      <c r="D4" t="s">
        <v>226</v>
      </c>
      <c r="E4" s="10">
        <v>2350</v>
      </c>
    </row>
    <row r="5" spans="1:6" x14ac:dyDescent="0.3">
      <c r="A5">
        <v>3</v>
      </c>
      <c r="B5" s="1">
        <v>355008285938977</v>
      </c>
      <c r="C5" t="s">
        <v>3</v>
      </c>
      <c r="D5" t="s">
        <v>33</v>
      </c>
      <c r="E5" s="10">
        <v>2400</v>
      </c>
    </row>
    <row r="6" spans="1:6" x14ac:dyDescent="0.3">
      <c r="A6">
        <v>4</v>
      </c>
      <c r="B6" s="93">
        <v>351614404387295</v>
      </c>
      <c r="C6" t="s">
        <v>3</v>
      </c>
      <c r="D6" t="s">
        <v>226</v>
      </c>
      <c r="E6" s="10">
        <v>2350</v>
      </c>
    </row>
    <row r="7" spans="1:6" x14ac:dyDescent="0.3">
      <c r="A7">
        <v>5</v>
      </c>
      <c r="B7" s="1">
        <v>358862980911862</v>
      </c>
      <c r="C7" t="s">
        <v>3</v>
      </c>
      <c r="D7" t="s">
        <v>226</v>
      </c>
      <c r="E7" s="10">
        <v>2350</v>
      </c>
    </row>
    <row r="8" spans="1:6" x14ac:dyDescent="0.3">
      <c r="A8">
        <v>6</v>
      </c>
      <c r="B8" s="1">
        <v>355067546883356</v>
      </c>
      <c r="C8" t="s">
        <v>3</v>
      </c>
      <c r="D8" t="s">
        <v>33</v>
      </c>
      <c r="E8" s="10">
        <v>2400</v>
      </c>
    </row>
    <row r="9" spans="1:6" x14ac:dyDescent="0.3">
      <c r="A9">
        <v>7</v>
      </c>
      <c r="B9" s="1">
        <v>358862980337571</v>
      </c>
      <c r="C9" t="s">
        <v>3</v>
      </c>
      <c r="D9" t="s">
        <v>33</v>
      </c>
      <c r="E9" s="10">
        <v>2400</v>
      </c>
    </row>
    <row r="10" spans="1:6" x14ac:dyDescent="0.3">
      <c r="A10">
        <v>8</v>
      </c>
      <c r="B10" s="1">
        <v>350773435270929</v>
      </c>
      <c r="C10" t="s">
        <v>3</v>
      </c>
      <c r="D10" t="s">
        <v>33</v>
      </c>
      <c r="E10" s="10">
        <v>2400</v>
      </c>
    </row>
    <row r="11" spans="1:6" x14ac:dyDescent="0.3">
      <c r="A11">
        <v>9</v>
      </c>
      <c r="B11" s="1">
        <v>350773435425440</v>
      </c>
      <c r="C11" t="s">
        <v>3</v>
      </c>
      <c r="D11" t="s">
        <v>33</v>
      </c>
      <c r="E11" s="10">
        <v>2400</v>
      </c>
    </row>
    <row r="12" spans="1:6" x14ac:dyDescent="0.3">
      <c r="A12">
        <v>10</v>
      </c>
      <c r="B12" s="1">
        <v>350773435485709</v>
      </c>
      <c r="C12" t="s">
        <v>1</v>
      </c>
      <c r="D12" t="s">
        <v>33</v>
      </c>
      <c r="E12" s="10">
        <v>2580</v>
      </c>
    </row>
    <row r="13" spans="1:6" x14ac:dyDescent="0.3">
      <c r="A13">
        <v>11</v>
      </c>
      <c r="B13" s="1">
        <v>354331128732899</v>
      </c>
      <c r="C13" t="s">
        <v>1</v>
      </c>
      <c r="D13" t="s">
        <v>33</v>
      </c>
      <c r="E13" s="10">
        <v>2580</v>
      </c>
    </row>
    <row r="14" spans="1:6" x14ac:dyDescent="0.3">
      <c r="A14">
        <v>12</v>
      </c>
      <c r="B14" s="1">
        <v>354331128699494</v>
      </c>
      <c r="C14" t="s">
        <v>1</v>
      </c>
      <c r="D14" t="s">
        <v>33</v>
      </c>
      <c r="E14" s="10">
        <v>2580</v>
      </c>
    </row>
    <row r="15" spans="1:6" x14ac:dyDescent="0.3">
      <c r="A15">
        <v>13</v>
      </c>
      <c r="B15" s="1">
        <v>350773436454118</v>
      </c>
      <c r="C15" t="s">
        <v>1</v>
      </c>
      <c r="D15" t="s">
        <v>33</v>
      </c>
      <c r="E15" s="10">
        <v>2580</v>
      </c>
    </row>
    <row r="16" spans="1:6" x14ac:dyDescent="0.3">
      <c r="A16">
        <v>14</v>
      </c>
      <c r="B16" s="93">
        <v>350773436020299</v>
      </c>
      <c r="C16" t="s">
        <v>1</v>
      </c>
      <c r="D16" t="s">
        <v>33</v>
      </c>
      <c r="E16" s="10">
        <v>2580</v>
      </c>
    </row>
    <row r="17" spans="1:7" x14ac:dyDescent="0.3">
      <c r="A17">
        <v>15</v>
      </c>
      <c r="B17" s="1">
        <v>355469926938331</v>
      </c>
      <c r="C17" t="s">
        <v>1</v>
      </c>
      <c r="D17" t="s">
        <v>33</v>
      </c>
      <c r="E17" s="10">
        <v>2580</v>
      </c>
    </row>
    <row r="18" spans="1:7" x14ac:dyDescent="0.3">
      <c r="A18">
        <v>16</v>
      </c>
      <c r="B18" s="1">
        <v>354737616253885</v>
      </c>
      <c r="C18" t="s">
        <v>1</v>
      </c>
      <c r="D18" t="s">
        <v>33</v>
      </c>
      <c r="E18" s="10">
        <v>2580</v>
      </c>
    </row>
    <row r="19" spans="1:7" x14ac:dyDescent="0.3">
      <c r="A19">
        <v>17</v>
      </c>
      <c r="B19" s="1">
        <v>355469926900208</v>
      </c>
      <c r="C19" t="s">
        <v>27</v>
      </c>
      <c r="D19" t="s">
        <v>33</v>
      </c>
      <c r="E19" s="10">
        <v>2500</v>
      </c>
    </row>
    <row r="20" spans="1:7" x14ac:dyDescent="0.3">
      <c r="A20">
        <v>18</v>
      </c>
      <c r="B20" s="1">
        <v>356102158417828</v>
      </c>
      <c r="C20" t="s">
        <v>29</v>
      </c>
      <c r="D20" t="s">
        <v>33</v>
      </c>
      <c r="E20" s="10">
        <v>1950</v>
      </c>
    </row>
    <row r="21" spans="1:7" x14ac:dyDescent="0.3">
      <c r="A21">
        <v>19</v>
      </c>
      <c r="B21" s="1">
        <v>356102158425169</v>
      </c>
      <c r="C21" t="s">
        <v>29</v>
      </c>
      <c r="D21" t="s">
        <v>33</v>
      </c>
      <c r="E21" s="10">
        <v>1950</v>
      </c>
    </row>
    <row r="22" spans="1:7" x14ac:dyDescent="0.3">
      <c r="A22">
        <v>20</v>
      </c>
      <c r="B22" s="1">
        <v>356102158463418</v>
      </c>
      <c r="C22" t="s">
        <v>24</v>
      </c>
      <c r="D22" t="s">
        <v>33</v>
      </c>
      <c r="E22" s="10">
        <v>2070</v>
      </c>
    </row>
    <row r="23" spans="1:7" x14ac:dyDescent="0.3">
      <c r="A23">
        <v>21</v>
      </c>
      <c r="B23" s="1">
        <v>355031538169075</v>
      </c>
      <c r="C23" t="s">
        <v>24</v>
      </c>
      <c r="D23" t="s">
        <v>33</v>
      </c>
      <c r="E23" s="10">
        <v>2070</v>
      </c>
    </row>
    <row r="24" spans="1:7" x14ac:dyDescent="0.3">
      <c r="A24">
        <v>22</v>
      </c>
      <c r="B24" s="1">
        <v>355031538597440</v>
      </c>
      <c r="C24" t="s">
        <v>26</v>
      </c>
      <c r="D24" t="s">
        <v>33</v>
      </c>
      <c r="E24" s="10">
        <v>2050</v>
      </c>
    </row>
    <row r="25" spans="1:7" x14ac:dyDescent="0.3">
      <c r="A25">
        <v>23</v>
      </c>
      <c r="B25" s="1">
        <v>357017254994851</v>
      </c>
      <c r="C25" t="s">
        <v>31</v>
      </c>
      <c r="D25" t="s">
        <v>226</v>
      </c>
      <c r="E25" s="10">
        <v>2050</v>
      </c>
    </row>
    <row r="26" spans="1:7" x14ac:dyDescent="0.3">
      <c r="A26">
        <v>24</v>
      </c>
      <c r="B26" s="1">
        <v>359072844892238</v>
      </c>
      <c r="C26" t="s">
        <v>31</v>
      </c>
      <c r="D26" t="s">
        <v>226</v>
      </c>
      <c r="E26" s="10">
        <v>2050</v>
      </c>
    </row>
    <row r="27" spans="1:7" x14ac:dyDescent="0.3">
      <c r="A27">
        <v>25</v>
      </c>
      <c r="B27" s="1">
        <v>358754771642733</v>
      </c>
      <c r="C27" t="s">
        <v>22</v>
      </c>
      <c r="E27" s="10">
        <v>1800</v>
      </c>
    </row>
    <row r="28" spans="1:7" x14ac:dyDescent="0.3">
      <c r="A28">
        <v>26</v>
      </c>
      <c r="B28" s="1">
        <v>352512147003998</v>
      </c>
      <c r="C28" t="s">
        <v>194</v>
      </c>
      <c r="E28" s="10">
        <v>1850</v>
      </c>
    </row>
    <row r="29" spans="1:7" x14ac:dyDescent="0.3">
      <c r="A29">
        <v>27</v>
      </c>
      <c r="B29" s="1">
        <v>352512146899933</v>
      </c>
      <c r="C29" t="s">
        <v>225</v>
      </c>
      <c r="E29" s="10">
        <v>1800</v>
      </c>
    </row>
    <row r="30" spans="1:7" x14ac:dyDescent="0.3">
      <c r="A30">
        <v>28</v>
      </c>
      <c r="B30" s="1">
        <v>359373961212030</v>
      </c>
      <c r="C30" t="s">
        <v>23</v>
      </c>
      <c r="E30" s="10">
        <v>1800</v>
      </c>
    </row>
    <row r="31" spans="1:7" x14ac:dyDescent="0.3">
      <c r="A31">
        <v>29</v>
      </c>
      <c r="B31" s="1">
        <v>352512145942114</v>
      </c>
      <c r="C31" t="s">
        <v>23</v>
      </c>
      <c r="E31" s="10">
        <v>1800</v>
      </c>
    </row>
    <row r="32" spans="1:7" x14ac:dyDescent="0.3">
      <c r="A32">
        <v>30</v>
      </c>
      <c r="B32" s="1">
        <v>359373960851739</v>
      </c>
      <c r="C32" t="s">
        <v>23</v>
      </c>
      <c r="E32" s="10">
        <v>1800</v>
      </c>
      <c r="G32" s="92"/>
    </row>
    <row r="33" spans="2:7" ht="15.6" x14ac:dyDescent="0.3">
      <c r="B33" s="1"/>
      <c r="E33" s="94">
        <f>SUM(E3:E32)</f>
        <v>66050</v>
      </c>
      <c r="G33" s="92"/>
    </row>
    <row r="34" spans="2:7" x14ac:dyDescent="0.3">
      <c r="B34" s="1"/>
      <c r="C34" s="92"/>
      <c r="F34" s="1"/>
      <c r="G34" s="92"/>
    </row>
    <row r="35" spans="2:7" x14ac:dyDescent="0.3">
      <c r="B35" s="1"/>
      <c r="F35" s="1"/>
    </row>
    <row r="36" spans="2:7" x14ac:dyDescent="0.3">
      <c r="B36" s="1"/>
      <c r="F36" s="1"/>
    </row>
    <row r="37" spans="2:7" x14ac:dyDescent="0.3">
      <c r="B37" s="1"/>
    </row>
    <row r="38" spans="2:7" x14ac:dyDescent="0.3">
      <c r="B38" s="1"/>
    </row>
    <row r="39" spans="2:7" x14ac:dyDescent="0.3">
      <c r="B39" s="1"/>
    </row>
    <row r="40" spans="2:7" x14ac:dyDescent="0.3">
      <c r="B40" s="1"/>
    </row>
    <row r="41" spans="2:7" x14ac:dyDescent="0.3">
      <c r="B41" s="1"/>
      <c r="C41" s="92"/>
    </row>
    <row r="42" spans="2:7" x14ac:dyDescent="0.3">
      <c r="B42" s="1"/>
      <c r="C42" s="92"/>
    </row>
    <row r="43" spans="2:7" x14ac:dyDescent="0.3">
      <c r="B43" s="1"/>
    </row>
    <row r="44" spans="2:7" x14ac:dyDescent="0.3">
      <c r="B44" s="1"/>
    </row>
    <row r="45" spans="2:7" x14ac:dyDescent="0.3">
      <c r="B45" s="1"/>
    </row>
    <row r="46" spans="2:7" x14ac:dyDescent="0.3">
      <c r="B46" s="1"/>
    </row>
    <row r="47" spans="2:7" x14ac:dyDescent="0.3">
      <c r="B47" s="1"/>
    </row>
    <row r="48" spans="2:7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</sheetData>
  <autoFilter ref="A2:F2" xr:uid="{00000000-0009-0000-0000-000008000000}">
    <sortState xmlns:xlrd2="http://schemas.microsoft.com/office/spreadsheetml/2017/richdata2" ref="A3:F32">
      <sortCondition ref="C2"/>
    </sortState>
  </autoFilter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(2)</vt:lpstr>
      <vt:lpstr>invoice 8</vt:lpstr>
      <vt:lpstr>Invoice 09</vt:lpstr>
      <vt:lpstr>Invoice 10</vt:lpstr>
      <vt:lpstr>invoice 11</vt:lpstr>
      <vt:lpstr>invoice 12</vt:lpstr>
      <vt:lpstr>Invoice 13</vt:lpstr>
      <vt:lpstr>invoice 14</vt:lpstr>
      <vt:lpstr>Invoice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Farooqui</dc:creator>
  <cp:lastModifiedBy>dell5300</cp:lastModifiedBy>
  <dcterms:created xsi:type="dcterms:W3CDTF">2025-07-27T17:49:13Z</dcterms:created>
  <dcterms:modified xsi:type="dcterms:W3CDTF">2025-10-06T15:56:19Z</dcterms:modified>
</cp:coreProperties>
</file>