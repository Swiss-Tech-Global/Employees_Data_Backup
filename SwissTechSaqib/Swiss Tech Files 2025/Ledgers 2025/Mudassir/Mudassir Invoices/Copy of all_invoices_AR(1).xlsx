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Ledgers 2025\Mudassir\Mudassir Invoices\"/>
    </mc:Choice>
  </mc:AlternateContent>
  <xr:revisionPtr revIDLastSave="0" documentId="13_ncr:1_{1CBD5D64-B7C6-4358-BA5E-B44BBB0873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dger" sheetId="1" r:id="rId1"/>
    <sheet name="invoice 1" sheetId="2" r:id="rId2"/>
    <sheet name="invoice 2" sheetId="3" r:id="rId3"/>
    <sheet name="invoice 3" sheetId="4" r:id="rId4"/>
    <sheet name="invoice 4" sheetId="5" r:id="rId5"/>
    <sheet name="invoice 5" sheetId="6" r:id="rId6"/>
    <sheet name="invoice 6" sheetId="7" r:id="rId7"/>
    <sheet name="invoice 7" sheetId="8" r:id="rId8"/>
  </sheets>
  <externalReferences>
    <externalReference r:id="rId9"/>
  </externalReferences>
  <definedNames>
    <definedName name="_xlnm._FilterDatabase" localSheetId="1" hidden="1">'invoice 1'!$A$2:$F$2</definedName>
    <definedName name="_xlnm._FilterDatabase" localSheetId="3" hidden="1">'invoice 3'!$A$2:$E$94</definedName>
    <definedName name="_xlnm._FilterDatabase" localSheetId="4" hidden="1">'invoice 4'!$A$2:$E$2</definedName>
    <definedName name="_xlnm._FilterDatabase" localSheetId="5" hidden="1">'invoice 5'!$A$2:$E$2</definedName>
    <definedName name="_xlnm._FilterDatabase" localSheetId="6" hidden="1">'invoice 6'!$A$2:$E$2</definedName>
    <definedName name="_xlnm._FilterDatabase" localSheetId="7" hidden="1">'invoice 7'!$A$2:$E$54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6" i="8" l="1"/>
  <c r="E18" i="7" l="1"/>
  <c r="E64" i="6"/>
  <c r="E79" i="5"/>
  <c r="E57" i="4"/>
  <c r="E56" i="4"/>
  <c r="E97" i="4" s="1"/>
  <c r="A47" i="4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F15" i="3"/>
  <c r="F14" i="3"/>
  <c r="F13" i="3"/>
  <c r="F12" i="3"/>
  <c r="F11" i="3"/>
  <c r="F9" i="3"/>
  <c r="F8" i="3"/>
  <c r="F7" i="3"/>
  <c r="F6" i="3"/>
  <c r="F5" i="3"/>
  <c r="F4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F3" i="3"/>
  <c r="F36" i="2"/>
  <c r="F35" i="2"/>
  <c r="F19" i="2"/>
  <c r="F17" i="2"/>
  <c r="F16" i="2"/>
  <c r="F15" i="2"/>
  <c r="F14" i="2"/>
  <c r="F13" i="2"/>
  <c r="F9" i="2"/>
  <c r="F8" i="2"/>
  <c r="F7" i="2"/>
  <c r="F6" i="2"/>
  <c r="F5" i="2"/>
  <c r="F4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F3" i="2"/>
  <c r="F60" i="2" s="1"/>
  <c r="E62" i="1"/>
  <c r="E63" i="1" s="1"/>
  <c r="C48" i="1"/>
  <c r="D48" i="1" s="1"/>
  <c r="D38" i="1"/>
  <c r="C36" i="1"/>
  <c r="C35" i="1"/>
  <c r="C34" i="1"/>
  <c r="C30" i="1"/>
  <c r="D28" i="1"/>
  <c r="D27" i="1"/>
  <c r="D26" i="1"/>
  <c r="D25" i="1"/>
  <c r="C22" i="1"/>
  <c r="D20" i="1"/>
  <c r="D19" i="1"/>
  <c r="D18" i="1"/>
  <c r="D17" i="1"/>
  <c r="D16" i="1"/>
  <c r="D15" i="1"/>
  <c r="D14" i="1"/>
  <c r="D13" i="1"/>
  <c r="D12" i="1"/>
  <c r="D9" i="1"/>
  <c r="C7" i="1"/>
  <c r="C3" i="1"/>
  <c r="D40" i="1" l="1"/>
  <c r="F52" i="3"/>
  <c r="C40" i="1"/>
  <c r="E40" i="1" s="1"/>
  <c r="E3" i="1"/>
  <c r="E4" i="1" s="1"/>
  <c r="E5" i="1" s="1"/>
  <c r="E7" i="1" s="1"/>
  <c r="E8" i="1" s="1"/>
  <c r="E9" i="1" s="1"/>
  <c r="E10" i="1" s="1"/>
  <c r="E12" i="1" s="1"/>
  <c r="E13" i="1" s="1"/>
  <c r="E14" i="1" s="1"/>
  <c r="E15" i="1" s="1"/>
  <c r="E16" i="1" s="1"/>
  <c r="E17" i="1" s="1"/>
  <c r="E18" i="1" s="1"/>
  <c r="E19" i="1" s="1"/>
  <c r="E20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4" i="1" s="1"/>
  <c r="E35" i="1" s="1"/>
  <c r="E36" i="1" s="1"/>
  <c r="E37" i="1" s="1"/>
  <c r="E38" i="1" s="1"/>
</calcChain>
</file>

<file path=xl/sharedStrings.xml><?xml version="1.0" encoding="utf-8"?>
<sst xmlns="http://schemas.openxmlformats.org/spreadsheetml/2006/main" count="891" uniqueCount="201">
  <si>
    <t xml:space="preserve">Dubai selling ledger </t>
  </si>
  <si>
    <t>DATE</t>
  </si>
  <si>
    <t>DETAIL</t>
  </si>
  <si>
    <t>Total Amount</t>
  </si>
  <si>
    <t>Paid</t>
  </si>
  <si>
    <t>Balance</t>
  </si>
  <si>
    <t>Invoice 1</t>
  </si>
  <si>
    <t xml:space="preserve">PAID TO Hawla person </t>
  </si>
  <si>
    <t>PAID TO WAJAHAT</t>
  </si>
  <si>
    <t>Invoice 2</t>
  </si>
  <si>
    <t>8 Device Return</t>
  </si>
  <si>
    <t>Hawala 39,00000 @79.20</t>
  </si>
  <si>
    <t>882190243917 (386$ @3.678)</t>
  </si>
  <si>
    <t>882247971323 (525$ @3.678)</t>
  </si>
  <si>
    <t>882279322688 (507$ @3.678)</t>
  </si>
  <si>
    <t>Clearing Charges 3 x 650 AED</t>
  </si>
  <si>
    <t>882482082780 (39$ @3.678) usa to usa</t>
  </si>
  <si>
    <t>ONLINE PAYMENT  PKR 500000 @79.20</t>
  </si>
  <si>
    <t>CASH PAYMENT PKR 646500 @79.20</t>
  </si>
  <si>
    <t>ONLINE PAYMENT  PKR 268450 @79.20</t>
  </si>
  <si>
    <t>Invoice 3</t>
  </si>
  <si>
    <t>PAID TO MUDDASSIR @79.60 (60k) clear</t>
  </si>
  <si>
    <t>882482082780(500$ @3.678)</t>
  </si>
  <si>
    <t>882523663746(500$ @3.678)</t>
  </si>
  <si>
    <t>882514974053(350$ @3.678)</t>
  </si>
  <si>
    <t xml:space="preserve"> </t>
  </si>
  <si>
    <t>Invoice 4</t>
  </si>
  <si>
    <t>Amount</t>
  </si>
  <si>
    <t>PAID TO MUDDASSIR@79.70 (475500) clear</t>
  </si>
  <si>
    <t>PAID TO MUDDASSIR @79.70</t>
  </si>
  <si>
    <t>Invoice 5</t>
  </si>
  <si>
    <t>Invoice 6</t>
  </si>
  <si>
    <t>Invoice 7</t>
  </si>
  <si>
    <t>united</t>
  </si>
  <si>
    <t>PAID TO MUDDASSIR @79.80</t>
  </si>
  <si>
    <t>starcity</t>
  </si>
  <si>
    <t>PAID TO MUDDASSIR ACC 79.80 (17 LAC)</t>
  </si>
  <si>
    <t>1 lac aed balnce clear</t>
  </si>
  <si>
    <t>TOTAL</t>
  </si>
  <si>
    <t xml:space="preserve">DATE </t>
  </si>
  <si>
    <t>TID#</t>
  </si>
  <si>
    <t>AMOUNT</t>
  </si>
  <si>
    <t xml:space="preserve">Invoice no 1 </t>
  </si>
  <si>
    <t>Dated:30-06-2025</t>
  </si>
  <si>
    <t>S.No</t>
  </si>
  <si>
    <t>Imei</t>
  </si>
  <si>
    <t>Description</t>
  </si>
  <si>
    <t>Activation Status</t>
  </si>
  <si>
    <t>Price</t>
  </si>
  <si>
    <t>Apple Watch Ultra 2 49mm</t>
  </si>
  <si>
    <t>Non--Active</t>
  </si>
  <si>
    <t>Ipad Pro 11" M4 W+C SB 256gb</t>
  </si>
  <si>
    <t>Non-Active</t>
  </si>
  <si>
    <t>Ipad Pro 13" M4 W+C SB 256gb</t>
  </si>
  <si>
    <t>Iphone 16 Black 128gb</t>
  </si>
  <si>
    <t>Iphone 16 Plus Pink 128gb</t>
  </si>
  <si>
    <t>Activated</t>
  </si>
  <si>
    <t>Iphone 16 PM BT 256gb</t>
  </si>
  <si>
    <t>Iphone 16 PM DT 1TB</t>
  </si>
  <si>
    <t>Iphone 16 PM DT 256gb</t>
  </si>
  <si>
    <t>Iphone 16 PM NT 1TB</t>
  </si>
  <si>
    <t>Iphone 16 Pro BT 128gb</t>
  </si>
  <si>
    <t>Iphone 16 Pro DT 128gb</t>
  </si>
  <si>
    <t>Iphone 16 Pro DT 512gb</t>
  </si>
  <si>
    <t>Iphone 16 Pro DT128gb</t>
  </si>
  <si>
    <t>Iphone 16 Pro Max BT 256gb</t>
  </si>
  <si>
    <t>Iphone 16 Pro Max DT 1TB</t>
  </si>
  <si>
    <t>Iphone 16 Pro Max DT 256gb</t>
  </si>
  <si>
    <t>Iphone 16 Pro Max NT 512gb</t>
  </si>
  <si>
    <t>Iphone 16 Pro Max WT 256gb</t>
  </si>
  <si>
    <t>Iphone 16 Pro Max Wt 512gb</t>
  </si>
  <si>
    <t>Iphone 16 Pro NT 128gb</t>
  </si>
  <si>
    <t>Iphone 16 Pro WT 128gb</t>
  </si>
  <si>
    <t>Invoice no 2</t>
  </si>
  <si>
    <t>Dated:02-07-2025</t>
  </si>
  <si>
    <t>IMEI</t>
  </si>
  <si>
    <t xml:space="preserve">Series 10 46MM 4G </t>
  </si>
  <si>
    <t xml:space="preserve">Series 10 42MM 4G </t>
  </si>
  <si>
    <t xml:space="preserve">     </t>
  </si>
  <si>
    <t>Ipad Pro 13" M4 W+C SB 512gb</t>
  </si>
  <si>
    <t>Iphone 16 Pro BT 256 gb</t>
  </si>
  <si>
    <t>Iphone 16 Pro DT 256gb</t>
  </si>
  <si>
    <t>Iphone 16 Pro Max NT 256gb</t>
  </si>
  <si>
    <t>Iphone 16 Pro WT 1TB</t>
  </si>
  <si>
    <t>Invoice no 3</t>
  </si>
  <si>
    <t>Tracking(882514785114,882514974053)</t>
  </si>
  <si>
    <t>Dated:10-07-2025</t>
  </si>
  <si>
    <t>Iphone 16 Pro BT 1TB</t>
  </si>
  <si>
    <t>Active</t>
  </si>
  <si>
    <t>Iphone 16 Pro NT 256gb</t>
  </si>
  <si>
    <t>Iphone 16 PM NT 256gb</t>
  </si>
  <si>
    <t>Iphone 16 PM WT 256gb</t>
  </si>
  <si>
    <t>Ipad Pro 11" M4 W+C 256gb</t>
  </si>
  <si>
    <t>Ipad Pro 13" M4 W+C 256gb</t>
  </si>
  <si>
    <t>Apple Iwatch Ultra 2</t>
  </si>
  <si>
    <t>Iwatch SE Gen 2 40mm</t>
  </si>
  <si>
    <t>Non Active</t>
  </si>
  <si>
    <t>RETURN WAJAHAT</t>
  </si>
  <si>
    <t>Ipad Pro 13" M4 W+C 1TB</t>
  </si>
  <si>
    <t>Ipad Air 13" 128gb M3 Purple</t>
  </si>
  <si>
    <t>Iwatch Series 10 42mm RoseGold</t>
  </si>
  <si>
    <t>Iwatch Series 10 46mm Black</t>
  </si>
  <si>
    <t>Iwatch Ultra 2</t>
  </si>
  <si>
    <t>Iphone 16 PM BT 512gb</t>
  </si>
  <si>
    <t>Iphone 16 Pro WT 256gb</t>
  </si>
  <si>
    <t>Iphone 16 Pro Black 1TB</t>
  </si>
  <si>
    <t>Samsung S25 Ultra TB 256gb</t>
  </si>
  <si>
    <t>Invoice no 4</t>
  </si>
  <si>
    <t>Tracking 882576156598</t>
  </si>
  <si>
    <t>16/07/2025</t>
  </si>
  <si>
    <t>Serial/Imei</t>
  </si>
  <si>
    <t>jgxh236ynr</t>
  </si>
  <si>
    <t>iphone 16 pro max derest tratinium 512GB</t>
  </si>
  <si>
    <t>non active</t>
  </si>
  <si>
    <t>lfcnfdh4gm</t>
  </si>
  <si>
    <t>ipad pro 13 inch 256GB space black</t>
  </si>
  <si>
    <t>dfxxl59ktx</t>
  </si>
  <si>
    <t>16 pro max natural tratinium 256GB</t>
  </si>
  <si>
    <t>m4x0kt94lw</t>
  </si>
  <si>
    <t>lr14gq6712</t>
  </si>
  <si>
    <t>apple watch ultra 2 49mm black ti</t>
  </si>
  <si>
    <t>cw5df73hpr</t>
  </si>
  <si>
    <t>16 pro max black tratinium 256GB</t>
  </si>
  <si>
    <t>active</t>
  </si>
  <si>
    <t>dnvx6ydw10</t>
  </si>
  <si>
    <t>fyl9g0qd1p</t>
  </si>
  <si>
    <t>16 e black 128GB</t>
  </si>
  <si>
    <t>k3h39o96x9</t>
  </si>
  <si>
    <t>16e Black 128GB</t>
  </si>
  <si>
    <t>16 black 128 gb</t>
  </si>
  <si>
    <t>16 ultra marine 128GB</t>
  </si>
  <si>
    <t>16 pink 128gb</t>
  </si>
  <si>
    <t>lgd46rnvh6</t>
  </si>
  <si>
    <t>hhyg2l1f32</t>
  </si>
  <si>
    <t>cnw3ry4htw</t>
  </si>
  <si>
    <t>16 pro max black tianium 256GB</t>
  </si>
  <si>
    <t>galaxy s25 ultra black tratinium 256GB</t>
  </si>
  <si>
    <t>jt9v2m6l2k</t>
  </si>
  <si>
    <t>16 pro max desert titanium 256GB</t>
  </si>
  <si>
    <t>fk3xwr14q1</t>
  </si>
  <si>
    <t>mwpj22l325</t>
  </si>
  <si>
    <t>16 pro max black titanium 256GB</t>
  </si>
  <si>
    <t>c2clqmpfvf</t>
  </si>
  <si>
    <t>lpyjxm277g</t>
  </si>
  <si>
    <t>mw9qjfr74l</t>
  </si>
  <si>
    <t>jr20k9n9n5</t>
  </si>
  <si>
    <t>dk65dv09mc</t>
  </si>
  <si>
    <t>16 pro max natural titanium 256GB</t>
  </si>
  <si>
    <t>Iphone 16 Plus Pink 256gb (Not For Sale)</t>
  </si>
  <si>
    <t>Iphone 16 PM DT 256GB</t>
  </si>
  <si>
    <t>Iphone 16 Pro DT 128GB</t>
  </si>
  <si>
    <t>Iphone 16 PM BT 256GB</t>
  </si>
  <si>
    <t>Iphone 16 PM BT 512GB</t>
  </si>
  <si>
    <t>Iphone 16 PM NT 256GB</t>
  </si>
  <si>
    <t>Ipad Pro 13" W+C 1TB Black</t>
  </si>
  <si>
    <t>Ipad Pro 11" W+C 256GB Black</t>
  </si>
  <si>
    <t>Ipad A16 128gb W+C Pink</t>
  </si>
  <si>
    <t>Ipad A16 128gb W+C blue</t>
  </si>
  <si>
    <t>Iphone 16 Black 128GB</t>
  </si>
  <si>
    <t>Iphone 16 Plus Pink 128GB NOT FOR SALE</t>
  </si>
  <si>
    <t>Iphone 16 PM WT 256GB</t>
  </si>
  <si>
    <t>Iphone 16 Pro DT 1TB</t>
  </si>
  <si>
    <t>Samsung S25 Ultra TSB 256GB</t>
  </si>
  <si>
    <t>Samsung S25 silver Shadow 128GB</t>
  </si>
  <si>
    <t>Samsung S25 Ultra TG 256gb</t>
  </si>
  <si>
    <t>Invoice no 5</t>
  </si>
  <si>
    <t>Tracking 882884547421</t>
  </si>
  <si>
    <t>21/07/2025</t>
  </si>
  <si>
    <t>Iphone 16 PM NT 512gb</t>
  </si>
  <si>
    <t>Iphonr 16 PM NT 256gb</t>
  </si>
  <si>
    <t>Iphone 16 PRO WT 128gb</t>
  </si>
  <si>
    <t>Iphone 16 PRO WT 512gb</t>
  </si>
  <si>
    <t>Iphone 16 PM WT 512gb</t>
  </si>
  <si>
    <t>Iphone 16 PM BT 1TB</t>
  </si>
  <si>
    <t>Iwatch SE Gen 2 (Not For Sale)</t>
  </si>
  <si>
    <t>Ipad Pro '11" W+C 1TB Black</t>
  </si>
  <si>
    <t>Ipad A16 128GB Blue</t>
  </si>
  <si>
    <t>Ipad A16 128gb Pink</t>
  </si>
  <si>
    <t>Samsung S25 Ultra 512GB TB</t>
  </si>
  <si>
    <t>return</t>
  </si>
  <si>
    <t>Samsung S25 Ultra 256GB TB</t>
  </si>
  <si>
    <t xml:space="preserve">SAMSUNG ACC LOGIN </t>
  </si>
  <si>
    <t>Samsung S25 Ultra 256GB TSB</t>
  </si>
  <si>
    <t>Invoice no 6</t>
  </si>
  <si>
    <t>usa office to dubai</t>
  </si>
  <si>
    <t>Iphone 16 PM BT 256</t>
  </si>
  <si>
    <t>Iphone 16 PM BT 512</t>
  </si>
  <si>
    <t>Iphone 16 PM DT 256</t>
  </si>
  <si>
    <t>iphone 16 PM DT 512</t>
  </si>
  <si>
    <t>Iphone 16 ultramarine 128 gb</t>
  </si>
  <si>
    <t>Iphone pro DT 128gb</t>
  </si>
  <si>
    <t>Invoice no 7</t>
  </si>
  <si>
    <t>galacy s25 ultra titanium black 512GB</t>
  </si>
  <si>
    <t>ipad pro 13 inch 256GB silver</t>
  </si>
  <si>
    <t>16 pro max desert titanium 1tb</t>
  </si>
  <si>
    <t>16 PRO BT 1TB</t>
  </si>
  <si>
    <t>16 PRO BT 128GB</t>
  </si>
  <si>
    <t xml:space="preserve"> non active</t>
  </si>
  <si>
    <t>16 PRO WT 256GB</t>
  </si>
  <si>
    <t>x</t>
  </si>
  <si>
    <t>Iphone 16 PRO BT 1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</si>
</sst>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_([$AED]\ * #,##0.00_);_([$AED]\ * \(#,##0.00\);_([$AED]\ 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Eras Demi ITC"/>
      <family val="2"/>
    </font>
    <font>
      <sz val="11"/>
      <color theme="1"/>
      <name val="Baskerville Old Face"/>
      <family val="1"/>
    </font>
    <font>
      <sz val="11"/>
      <color theme="1"/>
      <name val="Eras Demi ITC"/>
      <family val="2"/>
    </font>
    <font>
      <b/>
      <sz val="11"/>
      <color theme="1"/>
      <name val="Baskerville Old Face"/>
      <family val="1"/>
    </font>
    <font>
      <b/>
      <sz val="11"/>
      <color theme="1"/>
      <name val="Eras Demi ITC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4" fillId="0" borderId="0" xfId="0" applyFont="1"/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5" fillId="0" borderId="0" xfId="0" applyFont="1"/>
    <xf numFmtId="165" fontId="5" fillId="0" borderId="1" xfId="0" applyNumberFormat="1" applyFont="1" applyBorder="1"/>
    <xf numFmtId="1" fontId="5" fillId="0" borderId="0" xfId="0" applyNumberFormat="1" applyFont="1"/>
    <xf numFmtId="0" fontId="6" fillId="0" borderId="0" xfId="0" applyFont="1"/>
    <xf numFmtId="165" fontId="4" fillId="0" borderId="0" xfId="0" applyNumberFormat="1" applyFont="1"/>
    <xf numFmtId="164" fontId="7" fillId="0" borderId="0" xfId="0" applyNumberFormat="1" applyFont="1"/>
    <xf numFmtId="0" fontId="7" fillId="0" borderId="0" xfId="0" applyFont="1"/>
    <xf numFmtId="165" fontId="7" fillId="0" borderId="1" xfId="0" applyNumberFormat="1" applyFont="1" applyBorder="1"/>
    <xf numFmtId="165" fontId="5" fillId="0" borderId="0" xfId="0" applyNumberFormat="1" applyFont="1"/>
    <xf numFmtId="16" fontId="0" fillId="0" borderId="0" xfId="0" applyNumberFormat="1"/>
    <xf numFmtId="164" fontId="4" fillId="0" borderId="0" xfId="0" applyNumberFormat="1" applyFont="1"/>
    <xf numFmtId="164" fontId="0" fillId="0" borderId="0" xfId="0" applyNumberFormat="1"/>
    <xf numFmtId="0" fontId="8" fillId="3" borderId="0" xfId="0" applyFont="1" applyFill="1"/>
    <xf numFmtId="1" fontId="8" fillId="0" borderId="0" xfId="0" applyNumberFormat="1" applyFont="1"/>
    <xf numFmtId="0" fontId="2" fillId="3" borderId="0" xfId="0" applyFont="1" applyFill="1" applyAlignment="1">
      <alignment horizontal="center" vertical="center"/>
    </xf>
    <xf numFmtId="1" fontId="0" fillId="0" borderId="0" xfId="0" applyNumberFormat="1"/>
    <xf numFmtId="1" fontId="0" fillId="4" borderId="0" xfId="0" applyNumberFormat="1" applyFill="1"/>
    <xf numFmtId="0" fontId="0" fillId="4" borderId="0" xfId="0" applyFill="1"/>
    <xf numFmtId="0" fontId="0" fillId="5" borderId="0" xfId="0" applyFill="1"/>
    <xf numFmtId="165" fontId="0" fillId="4" borderId="0" xfId="0" applyNumberFormat="1" applyFill="1"/>
    <xf numFmtId="165" fontId="0" fillId="0" borderId="0" xfId="0" applyNumberFormat="1"/>
    <xf numFmtId="0" fontId="8" fillId="0" borderId="2" xfId="0" applyFont="1" applyBorder="1"/>
    <xf numFmtId="165" fontId="8" fillId="0" borderId="2" xfId="0" applyNumberFormat="1" applyFont="1" applyBorder="1"/>
    <xf numFmtId="0" fontId="2" fillId="3" borderId="0" xfId="0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1" fontId="0" fillId="4" borderId="0" xfId="0" applyNumberFormat="1" applyFill="1" applyAlignment="1">
      <alignment horizontal="left"/>
    </xf>
    <xf numFmtId="1" fontId="8" fillId="3" borderId="0" xfId="0" applyNumberFormat="1" applyFont="1" applyFill="1"/>
    <xf numFmtId="165" fontId="8" fillId="3" borderId="0" xfId="0" applyNumberFormat="1" applyFont="1" applyFill="1"/>
    <xf numFmtId="0" fontId="8" fillId="0" borderId="0" xfId="0" applyFont="1"/>
    <xf numFmtId="165" fontId="2" fillId="0" borderId="0" xfId="0" applyNumberFormat="1" applyFont="1" applyAlignment="1">
      <alignment horizontal="center" vertical="center"/>
    </xf>
    <xf numFmtId="165" fontId="0" fillId="0" borderId="1" xfId="0" applyNumberFormat="1" applyBorder="1"/>
    <xf numFmtId="165" fontId="0" fillId="0" borderId="1" xfId="0" quotePrefix="1" applyNumberFormat="1" applyBorder="1"/>
    <xf numFmtId="1" fontId="0" fillId="5" borderId="0" xfId="0" applyNumberFormat="1" applyFill="1"/>
    <xf numFmtId="165" fontId="0" fillId="5" borderId="1" xfId="0" applyNumberFormat="1" applyFill="1" applyBorder="1"/>
    <xf numFmtId="1" fontId="9" fillId="0" borderId="0" xfId="0" applyNumberFormat="1" applyFont="1"/>
    <xf numFmtId="0" fontId="9" fillId="0" borderId="0" xfId="0" applyFont="1"/>
    <xf numFmtId="165" fontId="9" fillId="0" borderId="1" xfId="0" applyNumberFormat="1" applyFont="1" applyBorder="1"/>
    <xf numFmtId="165" fontId="8" fillId="0" borderId="1" xfId="0" applyNumberFormat="1" applyFont="1" applyBorder="1"/>
    <xf numFmtId="1" fontId="10" fillId="0" borderId="0" xfId="0" applyNumberFormat="1" applyFont="1"/>
    <xf numFmtId="0" fontId="10" fillId="0" borderId="0" xfId="0" applyFont="1"/>
    <xf numFmtId="0" fontId="8" fillId="3" borderId="3" xfId="0" applyFont="1" applyFill="1" applyBorder="1"/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165" fontId="8" fillId="3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165" fontId="12" fillId="0" borderId="3" xfId="0" applyNumberFormat="1" applyFont="1" applyBorder="1"/>
    <xf numFmtId="0" fontId="11" fillId="5" borderId="0" xfId="0" applyFont="1" applyFill="1" applyAlignment="1">
      <alignment horizontal="left" wrapText="1"/>
    </xf>
    <xf numFmtId="0" fontId="11" fillId="5" borderId="0" xfId="0" applyFont="1" applyFill="1" applyAlignment="1">
      <alignment wrapText="1"/>
    </xf>
    <xf numFmtId="165" fontId="12" fillId="5" borderId="3" xfId="0" applyNumberFormat="1" applyFont="1" applyFill="1" applyBorder="1"/>
    <xf numFmtId="1" fontId="11" fillId="0" borderId="0" xfId="0" applyNumberFormat="1" applyFont="1" applyAlignment="1">
      <alignment horizontal="left" wrapText="1"/>
    </xf>
    <xf numFmtId="1" fontId="11" fillId="4" borderId="0" xfId="0" applyNumberFormat="1" applyFont="1" applyFill="1" applyAlignment="1">
      <alignment horizontal="left" wrapText="1"/>
    </xf>
    <xf numFmtId="0" fontId="11" fillId="4" borderId="0" xfId="0" applyFont="1" applyFill="1" applyAlignment="1">
      <alignment wrapText="1"/>
    </xf>
    <xf numFmtId="165" fontId="12" fillId="4" borderId="3" xfId="0" applyNumberFormat="1" applyFont="1" applyFill="1" applyBorder="1"/>
    <xf numFmtId="0" fontId="12" fillId="0" borderId="0" xfId="0" applyFont="1"/>
    <xf numFmtId="0" fontId="13" fillId="0" borderId="0" xfId="0" applyFont="1" applyAlignment="1">
      <alignment horizontal="center" wrapText="1"/>
    </xf>
    <xf numFmtId="1" fontId="13" fillId="4" borderId="0" xfId="0" applyNumberFormat="1" applyFont="1" applyFill="1" applyAlignment="1">
      <alignment horizontal="center" wrapText="1"/>
    </xf>
    <xf numFmtId="0" fontId="13" fillId="4" borderId="0" xfId="0" applyFont="1" applyFill="1" applyAlignment="1">
      <alignment wrapText="1"/>
    </xf>
    <xf numFmtId="1" fontId="13" fillId="0" borderId="0" xfId="0" applyNumberFormat="1" applyFont="1" applyAlignment="1">
      <alignment horizontal="center" wrapText="1"/>
    </xf>
    <xf numFmtId="0" fontId="13" fillId="0" borderId="0" xfId="0" applyFont="1" applyAlignment="1">
      <alignment wrapText="1"/>
    </xf>
    <xf numFmtId="165" fontId="0" fillId="0" borderId="3" xfId="0" applyNumberFormat="1" applyBorder="1"/>
    <xf numFmtId="165" fontId="0" fillId="4" borderId="3" xfId="0" applyNumberFormat="1" applyFill="1" applyBorder="1"/>
    <xf numFmtId="165" fontId="8" fillId="0" borderId="0" xfId="0" applyNumberFormat="1" applyFont="1"/>
    <xf numFmtId="0" fontId="13" fillId="4" borderId="0" xfId="0" applyFont="1" applyFill="1" applyAlignment="1">
      <alignment horizontal="center" wrapText="1"/>
    </xf>
    <xf numFmtId="165" fontId="8" fillId="3" borderId="0" xfId="0" applyNumberFormat="1" applyFont="1" applyFill="1" applyAlignment="1">
      <alignment horizontal="center" vertical="center"/>
    </xf>
    <xf numFmtId="165" fontId="12" fillId="0" borderId="0" xfId="0" applyNumberFormat="1" applyFont="1"/>
    <xf numFmtId="165" fontId="12" fillId="4" borderId="0" xfId="0" applyNumberFormat="1" applyFont="1" applyFill="1"/>
    <xf numFmtId="0" fontId="13" fillId="0" borderId="0" xfId="0" applyFont="1" applyAlignment="1">
      <alignment horizontal="left" wrapText="1"/>
    </xf>
    <xf numFmtId="165" fontId="2" fillId="0" borderId="0" xfId="0" applyNumberFormat="1" applyFont="1"/>
    <xf numFmtId="0" fontId="2" fillId="3" borderId="0" xfId="0" applyFont="1" applyFill="1"/>
    <xf numFmtId="1" fontId="2" fillId="3" borderId="0" xfId="0" applyNumberFormat="1" applyFont="1" applyFill="1"/>
    <xf numFmtId="165" fontId="1" fillId="0" borderId="0" xfId="0" applyNumberFormat="1" applyFont="1"/>
    <xf numFmtId="1" fontId="0" fillId="6" borderId="0" xfId="0" applyNumberFormat="1" applyFill="1"/>
    <xf numFmtId="0" fontId="0" fillId="6" borderId="0" xfId="0" applyFill="1"/>
    <xf numFmtId="165" fontId="0" fillId="6" borderId="1" xfId="0" applyNumberFormat="1" applyFill="1" applyBorder="1"/>
    <xf numFmtId="1" fontId="13" fillId="6" borderId="0" xfId="0" applyNumberFormat="1" applyFont="1" applyFill="1" applyAlignment="1">
      <alignment horizontal="center" wrapText="1"/>
    </xf>
    <xf numFmtId="0" fontId="13" fillId="6" borderId="0" xfId="0" applyFont="1" applyFill="1" applyAlignment="1">
      <alignment wrapText="1"/>
    </xf>
    <xf numFmtId="165" fontId="12" fillId="6" borderId="3" xfId="0" applyNumberFormat="1" applyFont="1" applyFill="1" applyBorder="1"/>
    <xf numFmtId="0" fontId="14" fillId="6" borderId="0" xfId="0" applyFont="1" applyFill="1" applyAlignment="1">
      <alignment wrapText="1"/>
    </xf>
    <xf numFmtId="165" fontId="0" fillId="6" borderId="3" xfId="0" applyNumberFormat="1" applyFill="1" applyBorder="1"/>
    <xf numFmtId="165" fontId="12" fillId="6" borderId="0" xfId="0" applyNumberFormat="1" applyFont="1" applyFill="1"/>
    <xf numFmtId="0" fontId="13" fillId="6" borderId="0" xfId="0" applyFont="1" applyFill="1" applyAlignment="1">
      <alignment horizontal="left" wrapText="1"/>
    </xf>
    <xf numFmtId="165" fontId="1" fillId="6" borderId="0" xfId="0" applyNumberFormat="1" applyFont="1" applyFill="1"/>
    <xf numFmtId="165" fontId="0" fillId="6" borderId="0" xfId="0" applyNumberFormat="1" applyFill="1"/>
    <xf numFmtId="1" fontId="0" fillId="7" borderId="0" xfId="0" applyNumberFormat="1" applyFill="1"/>
    <xf numFmtId="0" fontId="0" fillId="7" borderId="0" xfId="0" applyFill="1"/>
    <xf numFmtId="165" fontId="0" fillId="7" borderId="1" xfId="0" applyNumberFormat="1" applyFill="1" applyBorder="1"/>
    <xf numFmtId="0" fontId="8" fillId="7" borderId="0" xfId="0" applyFont="1" applyFill="1"/>
    <xf numFmtId="1" fontId="13" fillId="8" borderId="0" xfId="0" applyNumberFormat="1" applyFont="1" applyFill="1" applyAlignment="1">
      <alignment horizontal="center" wrapText="1"/>
    </xf>
    <xf numFmtId="0" fontId="13" fillId="8" borderId="0" xfId="0" applyFont="1" applyFill="1" applyAlignment="1">
      <alignment wrapText="1"/>
    </xf>
    <xf numFmtId="165" fontId="0" fillId="8" borderId="3" xfId="0" applyNumberFormat="1" applyFill="1" applyBorder="1"/>
    <xf numFmtId="0" fontId="0" fillId="9" borderId="0" xfId="0" applyFill="1"/>
    <xf numFmtId="0" fontId="0" fillId="10" borderId="0" xfId="0" applyFill="1"/>
    <xf numFmtId="0" fontId="13" fillId="10" borderId="0" xfId="0" applyFont="1" applyFill="1" applyAlignment="1">
      <alignment horizontal="center" wrapText="1"/>
    </xf>
    <xf numFmtId="1" fontId="13" fillId="10" borderId="0" xfId="0" applyNumberFormat="1" applyFont="1" applyFill="1" applyAlignment="1">
      <alignment horizontal="center" wrapText="1"/>
    </xf>
    <xf numFmtId="0" fontId="13" fillId="10" borderId="0" xfId="0" applyFont="1" applyFill="1" applyAlignment="1">
      <alignment wrapText="1"/>
    </xf>
    <xf numFmtId="165" fontId="12" fillId="10" borderId="0" xfId="0" applyNumberFormat="1" applyFont="1" applyFill="1"/>
    <xf numFmtId="0" fontId="13" fillId="11" borderId="0" xfId="0" applyFont="1" applyFill="1" applyAlignment="1">
      <alignment horizontal="center" wrapText="1"/>
    </xf>
    <xf numFmtId="1" fontId="13" fillId="11" borderId="0" xfId="0" applyNumberFormat="1" applyFont="1" applyFill="1" applyAlignment="1">
      <alignment horizontal="center" wrapText="1"/>
    </xf>
    <xf numFmtId="0" fontId="13" fillId="11" borderId="0" xfId="0" applyFont="1" applyFill="1" applyAlignment="1">
      <alignment wrapText="1"/>
    </xf>
    <xf numFmtId="0" fontId="13" fillId="11" borderId="0" xfId="0" applyFont="1" applyFill="1" applyAlignment="1">
      <alignment horizontal="left" wrapText="1"/>
    </xf>
    <xf numFmtId="165" fontId="1" fillId="11" borderId="0" xfId="0" applyNumberFormat="1" applyFont="1" applyFill="1"/>
    <xf numFmtId="164" fontId="3" fillId="2" borderId="0" xfId="0" applyNumberFormat="1" applyFont="1" applyFill="1" applyAlignment="1">
      <alignment horizontal="center"/>
    </xf>
    <xf numFmtId="165" fontId="5" fillId="12" borderId="1" xfId="0" applyNumberFormat="1" applyFont="1" applyFill="1" applyBorder="1"/>
    <xf numFmtId="165" fontId="5" fillId="1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oaib/Downloads/Dubai%20Selling%20List%20(1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labels"/>
      <sheetName val="invoice 1"/>
      <sheetName val="invoice 2"/>
      <sheetName val="invoice 3"/>
      <sheetName val="invoice 4"/>
      <sheetName val="invoice 5"/>
      <sheetName val="invoice 6"/>
      <sheetName val="invoice 7"/>
      <sheetName val="invoice 07"/>
      <sheetName val="Sheet4"/>
      <sheetName val="ASAD WAJAHAT 01"/>
      <sheetName val="ASAD WAJAHAT 02"/>
      <sheetName val="Wajahat invoice 4 &amp;5"/>
      <sheetName val="PROFIT SHEET"/>
      <sheetName val="Return"/>
      <sheetName val="wajahat"/>
      <sheetName val="SAMSUNG"/>
      <sheetName val="Sheet1"/>
      <sheetName val="Sheet2"/>
      <sheetName val="Sheet3"/>
    </sheetNames>
    <sheetDataSet>
      <sheetData sheetId="0"/>
      <sheetData sheetId="1"/>
      <sheetData sheetId="2">
        <row r="60">
          <cell r="F60">
            <v>141530</v>
          </cell>
        </row>
      </sheetData>
      <sheetData sheetId="3">
        <row r="52">
          <cell r="F52">
            <v>117290</v>
          </cell>
        </row>
      </sheetData>
      <sheetData sheetId="4">
        <row r="97">
          <cell r="E97">
            <v>228660</v>
          </cell>
        </row>
      </sheetData>
      <sheetData sheetId="5">
        <row r="79">
          <cell r="E79">
            <v>155410</v>
          </cell>
        </row>
      </sheetData>
      <sheetData sheetId="6">
        <row r="64">
          <cell r="E64">
            <v>111280</v>
          </cell>
        </row>
      </sheetData>
      <sheetData sheetId="7">
        <row r="18">
          <cell r="E18">
            <v>28450</v>
          </cell>
        </row>
      </sheetData>
      <sheetData sheetId="8">
        <row r="57">
          <cell r="E57">
            <v>120650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12">
          <cell r="E12">
            <v>27090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selection activeCell="G18" sqref="G18"/>
    </sheetView>
  </sheetViews>
  <sheetFormatPr defaultRowHeight="15" x14ac:dyDescent="0.25"/>
  <cols>
    <col min="1" max="1" width="11.7109375" style="16" bestFit="1" customWidth="1"/>
    <col min="2" max="2" width="45.42578125" customWidth="1"/>
    <col min="3" max="4" width="25" customWidth="1"/>
    <col min="5" max="5" width="24.85546875" bestFit="1" customWidth="1"/>
    <col min="6" max="6" width="10.7109375" bestFit="1" customWidth="1"/>
  </cols>
  <sheetData>
    <row r="1" spans="1:6" ht="20.25" x14ac:dyDescent="0.3">
      <c r="A1" s="111" t="s">
        <v>0</v>
      </c>
      <c r="B1" s="111"/>
      <c r="C1" s="111"/>
      <c r="D1" s="111"/>
      <c r="E1" s="111"/>
      <c r="F1" s="1"/>
    </row>
    <row r="2" spans="1:6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/>
    </row>
    <row r="3" spans="1:6" x14ac:dyDescent="0.25">
      <c r="A3" s="4">
        <v>45838</v>
      </c>
      <c r="B3" s="5" t="s">
        <v>6</v>
      </c>
      <c r="C3" s="112">
        <f>'[1]invoice 1'!F60</f>
        <v>141530</v>
      </c>
      <c r="D3" s="6"/>
      <c r="E3" s="6">
        <f>C3</f>
        <v>141530</v>
      </c>
      <c r="F3" s="1"/>
    </row>
    <row r="4" spans="1:6" x14ac:dyDescent="0.25">
      <c r="A4" s="4">
        <v>45839</v>
      </c>
      <c r="B4" s="5" t="s">
        <v>7</v>
      </c>
      <c r="C4" s="6"/>
      <c r="D4" s="6">
        <v>100000</v>
      </c>
      <c r="E4" s="6">
        <f>E3-D4</f>
        <v>41530</v>
      </c>
      <c r="F4" s="1"/>
    </row>
    <row r="5" spans="1:6" x14ac:dyDescent="0.25">
      <c r="A5" s="4">
        <v>45839</v>
      </c>
      <c r="B5" s="5" t="s">
        <v>8</v>
      </c>
      <c r="C5" s="6"/>
      <c r="D5" s="6">
        <v>41000</v>
      </c>
      <c r="E5" s="6">
        <f>E4-D5</f>
        <v>530</v>
      </c>
      <c r="F5" s="1"/>
    </row>
    <row r="6" spans="1:6" x14ac:dyDescent="0.25">
      <c r="A6" s="4"/>
      <c r="B6" s="5"/>
      <c r="C6" s="6"/>
      <c r="D6" s="6"/>
      <c r="E6" s="6"/>
      <c r="F6" s="1"/>
    </row>
    <row r="7" spans="1:6" x14ac:dyDescent="0.25">
      <c r="A7" s="4">
        <v>45840</v>
      </c>
      <c r="B7" s="5" t="s">
        <v>9</v>
      </c>
      <c r="C7" s="112">
        <f>'[1]invoice 2'!F52</f>
        <v>117290</v>
      </c>
      <c r="D7" s="6"/>
      <c r="E7" s="6">
        <f>E5+C7</f>
        <v>117820</v>
      </c>
      <c r="F7" s="1"/>
    </row>
    <row r="8" spans="1:6" x14ac:dyDescent="0.25">
      <c r="A8" s="4">
        <v>45842</v>
      </c>
      <c r="B8" s="5" t="s">
        <v>8</v>
      </c>
      <c r="C8" s="6"/>
      <c r="D8" s="6">
        <v>10000</v>
      </c>
      <c r="E8" s="6">
        <f>E7-D8</f>
        <v>107820</v>
      </c>
      <c r="F8" s="1"/>
    </row>
    <row r="9" spans="1:6" x14ac:dyDescent="0.25">
      <c r="A9" s="4">
        <v>45842</v>
      </c>
      <c r="B9" s="5" t="s">
        <v>10</v>
      </c>
      <c r="C9" s="6"/>
      <c r="D9" s="112">
        <f>[1]Return!E12</f>
        <v>27090</v>
      </c>
      <c r="E9" s="6">
        <f>E8-D9</f>
        <v>80730</v>
      </c>
      <c r="F9" s="1"/>
    </row>
    <row r="10" spans="1:6" x14ac:dyDescent="0.25">
      <c r="A10" s="4">
        <v>45845</v>
      </c>
      <c r="B10" s="5" t="s">
        <v>11</v>
      </c>
      <c r="C10" s="6"/>
      <c r="D10" s="6">
        <v>49242.42</v>
      </c>
      <c r="E10" s="6">
        <f>E9-D10</f>
        <v>31487.58</v>
      </c>
      <c r="F10" s="1"/>
    </row>
    <row r="11" spans="1:6" x14ac:dyDescent="0.25">
      <c r="A11" s="4"/>
      <c r="B11" s="5"/>
      <c r="C11" s="6"/>
      <c r="D11" s="6"/>
      <c r="E11" s="6"/>
      <c r="F11" s="1"/>
    </row>
    <row r="12" spans="1:6" x14ac:dyDescent="0.25">
      <c r="A12" s="4">
        <v>45828</v>
      </c>
      <c r="B12" s="7" t="s">
        <v>12</v>
      </c>
      <c r="C12" s="6"/>
      <c r="D12" s="6">
        <f>3.678*386</f>
        <v>1419.7080000000001</v>
      </c>
      <c r="E12" s="6">
        <f>E10-D12</f>
        <v>30067.872000000003</v>
      </c>
      <c r="F12" s="1"/>
    </row>
    <row r="13" spans="1:6" x14ac:dyDescent="0.25">
      <c r="A13" s="4">
        <v>45831</v>
      </c>
      <c r="B13" s="7" t="s">
        <v>13</v>
      </c>
      <c r="C13" s="6"/>
      <c r="D13" s="6">
        <f>3.678*525</f>
        <v>1930.95</v>
      </c>
      <c r="E13" s="6">
        <f>E12-D13</f>
        <v>28136.922000000002</v>
      </c>
      <c r="F13" s="8"/>
    </row>
    <row r="14" spans="1:6" x14ac:dyDescent="0.25">
      <c r="A14" s="4">
        <v>45832</v>
      </c>
      <c r="B14" s="7" t="s">
        <v>14</v>
      </c>
      <c r="C14" s="6"/>
      <c r="D14" s="6">
        <f>3.678*507</f>
        <v>1864.7459999999999</v>
      </c>
      <c r="E14" s="6">
        <f t="shared" ref="E14:E20" si="0">E13-D14</f>
        <v>26272.176000000003</v>
      </c>
      <c r="F14" s="1"/>
    </row>
    <row r="15" spans="1:6" x14ac:dyDescent="0.25">
      <c r="A15" s="4">
        <v>45845</v>
      </c>
      <c r="B15" s="7" t="s">
        <v>15</v>
      </c>
      <c r="C15" s="6"/>
      <c r="D15" s="6">
        <f>650*3</f>
        <v>1950</v>
      </c>
      <c r="E15" s="6">
        <f t="shared" si="0"/>
        <v>24322.176000000003</v>
      </c>
      <c r="F15" s="1"/>
    </row>
    <row r="16" spans="1:6" x14ac:dyDescent="0.25">
      <c r="A16" s="4">
        <v>45841</v>
      </c>
      <c r="B16" s="7" t="s">
        <v>16</v>
      </c>
      <c r="C16" s="6"/>
      <c r="D16" s="6">
        <f>3.678*39</f>
        <v>143.44200000000001</v>
      </c>
      <c r="E16" s="6">
        <f t="shared" si="0"/>
        <v>24178.734000000004</v>
      </c>
      <c r="F16" s="1"/>
    </row>
    <row r="17" spans="1:6" x14ac:dyDescent="0.25">
      <c r="A17" s="4">
        <v>45845</v>
      </c>
      <c r="B17" s="7" t="s">
        <v>17</v>
      </c>
      <c r="C17" s="6"/>
      <c r="D17" s="6">
        <f>500000/79.2</f>
        <v>6313.1313131313127</v>
      </c>
      <c r="E17" s="6">
        <f t="shared" si="0"/>
        <v>17865.602686868689</v>
      </c>
      <c r="F17" s="1"/>
    </row>
    <row r="18" spans="1:6" x14ac:dyDescent="0.25">
      <c r="A18" s="4">
        <v>45845</v>
      </c>
      <c r="B18" s="7" t="s">
        <v>18</v>
      </c>
      <c r="C18" s="6"/>
      <c r="D18" s="6">
        <f>646500/79.2</f>
        <v>8162.878787878788</v>
      </c>
      <c r="E18" s="6">
        <f t="shared" si="0"/>
        <v>9702.7238989899015</v>
      </c>
      <c r="F18" s="1"/>
    </row>
    <row r="19" spans="1:6" x14ac:dyDescent="0.25">
      <c r="A19" s="4">
        <v>45846</v>
      </c>
      <c r="B19" s="7" t="s">
        <v>17</v>
      </c>
      <c r="C19" s="6"/>
      <c r="D19" s="6">
        <f>500000/79.2</f>
        <v>6313.1313131313127</v>
      </c>
      <c r="E19" s="6">
        <f t="shared" si="0"/>
        <v>3389.5925858585888</v>
      </c>
      <c r="F19" s="1"/>
    </row>
    <row r="20" spans="1:6" x14ac:dyDescent="0.25">
      <c r="A20" s="4">
        <v>45848</v>
      </c>
      <c r="B20" s="7" t="s">
        <v>19</v>
      </c>
      <c r="C20" s="6"/>
      <c r="D20" s="6">
        <f>268450/79.2</f>
        <v>3389.5202020202019</v>
      </c>
      <c r="E20" s="6">
        <f t="shared" si="0"/>
        <v>7.2383838386940624E-2</v>
      </c>
      <c r="F20" s="1"/>
    </row>
    <row r="21" spans="1:6" x14ac:dyDescent="0.25">
      <c r="A21" s="4"/>
      <c r="B21" s="7"/>
      <c r="C21" s="6"/>
      <c r="D21" s="6"/>
      <c r="E21" s="6"/>
      <c r="F21" s="1"/>
    </row>
    <row r="22" spans="1:6" x14ac:dyDescent="0.25">
      <c r="A22" s="4">
        <v>45848</v>
      </c>
      <c r="B22" s="5" t="s">
        <v>20</v>
      </c>
      <c r="C22" s="113">
        <f>'[1]invoice 3'!E97</f>
        <v>228660</v>
      </c>
      <c r="D22" s="6"/>
      <c r="E22" s="6">
        <f>E20+C22</f>
        <v>228660.07238383839</v>
      </c>
      <c r="F22" s="1"/>
    </row>
    <row r="23" spans="1:6" x14ac:dyDescent="0.25">
      <c r="A23" s="4">
        <v>45849</v>
      </c>
      <c r="B23" s="5" t="s">
        <v>8</v>
      </c>
      <c r="C23" s="6"/>
      <c r="D23" s="6">
        <v>100000</v>
      </c>
      <c r="E23" s="6">
        <f>E22-D23</f>
        <v>128660.07238383839</v>
      </c>
      <c r="F23" s="1"/>
    </row>
    <row r="24" spans="1:6" x14ac:dyDescent="0.25">
      <c r="A24" s="4">
        <v>45850</v>
      </c>
      <c r="B24" s="7" t="s">
        <v>21</v>
      </c>
      <c r="C24" s="6"/>
      <c r="D24" s="6">
        <v>100000</v>
      </c>
      <c r="E24" s="6">
        <f>E23-D24</f>
        <v>28660.072383838386</v>
      </c>
      <c r="F24" s="9"/>
    </row>
    <row r="25" spans="1:6" x14ac:dyDescent="0.25">
      <c r="A25" s="4"/>
      <c r="B25" s="5" t="s">
        <v>22</v>
      </c>
      <c r="C25" s="6"/>
      <c r="D25" s="5">
        <f>500*3.678</f>
        <v>1839</v>
      </c>
      <c r="E25" s="6">
        <f>E24-D25</f>
        <v>26821.072383838386</v>
      </c>
      <c r="F25" s="1"/>
    </row>
    <row r="26" spans="1:6" x14ac:dyDescent="0.25">
      <c r="A26" s="4"/>
      <c r="B26" s="5" t="s">
        <v>23</v>
      </c>
      <c r="C26" s="6"/>
      <c r="D26" s="5">
        <f>500*3.678</f>
        <v>1839</v>
      </c>
      <c r="E26" s="6">
        <f t="shared" ref="E26:E29" si="1">E25-D26</f>
        <v>24982.072383838386</v>
      </c>
      <c r="F26" s="1"/>
    </row>
    <row r="27" spans="1:6" x14ac:dyDescent="0.25">
      <c r="A27" s="4"/>
      <c r="B27" s="5" t="s">
        <v>24</v>
      </c>
      <c r="C27" s="6"/>
      <c r="D27" s="5">
        <f>350*3.678</f>
        <v>1287.3</v>
      </c>
      <c r="E27" s="6">
        <f t="shared" si="1"/>
        <v>23694.772383838386</v>
      </c>
      <c r="F27" s="1"/>
    </row>
    <row r="28" spans="1:6" x14ac:dyDescent="0.25">
      <c r="A28" s="4"/>
      <c r="B28" s="7" t="s">
        <v>15</v>
      </c>
      <c r="C28" s="6"/>
      <c r="D28" s="5">
        <f>3*650</f>
        <v>1950</v>
      </c>
      <c r="E28" s="6">
        <f t="shared" si="1"/>
        <v>21744.772383838386</v>
      </c>
      <c r="F28" s="1"/>
    </row>
    <row r="29" spans="1:6" x14ac:dyDescent="0.25">
      <c r="A29" s="4"/>
      <c r="B29" s="5"/>
      <c r="C29" s="6"/>
      <c r="D29" s="6">
        <v>21745</v>
      </c>
      <c r="E29" s="6">
        <f t="shared" si="1"/>
        <v>-0.22761616161369602</v>
      </c>
      <c r="F29" s="1" t="s">
        <v>25</v>
      </c>
    </row>
    <row r="30" spans="1:6" x14ac:dyDescent="0.25">
      <c r="A30" s="4">
        <v>45854</v>
      </c>
      <c r="B30" s="5" t="s">
        <v>26</v>
      </c>
      <c r="C30" s="112">
        <f>'[1]invoice 4'!E79</f>
        <v>155410</v>
      </c>
      <c r="D30" s="6"/>
      <c r="E30" s="6">
        <f>E29+C30</f>
        <v>155409.7723838384</v>
      </c>
      <c r="F30" s="1"/>
    </row>
    <row r="31" spans="1:6" x14ac:dyDescent="0.25">
      <c r="A31" s="4">
        <v>45857</v>
      </c>
      <c r="B31" s="5" t="s">
        <v>28</v>
      </c>
      <c r="C31" s="6"/>
      <c r="D31" s="6">
        <v>100000</v>
      </c>
      <c r="E31" s="6">
        <f>E30-D31</f>
        <v>55409.772383838397</v>
      </c>
      <c r="F31" s="1"/>
    </row>
    <row r="32" spans="1:6" x14ac:dyDescent="0.25">
      <c r="A32" s="4">
        <v>45860</v>
      </c>
      <c r="B32" s="5" t="s">
        <v>29</v>
      </c>
      <c r="C32" s="6"/>
      <c r="D32" s="6">
        <v>50000</v>
      </c>
      <c r="E32" s="6">
        <f>E31-D32</f>
        <v>5409.7723838383972</v>
      </c>
      <c r="F32" s="1"/>
    </row>
    <row r="33" spans="1:6" x14ac:dyDescent="0.25">
      <c r="A33" s="4"/>
      <c r="B33" s="5"/>
      <c r="C33" s="6"/>
      <c r="D33" s="6"/>
      <c r="E33" s="6"/>
      <c r="F33" s="1"/>
    </row>
    <row r="34" spans="1:6" x14ac:dyDescent="0.25">
      <c r="A34" s="4">
        <v>45859</v>
      </c>
      <c r="B34" s="5" t="s">
        <v>30</v>
      </c>
      <c r="C34" s="112">
        <f>'[1]invoice 5'!E64</f>
        <v>111280</v>
      </c>
      <c r="D34" s="6"/>
      <c r="E34" s="6">
        <f>E32+C34</f>
        <v>116689.7723838384</v>
      </c>
      <c r="F34" s="1"/>
    </row>
    <row r="35" spans="1:6" x14ac:dyDescent="0.25">
      <c r="A35" s="4">
        <v>45859</v>
      </c>
      <c r="B35" s="5" t="s">
        <v>31</v>
      </c>
      <c r="C35" s="112">
        <f>'[1]invoice 6'!E18</f>
        <v>28450</v>
      </c>
      <c r="D35" s="6"/>
      <c r="E35" s="6">
        <f>+E34+C35</f>
        <v>145139.7723838384</v>
      </c>
      <c r="F35" s="1"/>
    </row>
    <row r="36" spans="1:6" x14ac:dyDescent="0.25">
      <c r="A36" s="4">
        <v>45860</v>
      </c>
      <c r="B36" s="5" t="s">
        <v>32</v>
      </c>
      <c r="C36" s="112">
        <f>'[1]invoice 7'!E57</f>
        <v>120650</v>
      </c>
      <c r="D36" s="6"/>
      <c r="E36" s="6">
        <f>+E35+C36</f>
        <v>265789.77238383843</v>
      </c>
      <c r="F36" s="1"/>
    </row>
    <row r="37" spans="1:6" x14ac:dyDescent="0.25">
      <c r="A37" s="4">
        <v>45862</v>
      </c>
      <c r="B37" s="5" t="s">
        <v>34</v>
      </c>
      <c r="C37" s="6"/>
      <c r="D37" s="6">
        <v>152783.20800000001</v>
      </c>
      <c r="E37" s="6">
        <f>E36-D37</f>
        <v>113006.56438383841</v>
      </c>
      <c r="F37" s="1"/>
    </row>
    <row r="38" spans="1:6" x14ac:dyDescent="0.25">
      <c r="A38" s="4">
        <v>45864</v>
      </c>
      <c r="B38" s="5" t="s">
        <v>36</v>
      </c>
      <c r="C38" s="6"/>
      <c r="D38" s="6">
        <f>1700000/79.8</f>
        <v>21303.258145363408</v>
      </c>
      <c r="E38" s="6">
        <f>E37-D38</f>
        <v>91703.306238475008</v>
      </c>
      <c r="F38" s="1"/>
    </row>
    <row r="39" spans="1:6" x14ac:dyDescent="0.25">
      <c r="A39" s="4"/>
      <c r="B39" s="5"/>
      <c r="C39" s="6"/>
      <c r="D39" s="6"/>
      <c r="E39" s="6"/>
      <c r="F39" s="1"/>
    </row>
    <row r="40" spans="1:6" x14ac:dyDescent="0.25">
      <c r="A40" s="10"/>
      <c r="B40" s="11"/>
      <c r="C40" s="12">
        <f>SUM(C3:C38)</f>
        <v>903270</v>
      </c>
      <c r="D40" s="12">
        <f>SUM(D3:D38)</f>
        <v>811566.69376152498</v>
      </c>
      <c r="E40" s="12">
        <f>C40-D40</f>
        <v>91703.306238475023</v>
      </c>
      <c r="F40" s="1"/>
    </row>
    <row r="41" spans="1:6" x14ac:dyDescent="0.25">
      <c r="A41" s="4"/>
      <c r="B41" s="5"/>
      <c r="C41" s="5"/>
      <c r="D41" s="5"/>
      <c r="E41" s="13"/>
      <c r="F41" s="1"/>
    </row>
    <row r="42" spans="1:6" x14ac:dyDescent="0.25">
      <c r="A42" s="4"/>
      <c r="B42" s="5"/>
      <c r="C42" s="13"/>
      <c r="D42" s="5"/>
      <c r="E42" s="13"/>
      <c r="F42" s="1"/>
    </row>
    <row r="43" spans="1:6" x14ac:dyDescent="0.25">
      <c r="A43" s="4"/>
      <c r="B43" s="5"/>
      <c r="C43" s="5"/>
      <c r="D43" s="5"/>
      <c r="E43" s="5"/>
      <c r="F43" s="1"/>
    </row>
    <row r="44" spans="1:6" x14ac:dyDescent="0.25">
      <c r="A44" s="4"/>
      <c r="C44">
        <v>11907500</v>
      </c>
      <c r="D44" t="s">
        <v>33</v>
      </c>
      <c r="E44" s="13"/>
      <c r="F44" s="1"/>
    </row>
    <row r="45" spans="1:6" x14ac:dyDescent="0.25">
      <c r="A45" s="4"/>
      <c r="C45">
        <v>660000</v>
      </c>
      <c r="D45" t="s">
        <v>35</v>
      </c>
      <c r="E45" s="5"/>
      <c r="F45" s="1"/>
    </row>
    <row r="46" spans="1:6" x14ac:dyDescent="0.25">
      <c r="A46" s="4"/>
      <c r="C46">
        <v>-375400</v>
      </c>
      <c r="D46" t="s">
        <v>37</v>
      </c>
      <c r="E46" s="13"/>
    </row>
    <row r="47" spans="1:6" x14ac:dyDescent="0.25">
      <c r="A47" s="15"/>
      <c r="E47" s="1"/>
    </row>
    <row r="48" spans="1:6" x14ac:dyDescent="0.25">
      <c r="A48" s="15"/>
      <c r="B48" s="1"/>
      <c r="C48">
        <f>SUM(C44:C46)</f>
        <v>12192100</v>
      </c>
      <c r="D48" s="12">
        <f>C48/79.8</f>
        <v>152783.20802005014</v>
      </c>
      <c r="E48" s="1"/>
    </row>
    <row r="49" spans="1:5" x14ac:dyDescent="0.25">
      <c r="A49" s="15"/>
      <c r="B49" s="1"/>
      <c r="C49" s="1"/>
      <c r="D49" s="1"/>
      <c r="E49" s="1"/>
    </row>
    <row r="50" spans="1:5" x14ac:dyDescent="0.25">
      <c r="A50" s="15"/>
      <c r="B50" s="1"/>
      <c r="C50" s="1"/>
      <c r="D50" s="1"/>
      <c r="E50" s="1"/>
    </row>
    <row r="51" spans="1:5" x14ac:dyDescent="0.25">
      <c r="A51" s="15"/>
      <c r="B51" s="1"/>
      <c r="C51" s="1" t="s">
        <v>39</v>
      </c>
      <c r="D51" s="1" t="s">
        <v>40</v>
      </c>
      <c r="E51" s="1" t="s">
        <v>41</v>
      </c>
    </row>
    <row r="52" spans="1:5" x14ac:dyDescent="0.25">
      <c r="A52" s="15"/>
      <c r="B52" s="1"/>
      <c r="C52" s="14">
        <v>45864</v>
      </c>
      <c r="D52">
        <v>751031</v>
      </c>
      <c r="E52">
        <v>251000</v>
      </c>
    </row>
    <row r="53" spans="1:5" x14ac:dyDescent="0.25">
      <c r="A53" s="15"/>
      <c r="B53" s="1"/>
      <c r="C53" s="14">
        <v>45864</v>
      </c>
      <c r="D53">
        <v>290952</v>
      </c>
      <c r="E53">
        <v>248000</v>
      </c>
    </row>
    <row r="54" spans="1:5" x14ac:dyDescent="0.25">
      <c r="A54" s="15"/>
      <c r="B54" s="1"/>
      <c r="C54" s="14">
        <v>45864</v>
      </c>
      <c r="D54">
        <v>229691</v>
      </c>
      <c r="E54">
        <v>247000</v>
      </c>
    </row>
    <row r="55" spans="1:5" x14ac:dyDescent="0.25">
      <c r="A55" s="15"/>
      <c r="B55" s="1"/>
      <c r="C55" s="14">
        <v>45864</v>
      </c>
      <c r="D55">
        <v>276089</v>
      </c>
      <c r="E55">
        <v>253000</v>
      </c>
    </row>
    <row r="56" spans="1:5" x14ac:dyDescent="0.25">
      <c r="A56" s="15"/>
      <c r="B56" s="1"/>
      <c r="C56" s="14">
        <v>45864</v>
      </c>
      <c r="D56">
        <v>207341</v>
      </c>
      <c r="E56">
        <v>49000</v>
      </c>
    </row>
    <row r="57" spans="1:5" x14ac:dyDescent="0.25">
      <c r="A57" s="15"/>
      <c r="B57" s="1"/>
      <c r="C57" s="14">
        <v>45864</v>
      </c>
      <c r="D57">
        <v>692459</v>
      </c>
      <c r="E57">
        <v>239000</v>
      </c>
    </row>
    <row r="58" spans="1:5" x14ac:dyDescent="0.25">
      <c r="C58" s="14">
        <v>45864</v>
      </c>
      <c r="D58">
        <v>320125</v>
      </c>
      <c r="E58">
        <v>261000</v>
      </c>
    </row>
    <row r="59" spans="1:5" x14ac:dyDescent="0.25">
      <c r="C59" s="14">
        <v>45864</v>
      </c>
      <c r="D59">
        <v>135111</v>
      </c>
      <c r="E59">
        <v>152000</v>
      </c>
    </row>
    <row r="62" spans="1:5" x14ac:dyDescent="0.25">
      <c r="D62">
        <v>79.8</v>
      </c>
      <c r="E62">
        <f>SUM(E52:E61)</f>
        <v>1700000</v>
      </c>
    </row>
    <row r="63" spans="1:5" x14ac:dyDescent="0.25">
      <c r="E63" s="12">
        <f>E62/D62</f>
        <v>21303.258145363408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"/>
  <sheetViews>
    <sheetView workbookViewId="0">
      <selection activeCell="B3" sqref="B3"/>
    </sheetView>
  </sheetViews>
  <sheetFormatPr defaultRowHeight="15" x14ac:dyDescent="0.25"/>
  <cols>
    <col min="1" max="1" width="5.5703125" bestFit="1" customWidth="1"/>
    <col min="2" max="2" width="23.28515625" customWidth="1"/>
    <col min="3" max="3" width="31.28515625" customWidth="1"/>
    <col min="4" max="4" width="20.42578125" customWidth="1"/>
    <col min="5" max="5" width="0" hidden="1" customWidth="1"/>
    <col min="6" max="6" width="17.85546875" bestFit="1" customWidth="1"/>
    <col min="7" max="7" width="46" style="20" customWidth="1"/>
    <col min="8" max="8" width="34.28515625" customWidth="1"/>
    <col min="9" max="10" width="12" customWidth="1"/>
    <col min="11" max="11" width="18.28515625" customWidth="1"/>
    <col min="13" max="13" width="22.140625" customWidth="1"/>
    <col min="14" max="14" width="29.28515625" bestFit="1" customWidth="1"/>
    <col min="15" max="15" width="17.42578125" bestFit="1" customWidth="1"/>
  </cols>
  <sheetData>
    <row r="1" spans="1:8" x14ac:dyDescent="0.25">
      <c r="A1" s="17" t="s">
        <v>42</v>
      </c>
      <c r="B1" s="17"/>
      <c r="C1" s="17"/>
      <c r="D1" s="17" t="s">
        <v>43</v>
      </c>
      <c r="E1" s="17"/>
      <c r="F1" s="17"/>
      <c r="G1" s="18"/>
    </row>
    <row r="2" spans="1:8" x14ac:dyDescent="0.25">
      <c r="A2" s="19" t="s">
        <v>44</v>
      </c>
      <c r="B2" s="19" t="s">
        <v>45</v>
      </c>
      <c r="C2" s="19" t="s">
        <v>46</v>
      </c>
      <c r="D2" s="19" t="s">
        <v>47</v>
      </c>
      <c r="E2" s="19" t="s">
        <v>48</v>
      </c>
      <c r="F2" s="19" t="s">
        <v>27</v>
      </c>
    </row>
    <row r="3" spans="1:8" x14ac:dyDescent="0.25">
      <c r="A3">
        <v>1</v>
      </c>
      <c r="B3" s="21">
        <v>356706680597517</v>
      </c>
      <c r="C3" s="22" t="s">
        <v>49</v>
      </c>
      <c r="D3" s="22" t="s">
        <v>50</v>
      </c>
      <c r="E3" s="23">
        <v>2450</v>
      </c>
      <c r="F3" s="24">
        <f t="shared" ref="F3:F9" si="0">E3</f>
        <v>2450</v>
      </c>
    </row>
    <row r="4" spans="1:8" x14ac:dyDescent="0.25">
      <c r="A4">
        <f t="shared" ref="A4:A58" si="1">+A3+1</f>
        <v>2</v>
      </c>
      <c r="B4" s="20">
        <v>356706680685288</v>
      </c>
      <c r="C4" t="s">
        <v>49</v>
      </c>
      <c r="D4" t="s">
        <v>50</v>
      </c>
      <c r="E4">
        <v>2450</v>
      </c>
      <c r="F4" s="25">
        <f t="shared" si="0"/>
        <v>2450</v>
      </c>
    </row>
    <row r="5" spans="1:8" x14ac:dyDescent="0.25">
      <c r="A5">
        <f t="shared" si="1"/>
        <v>3</v>
      </c>
      <c r="B5" s="21">
        <v>355767499213655</v>
      </c>
      <c r="C5" s="22" t="s">
        <v>49</v>
      </c>
      <c r="D5" s="22" t="s">
        <v>50</v>
      </c>
      <c r="E5" s="23">
        <v>2450</v>
      </c>
      <c r="F5" s="24">
        <f t="shared" si="0"/>
        <v>2450</v>
      </c>
    </row>
    <row r="6" spans="1:8" x14ac:dyDescent="0.25">
      <c r="A6">
        <f t="shared" si="1"/>
        <v>4</v>
      </c>
      <c r="B6" s="20">
        <v>356706681465516</v>
      </c>
      <c r="C6" t="s">
        <v>49</v>
      </c>
      <c r="D6" t="s">
        <v>50</v>
      </c>
      <c r="E6">
        <v>2450</v>
      </c>
      <c r="F6" s="25">
        <f t="shared" si="0"/>
        <v>2450</v>
      </c>
    </row>
    <row r="7" spans="1:8" x14ac:dyDescent="0.25">
      <c r="A7">
        <f t="shared" si="1"/>
        <v>5</v>
      </c>
      <c r="B7" s="20">
        <v>355767497823828</v>
      </c>
      <c r="C7" t="s">
        <v>49</v>
      </c>
      <c r="D7" t="s">
        <v>50</v>
      </c>
      <c r="E7">
        <v>2450</v>
      </c>
      <c r="F7" s="25">
        <f t="shared" si="0"/>
        <v>2450</v>
      </c>
    </row>
    <row r="8" spans="1:8" x14ac:dyDescent="0.25">
      <c r="A8">
        <f t="shared" si="1"/>
        <v>6</v>
      </c>
      <c r="B8" s="20">
        <v>356706680675412</v>
      </c>
      <c r="C8" t="s">
        <v>49</v>
      </c>
      <c r="D8" t="s">
        <v>50</v>
      </c>
      <c r="E8">
        <v>2450</v>
      </c>
      <c r="F8" s="25">
        <f t="shared" si="0"/>
        <v>2450</v>
      </c>
    </row>
    <row r="9" spans="1:8" x14ac:dyDescent="0.25">
      <c r="A9">
        <f t="shared" si="1"/>
        <v>7</v>
      </c>
      <c r="B9" s="20">
        <v>355767492688911</v>
      </c>
      <c r="C9" t="s">
        <v>49</v>
      </c>
      <c r="D9" t="s">
        <v>50</v>
      </c>
      <c r="E9">
        <v>2450</v>
      </c>
      <c r="F9" s="25">
        <f t="shared" si="0"/>
        <v>2450</v>
      </c>
      <c r="H9" s="20"/>
    </row>
    <row r="10" spans="1:8" x14ac:dyDescent="0.25">
      <c r="A10">
        <f t="shared" si="1"/>
        <v>8</v>
      </c>
      <c r="B10" s="21">
        <v>353357700012807</v>
      </c>
      <c r="C10" s="22" t="s">
        <v>51</v>
      </c>
      <c r="D10" s="22" t="s">
        <v>52</v>
      </c>
      <c r="E10" s="23">
        <v>3350</v>
      </c>
      <c r="F10" s="24">
        <v>3350</v>
      </c>
      <c r="H10" s="20"/>
    </row>
    <row r="11" spans="1:8" x14ac:dyDescent="0.25">
      <c r="A11">
        <f t="shared" si="1"/>
        <v>9</v>
      </c>
      <c r="B11" s="21">
        <v>351657590257061</v>
      </c>
      <c r="C11" s="22" t="s">
        <v>51</v>
      </c>
      <c r="D11" s="22" t="s">
        <v>52</v>
      </c>
      <c r="E11" s="23">
        <v>3350</v>
      </c>
      <c r="F11" s="24">
        <v>3350</v>
      </c>
      <c r="H11" s="20"/>
    </row>
    <row r="12" spans="1:8" x14ac:dyDescent="0.25">
      <c r="A12">
        <f t="shared" si="1"/>
        <v>10</v>
      </c>
      <c r="B12" s="21">
        <v>351657591022787</v>
      </c>
      <c r="C12" s="22" t="s">
        <v>51</v>
      </c>
      <c r="D12" s="22" t="s">
        <v>52</v>
      </c>
      <c r="E12" s="23">
        <v>3350</v>
      </c>
      <c r="F12" s="24">
        <v>3350</v>
      </c>
    </row>
    <row r="13" spans="1:8" x14ac:dyDescent="0.25">
      <c r="A13">
        <f t="shared" si="1"/>
        <v>11</v>
      </c>
      <c r="B13" s="20">
        <v>354895821873820</v>
      </c>
      <c r="C13" t="s">
        <v>53</v>
      </c>
      <c r="D13" t="s">
        <v>50</v>
      </c>
      <c r="E13">
        <v>3600</v>
      </c>
      <c r="F13" s="25">
        <f>E13</f>
        <v>3600</v>
      </c>
    </row>
    <row r="14" spans="1:8" x14ac:dyDescent="0.25">
      <c r="A14">
        <f t="shared" si="1"/>
        <v>12</v>
      </c>
      <c r="B14" s="20">
        <v>356334540800631</v>
      </c>
      <c r="C14" t="s">
        <v>53</v>
      </c>
      <c r="D14" t="s">
        <v>50</v>
      </c>
      <c r="E14">
        <v>3600</v>
      </c>
      <c r="F14" s="25">
        <f>E14</f>
        <v>3600</v>
      </c>
    </row>
    <row r="15" spans="1:8" x14ac:dyDescent="0.25">
      <c r="A15">
        <f t="shared" si="1"/>
        <v>13</v>
      </c>
      <c r="B15" s="20">
        <v>356334540057646</v>
      </c>
      <c r="C15" t="s">
        <v>53</v>
      </c>
      <c r="D15" t="s">
        <v>50</v>
      </c>
      <c r="E15">
        <v>3600</v>
      </c>
      <c r="F15" s="25">
        <f>E15</f>
        <v>3600</v>
      </c>
    </row>
    <row r="16" spans="1:8" x14ac:dyDescent="0.25">
      <c r="A16">
        <f t="shared" si="1"/>
        <v>14</v>
      </c>
      <c r="B16" s="20">
        <v>356334540393819</v>
      </c>
      <c r="C16" t="s">
        <v>53</v>
      </c>
      <c r="D16" t="s">
        <v>50</v>
      </c>
      <c r="E16">
        <v>3600</v>
      </c>
      <c r="F16" s="25">
        <f>E16</f>
        <v>3600</v>
      </c>
    </row>
    <row r="17" spans="1:12" x14ac:dyDescent="0.25">
      <c r="A17">
        <f t="shared" si="1"/>
        <v>15</v>
      </c>
      <c r="B17" s="20">
        <v>350307390701337</v>
      </c>
      <c r="C17" t="s">
        <v>53</v>
      </c>
      <c r="D17" t="s">
        <v>50</v>
      </c>
      <c r="E17">
        <v>3600</v>
      </c>
      <c r="F17" s="25">
        <f>E17</f>
        <v>3600</v>
      </c>
    </row>
    <row r="18" spans="1:12" x14ac:dyDescent="0.25">
      <c r="A18">
        <f t="shared" si="1"/>
        <v>16</v>
      </c>
      <c r="B18" s="21">
        <v>356334540026294</v>
      </c>
      <c r="C18" s="22" t="s">
        <v>53</v>
      </c>
      <c r="D18" s="22" t="s">
        <v>52</v>
      </c>
      <c r="E18" s="23">
        <v>3600</v>
      </c>
      <c r="F18" s="24">
        <v>3600</v>
      </c>
    </row>
    <row r="19" spans="1:12" x14ac:dyDescent="0.25">
      <c r="A19">
        <f t="shared" si="1"/>
        <v>17</v>
      </c>
      <c r="B19" s="20">
        <v>351888970203918</v>
      </c>
      <c r="C19" t="s">
        <v>54</v>
      </c>
      <c r="D19" t="s">
        <v>50</v>
      </c>
      <c r="E19">
        <v>1400</v>
      </c>
      <c r="F19" s="25">
        <f>E19-20</f>
        <v>1380</v>
      </c>
    </row>
    <row r="20" spans="1:12" x14ac:dyDescent="0.25">
      <c r="A20">
        <f t="shared" si="1"/>
        <v>18</v>
      </c>
      <c r="B20" s="20">
        <v>354035830340640</v>
      </c>
      <c r="C20" t="s">
        <v>55</v>
      </c>
      <c r="D20" t="s">
        <v>56</v>
      </c>
      <c r="E20">
        <v>1550</v>
      </c>
      <c r="F20" s="25">
        <v>1490</v>
      </c>
    </row>
    <row r="21" spans="1:12" x14ac:dyDescent="0.25">
      <c r="A21">
        <f t="shared" si="1"/>
        <v>19</v>
      </c>
      <c r="B21" s="20">
        <v>353484627603359</v>
      </c>
      <c r="C21" t="s">
        <v>57</v>
      </c>
      <c r="D21" t="s">
        <v>50</v>
      </c>
      <c r="E21">
        <v>2450</v>
      </c>
      <c r="F21" s="25">
        <v>2390</v>
      </c>
    </row>
    <row r="22" spans="1:12" x14ac:dyDescent="0.25">
      <c r="A22">
        <f t="shared" si="1"/>
        <v>20</v>
      </c>
      <c r="B22" s="20">
        <v>352315401636465</v>
      </c>
      <c r="C22" t="s">
        <v>57</v>
      </c>
      <c r="D22" t="s">
        <v>56</v>
      </c>
      <c r="E22">
        <v>2400</v>
      </c>
      <c r="F22" s="25">
        <v>2340</v>
      </c>
    </row>
    <row r="23" spans="1:12" x14ac:dyDescent="0.25">
      <c r="A23">
        <f t="shared" si="1"/>
        <v>21</v>
      </c>
      <c r="B23" s="20">
        <v>356541627680187</v>
      </c>
      <c r="C23" t="s">
        <v>57</v>
      </c>
      <c r="D23" t="s">
        <v>50</v>
      </c>
      <c r="E23">
        <v>2450</v>
      </c>
      <c r="F23" s="25">
        <v>2390</v>
      </c>
    </row>
    <row r="24" spans="1:12" x14ac:dyDescent="0.25">
      <c r="A24">
        <f t="shared" si="1"/>
        <v>22</v>
      </c>
      <c r="B24" s="20">
        <v>354737612753839</v>
      </c>
      <c r="C24" t="s">
        <v>58</v>
      </c>
      <c r="D24" t="s">
        <v>50</v>
      </c>
      <c r="E24">
        <v>2780</v>
      </c>
      <c r="F24" s="25">
        <v>2760</v>
      </c>
    </row>
    <row r="25" spans="1:12" x14ac:dyDescent="0.25">
      <c r="A25">
        <f t="shared" si="1"/>
        <v>23</v>
      </c>
      <c r="B25" s="20">
        <v>354737612891977</v>
      </c>
      <c r="C25" t="s">
        <v>58</v>
      </c>
      <c r="D25" t="s">
        <v>50</v>
      </c>
      <c r="E25">
        <v>2780</v>
      </c>
      <c r="F25" s="25">
        <v>2760</v>
      </c>
    </row>
    <row r="26" spans="1:12" x14ac:dyDescent="0.25">
      <c r="A26">
        <f t="shared" si="1"/>
        <v>24</v>
      </c>
      <c r="B26" s="20">
        <v>357590879816923</v>
      </c>
      <c r="C26" t="s">
        <v>59</v>
      </c>
      <c r="D26" t="s">
        <v>50</v>
      </c>
      <c r="E26">
        <v>2580</v>
      </c>
      <c r="F26" s="25">
        <v>2570</v>
      </c>
    </row>
    <row r="27" spans="1:12" x14ac:dyDescent="0.25">
      <c r="A27">
        <f t="shared" si="1"/>
        <v>25</v>
      </c>
      <c r="B27" s="20">
        <v>357590875571035</v>
      </c>
      <c r="C27" t="s">
        <v>59</v>
      </c>
      <c r="D27" t="s">
        <v>50</v>
      </c>
      <c r="E27">
        <v>2580</v>
      </c>
      <c r="F27" s="25">
        <v>2570</v>
      </c>
      <c r="H27" s="20"/>
      <c r="K27" s="25"/>
      <c r="L27" s="25"/>
    </row>
    <row r="28" spans="1:12" x14ac:dyDescent="0.25">
      <c r="A28">
        <f t="shared" si="1"/>
        <v>26</v>
      </c>
      <c r="B28" s="20">
        <v>358245527931017</v>
      </c>
      <c r="C28" t="s">
        <v>59</v>
      </c>
      <c r="D28" t="s">
        <v>50</v>
      </c>
      <c r="E28">
        <v>2580</v>
      </c>
      <c r="F28" s="25">
        <v>2570</v>
      </c>
    </row>
    <row r="29" spans="1:12" x14ac:dyDescent="0.25">
      <c r="A29">
        <f t="shared" si="1"/>
        <v>27</v>
      </c>
      <c r="B29" s="20">
        <v>355688666474815</v>
      </c>
      <c r="C29" t="s">
        <v>59</v>
      </c>
      <c r="D29" t="s">
        <v>56</v>
      </c>
      <c r="E29">
        <v>2580</v>
      </c>
      <c r="F29" s="25">
        <v>2520</v>
      </c>
      <c r="H29">
        <v>1</v>
      </c>
    </row>
    <row r="30" spans="1:12" x14ac:dyDescent="0.25">
      <c r="A30">
        <f t="shared" si="1"/>
        <v>28</v>
      </c>
      <c r="B30" s="20">
        <v>359072844241170</v>
      </c>
      <c r="C30" t="s">
        <v>59</v>
      </c>
      <c r="D30" t="s">
        <v>50</v>
      </c>
      <c r="E30">
        <v>2580</v>
      </c>
      <c r="F30" s="25">
        <v>2570</v>
      </c>
    </row>
    <row r="31" spans="1:12" x14ac:dyDescent="0.25">
      <c r="A31">
        <f t="shared" si="1"/>
        <v>29</v>
      </c>
      <c r="B31" s="20">
        <v>352315400745937</v>
      </c>
      <c r="C31" t="s">
        <v>59</v>
      </c>
      <c r="D31" t="s">
        <v>50</v>
      </c>
      <c r="E31">
        <v>2580</v>
      </c>
      <c r="F31" s="25">
        <v>2570</v>
      </c>
    </row>
    <row r="32" spans="1:12" x14ac:dyDescent="0.25">
      <c r="A32">
        <f t="shared" si="1"/>
        <v>30</v>
      </c>
      <c r="B32" s="20">
        <v>351895497054930</v>
      </c>
      <c r="C32" t="s">
        <v>59</v>
      </c>
      <c r="D32" t="s">
        <v>50</v>
      </c>
      <c r="E32">
        <v>2580</v>
      </c>
      <c r="F32" s="25">
        <v>2570</v>
      </c>
    </row>
    <row r="33" spans="1:6" x14ac:dyDescent="0.25">
      <c r="A33">
        <f t="shared" si="1"/>
        <v>31</v>
      </c>
      <c r="B33" s="20">
        <v>355008282708670</v>
      </c>
      <c r="C33" t="s">
        <v>60</v>
      </c>
      <c r="D33" t="s">
        <v>50</v>
      </c>
      <c r="E33">
        <v>2650</v>
      </c>
      <c r="F33" s="25">
        <v>2630</v>
      </c>
    </row>
    <row r="34" spans="1:6" x14ac:dyDescent="0.25">
      <c r="A34">
        <f t="shared" si="1"/>
        <v>32</v>
      </c>
      <c r="B34" s="20">
        <v>355008282322933</v>
      </c>
      <c r="C34" t="s">
        <v>60</v>
      </c>
      <c r="D34" t="s">
        <v>50</v>
      </c>
      <c r="E34">
        <v>2650</v>
      </c>
      <c r="F34" s="25">
        <v>2630</v>
      </c>
    </row>
    <row r="35" spans="1:6" x14ac:dyDescent="0.25">
      <c r="A35">
        <f t="shared" si="1"/>
        <v>33</v>
      </c>
      <c r="B35" s="20">
        <v>354959415601821</v>
      </c>
      <c r="C35" t="s">
        <v>61</v>
      </c>
      <c r="D35" t="s">
        <v>50</v>
      </c>
      <c r="E35">
        <v>1850</v>
      </c>
      <c r="F35" s="25">
        <f>E35-20</f>
        <v>1830</v>
      </c>
    </row>
    <row r="36" spans="1:6" x14ac:dyDescent="0.25">
      <c r="A36">
        <f t="shared" si="1"/>
        <v>34</v>
      </c>
      <c r="B36" s="20">
        <v>358157746776760</v>
      </c>
      <c r="C36" t="s">
        <v>61</v>
      </c>
      <c r="D36" t="s">
        <v>50</v>
      </c>
      <c r="E36">
        <v>1850</v>
      </c>
      <c r="F36" s="25">
        <f>E36-20</f>
        <v>1830</v>
      </c>
    </row>
    <row r="37" spans="1:6" x14ac:dyDescent="0.25">
      <c r="A37">
        <f t="shared" si="1"/>
        <v>35</v>
      </c>
      <c r="B37" s="20">
        <v>355031536920560</v>
      </c>
      <c r="C37" t="s">
        <v>62</v>
      </c>
      <c r="D37" t="s">
        <v>50</v>
      </c>
      <c r="E37">
        <v>0</v>
      </c>
      <c r="F37" s="25">
        <v>1880</v>
      </c>
    </row>
    <row r="38" spans="1:6" x14ac:dyDescent="0.25">
      <c r="A38">
        <f t="shared" si="1"/>
        <v>36</v>
      </c>
      <c r="B38" s="20">
        <v>358282722607803</v>
      </c>
      <c r="C38" t="s">
        <v>63</v>
      </c>
      <c r="D38" t="s">
        <v>50</v>
      </c>
      <c r="E38">
        <v>0</v>
      </c>
      <c r="F38" s="25">
        <v>1980</v>
      </c>
    </row>
    <row r="39" spans="1:6" x14ac:dyDescent="0.25">
      <c r="A39">
        <f t="shared" si="1"/>
        <v>37</v>
      </c>
      <c r="B39" s="20">
        <v>356043386985972</v>
      </c>
      <c r="C39" t="s">
        <v>64</v>
      </c>
      <c r="D39" t="s">
        <v>50</v>
      </c>
      <c r="E39">
        <v>1900</v>
      </c>
      <c r="F39" s="25">
        <v>1880</v>
      </c>
    </row>
    <row r="40" spans="1:6" x14ac:dyDescent="0.25">
      <c r="A40">
        <f t="shared" si="1"/>
        <v>38</v>
      </c>
      <c r="B40" s="20">
        <v>355783828753246</v>
      </c>
      <c r="C40" t="s">
        <v>65</v>
      </c>
      <c r="D40" t="s">
        <v>50</v>
      </c>
      <c r="E40">
        <v>2450</v>
      </c>
      <c r="F40" s="25">
        <v>2390</v>
      </c>
    </row>
    <row r="41" spans="1:6" x14ac:dyDescent="0.25">
      <c r="A41">
        <f t="shared" si="1"/>
        <v>39</v>
      </c>
      <c r="B41" s="20">
        <v>353393812028480</v>
      </c>
      <c r="C41" t="s">
        <v>65</v>
      </c>
      <c r="D41" t="s">
        <v>56</v>
      </c>
      <c r="E41">
        <v>2400</v>
      </c>
      <c r="F41" s="25">
        <v>2340</v>
      </c>
    </row>
    <row r="42" spans="1:6" x14ac:dyDescent="0.25">
      <c r="A42">
        <f t="shared" si="1"/>
        <v>40</v>
      </c>
      <c r="B42" s="20">
        <v>356541629040141</v>
      </c>
      <c r="C42" t="s">
        <v>65</v>
      </c>
      <c r="D42" t="s">
        <v>50</v>
      </c>
      <c r="E42">
        <v>2450</v>
      </c>
      <c r="F42" s="25">
        <v>2390</v>
      </c>
    </row>
    <row r="43" spans="1:6" x14ac:dyDescent="0.25">
      <c r="A43">
        <f t="shared" si="1"/>
        <v>41</v>
      </c>
      <c r="B43" s="20">
        <v>357719284402017</v>
      </c>
      <c r="C43" t="s">
        <v>65</v>
      </c>
      <c r="D43" t="s">
        <v>50</v>
      </c>
      <c r="E43">
        <v>2450</v>
      </c>
      <c r="F43" s="25">
        <v>2390</v>
      </c>
    </row>
    <row r="44" spans="1:6" x14ac:dyDescent="0.25">
      <c r="A44">
        <f t="shared" si="1"/>
        <v>42</v>
      </c>
      <c r="B44" s="20">
        <v>352864976022171</v>
      </c>
      <c r="C44" t="s">
        <v>65</v>
      </c>
      <c r="D44" t="s">
        <v>50</v>
      </c>
      <c r="E44">
        <v>2450</v>
      </c>
      <c r="F44" s="25">
        <v>2390</v>
      </c>
    </row>
    <row r="45" spans="1:6" x14ac:dyDescent="0.25">
      <c r="A45">
        <f t="shared" si="1"/>
        <v>43</v>
      </c>
      <c r="B45" s="20">
        <v>358594368824173</v>
      </c>
      <c r="C45" t="s">
        <v>65</v>
      </c>
      <c r="D45" t="s">
        <v>50</v>
      </c>
      <c r="E45">
        <v>2450</v>
      </c>
      <c r="F45" s="25">
        <v>2390</v>
      </c>
    </row>
    <row r="46" spans="1:6" x14ac:dyDescent="0.25">
      <c r="A46">
        <f t="shared" si="1"/>
        <v>44</v>
      </c>
      <c r="B46" s="20">
        <v>358862983460008</v>
      </c>
      <c r="C46" t="s">
        <v>66</v>
      </c>
      <c r="D46" t="s">
        <v>56</v>
      </c>
      <c r="E46">
        <v>2780</v>
      </c>
      <c r="F46" s="25">
        <v>2720</v>
      </c>
    </row>
    <row r="47" spans="1:6" x14ac:dyDescent="0.25">
      <c r="A47">
        <f t="shared" si="1"/>
        <v>45</v>
      </c>
      <c r="B47" s="21">
        <v>352315400976342</v>
      </c>
      <c r="C47" s="22" t="s">
        <v>67</v>
      </c>
      <c r="D47" s="22" t="s">
        <v>56</v>
      </c>
      <c r="E47" s="23">
        <v>2570</v>
      </c>
      <c r="F47" s="24">
        <v>2510</v>
      </c>
    </row>
    <row r="48" spans="1:6" x14ac:dyDescent="0.25">
      <c r="A48">
        <f t="shared" si="1"/>
        <v>46</v>
      </c>
      <c r="B48" s="20">
        <v>356864567850325</v>
      </c>
      <c r="C48" t="s">
        <v>67</v>
      </c>
      <c r="D48" t="s">
        <v>50</v>
      </c>
      <c r="E48">
        <v>2580</v>
      </c>
      <c r="F48" s="25">
        <v>2570</v>
      </c>
    </row>
    <row r="49" spans="1:6" x14ac:dyDescent="0.25">
      <c r="A49">
        <f t="shared" si="1"/>
        <v>47</v>
      </c>
      <c r="B49" s="20">
        <v>352315400888109</v>
      </c>
      <c r="C49" t="s">
        <v>67</v>
      </c>
      <c r="D49" t="s">
        <v>56</v>
      </c>
      <c r="E49">
        <v>2580</v>
      </c>
      <c r="F49" s="25">
        <v>2570</v>
      </c>
    </row>
    <row r="50" spans="1:6" x14ac:dyDescent="0.25">
      <c r="A50">
        <f t="shared" si="1"/>
        <v>48</v>
      </c>
      <c r="B50" s="20">
        <v>354210973657148</v>
      </c>
      <c r="C50" t="s">
        <v>67</v>
      </c>
      <c r="D50" t="s">
        <v>50</v>
      </c>
      <c r="E50">
        <v>2580</v>
      </c>
      <c r="F50" s="25">
        <v>2570</v>
      </c>
    </row>
    <row r="51" spans="1:6" x14ac:dyDescent="0.25">
      <c r="A51">
        <f t="shared" si="1"/>
        <v>49</v>
      </c>
      <c r="B51" s="20">
        <v>352315405139193</v>
      </c>
      <c r="C51" t="s">
        <v>68</v>
      </c>
      <c r="D51" t="s">
        <v>50</v>
      </c>
      <c r="E51">
        <v>2600</v>
      </c>
      <c r="F51" s="25">
        <v>2580</v>
      </c>
    </row>
    <row r="52" spans="1:6" x14ac:dyDescent="0.25">
      <c r="A52">
        <f t="shared" si="1"/>
        <v>50</v>
      </c>
      <c r="B52" s="21">
        <v>351614402635810</v>
      </c>
      <c r="C52" s="22" t="s">
        <v>69</v>
      </c>
      <c r="D52" s="22" t="s">
        <v>50</v>
      </c>
      <c r="E52" s="23">
        <v>2500</v>
      </c>
      <c r="F52" s="24">
        <v>2480</v>
      </c>
    </row>
    <row r="53" spans="1:6" x14ac:dyDescent="0.25">
      <c r="A53">
        <f t="shared" si="1"/>
        <v>51</v>
      </c>
      <c r="B53" s="20">
        <v>353393817180195</v>
      </c>
      <c r="C53" t="s">
        <v>69</v>
      </c>
      <c r="D53" t="s">
        <v>50</v>
      </c>
      <c r="E53">
        <v>2500</v>
      </c>
      <c r="F53" s="25">
        <v>2480</v>
      </c>
    </row>
    <row r="54" spans="1:6" x14ac:dyDescent="0.25">
      <c r="A54">
        <f t="shared" si="1"/>
        <v>52</v>
      </c>
      <c r="B54" s="20">
        <v>355008282369838</v>
      </c>
      <c r="C54" t="s">
        <v>70</v>
      </c>
      <c r="D54" t="s">
        <v>50</v>
      </c>
      <c r="E54">
        <v>2600</v>
      </c>
      <c r="F54" s="25">
        <v>2580</v>
      </c>
    </row>
    <row r="55" spans="1:6" x14ac:dyDescent="0.25">
      <c r="A55">
        <f t="shared" si="1"/>
        <v>53</v>
      </c>
      <c r="B55" s="20">
        <v>350319296679749</v>
      </c>
      <c r="C55" t="s">
        <v>71</v>
      </c>
      <c r="D55" t="s">
        <v>50</v>
      </c>
      <c r="E55">
        <v>0</v>
      </c>
      <c r="F55" s="25">
        <v>1830</v>
      </c>
    </row>
    <row r="56" spans="1:6" x14ac:dyDescent="0.25">
      <c r="A56">
        <f t="shared" si="1"/>
        <v>54</v>
      </c>
      <c r="B56" s="20">
        <v>350319296726789</v>
      </c>
      <c r="C56" t="s">
        <v>71</v>
      </c>
      <c r="D56" t="s">
        <v>50</v>
      </c>
      <c r="E56">
        <v>0</v>
      </c>
      <c r="F56" s="25">
        <v>1830</v>
      </c>
    </row>
    <row r="57" spans="1:6" x14ac:dyDescent="0.25">
      <c r="A57">
        <f t="shared" si="1"/>
        <v>55</v>
      </c>
      <c r="B57" s="20">
        <v>359896925458455</v>
      </c>
      <c r="C57" t="s">
        <v>72</v>
      </c>
      <c r="D57" t="s">
        <v>56</v>
      </c>
      <c r="E57">
        <v>1800</v>
      </c>
      <c r="F57" s="25">
        <v>1780</v>
      </c>
    </row>
    <row r="58" spans="1:6" x14ac:dyDescent="0.25">
      <c r="A58">
        <f t="shared" si="1"/>
        <v>56</v>
      </c>
      <c r="B58" s="20">
        <v>359896924279175</v>
      </c>
      <c r="C58" t="s">
        <v>72</v>
      </c>
      <c r="D58" t="s">
        <v>50</v>
      </c>
      <c r="E58">
        <v>1850</v>
      </c>
      <c r="F58" s="25">
        <v>1830</v>
      </c>
    </row>
    <row r="59" spans="1:6" x14ac:dyDescent="0.25">
      <c r="B59" s="20"/>
      <c r="F59" s="25"/>
    </row>
    <row r="60" spans="1:6" x14ac:dyDescent="0.25">
      <c r="B60" s="20"/>
      <c r="D60" s="26" t="s">
        <v>38</v>
      </c>
      <c r="E60" s="26"/>
      <c r="F60" s="27">
        <f>SUM(F3:F59)</f>
        <v>141530</v>
      </c>
    </row>
  </sheetData>
  <autoFilter ref="A2:F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2"/>
  <sheetViews>
    <sheetView workbookViewId="0">
      <selection activeCell="C23" sqref="C23"/>
    </sheetView>
  </sheetViews>
  <sheetFormatPr defaultRowHeight="15" x14ac:dyDescent="0.25"/>
  <cols>
    <col min="1" max="1" width="5.5703125" style="30" bestFit="1" customWidth="1"/>
    <col min="2" max="2" width="8.7109375" style="30" customWidth="1"/>
    <col min="3" max="3" width="31.28515625" customWidth="1"/>
    <col min="4" max="4" width="20.42578125" customWidth="1"/>
    <col min="5" max="5" width="0" hidden="1" customWidth="1"/>
    <col min="6" max="6" width="17.85546875" style="25" bestFit="1" customWidth="1"/>
    <col min="7" max="7" width="12.42578125" style="20" customWidth="1"/>
    <col min="8" max="8" width="19.7109375" customWidth="1"/>
    <col min="9" max="9" width="17.42578125" bestFit="1" customWidth="1"/>
    <col min="10" max="12" width="12" customWidth="1"/>
    <col min="14" max="14" width="22.140625" customWidth="1"/>
    <col min="15" max="15" width="29.28515625" bestFit="1" customWidth="1"/>
    <col min="16" max="16" width="17.42578125" bestFit="1" customWidth="1"/>
  </cols>
  <sheetData>
    <row r="1" spans="1:7" x14ac:dyDescent="0.25">
      <c r="A1" s="17" t="s">
        <v>73</v>
      </c>
      <c r="B1" s="17"/>
      <c r="C1" s="17"/>
      <c r="D1" s="17" t="s">
        <v>74</v>
      </c>
      <c r="E1" s="17"/>
      <c r="F1" s="17"/>
    </row>
    <row r="2" spans="1:7" x14ac:dyDescent="0.25">
      <c r="A2" s="28" t="s">
        <v>44</v>
      </c>
      <c r="B2" s="28" t="s">
        <v>75</v>
      </c>
      <c r="C2" s="19" t="s">
        <v>46</v>
      </c>
      <c r="D2" s="19" t="s">
        <v>47</v>
      </c>
      <c r="E2" s="19" t="s">
        <v>48</v>
      </c>
      <c r="F2" s="29" t="s">
        <v>27</v>
      </c>
    </row>
    <row r="3" spans="1:7" x14ac:dyDescent="0.25">
      <c r="A3" s="30">
        <v>1</v>
      </c>
      <c r="B3" s="31">
        <v>8362</v>
      </c>
      <c r="C3" t="s">
        <v>49</v>
      </c>
      <c r="D3" t="s">
        <v>50</v>
      </c>
      <c r="E3">
        <v>2450</v>
      </c>
      <c r="F3" s="25">
        <f t="shared" ref="F3:F9" si="0">E3</f>
        <v>2450</v>
      </c>
      <c r="G3" s="18"/>
    </row>
    <row r="4" spans="1:7" x14ac:dyDescent="0.25">
      <c r="A4" s="30">
        <f>+A3+1</f>
        <v>2</v>
      </c>
      <c r="B4" s="31">
        <v>975</v>
      </c>
      <c r="C4" t="s">
        <v>49</v>
      </c>
      <c r="D4" t="s">
        <v>50</v>
      </c>
      <c r="E4">
        <v>2450</v>
      </c>
      <c r="F4" s="25">
        <f t="shared" si="0"/>
        <v>2450</v>
      </c>
      <c r="G4" s="18"/>
    </row>
    <row r="5" spans="1:7" x14ac:dyDescent="0.25">
      <c r="A5" s="30">
        <f t="shared" ref="A5:A50" si="1">+A4+1</f>
        <v>3</v>
      </c>
      <c r="B5" s="31">
        <v>7657</v>
      </c>
      <c r="C5" t="s">
        <v>49</v>
      </c>
      <c r="D5" t="s">
        <v>50</v>
      </c>
      <c r="E5">
        <v>2450</v>
      </c>
      <c r="F5" s="25">
        <f t="shared" si="0"/>
        <v>2450</v>
      </c>
    </row>
    <row r="6" spans="1:7" x14ac:dyDescent="0.25">
      <c r="A6" s="30">
        <f t="shared" si="1"/>
        <v>4</v>
      </c>
      <c r="B6" s="31">
        <v>2097</v>
      </c>
      <c r="C6" t="s">
        <v>49</v>
      </c>
      <c r="D6" t="s">
        <v>50</v>
      </c>
      <c r="E6">
        <v>2450</v>
      </c>
      <c r="F6" s="25">
        <f t="shared" si="0"/>
        <v>2450</v>
      </c>
    </row>
    <row r="7" spans="1:7" x14ac:dyDescent="0.25">
      <c r="A7" s="30">
        <f t="shared" si="1"/>
        <v>5</v>
      </c>
      <c r="B7" s="31">
        <v>244</v>
      </c>
      <c r="C7" t="s">
        <v>49</v>
      </c>
      <c r="D7" t="s">
        <v>50</v>
      </c>
      <c r="E7">
        <v>2450</v>
      </c>
      <c r="F7" s="25">
        <f t="shared" si="0"/>
        <v>2450</v>
      </c>
    </row>
    <row r="8" spans="1:7" x14ac:dyDescent="0.25">
      <c r="A8" s="30">
        <f t="shared" si="1"/>
        <v>6</v>
      </c>
      <c r="B8" s="31">
        <v>7339</v>
      </c>
      <c r="C8" t="s">
        <v>49</v>
      </c>
      <c r="D8" t="s">
        <v>50</v>
      </c>
      <c r="E8">
        <v>2450</v>
      </c>
      <c r="F8" s="25">
        <f t="shared" si="0"/>
        <v>2450</v>
      </c>
    </row>
    <row r="9" spans="1:7" x14ac:dyDescent="0.25">
      <c r="A9" s="30">
        <f t="shared" si="1"/>
        <v>7</v>
      </c>
      <c r="B9" s="31">
        <v>1697</v>
      </c>
      <c r="C9" t="s">
        <v>49</v>
      </c>
      <c r="D9" t="s">
        <v>50</v>
      </c>
      <c r="E9">
        <v>2450</v>
      </c>
      <c r="F9" s="25">
        <f t="shared" si="0"/>
        <v>2450</v>
      </c>
    </row>
    <row r="10" spans="1:7" x14ac:dyDescent="0.25">
      <c r="A10" s="30">
        <f t="shared" si="1"/>
        <v>8</v>
      </c>
      <c r="B10" s="31">
        <v>3568</v>
      </c>
      <c r="C10" t="s">
        <v>49</v>
      </c>
      <c r="D10" t="s">
        <v>50</v>
      </c>
      <c r="F10" s="25">
        <v>2450</v>
      </c>
    </row>
    <row r="11" spans="1:7" x14ac:dyDescent="0.25">
      <c r="A11" s="30">
        <f t="shared" si="1"/>
        <v>9</v>
      </c>
      <c r="B11" s="31">
        <v>2917</v>
      </c>
      <c r="C11" t="s">
        <v>76</v>
      </c>
      <c r="F11" s="25">
        <f>1250-35</f>
        <v>1215</v>
      </c>
    </row>
    <row r="12" spans="1:7" x14ac:dyDescent="0.25">
      <c r="A12" s="30">
        <f t="shared" si="1"/>
        <v>10</v>
      </c>
      <c r="B12" s="31">
        <v>50010</v>
      </c>
      <c r="C12" t="s">
        <v>77</v>
      </c>
      <c r="F12" s="25">
        <f>1150-35</f>
        <v>1115</v>
      </c>
      <c r="G12" s="20" t="s">
        <v>78</v>
      </c>
    </row>
    <row r="13" spans="1:7" x14ac:dyDescent="0.25">
      <c r="A13" s="30">
        <f t="shared" si="1"/>
        <v>11</v>
      </c>
      <c r="B13" s="31">
        <v>1941</v>
      </c>
      <c r="C13" t="s">
        <v>53</v>
      </c>
      <c r="D13" t="s">
        <v>50</v>
      </c>
      <c r="E13">
        <v>3600</v>
      </c>
      <c r="F13" s="25">
        <f>E13</f>
        <v>3600</v>
      </c>
    </row>
    <row r="14" spans="1:7" x14ac:dyDescent="0.25">
      <c r="A14" s="30">
        <f t="shared" si="1"/>
        <v>12</v>
      </c>
      <c r="B14" s="31">
        <v>7363</v>
      </c>
      <c r="C14" t="s">
        <v>53</v>
      </c>
      <c r="D14" t="s">
        <v>50</v>
      </c>
      <c r="E14">
        <v>3600</v>
      </c>
      <c r="F14" s="25">
        <f>E14</f>
        <v>3600</v>
      </c>
    </row>
    <row r="15" spans="1:7" x14ac:dyDescent="0.25">
      <c r="A15" s="30">
        <f t="shared" si="1"/>
        <v>13</v>
      </c>
      <c r="B15" s="31">
        <v>2172</v>
      </c>
      <c r="C15" t="s">
        <v>53</v>
      </c>
      <c r="D15" t="s">
        <v>50</v>
      </c>
      <c r="E15">
        <v>3600</v>
      </c>
      <c r="F15" s="25">
        <f>E15</f>
        <v>3600</v>
      </c>
    </row>
    <row r="16" spans="1:7" x14ac:dyDescent="0.25">
      <c r="A16" s="30">
        <f t="shared" si="1"/>
        <v>14</v>
      </c>
      <c r="B16" s="31">
        <v>5682</v>
      </c>
      <c r="C16" t="s">
        <v>53</v>
      </c>
      <c r="D16" t="s">
        <v>56</v>
      </c>
      <c r="E16">
        <v>3600</v>
      </c>
      <c r="F16" s="25">
        <v>3550</v>
      </c>
    </row>
    <row r="17" spans="1:6" x14ac:dyDescent="0.25">
      <c r="A17" s="32">
        <f t="shared" si="1"/>
        <v>15</v>
      </c>
      <c r="B17" s="33">
        <v>4226</v>
      </c>
      <c r="C17" s="22" t="s">
        <v>53</v>
      </c>
      <c r="D17" s="22" t="s">
        <v>56</v>
      </c>
      <c r="E17" s="22">
        <v>3600</v>
      </c>
      <c r="F17" s="24">
        <v>3550</v>
      </c>
    </row>
    <row r="18" spans="1:6" x14ac:dyDescent="0.25">
      <c r="A18" s="30">
        <f t="shared" si="1"/>
        <v>16</v>
      </c>
      <c r="B18" s="31">
        <v>6909</v>
      </c>
      <c r="C18" t="s">
        <v>79</v>
      </c>
      <c r="D18" t="s">
        <v>52</v>
      </c>
      <c r="E18">
        <v>3600</v>
      </c>
      <c r="F18" s="25">
        <v>3700</v>
      </c>
    </row>
    <row r="19" spans="1:6" x14ac:dyDescent="0.25">
      <c r="A19" s="30">
        <f t="shared" si="1"/>
        <v>17</v>
      </c>
      <c r="B19" s="31">
        <v>2486</v>
      </c>
      <c r="C19" t="s">
        <v>80</v>
      </c>
      <c r="D19" t="s">
        <v>50</v>
      </c>
      <c r="E19">
        <v>1850</v>
      </c>
      <c r="F19" s="25">
        <v>1980</v>
      </c>
    </row>
    <row r="20" spans="1:6" x14ac:dyDescent="0.25">
      <c r="A20" s="30">
        <f t="shared" si="1"/>
        <v>18</v>
      </c>
      <c r="B20" s="31">
        <v>2628</v>
      </c>
      <c r="C20" t="s">
        <v>80</v>
      </c>
      <c r="D20" t="s">
        <v>50</v>
      </c>
      <c r="E20">
        <v>1850</v>
      </c>
      <c r="F20" s="25">
        <v>1980</v>
      </c>
    </row>
    <row r="21" spans="1:6" x14ac:dyDescent="0.25">
      <c r="A21" s="30">
        <f t="shared" si="1"/>
        <v>19</v>
      </c>
      <c r="B21" s="31">
        <v>1579</v>
      </c>
      <c r="C21" t="s">
        <v>80</v>
      </c>
      <c r="D21" t="s">
        <v>50</v>
      </c>
      <c r="F21" s="25">
        <v>1980</v>
      </c>
    </row>
    <row r="22" spans="1:6" x14ac:dyDescent="0.25">
      <c r="A22" s="30">
        <f t="shared" si="1"/>
        <v>20</v>
      </c>
      <c r="B22" s="31">
        <v>8749</v>
      </c>
      <c r="C22" t="s">
        <v>81</v>
      </c>
      <c r="D22" t="s">
        <v>50</v>
      </c>
      <c r="E22">
        <v>0</v>
      </c>
      <c r="F22" s="25">
        <v>1980</v>
      </c>
    </row>
    <row r="23" spans="1:6" x14ac:dyDescent="0.25">
      <c r="A23" s="30">
        <f t="shared" si="1"/>
        <v>21</v>
      </c>
      <c r="B23" s="31">
        <v>4052</v>
      </c>
      <c r="C23" t="s">
        <v>81</v>
      </c>
      <c r="D23" t="s">
        <v>50</v>
      </c>
      <c r="E23">
        <v>0</v>
      </c>
      <c r="F23" s="25">
        <v>1980</v>
      </c>
    </row>
    <row r="24" spans="1:6" x14ac:dyDescent="0.25">
      <c r="A24" s="30">
        <f t="shared" si="1"/>
        <v>22</v>
      </c>
      <c r="B24" s="31">
        <v>7707</v>
      </c>
      <c r="C24" t="s">
        <v>65</v>
      </c>
      <c r="D24" t="s">
        <v>50</v>
      </c>
      <c r="E24">
        <v>2450</v>
      </c>
      <c r="F24" s="25">
        <v>2390</v>
      </c>
    </row>
    <row r="25" spans="1:6" x14ac:dyDescent="0.25">
      <c r="A25" s="30">
        <f t="shared" si="1"/>
        <v>23</v>
      </c>
      <c r="B25" s="31">
        <v>4359</v>
      </c>
      <c r="C25" t="s">
        <v>65</v>
      </c>
      <c r="D25" t="s">
        <v>50</v>
      </c>
      <c r="E25">
        <v>2450</v>
      </c>
      <c r="F25" s="25">
        <v>2390</v>
      </c>
    </row>
    <row r="26" spans="1:6" x14ac:dyDescent="0.25">
      <c r="A26" s="30">
        <f t="shared" si="1"/>
        <v>24</v>
      </c>
      <c r="B26" s="31">
        <v>7685</v>
      </c>
      <c r="C26" t="s">
        <v>65</v>
      </c>
      <c r="D26" t="s">
        <v>50</v>
      </c>
      <c r="E26">
        <v>2450</v>
      </c>
      <c r="F26" s="25">
        <v>2390</v>
      </c>
    </row>
    <row r="27" spans="1:6" x14ac:dyDescent="0.25">
      <c r="A27" s="30">
        <f t="shared" si="1"/>
        <v>25</v>
      </c>
      <c r="B27" s="31">
        <v>4661</v>
      </c>
      <c r="C27" t="s">
        <v>65</v>
      </c>
      <c r="D27" t="s">
        <v>50</v>
      </c>
      <c r="E27">
        <v>2450</v>
      </c>
      <c r="F27" s="25">
        <v>2390</v>
      </c>
    </row>
    <row r="28" spans="1:6" x14ac:dyDescent="0.25">
      <c r="A28" s="30">
        <f t="shared" si="1"/>
        <v>26</v>
      </c>
      <c r="B28" s="31">
        <v>6354</v>
      </c>
      <c r="C28" t="s">
        <v>65</v>
      </c>
      <c r="D28" t="s">
        <v>50</v>
      </c>
      <c r="E28">
        <v>2450</v>
      </c>
      <c r="F28" s="25">
        <v>2390</v>
      </c>
    </row>
    <row r="29" spans="1:6" x14ac:dyDescent="0.25">
      <c r="A29" s="30">
        <f t="shared" si="1"/>
        <v>27</v>
      </c>
      <c r="B29" s="31">
        <v>4911</v>
      </c>
      <c r="C29" t="s">
        <v>65</v>
      </c>
      <c r="D29" t="s">
        <v>50</v>
      </c>
      <c r="E29">
        <v>2450</v>
      </c>
      <c r="F29" s="25">
        <v>2390</v>
      </c>
    </row>
    <row r="30" spans="1:6" x14ac:dyDescent="0.25">
      <c r="A30" s="30">
        <f t="shared" si="1"/>
        <v>28</v>
      </c>
      <c r="B30" s="31">
        <v>4704</v>
      </c>
      <c r="C30" t="s">
        <v>65</v>
      </c>
      <c r="D30" t="s">
        <v>50</v>
      </c>
      <c r="E30">
        <v>2450</v>
      </c>
      <c r="F30" s="25">
        <v>2390</v>
      </c>
    </row>
    <row r="31" spans="1:6" x14ac:dyDescent="0.25">
      <c r="A31" s="30">
        <f t="shared" si="1"/>
        <v>29</v>
      </c>
      <c r="B31" s="31">
        <v>9006</v>
      </c>
      <c r="C31" t="s">
        <v>65</v>
      </c>
      <c r="D31" t="s">
        <v>50</v>
      </c>
      <c r="E31">
        <v>2450</v>
      </c>
      <c r="F31" s="25">
        <v>2390</v>
      </c>
    </row>
    <row r="32" spans="1:6" x14ac:dyDescent="0.25">
      <c r="A32" s="30">
        <f t="shared" si="1"/>
        <v>30</v>
      </c>
      <c r="B32" s="31">
        <v>8965</v>
      </c>
      <c r="C32" t="s">
        <v>65</v>
      </c>
      <c r="D32" t="s">
        <v>50</v>
      </c>
      <c r="E32">
        <v>2450</v>
      </c>
      <c r="F32" s="25">
        <v>2390</v>
      </c>
    </row>
    <row r="33" spans="1:6" x14ac:dyDescent="0.25">
      <c r="A33" s="30">
        <f t="shared" si="1"/>
        <v>31</v>
      </c>
      <c r="B33" s="31">
        <v>2998</v>
      </c>
      <c r="C33" t="s">
        <v>65</v>
      </c>
      <c r="D33" t="s">
        <v>50</v>
      </c>
      <c r="F33" s="25">
        <v>2390</v>
      </c>
    </row>
    <row r="34" spans="1:6" x14ac:dyDescent="0.25">
      <c r="A34" s="30">
        <f t="shared" si="1"/>
        <v>32</v>
      </c>
      <c r="B34" s="31">
        <v>9103</v>
      </c>
      <c r="C34" t="s">
        <v>65</v>
      </c>
      <c r="D34" t="s">
        <v>56</v>
      </c>
      <c r="F34" s="25">
        <v>2340</v>
      </c>
    </row>
    <row r="35" spans="1:6" x14ac:dyDescent="0.25">
      <c r="A35" s="30">
        <f t="shared" si="1"/>
        <v>33</v>
      </c>
      <c r="B35" s="31">
        <v>3020</v>
      </c>
      <c r="C35" t="s">
        <v>65</v>
      </c>
      <c r="D35" t="s">
        <v>56</v>
      </c>
      <c r="E35">
        <v>2400</v>
      </c>
      <c r="F35" s="25">
        <v>2340</v>
      </c>
    </row>
    <row r="36" spans="1:6" x14ac:dyDescent="0.25">
      <c r="A36" s="30">
        <f t="shared" si="1"/>
        <v>34</v>
      </c>
      <c r="B36" s="31">
        <v>7000</v>
      </c>
      <c r="C36" t="s">
        <v>65</v>
      </c>
      <c r="D36" t="s">
        <v>56</v>
      </c>
      <c r="F36" s="25">
        <v>2340</v>
      </c>
    </row>
    <row r="37" spans="1:6" x14ac:dyDescent="0.25">
      <c r="A37" s="30">
        <f t="shared" si="1"/>
        <v>35</v>
      </c>
      <c r="B37" s="31">
        <v>2398</v>
      </c>
      <c r="C37" t="s">
        <v>67</v>
      </c>
      <c r="D37" t="s">
        <v>50</v>
      </c>
      <c r="E37">
        <v>2580</v>
      </c>
      <c r="F37" s="25">
        <v>2570</v>
      </c>
    </row>
    <row r="38" spans="1:6" x14ac:dyDescent="0.25">
      <c r="A38" s="30">
        <f t="shared" si="1"/>
        <v>36</v>
      </c>
      <c r="B38" s="31">
        <v>4209</v>
      </c>
      <c r="C38" t="s">
        <v>67</v>
      </c>
      <c r="D38" t="s">
        <v>50</v>
      </c>
      <c r="E38">
        <v>2580</v>
      </c>
      <c r="F38" s="25">
        <v>2570</v>
      </c>
    </row>
    <row r="39" spans="1:6" x14ac:dyDescent="0.25">
      <c r="A39" s="30">
        <f t="shared" si="1"/>
        <v>37</v>
      </c>
      <c r="B39" s="31">
        <v>7978</v>
      </c>
      <c r="C39" t="s">
        <v>67</v>
      </c>
      <c r="D39" t="s">
        <v>50</v>
      </c>
      <c r="E39">
        <v>2580</v>
      </c>
      <c r="F39" s="25">
        <v>2570</v>
      </c>
    </row>
    <row r="40" spans="1:6" x14ac:dyDescent="0.25">
      <c r="A40" s="30">
        <f t="shared" si="1"/>
        <v>38</v>
      </c>
      <c r="B40" s="31">
        <v>7717</v>
      </c>
      <c r="C40" t="s">
        <v>67</v>
      </c>
      <c r="D40" t="s">
        <v>50</v>
      </c>
      <c r="E40">
        <v>2580</v>
      </c>
      <c r="F40" s="25">
        <v>2570</v>
      </c>
    </row>
    <row r="41" spans="1:6" x14ac:dyDescent="0.25">
      <c r="A41" s="30">
        <f t="shared" si="1"/>
        <v>39</v>
      </c>
      <c r="B41" s="31">
        <v>4680</v>
      </c>
      <c r="C41" t="s">
        <v>67</v>
      </c>
      <c r="D41" t="s">
        <v>56</v>
      </c>
      <c r="E41">
        <v>2570</v>
      </c>
      <c r="F41" s="25">
        <v>2510</v>
      </c>
    </row>
    <row r="42" spans="1:6" x14ac:dyDescent="0.25">
      <c r="A42" s="30">
        <f t="shared" si="1"/>
        <v>40</v>
      </c>
      <c r="B42" s="31">
        <v>4589</v>
      </c>
      <c r="C42" t="s">
        <v>67</v>
      </c>
      <c r="D42" t="s">
        <v>56</v>
      </c>
      <c r="E42">
        <v>2570</v>
      </c>
      <c r="F42" s="25">
        <v>2510</v>
      </c>
    </row>
    <row r="43" spans="1:6" x14ac:dyDescent="0.25">
      <c r="A43" s="30">
        <f t="shared" si="1"/>
        <v>41</v>
      </c>
      <c r="B43" s="31">
        <v>9237</v>
      </c>
      <c r="C43" t="s">
        <v>82</v>
      </c>
      <c r="D43" t="s">
        <v>50</v>
      </c>
      <c r="E43">
        <v>2600</v>
      </c>
      <c r="F43" s="25">
        <v>2500</v>
      </c>
    </row>
    <row r="44" spans="1:6" x14ac:dyDescent="0.25">
      <c r="A44" s="30">
        <f t="shared" si="1"/>
        <v>42</v>
      </c>
      <c r="B44" s="31">
        <v>1001</v>
      </c>
      <c r="C44" t="s">
        <v>82</v>
      </c>
      <c r="D44" t="s">
        <v>50</v>
      </c>
      <c r="E44">
        <v>2600</v>
      </c>
      <c r="F44" s="25">
        <v>2500</v>
      </c>
    </row>
    <row r="45" spans="1:6" x14ac:dyDescent="0.25">
      <c r="A45" s="30">
        <f t="shared" si="1"/>
        <v>43</v>
      </c>
      <c r="B45" s="31">
        <v>5547</v>
      </c>
      <c r="C45" t="s">
        <v>82</v>
      </c>
      <c r="D45" t="s">
        <v>50</v>
      </c>
      <c r="E45">
        <v>2600</v>
      </c>
      <c r="F45" s="25">
        <v>2500</v>
      </c>
    </row>
    <row r="46" spans="1:6" x14ac:dyDescent="0.25">
      <c r="A46" s="30">
        <f t="shared" si="1"/>
        <v>44</v>
      </c>
      <c r="B46" s="31">
        <v>9739</v>
      </c>
      <c r="C46" t="s">
        <v>82</v>
      </c>
      <c r="D46" t="s">
        <v>56</v>
      </c>
      <c r="F46" s="25">
        <v>2450</v>
      </c>
    </row>
    <row r="47" spans="1:6" x14ac:dyDescent="0.25">
      <c r="A47" s="30">
        <f t="shared" si="1"/>
        <v>45</v>
      </c>
      <c r="B47" s="31">
        <v>5867</v>
      </c>
      <c r="C47" t="s">
        <v>71</v>
      </c>
      <c r="D47" t="s">
        <v>50</v>
      </c>
      <c r="E47">
        <v>0</v>
      </c>
      <c r="F47" s="25">
        <v>1830</v>
      </c>
    </row>
    <row r="48" spans="1:6" x14ac:dyDescent="0.25">
      <c r="A48" s="30">
        <f t="shared" si="1"/>
        <v>46</v>
      </c>
      <c r="B48" s="31">
        <v>9355</v>
      </c>
      <c r="C48" t="s">
        <v>71</v>
      </c>
      <c r="D48" t="s">
        <v>50</v>
      </c>
      <c r="E48">
        <v>0</v>
      </c>
      <c r="F48" s="25">
        <v>1830</v>
      </c>
    </row>
    <row r="49" spans="1:6" x14ac:dyDescent="0.25">
      <c r="A49" s="30">
        <f t="shared" si="1"/>
        <v>47</v>
      </c>
      <c r="B49" s="31">
        <v>8809</v>
      </c>
      <c r="C49" t="s">
        <v>71</v>
      </c>
      <c r="D49" t="s">
        <v>50</v>
      </c>
      <c r="F49" s="25">
        <v>1830</v>
      </c>
    </row>
    <row r="50" spans="1:6" x14ac:dyDescent="0.25">
      <c r="A50" s="30">
        <f t="shared" si="1"/>
        <v>48</v>
      </c>
      <c r="B50" s="31">
        <v>5610</v>
      </c>
      <c r="C50" t="s">
        <v>83</v>
      </c>
      <c r="D50" t="s">
        <v>50</v>
      </c>
      <c r="E50">
        <v>1850</v>
      </c>
      <c r="F50" s="25">
        <v>2200</v>
      </c>
    </row>
    <row r="52" spans="1:6" x14ac:dyDescent="0.25">
      <c r="D52" s="26" t="s">
        <v>38</v>
      </c>
      <c r="E52" s="26"/>
      <c r="F52" s="27">
        <f>SUM(F3:F51)</f>
        <v>117290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3"/>
  <sheetViews>
    <sheetView topLeftCell="A70" workbookViewId="0">
      <selection activeCell="E34" sqref="E34"/>
    </sheetView>
  </sheetViews>
  <sheetFormatPr defaultRowHeight="15" x14ac:dyDescent="0.25"/>
  <cols>
    <col min="1" max="1" width="7.42578125" customWidth="1"/>
    <col min="2" max="2" width="18.28515625" bestFit="1" customWidth="1"/>
    <col min="3" max="3" width="37.7109375" customWidth="1"/>
    <col min="4" max="4" width="18.28515625" bestFit="1" customWidth="1"/>
    <col min="5" max="5" width="17.7109375" style="25" bestFit="1" customWidth="1"/>
    <col min="6" max="6" width="26" bestFit="1" customWidth="1"/>
    <col min="11" max="11" width="15.42578125" bestFit="1" customWidth="1"/>
    <col min="12" max="12" width="13.5703125" customWidth="1"/>
  </cols>
  <sheetData>
    <row r="1" spans="1:6" x14ac:dyDescent="0.25">
      <c r="A1" s="17" t="s">
        <v>84</v>
      </c>
      <c r="B1" s="17"/>
      <c r="C1" s="34" t="s">
        <v>85</v>
      </c>
      <c r="D1" s="17" t="s">
        <v>86</v>
      </c>
      <c r="E1" s="35"/>
      <c r="F1" s="36"/>
    </row>
    <row r="2" spans="1:6" x14ac:dyDescent="0.25">
      <c r="A2" s="28" t="s">
        <v>44</v>
      </c>
      <c r="B2" s="28" t="s">
        <v>75</v>
      </c>
      <c r="C2" s="19" t="s">
        <v>46</v>
      </c>
      <c r="D2" s="19" t="s">
        <v>47</v>
      </c>
      <c r="E2" s="29" t="s">
        <v>48</v>
      </c>
      <c r="F2" s="37"/>
    </row>
    <row r="3" spans="1:6" x14ac:dyDescent="0.25">
      <c r="A3" s="36">
        <v>1</v>
      </c>
      <c r="B3" s="20">
        <v>350319297544223</v>
      </c>
      <c r="C3" t="s">
        <v>87</v>
      </c>
      <c r="D3" t="s">
        <v>88</v>
      </c>
      <c r="E3" s="38">
        <v>2200</v>
      </c>
    </row>
    <row r="4" spans="1:6" x14ac:dyDescent="0.25">
      <c r="A4" s="36">
        <v>2</v>
      </c>
      <c r="B4" s="20">
        <v>350319293368924</v>
      </c>
      <c r="C4" t="s">
        <v>81</v>
      </c>
      <c r="D4" t="s">
        <v>52</v>
      </c>
      <c r="E4" s="38">
        <v>2100</v>
      </c>
    </row>
    <row r="5" spans="1:6" x14ac:dyDescent="0.25">
      <c r="A5" s="36">
        <v>3</v>
      </c>
      <c r="B5" s="20">
        <v>356102157209184</v>
      </c>
      <c r="C5" t="s">
        <v>63</v>
      </c>
      <c r="D5" t="s">
        <v>52</v>
      </c>
      <c r="E5" s="38">
        <v>2200</v>
      </c>
    </row>
    <row r="6" spans="1:6" x14ac:dyDescent="0.25">
      <c r="A6" s="36">
        <v>4</v>
      </c>
      <c r="B6" s="20">
        <v>350922057639222</v>
      </c>
      <c r="C6" t="s">
        <v>62</v>
      </c>
      <c r="D6" t="s">
        <v>52</v>
      </c>
      <c r="E6" s="38">
        <v>2070</v>
      </c>
    </row>
    <row r="7" spans="1:6" x14ac:dyDescent="0.25">
      <c r="A7" s="36">
        <v>5</v>
      </c>
      <c r="B7" s="20">
        <v>354959410058308</v>
      </c>
      <c r="C7" t="s">
        <v>62</v>
      </c>
      <c r="D7" t="s">
        <v>88</v>
      </c>
      <c r="E7" s="38">
        <v>2070</v>
      </c>
    </row>
    <row r="8" spans="1:6" x14ac:dyDescent="0.25">
      <c r="A8" s="36">
        <v>6</v>
      </c>
      <c r="B8" s="20">
        <v>352864977837874</v>
      </c>
      <c r="C8" t="s">
        <v>57</v>
      </c>
      <c r="D8" t="s">
        <v>52</v>
      </c>
      <c r="E8" s="38">
        <v>2400</v>
      </c>
    </row>
    <row r="9" spans="1:6" x14ac:dyDescent="0.25">
      <c r="A9" s="36">
        <v>7</v>
      </c>
      <c r="B9" s="20">
        <v>353393816229555</v>
      </c>
      <c r="C9" t="s">
        <v>57</v>
      </c>
      <c r="D9" t="s">
        <v>88</v>
      </c>
      <c r="E9" s="38">
        <v>2350</v>
      </c>
    </row>
    <row r="10" spans="1:6" x14ac:dyDescent="0.25">
      <c r="A10" s="36">
        <v>8</v>
      </c>
      <c r="B10" s="20">
        <v>352864978079013</v>
      </c>
      <c r="C10" t="s">
        <v>57</v>
      </c>
      <c r="D10" t="s">
        <v>52</v>
      </c>
      <c r="E10" s="38">
        <v>2400</v>
      </c>
    </row>
    <row r="11" spans="1:6" x14ac:dyDescent="0.25">
      <c r="A11" s="36">
        <v>9</v>
      </c>
      <c r="B11" s="20">
        <v>353393817367958</v>
      </c>
      <c r="C11" t="s">
        <v>57</v>
      </c>
      <c r="D11" t="s">
        <v>52</v>
      </c>
      <c r="E11" s="38">
        <v>2400</v>
      </c>
    </row>
    <row r="12" spans="1:6" x14ac:dyDescent="0.25">
      <c r="A12" s="36">
        <v>10</v>
      </c>
      <c r="B12" s="20">
        <v>352315402103556</v>
      </c>
      <c r="C12" t="s">
        <v>57</v>
      </c>
      <c r="D12" t="s">
        <v>52</v>
      </c>
      <c r="E12" s="38">
        <v>2400</v>
      </c>
    </row>
    <row r="13" spans="1:6" x14ac:dyDescent="0.25">
      <c r="A13" s="36">
        <v>11</v>
      </c>
      <c r="B13" s="20">
        <v>354210979202089</v>
      </c>
      <c r="C13" t="s">
        <v>57</v>
      </c>
      <c r="D13" t="s">
        <v>52</v>
      </c>
      <c r="E13" s="38">
        <v>2400</v>
      </c>
    </row>
    <row r="14" spans="1:6" x14ac:dyDescent="0.25">
      <c r="A14" s="36">
        <v>12</v>
      </c>
      <c r="B14" s="20">
        <v>355469924196072</v>
      </c>
      <c r="C14" t="s">
        <v>57</v>
      </c>
      <c r="D14" t="s">
        <v>52</v>
      </c>
      <c r="E14" s="38">
        <v>2400</v>
      </c>
    </row>
    <row r="15" spans="1:6" x14ac:dyDescent="0.25">
      <c r="A15" s="36">
        <v>13</v>
      </c>
      <c r="B15" s="20">
        <v>352315400650343</v>
      </c>
      <c r="C15" t="s">
        <v>59</v>
      </c>
      <c r="D15" t="s">
        <v>52</v>
      </c>
      <c r="E15" s="38">
        <v>2580</v>
      </c>
    </row>
    <row r="16" spans="1:6" x14ac:dyDescent="0.25">
      <c r="A16" s="36">
        <v>14</v>
      </c>
      <c r="B16" s="20">
        <v>352315401011024</v>
      </c>
      <c r="C16" t="s">
        <v>59</v>
      </c>
      <c r="D16" t="s">
        <v>52</v>
      </c>
      <c r="E16" s="38">
        <v>2580</v>
      </c>
    </row>
    <row r="17" spans="1:6" x14ac:dyDescent="0.25">
      <c r="A17" s="36">
        <v>15</v>
      </c>
      <c r="B17" s="20">
        <v>353393817741699</v>
      </c>
      <c r="C17" t="s">
        <v>59</v>
      </c>
      <c r="D17" t="s">
        <v>52</v>
      </c>
      <c r="E17" s="38">
        <v>2580</v>
      </c>
    </row>
    <row r="18" spans="1:6" x14ac:dyDescent="0.25">
      <c r="A18" s="36">
        <v>16</v>
      </c>
      <c r="B18" s="20">
        <v>358594365529189</v>
      </c>
      <c r="C18" t="s">
        <v>59</v>
      </c>
      <c r="D18" t="s">
        <v>52</v>
      </c>
      <c r="E18" s="39">
        <v>2580</v>
      </c>
    </row>
    <row r="19" spans="1:6" x14ac:dyDescent="0.25">
      <c r="A19" s="36">
        <v>17</v>
      </c>
      <c r="B19" s="20">
        <v>358536505334483</v>
      </c>
      <c r="C19" t="s">
        <v>59</v>
      </c>
      <c r="D19" t="s">
        <v>52</v>
      </c>
      <c r="E19" s="38">
        <v>2580</v>
      </c>
    </row>
    <row r="20" spans="1:6" x14ac:dyDescent="0.25">
      <c r="A20" s="36">
        <v>18</v>
      </c>
      <c r="B20" s="20">
        <v>356339499943241</v>
      </c>
      <c r="C20" t="s">
        <v>59</v>
      </c>
      <c r="D20" t="s">
        <v>88</v>
      </c>
      <c r="E20" s="38">
        <v>2520</v>
      </c>
    </row>
    <row r="21" spans="1:6" x14ac:dyDescent="0.25">
      <c r="A21" s="36">
        <v>19</v>
      </c>
      <c r="B21" s="20">
        <v>353393814215051</v>
      </c>
      <c r="C21" t="s">
        <v>59</v>
      </c>
      <c r="D21" t="s">
        <v>88</v>
      </c>
      <c r="E21" s="38">
        <v>2520</v>
      </c>
    </row>
    <row r="22" spans="1:6" x14ac:dyDescent="0.25">
      <c r="A22" s="36">
        <v>20</v>
      </c>
      <c r="B22" s="20">
        <v>359072840601906</v>
      </c>
      <c r="C22" t="s">
        <v>89</v>
      </c>
      <c r="D22" t="s">
        <v>52</v>
      </c>
      <c r="E22" s="38">
        <v>2500</v>
      </c>
    </row>
    <row r="23" spans="1:6" x14ac:dyDescent="0.25">
      <c r="A23" s="36">
        <v>21</v>
      </c>
      <c r="B23" s="20">
        <v>356339495332449</v>
      </c>
      <c r="C23" t="s">
        <v>90</v>
      </c>
      <c r="D23" t="s">
        <v>52</v>
      </c>
      <c r="E23" s="38">
        <v>2500</v>
      </c>
    </row>
    <row r="24" spans="1:6" x14ac:dyDescent="0.25">
      <c r="A24" s="36">
        <v>22</v>
      </c>
      <c r="B24" s="20">
        <v>356864565358594</v>
      </c>
      <c r="C24" t="s">
        <v>90</v>
      </c>
      <c r="D24" t="s">
        <v>52</v>
      </c>
      <c r="E24" s="38">
        <v>2500</v>
      </c>
    </row>
    <row r="25" spans="1:6" x14ac:dyDescent="0.25">
      <c r="A25" s="36">
        <v>23</v>
      </c>
      <c r="B25" s="20">
        <v>353393816183463</v>
      </c>
      <c r="C25" t="s">
        <v>91</v>
      </c>
      <c r="D25" t="s">
        <v>52</v>
      </c>
      <c r="E25" s="38">
        <v>2500</v>
      </c>
    </row>
    <row r="26" spans="1:6" x14ac:dyDescent="0.25">
      <c r="A26" s="36">
        <v>24</v>
      </c>
      <c r="B26" s="20">
        <v>354210978571526</v>
      </c>
      <c r="C26" t="s">
        <v>91</v>
      </c>
      <c r="D26" t="s">
        <v>52</v>
      </c>
      <c r="E26" s="38">
        <v>2500</v>
      </c>
    </row>
    <row r="27" spans="1:6" x14ac:dyDescent="0.25">
      <c r="A27" s="36">
        <v>25</v>
      </c>
      <c r="B27" s="20">
        <v>359072846258487</v>
      </c>
      <c r="C27" t="s">
        <v>91</v>
      </c>
      <c r="D27" t="s">
        <v>52</v>
      </c>
      <c r="E27" s="38">
        <v>2500</v>
      </c>
      <c r="F27" s="23"/>
    </row>
    <row r="28" spans="1:6" x14ac:dyDescent="0.25">
      <c r="A28" s="36">
        <v>26</v>
      </c>
      <c r="B28" s="20">
        <v>354737611205286</v>
      </c>
      <c r="C28" t="s">
        <v>60</v>
      </c>
      <c r="D28" t="s">
        <v>52</v>
      </c>
      <c r="E28" s="38">
        <v>2650</v>
      </c>
    </row>
    <row r="29" spans="1:6" x14ac:dyDescent="0.25">
      <c r="A29" s="36">
        <v>27</v>
      </c>
      <c r="B29" s="20">
        <v>351657590553212</v>
      </c>
      <c r="C29" t="s">
        <v>92</v>
      </c>
      <c r="D29" t="s">
        <v>52</v>
      </c>
      <c r="E29" s="38">
        <v>3350</v>
      </c>
    </row>
    <row r="30" spans="1:6" x14ac:dyDescent="0.25">
      <c r="A30" s="36">
        <v>28</v>
      </c>
      <c r="B30" s="20">
        <v>351657590083533</v>
      </c>
      <c r="C30" t="s">
        <v>92</v>
      </c>
      <c r="D30" t="s">
        <v>88</v>
      </c>
      <c r="E30" s="38">
        <v>3200</v>
      </c>
    </row>
    <row r="31" spans="1:6" x14ac:dyDescent="0.25">
      <c r="A31" s="36">
        <v>29</v>
      </c>
      <c r="B31" s="20">
        <v>353357700774026</v>
      </c>
      <c r="C31" t="s">
        <v>92</v>
      </c>
      <c r="D31" t="s">
        <v>52</v>
      </c>
      <c r="E31" s="38">
        <v>3350</v>
      </c>
    </row>
    <row r="32" spans="1:6" x14ac:dyDescent="0.25">
      <c r="A32" s="36">
        <v>30</v>
      </c>
      <c r="B32" s="20">
        <v>351657591213832</v>
      </c>
      <c r="C32" t="s">
        <v>92</v>
      </c>
      <c r="D32" t="s">
        <v>52</v>
      </c>
      <c r="E32" s="38">
        <v>3350</v>
      </c>
    </row>
    <row r="33" spans="1:6" x14ac:dyDescent="0.25">
      <c r="A33" s="36">
        <v>31</v>
      </c>
      <c r="B33" s="40">
        <v>352066341385958</v>
      </c>
      <c r="C33" s="23" t="s">
        <v>93</v>
      </c>
      <c r="D33" s="23" t="s">
        <v>52</v>
      </c>
      <c r="E33" s="41">
        <v>3570</v>
      </c>
    </row>
    <row r="34" spans="1:6" x14ac:dyDescent="0.25">
      <c r="A34" s="36">
        <v>32</v>
      </c>
      <c r="B34" s="93">
        <v>356334540475707</v>
      </c>
      <c r="C34" s="94" t="s">
        <v>93</v>
      </c>
      <c r="D34" s="94" t="s">
        <v>52</v>
      </c>
      <c r="E34" s="95">
        <v>3570</v>
      </c>
    </row>
    <row r="35" spans="1:6" x14ac:dyDescent="0.25">
      <c r="A35" s="36">
        <v>33</v>
      </c>
      <c r="B35" s="20">
        <v>350485828210814</v>
      </c>
      <c r="C35" t="s">
        <v>94</v>
      </c>
      <c r="D35" t="s">
        <v>52</v>
      </c>
      <c r="E35" s="38">
        <v>2410</v>
      </c>
    </row>
    <row r="36" spans="1:6" x14ac:dyDescent="0.25">
      <c r="A36" s="36">
        <v>34</v>
      </c>
      <c r="B36" s="81">
        <v>356706681597888</v>
      </c>
      <c r="C36" s="82" t="s">
        <v>94</v>
      </c>
      <c r="D36" s="82" t="s">
        <v>52</v>
      </c>
      <c r="E36" s="83">
        <v>2390</v>
      </c>
      <c r="F36" t="s">
        <v>97</v>
      </c>
    </row>
    <row r="37" spans="1:6" x14ac:dyDescent="0.25">
      <c r="A37" s="36">
        <v>35</v>
      </c>
      <c r="B37" s="20">
        <v>358712821025184</v>
      </c>
      <c r="C37" t="s">
        <v>94</v>
      </c>
      <c r="D37" t="s">
        <v>52</v>
      </c>
      <c r="E37" s="38">
        <v>2410</v>
      </c>
    </row>
    <row r="38" spans="1:6" x14ac:dyDescent="0.25">
      <c r="A38" s="36">
        <v>36</v>
      </c>
      <c r="B38" s="20">
        <v>901</v>
      </c>
      <c r="C38" t="s">
        <v>94</v>
      </c>
      <c r="D38" t="s">
        <v>52</v>
      </c>
      <c r="E38" s="38">
        <v>2410</v>
      </c>
    </row>
    <row r="39" spans="1:6" x14ac:dyDescent="0.25">
      <c r="A39" s="36">
        <v>37</v>
      </c>
      <c r="B39" s="40">
        <v>355767495324118</v>
      </c>
      <c r="C39" s="23" t="s">
        <v>94</v>
      </c>
      <c r="D39" s="23" t="s">
        <v>52</v>
      </c>
      <c r="E39" s="41">
        <v>2390</v>
      </c>
    </row>
    <row r="40" spans="1:6" x14ac:dyDescent="0.25">
      <c r="A40" s="36">
        <v>38</v>
      </c>
      <c r="B40" s="40">
        <v>358712821659412</v>
      </c>
      <c r="C40" s="23" t="s">
        <v>94</v>
      </c>
      <c r="D40" s="23" t="s">
        <v>52</v>
      </c>
      <c r="E40" s="41">
        <v>2390</v>
      </c>
    </row>
    <row r="41" spans="1:6" x14ac:dyDescent="0.25">
      <c r="A41" s="36">
        <v>39</v>
      </c>
      <c r="B41" s="40">
        <v>358712820248324</v>
      </c>
      <c r="C41" s="23" t="s">
        <v>94</v>
      </c>
      <c r="D41" s="23" t="s">
        <v>52</v>
      </c>
      <c r="E41" s="41">
        <v>2390</v>
      </c>
    </row>
    <row r="42" spans="1:6" x14ac:dyDescent="0.25">
      <c r="A42" s="36">
        <v>40</v>
      </c>
      <c r="B42" s="20">
        <v>358712820308821</v>
      </c>
      <c r="C42" t="s">
        <v>94</v>
      </c>
      <c r="D42" t="s">
        <v>88</v>
      </c>
      <c r="E42" s="38">
        <v>2350</v>
      </c>
    </row>
    <row r="43" spans="1:6" x14ac:dyDescent="0.25">
      <c r="A43" s="36">
        <v>41</v>
      </c>
      <c r="B43" s="40">
        <v>358712820264404</v>
      </c>
      <c r="C43" s="23" t="s">
        <v>94</v>
      </c>
      <c r="D43" s="23" t="s">
        <v>52</v>
      </c>
      <c r="E43" s="41">
        <v>2390</v>
      </c>
    </row>
    <row r="44" spans="1:6" x14ac:dyDescent="0.25">
      <c r="A44" s="36">
        <v>42</v>
      </c>
      <c r="B44" s="20">
        <v>352510951965906</v>
      </c>
      <c r="C44" t="s">
        <v>95</v>
      </c>
      <c r="D44" t="s">
        <v>52</v>
      </c>
      <c r="E44" s="38">
        <v>600</v>
      </c>
    </row>
    <row r="45" spans="1:6" x14ac:dyDescent="0.25">
      <c r="A45" s="36">
        <v>43</v>
      </c>
      <c r="B45" s="20">
        <v>352510952911016</v>
      </c>
      <c r="C45" t="s">
        <v>95</v>
      </c>
      <c r="D45" t="s">
        <v>52</v>
      </c>
      <c r="E45" s="38">
        <v>600</v>
      </c>
    </row>
    <row r="46" spans="1:6" x14ac:dyDescent="0.25">
      <c r="A46" s="36">
        <v>44</v>
      </c>
      <c r="B46" s="20">
        <v>358345392887128</v>
      </c>
      <c r="C46" t="s">
        <v>95</v>
      </c>
      <c r="D46" t="s">
        <v>52</v>
      </c>
      <c r="E46" s="38">
        <v>600</v>
      </c>
    </row>
    <row r="47" spans="1:6" x14ac:dyDescent="0.25">
      <c r="A47" s="36">
        <f t="shared" ref="A47:A94" si="0">A46+1</f>
        <v>45</v>
      </c>
      <c r="B47" s="20">
        <v>356334540557082</v>
      </c>
      <c r="C47" t="s">
        <v>93</v>
      </c>
      <c r="D47" t="s">
        <v>96</v>
      </c>
      <c r="E47" s="38">
        <v>3600</v>
      </c>
    </row>
    <row r="48" spans="1:6" x14ac:dyDescent="0.25">
      <c r="A48" s="36">
        <f t="shared" si="0"/>
        <v>46</v>
      </c>
      <c r="B48" s="81">
        <v>354895821959990</v>
      </c>
      <c r="C48" s="82" t="s">
        <v>93</v>
      </c>
      <c r="D48" s="82"/>
      <c r="E48" s="83">
        <v>3600</v>
      </c>
      <c r="F48" t="s">
        <v>97</v>
      </c>
    </row>
    <row r="49" spans="1:5" x14ac:dyDescent="0.25">
      <c r="A49" s="36">
        <f t="shared" si="0"/>
        <v>47</v>
      </c>
      <c r="B49" s="20">
        <v>356334540693945</v>
      </c>
      <c r="C49" t="s">
        <v>93</v>
      </c>
      <c r="D49" t="s">
        <v>96</v>
      </c>
      <c r="E49" s="38">
        <v>3600</v>
      </c>
    </row>
    <row r="50" spans="1:5" x14ac:dyDescent="0.25">
      <c r="A50" s="36">
        <f t="shared" si="0"/>
        <v>48</v>
      </c>
      <c r="B50" s="20">
        <v>352066342061806</v>
      </c>
      <c r="C50" t="s">
        <v>93</v>
      </c>
      <c r="D50" t="s">
        <v>96</v>
      </c>
      <c r="E50" s="38">
        <v>3600</v>
      </c>
    </row>
    <row r="51" spans="1:5" x14ac:dyDescent="0.25">
      <c r="A51" s="36">
        <f t="shared" si="0"/>
        <v>49</v>
      </c>
      <c r="B51" s="81">
        <v>354895822309840</v>
      </c>
      <c r="C51" s="82" t="s">
        <v>98</v>
      </c>
      <c r="D51" s="82" t="s">
        <v>96</v>
      </c>
      <c r="E51" s="83">
        <v>3900</v>
      </c>
    </row>
    <row r="52" spans="1:5" x14ac:dyDescent="0.25">
      <c r="A52" s="36">
        <f t="shared" si="0"/>
        <v>50</v>
      </c>
      <c r="B52" s="42">
        <v>354895822417726</v>
      </c>
      <c r="C52" s="43" t="s">
        <v>93</v>
      </c>
      <c r="D52" s="43" t="s">
        <v>96</v>
      </c>
      <c r="E52" s="44">
        <v>3600</v>
      </c>
    </row>
    <row r="53" spans="1:5" x14ac:dyDescent="0.25">
      <c r="A53" s="96">
        <f t="shared" si="0"/>
        <v>51</v>
      </c>
      <c r="B53" s="93">
        <v>354895821788879</v>
      </c>
      <c r="C53" s="94" t="s">
        <v>98</v>
      </c>
      <c r="D53" s="94" t="s">
        <v>96</v>
      </c>
      <c r="E53" s="95">
        <v>3900</v>
      </c>
    </row>
    <row r="54" spans="1:5" x14ac:dyDescent="0.25">
      <c r="A54" s="36">
        <f t="shared" si="0"/>
        <v>52</v>
      </c>
      <c r="B54" s="20">
        <v>356334540964874</v>
      </c>
      <c r="C54" t="s">
        <v>93</v>
      </c>
      <c r="D54" t="s">
        <v>96</v>
      </c>
      <c r="E54" s="38">
        <v>3600</v>
      </c>
    </row>
    <row r="55" spans="1:5" x14ac:dyDescent="0.25">
      <c r="A55" s="36">
        <f t="shared" si="0"/>
        <v>53</v>
      </c>
      <c r="B55" s="20">
        <v>359200573977264</v>
      </c>
      <c r="C55" t="s">
        <v>99</v>
      </c>
      <c r="D55" t="s">
        <v>96</v>
      </c>
      <c r="E55" s="38">
        <v>2200</v>
      </c>
    </row>
    <row r="56" spans="1:5" x14ac:dyDescent="0.25">
      <c r="A56" s="36">
        <f t="shared" si="0"/>
        <v>54</v>
      </c>
      <c r="B56" s="20">
        <v>354784132913246</v>
      </c>
      <c r="C56" t="s">
        <v>100</v>
      </c>
      <c r="D56" t="s">
        <v>96</v>
      </c>
      <c r="E56" s="38">
        <f>1250-35</f>
        <v>1215</v>
      </c>
    </row>
    <row r="57" spans="1:5" x14ac:dyDescent="0.25">
      <c r="A57" s="36">
        <f t="shared" si="0"/>
        <v>55</v>
      </c>
      <c r="B57" s="20">
        <v>352018714184476</v>
      </c>
      <c r="C57" t="s">
        <v>101</v>
      </c>
      <c r="D57" t="s">
        <v>96</v>
      </c>
      <c r="E57" s="38">
        <f>1150-35</f>
        <v>1115</v>
      </c>
    </row>
    <row r="58" spans="1:5" x14ac:dyDescent="0.25">
      <c r="A58" s="36">
        <f t="shared" si="0"/>
        <v>56</v>
      </c>
      <c r="B58" s="20">
        <v>355767498888390</v>
      </c>
      <c r="C58" t="s">
        <v>102</v>
      </c>
      <c r="D58" t="s">
        <v>96</v>
      </c>
      <c r="E58" s="38">
        <v>2410</v>
      </c>
    </row>
    <row r="59" spans="1:5" x14ac:dyDescent="0.25">
      <c r="A59" s="36">
        <f t="shared" si="0"/>
        <v>57</v>
      </c>
      <c r="B59" s="20">
        <v>356706680385277</v>
      </c>
      <c r="C59" t="s">
        <v>102</v>
      </c>
      <c r="D59" t="s">
        <v>96</v>
      </c>
      <c r="E59" s="38">
        <v>2410</v>
      </c>
    </row>
    <row r="60" spans="1:5" x14ac:dyDescent="0.25">
      <c r="A60" s="36">
        <f t="shared" si="0"/>
        <v>58</v>
      </c>
      <c r="B60" s="20">
        <v>356706681051464</v>
      </c>
      <c r="C60" t="s">
        <v>102</v>
      </c>
      <c r="D60" t="s">
        <v>96</v>
      </c>
      <c r="E60" s="38">
        <v>2410</v>
      </c>
    </row>
    <row r="61" spans="1:5" x14ac:dyDescent="0.25">
      <c r="A61" s="36">
        <f t="shared" si="0"/>
        <v>59</v>
      </c>
      <c r="B61" s="20">
        <v>356706680637909</v>
      </c>
      <c r="C61" t="s">
        <v>102</v>
      </c>
      <c r="D61" t="s">
        <v>96</v>
      </c>
      <c r="E61" s="38">
        <v>2410</v>
      </c>
    </row>
    <row r="62" spans="1:5" x14ac:dyDescent="0.25">
      <c r="A62" s="36">
        <f t="shared" si="0"/>
        <v>60</v>
      </c>
      <c r="B62" s="20">
        <v>350458529614964</v>
      </c>
      <c r="C62" t="s">
        <v>102</v>
      </c>
      <c r="D62" t="s">
        <v>96</v>
      </c>
      <c r="E62" s="38">
        <v>2410</v>
      </c>
    </row>
    <row r="63" spans="1:5" x14ac:dyDescent="0.25">
      <c r="A63" s="36">
        <f t="shared" si="0"/>
        <v>61</v>
      </c>
      <c r="B63" s="20">
        <v>356706680043272</v>
      </c>
      <c r="C63" t="s">
        <v>102</v>
      </c>
      <c r="D63" t="s">
        <v>96</v>
      </c>
      <c r="E63" s="38">
        <v>2410</v>
      </c>
    </row>
    <row r="64" spans="1:5" x14ac:dyDescent="0.25">
      <c r="A64" s="36">
        <f t="shared" si="0"/>
        <v>62</v>
      </c>
      <c r="B64" s="20">
        <v>356706680170174</v>
      </c>
      <c r="C64" t="s">
        <v>102</v>
      </c>
      <c r="D64" t="s">
        <v>96</v>
      </c>
      <c r="E64" s="38">
        <v>2410</v>
      </c>
    </row>
    <row r="65" spans="1:5" x14ac:dyDescent="0.25">
      <c r="A65" s="36">
        <f t="shared" si="0"/>
        <v>63</v>
      </c>
      <c r="B65" s="20">
        <v>356706681581288</v>
      </c>
      <c r="C65" t="s">
        <v>102</v>
      </c>
      <c r="D65" t="s">
        <v>96</v>
      </c>
      <c r="E65" s="38">
        <v>2410</v>
      </c>
    </row>
    <row r="66" spans="1:5" x14ac:dyDescent="0.25">
      <c r="A66" s="36">
        <f t="shared" si="0"/>
        <v>64</v>
      </c>
      <c r="B66" s="20">
        <v>350706681557064</v>
      </c>
      <c r="C66" t="s">
        <v>102</v>
      </c>
      <c r="D66" t="s">
        <v>96</v>
      </c>
      <c r="E66" s="38">
        <v>2410</v>
      </c>
    </row>
    <row r="67" spans="1:5" x14ac:dyDescent="0.25">
      <c r="A67" s="36">
        <f t="shared" si="0"/>
        <v>65</v>
      </c>
      <c r="B67" s="20">
        <v>7494</v>
      </c>
      <c r="C67" t="s">
        <v>102</v>
      </c>
      <c r="E67" s="38">
        <v>2410</v>
      </c>
    </row>
    <row r="68" spans="1:5" x14ac:dyDescent="0.25">
      <c r="A68" s="36">
        <f t="shared" si="0"/>
        <v>66</v>
      </c>
      <c r="B68" s="20">
        <v>6588</v>
      </c>
      <c r="C68" t="s">
        <v>102</v>
      </c>
      <c r="E68" s="38">
        <v>2410</v>
      </c>
    </row>
    <row r="69" spans="1:5" x14ac:dyDescent="0.25">
      <c r="A69" s="36">
        <f t="shared" si="0"/>
        <v>67</v>
      </c>
      <c r="B69" s="20">
        <v>359906329928100</v>
      </c>
      <c r="C69" t="s">
        <v>59</v>
      </c>
      <c r="D69" t="s">
        <v>96</v>
      </c>
      <c r="E69" s="38">
        <v>2580</v>
      </c>
    </row>
    <row r="70" spans="1:5" x14ac:dyDescent="0.25">
      <c r="A70" s="36">
        <f t="shared" si="0"/>
        <v>68</v>
      </c>
      <c r="B70" s="20">
        <v>350328827483174</v>
      </c>
      <c r="C70" t="s">
        <v>81</v>
      </c>
      <c r="D70" t="s">
        <v>96</v>
      </c>
      <c r="E70" s="38">
        <v>2100</v>
      </c>
    </row>
    <row r="71" spans="1:5" x14ac:dyDescent="0.25">
      <c r="A71" s="36">
        <f t="shared" si="0"/>
        <v>69</v>
      </c>
      <c r="B71" s="20">
        <v>354210979675144</v>
      </c>
      <c r="C71" t="s">
        <v>59</v>
      </c>
      <c r="D71" t="s">
        <v>96</v>
      </c>
      <c r="E71" s="38">
        <v>2580</v>
      </c>
    </row>
    <row r="72" spans="1:5" x14ac:dyDescent="0.25">
      <c r="A72" s="36">
        <f t="shared" si="0"/>
        <v>70</v>
      </c>
      <c r="B72" s="20">
        <v>354210979396865</v>
      </c>
      <c r="C72" t="s">
        <v>59</v>
      </c>
      <c r="D72" t="s">
        <v>96</v>
      </c>
      <c r="E72" s="38">
        <v>2580</v>
      </c>
    </row>
    <row r="73" spans="1:5" x14ac:dyDescent="0.25">
      <c r="A73" s="36">
        <f t="shared" si="0"/>
        <v>71</v>
      </c>
      <c r="B73" s="20">
        <v>359906329901933</v>
      </c>
      <c r="C73" t="s">
        <v>59</v>
      </c>
      <c r="D73" t="s">
        <v>96</v>
      </c>
      <c r="E73" s="38">
        <v>2580</v>
      </c>
    </row>
    <row r="74" spans="1:5" x14ac:dyDescent="0.25">
      <c r="A74" s="36">
        <f t="shared" si="0"/>
        <v>72</v>
      </c>
      <c r="B74" s="20">
        <v>355067549660660</v>
      </c>
      <c r="C74" t="s">
        <v>59</v>
      </c>
      <c r="D74" t="s">
        <v>96</v>
      </c>
      <c r="E74" s="38">
        <v>2580</v>
      </c>
    </row>
    <row r="75" spans="1:5" x14ac:dyDescent="0.25">
      <c r="A75" s="36">
        <f t="shared" si="0"/>
        <v>73</v>
      </c>
      <c r="B75" s="20">
        <v>354210979775654</v>
      </c>
      <c r="C75" t="s">
        <v>57</v>
      </c>
      <c r="D75" t="s">
        <v>96</v>
      </c>
      <c r="E75" s="38">
        <v>2400</v>
      </c>
    </row>
    <row r="76" spans="1:5" x14ac:dyDescent="0.25">
      <c r="A76" s="36">
        <f t="shared" si="0"/>
        <v>74</v>
      </c>
      <c r="B76" s="20">
        <v>356864566869649</v>
      </c>
      <c r="C76" t="s">
        <v>57</v>
      </c>
      <c r="D76" t="s">
        <v>96</v>
      </c>
      <c r="E76" s="38">
        <v>2400</v>
      </c>
    </row>
    <row r="77" spans="1:5" x14ac:dyDescent="0.25">
      <c r="A77" s="36">
        <f t="shared" si="0"/>
        <v>75</v>
      </c>
      <c r="B77" s="20">
        <v>352315403514688</v>
      </c>
      <c r="C77" t="s">
        <v>57</v>
      </c>
      <c r="E77" s="38">
        <v>2400</v>
      </c>
    </row>
    <row r="78" spans="1:5" x14ac:dyDescent="0.25">
      <c r="A78" s="36">
        <f t="shared" si="0"/>
        <v>76</v>
      </c>
      <c r="B78" s="20">
        <v>359906328986307</v>
      </c>
      <c r="C78" t="s">
        <v>57</v>
      </c>
      <c r="D78" t="s">
        <v>88</v>
      </c>
      <c r="E78" s="38">
        <v>2350</v>
      </c>
    </row>
    <row r="79" spans="1:5" x14ac:dyDescent="0.25">
      <c r="A79" s="36">
        <f t="shared" si="0"/>
        <v>77</v>
      </c>
      <c r="B79" s="20">
        <v>356864565504601</v>
      </c>
      <c r="C79" t="s">
        <v>57</v>
      </c>
      <c r="D79" t="s">
        <v>88</v>
      </c>
      <c r="E79" s="38">
        <v>2350</v>
      </c>
    </row>
    <row r="80" spans="1:5" x14ac:dyDescent="0.25">
      <c r="A80" s="36">
        <f t="shared" si="0"/>
        <v>78</v>
      </c>
      <c r="B80" s="20">
        <v>356864565665279</v>
      </c>
      <c r="C80" t="s">
        <v>57</v>
      </c>
      <c r="D80" t="s">
        <v>88</v>
      </c>
      <c r="E80" s="38">
        <v>2350</v>
      </c>
    </row>
    <row r="81" spans="1:5" x14ac:dyDescent="0.25">
      <c r="A81" s="36">
        <f t="shared" si="0"/>
        <v>79</v>
      </c>
      <c r="B81" s="20">
        <v>358594367689007</v>
      </c>
      <c r="C81" t="s">
        <v>57</v>
      </c>
      <c r="D81" t="s">
        <v>96</v>
      </c>
      <c r="E81" s="38">
        <v>2400</v>
      </c>
    </row>
    <row r="82" spans="1:5" x14ac:dyDescent="0.25">
      <c r="A82" s="36">
        <f t="shared" si="0"/>
        <v>80</v>
      </c>
      <c r="B82" s="20">
        <v>353484629125120</v>
      </c>
      <c r="C82" t="s">
        <v>57</v>
      </c>
      <c r="D82" t="s">
        <v>88</v>
      </c>
      <c r="E82" s="38">
        <v>2350</v>
      </c>
    </row>
    <row r="83" spans="1:5" x14ac:dyDescent="0.25">
      <c r="A83" s="36">
        <f t="shared" si="0"/>
        <v>81</v>
      </c>
      <c r="B83" s="20">
        <v>356339495302004</v>
      </c>
      <c r="C83" t="s">
        <v>90</v>
      </c>
      <c r="D83" t="s">
        <v>96</v>
      </c>
      <c r="E83" s="38">
        <v>2500</v>
      </c>
    </row>
    <row r="84" spans="1:5" x14ac:dyDescent="0.25">
      <c r="A84" s="36">
        <f t="shared" si="0"/>
        <v>82</v>
      </c>
      <c r="B84" s="20">
        <v>355688669270202</v>
      </c>
      <c r="C84" t="s">
        <v>90</v>
      </c>
      <c r="D84" t="s">
        <v>96</v>
      </c>
      <c r="E84" s="38">
        <v>2500</v>
      </c>
    </row>
    <row r="85" spans="1:5" x14ac:dyDescent="0.25">
      <c r="A85" s="36">
        <f t="shared" si="0"/>
        <v>83</v>
      </c>
      <c r="B85" s="20">
        <v>356864565071445</v>
      </c>
      <c r="C85" t="s">
        <v>90</v>
      </c>
      <c r="D85" t="s">
        <v>96</v>
      </c>
      <c r="E85" s="38">
        <v>2500</v>
      </c>
    </row>
    <row r="86" spans="1:5" x14ac:dyDescent="0.25">
      <c r="A86" s="36">
        <f t="shared" si="0"/>
        <v>84</v>
      </c>
      <c r="B86" s="20">
        <v>353484629384007</v>
      </c>
      <c r="C86" t="s">
        <v>90</v>
      </c>
      <c r="E86" s="38">
        <v>2500</v>
      </c>
    </row>
    <row r="87" spans="1:5" x14ac:dyDescent="0.25">
      <c r="A87" s="36">
        <f t="shared" si="0"/>
        <v>85</v>
      </c>
      <c r="B87" s="20">
        <v>353393815099603</v>
      </c>
      <c r="C87" t="s">
        <v>91</v>
      </c>
      <c r="D87" t="s">
        <v>96</v>
      </c>
      <c r="E87" s="38">
        <v>2500</v>
      </c>
    </row>
    <row r="88" spans="1:5" x14ac:dyDescent="0.25">
      <c r="A88" s="36">
        <f t="shared" si="0"/>
        <v>86</v>
      </c>
      <c r="B88" s="20">
        <v>353484623404109</v>
      </c>
      <c r="C88" t="s">
        <v>103</v>
      </c>
      <c r="D88" t="s">
        <v>96</v>
      </c>
      <c r="E88" s="38">
        <v>2600</v>
      </c>
    </row>
    <row r="89" spans="1:5" x14ac:dyDescent="0.25">
      <c r="A89" s="36">
        <f t="shared" si="0"/>
        <v>87</v>
      </c>
      <c r="B89" s="20">
        <v>357626312194088</v>
      </c>
      <c r="C89" t="s">
        <v>103</v>
      </c>
      <c r="D89" t="s">
        <v>96</v>
      </c>
      <c r="E89" s="38">
        <v>2600</v>
      </c>
    </row>
    <row r="90" spans="1:5" x14ac:dyDescent="0.25">
      <c r="A90" s="36">
        <f t="shared" si="0"/>
        <v>88</v>
      </c>
      <c r="B90" s="20">
        <v>357463447239020</v>
      </c>
      <c r="C90" t="s">
        <v>104</v>
      </c>
      <c r="D90" t="s">
        <v>96</v>
      </c>
      <c r="E90" s="38">
        <v>2020</v>
      </c>
    </row>
    <row r="91" spans="1:5" x14ac:dyDescent="0.25">
      <c r="A91" s="36">
        <f t="shared" si="0"/>
        <v>89</v>
      </c>
      <c r="B91" s="20">
        <v>350328827382749</v>
      </c>
      <c r="C91" t="s">
        <v>81</v>
      </c>
      <c r="D91" t="s">
        <v>96</v>
      </c>
      <c r="E91" s="38">
        <v>2100</v>
      </c>
    </row>
    <row r="92" spans="1:5" x14ac:dyDescent="0.25">
      <c r="A92" s="36">
        <f t="shared" si="0"/>
        <v>90</v>
      </c>
      <c r="B92" s="20">
        <v>355983880026339</v>
      </c>
      <c r="C92" t="s">
        <v>61</v>
      </c>
      <c r="D92" t="s">
        <v>96</v>
      </c>
      <c r="E92" s="38">
        <v>1850</v>
      </c>
    </row>
    <row r="93" spans="1:5" x14ac:dyDescent="0.25">
      <c r="A93" s="36">
        <f t="shared" si="0"/>
        <v>91</v>
      </c>
      <c r="B93" s="20">
        <v>356043387748320</v>
      </c>
      <c r="C93" t="s">
        <v>105</v>
      </c>
      <c r="D93" t="s">
        <v>96</v>
      </c>
      <c r="E93" s="38">
        <v>2050</v>
      </c>
    </row>
    <row r="94" spans="1:5" x14ac:dyDescent="0.25">
      <c r="A94" s="36">
        <f t="shared" si="0"/>
        <v>92</v>
      </c>
      <c r="B94" s="20"/>
      <c r="C94" t="s">
        <v>106</v>
      </c>
      <c r="E94" s="38">
        <v>1800</v>
      </c>
    </row>
    <row r="95" spans="1:5" x14ac:dyDescent="0.25">
      <c r="B95" s="20"/>
      <c r="E95" s="38"/>
    </row>
    <row r="96" spans="1:5" x14ac:dyDescent="0.25">
      <c r="B96" s="20"/>
      <c r="E96" s="38"/>
    </row>
    <row r="97" spans="2:5" x14ac:dyDescent="0.25">
      <c r="B97" s="20"/>
      <c r="D97" s="36" t="s">
        <v>38</v>
      </c>
      <c r="E97" s="45">
        <f>SUM(E3:E96)</f>
        <v>228660</v>
      </c>
    </row>
    <row r="98" spans="2:5" x14ac:dyDescent="0.25">
      <c r="B98" s="20"/>
    </row>
    <row r="99" spans="2:5" x14ac:dyDescent="0.25">
      <c r="B99" s="46"/>
      <c r="C99" s="47"/>
      <c r="D99" s="47"/>
    </row>
    <row r="100" spans="2:5" x14ac:dyDescent="0.25">
      <c r="B100" s="46"/>
      <c r="C100" s="47"/>
      <c r="D100" s="47"/>
    </row>
    <row r="101" spans="2:5" x14ac:dyDescent="0.25">
      <c r="B101" s="20"/>
    </row>
    <row r="102" spans="2:5" x14ac:dyDescent="0.25">
      <c r="B102" s="20"/>
    </row>
    <row r="103" spans="2:5" x14ac:dyDescent="0.25">
      <c r="B103" s="20"/>
    </row>
  </sheetData>
  <autoFilter ref="A2:E94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6"/>
  <sheetViews>
    <sheetView topLeftCell="A40" zoomScaleNormal="100" workbookViewId="0">
      <selection activeCell="C2" sqref="C2"/>
    </sheetView>
  </sheetViews>
  <sheetFormatPr defaultRowHeight="15" x14ac:dyDescent="0.25"/>
  <cols>
    <col min="1" max="1" width="5.140625" customWidth="1"/>
    <col min="2" max="2" width="17" bestFit="1" customWidth="1"/>
    <col min="3" max="3" width="38.5703125" customWidth="1"/>
    <col min="4" max="4" width="19" bestFit="1" customWidth="1"/>
    <col min="5" max="5" width="17.85546875" customWidth="1"/>
  </cols>
  <sheetData>
    <row r="1" spans="1:5" ht="20.25" customHeight="1" x14ac:dyDescent="0.25">
      <c r="A1" s="17" t="s">
        <v>107</v>
      </c>
      <c r="B1" s="17"/>
      <c r="C1" s="34" t="s">
        <v>108</v>
      </c>
      <c r="D1" s="17" t="s">
        <v>109</v>
      </c>
      <c r="E1" s="48"/>
    </row>
    <row r="2" spans="1:5" ht="20.25" customHeight="1" x14ac:dyDescent="0.25">
      <c r="A2" s="49" t="s">
        <v>44</v>
      </c>
      <c r="B2" s="50" t="s">
        <v>110</v>
      </c>
      <c r="C2" s="50" t="s">
        <v>46</v>
      </c>
      <c r="D2" s="50" t="s">
        <v>47</v>
      </c>
      <c r="E2" s="51" t="s">
        <v>48</v>
      </c>
    </row>
    <row r="3" spans="1:5" ht="20.25" customHeight="1" x14ac:dyDescent="0.25">
      <c r="A3" s="52">
        <v>1</v>
      </c>
      <c r="B3" s="53" t="s">
        <v>111</v>
      </c>
      <c r="C3" s="54" t="s">
        <v>112</v>
      </c>
      <c r="D3" s="54" t="s">
        <v>113</v>
      </c>
      <c r="E3" s="55">
        <v>2700</v>
      </c>
    </row>
    <row r="4" spans="1:5" ht="20.25" customHeight="1" x14ac:dyDescent="0.25">
      <c r="A4" s="52">
        <v>2</v>
      </c>
      <c r="B4" s="53" t="s">
        <v>114</v>
      </c>
      <c r="C4" s="54" t="s">
        <v>115</v>
      </c>
      <c r="D4" s="54" t="s">
        <v>113</v>
      </c>
      <c r="E4" s="55">
        <v>3600</v>
      </c>
    </row>
    <row r="5" spans="1:5" ht="20.25" customHeight="1" x14ac:dyDescent="0.25">
      <c r="A5" s="52">
        <v>3</v>
      </c>
      <c r="B5" s="53" t="s">
        <v>116</v>
      </c>
      <c r="C5" s="54" t="s">
        <v>117</v>
      </c>
      <c r="D5" s="54" t="s">
        <v>113</v>
      </c>
      <c r="E5" s="55">
        <v>2500</v>
      </c>
    </row>
    <row r="6" spans="1:5" ht="20.25" customHeight="1" x14ac:dyDescent="0.25">
      <c r="A6" s="52">
        <v>4</v>
      </c>
      <c r="B6" s="53" t="s">
        <v>118</v>
      </c>
      <c r="C6" s="54" t="s">
        <v>117</v>
      </c>
      <c r="D6" s="54" t="s">
        <v>113</v>
      </c>
      <c r="E6" s="55">
        <v>2500</v>
      </c>
    </row>
    <row r="7" spans="1:5" ht="20.25" customHeight="1" x14ac:dyDescent="0.25">
      <c r="A7" s="52">
        <v>5</v>
      </c>
      <c r="B7" s="53" t="s">
        <v>119</v>
      </c>
      <c r="C7" s="54" t="s">
        <v>120</v>
      </c>
      <c r="D7" s="54" t="s">
        <v>113</v>
      </c>
      <c r="E7" s="55">
        <v>2410</v>
      </c>
    </row>
    <row r="8" spans="1:5" ht="20.25" customHeight="1" x14ac:dyDescent="0.25">
      <c r="A8" s="52">
        <v>6</v>
      </c>
      <c r="B8" s="53" t="s">
        <v>121</v>
      </c>
      <c r="C8" s="54" t="s">
        <v>122</v>
      </c>
      <c r="D8" s="54" t="s">
        <v>123</v>
      </c>
      <c r="E8" s="55">
        <v>2350</v>
      </c>
    </row>
    <row r="9" spans="1:5" ht="20.25" customHeight="1" x14ac:dyDescent="0.25">
      <c r="A9" s="52">
        <v>7</v>
      </c>
      <c r="B9" s="56" t="s">
        <v>124</v>
      </c>
      <c r="C9" s="57" t="s">
        <v>122</v>
      </c>
      <c r="D9" s="57" t="s">
        <v>123</v>
      </c>
      <c r="E9" s="58">
        <v>2150</v>
      </c>
    </row>
    <row r="10" spans="1:5" ht="20.25" customHeight="1" x14ac:dyDescent="0.25">
      <c r="A10" s="52">
        <v>8</v>
      </c>
      <c r="B10" s="53" t="s">
        <v>125</v>
      </c>
      <c r="C10" s="54" t="s">
        <v>126</v>
      </c>
      <c r="D10" s="54" t="s">
        <v>113</v>
      </c>
      <c r="E10" s="55">
        <v>850</v>
      </c>
    </row>
    <row r="11" spans="1:5" ht="20.25" customHeight="1" x14ac:dyDescent="0.25">
      <c r="A11" s="52">
        <v>9</v>
      </c>
      <c r="B11" s="53" t="s">
        <v>127</v>
      </c>
      <c r="C11" s="54" t="s">
        <v>128</v>
      </c>
      <c r="D11" s="54" t="s">
        <v>113</v>
      </c>
      <c r="E11" s="55">
        <v>850</v>
      </c>
    </row>
    <row r="12" spans="1:5" ht="20.25" customHeight="1" x14ac:dyDescent="0.25">
      <c r="A12" s="52">
        <v>10</v>
      </c>
      <c r="B12" s="59">
        <v>352404329132904</v>
      </c>
      <c r="C12" s="54" t="s">
        <v>129</v>
      </c>
      <c r="D12" s="54" t="s">
        <v>113</v>
      </c>
      <c r="E12" s="55">
        <v>1400</v>
      </c>
    </row>
    <row r="13" spans="1:5" ht="20.25" customHeight="1" x14ac:dyDescent="0.25">
      <c r="A13" s="52">
        <v>11</v>
      </c>
      <c r="B13" s="59">
        <v>354563835004192</v>
      </c>
      <c r="C13" s="54" t="s">
        <v>130</v>
      </c>
      <c r="D13" s="54" t="s">
        <v>113</v>
      </c>
      <c r="E13" s="55">
        <v>1450</v>
      </c>
    </row>
    <row r="14" spans="1:5" ht="20.25" customHeight="1" x14ac:dyDescent="0.25">
      <c r="A14" s="52">
        <v>12</v>
      </c>
      <c r="B14" s="59">
        <v>354563835401190</v>
      </c>
      <c r="C14" s="54" t="s">
        <v>131</v>
      </c>
      <c r="D14" s="54"/>
      <c r="E14" s="55">
        <v>1430</v>
      </c>
    </row>
    <row r="15" spans="1:5" ht="20.25" customHeight="1" x14ac:dyDescent="0.25">
      <c r="A15" s="52">
        <v>13</v>
      </c>
      <c r="B15" s="53" t="s">
        <v>132</v>
      </c>
      <c r="C15" s="54" t="s">
        <v>115</v>
      </c>
      <c r="D15" s="54" t="s">
        <v>113</v>
      </c>
      <c r="E15" s="55">
        <v>3600</v>
      </c>
    </row>
    <row r="16" spans="1:5" ht="20.25" customHeight="1" x14ac:dyDescent="0.25">
      <c r="A16" s="52">
        <v>14</v>
      </c>
      <c r="B16" s="53" t="s">
        <v>133</v>
      </c>
      <c r="C16" s="54" t="s">
        <v>120</v>
      </c>
      <c r="D16" s="54" t="s">
        <v>123</v>
      </c>
      <c r="E16" s="55">
        <v>2390</v>
      </c>
    </row>
    <row r="17" spans="1:6" ht="20.25" customHeight="1" x14ac:dyDescent="0.25">
      <c r="A17" s="52">
        <v>15</v>
      </c>
      <c r="B17" s="56" t="s">
        <v>134</v>
      </c>
      <c r="C17" s="57" t="s">
        <v>135</v>
      </c>
      <c r="D17" s="57" t="s">
        <v>123</v>
      </c>
      <c r="E17" s="58"/>
      <c r="F17" t="s">
        <v>199</v>
      </c>
    </row>
    <row r="18" spans="1:6" ht="20.25" customHeight="1" x14ac:dyDescent="0.25">
      <c r="A18" s="52">
        <v>16</v>
      </c>
      <c r="B18" s="59">
        <v>352512145005495</v>
      </c>
      <c r="C18" s="54" t="s">
        <v>136</v>
      </c>
      <c r="D18" s="54"/>
      <c r="E18" s="55">
        <v>1800</v>
      </c>
    </row>
    <row r="19" spans="1:6" ht="20.25" customHeight="1" x14ac:dyDescent="0.25">
      <c r="A19" s="52">
        <v>17</v>
      </c>
      <c r="B19" s="60">
        <v>352512145079324</v>
      </c>
      <c r="C19" s="61" t="s">
        <v>136</v>
      </c>
      <c r="D19" s="61"/>
      <c r="E19" s="62">
        <v>0</v>
      </c>
    </row>
    <row r="20" spans="1:6" ht="20.25" customHeight="1" x14ac:dyDescent="0.25">
      <c r="A20" s="52">
        <v>18</v>
      </c>
      <c r="B20" s="53" t="s">
        <v>137</v>
      </c>
      <c r="C20" s="54" t="s">
        <v>138</v>
      </c>
      <c r="D20" s="54" t="s">
        <v>113</v>
      </c>
      <c r="E20" s="55">
        <v>2580</v>
      </c>
    </row>
    <row r="21" spans="1:6" ht="20.25" customHeight="1" x14ac:dyDescent="0.25">
      <c r="A21" s="52">
        <v>19</v>
      </c>
      <c r="B21" s="53" t="s">
        <v>139</v>
      </c>
      <c r="C21" s="54" t="s">
        <v>138</v>
      </c>
      <c r="D21" s="54" t="s">
        <v>123</v>
      </c>
      <c r="E21" s="55">
        <v>2530</v>
      </c>
    </row>
    <row r="22" spans="1:6" ht="20.25" customHeight="1" x14ac:dyDescent="0.25">
      <c r="A22" s="52">
        <v>20</v>
      </c>
      <c r="B22" s="53" t="s">
        <v>140</v>
      </c>
      <c r="C22" s="54" t="s">
        <v>141</v>
      </c>
      <c r="D22" s="54" t="s">
        <v>113</v>
      </c>
      <c r="E22" s="55">
        <v>2400</v>
      </c>
    </row>
    <row r="23" spans="1:6" ht="20.25" customHeight="1" x14ac:dyDescent="0.25">
      <c r="A23" s="52">
        <v>21</v>
      </c>
      <c r="B23" s="53" t="s">
        <v>142</v>
      </c>
      <c r="C23" s="54" t="s">
        <v>141</v>
      </c>
      <c r="D23" s="54" t="s">
        <v>113</v>
      </c>
      <c r="E23" s="55">
        <v>2400</v>
      </c>
    </row>
    <row r="24" spans="1:6" ht="20.25" customHeight="1" x14ac:dyDescent="0.25">
      <c r="A24" s="52">
        <v>22</v>
      </c>
      <c r="B24" s="53" t="s">
        <v>143</v>
      </c>
      <c r="C24" s="54" t="s">
        <v>138</v>
      </c>
      <c r="D24" s="54" t="s">
        <v>113</v>
      </c>
      <c r="E24" s="55">
        <v>2580</v>
      </c>
    </row>
    <row r="25" spans="1:6" ht="20.25" customHeight="1" x14ac:dyDescent="0.25">
      <c r="A25" s="52">
        <v>23</v>
      </c>
      <c r="B25" s="53" t="s">
        <v>144</v>
      </c>
      <c r="C25" s="54" t="s">
        <v>138</v>
      </c>
      <c r="D25" s="54" t="s">
        <v>113</v>
      </c>
      <c r="E25" s="55">
        <v>2580</v>
      </c>
    </row>
    <row r="26" spans="1:6" ht="20.25" customHeight="1" x14ac:dyDescent="0.25">
      <c r="A26" s="52">
        <v>24</v>
      </c>
      <c r="B26" s="53" t="s">
        <v>145</v>
      </c>
      <c r="C26" s="54" t="s">
        <v>138</v>
      </c>
      <c r="D26" s="54" t="s">
        <v>113</v>
      </c>
      <c r="E26" s="55">
        <v>2580</v>
      </c>
    </row>
    <row r="27" spans="1:6" ht="20.25" customHeight="1" x14ac:dyDescent="0.25">
      <c r="A27" s="52">
        <v>25</v>
      </c>
      <c r="B27" s="56" t="s">
        <v>146</v>
      </c>
      <c r="C27" s="57" t="s">
        <v>147</v>
      </c>
      <c r="D27" s="57" t="s">
        <v>123</v>
      </c>
      <c r="E27" s="58">
        <v>2250</v>
      </c>
    </row>
    <row r="28" spans="1:6" s="63" customFormat="1" ht="20.25" customHeight="1" x14ac:dyDescent="0.25">
      <c r="A28" s="52">
        <v>26</v>
      </c>
      <c r="B28" s="53"/>
      <c r="C28" s="54" t="s">
        <v>115</v>
      </c>
      <c r="D28" s="54"/>
      <c r="E28" s="55">
        <v>3600</v>
      </c>
    </row>
    <row r="29" spans="1:6" ht="20.25" customHeight="1" x14ac:dyDescent="0.25">
      <c r="A29" s="64">
        <v>27</v>
      </c>
      <c r="B29" s="84">
        <v>352161332471964</v>
      </c>
      <c r="C29" s="85" t="s">
        <v>148</v>
      </c>
      <c r="D29" s="85" t="s">
        <v>96</v>
      </c>
      <c r="E29" s="86">
        <v>0</v>
      </c>
      <c r="F29" s="82"/>
    </row>
    <row r="30" spans="1:6" ht="20.25" customHeight="1" x14ac:dyDescent="0.25">
      <c r="A30" s="64">
        <v>28</v>
      </c>
      <c r="B30" s="67">
        <v>354737615275236</v>
      </c>
      <c r="C30" s="68" t="s">
        <v>149</v>
      </c>
      <c r="D30" s="68" t="s">
        <v>96</v>
      </c>
      <c r="E30" s="55">
        <v>2580</v>
      </c>
    </row>
    <row r="31" spans="1:6" ht="20.25" customHeight="1" x14ac:dyDescent="0.25">
      <c r="A31" s="64">
        <v>29</v>
      </c>
      <c r="B31" s="67">
        <v>350319294619879</v>
      </c>
      <c r="C31" s="68" t="s">
        <v>150</v>
      </c>
      <c r="D31" s="68"/>
      <c r="E31" s="55">
        <v>2070</v>
      </c>
    </row>
    <row r="32" spans="1:6" ht="20.25" customHeight="1" x14ac:dyDescent="0.25">
      <c r="A32" s="64">
        <v>30</v>
      </c>
      <c r="B32" s="67">
        <v>352864979657086</v>
      </c>
      <c r="C32" s="68" t="s">
        <v>149</v>
      </c>
      <c r="D32" s="68"/>
      <c r="E32" s="55">
        <v>2580</v>
      </c>
    </row>
    <row r="33" spans="1:5" ht="20.25" customHeight="1" x14ac:dyDescent="0.25">
      <c r="A33" s="64">
        <v>31</v>
      </c>
      <c r="B33" s="67">
        <v>354210979779466</v>
      </c>
      <c r="C33" s="68" t="s">
        <v>151</v>
      </c>
      <c r="D33" s="68" t="s">
        <v>96</v>
      </c>
      <c r="E33" s="55">
        <v>2400</v>
      </c>
    </row>
    <row r="34" spans="1:5" ht="20.25" customHeight="1" x14ac:dyDescent="0.25">
      <c r="A34" s="64">
        <v>32</v>
      </c>
      <c r="B34" s="67">
        <v>354210974252250</v>
      </c>
      <c r="C34" s="68" t="s">
        <v>149</v>
      </c>
      <c r="D34" s="68"/>
      <c r="E34" s="55">
        <v>2580</v>
      </c>
    </row>
    <row r="35" spans="1:5" ht="20.25" customHeight="1" x14ac:dyDescent="0.25">
      <c r="A35" s="64">
        <v>33</v>
      </c>
      <c r="B35" s="67">
        <v>351614403441689</v>
      </c>
      <c r="C35" s="68" t="s">
        <v>152</v>
      </c>
      <c r="D35" s="68" t="s">
        <v>96</v>
      </c>
      <c r="E35" s="55">
        <v>2600</v>
      </c>
    </row>
    <row r="36" spans="1:5" ht="20.25" customHeight="1" x14ac:dyDescent="0.25">
      <c r="A36" s="64">
        <v>34</v>
      </c>
      <c r="B36" s="67">
        <v>356864564797966</v>
      </c>
      <c r="C36" s="68" t="s">
        <v>153</v>
      </c>
      <c r="D36" s="68" t="s">
        <v>96</v>
      </c>
      <c r="E36" s="55">
        <v>2500</v>
      </c>
    </row>
    <row r="37" spans="1:5" ht="20.25" customHeight="1" x14ac:dyDescent="0.25">
      <c r="A37" s="64">
        <v>35</v>
      </c>
      <c r="B37" s="67">
        <v>256864565327037</v>
      </c>
      <c r="C37" s="68" t="s">
        <v>153</v>
      </c>
      <c r="D37" s="68" t="s">
        <v>96</v>
      </c>
      <c r="E37" s="55">
        <v>2500</v>
      </c>
    </row>
    <row r="38" spans="1:5" ht="20.25" customHeight="1" x14ac:dyDescent="0.25">
      <c r="A38" s="64">
        <v>36</v>
      </c>
      <c r="B38" s="67">
        <v>357017257376080</v>
      </c>
      <c r="C38" s="68" t="s">
        <v>153</v>
      </c>
      <c r="D38" s="68" t="s">
        <v>96</v>
      </c>
      <c r="E38" s="55">
        <v>2500</v>
      </c>
    </row>
    <row r="39" spans="1:5" ht="20.25" customHeight="1" x14ac:dyDescent="0.25">
      <c r="A39" s="64">
        <v>37</v>
      </c>
      <c r="B39" s="67">
        <v>355767498422943</v>
      </c>
      <c r="C39" s="68" t="s">
        <v>102</v>
      </c>
      <c r="D39" s="68" t="s">
        <v>96</v>
      </c>
      <c r="E39" s="55">
        <v>2410</v>
      </c>
    </row>
    <row r="40" spans="1:5" ht="20.25" customHeight="1" x14ac:dyDescent="0.25">
      <c r="A40" s="64">
        <v>38</v>
      </c>
      <c r="B40" s="67">
        <v>358712820153169</v>
      </c>
      <c r="C40" s="68" t="s">
        <v>102</v>
      </c>
      <c r="D40" s="68" t="s">
        <v>96</v>
      </c>
      <c r="E40" s="55">
        <v>2410</v>
      </c>
    </row>
    <row r="41" spans="1:5" ht="20.25" customHeight="1" x14ac:dyDescent="0.25">
      <c r="A41" s="64">
        <v>39</v>
      </c>
      <c r="B41" s="67">
        <v>358712821251962</v>
      </c>
      <c r="C41" s="68" t="s">
        <v>102</v>
      </c>
      <c r="D41" s="68" t="s">
        <v>96</v>
      </c>
      <c r="E41" s="55">
        <v>2410</v>
      </c>
    </row>
    <row r="42" spans="1:5" ht="20.25" customHeight="1" x14ac:dyDescent="0.25">
      <c r="A42" s="64">
        <v>40</v>
      </c>
      <c r="B42" s="67">
        <v>356706680945401</v>
      </c>
      <c r="C42" s="68" t="s">
        <v>102</v>
      </c>
      <c r="D42" s="68" t="s">
        <v>96</v>
      </c>
      <c r="E42" s="55">
        <v>2410</v>
      </c>
    </row>
    <row r="43" spans="1:5" ht="20.25" customHeight="1" x14ac:dyDescent="0.25">
      <c r="A43" s="64">
        <v>41</v>
      </c>
      <c r="B43" s="67">
        <v>356706681448751</v>
      </c>
      <c r="C43" s="68" t="s">
        <v>102</v>
      </c>
      <c r="D43" s="68" t="s">
        <v>96</v>
      </c>
      <c r="E43" s="55">
        <v>2410</v>
      </c>
    </row>
    <row r="44" spans="1:5" ht="20.25" customHeight="1" x14ac:dyDescent="0.25">
      <c r="A44" s="64">
        <v>42</v>
      </c>
      <c r="B44" s="67">
        <v>358712820588810</v>
      </c>
      <c r="C44" s="68" t="s">
        <v>102</v>
      </c>
      <c r="D44" s="68" t="s">
        <v>96</v>
      </c>
      <c r="E44" s="55">
        <v>2410</v>
      </c>
    </row>
    <row r="45" spans="1:5" ht="20.25" customHeight="1" x14ac:dyDescent="0.25">
      <c r="A45" s="64">
        <v>43</v>
      </c>
      <c r="B45" s="67">
        <v>356705681055549</v>
      </c>
      <c r="C45" s="68" t="s">
        <v>102</v>
      </c>
      <c r="D45" s="68"/>
      <c r="E45" s="55">
        <v>2410</v>
      </c>
    </row>
    <row r="46" spans="1:5" ht="20.25" customHeight="1" x14ac:dyDescent="0.25">
      <c r="A46" s="64">
        <v>44</v>
      </c>
      <c r="B46" s="67">
        <v>350458523516165</v>
      </c>
      <c r="C46" s="68" t="s">
        <v>102</v>
      </c>
      <c r="D46" s="68" t="s">
        <v>96</v>
      </c>
      <c r="E46" s="55">
        <v>2410</v>
      </c>
    </row>
    <row r="47" spans="1:5" ht="20.25" customHeight="1" x14ac:dyDescent="0.25">
      <c r="A47" s="64">
        <v>45</v>
      </c>
      <c r="B47" s="67">
        <v>358712820961777</v>
      </c>
      <c r="C47" s="68" t="s">
        <v>102</v>
      </c>
      <c r="D47" s="68" t="s">
        <v>96</v>
      </c>
      <c r="E47" s="55">
        <v>2410</v>
      </c>
    </row>
    <row r="48" spans="1:5" ht="20.25" customHeight="1" x14ac:dyDescent="0.25">
      <c r="A48" s="64">
        <v>46</v>
      </c>
      <c r="B48" s="67">
        <v>357494477002046</v>
      </c>
      <c r="C48" s="68" t="s">
        <v>102</v>
      </c>
      <c r="D48" s="68" t="s">
        <v>96</v>
      </c>
      <c r="E48" s="55">
        <v>2410</v>
      </c>
    </row>
    <row r="49" spans="1:6" ht="20.25" customHeight="1" x14ac:dyDescent="0.25">
      <c r="A49" s="64">
        <v>47</v>
      </c>
      <c r="B49" s="67">
        <v>352066341872096</v>
      </c>
      <c r="C49" s="68" t="s">
        <v>154</v>
      </c>
      <c r="D49" s="68" t="s">
        <v>96</v>
      </c>
      <c r="E49" s="55">
        <v>3900</v>
      </c>
    </row>
    <row r="50" spans="1:6" ht="20.25" customHeight="1" x14ac:dyDescent="0.25">
      <c r="A50" s="64">
        <v>48</v>
      </c>
      <c r="B50" s="67">
        <v>351657590978138</v>
      </c>
      <c r="C50" s="68" t="s">
        <v>155</v>
      </c>
      <c r="D50" s="68" t="s">
        <v>96</v>
      </c>
      <c r="E50" s="55">
        <v>3350</v>
      </c>
    </row>
    <row r="51" spans="1:6" ht="20.25" customHeight="1" x14ac:dyDescent="0.25">
      <c r="A51" s="64">
        <v>49</v>
      </c>
      <c r="B51" s="97">
        <v>351159271538620</v>
      </c>
      <c r="C51" s="98" t="s">
        <v>156</v>
      </c>
      <c r="D51" s="98" t="s">
        <v>96</v>
      </c>
      <c r="E51" s="99">
        <v>1250</v>
      </c>
    </row>
    <row r="52" spans="1:6" ht="20.25" customHeight="1" x14ac:dyDescent="0.25">
      <c r="A52" s="64">
        <v>50</v>
      </c>
      <c r="B52" s="97">
        <v>351159270835050</v>
      </c>
      <c r="C52" s="98" t="s">
        <v>156</v>
      </c>
      <c r="D52" s="98" t="s">
        <v>96</v>
      </c>
      <c r="E52" s="99">
        <v>1250</v>
      </c>
    </row>
    <row r="53" spans="1:6" ht="20.25" customHeight="1" x14ac:dyDescent="0.25">
      <c r="A53" s="64">
        <v>51</v>
      </c>
      <c r="B53" s="97">
        <v>352302613791924</v>
      </c>
      <c r="C53" s="98" t="s">
        <v>157</v>
      </c>
      <c r="D53" s="98" t="s">
        <v>96</v>
      </c>
      <c r="E53" s="99">
        <v>1250</v>
      </c>
    </row>
    <row r="54" spans="1:6" ht="20.25" customHeight="1" x14ac:dyDescent="0.25">
      <c r="A54" s="64">
        <v>52</v>
      </c>
      <c r="B54" s="67">
        <v>352315400869620</v>
      </c>
      <c r="C54" s="68" t="s">
        <v>149</v>
      </c>
      <c r="D54" s="68" t="s">
        <v>96</v>
      </c>
      <c r="E54" s="69">
        <v>2580</v>
      </c>
    </row>
    <row r="55" spans="1:6" ht="20.25" customHeight="1" x14ac:dyDescent="0.25">
      <c r="A55" s="64">
        <v>53</v>
      </c>
      <c r="B55" s="67">
        <v>359297747382058</v>
      </c>
      <c r="C55" s="68" t="s">
        <v>58</v>
      </c>
      <c r="D55" s="68" t="s">
        <v>96</v>
      </c>
      <c r="E55" s="69">
        <v>2750</v>
      </c>
    </row>
    <row r="56" spans="1:6" ht="20.25" customHeight="1" x14ac:dyDescent="0.25">
      <c r="A56" s="64">
        <v>54</v>
      </c>
      <c r="B56" s="67">
        <v>357189986213528</v>
      </c>
      <c r="C56" s="68" t="s">
        <v>158</v>
      </c>
      <c r="D56" s="68" t="s">
        <v>96</v>
      </c>
      <c r="E56" s="69">
        <v>1400</v>
      </c>
    </row>
    <row r="57" spans="1:6" ht="20.25" customHeight="1" x14ac:dyDescent="0.25">
      <c r="A57" s="64">
        <v>55</v>
      </c>
      <c r="B57" s="67">
        <v>355469920332721</v>
      </c>
      <c r="C57" s="68" t="s">
        <v>149</v>
      </c>
      <c r="D57" s="68" t="s">
        <v>96</v>
      </c>
      <c r="E57" s="69">
        <v>2580</v>
      </c>
    </row>
    <row r="58" spans="1:6" ht="20.25" customHeight="1" x14ac:dyDescent="0.25">
      <c r="A58" s="64">
        <v>56</v>
      </c>
      <c r="B58" s="67">
        <v>355783829855057</v>
      </c>
      <c r="C58" s="68" t="s">
        <v>152</v>
      </c>
      <c r="D58" s="68" t="s">
        <v>96</v>
      </c>
      <c r="E58" s="69">
        <v>2600</v>
      </c>
    </row>
    <row r="59" spans="1:6" ht="20.25" customHeight="1" x14ac:dyDescent="0.25">
      <c r="A59" s="64">
        <v>57</v>
      </c>
      <c r="B59" s="84">
        <v>352161331961668</v>
      </c>
      <c r="C59" s="87" t="s">
        <v>159</v>
      </c>
      <c r="D59" s="85" t="s">
        <v>96</v>
      </c>
      <c r="E59" s="88">
        <v>0</v>
      </c>
      <c r="F59" s="82"/>
    </row>
    <row r="60" spans="1:6" ht="20.25" customHeight="1" x14ac:dyDescent="0.25">
      <c r="A60" s="64">
        <v>58</v>
      </c>
      <c r="B60" s="67">
        <v>353393817385935</v>
      </c>
      <c r="C60" s="68" t="s">
        <v>151</v>
      </c>
      <c r="D60" s="68" t="s">
        <v>96</v>
      </c>
      <c r="E60" s="69">
        <v>2400</v>
      </c>
    </row>
    <row r="61" spans="1:6" ht="20.25" customHeight="1" x14ac:dyDescent="0.25">
      <c r="A61" s="64">
        <v>59</v>
      </c>
      <c r="B61" s="67">
        <v>355783829107350</v>
      </c>
      <c r="C61" s="68" t="s">
        <v>151</v>
      </c>
      <c r="D61" s="68" t="s">
        <v>96</v>
      </c>
      <c r="E61" s="69">
        <v>2400</v>
      </c>
    </row>
    <row r="62" spans="1:6" ht="20.25" customHeight="1" x14ac:dyDescent="0.25">
      <c r="A62" s="64">
        <v>60</v>
      </c>
      <c r="B62" s="67">
        <v>356339498509126</v>
      </c>
      <c r="C62" s="68" t="s">
        <v>160</v>
      </c>
      <c r="D62" s="68" t="s">
        <v>96</v>
      </c>
      <c r="E62" s="69">
        <v>2500</v>
      </c>
    </row>
    <row r="63" spans="1:6" ht="20.25" customHeight="1" x14ac:dyDescent="0.25">
      <c r="A63" s="64">
        <v>61</v>
      </c>
      <c r="B63" s="67">
        <v>355783829211053</v>
      </c>
      <c r="C63" s="68" t="s">
        <v>149</v>
      </c>
      <c r="D63" s="68" t="s">
        <v>96</v>
      </c>
      <c r="E63" s="69">
        <v>2580</v>
      </c>
    </row>
    <row r="64" spans="1:6" ht="20.25" customHeight="1" x14ac:dyDescent="0.25">
      <c r="A64" s="64">
        <v>62</v>
      </c>
      <c r="B64" s="84">
        <v>359528813164966</v>
      </c>
      <c r="C64" s="87" t="s">
        <v>159</v>
      </c>
      <c r="D64" s="85" t="s">
        <v>96</v>
      </c>
      <c r="E64" s="88">
        <v>0</v>
      </c>
      <c r="F64" s="82"/>
    </row>
    <row r="65" spans="1:5" ht="20.25" customHeight="1" x14ac:dyDescent="0.25">
      <c r="A65" s="64">
        <v>63</v>
      </c>
      <c r="B65" s="67">
        <v>355688667525672</v>
      </c>
      <c r="C65" s="68" t="s">
        <v>151</v>
      </c>
      <c r="D65" s="68" t="s">
        <v>88</v>
      </c>
      <c r="E65" s="69">
        <v>2350</v>
      </c>
    </row>
    <row r="66" spans="1:5" ht="20.25" customHeight="1" x14ac:dyDescent="0.25">
      <c r="A66" s="64">
        <v>64</v>
      </c>
      <c r="B66" s="67">
        <v>354959417984175</v>
      </c>
      <c r="C66" s="68" t="s">
        <v>161</v>
      </c>
      <c r="D66" s="68" t="s">
        <v>96</v>
      </c>
      <c r="E66" s="69">
        <v>2350</v>
      </c>
    </row>
    <row r="67" spans="1:5" ht="20.25" customHeight="1" x14ac:dyDescent="0.25">
      <c r="A67" s="64">
        <v>65</v>
      </c>
      <c r="B67" s="67">
        <v>353685830198744</v>
      </c>
      <c r="C67" s="68" t="s">
        <v>158</v>
      </c>
      <c r="D67" s="68" t="s">
        <v>96</v>
      </c>
      <c r="E67" s="69">
        <v>1400</v>
      </c>
    </row>
    <row r="68" spans="1:5" ht="20.25" customHeight="1" x14ac:dyDescent="0.25">
      <c r="A68" s="64">
        <v>66</v>
      </c>
      <c r="B68" s="67">
        <v>353393819921216</v>
      </c>
      <c r="C68" s="68" t="s">
        <v>149</v>
      </c>
      <c r="D68" s="68" t="s">
        <v>96</v>
      </c>
      <c r="E68" s="69">
        <v>2580</v>
      </c>
    </row>
    <row r="69" spans="1:5" ht="20.25" customHeight="1" x14ac:dyDescent="0.25">
      <c r="A69" s="64">
        <v>67</v>
      </c>
      <c r="B69" s="67">
        <v>356706680149996</v>
      </c>
      <c r="C69" s="68" t="s">
        <v>102</v>
      </c>
      <c r="D69" s="68" t="s">
        <v>96</v>
      </c>
      <c r="E69" s="69">
        <v>2410</v>
      </c>
    </row>
    <row r="70" spans="1:5" ht="20.25" customHeight="1" x14ac:dyDescent="0.25">
      <c r="A70" s="64">
        <v>68</v>
      </c>
      <c r="B70" s="67">
        <v>358712821310396</v>
      </c>
      <c r="C70" s="68" t="s">
        <v>102</v>
      </c>
      <c r="D70" s="68" t="s">
        <v>96</v>
      </c>
      <c r="E70" s="69">
        <v>2410</v>
      </c>
    </row>
    <row r="71" spans="1:5" ht="20.25" customHeight="1" x14ac:dyDescent="0.25">
      <c r="A71" s="64">
        <v>69</v>
      </c>
      <c r="B71" s="67">
        <v>358712020509592</v>
      </c>
      <c r="C71" s="68" t="s">
        <v>102</v>
      </c>
      <c r="D71" s="68" t="s">
        <v>96</v>
      </c>
      <c r="E71" s="69">
        <v>2410</v>
      </c>
    </row>
    <row r="72" spans="1:5" ht="20.25" customHeight="1" x14ac:dyDescent="0.25">
      <c r="A72" s="64">
        <v>70</v>
      </c>
      <c r="B72" s="67">
        <v>356706681555985</v>
      </c>
      <c r="C72" s="68" t="s">
        <v>102</v>
      </c>
      <c r="D72" s="68" t="s">
        <v>96</v>
      </c>
      <c r="E72" s="69">
        <v>2410</v>
      </c>
    </row>
    <row r="73" spans="1:5" ht="20.25" customHeight="1" x14ac:dyDescent="0.25">
      <c r="A73" s="64">
        <v>71</v>
      </c>
      <c r="B73" s="67">
        <v>355767499752702</v>
      </c>
      <c r="C73" s="68" t="s">
        <v>102</v>
      </c>
      <c r="D73" s="68" t="s">
        <v>96</v>
      </c>
      <c r="E73" s="69">
        <v>2410</v>
      </c>
    </row>
    <row r="74" spans="1:5" ht="20.25" customHeight="1" x14ac:dyDescent="0.25">
      <c r="A74" s="64">
        <v>72</v>
      </c>
      <c r="B74" s="65">
        <v>352512146513070</v>
      </c>
      <c r="C74" s="66" t="s">
        <v>162</v>
      </c>
      <c r="D74" s="22"/>
      <c r="E74" s="70">
        <v>0</v>
      </c>
    </row>
    <row r="75" spans="1:5" ht="20.25" customHeight="1" x14ac:dyDescent="0.25">
      <c r="A75" s="64">
        <v>73</v>
      </c>
      <c r="B75" s="65">
        <v>352512146504335</v>
      </c>
      <c r="C75" s="66" t="s">
        <v>162</v>
      </c>
      <c r="D75" s="22"/>
      <c r="E75" s="70">
        <v>0</v>
      </c>
    </row>
    <row r="76" spans="1:5" ht="20.25" customHeight="1" x14ac:dyDescent="0.25">
      <c r="A76" s="64">
        <v>74</v>
      </c>
      <c r="B76" s="65">
        <v>351036684194128</v>
      </c>
      <c r="C76" s="66" t="s">
        <v>163</v>
      </c>
      <c r="D76" s="22"/>
      <c r="E76" s="70">
        <v>0</v>
      </c>
    </row>
    <row r="77" spans="1:5" ht="20.25" customHeight="1" x14ac:dyDescent="0.25">
      <c r="A77" s="64">
        <v>75</v>
      </c>
      <c r="B77" s="65">
        <v>351036684214579</v>
      </c>
      <c r="C77" s="66" t="s">
        <v>163</v>
      </c>
      <c r="D77" s="22"/>
      <c r="E77" s="70">
        <v>0</v>
      </c>
    </row>
    <row r="78" spans="1:5" ht="20.25" customHeight="1" x14ac:dyDescent="0.25">
      <c r="A78" s="64">
        <v>76</v>
      </c>
      <c r="B78" s="65">
        <v>352512145521678</v>
      </c>
      <c r="C78" s="66" t="s">
        <v>164</v>
      </c>
      <c r="D78" s="22"/>
      <c r="E78" s="70">
        <v>0</v>
      </c>
    </row>
    <row r="79" spans="1:5" ht="20.25" customHeight="1" x14ac:dyDescent="0.25">
      <c r="A79" s="64"/>
      <c r="B79" s="67"/>
      <c r="C79" s="68"/>
      <c r="E79" s="71">
        <f>SUM(E3:E78)</f>
        <v>155410</v>
      </c>
    </row>
    <row r="80" spans="1:5" ht="20.25" customHeight="1" x14ac:dyDescent="0.25">
      <c r="A80" s="64"/>
      <c r="B80" s="67"/>
      <c r="C80" s="68"/>
      <c r="E80" s="71"/>
    </row>
    <row r="81" spans="1:5" ht="20.25" customHeight="1" x14ac:dyDescent="0.25">
      <c r="A81" s="64"/>
      <c r="B81" s="67"/>
      <c r="C81" s="68"/>
      <c r="E81" s="71"/>
    </row>
    <row r="82" spans="1:5" ht="20.25" customHeight="1" x14ac:dyDescent="0.25"/>
    <row r="83" spans="1:5" ht="20.25" customHeight="1" x14ac:dyDescent="0.25"/>
    <row r="84" spans="1:5" ht="20.25" customHeight="1" x14ac:dyDescent="0.25"/>
    <row r="85" spans="1:5" ht="20.25" customHeight="1" x14ac:dyDescent="0.25"/>
    <row r="86" spans="1:5" ht="20.25" customHeight="1" x14ac:dyDescent="0.25"/>
    <row r="87" spans="1:5" ht="20.25" customHeight="1" x14ac:dyDescent="0.25"/>
    <row r="88" spans="1:5" ht="20.25" customHeight="1" x14ac:dyDescent="0.25"/>
    <row r="89" spans="1:5" ht="20.25" customHeight="1" x14ac:dyDescent="0.25"/>
    <row r="90" spans="1:5" ht="20.25" customHeight="1" x14ac:dyDescent="0.25"/>
    <row r="91" spans="1:5" ht="20.25" customHeight="1" x14ac:dyDescent="0.25"/>
    <row r="92" spans="1:5" ht="20.25" customHeight="1" x14ac:dyDescent="0.25"/>
    <row r="93" spans="1:5" ht="20.25" customHeight="1" x14ac:dyDescent="0.25"/>
    <row r="94" spans="1:5" ht="20.25" customHeight="1" x14ac:dyDescent="0.25"/>
    <row r="95" spans="1:5" ht="20.25" customHeight="1" x14ac:dyDescent="0.25"/>
    <row r="96" spans="1:5" ht="20.25" customHeight="1" x14ac:dyDescent="0.25"/>
    <row r="97" ht="20.25" customHeight="1" x14ac:dyDescent="0.25"/>
    <row r="98" ht="20.25" customHeight="1" x14ac:dyDescent="0.25"/>
    <row r="99" ht="20.25" customHeight="1" x14ac:dyDescent="0.25"/>
    <row r="100" ht="20.25" customHeight="1" x14ac:dyDescent="0.25"/>
    <row r="101" ht="20.25" customHeight="1" x14ac:dyDescent="0.25"/>
    <row r="102" ht="20.25" customHeight="1" x14ac:dyDescent="0.25"/>
    <row r="103" ht="20.25" customHeight="1" x14ac:dyDescent="0.25"/>
    <row r="104" ht="20.25" customHeight="1" x14ac:dyDescent="0.25"/>
    <row r="105" ht="20.25" customHeight="1" x14ac:dyDescent="0.25"/>
    <row r="106" ht="20.25" customHeight="1" x14ac:dyDescent="0.25"/>
    <row r="107" ht="20.25" customHeight="1" x14ac:dyDescent="0.25"/>
    <row r="108" ht="20.25" customHeight="1" x14ac:dyDescent="0.25"/>
    <row r="109" ht="20.25" customHeight="1" x14ac:dyDescent="0.25"/>
    <row r="110" ht="20.25" customHeight="1" x14ac:dyDescent="0.25"/>
    <row r="111" ht="20.25" customHeight="1" x14ac:dyDescent="0.25"/>
    <row r="112" ht="20.25" customHeight="1" x14ac:dyDescent="0.25"/>
    <row r="113" ht="20.25" customHeight="1" x14ac:dyDescent="0.25"/>
    <row r="114" ht="20.25" customHeight="1" x14ac:dyDescent="0.25"/>
    <row r="116" ht="20.25" customHeight="1" x14ac:dyDescent="0.25"/>
  </sheetData>
  <autoFilter ref="A2:E2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4"/>
  <sheetViews>
    <sheetView topLeftCell="A18" zoomScale="120" zoomScaleNormal="120" workbookViewId="0">
      <selection activeCell="C18" sqref="C18"/>
    </sheetView>
  </sheetViews>
  <sheetFormatPr defaultRowHeight="15" x14ac:dyDescent="0.25"/>
  <cols>
    <col min="1" max="1" width="13.28515625" bestFit="1" customWidth="1"/>
    <col min="2" max="2" width="18" bestFit="1" customWidth="1"/>
    <col min="3" max="3" width="36.7109375" bestFit="1" customWidth="1"/>
    <col min="4" max="4" width="18.140625" bestFit="1" customWidth="1"/>
    <col min="5" max="5" width="17.7109375" bestFit="1" customWidth="1"/>
  </cols>
  <sheetData>
    <row r="1" spans="1:6" ht="13.5" customHeight="1" x14ac:dyDescent="0.25">
      <c r="A1" s="17" t="s">
        <v>165</v>
      </c>
      <c r="B1" s="17"/>
      <c r="C1" s="34" t="s">
        <v>166</v>
      </c>
      <c r="D1" s="17" t="s">
        <v>167</v>
      </c>
      <c r="E1" s="17"/>
    </row>
    <row r="2" spans="1:6" ht="13.5" customHeight="1" x14ac:dyDescent="0.25">
      <c r="A2" s="49" t="s">
        <v>44</v>
      </c>
      <c r="B2" s="50" t="s">
        <v>110</v>
      </c>
      <c r="C2" s="50" t="s">
        <v>46</v>
      </c>
      <c r="D2" s="50" t="s">
        <v>47</v>
      </c>
      <c r="E2" s="73" t="s">
        <v>48</v>
      </c>
    </row>
    <row r="3" spans="1:6" ht="13.5" customHeight="1" x14ac:dyDescent="0.25">
      <c r="A3" s="64">
        <v>1</v>
      </c>
      <c r="B3" s="67">
        <v>353393814507531</v>
      </c>
      <c r="C3" s="68" t="s">
        <v>57</v>
      </c>
      <c r="D3" s="68" t="s">
        <v>52</v>
      </c>
      <c r="E3" s="74">
        <v>2400</v>
      </c>
    </row>
    <row r="4" spans="1:6" ht="13.5" customHeight="1" x14ac:dyDescent="0.25">
      <c r="A4" s="64">
        <v>2</v>
      </c>
      <c r="B4" s="67">
        <v>353393817437348</v>
      </c>
      <c r="C4" s="68" t="s">
        <v>57</v>
      </c>
      <c r="D4" s="68" t="s">
        <v>52</v>
      </c>
      <c r="E4" s="74">
        <v>2400</v>
      </c>
    </row>
    <row r="5" spans="1:6" ht="13.5" customHeight="1" x14ac:dyDescent="0.25">
      <c r="A5" s="64">
        <v>3</v>
      </c>
      <c r="B5" s="67">
        <v>356884566596406</v>
      </c>
      <c r="C5" s="68" t="s">
        <v>59</v>
      </c>
      <c r="D5" s="68"/>
      <c r="E5" s="74">
        <v>2580</v>
      </c>
    </row>
    <row r="6" spans="1:6" ht="13.5" customHeight="1" x14ac:dyDescent="0.25">
      <c r="A6" s="64">
        <v>4</v>
      </c>
      <c r="B6" s="67">
        <v>9290</v>
      </c>
      <c r="C6" s="68" t="s">
        <v>59</v>
      </c>
      <c r="D6" s="68"/>
      <c r="E6" s="74">
        <v>2580</v>
      </c>
    </row>
    <row r="7" spans="1:6" ht="13.5" customHeight="1" x14ac:dyDescent="0.25">
      <c r="A7" s="64">
        <v>5</v>
      </c>
      <c r="B7" s="67">
        <v>352315408642433</v>
      </c>
      <c r="C7" s="68" t="s">
        <v>103</v>
      </c>
      <c r="D7" s="68" t="s">
        <v>52</v>
      </c>
      <c r="E7" s="74">
        <v>2600</v>
      </c>
    </row>
    <row r="8" spans="1:6" ht="13.5" customHeight="1" x14ac:dyDescent="0.25">
      <c r="A8" s="64">
        <v>6</v>
      </c>
      <c r="B8" s="67">
        <v>359072647666710</v>
      </c>
      <c r="C8" s="68" t="s">
        <v>62</v>
      </c>
      <c r="D8" s="68"/>
      <c r="E8" s="74">
        <v>2070</v>
      </c>
    </row>
    <row r="9" spans="1:6" ht="13.5" customHeight="1" x14ac:dyDescent="0.25">
      <c r="A9" s="64">
        <v>7</v>
      </c>
      <c r="B9" s="67">
        <v>357719287838019</v>
      </c>
      <c r="C9" s="68" t="s">
        <v>63</v>
      </c>
      <c r="D9" s="68" t="s">
        <v>52</v>
      </c>
      <c r="E9" s="74">
        <v>2200</v>
      </c>
    </row>
    <row r="10" spans="1:6" ht="13.5" customHeight="1" x14ac:dyDescent="0.25">
      <c r="A10" s="64">
        <v>8</v>
      </c>
      <c r="B10" s="67">
        <v>353393817644380</v>
      </c>
      <c r="C10" s="68" t="s">
        <v>57</v>
      </c>
      <c r="D10" s="68" t="s">
        <v>52</v>
      </c>
      <c r="E10" s="74">
        <v>2400</v>
      </c>
    </row>
    <row r="11" spans="1:6" ht="13.5" customHeight="1" x14ac:dyDescent="0.25">
      <c r="A11" s="64">
        <v>9</v>
      </c>
      <c r="B11" s="67">
        <v>355067545998858</v>
      </c>
      <c r="C11" s="68" t="s">
        <v>168</v>
      </c>
      <c r="D11" s="68" t="s">
        <v>52</v>
      </c>
      <c r="E11" s="74">
        <v>2600</v>
      </c>
    </row>
    <row r="12" spans="1:6" ht="13.5" customHeight="1" x14ac:dyDescent="0.25">
      <c r="A12" s="64">
        <v>10</v>
      </c>
      <c r="B12" s="67">
        <v>353393817432299</v>
      </c>
      <c r="C12" s="68" t="s">
        <v>57</v>
      </c>
      <c r="D12" s="68" t="s">
        <v>52</v>
      </c>
      <c r="E12" s="74">
        <v>2400</v>
      </c>
    </row>
    <row r="13" spans="1:6" ht="13.5" customHeight="1" x14ac:dyDescent="0.25">
      <c r="A13" s="64">
        <v>11</v>
      </c>
      <c r="B13" s="67">
        <v>359072847620024</v>
      </c>
      <c r="C13" s="68" t="s">
        <v>62</v>
      </c>
      <c r="D13" s="68" t="s">
        <v>52</v>
      </c>
      <c r="E13" s="74">
        <v>2070</v>
      </c>
    </row>
    <row r="14" spans="1:6" ht="13.5" customHeight="1" x14ac:dyDescent="0.25">
      <c r="A14" s="64">
        <v>12</v>
      </c>
      <c r="B14" s="67">
        <v>358282724774049</v>
      </c>
      <c r="C14" s="68" t="s">
        <v>61</v>
      </c>
      <c r="D14" s="68" t="s">
        <v>52</v>
      </c>
      <c r="E14" s="74">
        <v>1950</v>
      </c>
      <c r="F14" s="100"/>
    </row>
    <row r="15" spans="1:6" ht="13.5" customHeight="1" x14ac:dyDescent="0.25">
      <c r="A15" s="64">
        <v>13</v>
      </c>
      <c r="B15" s="67">
        <v>352315406891503</v>
      </c>
      <c r="C15" s="68" t="s">
        <v>103</v>
      </c>
      <c r="D15" s="68" t="s">
        <v>52</v>
      </c>
      <c r="E15" s="74">
        <v>2600</v>
      </c>
    </row>
    <row r="16" spans="1:6" ht="13.5" customHeight="1" x14ac:dyDescent="0.25">
      <c r="A16" s="64">
        <v>14</v>
      </c>
      <c r="B16" s="67">
        <v>358594358023834</v>
      </c>
      <c r="C16" s="68" t="s">
        <v>59</v>
      </c>
      <c r="D16" s="68" t="s">
        <v>52</v>
      </c>
      <c r="E16" s="74">
        <v>2580</v>
      </c>
    </row>
    <row r="17" spans="1:6" ht="13.5" customHeight="1" x14ac:dyDescent="0.25">
      <c r="A17" s="64">
        <v>15</v>
      </c>
      <c r="B17" s="67">
        <v>352315406391707</v>
      </c>
      <c r="C17" s="68" t="s">
        <v>59</v>
      </c>
      <c r="D17" s="68" t="s">
        <v>52</v>
      </c>
      <c r="E17" s="74">
        <v>2580</v>
      </c>
    </row>
    <row r="18" spans="1:6" ht="13.5" customHeight="1" x14ac:dyDescent="0.25">
      <c r="A18" s="64">
        <v>16</v>
      </c>
      <c r="B18" s="67">
        <v>356864568875941</v>
      </c>
      <c r="C18" s="68" t="s">
        <v>59</v>
      </c>
      <c r="D18" s="68" t="s">
        <v>52</v>
      </c>
      <c r="E18" s="74">
        <v>2580</v>
      </c>
    </row>
    <row r="19" spans="1:6" ht="13.5" customHeight="1" x14ac:dyDescent="0.25">
      <c r="A19" s="64">
        <v>17</v>
      </c>
      <c r="B19" s="67">
        <v>356864560683970</v>
      </c>
      <c r="C19" s="68" t="s">
        <v>57</v>
      </c>
      <c r="D19" s="68" t="s">
        <v>52</v>
      </c>
      <c r="E19" s="74">
        <v>2400</v>
      </c>
    </row>
    <row r="20" spans="1:6" ht="13.5" customHeight="1" x14ac:dyDescent="0.25">
      <c r="A20" s="64">
        <v>18</v>
      </c>
      <c r="B20" s="67">
        <v>354331125051988</v>
      </c>
      <c r="C20" s="68" t="s">
        <v>57</v>
      </c>
      <c r="D20" s="68" t="s">
        <v>52</v>
      </c>
      <c r="E20" s="74">
        <v>2400</v>
      </c>
    </row>
    <row r="21" spans="1:6" ht="13.5" customHeight="1" x14ac:dyDescent="0.25">
      <c r="A21" s="64">
        <v>19</v>
      </c>
      <c r="B21" s="67">
        <v>354331125080276</v>
      </c>
      <c r="C21" s="68" t="s">
        <v>57</v>
      </c>
      <c r="D21" s="68" t="s">
        <v>52</v>
      </c>
      <c r="E21" s="74">
        <v>2400</v>
      </c>
    </row>
    <row r="22" spans="1:6" ht="13.5" customHeight="1" x14ac:dyDescent="0.25">
      <c r="A22" s="64">
        <v>20</v>
      </c>
      <c r="B22" s="67">
        <v>357463448248020</v>
      </c>
      <c r="C22" s="68" t="s">
        <v>161</v>
      </c>
      <c r="D22" s="68" t="s">
        <v>52</v>
      </c>
      <c r="E22" s="74">
        <v>2350</v>
      </c>
    </row>
    <row r="23" spans="1:6" ht="13.5" customHeight="1" x14ac:dyDescent="0.25">
      <c r="A23" s="64">
        <v>21</v>
      </c>
      <c r="B23" s="67">
        <v>356864565509063</v>
      </c>
      <c r="C23" s="68" t="s">
        <v>169</v>
      </c>
      <c r="D23" s="68" t="s">
        <v>52</v>
      </c>
      <c r="E23" s="74">
        <v>2500</v>
      </c>
    </row>
    <row r="24" spans="1:6" ht="13.5" customHeight="1" x14ac:dyDescent="0.25">
      <c r="A24" s="64">
        <v>22</v>
      </c>
      <c r="B24" s="67">
        <v>356339499582072</v>
      </c>
      <c r="C24" s="68" t="s">
        <v>59</v>
      </c>
      <c r="D24" s="68" t="s">
        <v>52</v>
      </c>
      <c r="E24" s="74">
        <v>2580</v>
      </c>
    </row>
    <row r="25" spans="1:6" ht="13.5" customHeight="1" x14ac:dyDescent="0.25">
      <c r="A25" s="64">
        <v>23</v>
      </c>
      <c r="B25" s="67">
        <v>357463447499491</v>
      </c>
      <c r="C25" s="68" t="s">
        <v>170</v>
      </c>
      <c r="D25" s="68" t="s">
        <v>52</v>
      </c>
      <c r="E25" s="74">
        <v>1950</v>
      </c>
    </row>
    <row r="26" spans="1:6" ht="13.5" customHeight="1" x14ac:dyDescent="0.25">
      <c r="A26" s="64">
        <v>24</v>
      </c>
      <c r="B26" s="67">
        <v>354737612165471</v>
      </c>
      <c r="C26" s="68" t="s">
        <v>57</v>
      </c>
      <c r="D26" s="68" t="s">
        <v>52</v>
      </c>
      <c r="E26" s="74">
        <v>2400</v>
      </c>
    </row>
    <row r="27" spans="1:6" ht="13.5" customHeight="1" x14ac:dyDescent="0.25">
      <c r="A27" s="64">
        <v>25</v>
      </c>
      <c r="B27" s="67">
        <v>352664975734065</v>
      </c>
      <c r="C27" s="68" t="s">
        <v>59</v>
      </c>
      <c r="D27" s="68" t="s">
        <v>52</v>
      </c>
      <c r="E27" s="74">
        <v>2580</v>
      </c>
    </row>
    <row r="28" spans="1:6" ht="13.5" customHeight="1" x14ac:dyDescent="0.25">
      <c r="A28" s="64">
        <v>26</v>
      </c>
      <c r="B28" s="67">
        <v>359896927336915</v>
      </c>
      <c r="C28" s="68" t="s">
        <v>171</v>
      </c>
      <c r="D28" s="68" t="s">
        <v>52</v>
      </c>
      <c r="E28" s="74">
        <v>2200</v>
      </c>
    </row>
    <row r="29" spans="1:6" ht="13.5" customHeight="1" x14ac:dyDescent="0.25">
      <c r="A29" s="64">
        <v>27</v>
      </c>
      <c r="B29" s="67">
        <v>352664975676779</v>
      </c>
      <c r="C29" s="68" t="s">
        <v>59</v>
      </c>
      <c r="D29" s="68" t="s">
        <v>52</v>
      </c>
      <c r="E29" s="74">
        <v>2580</v>
      </c>
      <c r="F29" s="100"/>
    </row>
    <row r="30" spans="1:6" ht="13.5" customHeight="1" x14ac:dyDescent="0.25">
      <c r="A30" s="64">
        <v>28</v>
      </c>
      <c r="B30" s="67">
        <v>353393817961628</v>
      </c>
      <c r="C30" s="68" t="s">
        <v>59</v>
      </c>
      <c r="D30" s="68" t="s">
        <v>52</v>
      </c>
      <c r="E30" s="74">
        <v>2580</v>
      </c>
    </row>
    <row r="31" spans="1:6" ht="13.5" customHeight="1" x14ac:dyDescent="0.25">
      <c r="A31" s="64">
        <v>29</v>
      </c>
      <c r="B31" s="67">
        <v>351614402603073</v>
      </c>
      <c r="C31" s="68" t="s">
        <v>172</v>
      </c>
      <c r="D31" s="68" t="s">
        <v>52</v>
      </c>
      <c r="E31" s="74">
        <v>2600</v>
      </c>
    </row>
    <row r="32" spans="1:6" ht="13.5" customHeight="1" x14ac:dyDescent="0.25">
      <c r="A32" s="64">
        <v>30</v>
      </c>
      <c r="B32" s="67">
        <v>353393817784764</v>
      </c>
      <c r="C32" s="68" t="s">
        <v>59</v>
      </c>
      <c r="D32" s="68" t="s">
        <v>52</v>
      </c>
      <c r="E32" s="74">
        <v>2580</v>
      </c>
    </row>
    <row r="33" spans="1:6" ht="13.5" customHeight="1" x14ac:dyDescent="0.25">
      <c r="A33" s="64">
        <v>31</v>
      </c>
      <c r="B33" s="67">
        <v>358282725370631</v>
      </c>
      <c r="C33" s="68" t="s">
        <v>87</v>
      </c>
      <c r="D33" s="68" t="s">
        <v>52</v>
      </c>
      <c r="E33" s="74">
        <v>2200</v>
      </c>
    </row>
    <row r="34" spans="1:6" ht="13.5" customHeight="1" x14ac:dyDescent="0.25">
      <c r="A34" s="64">
        <v>32</v>
      </c>
      <c r="B34" s="67">
        <v>354331129377280</v>
      </c>
      <c r="C34" s="68" t="s">
        <v>90</v>
      </c>
      <c r="D34" s="68" t="s">
        <v>52</v>
      </c>
      <c r="E34" s="74">
        <v>2500</v>
      </c>
    </row>
    <row r="35" spans="1:6" ht="13.5" customHeight="1" x14ac:dyDescent="0.25">
      <c r="A35" s="64">
        <v>33</v>
      </c>
      <c r="B35" s="67">
        <v>358862980440797</v>
      </c>
      <c r="C35" s="68" t="s">
        <v>57</v>
      </c>
      <c r="D35" s="68" t="s">
        <v>52</v>
      </c>
      <c r="E35" s="74">
        <v>2400</v>
      </c>
    </row>
    <row r="36" spans="1:6" ht="13.5" customHeight="1" x14ac:dyDescent="0.25">
      <c r="A36" s="64">
        <v>34</v>
      </c>
      <c r="B36" s="67">
        <v>351514405699540</v>
      </c>
      <c r="C36" s="68" t="s">
        <v>173</v>
      </c>
      <c r="D36" s="68" t="s">
        <v>52</v>
      </c>
      <c r="E36" s="74">
        <v>2600</v>
      </c>
      <c r="F36" s="101"/>
    </row>
    <row r="37" spans="1:6" ht="13.5" customHeight="1" x14ac:dyDescent="0.25">
      <c r="A37" s="64">
        <v>35</v>
      </c>
      <c r="B37" s="67">
        <v>356706681604668</v>
      </c>
      <c r="C37" s="68" t="s">
        <v>102</v>
      </c>
      <c r="D37" s="68" t="s">
        <v>52</v>
      </c>
      <c r="E37" s="74">
        <v>2410</v>
      </c>
    </row>
    <row r="38" spans="1:6" ht="13.5" customHeight="1" x14ac:dyDescent="0.25">
      <c r="A38" s="64">
        <v>36</v>
      </c>
      <c r="B38" s="67">
        <v>356706680453448</v>
      </c>
      <c r="C38" s="68" t="s">
        <v>102</v>
      </c>
      <c r="D38" s="68" t="s">
        <v>52</v>
      </c>
      <c r="E38" s="74">
        <v>2410</v>
      </c>
    </row>
    <row r="39" spans="1:6" ht="13.5" customHeight="1" x14ac:dyDescent="0.25">
      <c r="A39" s="64">
        <v>37</v>
      </c>
      <c r="B39" s="67">
        <v>355767497084173</v>
      </c>
      <c r="C39" s="68" t="s">
        <v>102</v>
      </c>
      <c r="D39" s="68" t="s">
        <v>52</v>
      </c>
      <c r="E39" s="74">
        <v>2410</v>
      </c>
    </row>
    <row r="40" spans="1:6" ht="13.5" customHeight="1" x14ac:dyDescent="0.25">
      <c r="A40" s="64">
        <v>38</v>
      </c>
      <c r="B40" s="84">
        <v>356706680451202</v>
      </c>
      <c r="C40" s="85" t="s">
        <v>102</v>
      </c>
      <c r="D40" s="85" t="s">
        <v>52</v>
      </c>
      <c r="E40" s="89"/>
      <c r="F40">
        <v>2360</v>
      </c>
    </row>
    <row r="41" spans="1:6" ht="13.5" customHeight="1" x14ac:dyDescent="0.25">
      <c r="A41" s="64">
        <v>39</v>
      </c>
      <c r="B41" s="67">
        <v>356706680061316</v>
      </c>
      <c r="C41" s="68" t="s">
        <v>102</v>
      </c>
      <c r="D41" s="68" t="s">
        <v>52</v>
      </c>
      <c r="E41" s="74">
        <v>2410</v>
      </c>
    </row>
    <row r="42" spans="1:6" ht="13.5" customHeight="1" x14ac:dyDescent="0.25">
      <c r="A42" s="64">
        <v>40</v>
      </c>
      <c r="B42" s="67">
        <v>358712820168530</v>
      </c>
      <c r="C42" s="68" t="s">
        <v>102</v>
      </c>
      <c r="D42" s="68" t="s">
        <v>52</v>
      </c>
      <c r="E42" s="74">
        <v>2410</v>
      </c>
    </row>
    <row r="43" spans="1:6" ht="13.5" customHeight="1" x14ac:dyDescent="0.25">
      <c r="A43" s="64">
        <v>41</v>
      </c>
      <c r="B43" s="67">
        <v>358712820504072</v>
      </c>
      <c r="C43" s="68" t="s">
        <v>102</v>
      </c>
      <c r="D43" s="68" t="s">
        <v>52</v>
      </c>
      <c r="E43" s="74">
        <v>2410</v>
      </c>
    </row>
    <row r="44" spans="1:6" ht="13.5" customHeight="1" x14ac:dyDescent="0.25">
      <c r="A44" s="64">
        <v>42</v>
      </c>
      <c r="B44" s="67">
        <v>356706681404051</v>
      </c>
      <c r="C44" s="68" t="s">
        <v>102</v>
      </c>
      <c r="D44" s="68" t="s">
        <v>52</v>
      </c>
      <c r="E44" s="74">
        <v>2410</v>
      </c>
    </row>
    <row r="45" spans="1:6" ht="13.5" customHeight="1" x14ac:dyDescent="0.25">
      <c r="A45" s="64">
        <v>43</v>
      </c>
      <c r="B45" s="67">
        <v>356706680287895</v>
      </c>
      <c r="C45" s="68" t="s">
        <v>102</v>
      </c>
      <c r="D45" s="68" t="s">
        <v>52</v>
      </c>
      <c r="E45" s="74">
        <v>2410</v>
      </c>
    </row>
    <row r="46" spans="1:6" ht="13.5" customHeight="1" x14ac:dyDescent="0.25">
      <c r="A46" s="64">
        <v>44</v>
      </c>
      <c r="B46" s="67">
        <v>356245746410035</v>
      </c>
      <c r="C46" s="68" t="s">
        <v>102</v>
      </c>
      <c r="D46" s="68" t="s">
        <v>52</v>
      </c>
      <c r="E46" s="74">
        <v>2410</v>
      </c>
    </row>
    <row r="47" spans="1:6" ht="13.5" customHeight="1" x14ac:dyDescent="0.25">
      <c r="A47" s="72">
        <v>45</v>
      </c>
      <c r="B47" s="65">
        <v>355468252747803</v>
      </c>
      <c r="C47" s="66" t="s">
        <v>174</v>
      </c>
      <c r="D47" s="66" t="s">
        <v>52</v>
      </c>
      <c r="E47" s="75">
        <v>0</v>
      </c>
    </row>
    <row r="48" spans="1:6" ht="13.5" customHeight="1" x14ac:dyDescent="0.25">
      <c r="A48" s="72">
        <v>46</v>
      </c>
      <c r="B48" s="65">
        <v>359401797645063</v>
      </c>
      <c r="C48" s="66" t="s">
        <v>174</v>
      </c>
      <c r="D48" s="66" t="s">
        <v>52</v>
      </c>
      <c r="E48" s="75">
        <v>0</v>
      </c>
    </row>
    <row r="49" spans="1:6" ht="13.5" customHeight="1" x14ac:dyDescent="0.25">
      <c r="A49" s="64">
        <v>47</v>
      </c>
      <c r="B49" s="67">
        <v>357810544886261</v>
      </c>
      <c r="C49" s="68" t="s">
        <v>101</v>
      </c>
      <c r="D49" s="68" t="s">
        <v>52</v>
      </c>
      <c r="E49" s="74">
        <v>1220</v>
      </c>
    </row>
    <row r="50" spans="1:6" ht="13.5" customHeight="1" x14ac:dyDescent="0.25">
      <c r="A50" s="64">
        <v>48</v>
      </c>
      <c r="B50" s="67">
        <v>351657590489458</v>
      </c>
      <c r="C50" s="68" t="s">
        <v>175</v>
      </c>
      <c r="D50" s="68" t="s">
        <v>52</v>
      </c>
      <c r="E50" s="74">
        <v>3550</v>
      </c>
    </row>
    <row r="51" spans="1:6" ht="13.5" customHeight="1" x14ac:dyDescent="0.25">
      <c r="A51" s="64">
        <v>49</v>
      </c>
      <c r="B51" s="67">
        <v>356196183122890</v>
      </c>
      <c r="C51" s="68" t="s">
        <v>176</v>
      </c>
      <c r="D51" s="68" t="s">
        <v>88</v>
      </c>
      <c r="E51" s="74">
        <v>1200</v>
      </c>
    </row>
    <row r="52" spans="1:6" ht="13.5" customHeight="1" x14ac:dyDescent="0.25">
      <c r="A52" s="64">
        <v>50</v>
      </c>
      <c r="B52" s="67">
        <v>356196184853048</v>
      </c>
      <c r="C52" s="68" t="s">
        <v>177</v>
      </c>
      <c r="D52" s="68" t="s">
        <v>52</v>
      </c>
      <c r="E52" s="74">
        <v>1230</v>
      </c>
    </row>
    <row r="53" spans="1:6" ht="13.5" customHeight="1" x14ac:dyDescent="0.25">
      <c r="A53" s="72">
        <v>51</v>
      </c>
      <c r="B53" s="65">
        <v>352512146632136</v>
      </c>
      <c r="C53" s="66" t="s">
        <v>178</v>
      </c>
      <c r="D53" s="22"/>
      <c r="E53" s="75">
        <v>0</v>
      </c>
      <c r="F53" t="s">
        <v>179</v>
      </c>
    </row>
    <row r="54" spans="1:6" ht="13.5" customHeight="1" x14ac:dyDescent="0.25">
      <c r="A54" s="72">
        <v>52</v>
      </c>
      <c r="B54" s="65">
        <v>352512146406523</v>
      </c>
      <c r="C54" s="66" t="s">
        <v>180</v>
      </c>
      <c r="D54" s="22"/>
      <c r="E54" s="75">
        <v>0</v>
      </c>
      <c r="F54" t="s">
        <v>181</v>
      </c>
    </row>
    <row r="55" spans="1:6" ht="13.5" customHeight="1" x14ac:dyDescent="0.25">
      <c r="A55" s="72">
        <v>53</v>
      </c>
      <c r="B55" s="65">
        <v>358574634379939</v>
      </c>
      <c r="C55" s="66" t="s">
        <v>178</v>
      </c>
      <c r="D55" s="22"/>
      <c r="E55" s="75">
        <v>0</v>
      </c>
      <c r="F55" t="s">
        <v>179</v>
      </c>
    </row>
    <row r="56" spans="1:6" ht="13.5" customHeight="1" x14ac:dyDescent="0.25">
      <c r="A56" s="72">
        <v>54</v>
      </c>
      <c r="B56" s="65">
        <v>352512146737000</v>
      </c>
      <c r="C56" s="66" t="s">
        <v>180</v>
      </c>
      <c r="D56" s="22"/>
      <c r="E56" s="75">
        <v>0</v>
      </c>
      <c r="F56" t="s">
        <v>179</v>
      </c>
    </row>
    <row r="57" spans="1:6" ht="13.5" customHeight="1" x14ac:dyDescent="0.25">
      <c r="A57" s="72">
        <v>55</v>
      </c>
      <c r="B57" s="65">
        <v>352512145480123</v>
      </c>
      <c r="C57" s="66" t="s">
        <v>180</v>
      </c>
      <c r="D57" s="22"/>
      <c r="E57" s="75">
        <v>0</v>
      </c>
      <c r="F57" t="s">
        <v>179</v>
      </c>
    </row>
    <row r="58" spans="1:6" ht="13.5" customHeight="1" x14ac:dyDescent="0.25">
      <c r="A58" s="72">
        <v>56</v>
      </c>
      <c r="B58" s="65">
        <v>358754771074994</v>
      </c>
      <c r="C58" s="66" t="s">
        <v>180</v>
      </c>
      <c r="D58" s="22"/>
      <c r="E58" s="75">
        <v>0</v>
      </c>
      <c r="F58" t="s">
        <v>179</v>
      </c>
    </row>
    <row r="59" spans="1:6" ht="13.5" customHeight="1" x14ac:dyDescent="0.25">
      <c r="A59" s="72">
        <v>57</v>
      </c>
      <c r="B59" s="65">
        <v>358754771168770</v>
      </c>
      <c r="C59" s="66" t="s">
        <v>180</v>
      </c>
      <c r="D59" s="22"/>
      <c r="E59" s="75">
        <v>0</v>
      </c>
      <c r="F59" t="s">
        <v>179</v>
      </c>
    </row>
    <row r="60" spans="1:6" ht="13.5" customHeight="1" x14ac:dyDescent="0.25">
      <c r="A60" s="72">
        <v>58</v>
      </c>
      <c r="B60" s="65">
        <v>352512146784952</v>
      </c>
      <c r="C60" s="66" t="s">
        <v>182</v>
      </c>
      <c r="D60" s="22"/>
      <c r="E60" s="75">
        <v>0</v>
      </c>
      <c r="F60" t="s">
        <v>179</v>
      </c>
    </row>
    <row r="61" spans="1:6" ht="13.5" customHeight="1" x14ac:dyDescent="0.25">
      <c r="A61" s="72">
        <v>59</v>
      </c>
      <c r="B61" s="65">
        <v>352512146853864</v>
      </c>
      <c r="C61" s="66" t="s">
        <v>182</v>
      </c>
      <c r="D61" s="22"/>
      <c r="E61" s="75">
        <v>0</v>
      </c>
      <c r="F61" t="s">
        <v>179</v>
      </c>
    </row>
    <row r="62" spans="1:6" ht="13.5" customHeight="1" x14ac:dyDescent="0.25">
      <c r="A62" s="72">
        <v>60</v>
      </c>
      <c r="B62" s="65">
        <v>352512146586894</v>
      </c>
      <c r="C62" s="66" t="s">
        <v>182</v>
      </c>
      <c r="D62" s="32"/>
      <c r="E62" s="75">
        <v>0</v>
      </c>
      <c r="F62" t="s">
        <v>179</v>
      </c>
    </row>
    <row r="63" spans="1:6" ht="13.5" customHeight="1" x14ac:dyDescent="0.25"/>
    <row r="64" spans="1:6" ht="13.5" customHeight="1" x14ac:dyDescent="0.25">
      <c r="E64" s="71">
        <f>SUM(E3:E63)</f>
        <v>111280</v>
      </c>
    </row>
  </sheetData>
  <autoFilter ref="A2:E2" xr:uid="{00000000-0001-0000-05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workbookViewId="0">
      <selection activeCell="E23" sqref="E23"/>
    </sheetView>
  </sheetViews>
  <sheetFormatPr defaultRowHeight="17.25" customHeight="1" x14ac:dyDescent="0.25"/>
  <cols>
    <col min="1" max="1" width="13.28515625" bestFit="1" customWidth="1"/>
    <col min="2" max="2" width="17" bestFit="1" customWidth="1"/>
    <col min="3" max="3" width="26.7109375" bestFit="1" customWidth="1"/>
    <col min="4" max="4" width="18.140625" bestFit="1" customWidth="1"/>
    <col min="5" max="5" width="19.5703125" bestFit="1" customWidth="1"/>
    <col min="6" max="6" width="14.7109375" customWidth="1"/>
  </cols>
  <sheetData>
    <row r="1" spans="1:6" ht="17.25" customHeight="1" x14ac:dyDescent="0.25">
      <c r="A1" s="17" t="s">
        <v>183</v>
      </c>
      <c r="B1" s="17"/>
      <c r="C1" s="34" t="s">
        <v>184</v>
      </c>
      <c r="D1" s="17" t="s">
        <v>167</v>
      </c>
      <c r="E1" s="17"/>
    </row>
    <row r="2" spans="1:6" ht="17.25" customHeight="1" x14ac:dyDescent="0.25">
      <c r="A2" s="49" t="s">
        <v>44</v>
      </c>
      <c r="B2" s="50" t="s">
        <v>110</v>
      </c>
      <c r="C2" s="50" t="s">
        <v>46</v>
      </c>
      <c r="D2" s="50" t="s">
        <v>47</v>
      </c>
      <c r="E2" s="73" t="s">
        <v>48</v>
      </c>
    </row>
    <row r="3" spans="1:6" ht="17.25" customHeight="1" x14ac:dyDescent="0.25">
      <c r="A3" s="102">
        <v>1</v>
      </c>
      <c r="B3" s="103">
        <v>352315404164325</v>
      </c>
      <c r="C3" s="104" t="s">
        <v>200</v>
      </c>
      <c r="D3" s="104" t="s">
        <v>52</v>
      </c>
      <c r="E3" s="105"/>
      <c r="F3">
        <v>2300</v>
      </c>
    </row>
    <row r="4" spans="1:6" ht="17.25" customHeight="1" x14ac:dyDescent="0.25">
      <c r="A4" s="64">
        <v>2</v>
      </c>
      <c r="B4" s="67">
        <v>354210970712920</v>
      </c>
      <c r="C4" s="68" t="s">
        <v>185</v>
      </c>
      <c r="D4" s="68" t="s">
        <v>52</v>
      </c>
      <c r="E4" s="74">
        <v>2400</v>
      </c>
    </row>
    <row r="5" spans="1:6" ht="17.25" customHeight="1" x14ac:dyDescent="0.25">
      <c r="A5" s="64">
        <v>3</v>
      </c>
      <c r="B5" s="67">
        <v>354423238437723</v>
      </c>
      <c r="C5" s="68" t="s">
        <v>186</v>
      </c>
      <c r="D5" s="68" t="s">
        <v>52</v>
      </c>
      <c r="E5" s="74">
        <v>2600</v>
      </c>
    </row>
    <row r="6" spans="1:6" ht="17.25" customHeight="1" x14ac:dyDescent="0.25">
      <c r="A6" s="64">
        <v>4</v>
      </c>
      <c r="B6" s="67">
        <v>350339496824658</v>
      </c>
      <c r="C6" s="68" t="s">
        <v>187</v>
      </c>
      <c r="D6" s="68" t="s">
        <v>52</v>
      </c>
      <c r="E6" s="74">
        <v>2580</v>
      </c>
    </row>
    <row r="7" spans="1:6" ht="17.25" customHeight="1" x14ac:dyDescent="0.25">
      <c r="A7" s="64">
        <v>5</v>
      </c>
      <c r="B7" s="67">
        <v>358594368902037</v>
      </c>
      <c r="C7" s="68" t="s">
        <v>187</v>
      </c>
      <c r="D7" s="68" t="s">
        <v>52</v>
      </c>
      <c r="E7" s="74">
        <v>2580</v>
      </c>
    </row>
    <row r="8" spans="1:6" ht="17.25" customHeight="1" x14ac:dyDescent="0.25">
      <c r="A8" s="64">
        <v>6</v>
      </c>
      <c r="B8" s="67">
        <v>353393817174974</v>
      </c>
      <c r="C8" s="68" t="s">
        <v>188</v>
      </c>
      <c r="D8" s="68" t="s">
        <v>52</v>
      </c>
      <c r="E8" s="74">
        <v>2700</v>
      </c>
    </row>
    <row r="9" spans="1:6" ht="17.25" customHeight="1" x14ac:dyDescent="0.25">
      <c r="A9" s="64">
        <v>7</v>
      </c>
      <c r="B9" s="67">
        <v>351614403195079</v>
      </c>
      <c r="C9" s="68" t="s">
        <v>60</v>
      </c>
      <c r="D9" s="68" t="s">
        <v>52</v>
      </c>
      <c r="E9" s="74">
        <v>2700</v>
      </c>
    </row>
    <row r="10" spans="1:6" ht="17.25" customHeight="1" x14ac:dyDescent="0.25">
      <c r="A10" s="64">
        <v>8</v>
      </c>
      <c r="B10" s="67">
        <v>353575220152940</v>
      </c>
      <c r="C10" s="68" t="s">
        <v>189</v>
      </c>
      <c r="D10" s="68" t="s">
        <v>52</v>
      </c>
      <c r="E10" s="74">
        <v>1450</v>
      </c>
    </row>
    <row r="11" spans="1:6" ht="17.25" customHeight="1" x14ac:dyDescent="0.25">
      <c r="A11" s="64">
        <v>9</v>
      </c>
      <c r="B11" s="67">
        <v>359297746440238</v>
      </c>
      <c r="C11" s="68" t="s">
        <v>190</v>
      </c>
      <c r="D11" s="68" t="s">
        <v>52</v>
      </c>
      <c r="E11" s="74">
        <v>2070</v>
      </c>
    </row>
    <row r="12" spans="1:6" ht="17.25" customHeight="1" x14ac:dyDescent="0.25">
      <c r="A12" s="64">
        <v>10</v>
      </c>
      <c r="B12" s="67">
        <v>359229774634121</v>
      </c>
      <c r="C12" s="68" t="s">
        <v>190</v>
      </c>
      <c r="D12" s="68" t="s">
        <v>52</v>
      </c>
      <c r="E12" s="74">
        <v>2070</v>
      </c>
    </row>
    <row r="13" spans="1:6" ht="17.25" customHeight="1" x14ac:dyDescent="0.25">
      <c r="A13" s="64">
        <v>11</v>
      </c>
      <c r="B13" s="67">
        <v>350207460787838</v>
      </c>
      <c r="C13" s="68" t="s">
        <v>180</v>
      </c>
      <c r="D13" s="68"/>
      <c r="E13" s="74">
        <v>1800</v>
      </c>
    </row>
    <row r="14" spans="1:6" ht="17.25" customHeight="1" x14ac:dyDescent="0.25">
      <c r="A14" s="64">
        <v>12</v>
      </c>
      <c r="B14" s="67">
        <v>352512146065634</v>
      </c>
      <c r="C14" s="68" t="s">
        <v>178</v>
      </c>
      <c r="D14" s="68"/>
      <c r="E14" s="74">
        <v>1850</v>
      </c>
    </row>
    <row r="15" spans="1:6" ht="17.25" customHeight="1" x14ac:dyDescent="0.25">
      <c r="A15" s="64">
        <v>13</v>
      </c>
      <c r="B15" s="67">
        <v>352512145858419</v>
      </c>
      <c r="C15" s="68" t="s">
        <v>180</v>
      </c>
      <c r="D15" s="68"/>
      <c r="E15" s="74">
        <v>1800</v>
      </c>
    </row>
    <row r="16" spans="1:6" ht="17.25" customHeight="1" x14ac:dyDescent="0.25">
      <c r="A16" s="64">
        <v>14</v>
      </c>
      <c r="B16" s="67">
        <v>352512146055247</v>
      </c>
      <c r="C16" s="68" t="s">
        <v>178</v>
      </c>
      <c r="D16" s="68"/>
      <c r="E16" s="74">
        <v>1850</v>
      </c>
    </row>
    <row r="17" spans="5:5" ht="17.25" customHeight="1" x14ac:dyDescent="0.25">
      <c r="E17" s="74"/>
    </row>
    <row r="18" spans="5:5" ht="17.25" customHeight="1" x14ac:dyDescent="0.25">
      <c r="E18" s="71">
        <f>SUM(E3:E16)</f>
        <v>28450</v>
      </c>
    </row>
    <row r="19" spans="5:5" ht="17.25" customHeight="1" x14ac:dyDescent="0.25">
      <c r="E19" s="25"/>
    </row>
  </sheetData>
  <autoFilter ref="A2:E2" xr:uid="{00000000-0001-0000-06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7"/>
  <sheetViews>
    <sheetView zoomScale="130" zoomScaleNormal="130" workbookViewId="0">
      <selection activeCell="F66" sqref="F66"/>
    </sheetView>
  </sheetViews>
  <sheetFormatPr defaultRowHeight="15" x14ac:dyDescent="0.25"/>
  <cols>
    <col min="2" max="2" width="18.7109375" bestFit="1" customWidth="1"/>
    <col min="3" max="3" width="33.140625" bestFit="1" customWidth="1"/>
    <col min="4" max="5" width="18.140625" bestFit="1" customWidth="1"/>
  </cols>
  <sheetData>
    <row r="1" spans="1:5" ht="13.5" customHeight="1" x14ac:dyDescent="0.25">
      <c r="A1" s="78" t="s">
        <v>191</v>
      </c>
      <c r="B1" s="78"/>
      <c r="C1" s="79" t="s">
        <v>166</v>
      </c>
      <c r="D1" s="78" t="s">
        <v>167</v>
      </c>
      <c r="E1" s="78" t="s">
        <v>25</v>
      </c>
    </row>
    <row r="2" spans="1:5" ht="13.5" customHeight="1" x14ac:dyDescent="0.25">
      <c r="A2" s="28" t="s">
        <v>44</v>
      </c>
      <c r="B2" s="19" t="s">
        <v>110</v>
      </c>
      <c r="C2" s="19" t="s">
        <v>46</v>
      </c>
      <c r="D2" s="19" t="s">
        <v>47</v>
      </c>
      <c r="E2" s="29" t="s">
        <v>48</v>
      </c>
    </row>
    <row r="3" spans="1:5" ht="13.5" customHeight="1" x14ac:dyDescent="0.25">
      <c r="A3" s="106">
        <v>1</v>
      </c>
      <c r="B3" s="107">
        <v>353393817680608</v>
      </c>
      <c r="C3" s="108" t="s">
        <v>141</v>
      </c>
      <c r="D3" s="109" t="s">
        <v>113</v>
      </c>
      <c r="E3" s="110">
        <v>2600</v>
      </c>
    </row>
    <row r="4" spans="1:5" ht="13.5" customHeight="1" x14ac:dyDescent="0.25">
      <c r="A4" s="106">
        <v>2</v>
      </c>
      <c r="B4" s="107">
        <v>354423237711763</v>
      </c>
      <c r="C4" s="108" t="s">
        <v>141</v>
      </c>
      <c r="D4" s="109" t="s">
        <v>123</v>
      </c>
      <c r="E4" s="110">
        <v>2350</v>
      </c>
    </row>
    <row r="5" spans="1:5" ht="13.5" customHeight="1" x14ac:dyDescent="0.25">
      <c r="A5" s="106">
        <v>3</v>
      </c>
      <c r="B5" s="107">
        <v>353484627537573</v>
      </c>
      <c r="C5" s="108" t="s">
        <v>141</v>
      </c>
      <c r="D5" s="109" t="s">
        <v>113</v>
      </c>
      <c r="E5" s="110">
        <v>2400</v>
      </c>
    </row>
    <row r="6" spans="1:5" ht="13.5" customHeight="1" x14ac:dyDescent="0.25">
      <c r="A6" s="106">
        <v>4</v>
      </c>
      <c r="B6" s="107">
        <v>356864565322681</v>
      </c>
      <c r="C6" s="108" t="s">
        <v>141</v>
      </c>
      <c r="D6" s="109" t="s">
        <v>113</v>
      </c>
      <c r="E6" s="110">
        <v>2400</v>
      </c>
    </row>
    <row r="7" spans="1:5" ht="13.5" customHeight="1" x14ac:dyDescent="0.25">
      <c r="A7" s="106">
        <v>5</v>
      </c>
      <c r="B7" s="107">
        <v>356864565384756</v>
      </c>
      <c r="C7" s="108" t="s">
        <v>141</v>
      </c>
      <c r="D7" s="109" t="s">
        <v>113</v>
      </c>
      <c r="E7" s="110">
        <v>2400</v>
      </c>
    </row>
    <row r="8" spans="1:5" ht="13.5" customHeight="1" x14ac:dyDescent="0.25">
      <c r="A8" s="106">
        <v>6</v>
      </c>
      <c r="B8" s="107">
        <v>358536508695146</v>
      </c>
      <c r="C8" s="108" t="s">
        <v>141</v>
      </c>
      <c r="D8" s="109" t="s">
        <v>113</v>
      </c>
      <c r="E8" s="110">
        <v>2400</v>
      </c>
    </row>
    <row r="9" spans="1:5" ht="13.5" customHeight="1" x14ac:dyDescent="0.25">
      <c r="A9" s="106">
        <v>7</v>
      </c>
      <c r="B9" s="107">
        <v>358862980104997</v>
      </c>
      <c r="C9" s="108" t="s">
        <v>141</v>
      </c>
      <c r="D9" s="109" t="s">
        <v>123</v>
      </c>
      <c r="E9" s="110">
        <v>2350</v>
      </c>
    </row>
    <row r="10" spans="1:5" ht="13.5" customHeight="1" x14ac:dyDescent="0.25">
      <c r="A10" s="106">
        <v>8</v>
      </c>
      <c r="B10" s="107">
        <v>359906326672768</v>
      </c>
      <c r="C10" s="108" t="s">
        <v>141</v>
      </c>
      <c r="D10" s="109" t="s">
        <v>113</v>
      </c>
      <c r="E10" s="110">
        <v>2400</v>
      </c>
    </row>
    <row r="11" spans="1:5" ht="13.5" customHeight="1" x14ac:dyDescent="0.25">
      <c r="A11" s="64">
        <v>9</v>
      </c>
      <c r="B11" s="67">
        <v>350319297643488</v>
      </c>
      <c r="C11" s="68" t="s">
        <v>195</v>
      </c>
      <c r="D11" s="76" t="s">
        <v>113</v>
      </c>
      <c r="E11" s="80">
        <v>2200</v>
      </c>
    </row>
    <row r="12" spans="1:5" ht="13.5" customHeight="1" x14ac:dyDescent="0.25">
      <c r="A12" s="64">
        <v>10</v>
      </c>
      <c r="B12" s="67">
        <v>350319297501413</v>
      </c>
      <c r="C12" s="68" t="s">
        <v>195</v>
      </c>
      <c r="D12" s="76" t="s">
        <v>113</v>
      </c>
      <c r="E12" s="80">
        <v>2200</v>
      </c>
    </row>
    <row r="13" spans="1:5" ht="13.5" customHeight="1" x14ac:dyDescent="0.25">
      <c r="A13" s="64">
        <v>11</v>
      </c>
      <c r="B13" s="67">
        <v>358282724989332</v>
      </c>
      <c r="C13" s="68" t="s">
        <v>196</v>
      </c>
      <c r="D13" s="76" t="s">
        <v>113</v>
      </c>
      <c r="E13" s="80">
        <v>1900</v>
      </c>
    </row>
    <row r="14" spans="1:5" ht="13.5" customHeight="1" x14ac:dyDescent="0.25">
      <c r="A14" s="106">
        <v>12</v>
      </c>
      <c r="B14" s="107">
        <v>355008285931139</v>
      </c>
      <c r="C14" s="108" t="s">
        <v>194</v>
      </c>
      <c r="D14" s="109" t="s">
        <v>113</v>
      </c>
      <c r="E14" s="110">
        <v>2750</v>
      </c>
    </row>
    <row r="15" spans="1:5" ht="13.5" customHeight="1" x14ac:dyDescent="0.25">
      <c r="A15" s="106">
        <v>13</v>
      </c>
      <c r="B15" s="107">
        <v>351614405977714</v>
      </c>
      <c r="C15" s="108" t="s">
        <v>194</v>
      </c>
      <c r="D15" s="109" t="s">
        <v>113</v>
      </c>
      <c r="E15" s="110">
        <v>2750</v>
      </c>
    </row>
    <row r="16" spans="1:5" ht="13.5" customHeight="1" x14ac:dyDescent="0.25">
      <c r="A16" s="106">
        <v>14</v>
      </c>
      <c r="B16" s="107">
        <v>351614405604433</v>
      </c>
      <c r="C16" s="108" t="s">
        <v>194</v>
      </c>
      <c r="D16" s="109" t="s">
        <v>113</v>
      </c>
      <c r="E16" s="110">
        <v>2750</v>
      </c>
    </row>
    <row r="17" spans="1:5" ht="13.5" customHeight="1" x14ac:dyDescent="0.25">
      <c r="A17" s="106">
        <v>15</v>
      </c>
      <c r="B17" s="107">
        <v>355008280993241</v>
      </c>
      <c r="C17" s="108" t="s">
        <v>138</v>
      </c>
      <c r="D17" s="109" t="s">
        <v>123</v>
      </c>
      <c r="E17" s="110">
        <v>2530</v>
      </c>
    </row>
    <row r="18" spans="1:5" ht="13.5" customHeight="1" x14ac:dyDescent="0.25">
      <c r="A18" s="106">
        <v>16</v>
      </c>
      <c r="B18" s="107">
        <v>353393810869935</v>
      </c>
      <c r="C18" s="108" t="s">
        <v>138</v>
      </c>
      <c r="D18" s="109" t="s">
        <v>123</v>
      </c>
      <c r="E18" s="110">
        <v>2530</v>
      </c>
    </row>
    <row r="19" spans="1:5" ht="13.5" customHeight="1" x14ac:dyDescent="0.25">
      <c r="A19" s="106">
        <v>17</v>
      </c>
      <c r="B19" s="107">
        <v>359906329190255</v>
      </c>
      <c r="C19" s="108" t="s">
        <v>138</v>
      </c>
      <c r="D19" s="109" t="s">
        <v>113</v>
      </c>
      <c r="E19" s="110">
        <v>2580</v>
      </c>
    </row>
    <row r="20" spans="1:5" ht="13.5" customHeight="1" x14ac:dyDescent="0.25">
      <c r="A20" s="106">
        <v>18</v>
      </c>
      <c r="B20" s="107">
        <v>352315400647679</v>
      </c>
      <c r="C20" s="108" t="s">
        <v>138</v>
      </c>
      <c r="D20" s="109" t="s">
        <v>113</v>
      </c>
      <c r="E20" s="110">
        <v>2580</v>
      </c>
    </row>
    <row r="21" spans="1:5" ht="13.5" customHeight="1" x14ac:dyDescent="0.25">
      <c r="A21" s="106">
        <v>19</v>
      </c>
      <c r="B21" s="107">
        <v>353393817817911</v>
      </c>
      <c r="C21" s="108" t="s">
        <v>138</v>
      </c>
      <c r="D21" s="109" t="s">
        <v>113</v>
      </c>
      <c r="E21" s="110">
        <v>2580</v>
      </c>
    </row>
    <row r="22" spans="1:5" ht="13.5" customHeight="1" x14ac:dyDescent="0.25">
      <c r="A22" s="106">
        <v>20</v>
      </c>
      <c r="B22" s="107">
        <v>356864564841699</v>
      </c>
      <c r="C22" s="108" t="s">
        <v>138</v>
      </c>
      <c r="D22" s="109" t="s">
        <v>113</v>
      </c>
      <c r="E22" s="110">
        <v>2580</v>
      </c>
    </row>
    <row r="23" spans="1:5" ht="13.5" customHeight="1" x14ac:dyDescent="0.25">
      <c r="A23" s="106">
        <v>21</v>
      </c>
      <c r="B23" s="107">
        <v>357590877359454</v>
      </c>
      <c r="C23" s="108" t="s">
        <v>138</v>
      </c>
      <c r="D23" s="109" t="s">
        <v>113</v>
      </c>
      <c r="E23" s="110">
        <v>2580</v>
      </c>
    </row>
    <row r="24" spans="1:5" ht="13.5" customHeight="1" x14ac:dyDescent="0.25">
      <c r="A24" s="106">
        <v>22</v>
      </c>
      <c r="B24" s="107">
        <v>355067547813329</v>
      </c>
      <c r="C24" s="108" t="s">
        <v>138</v>
      </c>
      <c r="D24" s="109" t="s">
        <v>113</v>
      </c>
      <c r="E24" s="110">
        <v>2580</v>
      </c>
    </row>
    <row r="25" spans="1:5" ht="13.5" customHeight="1" x14ac:dyDescent="0.25">
      <c r="A25" s="106">
        <v>23</v>
      </c>
      <c r="B25" s="107">
        <v>357590873451974</v>
      </c>
      <c r="C25" s="108" t="s">
        <v>138</v>
      </c>
      <c r="D25" s="109" t="s">
        <v>113</v>
      </c>
      <c r="E25" s="110">
        <v>2580</v>
      </c>
    </row>
    <row r="26" spans="1:5" ht="13.5" customHeight="1" x14ac:dyDescent="0.25">
      <c r="A26" s="106">
        <v>24</v>
      </c>
      <c r="B26" s="107">
        <v>356864566733134</v>
      </c>
      <c r="C26" s="108" t="s">
        <v>138</v>
      </c>
      <c r="D26" s="109" t="s">
        <v>113</v>
      </c>
      <c r="E26" s="110">
        <v>2580</v>
      </c>
    </row>
    <row r="27" spans="1:5" ht="13.5" customHeight="1" x14ac:dyDescent="0.25">
      <c r="A27" s="106">
        <v>25</v>
      </c>
      <c r="B27" s="107">
        <v>353393814059343</v>
      </c>
      <c r="C27" s="108" t="s">
        <v>138</v>
      </c>
      <c r="D27" s="109" t="s">
        <v>113</v>
      </c>
      <c r="E27" s="110">
        <v>2580</v>
      </c>
    </row>
    <row r="28" spans="1:5" ht="13.5" customHeight="1" x14ac:dyDescent="0.25">
      <c r="A28" s="106">
        <v>26</v>
      </c>
      <c r="B28" s="107">
        <v>356864567901342</v>
      </c>
      <c r="C28" s="108" t="s">
        <v>138</v>
      </c>
      <c r="D28" s="109" t="s">
        <v>113</v>
      </c>
      <c r="E28" s="110">
        <v>2580</v>
      </c>
    </row>
    <row r="29" spans="1:5" ht="13.5" customHeight="1" x14ac:dyDescent="0.25">
      <c r="A29" s="106">
        <v>27</v>
      </c>
      <c r="B29" s="107">
        <v>359906329142355</v>
      </c>
      <c r="C29" s="108" t="s">
        <v>138</v>
      </c>
      <c r="D29" s="109" t="s">
        <v>113</v>
      </c>
      <c r="E29" s="110">
        <v>2580</v>
      </c>
    </row>
    <row r="30" spans="1:5" ht="13.5" customHeight="1" x14ac:dyDescent="0.25">
      <c r="A30" s="106">
        <v>28</v>
      </c>
      <c r="B30" s="107">
        <v>355008280696687</v>
      </c>
      <c r="C30" s="108" t="s">
        <v>138</v>
      </c>
      <c r="D30" s="109" t="s">
        <v>113</v>
      </c>
      <c r="E30" s="110">
        <v>2580</v>
      </c>
    </row>
    <row r="31" spans="1:5" ht="13.5" customHeight="1" x14ac:dyDescent="0.25">
      <c r="A31" s="106">
        <v>29</v>
      </c>
      <c r="B31" s="107">
        <v>353393818972400</v>
      </c>
      <c r="C31" s="108" t="s">
        <v>138</v>
      </c>
      <c r="D31" s="109" t="s">
        <v>197</v>
      </c>
      <c r="E31" s="110">
        <v>2580</v>
      </c>
    </row>
    <row r="32" spans="1:5" ht="13.5" customHeight="1" x14ac:dyDescent="0.25">
      <c r="A32" s="106">
        <v>30</v>
      </c>
      <c r="B32" s="107">
        <v>353393819248909</v>
      </c>
      <c r="C32" s="108" t="s">
        <v>138</v>
      </c>
      <c r="D32" s="109" t="s">
        <v>123</v>
      </c>
      <c r="E32" s="110">
        <v>2530</v>
      </c>
    </row>
    <row r="33" spans="1:6" ht="13.5" customHeight="1" x14ac:dyDescent="0.25">
      <c r="A33" s="106">
        <v>31</v>
      </c>
      <c r="B33" s="107">
        <v>356308868409019</v>
      </c>
      <c r="C33" s="108" t="s">
        <v>138</v>
      </c>
      <c r="D33" s="109" t="s">
        <v>113</v>
      </c>
      <c r="E33" s="110">
        <v>2580</v>
      </c>
    </row>
    <row r="34" spans="1:6" ht="13.5" customHeight="1" x14ac:dyDescent="0.25">
      <c r="A34" s="106">
        <v>32</v>
      </c>
      <c r="B34" s="107">
        <v>355469920369160</v>
      </c>
      <c r="C34" s="108" t="s">
        <v>138</v>
      </c>
      <c r="D34" s="109" t="s">
        <v>113</v>
      </c>
      <c r="E34" s="110">
        <v>2580</v>
      </c>
    </row>
    <row r="35" spans="1:6" ht="13.5" customHeight="1" x14ac:dyDescent="0.25">
      <c r="A35" s="106">
        <v>33</v>
      </c>
      <c r="B35" s="107">
        <v>351614400643568</v>
      </c>
      <c r="C35" s="108" t="s">
        <v>138</v>
      </c>
      <c r="D35" s="109" t="s">
        <v>123</v>
      </c>
      <c r="E35" s="110">
        <v>2530</v>
      </c>
    </row>
    <row r="36" spans="1:6" ht="13.5" customHeight="1" x14ac:dyDescent="0.25">
      <c r="A36" s="106">
        <v>34</v>
      </c>
      <c r="B36" s="107">
        <v>352315401252784</v>
      </c>
      <c r="C36" s="108" t="s">
        <v>138</v>
      </c>
      <c r="D36" s="109" t="s">
        <v>113</v>
      </c>
      <c r="E36" s="110">
        <v>2580</v>
      </c>
    </row>
    <row r="37" spans="1:6" ht="13.5" customHeight="1" x14ac:dyDescent="0.25">
      <c r="A37" s="106">
        <v>35</v>
      </c>
      <c r="B37" s="107">
        <v>358245528038408</v>
      </c>
      <c r="C37" s="108" t="s">
        <v>138</v>
      </c>
      <c r="D37" s="109" t="s">
        <v>113</v>
      </c>
      <c r="E37" s="110">
        <v>2580</v>
      </c>
    </row>
    <row r="38" spans="1:6" ht="13.5" customHeight="1" x14ac:dyDescent="0.25">
      <c r="A38" s="106">
        <v>36</v>
      </c>
      <c r="B38" s="107">
        <v>356864565753562</v>
      </c>
      <c r="C38" s="108" t="s">
        <v>147</v>
      </c>
      <c r="D38" s="109" t="s">
        <v>113</v>
      </c>
      <c r="E38" s="110">
        <v>2500</v>
      </c>
    </row>
    <row r="39" spans="1:6" ht="13.5" customHeight="1" x14ac:dyDescent="0.25">
      <c r="A39" s="106">
        <v>37</v>
      </c>
      <c r="B39" s="107">
        <v>353484629231738</v>
      </c>
      <c r="C39" s="108" t="s">
        <v>147</v>
      </c>
      <c r="D39" s="109" t="s">
        <v>113</v>
      </c>
      <c r="E39" s="110">
        <v>2500</v>
      </c>
    </row>
    <row r="40" spans="1:6" ht="13.5" customHeight="1" x14ac:dyDescent="0.25">
      <c r="A40" s="106">
        <v>38</v>
      </c>
      <c r="B40" s="107">
        <v>356864565827291</v>
      </c>
      <c r="C40" s="108" t="s">
        <v>147</v>
      </c>
      <c r="D40" s="109" t="s">
        <v>113</v>
      </c>
      <c r="E40" s="110">
        <v>2500</v>
      </c>
    </row>
    <row r="41" spans="1:6" ht="13.5" customHeight="1" x14ac:dyDescent="0.25">
      <c r="A41" s="106">
        <v>39</v>
      </c>
      <c r="B41" s="107">
        <v>354210973448076</v>
      </c>
      <c r="C41" s="108" t="s">
        <v>147</v>
      </c>
      <c r="D41" s="109" t="s">
        <v>113</v>
      </c>
      <c r="E41" s="110">
        <v>2500</v>
      </c>
    </row>
    <row r="42" spans="1:6" ht="13.5" customHeight="1" x14ac:dyDescent="0.25">
      <c r="A42" s="106">
        <v>40</v>
      </c>
      <c r="B42" s="107">
        <v>358157747133060</v>
      </c>
      <c r="C42" s="109" t="s">
        <v>198</v>
      </c>
      <c r="D42" s="109"/>
      <c r="E42" s="110">
        <v>2000</v>
      </c>
    </row>
    <row r="43" spans="1:6" ht="13.5" customHeight="1" x14ac:dyDescent="0.25">
      <c r="A43" s="64">
        <v>41</v>
      </c>
      <c r="B43" s="84">
        <v>358712821608039</v>
      </c>
      <c r="C43" s="85" t="s">
        <v>120</v>
      </c>
      <c r="D43" s="90" t="s">
        <v>113</v>
      </c>
      <c r="E43" s="91"/>
      <c r="F43">
        <v>2360</v>
      </c>
    </row>
    <row r="44" spans="1:6" ht="13.5" customHeight="1" x14ac:dyDescent="0.25">
      <c r="A44" s="64">
        <v>42</v>
      </c>
      <c r="B44" s="84">
        <v>358712821386123</v>
      </c>
      <c r="C44" s="85" t="s">
        <v>120</v>
      </c>
      <c r="D44" s="90" t="s">
        <v>113</v>
      </c>
      <c r="E44" s="92"/>
      <c r="F44">
        <v>2360</v>
      </c>
    </row>
    <row r="45" spans="1:6" ht="13.5" customHeight="1" x14ac:dyDescent="0.25">
      <c r="A45" s="64">
        <v>43</v>
      </c>
      <c r="B45" s="84">
        <v>358712820408597</v>
      </c>
      <c r="C45" s="85" t="s">
        <v>120</v>
      </c>
      <c r="D45" s="90" t="s">
        <v>113</v>
      </c>
      <c r="E45" s="91"/>
      <c r="F45">
        <v>2360</v>
      </c>
    </row>
    <row r="46" spans="1:6" ht="13.5" customHeight="1" x14ac:dyDescent="0.25">
      <c r="A46" s="106">
        <v>44</v>
      </c>
      <c r="B46" s="107">
        <v>356706680653617</v>
      </c>
      <c r="C46" s="108" t="s">
        <v>120</v>
      </c>
      <c r="D46" s="109" t="s">
        <v>113</v>
      </c>
      <c r="E46" s="110">
        <v>2410</v>
      </c>
    </row>
    <row r="47" spans="1:6" ht="13.5" customHeight="1" x14ac:dyDescent="0.25">
      <c r="A47" s="106">
        <v>45</v>
      </c>
      <c r="B47" s="107">
        <v>352512146750383</v>
      </c>
      <c r="C47" s="108" t="s">
        <v>192</v>
      </c>
      <c r="D47" s="109"/>
      <c r="E47" s="110">
        <v>1850</v>
      </c>
    </row>
    <row r="48" spans="1:6" ht="13.5" customHeight="1" x14ac:dyDescent="0.25">
      <c r="A48" s="106">
        <v>46</v>
      </c>
      <c r="B48" s="107">
        <v>352512146760333</v>
      </c>
      <c r="C48" s="108" t="s">
        <v>192</v>
      </c>
      <c r="D48" s="109"/>
      <c r="E48" s="110">
        <v>1850</v>
      </c>
    </row>
    <row r="49" spans="1:6" ht="13.5" customHeight="1" x14ac:dyDescent="0.25">
      <c r="A49" s="106">
        <v>47</v>
      </c>
      <c r="B49" s="107">
        <v>352512146832934</v>
      </c>
      <c r="C49" s="108" t="s">
        <v>192</v>
      </c>
      <c r="D49" s="109"/>
      <c r="E49" s="110">
        <v>1850</v>
      </c>
    </row>
    <row r="50" spans="1:6" ht="13.5" customHeight="1" x14ac:dyDescent="0.25">
      <c r="A50" s="106">
        <v>48</v>
      </c>
      <c r="B50" s="107">
        <v>352512146833924</v>
      </c>
      <c r="C50" s="108" t="s">
        <v>192</v>
      </c>
      <c r="D50" s="109"/>
      <c r="E50" s="110">
        <v>1850</v>
      </c>
    </row>
    <row r="51" spans="1:6" ht="13.5" customHeight="1" x14ac:dyDescent="0.25">
      <c r="A51" s="106">
        <v>49</v>
      </c>
      <c r="B51" s="107">
        <v>352066341342686</v>
      </c>
      <c r="C51" s="108" t="s">
        <v>193</v>
      </c>
      <c r="D51" s="109" t="s">
        <v>123</v>
      </c>
      <c r="E51" s="110">
        <v>3500</v>
      </c>
    </row>
    <row r="52" spans="1:6" ht="13.5" customHeight="1" x14ac:dyDescent="0.25">
      <c r="A52" s="106">
        <v>50</v>
      </c>
      <c r="B52" s="107">
        <v>352066341613946</v>
      </c>
      <c r="C52" s="108" t="s">
        <v>115</v>
      </c>
      <c r="D52" s="109" t="s">
        <v>113</v>
      </c>
      <c r="E52" s="110">
        <v>3600</v>
      </c>
    </row>
    <row r="53" spans="1:6" ht="13.5" customHeight="1" x14ac:dyDescent="0.25">
      <c r="A53" s="106">
        <v>51</v>
      </c>
      <c r="B53" s="107">
        <v>356334540360818</v>
      </c>
      <c r="C53" s="108" t="s">
        <v>115</v>
      </c>
      <c r="D53" s="109" t="s">
        <v>113</v>
      </c>
      <c r="E53" s="110">
        <v>3600</v>
      </c>
    </row>
    <row r="54" spans="1:6" ht="13.5" customHeight="1" x14ac:dyDescent="0.25">
      <c r="A54" s="64">
        <v>52</v>
      </c>
      <c r="B54" s="84">
        <v>352066342028508</v>
      </c>
      <c r="C54" s="85" t="s">
        <v>115</v>
      </c>
      <c r="D54" s="90" t="s">
        <v>113</v>
      </c>
      <c r="E54" s="91"/>
      <c r="F54">
        <v>3400</v>
      </c>
    </row>
    <row r="56" spans="1:6" x14ac:dyDescent="0.25">
      <c r="E56" s="25">
        <f>SUM(E3:E55)</f>
        <v>120340</v>
      </c>
    </row>
    <row r="57" spans="1:6" ht="13.5" customHeight="1" x14ac:dyDescent="0.25">
      <c r="E57" s="77"/>
    </row>
  </sheetData>
  <autoFilter ref="A2:E54" xr:uid="{00000000-0001-0000-0700-000000000000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ledger</vt:lpstr>
      <vt:lpstr>invoice 1</vt:lpstr>
      <vt:lpstr>invoice 2</vt:lpstr>
      <vt:lpstr>invoice 3</vt:lpstr>
      <vt:lpstr>invoice 4</vt:lpstr>
      <vt:lpstr>invoice 5</vt:lpstr>
      <vt:lpstr>invoice 6</vt:lpstr>
      <vt:lpstr>invoice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Swiss Tech</cp:lastModifiedBy>
  <dcterms:created xsi:type="dcterms:W3CDTF">2025-07-28T16:25:32Z</dcterms:created>
  <dcterms:modified xsi:type="dcterms:W3CDTF">2026-06-25T14:17:48Z</dcterms:modified>
</cp:coreProperties>
</file>