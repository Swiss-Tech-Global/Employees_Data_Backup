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Ledgers 2025\Mudassir\Mudassir Invoices\"/>
    </mc:Choice>
  </mc:AlternateContent>
  <xr:revisionPtr revIDLastSave="0" documentId="13_ncr:1_{8FF702FB-39FE-4CC4-9CC9-79609D0B7B8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ummary (2)" sheetId="8" r:id="rId1"/>
    <sheet name="Invoice 19" sheetId="3" r:id="rId2"/>
    <sheet name="Sheet1" sheetId="6" state="hidden" r:id="rId3"/>
    <sheet name="Invoice 20" sheetId="4" r:id="rId4"/>
    <sheet name="Invoice 21" sheetId="9" r:id="rId5"/>
    <sheet name="Invoice 22" sheetId="10" r:id="rId6"/>
    <sheet name="Invoice 23" sheetId="11" r:id="rId7"/>
    <sheet name="INVOICE 24" sheetId="12" r:id="rId8"/>
    <sheet name="INVOICE 25" sheetId="13" r:id="rId9"/>
    <sheet name="INOIVCE 26" sheetId="14" r:id="rId10"/>
  </sheets>
  <externalReferences>
    <externalReference r:id="rId11"/>
    <externalReference r:id="rId12"/>
    <externalReference r:id="rId13"/>
  </externalReferences>
  <definedNames>
    <definedName name="_xlnm._FilterDatabase" localSheetId="4" hidden="1">'Invoice 21'!$A$2:$F$2</definedName>
    <definedName name="_xlnm._FilterDatabase" localSheetId="7" hidden="1">'INVOICE 24'!$A$2:$F$2</definedName>
    <definedName name="_xlnm._FilterDatabase" localSheetId="8" hidden="1">'INVOICE 25'!$A$2:$F$2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0" i="8" l="1"/>
  <c r="E27" i="14"/>
  <c r="E24" i="14"/>
  <c r="E21" i="14"/>
  <c r="E11" i="14"/>
  <c r="E6" i="14"/>
  <c r="E66" i="14" s="1"/>
  <c r="C91" i="8" s="1"/>
  <c r="E39" i="13"/>
  <c r="C89" i="8" s="1"/>
  <c r="E36" i="12"/>
  <c r="C88" i="8" s="1"/>
  <c r="E9" i="11" l="1"/>
  <c r="C84" i="8" s="1"/>
  <c r="E38" i="10"/>
  <c r="C83" i="8" s="1"/>
  <c r="D81" i="8" l="1"/>
  <c r="H16" i="9" l="1"/>
  <c r="H18" i="9" s="1"/>
  <c r="H19" i="9" s="1"/>
  <c r="L70" i="8" l="1"/>
  <c r="J62" i="8"/>
  <c r="J61" i="8"/>
  <c r="L72" i="8" s="1"/>
  <c r="E48" i="9" l="1"/>
  <c r="C80" i="8" s="1"/>
  <c r="D79" i="8" l="1"/>
  <c r="E137" i="8"/>
  <c r="F131" i="8" s="1"/>
  <c r="E132" i="8"/>
  <c r="F125" i="8" s="1"/>
  <c r="F117" i="8"/>
  <c r="E119" i="8"/>
  <c r="F113" i="8" s="1"/>
  <c r="E108" i="8"/>
  <c r="E116" i="8" s="1"/>
  <c r="F110" i="8" s="1"/>
  <c r="D74" i="8"/>
  <c r="D72" i="8"/>
  <c r="C69" i="8"/>
  <c r="C68" i="8"/>
  <c r="C67" i="8"/>
  <c r="D66" i="8"/>
  <c r="D63" i="8"/>
  <c r="D61" i="8"/>
  <c r="C60" i="8"/>
  <c r="C59" i="8"/>
  <c r="C56" i="8"/>
  <c r="D48" i="8"/>
  <c r="C47" i="8"/>
  <c r="C46" i="8"/>
  <c r="D44" i="8"/>
  <c r="C43" i="8"/>
  <c r="C42" i="8"/>
  <c r="C41" i="8"/>
  <c r="D39" i="8"/>
  <c r="D38" i="8"/>
  <c r="C36" i="8"/>
  <c r="C35" i="8"/>
  <c r="C34" i="8"/>
  <c r="C30" i="8"/>
  <c r="D28" i="8"/>
  <c r="D27" i="8"/>
  <c r="D26" i="8"/>
  <c r="D25" i="8"/>
  <c r="C22" i="8"/>
  <c r="D20" i="8"/>
  <c r="D19" i="8"/>
  <c r="D18" i="8"/>
  <c r="D17" i="8"/>
  <c r="D16" i="8"/>
  <c r="D15" i="8"/>
  <c r="D14" i="8"/>
  <c r="D13" i="8"/>
  <c r="D12" i="8"/>
  <c r="D9" i="8"/>
  <c r="C7" i="8"/>
  <c r="C3" i="8"/>
  <c r="D94" i="8" l="1"/>
  <c r="E3" i="8"/>
  <c r="E4" i="8" s="1"/>
  <c r="E5" i="8" s="1"/>
  <c r="E7" i="8" s="1"/>
  <c r="E8" i="8" s="1"/>
  <c r="E9" i="8" s="1"/>
  <c r="E10" i="8" s="1"/>
  <c r="E12" i="8" s="1"/>
  <c r="E13" i="8" s="1"/>
  <c r="E14" i="8" s="1"/>
  <c r="E15" i="8" s="1"/>
  <c r="E16" i="8" s="1"/>
  <c r="E17" i="8" s="1"/>
  <c r="E18" i="8" s="1"/>
  <c r="E19" i="8" s="1"/>
  <c r="E20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4" i="8" s="1"/>
  <c r="E35" i="8" s="1"/>
  <c r="E36" i="8" s="1"/>
  <c r="E37" i="8" s="1"/>
  <c r="E38" i="8" s="1"/>
  <c r="E39" i="8" s="1"/>
  <c r="E41" i="8" s="1"/>
  <c r="E42" i="8" s="1"/>
  <c r="E43" i="8" s="1"/>
  <c r="E44" i="8" s="1"/>
  <c r="E46" i="8" s="1"/>
  <c r="E47" i="8" s="1"/>
  <c r="E48" i="8" s="1"/>
  <c r="E50" i="8" s="1"/>
  <c r="E51" i="8" s="1"/>
  <c r="E52" i="8" s="1"/>
  <c r="E53" i="8" s="1"/>
  <c r="E54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34" i="4" l="1"/>
  <c r="C78" i="8" s="1"/>
  <c r="E74" i="3" l="1"/>
  <c r="C77" i="8" l="1"/>
  <c r="C94" i="8" s="1"/>
  <c r="E77" i="8" l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4" i="8"/>
</calcChain>
</file>

<file path=xl/sharedStrings.xml><?xml version="1.0" encoding="utf-8"?>
<sst xmlns="http://schemas.openxmlformats.org/spreadsheetml/2006/main" count="856" uniqueCount="248">
  <si>
    <t>Status</t>
  </si>
  <si>
    <t>Description</t>
  </si>
  <si>
    <t>Iphone 16 PM DT 256gb</t>
  </si>
  <si>
    <t>Iphone 16 PM BT 256gb</t>
  </si>
  <si>
    <t>Iphone 16 Pro DT 128gb</t>
  </si>
  <si>
    <t>Iphone 16 PM BT 512gb</t>
  </si>
  <si>
    <t>Iphone 16 Pro WT 256gb</t>
  </si>
  <si>
    <t>Samsung S25 Ultra</t>
  </si>
  <si>
    <t>Non-Active</t>
  </si>
  <si>
    <t>Iphone 16 Pro NT 256gb</t>
  </si>
  <si>
    <t>Samsung S25 Ultra TB 256gb</t>
  </si>
  <si>
    <t>Iwatch ultra 2</t>
  </si>
  <si>
    <t>Iphone 16 PM DT 256 gb</t>
  </si>
  <si>
    <t>Iphone 16 Pro NT 128gb</t>
  </si>
  <si>
    <t>Samsung Fold 7 JB 512gb</t>
  </si>
  <si>
    <t>Ipad A16 128gb Pink (Not For Sale)</t>
  </si>
  <si>
    <t>Iphone 16 Plus Black 256gb</t>
  </si>
  <si>
    <t>Iphone 16 Pro BT 128gb</t>
  </si>
  <si>
    <t>Iphone 16 Pro DT 256gb</t>
  </si>
  <si>
    <t>Iphone 16 Pro DT 512gb</t>
  </si>
  <si>
    <t>Iphone 16 Pro BT 512gb</t>
  </si>
  <si>
    <t>Samsung S25 Ultra TSB 256gb</t>
  </si>
  <si>
    <t>Samsung S25 Ultra TB 512gb</t>
  </si>
  <si>
    <t>Galaxy Z Flip7 Blue Shadow 256gb</t>
  </si>
  <si>
    <t>Iwatch Ultra 2 Black</t>
  </si>
  <si>
    <t>Galaxy S25+ Navy 256gb</t>
  </si>
  <si>
    <t xml:space="preserve">Ipad Pro 13" W+C Black 512gb </t>
  </si>
  <si>
    <t>Ipad A16 128gb Blue (Not For Sale)</t>
  </si>
  <si>
    <t>Iwatch Ultra 2 Black (open Box)</t>
  </si>
  <si>
    <t>Iphone 16 UMR 128gb (Not for Sale)</t>
  </si>
  <si>
    <t>Iphone 16 Pro BT 256gb</t>
  </si>
  <si>
    <t>Ipad Air 11" W+C 128gb Grey</t>
  </si>
  <si>
    <t>Ipad A16 128gb Blue</t>
  </si>
  <si>
    <t>Iwatch Series 10 42mm Silver</t>
  </si>
  <si>
    <t>Samsung Fold 7 512gb Jet Black</t>
  </si>
  <si>
    <t>Iphone 16e White 128gb (Not for Sale)</t>
  </si>
  <si>
    <t>Samsung S25+ Navy 256gb</t>
  </si>
  <si>
    <t>Samsung Fold 7 256gb Jet Black</t>
  </si>
  <si>
    <t>Iwatch ultra 2 NT</t>
  </si>
  <si>
    <t>Samsung S25 Ultra 256gb TSB</t>
  </si>
  <si>
    <t>Samsung Zflip7 Blue Shadow 256gb</t>
  </si>
  <si>
    <t>Samsung S25 ultra TB 256gb</t>
  </si>
  <si>
    <t>Galaxy Z Flip7 Jet Black 256gb</t>
  </si>
  <si>
    <t>Iphone 16 Plus White 256gb (Not for Sale)</t>
  </si>
  <si>
    <t>Active</t>
  </si>
  <si>
    <t>Not for sale</t>
  </si>
  <si>
    <t>S.No</t>
  </si>
  <si>
    <t>Imei</t>
  </si>
  <si>
    <t>Price</t>
  </si>
  <si>
    <t>comments</t>
  </si>
  <si>
    <t>Tracking(RichMond) 883788751040 , 883788751050</t>
  </si>
  <si>
    <t>Invoice no 19</t>
  </si>
  <si>
    <t>Tracking(BoilingBrook) 883946231157</t>
  </si>
  <si>
    <t>Invoice no 20</t>
  </si>
  <si>
    <t xml:space="preserve">Ipad Pro 13" W+C 256gb </t>
  </si>
  <si>
    <t>Iphone 16 PM BT 256gb (Not For Sale)</t>
  </si>
  <si>
    <t>Iphone 16 PM DT 256 gb  (Not For Sale)</t>
  </si>
  <si>
    <t>Iphone 16 PM DT 256gb  (Not For Sale)</t>
  </si>
  <si>
    <t>Iphone 16 PRO BT 256gb</t>
  </si>
  <si>
    <t>Iphone 16 PRO DT 256 gb</t>
  </si>
  <si>
    <t xml:space="preserve">ACTIVE </t>
  </si>
  <si>
    <t>Total</t>
  </si>
  <si>
    <t>icloud</t>
  </si>
  <si>
    <t xml:space="preserve">return </t>
  </si>
  <si>
    <t xml:space="preserve">Dubai selling ledger </t>
  </si>
  <si>
    <t>DATE</t>
  </si>
  <si>
    <t>DETAIL</t>
  </si>
  <si>
    <t>Total Amount</t>
  </si>
  <si>
    <t>Paid</t>
  </si>
  <si>
    <t>Balance</t>
  </si>
  <si>
    <t>Invoice 1</t>
  </si>
  <si>
    <t xml:space="preserve">PAID TO Hawla person </t>
  </si>
  <si>
    <t>PAID TO WAJAHAT</t>
  </si>
  <si>
    <t>Invoice 2</t>
  </si>
  <si>
    <t>8 Device Return</t>
  </si>
  <si>
    <t>Hawala 39,00000 @79.20</t>
  </si>
  <si>
    <t>882190243917 (386$ @3.678)</t>
  </si>
  <si>
    <t>882247971323 (525$ @3.678)</t>
  </si>
  <si>
    <t>882279322688 (507$ @3.678)</t>
  </si>
  <si>
    <t>Clearing Charges 3 x 650 AED</t>
  </si>
  <si>
    <t>882482082780 (39$ @3.678) usa to usa</t>
  </si>
  <si>
    <t>ONLINE PAYMENT  PKR 500000 @79.20</t>
  </si>
  <si>
    <t>CASH PAYMENT PKR 646500 @79.20</t>
  </si>
  <si>
    <t>ONLINE PAYMENT  PKR 268450 @79.20</t>
  </si>
  <si>
    <t>Invoice 3</t>
  </si>
  <si>
    <t>PAID TO MUDDASSIR @79.60 (60k) clear</t>
  </si>
  <si>
    <t>882482082780(500$ @3.678)</t>
  </si>
  <si>
    <t>882523663746(500$ @3.678)</t>
  </si>
  <si>
    <t>882514974053(350$ @3.678)</t>
  </si>
  <si>
    <t>Invoice 4</t>
  </si>
  <si>
    <t>PAID TO MUDDASSIR@79.70 (475500) clear</t>
  </si>
  <si>
    <t>PAID TO MUDDASSIR @79.70</t>
  </si>
  <si>
    <t>Invoice 5</t>
  </si>
  <si>
    <t>Invoice 6</t>
  </si>
  <si>
    <t>Invoice 7</t>
  </si>
  <si>
    <t>PAID TO MUDDASSIR @79.80</t>
  </si>
  <si>
    <t>PAID TO MUDDASSIR ACC 79.80 (17 LAC)</t>
  </si>
  <si>
    <t>paid to MUDDASSIR CASH @79.6 (1CR)</t>
  </si>
  <si>
    <t>Invoice 8</t>
  </si>
  <si>
    <t>Invoice 9</t>
  </si>
  <si>
    <t>Invoice 10</t>
  </si>
  <si>
    <t>Paid to Muddassir Cash @79.60 (2CR)</t>
  </si>
  <si>
    <t>Inovice 11</t>
  </si>
  <si>
    <t>Inovice 12</t>
  </si>
  <si>
    <t>Paid to Muddassir Cash @79.75 (1660700 lac)</t>
  </si>
  <si>
    <t>Previous Adjustment</t>
  </si>
  <si>
    <t>Invoice#3 ( 2 devices return to wajahat )imei 354895821959990 &amp;356706681597888</t>
  </si>
  <si>
    <t xml:space="preserve">2 device discount 356334540475707 &amp; 354895822309840 250AED extra paid </t>
  </si>
  <si>
    <t xml:space="preserve">Invoice#7 (16 pro max dt icloud rate 2530AED actucal is 1450AED differnce 1080AED </t>
  </si>
  <si>
    <t>Invoice 13</t>
  </si>
  <si>
    <t>fedex lablel payment</t>
  </si>
  <si>
    <t>Invoice 14</t>
  </si>
  <si>
    <t>Invoice 15</t>
  </si>
  <si>
    <t>Paid online via Abu Bakar (2578500)@79.40</t>
  </si>
  <si>
    <t xml:space="preserve">Paid to MR bilal </t>
  </si>
  <si>
    <t>Paid online via Abu Bakar (1000000)@79.60</t>
  </si>
  <si>
    <t>fedex lablel payment (Till 17/8/2025)</t>
  </si>
  <si>
    <t>Paid online via Abu bakar (134000) @79.60</t>
  </si>
  <si>
    <t>Invoice 16</t>
  </si>
  <si>
    <t>Invoice 17</t>
  </si>
  <si>
    <t>Invoice 18</t>
  </si>
  <si>
    <t>Received from star City (7950000)</t>
  </si>
  <si>
    <t>paid online via Abu bakar (1361100) @79.60</t>
  </si>
  <si>
    <t>Paid online via Abu Bakar (426400)@79.70</t>
  </si>
  <si>
    <t xml:space="preserve">Date </t>
  </si>
  <si>
    <t xml:space="preserve">TID </t>
  </si>
  <si>
    <t>Amount</t>
  </si>
  <si>
    <t>Return to AR online</t>
  </si>
  <si>
    <t>Rate @79.40</t>
  </si>
  <si>
    <t>Rate @79.60</t>
  </si>
  <si>
    <t>ali raza</t>
  </si>
  <si>
    <t>crt1gxt</t>
  </si>
  <si>
    <t>ptw28</t>
  </si>
  <si>
    <t>cxg92l1</t>
  </si>
  <si>
    <t>ALIRAZA</t>
  </si>
  <si>
    <t>Rate 79.70</t>
  </si>
  <si>
    <t>Invoice 19</t>
  </si>
  <si>
    <t>Invoive 20</t>
  </si>
  <si>
    <t>Dated: 06-09-2025</t>
  </si>
  <si>
    <t>Dated:08-9-2025</t>
  </si>
  <si>
    <t>Paid to Muddassir Cash @78.70 (11018000)</t>
  </si>
  <si>
    <t>Invoice no 21</t>
  </si>
  <si>
    <t xml:space="preserve"> (IL Kamal) 884247722815 , 884247722826</t>
  </si>
  <si>
    <t>Dated: 12/9/2025</t>
  </si>
  <si>
    <t>Apple Watch SE Gen 2</t>
  </si>
  <si>
    <t>Ipad A16 Blue 128gb</t>
  </si>
  <si>
    <t>non active</t>
  </si>
  <si>
    <t xml:space="preserve">Ipad A16 Blue 128gb </t>
  </si>
  <si>
    <t xml:space="preserve">Ipad A16 Pink 128gb </t>
  </si>
  <si>
    <t>NOT for sale</t>
  </si>
  <si>
    <t>Ipad Pro 11" W+C Black 256gb</t>
  </si>
  <si>
    <t>Ipad Pro 13" W+C Black 256gb</t>
  </si>
  <si>
    <t>active</t>
  </si>
  <si>
    <t>RETURN</t>
  </si>
  <si>
    <t>Iphone 16 PM WT 256gb</t>
  </si>
  <si>
    <t>Iwatch Series 10 42mm Rose Gold</t>
  </si>
  <si>
    <t>Iwatch Ultra 2 BT</t>
  </si>
  <si>
    <t>Samsung Galaxy Watch Ultra</t>
  </si>
  <si>
    <t>Invoive 21</t>
  </si>
  <si>
    <t>Paid to Muddassir Cash @78.70 (6296000)</t>
  </si>
  <si>
    <t>Invoice 22</t>
  </si>
  <si>
    <t>Ipad Pro M4 13" 256 W+C</t>
  </si>
  <si>
    <t>Ipad Pro M4 11" 256 W+C</t>
  </si>
  <si>
    <t>Ipad A16 128 W+C</t>
  </si>
  <si>
    <t>Samsung Z Fold 7 256</t>
  </si>
  <si>
    <t>Samsung S25 Ultra 256</t>
  </si>
  <si>
    <t>16 e black</t>
  </si>
  <si>
    <t>16 pro DT 128</t>
  </si>
  <si>
    <t>16 pro DT 256</t>
  </si>
  <si>
    <t>16 pro max NT 256</t>
  </si>
  <si>
    <t>16 pro max WT 256</t>
  </si>
  <si>
    <t>16 pro max BT 256</t>
  </si>
  <si>
    <t>16 pro max DT 256</t>
  </si>
  <si>
    <t>Comments</t>
  </si>
  <si>
    <t>Dated:19-09-2025</t>
  </si>
  <si>
    <t>Label by AR 884240212850</t>
  </si>
  <si>
    <t>Invoice no 22</t>
  </si>
  <si>
    <t>Samsung S24 Ultra 256</t>
  </si>
  <si>
    <t>Samsung Z flip 256</t>
  </si>
  <si>
    <t xml:space="preserve">CANDA </t>
  </si>
  <si>
    <t>Invoice no 23</t>
  </si>
  <si>
    <t>Invoice 23</t>
  </si>
  <si>
    <t>Invoice 24</t>
  </si>
  <si>
    <t>Invoice 25</t>
  </si>
  <si>
    <t>Invoice no 24</t>
  </si>
  <si>
    <t>Label by AR (RichMond) 884208471185</t>
  </si>
  <si>
    <t>Dated:25-09-2025</t>
  </si>
  <si>
    <t>Ipad A16 W+C Silver 128gb</t>
  </si>
  <si>
    <t>Non Active</t>
  </si>
  <si>
    <t>Ipad Pro 13" W+C 256gb Black</t>
  </si>
  <si>
    <t>Iphone 16 PM NT 512gb</t>
  </si>
  <si>
    <t>Iphone Kit</t>
  </si>
  <si>
    <t>DETAIL REQ</t>
  </si>
  <si>
    <t>Iwatch Series 10 46mm Black</t>
  </si>
  <si>
    <t>Iwatch Series 10 46mm silver</t>
  </si>
  <si>
    <t>Samsung Fold 7 JB 256gb (Not For Sale)</t>
  </si>
  <si>
    <t>Samsung S25 ultra TB 256gb (Not For Sale)</t>
  </si>
  <si>
    <t>Samsung S25 ultra TSB 256gb (Not For Sale)</t>
  </si>
  <si>
    <t>Samsung S25 Ultra TB 256gb (Not For Sale)</t>
  </si>
  <si>
    <t>Samsung S25 Ultra 256gb TB (Not For Sale)</t>
  </si>
  <si>
    <t>Iwatch Ultra 2 49mm</t>
  </si>
  <si>
    <t>Iphone 16 PM NT 256gb (KIT)</t>
  </si>
  <si>
    <t>Iphone 16 PM NT 256gb</t>
  </si>
  <si>
    <t>Ipad Pro 13" W+C 512gb Black</t>
  </si>
  <si>
    <t>Ipad Air 13" W+C 128gb Purple</t>
  </si>
  <si>
    <t>Ipad Air 11" M3 W+C 128gb Starlight</t>
  </si>
  <si>
    <t>Ipad Air 11" M3 W+C 128gb Purple</t>
  </si>
  <si>
    <t>Ipad Air 11" M3 W+C 128gb</t>
  </si>
  <si>
    <t>Ipad A16 Wifi</t>
  </si>
  <si>
    <t>M4X2N92H2W</t>
  </si>
  <si>
    <t>DETAIL REQUIRD</t>
  </si>
  <si>
    <t>Ipad</t>
  </si>
  <si>
    <t>Apple Iwatch SE Gen 2</t>
  </si>
  <si>
    <t>Label by AR (georgia) 884423139238</t>
  </si>
  <si>
    <t>Invoice no 25</t>
  </si>
  <si>
    <t>Invoice no 26</t>
  </si>
  <si>
    <t xml:space="preserve">Label by AR </t>
  </si>
  <si>
    <t>Dated:26-09-2025</t>
  </si>
  <si>
    <t>16 PM DT 256</t>
  </si>
  <si>
    <t xml:space="preserve">
</t>
  </si>
  <si>
    <t>16 PM BT 256</t>
  </si>
  <si>
    <t>16 PM BT 512</t>
  </si>
  <si>
    <t>16 PM NT 256</t>
  </si>
  <si>
    <t>16 PM DT 512</t>
  </si>
  <si>
    <t>16 PM WT 256</t>
  </si>
  <si>
    <t>16 PRO BT 128</t>
  </si>
  <si>
    <t>16 PROBT 256</t>
  </si>
  <si>
    <t>16 PROWT 256</t>
  </si>
  <si>
    <t>16 PRONT 256</t>
  </si>
  <si>
    <t>16 PRODT 128</t>
  </si>
  <si>
    <t>16 PRODT 256</t>
  </si>
  <si>
    <t>16 PRONT 128</t>
  </si>
  <si>
    <t>15 WHITE 128 KIT Not For Sale</t>
  </si>
  <si>
    <t>NOT FOR SALE</t>
  </si>
  <si>
    <t>ULTRA 2 49MM BT</t>
  </si>
  <si>
    <t>SE GEN 2 40MM STARLIGHT</t>
  </si>
  <si>
    <t>IPAD 256 PRO 11(W+C)</t>
  </si>
  <si>
    <t>IPAD A16 128 11(W+C)</t>
  </si>
  <si>
    <t>IPAD AIR 11'' 128(W+C)</t>
  </si>
  <si>
    <t>S25 ultra 256</t>
  </si>
  <si>
    <t>Z fold 256</t>
  </si>
  <si>
    <t>pink kit</t>
  </si>
  <si>
    <t>17 pro CO 256 Not For Sale</t>
  </si>
  <si>
    <t>FH2QHC9CXk</t>
  </si>
  <si>
    <t>Ipad pro 13" 256 Not For Sale</t>
  </si>
  <si>
    <t>MTGDQ429PL</t>
  </si>
  <si>
    <t>Invoice 26</t>
  </si>
  <si>
    <t>Paid to Muddassir Cash @78.70 (9626750)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</si>
</sst>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[$AED]\ * #,##0.00_);_([$AED]\ * \(#,##0.00\);_([$AED]\ * &quot;-&quot;??_);_(@_)"/>
    <numFmt numFmtId="166" formatCode="[$-409]d\-mmm\-yy;@"/>
  </numFmts>
  <fonts count="2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6"/>
      <color theme="1"/>
      <name val="Eras Demi ITC"/>
      <family val="2"/>
    </font>
    <font>
      <sz val="11"/>
      <color theme="1"/>
      <name val="Baskerville Old Face"/>
      <family val="1"/>
    </font>
    <font>
      <sz val="11"/>
      <color theme="1"/>
      <name val="Eras Demi ITC"/>
      <family val="2"/>
    </font>
    <font>
      <b/>
      <sz val="11"/>
      <color theme="1"/>
      <name val="Baskerville Old Face"/>
      <family val="1"/>
    </font>
    <font>
      <b/>
      <sz val="10"/>
      <color theme="1"/>
      <name val="Aptos Narrow"/>
      <family val="2"/>
      <scheme val="minor"/>
    </font>
    <font>
      <b/>
      <sz val="11"/>
      <color theme="1"/>
      <name val="Eras Demi ITC"/>
      <family val="2"/>
    </font>
    <font>
      <b/>
      <sz val="12"/>
      <color theme="1"/>
      <name val="Aptos Narrow"/>
      <family val="2"/>
      <scheme val="minor"/>
    </font>
    <font>
      <b/>
      <sz val="8"/>
      <color rgb="FF000000"/>
      <name val="Times New Roman"/>
      <family val="1"/>
    </font>
    <font>
      <sz val="9"/>
      <color rgb="FF000000"/>
      <name val="Times New Roman"/>
      <family val="1"/>
    </font>
    <font>
      <sz val="8"/>
      <color rgb="FF000000"/>
      <name val="Times New Roman"/>
      <family val="1"/>
    </font>
    <font>
      <sz val="9"/>
      <color theme="1"/>
      <name val="Helvetica"/>
      <charset val="1"/>
    </font>
    <font>
      <b/>
      <sz val="9"/>
      <color rgb="FFFF0000"/>
      <name val="Times New Roman"/>
      <family val="1"/>
    </font>
    <font>
      <b/>
      <sz val="9"/>
      <color rgb="FFFF0000"/>
      <name val="Helvetica"/>
      <charset val="1"/>
    </font>
    <font>
      <b/>
      <sz val="8"/>
      <color rgb="FFFF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01">
    <xf numFmtId="0" fontId="0" fillId="0" borderId="0" xfId="0"/>
    <xf numFmtId="1" fontId="0" fillId="0" borderId="0" xfId="0" applyNumberFormat="1"/>
    <xf numFmtId="0" fontId="1" fillId="0" borderId="0" xfId="0" applyFont="1"/>
    <xf numFmtId="1" fontId="0" fillId="0" borderId="0" xfId="0" applyNumberFormat="1" applyAlignment="1">
      <alignment horizontal="right"/>
    </xf>
    <xf numFmtId="0" fontId="2" fillId="0" borderId="0" xfId="0" applyFont="1"/>
    <xf numFmtId="0" fontId="3" fillId="0" borderId="0" xfId="0" applyFont="1"/>
    <xf numFmtId="1" fontId="2" fillId="0" borderId="0" xfId="0" applyNumberFormat="1" applyFont="1"/>
    <xf numFmtId="1" fontId="6" fillId="0" borderId="0" xfId="0" applyNumberFormat="1" applyFont="1"/>
    <xf numFmtId="0" fontId="6" fillId="0" borderId="0" xfId="0" applyFont="1"/>
    <xf numFmtId="0" fontId="7" fillId="2" borderId="0" xfId="0" applyFont="1" applyFill="1"/>
    <xf numFmtId="1" fontId="7" fillId="2" borderId="0" xfId="0" applyNumberFormat="1" applyFont="1" applyFill="1"/>
    <xf numFmtId="0" fontId="5" fillId="2" borderId="0" xfId="0" applyFont="1" applyFill="1" applyAlignment="1">
      <alignment horizontal="center" vertical="center"/>
    </xf>
    <xf numFmtId="165" fontId="0" fillId="0" borderId="0" xfId="1" applyNumberFormat="1" applyFont="1"/>
    <xf numFmtId="165" fontId="7" fillId="2" borderId="0" xfId="1" applyNumberFormat="1" applyFont="1" applyFill="1"/>
    <xf numFmtId="165" fontId="5" fillId="2" borderId="0" xfId="1" applyNumberFormat="1" applyFont="1" applyFill="1" applyAlignment="1">
      <alignment horizontal="center" vertical="center"/>
    </xf>
    <xf numFmtId="1" fontId="8" fillId="0" borderId="0" xfId="0" applyNumberFormat="1" applyFont="1"/>
    <xf numFmtId="0" fontId="8" fillId="0" borderId="0" xfId="0" applyFont="1"/>
    <xf numFmtId="165" fontId="8" fillId="0" borderId="0" xfId="1" applyNumberFormat="1" applyFont="1"/>
    <xf numFmtId="1" fontId="0" fillId="3" borderId="0" xfId="0" applyNumberFormat="1" applyFill="1"/>
    <xf numFmtId="0" fontId="0" fillId="3" borderId="0" xfId="0" applyFill="1"/>
    <xf numFmtId="165" fontId="0" fillId="3" borderId="0" xfId="1" applyNumberFormat="1" applyFont="1" applyFill="1"/>
    <xf numFmtId="0" fontId="9" fillId="0" borderId="0" xfId="0" applyFont="1"/>
    <xf numFmtId="1" fontId="0" fillId="4" borderId="0" xfId="0" applyNumberFormat="1" applyFill="1"/>
    <xf numFmtId="0" fontId="0" fillId="4" borderId="0" xfId="0" applyFill="1"/>
    <xf numFmtId="165" fontId="0" fillId="4" borderId="0" xfId="1" applyNumberFormat="1" applyFont="1" applyFill="1"/>
    <xf numFmtId="165" fontId="0" fillId="0" borderId="0" xfId="0" applyNumberFormat="1"/>
    <xf numFmtId="0" fontId="11" fillId="0" borderId="0" xfId="0" applyFont="1"/>
    <xf numFmtId="166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6" fontId="12" fillId="0" borderId="0" xfId="0" applyNumberFormat="1" applyFont="1"/>
    <xf numFmtId="0" fontId="12" fillId="0" borderId="0" xfId="0" applyFont="1"/>
    <xf numFmtId="165" fontId="12" fillId="0" borderId="1" xfId="0" applyNumberFormat="1" applyFont="1" applyBorder="1"/>
    <xf numFmtId="1" fontId="12" fillId="0" borderId="0" xfId="0" applyNumberFormat="1" applyFont="1"/>
    <xf numFmtId="0" fontId="13" fillId="0" borderId="0" xfId="0" applyFont="1"/>
    <xf numFmtId="165" fontId="11" fillId="0" borderId="0" xfId="0" applyNumberFormat="1" applyFont="1"/>
    <xf numFmtId="0" fontId="12" fillId="6" borderId="2" xfId="0" applyFont="1" applyFill="1" applyBorder="1"/>
    <xf numFmtId="165" fontId="12" fillId="0" borderId="3" xfId="0" applyNumberFormat="1" applyFont="1" applyBorder="1"/>
    <xf numFmtId="0" fontId="15" fillId="0" borderId="0" xfId="0" applyFont="1"/>
    <xf numFmtId="165" fontId="15" fillId="0" borderId="1" xfId="0" applyNumberFormat="1" applyFont="1" applyBorder="1"/>
    <xf numFmtId="0" fontId="5" fillId="0" borderId="0" xfId="0" applyFont="1"/>
    <xf numFmtId="16" fontId="0" fillId="0" borderId="0" xfId="0" applyNumberFormat="1"/>
    <xf numFmtId="165" fontId="5" fillId="0" borderId="0" xfId="0" applyNumberFormat="1" applyFont="1"/>
    <xf numFmtId="166" fontId="0" fillId="0" borderId="0" xfId="0" applyNumberForma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2" borderId="0" xfId="0" applyFont="1" applyFill="1"/>
    <xf numFmtId="1" fontId="5" fillId="2" borderId="0" xfId="0" applyNumberFormat="1" applyFont="1" applyFill="1"/>
    <xf numFmtId="165" fontId="5" fillId="2" borderId="0" xfId="1" applyNumberFormat="1" applyFont="1" applyFill="1"/>
    <xf numFmtId="165" fontId="2" fillId="0" borderId="0" xfId="0" applyNumberFormat="1" applyFont="1"/>
    <xf numFmtId="0" fontId="16" fillId="0" borderId="0" xfId="0" applyFont="1"/>
    <xf numFmtId="0" fontId="7" fillId="0" borderId="0" xfId="0" applyFont="1"/>
    <xf numFmtId="1" fontId="5" fillId="0" borderId="0" xfId="0" applyNumberFormat="1" applyFont="1"/>
    <xf numFmtId="0" fontId="5" fillId="7" borderId="0" xfId="0" applyFont="1" applyFill="1" applyAlignment="1">
      <alignment horizontal="center" vertical="center"/>
    </xf>
    <xf numFmtId="165" fontId="5" fillId="7" borderId="0" xfId="1" applyNumberFormat="1" applyFont="1" applyFill="1" applyAlignment="1">
      <alignment horizontal="center" vertical="center"/>
    </xf>
    <xf numFmtId="165" fontId="5" fillId="7" borderId="0" xfId="0" applyNumberFormat="1" applyFont="1" applyFill="1"/>
    <xf numFmtId="1" fontId="5" fillId="7" borderId="0" xfId="0" applyNumberFormat="1" applyFont="1" applyFill="1"/>
    <xf numFmtId="0" fontId="5" fillId="7" borderId="0" xfId="0" applyFont="1" applyFill="1"/>
    <xf numFmtId="1" fontId="1" fillId="0" borderId="0" xfId="0" applyNumberFormat="1" applyFont="1"/>
    <xf numFmtId="165" fontId="5" fillId="7" borderId="0" xfId="1" applyNumberFormat="1" applyFont="1" applyFill="1" applyBorder="1" applyAlignment="1">
      <alignment horizontal="center" vertical="center"/>
    </xf>
    <xf numFmtId="0" fontId="17" fillId="8" borderId="7" xfId="0" applyFont="1" applyFill="1" applyBorder="1" applyAlignment="1">
      <alignment horizontal="center"/>
    </xf>
    <xf numFmtId="1" fontId="18" fillId="8" borderId="8" xfId="0" applyNumberFormat="1" applyFont="1" applyFill="1" applyBorder="1"/>
    <xf numFmtId="0" fontId="18" fillId="8" borderId="8" xfId="0" applyFont="1" applyFill="1" applyBorder="1"/>
    <xf numFmtId="0" fontId="19" fillId="8" borderId="9" xfId="0" applyFont="1" applyFill="1" applyBorder="1"/>
    <xf numFmtId="165" fontId="0" fillId="0" borderId="8" xfId="0" applyNumberFormat="1" applyBorder="1"/>
    <xf numFmtId="0" fontId="20" fillId="8" borderId="8" xfId="0" applyFont="1" applyFill="1" applyBorder="1" applyAlignment="1">
      <alignment wrapText="1"/>
    </xf>
    <xf numFmtId="0" fontId="17" fillId="8" borderId="10" xfId="0" applyFont="1" applyFill="1" applyBorder="1" applyAlignment="1">
      <alignment horizontal="center"/>
    </xf>
    <xf numFmtId="1" fontId="18" fillId="8" borderId="11" xfId="0" applyNumberFormat="1" applyFont="1" applyFill="1" applyBorder="1"/>
    <xf numFmtId="0" fontId="18" fillId="8" borderId="11" xfId="0" applyFont="1" applyFill="1" applyBorder="1"/>
    <xf numFmtId="0" fontId="19" fillId="8" borderId="12" xfId="0" applyFont="1" applyFill="1" applyBorder="1"/>
    <xf numFmtId="165" fontId="0" fillId="0" borderId="11" xfId="0" applyNumberFormat="1" applyBorder="1"/>
    <xf numFmtId="0" fontId="20" fillId="8" borderId="11" xfId="0" applyFont="1" applyFill="1" applyBorder="1" applyAlignment="1">
      <alignment wrapText="1"/>
    </xf>
    <xf numFmtId="0" fontId="18" fillId="8" borderId="12" xfId="0" applyFont="1" applyFill="1" applyBorder="1"/>
    <xf numFmtId="1" fontId="21" fillId="8" borderId="11" xfId="0" applyNumberFormat="1" applyFont="1" applyFill="1" applyBorder="1"/>
    <xf numFmtId="0" fontId="21" fillId="8" borderId="11" xfId="0" applyFont="1" applyFill="1" applyBorder="1"/>
    <xf numFmtId="0" fontId="21" fillId="8" borderId="12" xfId="0" applyFont="1" applyFill="1" applyBorder="1"/>
    <xf numFmtId="165" fontId="2" fillId="0" borderId="11" xfId="0" applyNumberFormat="1" applyFont="1" applyBorder="1"/>
    <xf numFmtId="0" fontId="22" fillId="8" borderId="11" xfId="0" applyFont="1" applyFill="1" applyBorder="1" applyAlignment="1">
      <alignment wrapText="1"/>
    </xf>
    <xf numFmtId="0" fontId="23" fillId="8" borderId="12" xfId="0" applyFont="1" applyFill="1" applyBorder="1"/>
    <xf numFmtId="1" fontId="20" fillId="8" borderId="11" xfId="0" applyNumberFormat="1" applyFont="1" applyFill="1" applyBorder="1" applyAlignment="1">
      <alignment wrapText="1"/>
    </xf>
    <xf numFmtId="0" fontId="20" fillId="8" borderId="12" xfId="0" applyFont="1" applyFill="1" applyBorder="1" applyAlignment="1">
      <alignment wrapText="1"/>
    </xf>
    <xf numFmtId="0" fontId="0" fillId="0" borderId="11" xfId="0" applyBorder="1"/>
    <xf numFmtId="165" fontId="12" fillId="3" borderId="1" xfId="0" applyNumberFormat="1" applyFont="1" applyFill="1" applyBorder="1"/>
    <xf numFmtId="165" fontId="12" fillId="9" borderId="1" xfId="0" applyNumberFormat="1" applyFont="1" applyFill="1" applyBorder="1"/>
    <xf numFmtId="166" fontId="12" fillId="3" borderId="0" xfId="0" applyNumberFormat="1" applyFont="1" applyFill="1"/>
    <xf numFmtId="1" fontId="12" fillId="3" borderId="0" xfId="0" applyNumberFormat="1" applyFont="1" applyFill="1"/>
    <xf numFmtId="0" fontId="12" fillId="3" borderId="0" xfId="0" applyFont="1" applyFill="1"/>
    <xf numFmtId="166" fontId="12" fillId="6" borderId="0" xfId="0" applyNumberFormat="1" applyFont="1" applyFill="1"/>
    <xf numFmtId="0" fontId="12" fillId="6" borderId="0" xfId="0" applyFont="1" applyFill="1"/>
    <xf numFmtId="165" fontId="12" fillId="6" borderId="1" xfId="0" applyNumberFormat="1" applyFont="1" applyFill="1" applyBorder="1"/>
    <xf numFmtId="0" fontId="0" fillId="9" borderId="0" xfId="0" applyFill="1"/>
    <xf numFmtId="166" fontId="12" fillId="10" borderId="0" xfId="0" applyNumberFormat="1" applyFont="1" applyFill="1"/>
    <xf numFmtId="0" fontId="12" fillId="10" borderId="0" xfId="0" applyFont="1" applyFill="1"/>
    <xf numFmtId="165" fontId="12" fillId="10" borderId="1" xfId="0" applyNumberFormat="1" applyFont="1" applyFill="1" applyBorder="1"/>
    <xf numFmtId="165" fontId="12" fillId="11" borderId="1" xfId="0" applyNumberFormat="1" applyFont="1" applyFill="1" applyBorder="1"/>
    <xf numFmtId="166" fontId="10" fillId="5" borderId="0" xfId="0" applyNumberFormat="1" applyFont="1" applyFill="1" applyAlignment="1">
      <alignment horizontal="center"/>
    </xf>
    <xf numFmtId="0" fontId="14" fillId="0" borderId="4" xfId="0" applyFont="1" applyBorder="1" applyAlignment="1">
      <alignment horizontal="left" wrapText="1"/>
    </xf>
    <xf numFmtId="0" fontId="14" fillId="0" borderId="5" xfId="0" applyFont="1" applyBorder="1" applyAlignment="1">
      <alignment horizontal="left" wrapText="1"/>
    </xf>
    <xf numFmtId="0" fontId="14" fillId="0" borderId="5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k/Downloads/Dubai%20Selling%20List%20(1)%20(1)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k/Desktop/dxb%20work/Invoice%208%20to%201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k/Desktop/dxb%20work/Invoice%2016%20to%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els (2)"/>
      <sheetName val="Summary"/>
      <sheetName val="labels"/>
      <sheetName val="invoice 1"/>
      <sheetName val="invoice 2"/>
      <sheetName val="invoice 3"/>
      <sheetName val="invoice 4"/>
      <sheetName val="invoice 5"/>
      <sheetName val="invoice 6"/>
      <sheetName val="invoice 07"/>
      <sheetName val="Sheet4"/>
      <sheetName val="ASAD WAJAHAT 01"/>
      <sheetName val="ASAD WAJAHAT 02"/>
      <sheetName val="ASAD WAJAHAT 03"/>
      <sheetName val="Wajahat invoice 4 &amp;5"/>
      <sheetName val="PROFIT SHEET"/>
      <sheetName val="Return"/>
      <sheetName val="wajahat"/>
      <sheetName val="SAMSUNG"/>
      <sheetName val="Sheet1"/>
      <sheetName val="Sheet2"/>
      <sheetName val="Sheet3"/>
    </sheetNames>
    <sheetDataSet>
      <sheetData sheetId="0"/>
      <sheetData sheetId="1"/>
      <sheetData sheetId="2"/>
      <sheetData sheetId="3">
        <row r="60">
          <cell r="F60">
            <v>141530</v>
          </cell>
        </row>
      </sheetData>
      <sheetData sheetId="4">
        <row r="52">
          <cell r="F52">
            <v>117290</v>
          </cell>
        </row>
      </sheetData>
      <sheetData sheetId="5">
        <row r="97">
          <cell r="E97">
            <v>228660</v>
          </cell>
        </row>
      </sheetData>
      <sheetData sheetId="6">
        <row r="79">
          <cell r="E79">
            <v>155410</v>
          </cell>
        </row>
      </sheetData>
      <sheetData sheetId="7">
        <row r="64">
          <cell r="E64">
            <v>113640</v>
          </cell>
        </row>
      </sheetData>
      <sheetData sheetId="8">
        <row r="18">
          <cell r="E18">
            <v>30750</v>
          </cell>
        </row>
      </sheetData>
      <sheetData sheetId="9">
        <row r="56">
          <cell r="E56">
            <v>130820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12">
          <cell r="E12">
            <v>27090</v>
          </cell>
        </row>
      </sheetData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invoice 8"/>
      <sheetName val="Invoice 09"/>
      <sheetName val="Invoice 10"/>
      <sheetName val="invoice 11"/>
      <sheetName val="invoice 12"/>
      <sheetName val="Invoice 13"/>
      <sheetName val="invoice 14"/>
      <sheetName val="Invoice 15"/>
      <sheetName val="wajahat"/>
    </sheetNames>
    <sheetDataSet>
      <sheetData sheetId="0"/>
      <sheetData sheetId="1">
        <row r="34">
          <cell r="E34">
            <v>77890</v>
          </cell>
        </row>
      </sheetData>
      <sheetData sheetId="2">
        <row r="33">
          <cell r="E33">
            <v>72940</v>
          </cell>
        </row>
      </sheetData>
      <sheetData sheetId="3">
        <row r="64">
          <cell r="E64">
            <v>140580</v>
          </cell>
        </row>
      </sheetData>
      <sheetData sheetId="4">
        <row r="34">
          <cell r="E34">
            <v>61670</v>
          </cell>
        </row>
      </sheetData>
      <sheetData sheetId="5">
        <row r="64">
          <cell r="E64">
            <v>114190</v>
          </cell>
        </row>
      </sheetData>
      <sheetData sheetId="6">
        <row r="64">
          <cell r="E64">
            <v>130880</v>
          </cell>
        </row>
      </sheetData>
      <sheetData sheetId="7">
        <row r="64">
          <cell r="E64">
            <v>119900</v>
          </cell>
        </row>
      </sheetData>
      <sheetData sheetId="8">
        <row r="33">
          <cell r="E33">
            <v>66000</v>
          </cell>
        </row>
      </sheetData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Invoice 16"/>
      <sheetName val="Invoice 17"/>
      <sheetName val="Invoice 18"/>
    </sheetNames>
    <sheetDataSet>
      <sheetData sheetId="0"/>
      <sheetData sheetId="1">
        <row r="64">
          <cell r="E64">
            <v>132145</v>
          </cell>
        </row>
      </sheetData>
      <sheetData sheetId="2">
        <row r="26">
          <cell r="E26">
            <v>52250</v>
          </cell>
        </row>
      </sheetData>
      <sheetData sheetId="3">
        <row r="36">
          <cell r="E36">
            <v>43235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7"/>
  <sheetViews>
    <sheetView topLeftCell="A6" zoomScale="87" zoomScaleNormal="91" workbookViewId="0">
      <selection activeCell="H16" sqref="H16"/>
    </sheetView>
  </sheetViews>
  <sheetFormatPr defaultRowHeight="14.4" x14ac:dyDescent="0.3"/>
  <cols>
    <col min="1" max="1" width="14" style="42" customWidth="1"/>
    <col min="2" max="2" width="41.77734375" bestFit="1" customWidth="1"/>
    <col min="3" max="3" width="28.6640625" customWidth="1"/>
    <col min="4" max="4" width="25.88671875" customWidth="1"/>
    <col min="5" max="5" width="21.77734375" bestFit="1" customWidth="1"/>
    <col min="6" max="6" width="18.21875" bestFit="1" customWidth="1"/>
    <col min="8" max="8" width="18.88671875" bestFit="1" customWidth="1"/>
    <col min="10" max="10" width="11.33203125" customWidth="1"/>
  </cols>
  <sheetData>
    <row r="1" spans="1:6" ht="21" x14ac:dyDescent="0.4">
      <c r="A1" s="94" t="s">
        <v>64</v>
      </c>
      <c r="B1" s="94"/>
      <c r="C1" s="94"/>
      <c r="D1" s="94"/>
      <c r="E1" s="94"/>
      <c r="F1" s="26"/>
    </row>
    <row r="2" spans="1:6" x14ac:dyDescent="0.3">
      <c r="A2" s="27" t="s">
        <v>65</v>
      </c>
      <c r="B2" s="28" t="s">
        <v>66</v>
      </c>
      <c r="C2" s="28" t="s">
        <v>67</v>
      </c>
      <c r="D2" s="28" t="s">
        <v>68</v>
      </c>
      <c r="E2" s="28" t="s">
        <v>69</v>
      </c>
      <c r="F2" s="26"/>
    </row>
    <row r="3" spans="1:6" x14ac:dyDescent="0.3">
      <c r="A3" s="29">
        <v>45838</v>
      </c>
      <c r="B3" s="30" t="s">
        <v>70</v>
      </c>
      <c r="C3" s="31">
        <f>'[1]invoice 1'!F60</f>
        <v>141530</v>
      </c>
      <c r="D3" s="31"/>
      <c r="E3" s="31">
        <f>C3</f>
        <v>141530</v>
      </c>
      <c r="F3" s="26"/>
    </row>
    <row r="4" spans="1:6" x14ac:dyDescent="0.3">
      <c r="A4" s="29">
        <v>45839</v>
      </c>
      <c r="B4" s="30" t="s">
        <v>71</v>
      </c>
      <c r="C4" s="31"/>
      <c r="D4" s="82">
        <v>100000</v>
      </c>
      <c r="E4" s="31">
        <f>E3-D4</f>
        <v>41530</v>
      </c>
      <c r="F4" s="26"/>
    </row>
    <row r="5" spans="1:6" x14ac:dyDescent="0.3">
      <c r="A5" s="29">
        <v>45839</v>
      </c>
      <c r="B5" s="30" t="s">
        <v>72</v>
      </c>
      <c r="C5" s="31"/>
      <c r="D5" s="82">
        <v>41000</v>
      </c>
      <c r="E5" s="31">
        <f>E4-D5</f>
        <v>530</v>
      </c>
      <c r="F5" s="26"/>
    </row>
    <row r="6" spans="1:6" x14ac:dyDescent="0.3">
      <c r="A6" s="29"/>
      <c r="B6" s="30"/>
      <c r="C6" s="31"/>
      <c r="D6" s="31"/>
      <c r="E6" s="31"/>
      <c r="F6" s="26"/>
    </row>
    <row r="7" spans="1:6" x14ac:dyDescent="0.3">
      <c r="A7" s="29">
        <v>45840</v>
      </c>
      <c r="B7" s="30" t="s">
        <v>73</v>
      </c>
      <c r="C7" s="31">
        <f>'[1]invoice 2'!F52</f>
        <v>117290</v>
      </c>
      <c r="D7" s="31"/>
      <c r="E7" s="31">
        <f>E5+C7</f>
        <v>117820</v>
      </c>
      <c r="F7" s="26"/>
    </row>
    <row r="8" spans="1:6" x14ac:dyDescent="0.3">
      <c r="A8" s="29">
        <v>45842</v>
      </c>
      <c r="B8" s="30" t="s">
        <v>72</v>
      </c>
      <c r="C8" s="31"/>
      <c r="D8" s="82">
        <v>10000</v>
      </c>
      <c r="E8" s="31">
        <f>E7-D8</f>
        <v>107820</v>
      </c>
      <c r="F8" s="26"/>
    </row>
    <row r="9" spans="1:6" x14ac:dyDescent="0.3">
      <c r="A9" s="29">
        <v>45842</v>
      </c>
      <c r="B9" s="30" t="s">
        <v>74</v>
      </c>
      <c r="C9" s="31"/>
      <c r="D9" s="82">
        <f>[1]Return!E12</f>
        <v>27090</v>
      </c>
      <c r="E9" s="31">
        <f>E8-D9</f>
        <v>80730</v>
      </c>
      <c r="F9" s="26"/>
    </row>
    <row r="10" spans="1:6" x14ac:dyDescent="0.3">
      <c r="A10" s="29">
        <v>45845</v>
      </c>
      <c r="B10" s="30" t="s">
        <v>75</v>
      </c>
      <c r="C10" s="31"/>
      <c r="D10" s="82">
        <v>49242.42</v>
      </c>
      <c r="E10" s="31">
        <f>E9-D10</f>
        <v>31487.58</v>
      </c>
      <c r="F10" s="26">
        <v>-758</v>
      </c>
    </row>
    <row r="11" spans="1:6" x14ac:dyDescent="0.3">
      <c r="A11" s="29"/>
      <c r="B11" s="30"/>
      <c r="C11" s="31"/>
      <c r="D11" s="31"/>
      <c r="E11" s="31"/>
      <c r="F11" s="26"/>
    </row>
    <row r="12" spans="1:6" x14ac:dyDescent="0.3">
      <c r="A12" s="83">
        <v>45828</v>
      </c>
      <c r="B12" s="84" t="s">
        <v>76</v>
      </c>
      <c r="C12" s="81"/>
      <c r="D12" s="81">
        <f>3.678*386</f>
        <v>1419.7080000000001</v>
      </c>
      <c r="E12" s="81">
        <f>E10-D12</f>
        <v>30067.872000000003</v>
      </c>
      <c r="F12" s="26"/>
    </row>
    <row r="13" spans="1:6" x14ac:dyDescent="0.3">
      <c r="A13" s="83">
        <v>45831</v>
      </c>
      <c r="B13" s="84" t="s">
        <v>77</v>
      </c>
      <c r="C13" s="81"/>
      <c r="D13" s="81">
        <f>3.678*525</f>
        <v>1930.95</v>
      </c>
      <c r="E13" s="81">
        <f>E12-D13</f>
        <v>28136.922000000002</v>
      </c>
      <c r="F13" s="33"/>
    </row>
    <row r="14" spans="1:6" x14ac:dyDescent="0.3">
      <c r="A14" s="83">
        <v>45832</v>
      </c>
      <c r="B14" s="84" t="s">
        <v>78</v>
      </c>
      <c r="C14" s="81"/>
      <c r="D14" s="81">
        <f>3.678*507</f>
        <v>1864.7459999999999</v>
      </c>
      <c r="E14" s="81">
        <f t="shared" ref="E14:E20" si="0">E13-D14</f>
        <v>26272.176000000003</v>
      </c>
      <c r="F14" s="26"/>
    </row>
    <row r="15" spans="1:6" x14ac:dyDescent="0.3">
      <c r="A15" s="83">
        <v>45845</v>
      </c>
      <c r="B15" s="84" t="s">
        <v>79</v>
      </c>
      <c r="C15" s="81"/>
      <c r="D15" s="81">
        <f>650*3</f>
        <v>1950</v>
      </c>
      <c r="E15" s="81">
        <f t="shared" si="0"/>
        <v>24322.176000000003</v>
      </c>
      <c r="F15" s="26"/>
    </row>
    <row r="16" spans="1:6" x14ac:dyDescent="0.3">
      <c r="A16" s="83">
        <v>45841</v>
      </c>
      <c r="B16" s="84" t="s">
        <v>80</v>
      </c>
      <c r="C16" s="81"/>
      <c r="D16" s="81">
        <f>3.678*39</f>
        <v>143.44200000000001</v>
      </c>
      <c r="E16" s="81">
        <f t="shared" si="0"/>
        <v>24178.734000000004</v>
      </c>
      <c r="F16" s="26"/>
    </row>
    <row r="17" spans="1:6" x14ac:dyDescent="0.3">
      <c r="A17" s="29">
        <v>45845</v>
      </c>
      <c r="B17" s="32" t="s">
        <v>81</v>
      </c>
      <c r="C17" s="31"/>
      <c r="D17" s="82">
        <f>500000/79.2</f>
        <v>6313.1313131313127</v>
      </c>
      <c r="E17" s="31">
        <f t="shared" si="0"/>
        <v>17865.602686868689</v>
      </c>
      <c r="F17" s="26"/>
    </row>
    <row r="18" spans="1:6" x14ac:dyDescent="0.3">
      <c r="A18" s="29">
        <v>45845</v>
      </c>
      <c r="B18" s="32" t="s">
        <v>82</v>
      </c>
      <c r="C18" s="31"/>
      <c r="D18" s="82">
        <f>646500/79.2</f>
        <v>8162.878787878788</v>
      </c>
      <c r="E18" s="31">
        <f t="shared" si="0"/>
        <v>9702.7238989899015</v>
      </c>
      <c r="F18" s="26"/>
    </row>
    <row r="19" spans="1:6" x14ac:dyDescent="0.3">
      <c r="A19" s="29">
        <v>45846</v>
      </c>
      <c r="B19" s="32" t="s">
        <v>81</v>
      </c>
      <c r="C19" s="31"/>
      <c r="D19" s="82">
        <f>500000/79.2</f>
        <v>6313.1313131313127</v>
      </c>
      <c r="E19" s="31">
        <f t="shared" si="0"/>
        <v>3389.5925858585888</v>
      </c>
      <c r="F19" s="26">
        <v>-63</v>
      </c>
    </row>
    <row r="20" spans="1:6" x14ac:dyDescent="0.3">
      <c r="A20" s="29">
        <v>45848</v>
      </c>
      <c r="B20" s="32" t="s">
        <v>83</v>
      </c>
      <c r="C20" s="31"/>
      <c r="D20" s="82">
        <f>268450/79.2</f>
        <v>3389.5202020202019</v>
      </c>
      <c r="E20" s="31">
        <f t="shared" si="0"/>
        <v>7.2383838386940624E-2</v>
      </c>
      <c r="F20" s="26"/>
    </row>
    <row r="21" spans="1:6" x14ac:dyDescent="0.3">
      <c r="A21" s="29"/>
      <c r="B21" s="32"/>
      <c r="C21" s="31"/>
      <c r="D21" s="31"/>
      <c r="E21" s="31"/>
      <c r="F21" s="26"/>
    </row>
    <row r="22" spans="1:6" x14ac:dyDescent="0.3">
      <c r="A22" s="29">
        <v>45848</v>
      </c>
      <c r="B22" s="30" t="s">
        <v>84</v>
      </c>
      <c r="C22" s="31">
        <f>'[1]invoice 3'!E97</f>
        <v>228660</v>
      </c>
      <c r="D22" s="31"/>
      <c r="E22" s="31">
        <f>E20+C22</f>
        <v>228660.07238383839</v>
      </c>
      <c r="F22" s="26"/>
    </row>
    <row r="23" spans="1:6" x14ac:dyDescent="0.3">
      <c r="A23" s="29">
        <v>45849</v>
      </c>
      <c r="B23" s="30" t="s">
        <v>72</v>
      </c>
      <c r="C23" s="31"/>
      <c r="D23" s="82">
        <v>100000</v>
      </c>
      <c r="E23" s="31">
        <f>E22-D23</f>
        <v>128660.07238383839</v>
      </c>
      <c r="F23" s="26"/>
    </row>
    <row r="24" spans="1:6" x14ac:dyDescent="0.3">
      <c r="A24" s="29">
        <v>45850</v>
      </c>
      <c r="B24" s="32" t="s">
        <v>85</v>
      </c>
      <c r="C24" s="31"/>
      <c r="D24" s="82">
        <v>100000</v>
      </c>
      <c r="E24" s="31">
        <f>E23-D24</f>
        <v>28660.072383838386</v>
      </c>
      <c r="F24" s="34"/>
    </row>
    <row r="25" spans="1:6" x14ac:dyDescent="0.3">
      <c r="A25" s="90"/>
      <c r="B25" s="91" t="s">
        <v>86</v>
      </c>
      <c r="C25" s="92"/>
      <c r="D25" s="91">
        <f>500*3.678</f>
        <v>1839</v>
      </c>
      <c r="E25" s="92">
        <f>E24-D25</f>
        <v>26821.072383838386</v>
      </c>
      <c r="F25" s="26"/>
    </row>
    <row r="26" spans="1:6" x14ac:dyDescent="0.3">
      <c r="A26" s="83"/>
      <c r="B26" s="85" t="s">
        <v>87</v>
      </c>
      <c r="C26" s="81"/>
      <c r="D26" s="85">
        <f>500*3.678</f>
        <v>1839</v>
      </c>
      <c r="E26" s="81">
        <f t="shared" ref="E26:E29" si="1">E25-D26</f>
        <v>24982.072383838386</v>
      </c>
      <c r="F26" s="26"/>
    </row>
    <row r="27" spans="1:6" x14ac:dyDescent="0.3">
      <c r="A27" s="90"/>
      <c r="B27" s="91" t="s">
        <v>88</v>
      </c>
      <c r="C27" s="92"/>
      <c r="D27" s="91">
        <f>350*3.678</f>
        <v>1287.3</v>
      </c>
      <c r="E27" s="92">
        <f t="shared" si="1"/>
        <v>23694.772383838386</v>
      </c>
      <c r="F27" s="26"/>
    </row>
    <row r="28" spans="1:6" x14ac:dyDescent="0.3">
      <c r="A28" s="83"/>
      <c r="B28" s="84" t="s">
        <v>79</v>
      </c>
      <c r="C28" s="81"/>
      <c r="D28" s="85">
        <f>3*650</f>
        <v>1950</v>
      </c>
      <c r="E28" s="81">
        <f t="shared" si="1"/>
        <v>21744.772383838386</v>
      </c>
      <c r="F28" s="26"/>
    </row>
    <row r="29" spans="1:6" x14ac:dyDescent="0.3">
      <c r="A29" s="29"/>
      <c r="B29" s="30"/>
      <c r="C29" s="31"/>
      <c r="D29" s="82">
        <v>21745</v>
      </c>
      <c r="E29" s="31">
        <f t="shared" si="1"/>
        <v>-0.22761616161369602</v>
      </c>
    </row>
    <row r="30" spans="1:6" x14ac:dyDescent="0.3">
      <c r="A30" s="29">
        <v>45854</v>
      </c>
      <c r="B30" s="30" t="s">
        <v>89</v>
      </c>
      <c r="C30" s="31">
        <f>'[1]invoice 4'!E79</f>
        <v>155410</v>
      </c>
      <c r="D30" s="31"/>
      <c r="E30" s="31">
        <f>E29+C30</f>
        <v>155409.7723838384</v>
      </c>
    </row>
    <row r="31" spans="1:6" x14ac:dyDescent="0.3">
      <c r="A31" s="29">
        <v>45857</v>
      </c>
      <c r="B31" s="30" t="s">
        <v>90</v>
      </c>
      <c r="C31" s="31"/>
      <c r="D31" s="82">
        <v>100000</v>
      </c>
      <c r="E31" s="31">
        <f>E30-D31</f>
        <v>55409.772383838397</v>
      </c>
      <c r="F31">
        <v>-5966</v>
      </c>
    </row>
    <row r="32" spans="1:6" x14ac:dyDescent="0.3">
      <c r="A32" s="29">
        <v>45860</v>
      </c>
      <c r="B32" s="30" t="s">
        <v>91</v>
      </c>
      <c r="C32" s="31"/>
      <c r="D32" s="82">
        <v>50000</v>
      </c>
      <c r="E32" s="31">
        <f>E31-D32</f>
        <v>5409.7723838383972</v>
      </c>
      <c r="F32">
        <v>1000</v>
      </c>
    </row>
    <row r="33" spans="1:6" x14ac:dyDescent="0.3">
      <c r="A33" s="29"/>
      <c r="B33" s="30"/>
      <c r="C33" s="31"/>
      <c r="D33" s="31"/>
      <c r="E33" s="31"/>
    </row>
    <row r="34" spans="1:6" x14ac:dyDescent="0.3">
      <c r="A34" s="29">
        <v>45859</v>
      </c>
      <c r="B34" s="30" t="s">
        <v>92</v>
      </c>
      <c r="C34" s="31">
        <f>'[1]invoice 5'!E64</f>
        <v>113640</v>
      </c>
      <c r="D34" s="31"/>
      <c r="E34" s="31">
        <f>E32+C34</f>
        <v>119049.7723838384</v>
      </c>
    </row>
    <row r="35" spans="1:6" x14ac:dyDescent="0.3">
      <c r="A35" s="29">
        <v>45859</v>
      </c>
      <c r="B35" s="30" t="s">
        <v>93</v>
      </c>
      <c r="C35" s="31">
        <f>'[1]invoice 6'!E18</f>
        <v>30750</v>
      </c>
      <c r="D35" s="31"/>
      <c r="E35" s="31">
        <f>+E34+C35</f>
        <v>149799.7723838384</v>
      </c>
    </row>
    <row r="36" spans="1:6" x14ac:dyDescent="0.3">
      <c r="A36" s="29">
        <v>45860</v>
      </c>
      <c r="B36" s="30" t="s">
        <v>94</v>
      </c>
      <c r="C36" s="31">
        <f>'[1]invoice 07'!E56</f>
        <v>130820</v>
      </c>
      <c r="D36" s="31"/>
      <c r="E36" s="31">
        <f>+E35+C36</f>
        <v>280619.77238383843</v>
      </c>
    </row>
    <row r="37" spans="1:6" x14ac:dyDescent="0.3">
      <c r="A37" s="29">
        <v>45862</v>
      </c>
      <c r="B37" s="30" t="s">
        <v>95</v>
      </c>
      <c r="C37" s="31"/>
      <c r="D37" s="82">
        <v>152783.20800000001</v>
      </c>
      <c r="E37" s="31">
        <f>E36-D37</f>
        <v>127836.56438383841</v>
      </c>
      <c r="F37">
        <v>5508</v>
      </c>
    </row>
    <row r="38" spans="1:6" x14ac:dyDescent="0.3">
      <c r="A38" s="29">
        <v>45864</v>
      </c>
      <c r="B38" s="30" t="s">
        <v>96</v>
      </c>
      <c r="C38" s="31"/>
      <c r="D38" s="82">
        <f>1700000/79.8</f>
        <v>21303.258145363408</v>
      </c>
      <c r="E38" s="31">
        <f>E37-D38</f>
        <v>106533.30623847501</v>
      </c>
    </row>
    <row r="39" spans="1:6" x14ac:dyDescent="0.3">
      <c r="A39" s="29">
        <v>45867</v>
      </c>
      <c r="B39" s="30" t="s">
        <v>97</v>
      </c>
      <c r="C39" s="31"/>
      <c r="D39" s="82">
        <f>10000000/79.6</f>
        <v>125628.14070351759</v>
      </c>
      <c r="E39" s="31">
        <f>E38-D39</f>
        <v>-19094.834465042586</v>
      </c>
    </row>
    <row r="40" spans="1:6" x14ac:dyDescent="0.3">
      <c r="A40" s="29"/>
      <c r="B40" s="30"/>
      <c r="C40" s="31"/>
      <c r="D40" s="31"/>
      <c r="E40" s="31"/>
    </row>
    <row r="41" spans="1:6" x14ac:dyDescent="0.3">
      <c r="A41" s="29">
        <v>45868</v>
      </c>
      <c r="B41" s="30" t="s">
        <v>98</v>
      </c>
      <c r="C41" s="31">
        <f>'[2]invoice 8'!E34</f>
        <v>77890</v>
      </c>
      <c r="D41" s="31"/>
      <c r="E41" s="31">
        <f>E39+C41</f>
        <v>58795.165534957414</v>
      </c>
    </row>
    <row r="42" spans="1:6" x14ac:dyDescent="0.3">
      <c r="A42" s="29">
        <v>45868</v>
      </c>
      <c r="B42" s="30" t="s">
        <v>99</v>
      </c>
      <c r="C42" s="31">
        <f>'[2]Invoice 09'!E33</f>
        <v>72940</v>
      </c>
      <c r="D42" s="31"/>
      <c r="E42" s="31">
        <f>E41+C42</f>
        <v>131735.16553495743</v>
      </c>
    </row>
    <row r="43" spans="1:6" x14ac:dyDescent="0.3">
      <c r="A43" s="29">
        <v>45868</v>
      </c>
      <c r="B43" s="30" t="s">
        <v>100</v>
      </c>
      <c r="C43" s="31">
        <f>'[2]Invoice 10'!E64</f>
        <v>140580</v>
      </c>
      <c r="D43" s="31"/>
      <c r="E43" s="31">
        <f>E42+C43</f>
        <v>272315.16553495743</v>
      </c>
    </row>
    <row r="44" spans="1:6" x14ac:dyDescent="0.3">
      <c r="A44" s="29">
        <v>45868</v>
      </c>
      <c r="B44" s="30" t="s">
        <v>101</v>
      </c>
      <c r="C44" s="31"/>
      <c r="D44" s="82">
        <f>20000000/79.6</f>
        <v>251256.28140703519</v>
      </c>
      <c r="E44" s="31">
        <f>E43-D44</f>
        <v>21058.88412792224</v>
      </c>
    </row>
    <row r="45" spans="1:6" x14ac:dyDescent="0.3">
      <c r="A45" s="29"/>
      <c r="B45" s="30"/>
      <c r="C45" s="31"/>
      <c r="D45" s="31"/>
      <c r="E45" s="31"/>
    </row>
    <row r="46" spans="1:6" x14ac:dyDescent="0.3">
      <c r="A46" s="29">
        <v>45869</v>
      </c>
      <c r="B46" s="30" t="s">
        <v>102</v>
      </c>
      <c r="C46" s="31">
        <f>'[2]invoice 11'!E34</f>
        <v>61670</v>
      </c>
      <c r="D46" s="31"/>
      <c r="E46" s="31">
        <f>E44+C46</f>
        <v>82728.88412792224</v>
      </c>
    </row>
    <row r="47" spans="1:6" x14ac:dyDescent="0.3">
      <c r="A47" s="29">
        <v>45870</v>
      </c>
      <c r="B47" s="30" t="s">
        <v>103</v>
      </c>
      <c r="C47" s="31">
        <f>'[2]invoice 12'!E64</f>
        <v>114190</v>
      </c>
      <c r="D47" s="31"/>
      <c r="E47" s="31">
        <f>E46+C47</f>
        <v>196918.88412792224</v>
      </c>
    </row>
    <row r="48" spans="1:6" ht="15" thickBot="1" x14ac:dyDescent="0.35">
      <c r="A48" s="29">
        <v>45873</v>
      </c>
      <c r="B48" s="30" t="s">
        <v>104</v>
      </c>
      <c r="C48" s="31"/>
      <c r="D48" s="82">
        <f>16607000/79.75</f>
        <v>208238.24451410657</v>
      </c>
      <c r="E48" s="31">
        <f>E47-D48</f>
        <v>-11319.360386184329</v>
      </c>
      <c r="F48" s="25"/>
    </row>
    <row r="49" spans="1:12" ht="15" thickBot="1" x14ac:dyDescent="0.35">
      <c r="A49" s="29"/>
      <c r="B49" s="35" t="s">
        <v>105</v>
      </c>
      <c r="C49" s="36"/>
      <c r="D49" s="31"/>
      <c r="E49" s="31"/>
    </row>
    <row r="50" spans="1:12" x14ac:dyDescent="0.3">
      <c r="A50" s="29"/>
      <c r="B50" s="95" t="s">
        <v>106</v>
      </c>
      <c r="D50" s="93">
        <v>2390</v>
      </c>
      <c r="E50" s="31">
        <f>E48-D50</f>
        <v>-13709.360386184329</v>
      </c>
    </row>
    <row r="51" spans="1:12" x14ac:dyDescent="0.3">
      <c r="A51" s="29"/>
      <c r="B51" s="96"/>
      <c r="D51" s="93">
        <v>3600</v>
      </c>
      <c r="E51" s="31">
        <f>E50-D51</f>
        <v>-17309.360386184329</v>
      </c>
    </row>
    <row r="52" spans="1:12" x14ac:dyDescent="0.3">
      <c r="A52" s="29"/>
      <c r="B52" s="97" t="s">
        <v>107</v>
      </c>
      <c r="D52" s="31">
        <v>250</v>
      </c>
      <c r="E52" s="31">
        <f>E51-D52</f>
        <v>-17559.360386184329</v>
      </c>
    </row>
    <row r="53" spans="1:12" ht="15" thickBot="1" x14ac:dyDescent="0.35">
      <c r="A53" s="29"/>
      <c r="B53" s="98"/>
      <c r="D53" s="31">
        <v>220</v>
      </c>
      <c r="E53" s="31">
        <f>E52-D53</f>
        <v>-17779.360386184329</v>
      </c>
    </row>
    <row r="54" spans="1:12" ht="27" customHeight="1" x14ac:dyDescent="0.3">
      <c r="A54" s="29"/>
      <c r="B54" s="99" t="s">
        <v>108</v>
      </c>
      <c r="D54" s="93">
        <v>1080</v>
      </c>
      <c r="E54" s="31">
        <f>E53-D54</f>
        <v>-18859.360386184329</v>
      </c>
      <c r="F54" s="25"/>
    </row>
    <row r="55" spans="1:12" ht="15" thickBot="1" x14ac:dyDescent="0.35">
      <c r="A55" s="29"/>
      <c r="B55" s="100"/>
      <c r="C55" s="36"/>
      <c r="D55" s="31"/>
      <c r="E55" s="31"/>
      <c r="F55" s="25"/>
    </row>
    <row r="56" spans="1:12" x14ac:dyDescent="0.3">
      <c r="A56" s="29">
        <v>45874</v>
      </c>
      <c r="B56" s="30" t="s">
        <v>109</v>
      </c>
      <c r="C56" s="31">
        <f>'[2]Invoice 13'!E64</f>
        <v>130880</v>
      </c>
      <c r="D56" s="31"/>
      <c r="E56" s="31">
        <f>C56+E54</f>
        <v>112020.63961381567</v>
      </c>
      <c r="F56" s="25"/>
    </row>
    <row r="57" spans="1:12" x14ac:dyDescent="0.3">
      <c r="A57" s="29">
        <v>45881</v>
      </c>
      <c r="B57" s="30" t="s">
        <v>72</v>
      </c>
      <c r="C57" s="31"/>
      <c r="D57" s="82">
        <v>100000</v>
      </c>
      <c r="E57" s="31">
        <f>E56-D57</f>
        <v>12020.639613815671</v>
      </c>
    </row>
    <row r="58" spans="1:12" x14ac:dyDescent="0.3">
      <c r="A58" s="83"/>
      <c r="B58" s="85" t="s">
        <v>110</v>
      </c>
      <c r="C58" s="81"/>
      <c r="D58" s="81">
        <v>12020</v>
      </c>
      <c r="E58" s="81">
        <f>E57-D58</f>
        <v>0.63961381567060016</v>
      </c>
      <c r="F58" s="25"/>
    </row>
    <row r="59" spans="1:12" x14ac:dyDescent="0.3">
      <c r="A59" s="29">
        <v>45882</v>
      </c>
      <c r="B59" s="30" t="s">
        <v>111</v>
      </c>
      <c r="C59" s="31">
        <f>'[2]invoice 14'!E64</f>
        <v>119900</v>
      </c>
      <c r="D59" s="31"/>
      <c r="E59" s="31">
        <f>E58+C59</f>
        <v>119900.63961381567</v>
      </c>
    </row>
    <row r="60" spans="1:12" x14ac:dyDescent="0.3">
      <c r="A60" s="29">
        <v>45883</v>
      </c>
      <c r="B60" s="30" t="s">
        <v>112</v>
      </c>
      <c r="C60" s="31">
        <f>'[2]Invoice 15'!E33</f>
        <v>66000</v>
      </c>
      <c r="D60" s="31"/>
      <c r="E60" s="31">
        <f>E59+C60</f>
        <v>185900.63961381567</v>
      </c>
    </row>
    <row r="61" spans="1:12" x14ac:dyDescent="0.3">
      <c r="A61" s="86">
        <v>45884</v>
      </c>
      <c r="B61" s="87" t="s">
        <v>113</v>
      </c>
      <c r="C61" s="88"/>
      <c r="D61" s="88">
        <f>2578500/79.4</f>
        <v>32474.811083123423</v>
      </c>
      <c r="E61" s="88">
        <f t="shared" ref="E61:E66" si="2">E60-D61</f>
        <v>153425.82853069226</v>
      </c>
      <c r="H61">
        <v>50000</v>
      </c>
      <c r="I61">
        <v>78.55</v>
      </c>
      <c r="J61">
        <f>H61*I61</f>
        <v>3927500</v>
      </c>
      <c r="L61">
        <v>242000</v>
      </c>
    </row>
    <row r="62" spans="1:12" x14ac:dyDescent="0.3">
      <c r="A62" s="29">
        <v>45885</v>
      </c>
      <c r="B62" s="30" t="s">
        <v>114</v>
      </c>
      <c r="C62" s="31"/>
      <c r="D62" s="82">
        <v>100000</v>
      </c>
      <c r="E62" s="31">
        <f t="shared" si="2"/>
        <v>53425.828530692263</v>
      </c>
      <c r="H62">
        <v>60000</v>
      </c>
      <c r="I62">
        <v>79</v>
      </c>
      <c r="J62">
        <f>H62*I62</f>
        <v>4740000</v>
      </c>
      <c r="L62">
        <v>251000</v>
      </c>
    </row>
    <row r="63" spans="1:12" x14ac:dyDescent="0.3">
      <c r="A63" s="29">
        <v>45887</v>
      </c>
      <c r="B63" s="30" t="s">
        <v>115</v>
      </c>
      <c r="C63" s="31"/>
      <c r="D63" s="82">
        <f>1000000/79.6</f>
        <v>12562.81407035176</v>
      </c>
      <c r="E63" s="31">
        <f t="shared" si="2"/>
        <v>40863.014460340506</v>
      </c>
      <c r="F63">
        <v>16</v>
      </c>
      <c r="L63">
        <v>500000</v>
      </c>
    </row>
    <row r="64" spans="1:12" x14ac:dyDescent="0.3">
      <c r="A64" s="83">
        <v>45889</v>
      </c>
      <c r="B64" s="85" t="s">
        <v>116</v>
      </c>
      <c r="C64" s="81"/>
      <c r="D64" s="81">
        <v>23218.54</v>
      </c>
      <c r="E64" s="81">
        <f t="shared" si="2"/>
        <v>17644.474460340505</v>
      </c>
      <c r="F64" s="25"/>
      <c r="L64">
        <v>293000</v>
      </c>
    </row>
    <row r="65" spans="1:12" x14ac:dyDescent="0.3">
      <c r="A65" s="29">
        <v>45889</v>
      </c>
      <c r="B65" s="30" t="s">
        <v>72</v>
      </c>
      <c r="C65" s="31"/>
      <c r="D65" s="82">
        <v>17000</v>
      </c>
      <c r="E65" s="31">
        <f t="shared" si="2"/>
        <v>644.47446034050517</v>
      </c>
      <c r="L65">
        <v>300000</v>
      </c>
    </row>
    <row r="66" spans="1:12" x14ac:dyDescent="0.3">
      <c r="A66" s="29">
        <v>45889</v>
      </c>
      <c r="B66" s="30" t="s">
        <v>117</v>
      </c>
      <c r="C66" s="31"/>
      <c r="D66" s="82">
        <f>134000/79.6</f>
        <v>1683.4170854271358</v>
      </c>
      <c r="E66" s="31">
        <f t="shared" si="2"/>
        <v>-1038.9426250866306</v>
      </c>
      <c r="L66">
        <v>134000</v>
      </c>
    </row>
    <row r="67" spans="1:12" x14ac:dyDescent="0.3">
      <c r="A67" s="29">
        <v>45890</v>
      </c>
      <c r="B67" s="30" t="s">
        <v>118</v>
      </c>
      <c r="C67" s="31">
        <f>'[3]Invoice 16'!E64</f>
        <v>132145</v>
      </c>
      <c r="D67" s="31"/>
      <c r="E67" s="31">
        <f>C67+E66</f>
        <v>131106.05737491336</v>
      </c>
      <c r="L67">
        <v>212000</v>
      </c>
    </row>
    <row r="68" spans="1:12" x14ac:dyDescent="0.3">
      <c r="A68" s="29">
        <v>45894</v>
      </c>
      <c r="B68" s="30" t="s">
        <v>119</v>
      </c>
      <c r="C68" s="31">
        <f>'[3]Invoice 17'!E26</f>
        <v>52250</v>
      </c>
      <c r="D68" s="31"/>
      <c r="E68" s="31">
        <f>E67+C68</f>
        <v>183356.05737491336</v>
      </c>
      <c r="L68">
        <v>155000</v>
      </c>
    </row>
    <row r="69" spans="1:12" x14ac:dyDescent="0.3">
      <c r="A69" s="29">
        <v>45895</v>
      </c>
      <c r="B69" s="30" t="s">
        <v>120</v>
      </c>
      <c r="C69" s="31">
        <f>'[3]Invoice 18'!E36</f>
        <v>43235</v>
      </c>
      <c r="D69" s="31"/>
      <c r="E69" s="31">
        <f>E68+C69</f>
        <v>226591.05737491336</v>
      </c>
      <c r="L69">
        <v>427900</v>
      </c>
    </row>
    <row r="70" spans="1:12" x14ac:dyDescent="0.3">
      <c r="A70" s="29">
        <v>45896</v>
      </c>
      <c r="B70" s="30" t="s">
        <v>121</v>
      </c>
      <c r="C70" s="31"/>
      <c r="D70" s="82">
        <v>100000</v>
      </c>
      <c r="E70" s="31">
        <f>E69-D70</f>
        <v>126591.05737491336</v>
      </c>
      <c r="L70" s="50">
        <f>SUM(L61:L69)</f>
        <v>2514900</v>
      </c>
    </row>
    <row r="71" spans="1:12" x14ac:dyDescent="0.3">
      <c r="A71" s="29"/>
      <c r="B71" s="30" t="s">
        <v>72</v>
      </c>
      <c r="C71" s="31"/>
      <c r="D71" s="82">
        <v>50000</v>
      </c>
      <c r="E71" s="31">
        <f t="shared" ref="E71:E72" si="3">E70-D71</f>
        <v>76591.057374913362</v>
      </c>
      <c r="L71">
        <v>1450000</v>
      </c>
    </row>
    <row r="72" spans="1:12" x14ac:dyDescent="0.3">
      <c r="A72" s="86">
        <v>45899</v>
      </c>
      <c r="B72" s="87" t="s">
        <v>122</v>
      </c>
      <c r="C72" s="88"/>
      <c r="D72" s="88">
        <f>1361100/79.6</f>
        <v>17099.246231155779</v>
      </c>
      <c r="E72" s="88">
        <f t="shared" si="3"/>
        <v>59491.811143757586</v>
      </c>
      <c r="L72">
        <f>J61</f>
        <v>3927500</v>
      </c>
    </row>
    <row r="73" spans="1:12" x14ac:dyDescent="0.3">
      <c r="A73" s="29">
        <v>45899</v>
      </c>
      <c r="B73" s="30" t="s">
        <v>72</v>
      </c>
      <c r="C73" s="31"/>
      <c r="D73" s="82">
        <v>50000</v>
      </c>
      <c r="E73" s="31">
        <f>E72-D73</f>
        <v>9491.8111437575863</v>
      </c>
      <c r="L73">
        <v>2700000</v>
      </c>
    </row>
    <row r="74" spans="1:12" x14ac:dyDescent="0.3">
      <c r="A74" s="86">
        <v>45899</v>
      </c>
      <c r="B74" s="87" t="s">
        <v>123</v>
      </c>
      <c r="C74" s="88"/>
      <c r="D74" s="88">
        <f>426400/79.9</f>
        <v>5336.6708385481852</v>
      </c>
      <c r="E74" s="88">
        <f>E73-D74</f>
        <v>4155.140305209401</v>
      </c>
    </row>
    <row r="75" spans="1:12" x14ac:dyDescent="0.3">
      <c r="A75" s="29">
        <v>45902</v>
      </c>
      <c r="B75" s="30" t="s">
        <v>72</v>
      </c>
      <c r="C75" s="31"/>
      <c r="D75" s="82">
        <v>4155</v>
      </c>
      <c r="E75" s="31">
        <f>E74-D75</f>
        <v>0.14030520940104907</v>
      </c>
    </row>
    <row r="76" spans="1:12" x14ac:dyDescent="0.3">
      <c r="A76" s="29"/>
      <c r="B76" s="30"/>
      <c r="C76" s="31"/>
      <c r="D76" s="31"/>
      <c r="E76" s="31"/>
    </row>
    <row r="77" spans="1:12" x14ac:dyDescent="0.3">
      <c r="A77" s="29">
        <v>45908</v>
      </c>
      <c r="B77" s="30" t="s">
        <v>136</v>
      </c>
      <c r="C77" s="31">
        <f>'Invoice 19'!E74</f>
        <v>81140</v>
      </c>
      <c r="D77" s="31"/>
      <c r="E77" s="31">
        <f>E75+C77</f>
        <v>81140.140305209396</v>
      </c>
    </row>
    <row r="78" spans="1:12" x14ac:dyDescent="0.3">
      <c r="A78" s="29">
        <v>45906</v>
      </c>
      <c r="B78" s="30" t="s">
        <v>137</v>
      </c>
      <c r="C78" s="31">
        <f>'Invoice 20'!E34</f>
        <v>58200</v>
      </c>
      <c r="D78" s="31"/>
      <c r="E78" s="31">
        <f>E77+C78</f>
        <v>139340.14030520938</v>
      </c>
    </row>
    <row r="79" spans="1:12" x14ac:dyDescent="0.3">
      <c r="A79" s="29">
        <v>45911</v>
      </c>
      <c r="B79" s="30" t="s">
        <v>140</v>
      </c>
      <c r="C79" s="31"/>
      <c r="D79" s="82">
        <f>11018000/78.7</f>
        <v>140000</v>
      </c>
      <c r="E79" s="31">
        <f>E78-D79</f>
        <v>-659.85969479061896</v>
      </c>
    </row>
    <row r="80" spans="1:12" x14ac:dyDescent="0.3">
      <c r="A80" s="29">
        <v>45912</v>
      </c>
      <c r="B80" s="30" t="s">
        <v>158</v>
      </c>
      <c r="C80" s="31">
        <f>'Invoice 21'!E48</f>
        <v>90460</v>
      </c>
      <c r="D80" s="31"/>
      <c r="E80" s="31">
        <f>E79+C80</f>
        <v>89800.140305209381</v>
      </c>
    </row>
    <row r="81" spans="1:8" x14ac:dyDescent="0.3">
      <c r="A81" s="29">
        <v>45920</v>
      </c>
      <c r="B81" s="30" t="s">
        <v>159</v>
      </c>
      <c r="C81" s="31"/>
      <c r="D81" s="82">
        <f>6296000/78.7</f>
        <v>80000</v>
      </c>
      <c r="E81" s="31">
        <f>E80-D81</f>
        <v>9800.140305209381</v>
      </c>
    </row>
    <row r="82" spans="1:8" x14ac:dyDescent="0.3">
      <c r="A82" s="83">
        <v>45920</v>
      </c>
      <c r="B82" s="85" t="s">
        <v>110</v>
      </c>
      <c r="C82" s="81"/>
      <c r="D82" s="81">
        <v>9800</v>
      </c>
      <c r="E82" s="81">
        <f>E81-D82</f>
        <v>0.14030520938104019</v>
      </c>
    </row>
    <row r="83" spans="1:8" x14ac:dyDescent="0.3">
      <c r="A83" s="29">
        <v>45919</v>
      </c>
      <c r="B83" s="30" t="s">
        <v>160</v>
      </c>
      <c r="C83" s="31">
        <f>'Invoice 22'!E38</f>
        <v>79230</v>
      </c>
      <c r="D83" s="31"/>
      <c r="E83" s="31">
        <f>+E82+C83</f>
        <v>79230.140305209381</v>
      </c>
      <c r="H83" s="88">
        <v>32474.811083123423</v>
      </c>
    </row>
    <row r="84" spans="1:8" x14ac:dyDescent="0.3">
      <c r="A84" s="29">
        <v>45919</v>
      </c>
      <c r="B84" s="30" t="s">
        <v>181</v>
      </c>
      <c r="C84" s="31">
        <f>'Invoice 23'!E9</f>
        <v>13400</v>
      </c>
      <c r="D84" s="31"/>
      <c r="E84" s="31">
        <f>+E83+C84</f>
        <v>92630.140305209381</v>
      </c>
      <c r="H84" s="88">
        <v>17099.246231155779</v>
      </c>
    </row>
    <row r="85" spans="1:8" x14ac:dyDescent="0.3">
      <c r="A85" s="29">
        <v>45923</v>
      </c>
      <c r="B85" s="30" t="s">
        <v>72</v>
      </c>
      <c r="C85" s="31"/>
      <c r="D85" s="82">
        <v>27000</v>
      </c>
      <c r="E85" s="31">
        <f>E84-D85</f>
        <v>65630.140305209381</v>
      </c>
      <c r="H85" s="88">
        <v>5336.6708385481852</v>
      </c>
    </row>
    <row r="86" spans="1:8" x14ac:dyDescent="0.3">
      <c r="A86" s="29">
        <v>45924</v>
      </c>
      <c r="B86" s="30" t="s">
        <v>72</v>
      </c>
      <c r="C86" s="31"/>
      <c r="D86" s="82">
        <v>35000</v>
      </c>
      <c r="E86" s="31">
        <f>E85-D86</f>
        <v>30630.140305209381</v>
      </c>
    </row>
    <row r="87" spans="1:8" x14ac:dyDescent="0.3">
      <c r="A87" s="29">
        <v>45925</v>
      </c>
      <c r="B87" s="30" t="s">
        <v>72</v>
      </c>
      <c r="C87" s="31"/>
      <c r="D87" s="82">
        <v>27300</v>
      </c>
      <c r="E87" s="31">
        <f>E86-D87</f>
        <v>3330.140305209381</v>
      </c>
    </row>
    <row r="88" spans="1:8" x14ac:dyDescent="0.3">
      <c r="A88" s="29"/>
      <c r="B88" s="30" t="s">
        <v>182</v>
      </c>
      <c r="C88" s="31">
        <f>'INVOICE 24'!E36</f>
        <v>50500</v>
      </c>
      <c r="D88" s="31"/>
      <c r="E88" s="31">
        <f>E87+C88</f>
        <v>53830.140305209381</v>
      </c>
    </row>
    <row r="89" spans="1:8" x14ac:dyDescent="0.3">
      <c r="A89" s="29"/>
      <c r="B89" s="30" t="s">
        <v>183</v>
      </c>
      <c r="C89" s="31">
        <f>'INVOICE 25'!E39</f>
        <v>74400</v>
      </c>
      <c r="D89" s="31"/>
      <c r="E89" s="31">
        <f>+E88+C89</f>
        <v>128230.14030520938</v>
      </c>
    </row>
    <row r="90" spans="1:8" x14ac:dyDescent="0.3">
      <c r="A90" s="29"/>
      <c r="B90" s="30" t="s">
        <v>247</v>
      </c>
      <c r="C90" s="31"/>
      <c r="D90" s="31">
        <f>9626750/78.7</f>
        <v>122322.10927573062</v>
      </c>
      <c r="E90" s="31">
        <f>E89-D90</f>
        <v>5908.0310294787632</v>
      </c>
    </row>
    <row r="91" spans="1:8" x14ac:dyDescent="0.3">
      <c r="A91" s="29"/>
      <c r="B91" s="30" t="s">
        <v>246</v>
      </c>
      <c r="C91" s="31">
        <f>'INOIVCE 26'!E66</f>
        <v>116430</v>
      </c>
      <c r="D91" s="31"/>
      <c r="E91" s="31">
        <f>E90+C91</f>
        <v>122338.03102947876</v>
      </c>
    </row>
    <row r="92" spans="1:8" ht="15" customHeight="1" x14ac:dyDescent="0.3">
      <c r="A92" s="29"/>
      <c r="B92" s="30"/>
      <c r="C92" s="31"/>
      <c r="D92" s="31">
        <v>100000</v>
      </c>
      <c r="E92" s="31"/>
    </row>
    <row r="93" spans="1:8" x14ac:dyDescent="0.3">
      <c r="A93" s="29"/>
      <c r="B93" s="30"/>
      <c r="C93" s="31"/>
      <c r="D93" s="31"/>
      <c r="E93" s="31"/>
    </row>
    <row r="94" spans="1:8" x14ac:dyDescent="0.3">
      <c r="A94"/>
      <c r="B94" s="37"/>
      <c r="C94" s="38">
        <f>SUM(C3:C92)</f>
        <v>2493540</v>
      </c>
      <c r="D94" s="38">
        <f>SUM(D3:D91)</f>
        <v>2371201.9689705209</v>
      </c>
      <c r="E94" s="38">
        <f>C94-D94</f>
        <v>122338.03102947911</v>
      </c>
    </row>
    <row r="95" spans="1:8" x14ac:dyDescent="0.3">
      <c r="A95"/>
    </row>
    <row r="96" spans="1:8" x14ac:dyDescent="0.3">
      <c r="A96"/>
    </row>
    <row r="97" spans="1:8" x14ac:dyDescent="0.3">
      <c r="A97"/>
      <c r="C97" s="39" t="s">
        <v>124</v>
      </c>
      <c r="D97" s="39" t="s">
        <v>125</v>
      </c>
      <c r="E97" s="39" t="s">
        <v>126</v>
      </c>
    </row>
    <row r="98" spans="1:8" x14ac:dyDescent="0.3">
      <c r="A98"/>
      <c r="C98" s="40">
        <v>45867</v>
      </c>
      <c r="D98" s="39"/>
      <c r="E98" s="89">
        <v>238000</v>
      </c>
    </row>
    <row r="99" spans="1:8" x14ac:dyDescent="0.3">
      <c r="A99"/>
      <c r="C99" s="40">
        <v>45867</v>
      </c>
      <c r="D99">
        <v>667255</v>
      </c>
      <c r="E99" s="89">
        <v>100000</v>
      </c>
    </row>
    <row r="100" spans="1:8" x14ac:dyDescent="0.3">
      <c r="A100"/>
      <c r="C100" s="40">
        <v>45868</v>
      </c>
      <c r="D100">
        <v>601254</v>
      </c>
      <c r="E100" s="89">
        <v>94000</v>
      </c>
    </row>
    <row r="101" spans="1:8" x14ac:dyDescent="0.3">
      <c r="A101"/>
      <c r="C101" s="40">
        <v>45868</v>
      </c>
      <c r="D101">
        <v>647889</v>
      </c>
      <c r="E101" s="89">
        <v>200000</v>
      </c>
    </row>
    <row r="102" spans="1:8" x14ac:dyDescent="0.3">
      <c r="A102"/>
      <c r="C102" s="40">
        <v>45869</v>
      </c>
      <c r="D102">
        <v>230151433</v>
      </c>
      <c r="E102" s="89">
        <v>237500</v>
      </c>
    </row>
    <row r="103" spans="1:8" x14ac:dyDescent="0.3">
      <c r="A103"/>
      <c r="C103" s="40">
        <v>45870</v>
      </c>
      <c r="D103">
        <v>200657</v>
      </c>
      <c r="E103" s="89">
        <v>214000</v>
      </c>
    </row>
    <row r="104" spans="1:8" x14ac:dyDescent="0.3">
      <c r="A104"/>
      <c r="C104" s="40">
        <v>45870</v>
      </c>
      <c r="D104">
        <v>299190</v>
      </c>
      <c r="E104" s="89">
        <v>100000</v>
      </c>
    </row>
    <row r="105" spans="1:8" x14ac:dyDescent="0.3">
      <c r="A105"/>
      <c r="D105" t="s">
        <v>127</v>
      </c>
      <c r="E105" s="4">
        <v>-305000</v>
      </c>
    </row>
    <row r="106" spans="1:8" x14ac:dyDescent="0.3">
      <c r="A106"/>
      <c r="D106" t="s">
        <v>127</v>
      </c>
      <c r="E106" s="4">
        <v>-350000</v>
      </c>
    </row>
    <row r="107" spans="1:8" x14ac:dyDescent="0.3">
      <c r="A107"/>
      <c r="D107" t="s">
        <v>127</v>
      </c>
      <c r="E107" s="4">
        <v>-300000</v>
      </c>
    </row>
    <row r="108" spans="1:8" x14ac:dyDescent="0.3">
      <c r="A108"/>
      <c r="C108" s="39" t="s">
        <v>69</v>
      </c>
      <c r="D108" s="39"/>
      <c r="E108" s="39">
        <f>SUM(E98:E107)</f>
        <v>228500</v>
      </c>
    </row>
    <row r="109" spans="1:8" x14ac:dyDescent="0.3">
      <c r="A109"/>
      <c r="C109" s="40">
        <v>45882</v>
      </c>
      <c r="D109">
        <v>884735</v>
      </c>
      <c r="E109" s="89">
        <v>300000</v>
      </c>
    </row>
    <row r="110" spans="1:8" x14ac:dyDescent="0.3">
      <c r="A110"/>
      <c r="C110" s="40">
        <v>45882</v>
      </c>
      <c r="D110">
        <v>1536525397</v>
      </c>
      <c r="E110" s="89">
        <v>300000</v>
      </c>
      <c r="F110" s="41">
        <f>E116/79.4</f>
        <v>32474.811083123423</v>
      </c>
    </row>
    <row r="111" spans="1:8" x14ac:dyDescent="0.3">
      <c r="A111"/>
      <c r="C111" s="40">
        <v>45883</v>
      </c>
      <c r="D111">
        <v>235711</v>
      </c>
      <c r="E111" s="89">
        <v>500000</v>
      </c>
    </row>
    <row r="112" spans="1:8" x14ac:dyDescent="0.3">
      <c r="A112"/>
      <c r="C112" s="40">
        <v>45883</v>
      </c>
      <c r="D112">
        <v>152719</v>
      </c>
      <c r="E112" s="89">
        <v>250000</v>
      </c>
      <c r="H112">
        <v>6296000</v>
      </c>
    </row>
    <row r="113" spans="1:6" x14ac:dyDescent="0.3">
      <c r="A113"/>
      <c r="C113" s="40">
        <v>45884</v>
      </c>
      <c r="D113">
        <v>465942</v>
      </c>
      <c r="E113" s="89">
        <v>500000</v>
      </c>
      <c r="F113" s="41">
        <f>E119/79.6</f>
        <v>12562.81407035176</v>
      </c>
    </row>
    <row r="114" spans="1:6" x14ac:dyDescent="0.3">
      <c r="A114"/>
      <c r="C114" s="40">
        <v>45884</v>
      </c>
      <c r="D114">
        <v>719137</v>
      </c>
      <c r="E114" s="89">
        <v>250000</v>
      </c>
    </row>
    <row r="115" spans="1:6" x14ac:dyDescent="0.3">
      <c r="A115"/>
      <c r="C115" s="40">
        <v>45884</v>
      </c>
      <c r="D115">
        <v>977150</v>
      </c>
      <c r="E115" s="89">
        <v>250000</v>
      </c>
    </row>
    <row r="116" spans="1:6" x14ac:dyDescent="0.3">
      <c r="A116"/>
      <c r="D116" s="39" t="s">
        <v>128</v>
      </c>
      <c r="E116" s="39">
        <f>SUM(E108:E115)</f>
        <v>2578500</v>
      </c>
    </row>
    <row r="117" spans="1:6" x14ac:dyDescent="0.3">
      <c r="A117"/>
      <c r="C117" s="40">
        <v>45885</v>
      </c>
      <c r="D117">
        <v>310912</v>
      </c>
      <c r="E117" s="89">
        <v>500000</v>
      </c>
      <c r="F117" s="41">
        <f>E123/79.6</f>
        <v>1683.4170854271358</v>
      </c>
    </row>
    <row r="118" spans="1:6" x14ac:dyDescent="0.3">
      <c r="A118"/>
      <c r="C118" s="40">
        <v>45887</v>
      </c>
      <c r="D118">
        <v>615442</v>
      </c>
      <c r="E118" s="89">
        <v>500000</v>
      </c>
    </row>
    <row r="119" spans="1:6" x14ac:dyDescent="0.3">
      <c r="D119" s="39" t="s">
        <v>129</v>
      </c>
      <c r="E119" s="39">
        <f>SUM(E117:E118)</f>
        <v>1000000</v>
      </c>
    </row>
    <row r="123" spans="1:6" x14ac:dyDescent="0.3">
      <c r="C123" s="40">
        <v>45889</v>
      </c>
      <c r="D123" t="s">
        <v>130</v>
      </c>
      <c r="E123" s="89">
        <v>134000</v>
      </c>
    </row>
    <row r="124" spans="1:6" x14ac:dyDescent="0.3">
      <c r="C124" s="40"/>
      <c r="D124" s="39" t="s">
        <v>129</v>
      </c>
    </row>
    <row r="125" spans="1:6" x14ac:dyDescent="0.3">
      <c r="C125" s="40">
        <v>45890</v>
      </c>
      <c r="D125" s="43" t="s">
        <v>131</v>
      </c>
      <c r="E125" s="89">
        <v>264000</v>
      </c>
      <c r="F125" s="41">
        <f>E132/79.6</f>
        <v>17099.246231155779</v>
      </c>
    </row>
    <row r="126" spans="1:6" x14ac:dyDescent="0.3">
      <c r="C126" s="40">
        <v>45892</v>
      </c>
      <c r="D126" s="43">
        <v>867110</v>
      </c>
      <c r="E126" s="89">
        <v>132600</v>
      </c>
      <c r="F126" s="41"/>
    </row>
    <row r="127" spans="1:6" x14ac:dyDescent="0.3">
      <c r="C127" s="40">
        <v>45895</v>
      </c>
      <c r="D127" s="43" t="s">
        <v>130</v>
      </c>
      <c r="E127" s="89">
        <v>300000</v>
      </c>
    </row>
    <row r="128" spans="1:6" x14ac:dyDescent="0.3">
      <c r="C128" s="40">
        <v>45896</v>
      </c>
      <c r="D128" s="43" t="s">
        <v>132</v>
      </c>
      <c r="E128" s="89">
        <v>128000</v>
      </c>
    </row>
    <row r="129" spans="3:6" x14ac:dyDescent="0.3">
      <c r="C129" s="40">
        <v>45897</v>
      </c>
      <c r="D129" s="43" t="s">
        <v>130</v>
      </c>
      <c r="E129" s="89">
        <v>200000</v>
      </c>
    </row>
    <row r="130" spans="3:6" x14ac:dyDescent="0.3">
      <c r="C130" s="40">
        <v>45898</v>
      </c>
      <c r="D130" s="43" t="s">
        <v>133</v>
      </c>
      <c r="E130" s="89">
        <v>161500</v>
      </c>
    </row>
    <row r="131" spans="3:6" x14ac:dyDescent="0.3">
      <c r="C131" s="40">
        <v>45899</v>
      </c>
      <c r="D131" s="43">
        <v>6019885</v>
      </c>
      <c r="E131" s="89">
        <v>175000</v>
      </c>
      <c r="F131" s="41">
        <f>E137/79.7</f>
        <v>5350.0627352572146</v>
      </c>
    </row>
    <row r="132" spans="3:6" x14ac:dyDescent="0.3">
      <c r="D132" s="39" t="s">
        <v>129</v>
      </c>
      <c r="E132" s="39">
        <f>SUM(E125:E131)</f>
        <v>1361100</v>
      </c>
    </row>
    <row r="133" spans="3:6" x14ac:dyDescent="0.3">
      <c r="D133" s="44"/>
    </row>
    <row r="134" spans="3:6" x14ac:dyDescent="0.3">
      <c r="C134" s="40">
        <v>45899</v>
      </c>
      <c r="D134" s="43">
        <v>186348</v>
      </c>
      <c r="E134" s="89">
        <v>58000</v>
      </c>
    </row>
    <row r="135" spans="3:6" x14ac:dyDescent="0.3">
      <c r="C135" s="40">
        <v>45899</v>
      </c>
      <c r="D135" s="43" t="s">
        <v>134</v>
      </c>
      <c r="E135" s="89">
        <v>150000</v>
      </c>
    </row>
    <row r="136" spans="3:6" x14ac:dyDescent="0.3">
      <c r="C136" s="40">
        <v>45899</v>
      </c>
      <c r="D136" s="43">
        <v>4846</v>
      </c>
      <c r="E136" s="89">
        <v>218400</v>
      </c>
    </row>
    <row r="137" spans="3:6" x14ac:dyDescent="0.3">
      <c r="D137" s="39" t="s">
        <v>135</v>
      </c>
      <c r="E137" s="39">
        <f>SUM(E134:E136)</f>
        <v>426400</v>
      </c>
    </row>
  </sheetData>
  <mergeCells count="4">
    <mergeCell ref="A1:E1"/>
    <mergeCell ref="B50:B51"/>
    <mergeCell ref="B52:B53"/>
    <mergeCell ref="B54:B55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4"/>
  <sheetViews>
    <sheetView tabSelected="1" topLeftCell="A46" zoomScale="105" zoomScaleNormal="120" workbookViewId="0">
      <selection activeCell="F44" sqref="F44"/>
    </sheetView>
  </sheetViews>
  <sheetFormatPr defaultRowHeight="14.4" x14ac:dyDescent="0.3"/>
  <cols>
    <col min="1" max="1" width="4.109375" bestFit="1" customWidth="1"/>
    <col min="2" max="2" width="22" customWidth="1"/>
    <col min="3" max="3" width="38.21875" bestFit="1" customWidth="1"/>
    <col min="4" max="4" width="13.33203125" customWidth="1"/>
    <col min="5" max="5" width="16" style="12" bestFit="1" customWidth="1"/>
    <col min="6" max="6" width="16.109375" bestFit="1" customWidth="1"/>
    <col min="7" max="7" width="19.88671875" bestFit="1" customWidth="1"/>
  </cols>
  <sheetData>
    <row r="1" spans="1:6" x14ac:dyDescent="0.3">
      <c r="A1" s="9" t="s">
        <v>51</v>
      </c>
      <c r="B1" s="9"/>
      <c r="C1" s="10" t="s">
        <v>50</v>
      </c>
      <c r="D1" s="9"/>
      <c r="E1" s="13" t="s">
        <v>139</v>
      </c>
      <c r="F1" s="11"/>
    </row>
    <row r="2" spans="1:6" x14ac:dyDescent="0.3">
      <c r="A2" s="11" t="s">
        <v>46</v>
      </c>
      <c r="B2" s="11" t="s">
        <v>47</v>
      </c>
      <c r="C2" s="11" t="s">
        <v>1</v>
      </c>
      <c r="D2" s="11" t="s">
        <v>0</v>
      </c>
      <c r="E2" s="14" t="s">
        <v>48</v>
      </c>
      <c r="F2" s="11" t="s">
        <v>49</v>
      </c>
    </row>
    <row r="3" spans="1:6" x14ac:dyDescent="0.3">
      <c r="A3">
        <v>1</v>
      </c>
      <c r="B3" s="1">
        <v>355205565078322</v>
      </c>
      <c r="C3" t="s">
        <v>32</v>
      </c>
      <c r="D3" t="s">
        <v>8</v>
      </c>
      <c r="E3" s="12">
        <v>1230</v>
      </c>
    </row>
    <row r="4" spans="1:6" x14ac:dyDescent="0.3">
      <c r="A4">
        <v>2</v>
      </c>
      <c r="B4" s="6">
        <v>351159274033801</v>
      </c>
      <c r="C4" s="4" t="s">
        <v>27</v>
      </c>
      <c r="D4" t="s">
        <v>8</v>
      </c>
      <c r="E4" s="12">
        <v>0</v>
      </c>
    </row>
    <row r="5" spans="1:6" x14ac:dyDescent="0.3">
      <c r="A5">
        <v>3</v>
      </c>
      <c r="B5" s="7">
        <v>357241839849014</v>
      </c>
      <c r="C5" s="8" t="s">
        <v>31</v>
      </c>
      <c r="D5" t="s">
        <v>44</v>
      </c>
      <c r="E5" s="12">
        <v>0</v>
      </c>
    </row>
    <row r="6" spans="1:6" x14ac:dyDescent="0.3">
      <c r="A6">
        <v>4</v>
      </c>
      <c r="B6" s="1">
        <v>352066340242846</v>
      </c>
      <c r="C6" t="s">
        <v>26</v>
      </c>
      <c r="D6" t="s">
        <v>8</v>
      </c>
      <c r="E6" s="12">
        <v>3700</v>
      </c>
    </row>
    <row r="7" spans="1:6" x14ac:dyDescent="0.3">
      <c r="A7">
        <v>5</v>
      </c>
      <c r="B7" s="1">
        <v>352113554059969</v>
      </c>
      <c r="C7" t="s">
        <v>16</v>
      </c>
      <c r="D7" t="s">
        <v>8</v>
      </c>
      <c r="E7" s="12">
        <v>1650</v>
      </c>
    </row>
    <row r="8" spans="1:6" x14ac:dyDescent="0.3">
      <c r="A8">
        <v>6</v>
      </c>
      <c r="B8" s="6">
        <v>359103743398249</v>
      </c>
      <c r="C8" s="4" t="s">
        <v>43</v>
      </c>
      <c r="D8" t="s">
        <v>8</v>
      </c>
      <c r="E8" s="12">
        <v>0</v>
      </c>
    </row>
    <row r="9" spans="1:6" x14ac:dyDescent="0.3">
      <c r="A9">
        <v>7</v>
      </c>
      <c r="B9" s="7">
        <v>350773435149214</v>
      </c>
      <c r="C9" s="8" t="s">
        <v>3</v>
      </c>
      <c r="D9" t="s">
        <v>8</v>
      </c>
      <c r="E9" s="12">
        <v>0</v>
      </c>
    </row>
    <row r="10" spans="1:6" x14ac:dyDescent="0.3">
      <c r="A10">
        <v>8</v>
      </c>
      <c r="B10" s="1">
        <v>354737615968772</v>
      </c>
      <c r="C10" t="s">
        <v>3</v>
      </c>
      <c r="D10" t="s">
        <v>8</v>
      </c>
      <c r="E10" s="12">
        <v>2400</v>
      </c>
    </row>
    <row r="11" spans="1:6" x14ac:dyDescent="0.3">
      <c r="A11">
        <v>9</v>
      </c>
      <c r="B11" s="1">
        <v>350773432025912</v>
      </c>
      <c r="C11" t="s">
        <v>5</v>
      </c>
      <c r="D11" t="s">
        <v>8</v>
      </c>
      <c r="E11" s="12">
        <v>2600</v>
      </c>
    </row>
    <row r="12" spans="1:6" x14ac:dyDescent="0.3">
      <c r="A12">
        <v>10</v>
      </c>
      <c r="B12" s="1">
        <v>356864560693441</v>
      </c>
      <c r="C12" t="s">
        <v>2</v>
      </c>
      <c r="D12" t="s">
        <v>8</v>
      </c>
      <c r="E12" s="12">
        <v>2600</v>
      </c>
    </row>
    <row r="13" spans="1:6" x14ac:dyDescent="0.3">
      <c r="A13">
        <v>11</v>
      </c>
      <c r="B13" s="1">
        <v>350773436287461</v>
      </c>
      <c r="C13" t="s">
        <v>2</v>
      </c>
      <c r="E13" s="12">
        <v>2600</v>
      </c>
    </row>
    <row r="14" spans="1:6" x14ac:dyDescent="0.3">
      <c r="A14">
        <v>12</v>
      </c>
      <c r="B14" s="1">
        <v>358536505368341</v>
      </c>
      <c r="C14" t="s">
        <v>2</v>
      </c>
      <c r="D14" t="s">
        <v>8</v>
      </c>
      <c r="E14" s="12">
        <v>2600</v>
      </c>
    </row>
    <row r="15" spans="1:6" x14ac:dyDescent="0.3">
      <c r="A15">
        <v>13</v>
      </c>
      <c r="B15" s="1">
        <v>350773435256399</v>
      </c>
      <c r="C15" t="s">
        <v>2</v>
      </c>
      <c r="D15" t="s">
        <v>8</v>
      </c>
      <c r="E15" s="12">
        <v>2600</v>
      </c>
    </row>
    <row r="16" spans="1:6" x14ac:dyDescent="0.3">
      <c r="A16">
        <v>14</v>
      </c>
      <c r="B16" s="1">
        <v>359518871681035</v>
      </c>
      <c r="C16" t="s">
        <v>2</v>
      </c>
      <c r="D16" t="s">
        <v>8</v>
      </c>
      <c r="E16" s="12">
        <v>2600</v>
      </c>
    </row>
    <row r="17" spans="1:7" x14ac:dyDescent="0.3">
      <c r="A17">
        <v>15</v>
      </c>
      <c r="B17" s="1">
        <v>359518871696397</v>
      </c>
      <c r="C17" t="s">
        <v>2</v>
      </c>
      <c r="D17" t="s">
        <v>8</v>
      </c>
      <c r="E17" s="12">
        <v>2600</v>
      </c>
    </row>
    <row r="18" spans="1:7" x14ac:dyDescent="0.3">
      <c r="A18">
        <v>16</v>
      </c>
      <c r="B18" s="7">
        <v>356541627059804</v>
      </c>
      <c r="C18" s="8" t="s">
        <v>57</v>
      </c>
      <c r="D18" t="s">
        <v>8</v>
      </c>
      <c r="E18" s="12">
        <v>0</v>
      </c>
    </row>
    <row r="19" spans="1:7" x14ac:dyDescent="0.3">
      <c r="A19">
        <v>17</v>
      </c>
      <c r="B19" s="7">
        <v>356541627220604</v>
      </c>
      <c r="C19" s="8" t="s">
        <v>57</v>
      </c>
      <c r="D19" t="s">
        <v>8</v>
      </c>
      <c r="E19" s="12">
        <v>0</v>
      </c>
    </row>
    <row r="20" spans="1:7" x14ac:dyDescent="0.3">
      <c r="A20">
        <v>18</v>
      </c>
      <c r="B20" s="1">
        <v>350773436239881</v>
      </c>
      <c r="C20" t="s">
        <v>2</v>
      </c>
      <c r="D20" t="s">
        <v>8</v>
      </c>
      <c r="E20" s="12">
        <v>2600</v>
      </c>
    </row>
    <row r="21" spans="1:7" x14ac:dyDescent="0.3">
      <c r="A21">
        <v>19</v>
      </c>
      <c r="B21" s="1">
        <v>359297748848305</v>
      </c>
      <c r="C21" t="s">
        <v>17</v>
      </c>
      <c r="D21" t="s">
        <v>8</v>
      </c>
      <c r="E21" s="12">
        <v>1950</v>
      </c>
    </row>
    <row r="22" spans="1:7" x14ac:dyDescent="0.3">
      <c r="A22">
        <v>20</v>
      </c>
      <c r="B22" s="1">
        <v>356102155547585</v>
      </c>
      <c r="C22" t="s">
        <v>17</v>
      </c>
      <c r="D22" t="s">
        <v>8</v>
      </c>
      <c r="E22" s="12">
        <v>1950</v>
      </c>
    </row>
    <row r="23" spans="1:7" x14ac:dyDescent="0.3">
      <c r="A23">
        <v>21</v>
      </c>
      <c r="B23" s="1">
        <v>359072843554185</v>
      </c>
      <c r="C23" t="s">
        <v>17</v>
      </c>
      <c r="D23" t="s">
        <v>8</v>
      </c>
      <c r="E23" s="12">
        <v>1950</v>
      </c>
    </row>
    <row r="24" spans="1:7" x14ac:dyDescent="0.3">
      <c r="A24">
        <v>22</v>
      </c>
      <c r="B24" s="1">
        <v>357719288598851</v>
      </c>
      <c r="C24" t="s">
        <v>30</v>
      </c>
      <c r="D24" t="s">
        <v>8</v>
      </c>
      <c r="E24" s="12">
        <v>2050</v>
      </c>
    </row>
    <row r="25" spans="1:7" x14ac:dyDescent="0.3">
      <c r="A25">
        <v>23</v>
      </c>
      <c r="B25" s="15">
        <v>356043388952418</v>
      </c>
      <c r="C25" s="16" t="s">
        <v>20</v>
      </c>
      <c r="D25" s="16" t="s">
        <v>8</v>
      </c>
      <c r="E25" s="17">
        <v>2150</v>
      </c>
    </row>
    <row r="26" spans="1:7" x14ac:dyDescent="0.3">
      <c r="A26">
        <v>24</v>
      </c>
      <c r="B26" s="15">
        <v>356043388450082</v>
      </c>
      <c r="C26" s="16" t="s">
        <v>4</v>
      </c>
      <c r="D26" s="16" t="s">
        <v>8</v>
      </c>
      <c r="E26" s="17">
        <v>2070</v>
      </c>
    </row>
    <row r="27" spans="1:7" x14ac:dyDescent="0.3">
      <c r="A27">
        <v>25</v>
      </c>
      <c r="B27" s="1">
        <v>356043388254517</v>
      </c>
      <c r="C27" t="s">
        <v>4</v>
      </c>
      <c r="D27" t="s">
        <v>8</v>
      </c>
      <c r="E27" s="12">
        <v>2070</v>
      </c>
    </row>
    <row r="28" spans="1:7" x14ac:dyDescent="0.3">
      <c r="A28">
        <v>26</v>
      </c>
      <c r="B28" s="1">
        <v>354959418558226</v>
      </c>
      <c r="C28" t="s">
        <v>4</v>
      </c>
      <c r="D28" t="s">
        <v>8</v>
      </c>
      <c r="E28" s="12">
        <v>2070</v>
      </c>
      <c r="G28" s="2"/>
    </row>
    <row r="29" spans="1:7" x14ac:dyDescent="0.3">
      <c r="A29">
        <v>27</v>
      </c>
      <c r="B29" s="1">
        <v>359896927802056</v>
      </c>
      <c r="C29" t="s">
        <v>4</v>
      </c>
      <c r="D29" t="s">
        <v>8</v>
      </c>
      <c r="E29" s="12">
        <v>2070</v>
      </c>
      <c r="G29" s="2"/>
    </row>
    <row r="30" spans="1:7" x14ac:dyDescent="0.3">
      <c r="A30">
        <v>28</v>
      </c>
      <c r="B30" s="1">
        <v>354959418610662</v>
      </c>
      <c r="C30" t="s">
        <v>4</v>
      </c>
      <c r="D30" t="s">
        <v>8</v>
      </c>
      <c r="E30" s="12">
        <v>2070</v>
      </c>
      <c r="F30" s="1"/>
      <c r="G30" s="2"/>
    </row>
    <row r="31" spans="1:7" x14ac:dyDescent="0.3">
      <c r="A31">
        <v>29</v>
      </c>
      <c r="B31" s="1">
        <v>358282725577763</v>
      </c>
      <c r="C31" t="s">
        <v>4</v>
      </c>
      <c r="D31" t="s">
        <v>8</v>
      </c>
      <c r="E31" s="12">
        <v>2070</v>
      </c>
      <c r="F31" s="1"/>
    </row>
    <row r="32" spans="1:7" x14ac:dyDescent="0.3">
      <c r="A32">
        <v>30</v>
      </c>
      <c r="B32" s="1">
        <v>359896928540622</v>
      </c>
      <c r="C32" t="s">
        <v>4</v>
      </c>
      <c r="D32" t="s">
        <v>8</v>
      </c>
      <c r="E32" s="12">
        <v>2070</v>
      </c>
      <c r="F32" s="1"/>
    </row>
    <row r="33" spans="1:6" x14ac:dyDescent="0.3">
      <c r="A33">
        <v>31</v>
      </c>
      <c r="B33" s="22">
        <v>357463445435067</v>
      </c>
      <c r="C33" s="23" t="s">
        <v>18</v>
      </c>
      <c r="D33" s="23" t="s">
        <v>44</v>
      </c>
      <c r="E33" s="24">
        <v>0</v>
      </c>
      <c r="F33" t="s">
        <v>62</v>
      </c>
    </row>
    <row r="34" spans="1:6" x14ac:dyDescent="0.3">
      <c r="A34">
        <v>32</v>
      </c>
      <c r="B34" s="1">
        <v>350319297885824</v>
      </c>
      <c r="C34" t="s">
        <v>18</v>
      </c>
      <c r="D34" t="s">
        <v>8</v>
      </c>
      <c r="E34" s="12">
        <v>2200</v>
      </c>
    </row>
    <row r="35" spans="1:6" x14ac:dyDescent="0.3">
      <c r="A35">
        <v>33</v>
      </c>
      <c r="B35" s="3">
        <v>351895498835154</v>
      </c>
      <c r="C35" t="s">
        <v>19</v>
      </c>
      <c r="D35" t="s">
        <v>8</v>
      </c>
      <c r="E35" s="12">
        <v>2300</v>
      </c>
    </row>
    <row r="36" spans="1:6" x14ac:dyDescent="0.3">
      <c r="A36">
        <v>34</v>
      </c>
      <c r="B36" s="1">
        <v>351895498911633</v>
      </c>
      <c r="C36" t="s">
        <v>19</v>
      </c>
      <c r="D36" t="s">
        <v>8</v>
      </c>
      <c r="E36" s="12">
        <v>2300</v>
      </c>
    </row>
    <row r="37" spans="1:6" x14ac:dyDescent="0.3">
      <c r="A37">
        <v>35</v>
      </c>
      <c r="B37" s="1">
        <v>350922055792619</v>
      </c>
      <c r="C37" s="5" t="s">
        <v>13</v>
      </c>
      <c r="D37" t="s">
        <v>8</v>
      </c>
      <c r="E37" s="12">
        <v>2000</v>
      </c>
    </row>
    <row r="38" spans="1:6" x14ac:dyDescent="0.3">
      <c r="A38">
        <v>36</v>
      </c>
      <c r="B38" s="6">
        <v>353685838933977</v>
      </c>
      <c r="C38" s="4" t="s">
        <v>29</v>
      </c>
      <c r="D38" t="s">
        <v>8</v>
      </c>
      <c r="E38" s="12">
        <v>0</v>
      </c>
    </row>
    <row r="39" spans="1:6" x14ac:dyDescent="0.3">
      <c r="A39">
        <v>37</v>
      </c>
      <c r="B39" s="6">
        <v>354741559011540</v>
      </c>
      <c r="C39" s="4" t="s">
        <v>35</v>
      </c>
      <c r="D39" t="s">
        <v>8</v>
      </c>
      <c r="E39" s="12">
        <v>0</v>
      </c>
    </row>
    <row r="40" spans="1:6" x14ac:dyDescent="0.3">
      <c r="A40">
        <v>38</v>
      </c>
      <c r="B40" s="1">
        <v>351791641715882</v>
      </c>
      <c r="C40" t="s">
        <v>33</v>
      </c>
      <c r="D40" t="s">
        <v>8</v>
      </c>
      <c r="E40" s="12">
        <v>1220</v>
      </c>
    </row>
    <row r="41" spans="1:6" x14ac:dyDescent="0.3">
      <c r="A41">
        <v>39</v>
      </c>
      <c r="B41" s="1">
        <v>358712821134465</v>
      </c>
      <c r="C41" t="s">
        <v>24</v>
      </c>
      <c r="D41" t="s">
        <v>8</v>
      </c>
      <c r="E41" s="12">
        <v>2100</v>
      </c>
    </row>
    <row r="42" spans="1:6" x14ac:dyDescent="0.3">
      <c r="A42">
        <v>40</v>
      </c>
      <c r="B42" s="1">
        <v>358712821369715</v>
      </c>
      <c r="C42" t="s">
        <v>24</v>
      </c>
      <c r="D42" t="s">
        <v>8</v>
      </c>
      <c r="E42" s="12">
        <v>2100</v>
      </c>
    </row>
    <row r="43" spans="1:6" x14ac:dyDescent="0.3">
      <c r="A43">
        <v>41</v>
      </c>
      <c r="B43" s="22">
        <v>356706680040211</v>
      </c>
      <c r="C43" s="23" t="s">
        <v>24</v>
      </c>
      <c r="D43" s="23" t="s">
        <v>44</v>
      </c>
      <c r="E43" s="24">
        <v>0</v>
      </c>
    </row>
    <row r="44" spans="1:6" x14ac:dyDescent="0.3">
      <c r="A44">
        <v>42</v>
      </c>
      <c r="B44" s="1">
        <v>358712821193172</v>
      </c>
      <c r="C44" t="s">
        <v>24</v>
      </c>
      <c r="D44" t="s">
        <v>8</v>
      </c>
      <c r="E44" s="12">
        <v>2100</v>
      </c>
    </row>
    <row r="45" spans="1:6" x14ac:dyDescent="0.3">
      <c r="A45">
        <v>43</v>
      </c>
      <c r="B45" s="22">
        <v>352905160257451</v>
      </c>
      <c r="C45" s="23" t="s">
        <v>24</v>
      </c>
      <c r="D45" s="23" t="s">
        <v>44</v>
      </c>
      <c r="E45" s="24">
        <v>0</v>
      </c>
    </row>
    <row r="46" spans="1:6" x14ac:dyDescent="0.3">
      <c r="A46">
        <v>44</v>
      </c>
      <c r="B46" s="1">
        <v>352905160132803</v>
      </c>
      <c r="C46" t="s">
        <v>24</v>
      </c>
      <c r="D46" t="s">
        <v>8</v>
      </c>
      <c r="E46" s="12">
        <v>2100</v>
      </c>
    </row>
    <row r="47" spans="1:6" x14ac:dyDescent="0.3">
      <c r="A47">
        <v>45</v>
      </c>
      <c r="B47" s="1">
        <v>358712821345087</v>
      </c>
      <c r="C47" t="s">
        <v>24</v>
      </c>
      <c r="D47" t="s">
        <v>8</v>
      </c>
      <c r="E47" s="12">
        <v>2100</v>
      </c>
    </row>
    <row r="48" spans="1:6" x14ac:dyDescent="0.3">
      <c r="A48">
        <v>46</v>
      </c>
      <c r="B48" s="1">
        <v>352905161172642</v>
      </c>
      <c r="C48" t="s">
        <v>24</v>
      </c>
      <c r="D48" t="s">
        <v>8</v>
      </c>
      <c r="E48" s="12">
        <v>2100</v>
      </c>
    </row>
    <row r="49" spans="1:6" x14ac:dyDescent="0.3">
      <c r="A49">
        <v>47</v>
      </c>
      <c r="B49" s="22"/>
      <c r="C49" s="23" t="s">
        <v>28</v>
      </c>
      <c r="D49" s="23"/>
      <c r="E49" s="24">
        <v>0</v>
      </c>
    </row>
    <row r="50" spans="1:6" x14ac:dyDescent="0.3">
      <c r="A50">
        <v>48</v>
      </c>
      <c r="B50" s="1">
        <v>358712821363981</v>
      </c>
      <c r="C50" t="s">
        <v>38</v>
      </c>
      <c r="D50" t="s">
        <v>8</v>
      </c>
      <c r="E50" s="12">
        <v>2100</v>
      </c>
    </row>
    <row r="51" spans="1:6" x14ac:dyDescent="0.3">
      <c r="A51">
        <v>49</v>
      </c>
      <c r="B51" s="1">
        <v>356706680473883</v>
      </c>
      <c r="C51" t="s">
        <v>38</v>
      </c>
      <c r="D51" t="s">
        <v>8</v>
      </c>
      <c r="E51" s="12">
        <v>2100</v>
      </c>
    </row>
    <row r="52" spans="1:6" x14ac:dyDescent="0.3">
      <c r="A52">
        <v>50</v>
      </c>
      <c r="B52" s="1">
        <v>350472953012256</v>
      </c>
      <c r="C52" t="s">
        <v>37</v>
      </c>
      <c r="E52" s="12">
        <v>0</v>
      </c>
      <c r="F52" t="s">
        <v>45</v>
      </c>
    </row>
    <row r="53" spans="1:6" x14ac:dyDescent="0.3">
      <c r="A53">
        <v>51</v>
      </c>
      <c r="B53" s="1">
        <v>350472953010417</v>
      </c>
      <c r="C53" t="s">
        <v>37</v>
      </c>
      <c r="E53" s="12">
        <v>0</v>
      </c>
      <c r="F53" t="s">
        <v>45</v>
      </c>
    </row>
    <row r="54" spans="1:6" x14ac:dyDescent="0.3">
      <c r="A54">
        <v>52</v>
      </c>
      <c r="B54" s="1">
        <v>358910534800360</v>
      </c>
      <c r="C54" t="s">
        <v>34</v>
      </c>
      <c r="E54" s="12">
        <v>0</v>
      </c>
      <c r="F54" t="s">
        <v>45</v>
      </c>
    </row>
    <row r="55" spans="1:6" x14ac:dyDescent="0.3">
      <c r="A55">
        <v>53</v>
      </c>
      <c r="B55" s="1">
        <v>352512146860109</v>
      </c>
      <c r="C55" t="s">
        <v>39</v>
      </c>
      <c r="E55" s="12">
        <v>0</v>
      </c>
      <c r="F55" t="s">
        <v>45</v>
      </c>
    </row>
    <row r="56" spans="1:6" x14ac:dyDescent="0.3">
      <c r="A56">
        <v>54</v>
      </c>
      <c r="B56" s="1">
        <v>359373961877162</v>
      </c>
      <c r="C56" t="s">
        <v>39</v>
      </c>
      <c r="E56" s="12">
        <v>0</v>
      </c>
      <c r="F56" t="s">
        <v>45</v>
      </c>
    </row>
    <row r="57" spans="1:6" x14ac:dyDescent="0.3">
      <c r="A57">
        <v>55</v>
      </c>
      <c r="B57" s="1">
        <v>358754771592003</v>
      </c>
      <c r="C57" t="s">
        <v>10</v>
      </c>
      <c r="E57" s="12">
        <v>0</v>
      </c>
      <c r="F57" t="s">
        <v>45</v>
      </c>
    </row>
    <row r="58" spans="1:6" x14ac:dyDescent="0.3">
      <c r="A58">
        <v>56</v>
      </c>
      <c r="B58" s="1">
        <v>356930603727890</v>
      </c>
      <c r="C58" t="s">
        <v>10</v>
      </c>
      <c r="E58" s="12">
        <v>0</v>
      </c>
      <c r="F58" t="s">
        <v>45</v>
      </c>
    </row>
    <row r="59" spans="1:6" x14ac:dyDescent="0.3">
      <c r="A59">
        <v>57</v>
      </c>
      <c r="B59" s="1">
        <v>352512147346579</v>
      </c>
      <c r="C59" t="s">
        <v>41</v>
      </c>
      <c r="E59" s="12">
        <v>0</v>
      </c>
      <c r="F59" t="s">
        <v>45</v>
      </c>
    </row>
    <row r="60" spans="1:6" x14ac:dyDescent="0.3">
      <c r="A60">
        <v>58</v>
      </c>
      <c r="B60" s="1">
        <v>352512147288979</v>
      </c>
      <c r="C60" t="s">
        <v>10</v>
      </c>
      <c r="E60" s="12">
        <v>0</v>
      </c>
      <c r="F60" t="s">
        <v>45</v>
      </c>
    </row>
    <row r="61" spans="1:6" x14ac:dyDescent="0.3">
      <c r="A61">
        <v>59</v>
      </c>
      <c r="B61" s="1">
        <v>352512147259350</v>
      </c>
      <c r="C61" t="s">
        <v>22</v>
      </c>
      <c r="E61" s="12">
        <v>0</v>
      </c>
      <c r="F61" t="s">
        <v>45</v>
      </c>
    </row>
    <row r="62" spans="1:6" x14ac:dyDescent="0.3">
      <c r="A62">
        <v>60</v>
      </c>
      <c r="B62" s="3">
        <v>352512146942626</v>
      </c>
      <c r="C62" t="s">
        <v>21</v>
      </c>
      <c r="E62" s="12">
        <v>0</v>
      </c>
      <c r="F62" t="s">
        <v>45</v>
      </c>
    </row>
    <row r="63" spans="1:6" x14ac:dyDescent="0.3">
      <c r="A63">
        <v>61</v>
      </c>
      <c r="B63" s="1">
        <v>352512147363442</v>
      </c>
      <c r="C63" t="s">
        <v>21</v>
      </c>
      <c r="E63" s="12">
        <v>0</v>
      </c>
      <c r="F63" t="s">
        <v>45</v>
      </c>
    </row>
    <row r="64" spans="1:6" x14ac:dyDescent="0.3">
      <c r="A64">
        <v>62</v>
      </c>
      <c r="B64" s="1">
        <v>359373961827191</v>
      </c>
      <c r="C64" t="s">
        <v>21</v>
      </c>
      <c r="E64" s="12">
        <v>0</v>
      </c>
      <c r="F64" t="s">
        <v>45</v>
      </c>
    </row>
    <row r="65" spans="1:6" x14ac:dyDescent="0.3">
      <c r="A65">
        <v>63</v>
      </c>
      <c r="B65" s="1">
        <v>352512147386971</v>
      </c>
      <c r="C65" t="s">
        <v>21</v>
      </c>
      <c r="E65" s="12">
        <v>0</v>
      </c>
      <c r="F65" t="s">
        <v>45</v>
      </c>
    </row>
    <row r="66" spans="1:6" x14ac:dyDescent="0.3">
      <c r="A66">
        <v>64</v>
      </c>
      <c r="B66" s="1">
        <v>352512147412439</v>
      </c>
      <c r="C66" t="s">
        <v>21</v>
      </c>
      <c r="E66" s="12">
        <v>0</v>
      </c>
      <c r="F66" t="s">
        <v>45</v>
      </c>
    </row>
    <row r="67" spans="1:6" x14ac:dyDescent="0.3">
      <c r="A67">
        <v>65</v>
      </c>
      <c r="B67" s="1">
        <v>352892775884764</v>
      </c>
      <c r="C67" t="s">
        <v>36</v>
      </c>
      <c r="E67" s="12">
        <v>0</v>
      </c>
      <c r="F67" t="s">
        <v>45</v>
      </c>
    </row>
    <row r="68" spans="1:6" x14ac:dyDescent="0.3">
      <c r="A68">
        <v>66</v>
      </c>
      <c r="B68" s="1">
        <v>352892774247476</v>
      </c>
      <c r="E68" s="12">
        <v>0</v>
      </c>
      <c r="F68" t="s">
        <v>45</v>
      </c>
    </row>
    <row r="69" spans="1:6" x14ac:dyDescent="0.3">
      <c r="A69">
        <v>67</v>
      </c>
      <c r="B69" s="1">
        <v>352892775339173</v>
      </c>
      <c r="C69" t="s">
        <v>36</v>
      </c>
      <c r="E69" s="12">
        <v>0</v>
      </c>
      <c r="F69" t="s">
        <v>45</v>
      </c>
    </row>
    <row r="70" spans="1:6" x14ac:dyDescent="0.3">
      <c r="A70">
        <v>68</v>
      </c>
      <c r="B70" s="1">
        <v>359800202559886</v>
      </c>
      <c r="C70" t="s">
        <v>23</v>
      </c>
      <c r="E70" s="12">
        <v>0</v>
      </c>
      <c r="F70" t="s">
        <v>45</v>
      </c>
    </row>
    <row r="71" spans="1:6" x14ac:dyDescent="0.3">
      <c r="A71">
        <v>69</v>
      </c>
      <c r="B71" s="1">
        <v>359800200315984</v>
      </c>
      <c r="C71" t="s">
        <v>42</v>
      </c>
      <c r="E71" s="12">
        <v>0</v>
      </c>
      <c r="F71" t="s">
        <v>45</v>
      </c>
    </row>
    <row r="72" spans="1:6" x14ac:dyDescent="0.3">
      <c r="A72">
        <v>70</v>
      </c>
      <c r="B72" s="1">
        <v>359800202704433</v>
      </c>
      <c r="C72" t="s">
        <v>40</v>
      </c>
      <c r="E72" s="12">
        <v>0</v>
      </c>
      <c r="F72" t="s">
        <v>45</v>
      </c>
    </row>
    <row r="74" spans="1:6" x14ac:dyDescent="0.3">
      <c r="E74" s="12">
        <f>SUM(E3:E73)</f>
        <v>81140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25"/>
  <sheetViews>
    <sheetView topLeftCell="A4" workbookViewId="0">
      <selection activeCell="B27" sqref="B27"/>
    </sheetView>
  </sheetViews>
  <sheetFormatPr defaultRowHeight="14.4" x14ac:dyDescent="0.3"/>
  <cols>
    <col min="2" max="2" width="16.109375" bestFit="1" customWidth="1"/>
    <col min="3" max="3" width="29.21875" bestFit="1" customWidth="1"/>
  </cols>
  <sheetData>
    <row r="2" spans="1:3" x14ac:dyDescent="0.3">
      <c r="A2">
        <v>1</v>
      </c>
      <c r="B2" s="3">
        <v>352512146942626</v>
      </c>
      <c r="C2" t="s">
        <v>21</v>
      </c>
    </row>
    <row r="3" spans="1:3" x14ac:dyDescent="0.3">
      <c r="A3">
        <v>2</v>
      </c>
      <c r="B3" s="1">
        <v>352512147363442</v>
      </c>
      <c r="C3" t="s">
        <v>21</v>
      </c>
    </row>
    <row r="4" spans="1:3" x14ac:dyDescent="0.3">
      <c r="A4">
        <v>3</v>
      </c>
      <c r="B4" s="1">
        <v>352512147259350</v>
      </c>
      <c r="C4" t="s">
        <v>22</v>
      </c>
    </row>
    <row r="5" spans="1:3" x14ac:dyDescent="0.3">
      <c r="A5">
        <v>4</v>
      </c>
      <c r="B5" s="1">
        <v>359800202559886</v>
      </c>
      <c r="C5" t="s">
        <v>23</v>
      </c>
    </row>
    <row r="6" spans="1:3" x14ac:dyDescent="0.3">
      <c r="A6">
        <v>5</v>
      </c>
      <c r="B6" s="1">
        <v>352892774247476</v>
      </c>
    </row>
    <row r="7" spans="1:3" x14ac:dyDescent="0.3">
      <c r="A7">
        <v>6</v>
      </c>
      <c r="B7" s="1">
        <v>352892775339173</v>
      </c>
      <c r="C7" t="s">
        <v>25</v>
      </c>
    </row>
    <row r="8" spans="1:3" x14ac:dyDescent="0.3">
      <c r="A8">
        <v>7</v>
      </c>
      <c r="B8" s="1">
        <v>358754771592003</v>
      </c>
      <c r="C8" t="s">
        <v>10</v>
      </c>
    </row>
    <row r="9" spans="1:3" x14ac:dyDescent="0.3">
      <c r="A9">
        <v>8</v>
      </c>
      <c r="B9" s="1">
        <v>356930603727890</v>
      </c>
      <c r="C9" t="s">
        <v>10</v>
      </c>
    </row>
    <row r="10" spans="1:3" x14ac:dyDescent="0.3">
      <c r="A10">
        <v>9</v>
      </c>
      <c r="B10" s="1">
        <v>359373961827191</v>
      </c>
      <c r="C10" t="s">
        <v>21</v>
      </c>
    </row>
    <row r="11" spans="1:3" x14ac:dyDescent="0.3">
      <c r="A11">
        <v>10</v>
      </c>
      <c r="B11" s="1">
        <v>350472953012256</v>
      </c>
      <c r="C11" t="s">
        <v>37</v>
      </c>
    </row>
    <row r="12" spans="1:3" x14ac:dyDescent="0.3">
      <c r="A12">
        <v>11</v>
      </c>
      <c r="B12" s="1">
        <v>352892775884764</v>
      </c>
      <c r="C12" t="s">
        <v>36</v>
      </c>
    </row>
    <row r="13" spans="1:3" x14ac:dyDescent="0.3">
      <c r="A13">
        <v>12</v>
      </c>
      <c r="B13" s="1">
        <v>350472953010417</v>
      </c>
      <c r="C13" t="s">
        <v>37</v>
      </c>
    </row>
    <row r="14" spans="1:3" x14ac:dyDescent="0.3">
      <c r="A14">
        <v>13</v>
      </c>
      <c r="B14" s="1">
        <v>352512146860109</v>
      </c>
      <c r="C14" t="s">
        <v>39</v>
      </c>
    </row>
    <row r="15" spans="1:3" x14ac:dyDescent="0.3">
      <c r="A15">
        <v>14</v>
      </c>
      <c r="B15" s="1">
        <v>352512147386971</v>
      </c>
      <c r="C15" t="s">
        <v>21</v>
      </c>
    </row>
    <row r="16" spans="1:3" x14ac:dyDescent="0.3">
      <c r="A16">
        <v>15</v>
      </c>
      <c r="B16" s="1">
        <v>359800202704433</v>
      </c>
      <c r="C16" t="s">
        <v>40</v>
      </c>
    </row>
    <row r="17" spans="1:3" x14ac:dyDescent="0.3">
      <c r="A17">
        <v>16</v>
      </c>
      <c r="B17" s="1">
        <v>352512147346579</v>
      </c>
      <c r="C17" t="s">
        <v>41</v>
      </c>
    </row>
    <row r="18" spans="1:3" x14ac:dyDescent="0.3">
      <c r="A18">
        <v>17</v>
      </c>
      <c r="B18" s="1">
        <v>352512147412439</v>
      </c>
      <c r="C18" t="s">
        <v>21</v>
      </c>
    </row>
    <row r="19" spans="1:3" x14ac:dyDescent="0.3">
      <c r="A19">
        <v>18</v>
      </c>
      <c r="B19" s="1">
        <v>352512147288979</v>
      </c>
      <c r="C19" t="s">
        <v>10</v>
      </c>
    </row>
    <row r="20" spans="1:3" x14ac:dyDescent="0.3">
      <c r="A20">
        <v>19</v>
      </c>
      <c r="B20" s="1">
        <v>359800200315984</v>
      </c>
      <c r="C20" t="s">
        <v>42</v>
      </c>
    </row>
    <row r="21" spans="1:3" x14ac:dyDescent="0.3">
      <c r="A21">
        <v>20</v>
      </c>
      <c r="B21" s="1">
        <v>359373961877162</v>
      </c>
      <c r="C21" t="s">
        <v>39</v>
      </c>
    </row>
    <row r="22" spans="1:3" x14ac:dyDescent="0.3">
      <c r="A22">
        <v>21</v>
      </c>
      <c r="B22" s="1"/>
      <c r="C22" t="s">
        <v>7</v>
      </c>
    </row>
    <row r="23" spans="1:3" x14ac:dyDescent="0.3">
      <c r="A23">
        <v>22</v>
      </c>
      <c r="B23" s="1">
        <v>358910534765399</v>
      </c>
      <c r="C23" t="s">
        <v>14</v>
      </c>
    </row>
    <row r="24" spans="1:3" x14ac:dyDescent="0.3">
      <c r="A24">
        <v>23</v>
      </c>
      <c r="B24" s="1">
        <v>352512147290561</v>
      </c>
      <c r="C24" t="s">
        <v>10</v>
      </c>
    </row>
    <row r="25" spans="1:3" x14ac:dyDescent="0.3">
      <c r="A25">
        <v>24</v>
      </c>
      <c r="B25" s="1">
        <v>352512147338402</v>
      </c>
      <c r="C25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2"/>
  <sheetViews>
    <sheetView topLeftCell="A10" workbookViewId="0">
      <selection activeCell="C9" sqref="C9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35.21875" bestFit="1" customWidth="1"/>
    <col min="4" max="4" width="11.88671875" customWidth="1"/>
    <col min="5" max="5" width="14.44140625" bestFit="1" customWidth="1"/>
    <col min="6" max="6" width="17.109375" bestFit="1" customWidth="1"/>
    <col min="7" max="7" width="19.88671875" bestFit="1" customWidth="1"/>
  </cols>
  <sheetData>
    <row r="1" spans="1:6" x14ac:dyDescent="0.3">
      <c r="A1" s="9" t="s">
        <v>53</v>
      </c>
      <c r="B1" s="9"/>
      <c r="C1" s="10" t="s">
        <v>52</v>
      </c>
      <c r="D1" s="9"/>
      <c r="E1" s="13" t="s">
        <v>138</v>
      </c>
      <c r="F1" s="11"/>
    </row>
    <row r="2" spans="1:6" x14ac:dyDescent="0.3">
      <c r="A2" s="11" t="s">
        <v>46</v>
      </c>
      <c r="B2" s="11" t="s">
        <v>47</v>
      </c>
      <c r="C2" s="11" t="s">
        <v>1</v>
      </c>
      <c r="D2" s="11" t="s">
        <v>0</v>
      </c>
      <c r="E2" s="14" t="s">
        <v>48</v>
      </c>
      <c r="F2" s="11" t="s">
        <v>49</v>
      </c>
    </row>
    <row r="3" spans="1:6" x14ac:dyDescent="0.3">
      <c r="A3">
        <v>1</v>
      </c>
      <c r="B3" s="6">
        <v>351159276226528</v>
      </c>
      <c r="C3" s="4" t="s">
        <v>15</v>
      </c>
      <c r="D3" t="s">
        <v>8</v>
      </c>
      <c r="E3" s="12">
        <v>0</v>
      </c>
    </row>
    <row r="4" spans="1:6" x14ac:dyDescent="0.3">
      <c r="A4">
        <v>2</v>
      </c>
      <c r="B4" s="1">
        <v>354895822268723</v>
      </c>
      <c r="C4" t="s">
        <v>54</v>
      </c>
      <c r="D4" t="s">
        <v>8</v>
      </c>
      <c r="E4" s="12">
        <v>3600</v>
      </c>
    </row>
    <row r="5" spans="1:6" x14ac:dyDescent="0.3">
      <c r="A5">
        <v>3</v>
      </c>
      <c r="B5" s="1">
        <v>351614406777634</v>
      </c>
      <c r="C5" t="s">
        <v>3</v>
      </c>
      <c r="D5" t="s">
        <v>8</v>
      </c>
      <c r="E5" s="12">
        <v>2400</v>
      </c>
    </row>
    <row r="6" spans="1:6" x14ac:dyDescent="0.3">
      <c r="A6">
        <v>4</v>
      </c>
      <c r="B6" s="15">
        <v>355008285776597</v>
      </c>
      <c r="C6" s="16" t="s">
        <v>3</v>
      </c>
      <c r="D6" s="16" t="s">
        <v>8</v>
      </c>
      <c r="E6" s="12">
        <v>2400</v>
      </c>
    </row>
    <row r="7" spans="1:6" x14ac:dyDescent="0.3">
      <c r="A7">
        <v>5</v>
      </c>
      <c r="B7" s="7">
        <v>355008285815761</v>
      </c>
      <c r="C7" s="8" t="s">
        <v>55</v>
      </c>
      <c r="D7" s="8" t="s">
        <v>8</v>
      </c>
      <c r="E7" s="12">
        <v>0</v>
      </c>
    </row>
    <row r="8" spans="1:6" x14ac:dyDescent="0.3">
      <c r="A8">
        <v>6</v>
      </c>
      <c r="B8" s="1">
        <v>352864975103154</v>
      </c>
      <c r="C8" t="s">
        <v>3</v>
      </c>
      <c r="D8" t="s">
        <v>8</v>
      </c>
      <c r="E8" s="12">
        <v>2400</v>
      </c>
    </row>
    <row r="9" spans="1:6" x14ac:dyDescent="0.3">
      <c r="A9">
        <v>7</v>
      </c>
      <c r="B9" s="1">
        <v>353393810731952</v>
      </c>
      <c r="C9" t="s">
        <v>3</v>
      </c>
      <c r="D9" t="s">
        <v>8</v>
      </c>
      <c r="E9" s="12">
        <v>2400</v>
      </c>
    </row>
    <row r="10" spans="1:6" x14ac:dyDescent="0.3">
      <c r="A10">
        <v>8</v>
      </c>
      <c r="B10" s="1">
        <v>351614405635130</v>
      </c>
      <c r="C10" t="s">
        <v>3</v>
      </c>
      <c r="D10" t="s">
        <v>8</v>
      </c>
      <c r="E10" s="12">
        <v>2400</v>
      </c>
    </row>
    <row r="11" spans="1:6" x14ac:dyDescent="0.3">
      <c r="A11">
        <v>9</v>
      </c>
      <c r="B11" s="1">
        <v>359518871710263</v>
      </c>
      <c r="C11" t="s">
        <v>3</v>
      </c>
      <c r="D11" t="s">
        <v>8</v>
      </c>
      <c r="E11" s="12">
        <v>2400</v>
      </c>
    </row>
    <row r="12" spans="1:6" x14ac:dyDescent="0.3">
      <c r="A12">
        <v>10</v>
      </c>
      <c r="B12" s="1">
        <v>355008286990688</v>
      </c>
      <c r="C12" t="s">
        <v>3</v>
      </c>
      <c r="D12" t="s">
        <v>8</v>
      </c>
      <c r="E12" s="12">
        <v>2400</v>
      </c>
    </row>
    <row r="13" spans="1:6" x14ac:dyDescent="0.3">
      <c r="A13">
        <v>11</v>
      </c>
      <c r="B13" s="1">
        <v>355008286621986</v>
      </c>
      <c r="C13" t="s">
        <v>3</v>
      </c>
      <c r="D13" t="s">
        <v>8</v>
      </c>
      <c r="E13" s="12">
        <v>2400</v>
      </c>
    </row>
    <row r="14" spans="1:6" x14ac:dyDescent="0.3">
      <c r="A14">
        <v>12</v>
      </c>
      <c r="B14" s="3">
        <v>354959418979257</v>
      </c>
      <c r="C14" t="s">
        <v>58</v>
      </c>
      <c r="D14" t="s">
        <v>8</v>
      </c>
      <c r="E14" s="12">
        <v>2050</v>
      </c>
    </row>
    <row r="15" spans="1:6" x14ac:dyDescent="0.3">
      <c r="A15">
        <v>13</v>
      </c>
      <c r="B15" s="1">
        <v>350773432501507</v>
      </c>
      <c r="C15" t="s">
        <v>5</v>
      </c>
      <c r="D15" t="s">
        <v>8</v>
      </c>
      <c r="E15" s="12">
        <v>2600</v>
      </c>
    </row>
    <row r="16" spans="1:6" x14ac:dyDescent="0.3">
      <c r="A16">
        <v>14</v>
      </c>
      <c r="B16" s="15">
        <v>351614406704273</v>
      </c>
      <c r="C16" s="16" t="s">
        <v>12</v>
      </c>
      <c r="D16" s="16" t="s">
        <v>8</v>
      </c>
      <c r="E16" s="17">
        <v>2600</v>
      </c>
    </row>
    <row r="17" spans="1:6" x14ac:dyDescent="0.3">
      <c r="A17">
        <v>15</v>
      </c>
      <c r="B17" s="15">
        <v>351614406666332</v>
      </c>
      <c r="C17" s="16" t="s">
        <v>12</v>
      </c>
      <c r="D17" s="16" t="s">
        <v>8</v>
      </c>
      <c r="E17" s="17">
        <v>2600</v>
      </c>
    </row>
    <row r="18" spans="1:6" x14ac:dyDescent="0.3">
      <c r="A18">
        <v>16</v>
      </c>
      <c r="B18" s="15">
        <v>358862980401765</v>
      </c>
      <c r="C18" s="16" t="s">
        <v>12</v>
      </c>
      <c r="D18" s="16" t="s">
        <v>8</v>
      </c>
      <c r="E18" s="17">
        <v>2600</v>
      </c>
    </row>
    <row r="19" spans="1:6" x14ac:dyDescent="0.3">
      <c r="A19">
        <v>17</v>
      </c>
      <c r="B19" s="15">
        <v>350773435369697</v>
      </c>
      <c r="C19" s="16" t="s">
        <v>12</v>
      </c>
      <c r="D19" s="16" t="s">
        <v>44</v>
      </c>
      <c r="E19" s="17">
        <v>2550</v>
      </c>
    </row>
    <row r="20" spans="1:6" x14ac:dyDescent="0.3">
      <c r="A20">
        <v>18</v>
      </c>
      <c r="B20" s="7">
        <v>350773434909055</v>
      </c>
      <c r="C20" s="8" t="s">
        <v>56</v>
      </c>
      <c r="D20" s="8" t="s">
        <v>8</v>
      </c>
      <c r="E20" s="17">
        <v>0</v>
      </c>
    </row>
    <row r="21" spans="1:6" x14ac:dyDescent="0.3">
      <c r="A21">
        <v>19</v>
      </c>
      <c r="B21" s="15">
        <v>358282721020743</v>
      </c>
      <c r="C21" s="16" t="s">
        <v>59</v>
      </c>
      <c r="D21" s="16" t="s">
        <v>8</v>
      </c>
      <c r="E21" s="17">
        <v>2200</v>
      </c>
    </row>
    <row r="22" spans="1:6" x14ac:dyDescent="0.3">
      <c r="A22">
        <v>20</v>
      </c>
      <c r="B22" s="1">
        <v>359072846248165</v>
      </c>
      <c r="C22" t="s">
        <v>13</v>
      </c>
      <c r="D22" t="s">
        <v>8</v>
      </c>
      <c r="E22" s="12">
        <v>2000</v>
      </c>
    </row>
    <row r="23" spans="1:6" x14ac:dyDescent="0.3">
      <c r="A23">
        <v>21</v>
      </c>
      <c r="B23" s="1">
        <v>358282722478916</v>
      </c>
      <c r="C23" t="s">
        <v>9</v>
      </c>
      <c r="D23" t="s">
        <v>8</v>
      </c>
      <c r="E23" s="12">
        <v>2100</v>
      </c>
    </row>
    <row r="24" spans="1:6" x14ac:dyDescent="0.3">
      <c r="A24">
        <v>22</v>
      </c>
      <c r="B24" s="1">
        <v>359297747157914</v>
      </c>
      <c r="C24" t="s">
        <v>6</v>
      </c>
      <c r="D24" t="s">
        <v>8</v>
      </c>
      <c r="E24" s="12">
        <v>2100</v>
      </c>
    </row>
    <row r="25" spans="1:6" x14ac:dyDescent="0.3">
      <c r="A25">
        <v>23</v>
      </c>
      <c r="B25" s="1">
        <v>358712820588794</v>
      </c>
      <c r="C25" t="s">
        <v>11</v>
      </c>
      <c r="D25" t="s">
        <v>8</v>
      </c>
      <c r="E25" s="12">
        <v>2100</v>
      </c>
    </row>
    <row r="26" spans="1:6" x14ac:dyDescent="0.3">
      <c r="A26">
        <v>24</v>
      </c>
      <c r="B26" s="1">
        <v>358712821026505</v>
      </c>
      <c r="C26" t="s">
        <v>11</v>
      </c>
      <c r="D26" t="s">
        <v>8</v>
      </c>
      <c r="E26" s="12">
        <v>2100</v>
      </c>
    </row>
    <row r="27" spans="1:6" x14ac:dyDescent="0.3">
      <c r="A27">
        <v>25</v>
      </c>
      <c r="B27" s="18">
        <v>355767493958579</v>
      </c>
      <c r="C27" s="19" t="s">
        <v>11</v>
      </c>
      <c r="D27" s="19" t="s">
        <v>60</v>
      </c>
      <c r="E27" s="20">
        <v>0</v>
      </c>
      <c r="F27" s="21" t="s">
        <v>63</v>
      </c>
    </row>
    <row r="28" spans="1:6" x14ac:dyDescent="0.3">
      <c r="A28">
        <v>26</v>
      </c>
      <c r="B28" s="3">
        <v>356245748827087</v>
      </c>
      <c r="C28" t="s">
        <v>11</v>
      </c>
      <c r="D28" t="s">
        <v>8</v>
      </c>
      <c r="E28" s="12">
        <v>2100</v>
      </c>
    </row>
    <row r="29" spans="1:6" x14ac:dyDescent="0.3">
      <c r="A29">
        <v>27</v>
      </c>
      <c r="B29" s="1">
        <v>358910534765399</v>
      </c>
      <c r="C29" t="s">
        <v>14</v>
      </c>
      <c r="E29" s="12">
        <v>0</v>
      </c>
    </row>
    <row r="30" spans="1:6" x14ac:dyDescent="0.3">
      <c r="A30">
        <v>28</v>
      </c>
      <c r="B30" s="1"/>
      <c r="C30" t="s">
        <v>7</v>
      </c>
      <c r="E30" s="12">
        <v>1900</v>
      </c>
    </row>
    <row r="31" spans="1:6" x14ac:dyDescent="0.3">
      <c r="A31">
        <v>29</v>
      </c>
      <c r="B31" s="1">
        <v>352512147290561</v>
      </c>
      <c r="C31" t="s">
        <v>10</v>
      </c>
      <c r="E31" s="12">
        <v>1900</v>
      </c>
    </row>
    <row r="32" spans="1:6" x14ac:dyDescent="0.3">
      <c r="A32">
        <v>30</v>
      </c>
      <c r="B32" s="1">
        <v>352512147338402</v>
      </c>
      <c r="C32" t="s">
        <v>10</v>
      </c>
      <c r="E32" s="12">
        <v>1900</v>
      </c>
    </row>
    <row r="33" spans="2:7" x14ac:dyDescent="0.3">
      <c r="B33" s="1"/>
      <c r="E33" s="12"/>
    </row>
    <row r="34" spans="2:7" x14ac:dyDescent="0.3">
      <c r="B34" s="1"/>
      <c r="C34" s="2"/>
      <c r="E34" s="12">
        <f>SUM(E3:E33)</f>
        <v>58200</v>
      </c>
      <c r="F34" s="1"/>
      <c r="G34" s="2"/>
    </row>
    <row r="35" spans="2:7" x14ac:dyDescent="0.3">
      <c r="B35" s="1"/>
      <c r="F35" s="1"/>
      <c r="G35" s="2"/>
    </row>
    <row r="36" spans="2:7" x14ac:dyDescent="0.3">
      <c r="B36" s="1"/>
      <c r="F36" s="1"/>
      <c r="G36" s="2"/>
    </row>
    <row r="37" spans="2:7" x14ac:dyDescent="0.3">
      <c r="B37" s="1"/>
    </row>
    <row r="38" spans="2:7" x14ac:dyDescent="0.3">
      <c r="B38" s="1"/>
    </row>
    <row r="39" spans="2:7" x14ac:dyDescent="0.3">
      <c r="B39" s="1"/>
    </row>
    <row r="40" spans="2:7" x14ac:dyDescent="0.3">
      <c r="B40" s="1"/>
    </row>
    <row r="41" spans="2:7" x14ac:dyDescent="0.3">
      <c r="B41" s="1"/>
      <c r="C41" s="2"/>
    </row>
    <row r="42" spans="2:7" x14ac:dyDescent="0.3">
      <c r="B42" s="1"/>
      <c r="C42" s="2"/>
    </row>
    <row r="43" spans="2:7" x14ac:dyDescent="0.3">
      <c r="B43" s="1"/>
    </row>
    <row r="44" spans="2:7" x14ac:dyDescent="0.3">
      <c r="B44" s="1"/>
    </row>
    <row r="45" spans="2:7" x14ac:dyDescent="0.3">
      <c r="B45" s="1"/>
    </row>
    <row r="46" spans="2:7" x14ac:dyDescent="0.3">
      <c r="B46" s="1"/>
    </row>
    <row r="47" spans="2:7" x14ac:dyDescent="0.3">
      <c r="B47" s="1"/>
    </row>
    <row r="48" spans="2:7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  <row r="56" spans="2:2" x14ac:dyDescent="0.3">
      <c r="B56" s="1"/>
    </row>
    <row r="57" spans="2:2" x14ac:dyDescent="0.3">
      <c r="B57" s="1"/>
    </row>
    <row r="58" spans="2:2" x14ac:dyDescent="0.3">
      <c r="B58" s="1"/>
    </row>
    <row r="59" spans="2:2" x14ac:dyDescent="0.3">
      <c r="B59" s="1"/>
    </row>
    <row r="60" spans="2:2" x14ac:dyDescent="0.3">
      <c r="B60" s="1"/>
    </row>
    <row r="61" spans="2:2" x14ac:dyDescent="0.3">
      <c r="B61" s="1"/>
    </row>
    <row r="62" spans="2:2" x14ac:dyDescent="0.3">
      <c r="B62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8"/>
  <sheetViews>
    <sheetView topLeftCell="A22" zoomScale="94" workbookViewId="0">
      <selection activeCell="E56" sqref="E56"/>
    </sheetView>
  </sheetViews>
  <sheetFormatPr defaultRowHeight="14.4" x14ac:dyDescent="0.3"/>
  <cols>
    <col min="1" max="1" width="6.88671875" customWidth="1"/>
    <col min="2" max="2" width="17" bestFit="1" customWidth="1"/>
    <col min="3" max="3" width="27.109375" bestFit="1" customWidth="1"/>
    <col min="4" max="4" width="9.6640625" bestFit="1" customWidth="1"/>
    <col min="5" max="5" width="17.33203125" style="25" bestFit="1" customWidth="1"/>
    <col min="6" max="6" width="13" bestFit="1" customWidth="1"/>
  </cols>
  <sheetData>
    <row r="1" spans="1:8" x14ac:dyDescent="0.3">
      <c r="A1" s="45" t="s">
        <v>141</v>
      </c>
      <c r="B1" s="45"/>
      <c r="C1" s="46" t="s">
        <v>142</v>
      </c>
      <c r="D1" s="45"/>
      <c r="E1" s="47" t="s">
        <v>143</v>
      </c>
      <c r="F1" s="11"/>
    </row>
    <row r="2" spans="1:8" x14ac:dyDescent="0.3">
      <c r="A2" s="11" t="s">
        <v>46</v>
      </c>
      <c r="B2" s="11" t="s">
        <v>47</v>
      </c>
      <c r="C2" s="11" t="s">
        <v>1</v>
      </c>
      <c r="D2" s="11" t="s">
        <v>0</v>
      </c>
      <c r="E2" s="14" t="s">
        <v>48</v>
      </c>
      <c r="F2" s="11" t="s">
        <v>49</v>
      </c>
    </row>
    <row r="3" spans="1:8" x14ac:dyDescent="0.3">
      <c r="A3">
        <v>1</v>
      </c>
      <c r="B3" s="1">
        <v>195949644184</v>
      </c>
      <c r="C3" t="s">
        <v>144</v>
      </c>
      <c r="E3" s="25">
        <v>800</v>
      </c>
    </row>
    <row r="4" spans="1:8" x14ac:dyDescent="0.3">
      <c r="A4">
        <v>2</v>
      </c>
      <c r="B4" s="1">
        <v>351159273601947</v>
      </c>
      <c r="C4" t="s">
        <v>145</v>
      </c>
      <c r="D4" t="s">
        <v>146</v>
      </c>
      <c r="E4" s="25">
        <v>1250</v>
      </c>
    </row>
    <row r="5" spans="1:8" x14ac:dyDescent="0.3">
      <c r="A5">
        <v>3</v>
      </c>
      <c r="B5" s="1">
        <v>351159272533240</v>
      </c>
      <c r="C5" t="s">
        <v>145</v>
      </c>
      <c r="D5" t="s">
        <v>146</v>
      </c>
      <c r="E5" s="25">
        <v>1250</v>
      </c>
    </row>
    <row r="6" spans="1:8" x14ac:dyDescent="0.3">
      <c r="A6">
        <v>4</v>
      </c>
      <c r="B6" s="1">
        <v>355205565958531</v>
      </c>
      <c r="C6" t="s">
        <v>147</v>
      </c>
      <c r="D6" t="s">
        <v>146</v>
      </c>
      <c r="E6" s="25">
        <v>1250</v>
      </c>
    </row>
    <row r="7" spans="1:8" x14ac:dyDescent="0.3">
      <c r="A7">
        <v>5</v>
      </c>
      <c r="B7" s="6">
        <v>355205560042368</v>
      </c>
      <c r="C7" s="4" t="s">
        <v>148</v>
      </c>
      <c r="D7" s="4"/>
      <c r="E7" s="48">
        <v>0</v>
      </c>
      <c r="F7" t="s">
        <v>149</v>
      </c>
    </row>
    <row r="8" spans="1:8" x14ac:dyDescent="0.3">
      <c r="A8">
        <v>6</v>
      </c>
      <c r="B8" s="1">
        <v>353357700010629</v>
      </c>
      <c r="C8" t="s">
        <v>150</v>
      </c>
      <c r="D8" t="s">
        <v>146</v>
      </c>
      <c r="E8" s="25">
        <v>3350</v>
      </c>
    </row>
    <row r="9" spans="1:8" x14ac:dyDescent="0.3">
      <c r="A9">
        <v>7</v>
      </c>
      <c r="B9" s="1">
        <v>352628450268098</v>
      </c>
      <c r="C9" t="s">
        <v>150</v>
      </c>
      <c r="E9" s="25">
        <v>3350</v>
      </c>
    </row>
    <row r="10" spans="1:8" x14ac:dyDescent="0.3">
      <c r="A10">
        <v>8</v>
      </c>
      <c r="B10" s="1">
        <v>352628750865893</v>
      </c>
      <c r="C10" t="s">
        <v>150</v>
      </c>
      <c r="E10" s="25">
        <v>3350</v>
      </c>
    </row>
    <row r="11" spans="1:8" x14ac:dyDescent="0.3">
      <c r="A11">
        <v>9</v>
      </c>
      <c r="B11" s="1">
        <v>353357701114677</v>
      </c>
      <c r="C11" t="s">
        <v>150</v>
      </c>
      <c r="E11" s="25">
        <v>3350</v>
      </c>
    </row>
    <row r="12" spans="1:8" x14ac:dyDescent="0.3">
      <c r="A12">
        <v>10</v>
      </c>
      <c r="B12" s="1">
        <v>356334540676163</v>
      </c>
      <c r="C12" t="s">
        <v>151</v>
      </c>
      <c r="D12" t="s">
        <v>146</v>
      </c>
      <c r="E12" s="25">
        <v>3600</v>
      </c>
    </row>
    <row r="13" spans="1:8" x14ac:dyDescent="0.3">
      <c r="A13">
        <v>11</v>
      </c>
      <c r="B13" s="1">
        <v>352066341452394</v>
      </c>
      <c r="C13" t="s">
        <v>151</v>
      </c>
      <c r="D13" t="s">
        <v>146</v>
      </c>
      <c r="E13" s="25">
        <v>3600</v>
      </c>
    </row>
    <row r="14" spans="1:8" x14ac:dyDescent="0.3">
      <c r="A14">
        <v>12</v>
      </c>
      <c r="B14" s="1">
        <v>355067547673574</v>
      </c>
      <c r="C14" t="s">
        <v>3</v>
      </c>
      <c r="D14" t="s">
        <v>146</v>
      </c>
      <c r="E14" s="25">
        <v>2400</v>
      </c>
    </row>
    <row r="15" spans="1:8" x14ac:dyDescent="0.3">
      <c r="A15">
        <v>13</v>
      </c>
      <c r="B15" s="1">
        <v>355688666943710</v>
      </c>
      <c r="C15" t="s">
        <v>3</v>
      </c>
      <c r="D15" t="s">
        <v>146</v>
      </c>
      <c r="E15" s="25">
        <v>2400</v>
      </c>
    </row>
    <row r="16" spans="1:8" x14ac:dyDescent="0.3">
      <c r="A16">
        <v>14</v>
      </c>
      <c r="B16" s="1">
        <v>355688666763647</v>
      </c>
      <c r="C16" t="s">
        <v>3</v>
      </c>
      <c r="D16" t="s">
        <v>146</v>
      </c>
      <c r="E16" s="25">
        <v>2400</v>
      </c>
      <c r="G16">
        <v>78.55</v>
      </c>
      <c r="H16">
        <f>G16*50000</f>
        <v>3927500</v>
      </c>
    </row>
    <row r="17" spans="1:8" x14ac:dyDescent="0.3">
      <c r="A17">
        <v>15</v>
      </c>
      <c r="B17" s="1">
        <v>350773434294243</v>
      </c>
      <c r="C17" t="s">
        <v>3</v>
      </c>
      <c r="E17" s="25">
        <v>2400</v>
      </c>
      <c r="H17">
        <v>1400000</v>
      </c>
    </row>
    <row r="18" spans="1:8" x14ac:dyDescent="0.3">
      <c r="A18">
        <v>16</v>
      </c>
      <c r="B18" s="1">
        <v>354737617419824</v>
      </c>
      <c r="C18" t="s">
        <v>3</v>
      </c>
      <c r="E18" s="25">
        <v>2400</v>
      </c>
      <c r="H18">
        <f>SUM(H16:H17)</f>
        <v>5327500</v>
      </c>
    </row>
    <row r="19" spans="1:8" x14ac:dyDescent="0.3">
      <c r="A19">
        <v>17</v>
      </c>
      <c r="B19" s="3">
        <v>359518872961618</v>
      </c>
      <c r="C19" t="s">
        <v>5</v>
      </c>
      <c r="D19" t="s">
        <v>146</v>
      </c>
      <c r="E19" s="25">
        <v>2600</v>
      </c>
      <c r="H19">
        <f>H18-1000000</f>
        <v>4327500</v>
      </c>
    </row>
    <row r="20" spans="1:8" x14ac:dyDescent="0.3">
      <c r="A20">
        <v>18</v>
      </c>
      <c r="B20" s="1">
        <v>359518872834344</v>
      </c>
      <c r="C20" t="s">
        <v>5</v>
      </c>
      <c r="D20" t="s">
        <v>152</v>
      </c>
      <c r="E20" s="25">
        <v>0</v>
      </c>
      <c r="F20" t="s">
        <v>153</v>
      </c>
    </row>
    <row r="21" spans="1:8" x14ac:dyDescent="0.3">
      <c r="A21">
        <v>19</v>
      </c>
      <c r="B21" s="1">
        <v>359518872864655</v>
      </c>
      <c r="C21" t="s">
        <v>5</v>
      </c>
      <c r="E21" s="25">
        <v>2550</v>
      </c>
    </row>
    <row r="22" spans="1:8" x14ac:dyDescent="0.3">
      <c r="A22">
        <v>20</v>
      </c>
      <c r="B22" s="1">
        <v>354737617306302</v>
      </c>
      <c r="C22" t="s">
        <v>2</v>
      </c>
      <c r="D22" t="s">
        <v>146</v>
      </c>
      <c r="E22" s="25">
        <v>2600</v>
      </c>
    </row>
    <row r="23" spans="1:8" x14ac:dyDescent="0.3">
      <c r="A23">
        <v>21</v>
      </c>
      <c r="B23" s="1">
        <v>350773437250861</v>
      </c>
      <c r="C23" t="s">
        <v>2</v>
      </c>
      <c r="E23" s="25">
        <v>2600</v>
      </c>
    </row>
    <row r="24" spans="1:8" x14ac:dyDescent="0.3">
      <c r="A24">
        <v>22</v>
      </c>
      <c r="B24" s="1">
        <v>356864568651184</v>
      </c>
      <c r="C24" t="s">
        <v>154</v>
      </c>
      <c r="E24" s="25">
        <v>2500</v>
      </c>
    </row>
    <row r="25" spans="1:8" x14ac:dyDescent="0.3">
      <c r="A25">
        <v>23</v>
      </c>
      <c r="B25" s="1">
        <v>358282727992861</v>
      </c>
      <c r="C25" t="s">
        <v>17</v>
      </c>
      <c r="D25" t="s">
        <v>146</v>
      </c>
      <c r="E25" s="25">
        <v>1950</v>
      </c>
    </row>
    <row r="26" spans="1:8" x14ac:dyDescent="0.3">
      <c r="A26">
        <v>24</v>
      </c>
      <c r="B26" s="1">
        <v>358157744692753</v>
      </c>
      <c r="C26" t="s">
        <v>30</v>
      </c>
      <c r="D26" t="s">
        <v>152</v>
      </c>
      <c r="E26" s="25">
        <v>2000</v>
      </c>
    </row>
    <row r="27" spans="1:8" x14ac:dyDescent="0.3">
      <c r="A27">
        <v>25</v>
      </c>
      <c r="B27" s="1">
        <v>351670274175228</v>
      </c>
      <c r="C27" t="s">
        <v>30</v>
      </c>
      <c r="D27" t="s">
        <v>152</v>
      </c>
      <c r="E27" s="25">
        <v>2000</v>
      </c>
    </row>
    <row r="28" spans="1:8" x14ac:dyDescent="0.3">
      <c r="A28">
        <v>26</v>
      </c>
      <c r="B28" s="1">
        <v>356043387959877</v>
      </c>
      <c r="C28" t="s">
        <v>4</v>
      </c>
      <c r="D28" t="s">
        <v>146</v>
      </c>
      <c r="E28" s="25">
        <v>2070</v>
      </c>
    </row>
    <row r="29" spans="1:8" x14ac:dyDescent="0.3">
      <c r="A29">
        <v>27</v>
      </c>
      <c r="B29" s="1">
        <v>357017258455875</v>
      </c>
      <c r="C29" t="s">
        <v>18</v>
      </c>
      <c r="D29" t="s">
        <v>146</v>
      </c>
      <c r="E29" s="25">
        <v>2200</v>
      </c>
    </row>
    <row r="30" spans="1:8" x14ac:dyDescent="0.3">
      <c r="A30">
        <v>28</v>
      </c>
      <c r="B30" s="1">
        <v>357463447423939</v>
      </c>
      <c r="C30" t="s">
        <v>18</v>
      </c>
      <c r="D30" t="s">
        <v>152</v>
      </c>
      <c r="E30" s="25">
        <v>2150</v>
      </c>
    </row>
    <row r="31" spans="1:8" x14ac:dyDescent="0.3">
      <c r="A31">
        <v>29</v>
      </c>
      <c r="B31" s="1">
        <v>358282720893934</v>
      </c>
      <c r="C31" t="s">
        <v>9</v>
      </c>
      <c r="D31" t="s">
        <v>152</v>
      </c>
      <c r="E31" s="25">
        <v>2050</v>
      </c>
    </row>
    <row r="32" spans="1:8" x14ac:dyDescent="0.3">
      <c r="A32">
        <v>30</v>
      </c>
      <c r="B32" s="1">
        <v>350159563742162</v>
      </c>
      <c r="C32" t="s">
        <v>155</v>
      </c>
      <c r="D32" t="s">
        <v>146</v>
      </c>
      <c r="E32" s="25">
        <v>1250</v>
      </c>
    </row>
    <row r="33" spans="1:6" x14ac:dyDescent="0.3">
      <c r="A33">
        <v>31</v>
      </c>
      <c r="B33" s="1">
        <v>356706680326768</v>
      </c>
      <c r="C33" t="s">
        <v>156</v>
      </c>
      <c r="D33" t="s">
        <v>146</v>
      </c>
      <c r="E33" s="25">
        <v>2100</v>
      </c>
    </row>
    <row r="34" spans="1:6" x14ac:dyDescent="0.3">
      <c r="A34">
        <v>32</v>
      </c>
      <c r="B34" s="1">
        <v>356706681387959</v>
      </c>
      <c r="C34" t="s">
        <v>156</v>
      </c>
      <c r="D34" t="s">
        <v>146</v>
      </c>
      <c r="E34" s="25">
        <v>2100</v>
      </c>
    </row>
    <row r="35" spans="1:6" x14ac:dyDescent="0.3">
      <c r="A35">
        <v>33</v>
      </c>
      <c r="B35" s="1">
        <v>355767491947284</v>
      </c>
      <c r="C35" t="s">
        <v>156</v>
      </c>
      <c r="D35" t="s">
        <v>146</v>
      </c>
      <c r="E35" s="25">
        <v>2100</v>
      </c>
    </row>
    <row r="36" spans="1:6" x14ac:dyDescent="0.3">
      <c r="A36">
        <v>34</v>
      </c>
      <c r="B36" s="1">
        <v>356706681516581</v>
      </c>
      <c r="C36" t="s">
        <v>156</v>
      </c>
      <c r="D36" t="s">
        <v>152</v>
      </c>
      <c r="E36" s="25">
        <v>2050</v>
      </c>
    </row>
    <row r="37" spans="1:6" x14ac:dyDescent="0.3">
      <c r="A37">
        <v>35</v>
      </c>
      <c r="B37" s="1">
        <v>356706681638088</v>
      </c>
      <c r="C37" t="s">
        <v>156</v>
      </c>
      <c r="D37" t="s">
        <v>146</v>
      </c>
      <c r="E37" s="25">
        <v>2100</v>
      </c>
    </row>
    <row r="38" spans="1:6" x14ac:dyDescent="0.3">
      <c r="A38">
        <v>36</v>
      </c>
      <c r="B38" s="1">
        <v>356706681586576</v>
      </c>
      <c r="C38" t="s">
        <v>156</v>
      </c>
      <c r="D38" t="s">
        <v>146</v>
      </c>
      <c r="E38" s="25">
        <v>2100</v>
      </c>
    </row>
    <row r="39" spans="1:6" x14ac:dyDescent="0.3">
      <c r="A39">
        <v>37</v>
      </c>
      <c r="B39" s="1">
        <v>356706680392927</v>
      </c>
      <c r="C39" t="s">
        <v>156</v>
      </c>
      <c r="D39" t="s">
        <v>146</v>
      </c>
      <c r="E39" s="25">
        <v>2100</v>
      </c>
    </row>
    <row r="40" spans="1:6" x14ac:dyDescent="0.3">
      <c r="A40">
        <v>38</v>
      </c>
      <c r="B40" s="1">
        <v>352905160137950</v>
      </c>
      <c r="C40" t="s">
        <v>156</v>
      </c>
      <c r="D40" t="s">
        <v>146</v>
      </c>
      <c r="E40" s="25">
        <v>2100</v>
      </c>
    </row>
    <row r="41" spans="1:6" x14ac:dyDescent="0.3">
      <c r="A41">
        <v>39</v>
      </c>
      <c r="B41" s="1">
        <v>352905160604082</v>
      </c>
      <c r="C41" t="s">
        <v>156</v>
      </c>
      <c r="D41" t="s">
        <v>146</v>
      </c>
      <c r="E41" s="25">
        <v>2100</v>
      </c>
    </row>
    <row r="42" spans="1:6" x14ac:dyDescent="0.3">
      <c r="A42">
        <v>40</v>
      </c>
      <c r="B42" s="1">
        <v>355767493819945</v>
      </c>
      <c r="C42" t="s">
        <v>156</v>
      </c>
      <c r="E42" s="25">
        <v>2100</v>
      </c>
    </row>
    <row r="43" spans="1:6" x14ac:dyDescent="0.3">
      <c r="A43">
        <v>41</v>
      </c>
      <c r="B43" s="1">
        <v>356706681332328</v>
      </c>
      <c r="C43" t="s">
        <v>156</v>
      </c>
      <c r="E43" s="25">
        <v>0</v>
      </c>
      <c r="F43" t="s">
        <v>153</v>
      </c>
    </row>
    <row r="44" spans="1:6" x14ac:dyDescent="0.3">
      <c r="A44">
        <v>42</v>
      </c>
      <c r="B44" s="1">
        <v>351880301305124</v>
      </c>
      <c r="C44" t="s">
        <v>157</v>
      </c>
      <c r="E44" s="25">
        <v>0</v>
      </c>
      <c r="F44" t="s">
        <v>153</v>
      </c>
    </row>
    <row r="45" spans="1:6" x14ac:dyDescent="0.3">
      <c r="A45">
        <v>43</v>
      </c>
      <c r="B45" s="1">
        <v>352512147297582</v>
      </c>
      <c r="C45" t="s">
        <v>10</v>
      </c>
      <c r="E45" s="25">
        <v>1920</v>
      </c>
    </row>
    <row r="46" spans="1:6" x14ac:dyDescent="0.3">
      <c r="A46">
        <v>44</v>
      </c>
      <c r="B46" s="1">
        <v>358754771511151</v>
      </c>
      <c r="C46" t="s">
        <v>10</v>
      </c>
      <c r="E46" s="25">
        <v>1920</v>
      </c>
    </row>
    <row r="48" spans="1:6" ht="15.6" x14ac:dyDescent="0.3">
      <c r="D48" s="49" t="s">
        <v>61</v>
      </c>
      <c r="E48" s="41">
        <f>SUM(E3:E47)</f>
        <v>90460</v>
      </c>
    </row>
  </sheetData>
  <autoFilter ref="A2:F2" xr:uid="{00000000-0009-0000-0000-000004000000}">
    <sortState xmlns:xlrd2="http://schemas.microsoft.com/office/spreadsheetml/2017/richdata2" ref="A3:F46">
      <sortCondition ref="C2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2"/>
  <sheetViews>
    <sheetView zoomScale="87" zoomScaleNormal="87" workbookViewId="0">
      <selection activeCell="E38" sqref="E38"/>
    </sheetView>
  </sheetViews>
  <sheetFormatPr defaultRowHeight="14.4" x14ac:dyDescent="0.3"/>
  <cols>
    <col min="2" max="2" width="18.44140625" bestFit="1" customWidth="1"/>
    <col min="3" max="3" width="27.33203125" bestFit="1" customWidth="1"/>
    <col min="4" max="4" width="5.88671875" bestFit="1" customWidth="1"/>
    <col min="5" max="5" width="15.77734375" bestFit="1" customWidth="1"/>
    <col min="6" max="6" width="9.21875" bestFit="1" customWidth="1"/>
  </cols>
  <sheetData>
    <row r="1" spans="1:6" x14ac:dyDescent="0.3">
      <c r="A1" s="56" t="s">
        <v>176</v>
      </c>
      <c r="B1" s="56"/>
      <c r="C1" s="55" t="s">
        <v>175</v>
      </c>
      <c r="D1" s="55"/>
      <c r="E1" s="54" t="s">
        <v>174</v>
      </c>
      <c r="F1" s="52"/>
    </row>
    <row r="2" spans="1:6" x14ac:dyDescent="0.3">
      <c r="A2" s="52" t="s">
        <v>46</v>
      </c>
      <c r="B2" s="52" t="s">
        <v>47</v>
      </c>
      <c r="C2" s="52" t="s">
        <v>1</v>
      </c>
      <c r="D2" s="52" t="s">
        <v>0</v>
      </c>
      <c r="E2" s="53" t="s">
        <v>48</v>
      </c>
      <c r="F2" s="52" t="s">
        <v>173</v>
      </c>
    </row>
    <row r="3" spans="1:6" x14ac:dyDescent="0.3">
      <c r="A3">
        <v>1</v>
      </c>
      <c r="B3" s="51">
        <v>358862985518928</v>
      </c>
      <c r="C3" t="s">
        <v>172</v>
      </c>
      <c r="E3" s="25">
        <v>2670</v>
      </c>
    </row>
    <row r="4" spans="1:6" x14ac:dyDescent="0.3">
      <c r="A4">
        <v>2</v>
      </c>
      <c r="B4" s="51">
        <v>356864566576244</v>
      </c>
      <c r="C4" t="s">
        <v>172</v>
      </c>
      <c r="E4" s="25">
        <v>2670</v>
      </c>
    </row>
    <row r="5" spans="1:6" x14ac:dyDescent="0.3">
      <c r="A5">
        <v>3</v>
      </c>
      <c r="B5" s="51">
        <v>359518871023576</v>
      </c>
      <c r="C5" t="s">
        <v>171</v>
      </c>
      <c r="D5" t="s">
        <v>152</v>
      </c>
      <c r="E5" s="25">
        <v>2380</v>
      </c>
    </row>
    <row r="6" spans="1:6" x14ac:dyDescent="0.3">
      <c r="A6">
        <v>4</v>
      </c>
      <c r="B6" s="51">
        <v>354737617076376</v>
      </c>
      <c r="C6" t="s">
        <v>171</v>
      </c>
      <c r="E6" s="25">
        <v>2430</v>
      </c>
    </row>
    <row r="7" spans="1:6" x14ac:dyDescent="0.3">
      <c r="A7">
        <v>5</v>
      </c>
      <c r="B7" s="51">
        <v>351614406866155</v>
      </c>
      <c r="C7" t="s">
        <v>171</v>
      </c>
      <c r="E7" s="25">
        <v>2430</v>
      </c>
    </row>
    <row r="8" spans="1:6" x14ac:dyDescent="0.3">
      <c r="A8">
        <v>6</v>
      </c>
      <c r="B8" s="51">
        <v>354210977905105</v>
      </c>
      <c r="C8" t="s">
        <v>171</v>
      </c>
      <c r="E8" s="25">
        <v>2430</v>
      </c>
    </row>
    <row r="9" spans="1:6" x14ac:dyDescent="0.3">
      <c r="A9">
        <v>7</v>
      </c>
      <c r="B9" s="51">
        <v>354210977021285</v>
      </c>
      <c r="C9" t="s">
        <v>171</v>
      </c>
      <c r="E9" s="25">
        <v>2430</v>
      </c>
    </row>
    <row r="10" spans="1:6" x14ac:dyDescent="0.3">
      <c r="A10">
        <v>8</v>
      </c>
      <c r="B10" s="51">
        <v>352864978238106</v>
      </c>
      <c r="C10" t="s">
        <v>171</v>
      </c>
      <c r="E10" s="25">
        <v>2430</v>
      </c>
    </row>
    <row r="11" spans="1:6" x14ac:dyDescent="0.3">
      <c r="A11">
        <v>9</v>
      </c>
      <c r="B11" s="51">
        <v>351614406878523</v>
      </c>
      <c r="C11" t="s">
        <v>171</v>
      </c>
      <c r="E11" s="25">
        <v>2430</v>
      </c>
    </row>
    <row r="12" spans="1:6" x14ac:dyDescent="0.3">
      <c r="A12">
        <v>10</v>
      </c>
      <c r="B12" s="51">
        <v>354210975224540</v>
      </c>
      <c r="C12" t="s">
        <v>171</v>
      </c>
      <c r="D12" t="s">
        <v>152</v>
      </c>
      <c r="E12" s="25">
        <v>2380</v>
      </c>
    </row>
    <row r="13" spans="1:6" x14ac:dyDescent="0.3">
      <c r="A13">
        <v>11</v>
      </c>
      <c r="B13" s="51">
        <v>356864566698261</v>
      </c>
      <c r="C13" t="s">
        <v>171</v>
      </c>
      <c r="D13" t="s">
        <v>152</v>
      </c>
      <c r="E13" s="25">
        <v>2380</v>
      </c>
    </row>
    <row r="14" spans="1:6" x14ac:dyDescent="0.3">
      <c r="A14">
        <v>12</v>
      </c>
      <c r="B14" s="51">
        <v>350778436919805</v>
      </c>
      <c r="C14" t="s">
        <v>171</v>
      </c>
      <c r="E14" s="25">
        <v>2430</v>
      </c>
    </row>
    <row r="15" spans="1:6" x14ac:dyDescent="0.3">
      <c r="A15">
        <v>13</v>
      </c>
      <c r="B15" s="51">
        <v>352315400518375</v>
      </c>
      <c r="C15" t="s">
        <v>170</v>
      </c>
      <c r="E15" s="25">
        <v>2530</v>
      </c>
    </row>
    <row r="16" spans="1:6" x14ac:dyDescent="0.3">
      <c r="A16">
        <v>14</v>
      </c>
      <c r="B16" s="51">
        <v>356541629862825</v>
      </c>
      <c r="C16" t="s">
        <v>170</v>
      </c>
      <c r="E16" s="25">
        <v>2530</v>
      </c>
    </row>
    <row r="17" spans="1:5" x14ac:dyDescent="0.3">
      <c r="A17">
        <v>15</v>
      </c>
      <c r="B17" s="51">
        <v>350773437481920</v>
      </c>
      <c r="C17" t="s">
        <v>169</v>
      </c>
      <c r="E17" s="25">
        <v>2530</v>
      </c>
    </row>
    <row r="18" spans="1:5" x14ac:dyDescent="0.3">
      <c r="A18">
        <v>16</v>
      </c>
      <c r="B18" s="51">
        <v>350773437482639</v>
      </c>
      <c r="C18" t="s">
        <v>169</v>
      </c>
      <c r="E18" s="25">
        <v>2530</v>
      </c>
    </row>
    <row r="19" spans="1:5" x14ac:dyDescent="0.3">
      <c r="A19">
        <v>17</v>
      </c>
      <c r="B19" s="51">
        <v>355031537699841</v>
      </c>
      <c r="C19" t="s">
        <v>168</v>
      </c>
      <c r="E19" s="25">
        <v>2250</v>
      </c>
    </row>
    <row r="20" spans="1:5" x14ac:dyDescent="0.3">
      <c r="A20">
        <v>18</v>
      </c>
      <c r="B20" s="51">
        <v>357017255992102</v>
      </c>
      <c r="C20" t="s">
        <v>167</v>
      </c>
      <c r="E20" s="25">
        <v>2130</v>
      </c>
    </row>
    <row r="21" spans="1:5" x14ac:dyDescent="0.3">
      <c r="A21">
        <v>19</v>
      </c>
      <c r="B21" s="51">
        <v>358282727518922</v>
      </c>
      <c r="C21" t="s">
        <v>167</v>
      </c>
      <c r="E21" s="25">
        <v>2130</v>
      </c>
    </row>
    <row r="22" spans="1:5" x14ac:dyDescent="0.3">
      <c r="A22">
        <v>20</v>
      </c>
      <c r="B22" s="51">
        <v>359896926735232</v>
      </c>
      <c r="C22" t="s">
        <v>167</v>
      </c>
      <c r="E22" s="25">
        <v>2130</v>
      </c>
    </row>
    <row r="23" spans="1:5" x14ac:dyDescent="0.3">
      <c r="A23">
        <v>21</v>
      </c>
      <c r="B23" s="51">
        <v>354959416652773</v>
      </c>
      <c r="C23" t="s">
        <v>167</v>
      </c>
      <c r="E23" s="25">
        <v>2130</v>
      </c>
    </row>
    <row r="24" spans="1:5" x14ac:dyDescent="0.3">
      <c r="A24">
        <v>22</v>
      </c>
      <c r="B24" s="51">
        <v>356312635042750</v>
      </c>
      <c r="C24" t="s">
        <v>166</v>
      </c>
      <c r="E24" s="25">
        <v>830</v>
      </c>
    </row>
    <row r="25" spans="1:5" x14ac:dyDescent="0.3">
      <c r="A25">
        <v>23</v>
      </c>
      <c r="B25" s="51">
        <v>352512147219875</v>
      </c>
      <c r="C25" t="s">
        <v>165</v>
      </c>
      <c r="E25" s="25">
        <v>1920</v>
      </c>
    </row>
    <row r="26" spans="1:5" x14ac:dyDescent="0.3">
      <c r="A26">
        <v>24</v>
      </c>
      <c r="B26" s="51">
        <v>352512147101495</v>
      </c>
      <c r="C26" t="s">
        <v>165</v>
      </c>
      <c r="E26" s="25">
        <v>1920</v>
      </c>
    </row>
    <row r="27" spans="1:5" x14ac:dyDescent="0.3">
      <c r="A27">
        <v>25</v>
      </c>
      <c r="B27" s="51">
        <v>352512147051062</v>
      </c>
      <c r="C27" t="s">
        <v>165</v>
      </c>
      <c r="E27" s="25">
        <v>1920</v>
      </c>
    </row>
    <row r="28" spans="1:5" x14ac:dyDescent="0.3">
      <c r="A28">
        <v>26</v>
      </c>
      <c r="B28" s="51">
        <v>352512147330904</v>
      </c>
      <c r="C28" t="s">
        <v>165</v>
      </c>
      <c r="E28" s="25">
        <v>1920</v>
      </c>
    </row>
    <row r="29" spans="1:5" x14ac:dyDescent="0.3">
      <c r="A29">
        <v>27</v>
      </c>
      <c r="B29" s="51">
        <v>359754771730884</v>
      </c>
      <c r="C29" t="s">
        <v>165</v>
      </c>
      <c r="E29" s="25">
        <v>1920</v>
      </c>
    </row>
    <row r="30" spans="1:5" x14ac:dyDescent="0.3">
      <c r="A30">
        <v>28</v>
      </c>
      <c r="B30" s="51">
        <v>352512147338048</v>
      </c>
      <c r="C30" t="s">
        <v>165</v>
      </c>
      <c r="E30" s="25">
        <v>1920</v>
      </c>
    </row>
    <row r="31" spans="1:5" x14ac:dyDescent="0.3">
      <c r="A31">
        <v>29</v>
      </c>
      <c r="B31" s="51">
        <v>352512147342347</v>
      </c>
      <c r="C31" t="s">
        <v>165</v>
      </c>
      <c r="E31" s="25">
        <v>1920</v>
      </c>
    </row>
    <row r="32" spans="1:5" x14ac:dyDescent="0.3">
      <c r="A32">
        <v>30</v>
      </c>
      <c r="B32" s="51">
        <v>359373961858451</v>
      </c>
      <c r="C32" t="s">
        <v>165</v>
      </c>
      <c r="E32" s="25">
        <v>1920</v>
      </c>
    </row>
    <row r="33" spans="1:5" x14ac:dyDescent="0.3">
      <c r="A33">
        <v>31</v>
      </c>
      <c r="B33" s="15">
        <v>358910534201767</v>
      </c>
      <c r="C33" s="16" t="s">
        <v>164</v>
      </c>
      <c r="D33" s="16"/>
      <c r="E33" s="25">
        <v>3250</v>
      </c>
    </row>
    <row r="34" spans="1:5" x14ac:dyDescent="0.3">
      <c r="A34">
        <v>32</v>
      </c>
      <c r="B34" s="51">
        <v>356196186206997</v>
      </c>
      <c r="C34" t="s">
        <v>163</v>
      </c>
      <c r="E34" s="25">
        <v>1230</v>
      </c>
    </row>
    <row r="35" spans="1:5" x14ac:dyDescent="0.3">
      <c r="A35">
        <v>33</v>
      </c>
      <c r="B35" s="51">
        <v>351159273074335</v>
      </c>
      <c r="C35" t="s">
        <v>163</v>
      </c>
      <c r="E35" s="25">
        <v>1230</v>
      </c>
    </row>
    <row r="36" spans="1:5" x14ac:dyDescent="0.3">
      <c r="A36">
        <v>34</v>
      </c>
      <c r="B36" s="51">
        <v>353357701224963</v>
      </c>
      <c r="C36" t="s">
        <v>162</v>
      </c>
      <c r="E36" s="25">
        <v>3350</v>
      </c>
    </row>
    <row r="37" spans="1:5" x14ac:dyDescent="0.3">
      <c r="A37">
        <v>35</v>
      </c>
      <c r="B37" s="51">
        <v>356334540672956</v>
      </c>
      <c r="C37" t="s">
        <v>161</v>
      </c>
      <c r="E37" s="25">
        <v>3600</v>
      </c>
    </row>
    <row r="38" spans="1:5" x14ac:dyDescent="0.3">
      <c r="B38" s="51"/>
      <c r="E38" s="41">
        <f>SUM(E3:E37)</f>
        <v>79230</v>
      </c>
    </row>
    <row r="39" spans="1:5" x14ac:dyDescent="0.3">
      <c r="B39" s="51"/>
    </row>
    <row r="40" spans="1:5" x14ac:dyDescent="0.3">
      <c r="B40" s="51"/>
    </row>
    <row r="41" spans="1:5" x14ac:dyDescent="0.3">
      <c r="B41" s="51"/>
    </row>
    <row r="42" spans="1:5" x14ac:dyDescent="0.3">
      <c r="B42" s="51"/>
    </row>
  </sheetData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workbookViewId="0">
      <selection activeCell="C17" sqref="C17"/>
    </sheetView>
  </sheetViews>
  <sheetFormatPr defaultRowHeight="14.4" x14ac:dyDescent="0.3"/>
  <cols>
    <col min="1" max="1" width="11" bestFit="1" customWidth="1"/>
    <col min="2" max="2" width="16" bestFit="1" customWidth="1"/>
    <col min="3" max="3" width="18.109375" bestFit="1" customWidth="1"/>
    <col min="5" max="5" width="15.77734375" bestFit="1" customWidth="1"/>
    <col min="6" max="6" width="9.21875" bestFit="1" customWidth="1"/>
  </cols>
  <sheetData>
    <row r="1" spans="1:6" x14ac:dyDescent="0.3">
      <c r="A1" s="56" t="s">
        <v>180</v>
      </c>
      <c r="B1" s="56"/>
      <c r="C1" s="55" t="s">
        <v>179</v>
      </c>
      <c r="D1" s="55"/>
      <c r="E1" s="54" t="s">
        <v>174</v>
      </c>
      <c r="F1" s="52"/>
    </row>
    <row r="2" spans="1:6" x14ac:dyDescent="0.3">
      <c r="A2" s="52" t="s">
        <v>46</v>
      </c>
      <c r="B2" s="52" t="s">
        <v>47</v>
      </c>
      <c r="C2" s="52" t="s">
        <v>1</v>
      </c>
      <c r="D2" s="52" t="s">
        <v>0</v>
      </c>
      <c r="E2" s="53" t="s">
        <v>48</v>
      </c>
      <c r="F2" s="52" t="s">
        <v>173</v>
      </c>
    </row>
    <row r="3" spans="1:6" x14ac:dyDescent="0.3">
      <c r="A3">
        <v>1</v>
      </c>
      <c r="B3" s="51">
        <v>350523896086276</v>
      </c>
      <c r="C3" t="s">
        <v>172</v>
      </c>
      <c r="E3" s="25">
        <v>2600</v>
      </c>
    </row>
    <row r="4" spans="1:6" x14ac:dyDescent="0.3">
      <c r="A4">
        <v>2</v>
      </c>
      <c r="B4" s="51">
        <v>357988125804976</v>
      </c>
      <c r="C4" t="s">
        <v>172</v>
      </c>
      <c r="E4" s="25">
        <v>2600</v>
      </c>
    </row>
    <row r="5" spans="1:6" x14ac:dyDescent="0.3">
      <c r="A5">
        <v>3</v>
      </c>
      <c r="B5" s="51">
        <v>359974602075270</v>
      </c>
      <c r="C5" t="s">
        <v>172</v>
      </c>
      <c r="E5" s="25">
        <v>2600</v>
      </c>
    </row>
    <row r="6" spans="1:6" x14ac:dyDescent="0.3">
      <c r="A6">
        <v>4</v>
      </c>
      <c r="B6" s="51">
        <v>350523894519302</v>
      </c>
      <c r="C6" t="s">
        <v>172</v>
      </c>
      <c r="E6" s="25">
        <v>2600</v>
      </c>
    </row>
    <row r="7" spans="1:6" x14ac:dyDescent="0.3">
      <c r="A7">
        <v>5</v>
      </c>
      <c r="B7" s="51">
        <v>351250615706591</v>
      </c>
      <c r="C7" t="s">
        <v>178</v>
      </c>
      <c r="E7" s="25">
        <v>1400</v>
      </c>
    </row>
    <row r="8" spans="1:6" x14ac:dyDescent="0.3">
      <c r="A8">
        <v>6</v>
      </c>
      <c r="B8" s="51">
        <v>350229401181392</v>
      </c>
      <c r="C8" t="s">
        <v>177</v>
      </c>
      <c r="E8" s="25">
        <v>1600</v>
      </c>
    </row>
    <row r="9" spans="1:6" x14ac:dyDescent="0.3">
      <c r="E9" s="41">
        <f>SUM(E3:E8)</f>
        <v>13400</v>
      </c>
    </row>
    <row r="11" spans="1:6" x14ac:dyDescent="0.3">
      <c r="E11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7"/>
  <sheetViews>
    <sheetView topLeftCell="A16" workbookViewId="0">
      <selection activeCell="E7" sqref="E7"/>
    </sheetView>
  </sheetViews>
  <sheetFormatPr defaultRowHeight="14.4" x14ac:dyDescent="0.3"/>
  <cols>
    <col min="2" max="2" width="16" bestFit="1" customWidth="1"/>
    <col min="3" max="3" width="34.6640625" bestFit="1" customWidth="1"/>
    <col min="4" max="4" width="9.33203125" bestFit="1" customWidth="1"/>
    <col min="5" max="5" width="15.77734375" bestFit="1" customWidth="1"/>
    <col min="6" max="6" width="13.21875" bestFit="1" customWidth="1"/>
    <col min="8" max="8" width="12" bestFit="1" customWidth="1"/>
  </cols>
  <sheetData>
    <row r="1" spans="1:8" x14ac:dyDescent="0.3">
      <c r="A1" s="56" t="s">
        <v>184</v>
      </c>
      <c r="B1" s="56"/>
      <c r="C1" s="55" t="s">
        <v>185</v>
      </c>
      <c r="D1" s="55"/>
      <c r="E1" s="54" t="s">
        <v>186</v>
      </c>
      <c r="F1" s="52"/>
    </row>
    <row r="2" spans="1:8" x14ac:dyDescent="0.3">
      <c r="A2" s="52" t="s">
        <v>46</v>
      </c>
      <c r="B2" s="52" t="s">
        <v>47</v>
      </c>
      <c r="C2" s="52" t="s">
        <v>1</v>
      </c>
      <c r="D2" s="52" t="s">
        <v>0</v>
      </c>
      <c r="E2" s="53" t="s">
        <v>48</v>
      </c>
      <c r="F2" s="52" t="s">
        <v>173</v>
      </c>
    </row>
    <row r="3" spans="1:8" x14ac:dyDescent="0.3">
      <c r="A3">
        <v>1</v>
      </c>
      <c r="B3" s="1">
        <v>351159273888767</v>
      </c>
      <c r="C3" t="s">
        <v>187</v>
      </c>
      <c r="D3" t="s">
        <v>188</v>
      </c>
      <c r="E3" s="25">
        <v>1250</v>
      </c>
    </row>
    <row r="4" spans="1:8" x14ac:dyDescent="0.3">
      <c r="A4">
        <v>2</v>
      </c>
      <c r="B4" s="1">
        <v>351657590056489</v>
      </c>
      <c r="C4" t="s">
        <v>150</v>
      </c>
      <c r="D4" t="s">
        <v>188</v>
      </c>
      <c r="E4" s="25">
        <v>3350</v>
      </c>
    </row>
    <row r="5" spans="1:8" x14ac:dyDescent="0.3">
      <c r="A5">
        <v>3</v>
      </c>
      <c r="B5" s="1">
        <v>356334540720326</v>
      </c>
      <c r="C5" t="s">
        <v>189</v>
      </c>
      <c r="D5" t="s">
        <v>188</v>
      </c>
      <c r="E5" s="25">
        <v>3600</v>
      </c>
      <c r="H5" s="25"/>
    </row>
    <row r="6" spans="1:8" x14ac:dyDescent="0.3">
      <c r="A6">
        <v>4</v>
      </c>
      <c r="B6" s="1">
        <v>356864565972121</v>
      </c>
      <c r="C6" t="s">
        <v>3</v>
      </c>
      <c r="D6" t="s">
        <v>188</v>
      </c>
      <c r="E6" s="25">
        <v>2430</v>
      </c>
    </row>
    <row r="7" spans="1:8" x14ac:dyDescent="0.3">
      <c r="A7">
        <v>5</v>
      </c>
      <c r="B7" s="1">
        <v>354737617395503</v>
      </c>
      <c r="C7" t="s">
        <v>2</v>
      </c>
      <c r="D7" t="s">
        <v>188</v>
      </c>
      <c r="E7" s="25">
        <v>2670</v>
      </c>
    </row>
    <row r="8" spans="1:8" x14ac:dyDescent="0.3">
      <c r="A8">
        <v>6</v>
      </c>
      <c r="B8" s="1">
        <v>350773434784334</v>
      </c>
      <c r="C8" t="s">
        <v>2</v>
      </c>
      <c r="D8" t="s">
        <v>188</v>
      </c>
      <c r="E8" s="25">
        <v>2670</v>
      </c>
    </row>
    <row r="9" spans="1:8" x14ac:dyDescent="0.3">
      <c r="A9">
        <v>7</v>
      </c>
      <c r="B9" s="1">
        <v>350773434767552</v>
      </c>
      <c r="C9" t="s">
        <v>2</v>
      </c>
      <c r="D9" t="s">
        <v>188</v>
      </c>
      <c r="E9" s="25">
        <v>2670</v>
      </c>
    </row>
    <row r="10" spans="1:8" x14ac:dyDescent="0.3">
      <c r="A10">
        <v>8</v>
      </c>
      <c r="B10" s="1">
        <v>358862980789144</v>
      </c>
      <c r="C10" t="s">
        <v>2</v>
      </c>
      <c r="D10" t="s">
        <v>188</v>
      </c>
      <c r="E10" s="25">
        <v>2670</v>
      </c>
    </row>
    <row r="11" spans="1:8" x14ac:dyDescent="0.3">
      <c r="A11">
        <v>9</v>
      </c>
      <c r="B11" s="1">
        <v>358862981335905</v>
      </c>
      <c r="C11" t="s">
        <v>2</v>
      </c>
      <c r="D11" t="s">
        <v>188</v>
      </c>
      <c r="E11" s="25">
        <v>2670</v>
      </c>
    </row>
    <row r="12" spans="1:8" x14ac:dyDescent="0.3">
      <c r="A12">
        <v>10</v>
      </c>
      <c r="B12" s="1">
        <v>353484629073486</v>
      </c>
      <c r="C12" t="s">
        <v>2</v>
      </c>
      <c r="D12" t="s">
        <v>188</v>
      </c>
      <c r="E12" s="25">
        <v>2670</v>
      </c>
    </row>
    <row r="13" spans="1:8" x14ac:dyDescent="0.3">
      <c r="A13">
        <v>11</v>
      </c>
      <c r="B13" s="1">
        <v>350773436259343</v>
      </c>
      <c r="C13" t="s">
        <v>190</v>
      </c>
      <c r="D13" t="s">
        <v>188</v>
      </c>
      <c r="E13" s="25">
        <v>2630</v>
      </c>
    </row>
    <row r="14" spans="1:8" x14ac:dyDescent="0.3">
      <c r="A14">
        <v>12</v>
      </c>
      <c r="B14" s="1">
        <v>356043380758755</v>
      </c>
      <c r="C14" t="s">
        <v>17</v>
      </c>
      <c r="D14" t="s">
        <v>188</v>
      </c>
      <c r="E14" s="25">
        <v>2020</v>
      </c>
    </row>
    <row r="15" spans="1:8" x14ac:dyDescent="0.3">
      <c r="A15">
        <v>13</v>
      </c>
      <c r="B15" s="3">
        <v>356043381237403</v>
      </c>
      <c r="C15" t="s">
        <v>17</v>
      </c>
      <c r="D15" t="s">
        <v>188</v>
      </c>
      <c r="E15" s="25">
        <v>2020</v>
      </c>
    </row>
    <row r="16" spans="1:8" x14ac:dyDescent="0.3">
      <c r="A16">
        <v>14</v>
      </c>
      <c r="B16" s="1">
        <v>350922053644960</v>
      </c>
      <c r="C16" t="s">
        <v>17</v>
      </c>
      <c r="D16" t="s">
        <v>188</v>
      </c>
      <c r="E16" s="25">
        <v>2020</v>
      </c>
    </row>
    <row r="17" spans="1:6" x14ac:dyDescent="0.3">
      <c r="A17">
        <v>15</v>
      </c>
      <c r="B17" s="1">
        <v>350328825668636</v>
      </c>
      <c r="C17" t="s">
        <v>4</v>
      </c>
      <c r="D17" t="s">
        <v>188</v>
      </c>
      <c r="E17" s="25">
        <v>2130</v>
      </c>
    </row>
    <row r="18" spans="1:6" x14ac:dyDescent="0.3">
      <c r="A18">
        <v>16</v>
      </c>
      <c r="B18" s="1">
        <v>356102155837648</v>
      </c>
      <c r="C18" t="s">
        <v>4</v>
      </c>
      <c r="D18" t="s">
        <v>188</v>
      </c>
      <c r="E18" s="25">
        <v>2130</v>
      </c>
    </row>
    <row r="19" spans="1:6" x14ac:dyDescent="0.3">
      <c r="A19">
        <v>17</v>
      </c>
      <c r="B19" s="1">
        <v>350319298607821</v>
      </c>
      <c r="C19" t="s">
        <v>18</v>
      </c>
      <c r="D19" t="s">
        <v>44</v>
      </c>
      <c r="E19" s="25">
        <v>2250</v>
      </c>
    </row>
    <row r="20" spans="1:6" x14ac:dyDescent="0.3">
      <c r="A20" s="19">
        <v>18</v>
      </c>
      <c r="B20" s="18"/>
      <c r="C20" s="19" t="s">
        <v>191</v>
      </c>
      <c r="D20" s="19"/>
      <c r="E20" s="25">
        <v>0</v>
      </c>
      <c r="F20" s="19" t="s">
        <v>192</v>
      </c>
    </row>
    <row r="21" spans="1:6" x14ac:dyDescent="0.3">
      <c r="A21">
        <v>19</v>
      </c>
      <c r="B21" s="1">
        <v>353173802583797</v>
      </c>
      <c r="C21" t="s">
        <v>193</v>
      </c>
      <c r="D21" t="s">
        <v>188</v>
      </c>
      <c r="E21" s="25">
        <v>1250</v>
      </c>
    </row>
    <row r="22" spans="1:6" x14ac:dyDescent="0.3">
      <c r="A22">
        <v>20</v>
      </c>
      <c r="B22" s="1">
        <v>357810544055289</v>
      </c>
      <c r="C22" t="s">
        <v>194</v>
      </c>
      <c r="D22" t="s">
        <v>188</v>
      </c>
      <c r="E22" s="25">
        <v>1250</v>
      </c>
    </row>
    <row r="23" spans="1:6" x14ac:dyDescent="0.3">
      <c r="A23">
        <v>21</v>
      </c>
      <c r="B23" s="1">
        <v>355767491701426</v>
      </c>
      <c r="C23" t="s">
        <v>156</v>
      </c>
      <c r="D23" t="s">
        <v>188</v>
      </c>
      <c r="E23" s="25">
        <v>2050</v>
      </c>
    </row>
    <row r="24" spans="1:6" x14ac:dyDescent="0.3">
      <c r="A24">
        <v>22</v>
      </c>
      <c r="B24" s="1">
        <v>358712820521803</v>
      </c>
      <c r="C24" t="s">
        <v>156</v>
      </c>
      <c r="D24" t="s">
        <v>188</v>
      </c>
      <c r="E24" s="25">
        <v>2050</v>
      </c>
    </row>
    <row r="25" spans="1:6" x14ac:dyDescent="0.3">
      <c r="A25">
        <v>23</v>
      </c>
      <c r="B25" s="1">
        <v>356706680126085</v>
      </c>
      <c r="C25" t="s">
        <v>156</v>
      </c>
      <c r="D25" t="s">
        <v>188</v>
      </c>
      <c r="E25" s="25">
        <v>2050</v>
      </c>
    </row>
    <row r="26" spans="1:6" x14ac:dyDescent="0.3">
      <c r="A26">
        <v>24</v>
      </c>
      <c r="B26" s="57">
        <v>358910533661706</v>
      </c>
      <c r="C26" s="2" t="s">
        <v>195</v>
      </c>
      <c r="D26" s="2"/>
      <c r="E26" s="25"/>
    </row>
    <row r="27" spans="1:6" x14ac:dyDescent="0.3">
      <c r="A27">
        <v>25</v>
      </c>
      <c r="B27" s="57">
        <v>352512147343667</v>
      </c>
      <c r="C27" s="2" t="s">
        <v>196</v>
      </c>
      <c r="D27" s="2"/>
      <c r="E27" s="25"/>
    </row>
    <row r="28" spans="1:6" x14ac:dyDescent="0.3">
      <c r="A28">
        <v>26</v>
      </c>
      <c r="B28" s="57">
        <v>352512147303943</v>
      </c>
      <c r="C28" s="2" t="s">
        <v>196</v>
      </c>
      <c r="D28" s="2"/>
      <c r="E28" s="25"/>
    </row>
    <row r="29" spans="1:6" x14ac:dyDescent="0.3">
      <c r="A29">
        <v>27</v>
      </c>
      <c r="B29" s="57">
        <v>352512147420366</v>
      </c>
      <c r="C29" s="2" t="s">
        <v>196</v>
      </c>
      <c r="D29" s="2"/>
      <c r="E29" s="25"/>
    </row>
    <row r="30" spans="1:6" x14ac:dyDescent="0.3">
      <c r="A30">
        <v>28</v>
      </c>
      <c r="B30" s="57">
        <v>352512146638448</v>
      </c>
      <c r="C30" s="2" t="s">
        <v>196</v>
      </c>
      <c r="D30" s="2"/>
      <c r="E30" s="25"/>
    </row>
    <row r="31" spans="1:6" x14ac:dyDescent="0.3">
      <c r="A31">
        <v>29</v>
      </c>
      <c r="B31" s="57">
        <v>352512147115917</v>
      </c>
      <c r="C31" s="2" t="s">
        <v>196</v>
      </c>
      <c r="D31" s="2"/>
      <c r="E31" s="25"/>
    </row>
    <row r="32" spans="1:6" x14ac:dyDescent="0.3">
      <c r="A32">
        <v>30</v>
      </c>
      <c r="B32" s="57">
        <v>352512147289977</v>
      </c>
      <c r="C32" s="2" t="s">
        <v>196</v>
      </c>
      <c r="D32" s="2"/>
      <c r="E32" s="25"/>
    </row>
    <row r="33" spans="1:5" x14ac:dyDescent="0.3">
      <c r="A33">
        <v>31</v>
      </c>
      <c r="B33" s="57">
        <v>352512147299067</v>
      </c>
      <c r="C33" s="2" t="s">
        <v>196</v>
      </c>
      <c r="D33" s="2"/>
      <c r="E33" s="25"/>
    </row>
    <row r="34" spans="1:5" x14ac:dyDescent="0.3">
      <c r="A34">
        <v>32</v>
      </c>
      <c r="B34" s="57">
        <v>359373961885892</v>
      </c>
      <c r="C34" s="2" t="s">
        <v>197</v>
      </c>
      <c r="D34" s="2"/>
      <c r="E34" s="25"/>
    </row>
    <row r="35" spans="1:5" x14ac:dyDescent="0.3">
      <c r="A35">
        <v>33</v>
      </c>
      <c r="B35" s="57">
        <v>352512147365645</v>
      </c>
      <c r="C35" s="2" t="s">
        <v>197</v>
      </c>
      <c r="D35" s="2"/>
      <c r="E35" s="25"/>
    </row>
    <row r="36" spans="1:5" x14ac:dyDescent="0.3">
      <c r="B36" s="1"/>
      <c r="E36" s="41">
        <f>SUM(E3:E35)</f>
        <v>50500</v>
      </c>
    </row>
    <row r="37" spans="1:5" x14ac:dyDescent="0.3">
      <c r="B37" s="1"/>
    </row>
  </sheetData>
  <autoFilter ref="A2:F2" xr:uid="{00000000-0009-0000-0000-000007000000}">
    <sortState xmlns:xlrd2="http://schemas.microsoft.com/office/spreadsheetml/2017/richdata2" ref="A3:F35">
      <sortCondition ref="C2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1"/>
  <sheetViews>
    <sheetView workbookViewId="0">
      <selection activeCell="H49" sqref="H49"/>
    </sheetView>
  </sheetViews>
  <sheetFormatPr defaultRowHeight="14.4" x14ac:dyDescent="0.3"/>
  <cols>
    <col min="1" max="1" width="3.44140625" bestFit="1" customWidth="1"/>
    <col min="2" max="2" width="19" customWidth="1"/>
    <col min="3" max="3" width="33.88671875" bestFit="1" customWidth="1"/>
    <col min="4" max="4" width="9.33203125" bestFit="1" customWidth="1"/>
    <col min="5" max="5" width="15.77734375" bestFit="1" customWidth="1"/>
  </cols>
  <sheetData>
    <row r="1" spans="1:7" x14ac:dyDescent="0.3">
      <c r="A1" s="56" t="s">
        <v>214</v>
      </c>
      <c r="B1" s="56"/>
      <c r="C1" s="55" t="s">
        <v>213</v>
      </c>
      <c r="D1" s="55"/>
      <c r="E1" s="54" t="s">
        <v>186</v>
      </c>
      <c r="F1" s="52"/>
    </row>
    <row r="2" spans="1:7" ht="15.75" customHeight="1" x14ac:dyDescent="0.3">
      <c r="A2" s="52" t="s">
        <v>46</v>
      </c>
      <c r="B2" s="52" t="s">
        <v>47</v>
      </c>
      <c r="C2" s="52" t="s">
        <v>1</v>
      </c>
      <c r="D2" s="52" t="s">
        <v>0</v>
      </c>
      <c r="E2" s="53" t="s">
        <v>48</v>
      </c>
      <c r="F2" s="52" t="s">
        <v>173</v>
      </c>
    </row>
    <row r="3" spans="1:7" x14ac:dyDescent="0.3">
      <c r="A3">
        <v>1</v>
      </c>
      <c r="B3" s="1">
        <v>355468252380910</v>
      </c>
      <c r="C3" t="s">
        <v>212</v>
      </c>
      <c r="D3" t="s">
        <v>188</v>
      </c>
      <c r="E3" s="25">
        <v>650</v>
      </c>
    </row>
    <row r="4" spans="1:7" x14ac:dyDescent="0.3">
      <c r="A4">
        <v>2</v>
      </c>
      <c r="B4" s="18"/>
      <c r="C4" s="19" t="s">
        <v>211</v>
      </c>
      <c r="D4" s="19" t="s">
        <v>188</v>
      </c>
      <c r="E4" s="25"/>
      <c r="F4" s="19" t="s">
        <v>210</v>
      </c>
      <c r="G4" s="19"/>
    </row>
    <row r="5" spans="1:7" x14ac:dyDescent="0.3">
      <c r="A5">
        <v>3</v>
      </c>
      <c r="B5" s="1" t="s">
        <v>209</v>
      </c>
      <c r="C5" t="s">
        <v>208</v>
      </c>
      <c r="D5" t="s">
        <v>188</v>
      </c>
      <c r="E5" s="25">
        <v>1250</v>
      </c>
    </row>
    <row r="6" spans="1:7" x14ac:dyDescent="0.3">
      <c r="A6">
        <v>4</v>
      </c>
      <c r="B6" s="1">
        <v>357241838851979</v>
      </c>
      <c r="C6" t="s">
        <v>207</v>
      </c>
      <c r="D6" t="s">
        <v>188</v>
      </c>
      <c r="E6" s="25">
        <v>2250</v>
      </c>
    </row>
    <row r="7" spans="1:7" x14ac:dyDescent="0.3">
      <c r="A7">
        <v>5</v>
      </c>
      <c r="B7" s="1">
        <v>359200574583814</v>
      </c>
      <c r="C7" t="s">
        <v>206</v>
      </c>
      <c r="D7" t="s">
        <v>188</v>
      </c>
      <c r="E7" s="25">
        <v>2250</v>
      </c>
    </row>
    <row r="8" spans="1:7" x14ac:dyDescent="0.3">
      <c r="A8">
        <v>6</v>
      </c>
      <c r="B8" s="1">
        <v>357241838832680</v>
      </c>
      <c r="C8" t="s">
        <v>205</v>
      </c>
      <c r="D8" t="s">
        <v>188</v>
      </c>
      <c r="E8" s="25">
        <v>2250</v>
      </c>
    </row>
    <row r="9" spans="1:7" x14ac:dyDescent="0.3">
      <c r="A9">
        <v>7</v>
      </c>
      <c r="B9" s="1">
        <v>359200576673514</v>
      </c>
      <c r="C9" t="s">
        <v>204</v>
      </c>
      <c r="D9" t="s">
        <v>188</v>
      </c>
      <c r="E9" s="25">
        <v>3350</v>
      </c>
    </row>
    <row r="10" spans="1:7" x14ac:dyDescent="0.3">
      <c r="A10">
        <v>8</v>
      </c>
      <c r="B10" s="1">
        <v>356334540431304</v>
      </c>
      <c r="C10" t="s">
        <v>189</v>
      </c>
      <c r="D10" t="s">
        <v>188</v>
      </c>
      <c r="E10" s="25">
        <v>3600</v>
      </c>
    </row>
    <row r="11" spans="1:7" x14ac:dyDescent="0.3">
      <c r="A11">
        <v>9</v>
      </c>
      <c r="B11" s="1">
        <v>356334540659417</v>
      </c>
      <c r="C11" t="s">
        <v>189</v>
      </c>
      <c r="D11" t="s">
        <v>188</v>
      </c>
      <c r="E11" s="25">
        <v>3600</v>
      </c>
    </row>
    <row r="12" spans="1:7" x14ac:dyDescent="0.3">
      <c r="A12">
        <v>10</v>
      </c>
      <c r="B12" s="1">
        <v>354895822324401</v>
      </c>
      <c r="C12" t="s">
        <v>203</v>
      </c>
      <c r="D12" t="s">
        <v>188</v>
      </c>
      <c r="E12" s="25">
        <v>3700</v>
      </c>
    </row>
    <row r="13" spans="1:7" x14ac:dyDescent="0.3">
      <c r="A13">
        <v>11</v>
      </c>
      <c r="B13" s="1">
        <v>350773437852070</v>
      </c>
      <c r="C13" t="s">
        <v>3</v>
      </c>
      <c r="D13" t="s">
        <v>188</v>
      </c>
      <c r="E13" s="25">
        <v>2430</v>
      </c>
    </row>
    <row r="14" spans="1:7" x14ac:dyDescent="0.3">
      <c r="A14">
        <v>12</v>
      </c>
      <c r="B14" s="1">
        <v>356864561723742</v>
      </c>
      <c r="C14" t="s">
        <v>3</v>
      </c>
      <c r="D14" t="s">
        <v>188</v>
      </c>
      <c r="E14" s="25">
        <v>2430</v>
      </c>
    </row>
    <row r="15" spans="1:7" x14ac:dyDescent="0.3">
      <c r="A15">
        <v>13</v>
      </c>
      <c r="B15" s="1">
        <v>355688665252832</v>
      </c>
      <c r="C15" t="s">
        <v>2</v>
      </c>
      <c r="D15" t="s">
        <v>188</v>
      </c>
      <c r="E15" s="25">
        <v>2670</v>
      </c>
    </row>
    <row r="16" spans="1:7" x14ac:dyDescent="0.3">
      <c r="A16">
        <v>14</v>
      </c>
      <c r="B16" s="1">
        <v>354737617315188</v>
      </c>
      <c r="C16" t="s">
        <v>2</v>
      </c>
      <c r="D16" t="s">
        <v>188</v>
      </c>
      <c r="E16" s="25">
        <v>2670</v>
      </c>
    </row>
    <row r="17" spans="1:5" x14ac:dyDescent="0.3">
      <c r="A17">
        <v>15</v>
      </c>
      <c r="B17" s="1">
        <v>356541627095287</v>
      </c>
      <c r="C17" t="s">
        <v>2</v>
      </c>
      <c r="D17" t="s">
        <v>188</v>
      </c>
      <c r="E17" s="25">
        <v>2670</v>
      </c>
    </row>
    <row r="18" spans="1:5" x14ac:dyDescent="0.3">
      <c r="A18">
        <v>16</v>
      </c>
      <c r="B18" s="1">
        <v>356541627166799</v>
      </c>
      <c r="C18" t="s">
        <v>2</v>
      </c>
      <c r="D18" t="s">
        <v>188</v>
      </c>
      <c r="E18" s="25">
        <v>2670</v>
      </c>
    </row>
    <row r="19" spans="1:5" x14ac:dyDescent="0.3">
      <c r="A19">
        <v>17</v>
      </c>
      <c r="B19" s="1">
        <v>359518872054927</v>
      </c>
      <c r="C19" t="s">
        <v>2</v>
      </c>
      <c r="D19" t="s">
        <v>188</v>
      </c>
      <c r="E19" s="25">
        <v>2670</v>
      </c>
    </row>
    <row r="20" spans="1:5" x14ac:dyDescent="0.3">
      <c r="A20">
        <v>18</v>
      </c>
      <c r="B20" s="1">
        <v>352864974015359</v>
      </c>
      <c r="C20" t="s">
        <v>202</v>
      </c>
      <c r="D20" t="s">
        <v>188</v>
      </c>
      <c r="E20" s="25">
        <v>2530</v>
      </c>
    </row>
    <row r="21" spans="1:5" x14ac:dyDescent="0.3">
      <c r="A21">
        <v>19</v>
      </c>
      <c r="B21" s="1">
        <v>355469927779932</v>
      </c>
      <c r="C21" t="s">
        <v>202</v>
      </c>
      <c r="D21" t="s">
        <v>188</v>
      </c>
      <c r="E21" s="25">
        <v>2530</v>
      </c>
    </row>
    <row r="22" spans="1:5" x14ac:dyDescent="0.3">
      <c r="A22">
        <v>20</v>
      </c>
      <c r="B22" s="1"/>
      <c r="C22" t="s">
        <v>201</v>
      </c>
      <c r="D22" t="s">
        <v>188</v>
      </c>
      <c r="E22" s="25">
        <v>2400</v>
      </c>
    </row>
    <row r="23" spans="1:5" x14ac:dyDescent="0.3">
      <c r="A23">
        <v>21</v>
      </c>
      <c r="B23" s="1">
        <v>354331125613019</v>
      </c>
      <c r="C23" t="s">
        <v>154</v>
      </c>
      <c r="D23" t="s">
        <v>188</v>
      </c>
      <c r="E23" s="25">
        <v>2530</v>
      </c>
    </row>
    <row r="24" spans="1:5" x14ac:dyDescent="0.3">
      <c r="A24">
        <v>22</v>
      </c>
      <c r="B24" s="3">
        <v>356043385304902</v>
      </c>
      <c r="C24" t="s">
        <v>30</v>
      </c>
      <c r="D24" t="s">
        <v>188</v>
      </c>
      <c r="E24" s="25">
        <v>2120</v>
      </c>
    </row>
    <row r="25" spans="1:5" x14ac:dyDescent="0.3">
      <c r="A25">
        <v>23</v>
      </c>
      <c r="B25" s="1">
        <v>359297748641478</v>
      </c>
      <c r="C25" t="s">
        <v>30</v>
      </c>
      <c r="D25" t="s">
        <v>188</v>
      </c>
      <c r="E25" s="25">
        <v>2120</v>
      </c>
    </row>
    <row r="26" spans="1:5" x14ac:dyDescent="0.3">
      <c r="A26">
        <v>24</v>
      </c>
      <c r="B26" s="1">
        <v>356043387931728</v>
      </c>
      <c r="C26" t="s">
        <v>4</v>
      </c>
      <c r="D26" t="s">
        <v>188</v>
      </c>
      <c r="E26" s="25">
        <v>2130</v>
      </c>
    </row>
    <row r="27" spans="1:5" x14ac:dyDescent="0.3">
      <c r="A27">
        <v>25</v>
      </c>
      <c r="B27" s="1">
        <v>354959416520632</v>
      </c>
      <c r="C27" t="s">
        <v>4</v>
      </c>
      <c r="D27" t="s">
        <v>188</v>
      </c>
      <c r="E27" s="25">
        <v>2130</v>
      </c>
    </row>
    <row r="28" spans="1:5" x14ac:dyDescent="0.3">
      <c r="A28">
        <v>26</v>
      </c>
      <c r="B28" s="1">
        <v>359896927371995</v>
      </c>
      <c r="C28" t="s">
        <v>18</v>
      </c>
      <c r="D28" t="s">
        <v>188</v>
      </c>
      <c r="E28" s="25">
        <v>2250</v>
      </c>
    </row>
    <row r="29" spans="1:5" x14ac:dyDescent="0.3">
      <c r="A29">
        <v>27</v>
      </c>
      <c r="B29" s="1">
        <v>359896929230595</v>
      </c>
      <c r="C29" t="s">
        <v>18</v>
      </c>
      <c r="D29" t="s">
        <v>188</v>
      </c>
      <c r="E29" s="25">
        <v>2250</v>
      </c>
    </row>
    <row r="30" spans="1:5" x14ac:dyDescent="0.3">
      <c r="A30">
        <v>28</v>
      </c>
      <c r="B30" s="1">
        <v>355031538917093</v>
      </c>
      <c r="C30" t="s">
        <v>13</v>
      </c>
      <c r="D30" t="s">
        <v>188</v>
      </c>
      <c r="E30" s="25">
        <v>2100</v>
      </c>
    </row>
    <row r="31" spans="1:5" x14ac:dyDescent="0.3">
      <c r="A31">
        <v>29</v>
      </c>
      <c r="B31" s="1">
        <v>358712820153896</v>
      </c>
      <c r="C31" t="s">
        <v>200</v>
      </c>
      <c r="D31" t="s">
        <v>188</v>
      </c>
      <c r="E31" s="25">
        <v>2050</v>
      </c>
    </row>
    <row r="32" spans="1:5" x14ac:dyDescent="0.3">
      <c r="A32">
        <v>30</v>
      </c>
      <c r="B32" s="1">
        <v>352905160213975</v>
      </c>
      <c r="C32" t="s">
        <v>200</v>
      </c>
      <c r="D32" t="s">
        <v>188</v>
      </c>
      <c r="E32" s="25">
        <v>2050</v>
      </c>
    </row>
    <row r="33" spans="1:5" x14ac:dyDescent="0.3">
      <c r="A33">
        <v>31</v>
      </c>
      <c r="B33" s="1">
        <v>352605160033423</v>
      </c>
      <c r="C33" t="s">
        <v>200</v>
      </c>
      <c r="D33" t="s">
        <v>188</v>
      </c>
      <c r="E33" s="25">
        <v>2050</v>
      </c>
    </row>
    <row r="34" spans="1:5" x14ac:dyDescent="0.3">
      <c r="A34">
        <v>32</v>
      </c>
      <c r="B34" s="1">
        <v>352905161312222</v>
      </c>
      <c r="C34" t="s">
        <v>200</v>
      </c>
      <c r="D34" t="s">
        <v>188</v>
      </c>
      <c r="E34" s="25">
        <v>2050</v>
      </c>
    </row>
    <row r="35" spans="1:5" x14ac:dyDescent="0.3">
      <c r="A35">
        <v>33</v>
      </c>
      <c r="B35" s="57">
        <v>351878870127622</v>
      </c>
      <c r="C35" s="2" t="s">
        <v>199</v>
      </c>
      <c r="D35" s="2" t="s">
        <v>188</v>
      </c>
      <c r="E35" s="25"/>
    </row>
    <row r="36" spans="1:5" x14ac:dyDescent="0.3">
      <c r="A36">
        <v>34</v>
      </c>
      <c r="B36" s="57">
        <v>352512147206955</v>
      </c>
      <c r="C36" s="2" t="s">
        <v>198</v>
      </c>
      <c r="D36" s="2"/>
      <c r="E36" s="25"/>
    </row>
    <row r="37" spans="1:5" x14ac:dyDescent="0.3">
      <c r="A37">
        <v>35</v>
      </c>
      <c r="B37" s="57">
        <v>352512147297087</v>
      </c>
      <c r="C37" s="2" t="s">
        <v>198</v>
      </c>
      <c r="D37" s="2" t="s">
        <v>188</v>
      </c>
      <c r="E37" s="25"/>
    </row>
    <row r="38" spans="1:5" x14ac:dyDescent="0.3">
      <c r="A38">
        <v>36</v>
      </c>
      <c r="B38" s="57">
        <v>352512147305575</v>
      </c>
      <c r="C38" s="2" t="s">
        <v>198</v>
      </c>
      <c r="D38" s="2" t="s">
        <v>188</v>
      </c>
      <c r="E38" s="25"/>
    </row>
    <row r="39" spans="1:5" x14ac:dyDescent="0.3">
      <c r="E39" s="25">
        <f>SUM(E3:E38)</f>
        <v>74400</v>
      </c>
    </row>
    <row r="40" spans="1:5" x14ac:dyDescent="0.3">
      <c r="E40" s="25"/>
    </row>
    <row r="41" spans="1:5" x14ac:dyDescent="0.3">
      <c r="E41" s="25"/>
    </row>
  </sheetData>
  <autoFilter ref="A2:F2" xr:uid="{00000000-0009-0000-0000-000008000000}">
    <sortState xmlns:xlrd2="http://schemas.microsoft.com/office/spreadsheetml/2017/richdata2" ref="A3:F38">
      <sortCondition ref="C2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7"/>
  <sheetViews>
    <sheetView topLeftCell="A43" workbookViewId="0">
      <selection activeCell="J56" sqref="J56"/>
    </sheetView>
  </sheetViews>
  <sheetFormatPr defaultRowHeight="16.5" customHeight="1" x14ac:dyDescent="0.3"/>
  <cols>
    <col min="2" max="2" width="12.21875" bestFit="1" customWidth="1"/>
    <col min="3" max="3" width="28.6640625" style="1" bestFit="1" customWidth="1"/>
    <col min="4" max="4" width="7.88671875" bestFit="1" customWidth="1"/>
    <col min="5" max="5" width="15.77734375" bestFit="1" customWidth="1"/>
    <col min="6" max="6" width="11.77734375" bestFit="1" customWidth="1"/>
  </cols>
  <sheetData>
    <row r="1" spans="1:6" ht="16.5" customHeight="1" x14ac:dyDescent="0.3">
      <c r="A1" s="56" t="s">
        <v>215</v>
      </c>
      <c r="B1" s="56"/>
      <c r="C1" s="55" t="s">
        <v>216</v>
      </c>
      <c r="D1" s="55"/>
      <c r="E1" s="54" t="s">
        <v>217</v>
      </c>
      <c r="F1" s="52"/>
    </row>
    <row r="2" spans="1:6" ht="16.5" customHeight="1" x14ac:dyDescent="0.3">
      <c r="A2" s="52" t="s">
        <v>46</v>
      </c>
      <c r="B2" s="52" t="s">
        <v>47</v>
      </c>
      <c r="C2" s="52" t="s">
        <v>1</v>
      </c>
      <c r="D2" s="52" t="s">
        <v>0</v>
      </c>
      <c r="E2" s="58" t="s">
        <v>48</v>
      </c>
      <c r="F2" s="52" t="s">
        <v>173</v>
      </c>
    </row>
    <row r="3" spans="1:6" ht="16.5" customHeight="1" x14ac:dyDescent="0.3">
      <c r="A3" s="59">
        <v>1</v>
      </c>
      <c r="B3" s="60">
        <v>354737617258677</v>
      </c>
      <c r="C3" s="61" t="s">
        <v>218</v>
      </c>
      <c r="D3" s="62" t="s">
        <v>188</v>
      </c>
      <c r="E3" s="63">
        <v>2670</v>
      </c>
      <c r="F3" s="64" t="s">
        <v>219</v>
      </c>
    </row>
    <row r="4" spans="1:6" ht="16.5" customHeight="1" x14ac:dyDescent="0.3">
      <c r="A4" s="65">
        <v>2</v>
      </c>
      <c r="B4" s="66">
        <v>354737617109318</v>
      </c>
      <c r="C4" s="67" t="s">
        <v>218</v>
      </c>
      <c r="D4" s="68" t="s">
        <v>188</v>
      </c>
      <c r="E4" s="69">
        <v>2670</v>
      </c>
      <c r="F4" s="70" t="s">
        <v>219</v>
      </c>
    </row>
    <row r="5" spans="1:6" ht="16.5" customHeight="1" x14ac:dyDescent="0.3">
      <c r="A5" s="65">
        <v>3</v>
      </c>
      <c r="B5" s="66">
        <v>354737617221485</v>
      </c>
      <c r="C5" s="67" t="s">
        <v>218</v>
      </c>
      <c r="D5" s="68" t="s">
        <v>188</v>
      </c>
      <c r="E5" s="69">
        <v>2670</v>
      </c>
      <c r="F5" s="70" t="s">
        <v>219</v>
      </c>
    </row>
    <row r="6" spans="1:6" ht="16.5" customHeight="1" x14ac:dyDescent="0.3">
      <c r="A6" s="65">
        <v>4</v>
      </c>
      <c r="B6" s="66">
        <v>353393812730036</v>
      </c>
      <c r="C6" s="67" t="s">
        <v>220</v>
      </c>
      <c r="D6" s="71" t="s">
        <v>44</v>
      </c>
      <c r="E6" s="69">
        <f>2430-50</f>
        <v>2380</v>
      </c>
      <c r="F6" s="70" t="s">
        <v>219</v>
      </c>
    </row>
    <row r="7" spans="1:6" ht="16.5" customHeight="1" x14ac:dyDescent="0.3">
      <c r="A7" s="65">
        <v>5</v>
      </c>
      <c r="B7" s="66">
        <v>359518871636237</v>
      </c>
      <c r="C7" s="67" t="s">
        <v>220</v>
      </c>
      <c r="D7" s="68" t="s">
        <v>188</v>
      </c>
      <c r="E7" s="69">
        <v>2430</v>
      </c>
      <c r="F7" s="70" t="s">
        <v>219</v>
      </c>
    </row>
    <row r="8" spans="1:6" ht="16.5" customHeight="1" x14ac:dyDescent="0.3">
      <c r="A8" s="65">
        <v>6</v>
      </c>
      <c r="B8" s="66">
        <v>355067547753830</v>
      </c>
      <c r="C8" s="67" t="s">
        <v>220</v>
      </c>
      <c r="D8" s="68" t="s">
        <v>188</v>
      </c>
      <c r="E8" s="69">
        <v>2430</v>
      </c>
      <c r="F8" s="70" t="s">
        <v>219</v>
      </c>
    </row>
    <row r="9" spans="1:6" ht="16.5" customHeight="1" x14ac:dyDescent="0.3">
      <c r="A9" s="65">
        <v>7</v>
      </c>
      <c r="B9" s="66">
        <v>355067547925610</v>
      </c>
      <c r="C9" s="67" t="s">
        <v>220</v>
      </c>
      <c r="D9" s="68" t="s">
        <v>188</v>
      </c>
      <c r="E9" s="69">
        <v>2430</v>
      </c>
      <c r="F9" s="70" t="s">
        <v>219</v>
      </c>
    </row>
    <row r="10" spans="1:6" ht="16.5" customHeight="1" x14ac:dyDescent="0.3">
      <c r="A10" s="65">
        <v>8</v>
      </c>
      <c r="B10" s="66">
        <v>354737611726729</v>
      </c>
      <c r="C10" s="67" t="s">
        <v>220</v>
      </c>
      <c r="D10" s="68" t="s">
        <v>188</v>
      </c>
      <c r="E10" s="69">
        <v>2430</v>
      </c>
      <c r="F10" s="70" t="s">
        <v>219</v>
      </c>
    </row>
    <row r="11" spans="1:6" ht="16.5" customHeight="1" x14ac:dyDescent="0.3">
      <c r="A11" s="65">
        <v>9</v>
      </c>
      <c r="B11" s="66">
        <v>354210977379087</v>
      </c>
      <c r="C11" s="67" t="s">
        <v>220</v>
      </c>
      <c r="D11" s="71" t="s">
        <v>44</v>
      </c>
      <c r="E11" s="69">
        <f>2430-50</f>
        <v>2380</v>
      </c>
      <c r="F11" s="70" t="s">
        <v>219</v>
      </c>
    </row>
    <row r="12" spans="1:6" ht="16.5" customHeight="1" x14ac:dyDescent="0.3">
      <c r="A12" s="65">
        <v>10</v>
      </c>
      <c r="B12" s="66">
        <v>355067547891119</v>
      </c>
      <c r="C12" s="67" t="s">
        <v>220</v>
      </c>
      <c r="D12" s="71" t="s">
        <v>188</v>
      </c>
      <c r="E12" s="69">
        <v>2430</v>
      </c>
      <c r="F12" s="70" t="s">
        <v>219</v>
      </c>
    </row>
    <row r="13" spans="1:6" ht="16.5" customHeight="1" x14ac:dyDescent="0.3">
      <c r="A13" s="65">
        <v>11</v>
      </c>
      <c r="B13" s="66">
        <v>354737617577266</v>
      </c>
      <c r="C13" s="67" t="s">
        <v>221</v>
      </c>
      <c r="D13" s="71" t="s">
        <v>188</v>
      </c>
      <c r="E13" s="69">
        <v>2600</v>
      </c>
      <c r="F13" s="70" t="s">
        <v>219</v>
      </c>
    </row>
    <row r="14" spans="1:6" ht="16.5" customHeight="1" x14ac:dyDescent="0.3">
      <c r="A14" s="65">
        <v>12</v>
      </c>
      <c r="B14" s="66">
        <v>354737617679351</v>
      </c>
      <c r="C14" s="67" t="s">
        <v>221</v>
      </c>
      <c r="D14" s="68" t="s">
        <v>188</v>
      </c>
      <c r="E14" s="69">
        <v>2600</v>
      </c>
      <c r="F14" s="70" t="s">
        <v>219</v>
      </c>
    </row>
    <row r="15" spans="1:6" ht="16.5" customHeight="1" x14ac:dyDescent="0.3">
      <c r="A15" s="65">
        <v>13</v>
      </c>
      <c r="B15" s="66">
        <v>350773437600909</v>
      </c>
      <c r="C15" s="67" t="s">
        <v>221</v>
      </c>
      <c r="D15" s="68" t="s">
        <v>188</v>
      </c>
      <c r="E15" s="69">
        <v>2600</v>
      </c>
      <c r="F15" s="70" t="s">
        <v>219</v>
      </c>
    </row>
    <row r="16" spans="1:6" ht="16.5" customHeight="1" x14ac:dyDescent="0.3">
      <c r="A16" s="65">
        <v>14</v>
      </c>
      <c r="B16" s="66">
        <v>354423234043251</v>
      </c>
      <c r="C16" s="67" t="s">
        <v>222</v>
      </c>
      <c r="D16" s="68" t="s">
        <v>188</v>
      </c>
      <c r="E16" s="69">
        <v>2530</v>
      </c>
      <c r="F16" s="70" t="s">
        <v>219</v>
      </c>
    </row>
    <row r="17" spans="1:6" ht="16.5" customHeight="1" x14ac:dyDescent="0.3">
      <c r="A17" s="65">
        <v>15</v>
      </c>
      <c r="B17" s="66">
        <v>354423232609129</v>
      </c>
      <c r="C17" s="67" t="s">
        <v>222</v>
      </c>
      <c r="D17" s="68" t="s">
        <v>188</v>
      </c>
      <c r="E17" s="69">
        <v>2530</v>
      </c>
      <c r="F17" s="70" t="s">
        <v>219</v>
      </c>
    </row>
    <row r="18" spans="1:6" ht="16.5" customHeight="1" x14ac:dyDescent="0.3">
      <c r="A18" s="65">
        <v>16</v>
      </c>
      <c r="B18" s="66">
        <v>354423234113476</v>
      </c>
      <c r="C18" s="67" t="s">
        <v>222</v>
      </c>
      <c r="D18" s="68" t="s">
        <v>188</v>
      </c>
      <c r="E18" s="69">
        <v>2530</v>
      </c>
      <c r="F18" s="70" t="s">
        <v>219</v>
      </c>
    </row>
    <row r="19" spans="1:6" ht="16.5" customHeight="1" x14ac:dyDescent="0.3">
      <c r="A19" s="65">
        <v>17</v>
      </c>
      <c r="B19" s="66">
        <v>356541627890323</v>
      </c>
      <c r="C19" s="67" t="s">
        <v>222</v>
      </c>
      <c r="D19" s="68" t="s">
        <v>188</v>
      </c>
      <c r="E19" s="69">
        <v>2530</v>
      </c>
      <c r="F19" s="70" t="s">
        <v>219</v>
      </c>
    </row>
    <row r="20" spans="1:6" ht="16.5" customHeight="1" x14ac:dyDescent="0.3">
      <c r="A20" s="65">
        <v>18</v>
      </c>
      <c r="B20" s="66">
        <v>355469927870566</v>
      </c>
      <c r="C20" s="67" t="s">
        <v>222</v>
      </c>
      <c r="D20" s="71" t="s">
        <v>44</v>
      </c>
      <c r="E20" s="69">
        <v>2530</v>
      </c>
      <c r="F20" s="70" t="s">
        <v>219</v>
      </c>
    </row>
    <row r="21" spans="1:6" ht="16.5" customHeight="1" x14ac:dyDescent="0.3">
      <c r="A21" s="65">
        <v>19</v>
      </c>
      <c r="B21" s="66">
        <v>354737617853121</v>
      </c>
      <c r="C21" s="67" t="s">
        <v>223</v>
      </c>
      <c r="D21" s="68" t="s">
        <v>188</v>
      </c>
      <c r="E21" s="69">
        <f>2670+110</f>
        <v>2780</v>
      </c>
      <c r="F21" s="70" t="s">
        <v>219</v>
      </c>
    </row>
    <row r="22" spans="1:6" ht="16.5" customHeight="1" x14ac:dyDescent="0.3">
      <c r="A22" s="65">
        <v>20</v>
      </c>
      <c r="B22" s="66">
        <v>354423233841580</v>
      </c>
      <c r="C22" s="67" t="s">
        <v>224</v>
      </c>
      <c r="D22" s="71" t="s">
        <v>44</v>
      </c>
      <c r="E22" s="69">
        <v>2530</v>
      </c>
      <c r="F22" s="70" t="s">
        <v>219</v>
      </c>
    </row>
    <row r="23" spans="1:6" ht="16.5" customHeight="1" x14ac:dyDescent="0.3">
      <c r="A23" s="65">
        <v>21</v>
      </c>
      <c r="B23" s="66">
        <v>351895498668035</v>
      </c>
      <c r="C23" s="67" t="s">
        <v>225</v>
      </c>
      <c r="D23" s="68" t="s">
        <v>188</v>
      </c>
      <c r="E23" s="69">
        <v>2020</v>
      </c>
      <c r="F23" s="70" t="s">
        <v>219</v>
      </c>
    </row>
    <row r="24" spans="1:6" ht="16.5" customHeight="1" x14ac:dyDescent="0.3">
      <c r="A24" s="65">
        <v>22</v>
      </c>
      <c r="B24" s="66">
        <v>356043388574774</v>
      </c>
      <c r="C24" s="67" t="s">
        <v>225</v>
      </c>
      <c r="D24" s="71" t="s">
        <v>44</v>
      </c>
      <c r="E24" s="69">
        <f>2020-50</f>
        <v>1970</v>
      </c>
      <c r="F24" s="70" t="s">
        <v>219</v>
      </c>
    </row>
    <row r="25" spans="1:6" ht="16.5" customHeight="1" x14ac:dyDescent="0.3">
      <c r="A25" s="65">
        <v>23</v>
      </c>
      <c r="B25" s="66">
        <v>351827500177366</v>
      </c>
      <c r="C25" s="67" t="s">
        <v>225</v>
      </c>
      <c r="D25" s="68" t="s">
        <v>188</v>
      </c>
      <c r="E25" s="69">
        <v>2020</v>
      </c>
      <c r="F25" s="70" t="s">
        <v>219</v>
      </c>
    </row>
    <row r="26" spans="1:6" ht="16.5" customHeight="1" x14ac:dyDescent="0.3">
      <c r="A26" s="65">
        <v>24</v>
      </c>
      <c r="B26" s="66">
        <v>358282724841194</v>
      </c>
      <c r="C26" s="67" t="s">
        <v>225</v>
      </c>
      <c r="D26" s="71" t="s">
        <v>44</v>
      </c>
      <c r="E26" s="69">
        <v>1970</v>
      </c>
      <c r="F26" s="70" t="s">
        <v>219</v>
      </c>
    </row>
    <row r="27" spans="1:6" ht="16.5" customHeight="1" x14ac:dyDescent="0.3">
      <c r="A27" s="65">
        <v>25</v>
      </c>
      <c r="B27" s="66">
        <v>351895496103696</v>
      </c>
      <c r="C27" s="67" t="s">
        <v>226</v>
      </c>
      <c r="D27" s="71" t="s">
        <v>44</v>
      </c>
      <c r="E27" s="69">
        <f>2120-50</f>
        <v>2070</v>
      </c>
      <c r="F27" s="70" t="s">
        <v>219</v>
      </c>
    </row>
    <row r="28" spans="1:6" ht="16.5" customHeight="1" x14ac:dyDescent="0.3">
      <c r="A28" s="65">
        <v>26</v>
      </c>
      <c r="B28" s="66">
        <v>358157747604557</v>
      </c>
      <c r="C28" s="67" t="s">
        <v>227</v>
      </c>
      <c r="D28" s="71" t="s">
        <v>44</v>
      </c>
      <c r="E28" s="69">
        <v>2150</v>
      </c>
      <c r="F28" s="70" t="s">
        <v>219</v>
      </c>
    </row>
    <row r="29" spans="1:6" ht="16.5" customHeight="1" x14ac:dyDescent="0.3">
      <c r="A29" s="65">
        <v>27</v>
      </c>
      <c r="B29" s="66">
        <v>358282720853052</v>
      </c>
      <c r="C29" s="67" t="s">
        <v>228</v>
      </c>
      <c r="D29" s="71" t="s">
        <v>44</v>
      </c>
      <c r="E29" s="69">
        <v>2150</v>
      </c>
      <c r="F29" s="70" t="s">
        <v>219</v>
      </c>
    </row>
    <row r="30" spans="1:6" ht="16.5" customHeight="1" x14ac:dyDescent="0.3">
      <c r="A30" s="65">
        <v>28</v>
      </c>
      <c r="B30" s="66">
        <v>357719288913308</v>
      </c>
      <c r="C30" s="67" t="s">
        <v>229</v>
      </c>
      <c r="D30" s="68" t="s">
        <v>188</v>
      </c>
      <c r="E30" s="69">
        <v>2150</v>
      </c>
      <c r="F30" s="70" t="s">
        <v>219</v>
      </c>
    </row>
    <row r="31" spans="1:6" ht="16.5" customHeight="1" x14ac:dyDescent="0.3">
      <c r="A31" s="65">
        <v>29</v>
      </c>
      <c r="B31" s="66">
        <v>356043388276107</v>
      </c>
      <c r="C31" s="67" t="s">
        <v>229</v>
      </c>
      <c r="D31" s="68" t="s">
        <v>188</v>
      </c>
      <c r="E31" s="69">
        <v>2150</v>
      </c>
      <c r="F31" s="70" t="s">
        <v>219</v>
      </c>
    </row>
    <row r="32" spans="1:6" ht="16.5" customHeight="1" x14ac:dyDescent="0.3">
      <c r="A32" s="65">
        <v>30</v>
      </c>
      <c r="B32" s="66">
        <v>357463445758633</v>
      </c>
      <c r="C32" s="67" t="s">
        <v>229</v>
      </c>
      <c r="D32" s="71" t="s">
        <v>44</v>
      </c>
      <c r="E32" s="69">
        <v>2100</v>
      </c>
      <c r="F32" s="70" t="s">
        <v>219</v>
      </c>
    </row>
    <row r="33" spans="1:6" ht="16.5" customHeight="1" x14ac:dyDescent="0.3">
      <c r="A33" s="65">
        <v>31</v>
      </c>
      <c r="B33" s="66">
        <v>356043388481665</v>
      </c>
      <c r="C33" s="67" t="s">
        <v>229</v>
      </c>
      <c r="D33" s="68" t="s">
        <v>188</v>
      </c>
      <c r="E33" s="69">
        <v>2150</v>
      </c>
      <c r="F33" s="70" t="s">
        <v>219</v>
      </c>
    </row>
    <row r="34" spans="1:6" ht="16.5" customHeight="1" x14ac:dyDescent="0.3">
      <c r="A34" s="65">
        <v>32</v>
      </c>
      <c r="B34" s="66">
        <v>354959416605839</v>
      </c>
      <c r="C34" s="67" t="s">
        <v>229</v>
      </c>
      <c r="D34" s="71" t="s">
        <v>44</v>
      </c>
      <c r="E34" s="69">
        <v>2100</v>
      </c>
      <c r="F34" s="70" t="s">
        <v>219</v>
      </c>
    </row>
    <row r="35" spans="1:6" ht="16.5" customHeight="1" x14ac:dyDescent="0.3">
      <c r="A35" s="65">
        <v>33</v>
      </c>
      <c r="B35" s="66">
        <v>356043387379886</v>
      </c>
      <c r="C35" s="67" t="s">
        <v>230</v>
      </c>
      <c r="D35" s="68" t="s">
        <v>188</v>
      </c>
      <c r="E35" s="69">
        <v>2250</v>
      </c>
      <c r="F35" s="70" t="s">
        <v>219</v>
      </c>
    </row>
    <row r="36" spans="1:6" ht="16.5" customHeight="1" x14ac:dyDescent="0.3">
      <c r="A36" s="65">
        <v>34</v>
      </c>
      <c r="B36" s="66">
        <v>359072848821829</v>
      </c>
      <c r="C36" s="67" t="s">
        <v>231</v>
      </c>
      <c r="D36" s="68" t="s">
        <v>188</v>
      </c>
      <c r="E36" s="69">
        <v>2100</v>
      </c>
      <c r="F36" s="70" t="s">
        <v>219</v>
      </c>
    </row>
    <row r="37" spans="1:6" ht="16.5" customHeight="1" x14ac:dyDescent="0.3">
      <c r="A37" s="65">
        <v>35</v>
      </c>
      <c r="B37" s="72">
        <v>350169645154914</v>
      </c>
      <c r="C37" s="73" t="s">
        <v>232</v>
      </c>
      <c r="D37" s="74" t="s">
        <v>44</v>
      </c>
      <c r="E37" s="75">
        <v>0</v>
      </c>
      <c r="F37" s="76" t="s">
        <v>233</v>
      </c>
    </row>
    <row r="38" spans="1:6" ht="16.5" customHeight="1" x14ac:dyDescent="0.3">
      <c r="A38" s="65">
        <v>36</v>
      </c>
      <c r="B38" s="66">
        <v>358712821642194</v>
      </c>
      <c r="C38" s="67" t="s">
        <v>234</v>
      </c>
      <c r="D38" s="68" t="s">
        <v>188</v>
      </c>
      <c r="E38" s="69">
        <v>2050</v>
      </c>
      <c r="F38" s="70" t="s">
        <v>219</v>
      </c>
    </row>
    <row r="39" spans="1:6" ht="16.5" customHeight="1" x14ac:dyDescent="0.3">
      <c r="A39" s="65">
        <v>37</v>
      </c>
      <c r="B39" s="66">
        <v>358345392856594</v>
      </c>
      <c r="C39" s="67" t="s">
        <v>235</v>
      </c>
      <c r="D39" s="68" t="s">
        <v>188</v>
      </c>
      <c r="E39" s="69">
        <v>600</v>
      </c>
      <c r="F39" s="70" t="s">
        <v>219</v>
      </c>
    </row>
    <row r="40" spans="1:6" ht="16.5" customHeight="1" x14ac:dyDescent="0.3">
      <c r="A40" s="65">
        <v>38</v>
      </c>
      <c r="B40" s="66">
        <v>352628750256051</v>
      </c>
      <c r="C40" s="67" t="s">
        <v>236</v>
      </c>
      <c r="D40" s="68" t="s">
        <v>188</v>
      </c>
      <c r="E40" s="69">
        <v>3350</v>
      </c>
      <c r="F40" s="70" t="s">
        <v>219</v>
      </c>
    </row>
    <row r="41" spans="1:6" ht="16.5" customHeight="1" x14ac:dyDescent="0.3">
      <c r="A41" s="65">
        <v>39</v>
      </c>
      <c r="B41" s="72">
        <v>355205565914997</v>
      </c>
      <c r="C41" s="73" t="s">
        <v>237</v>
      </c>
      <c r="D41" s="77" t="s">
        <v>188</v>
      </c>
      <c r="E41" s="75" t="s">
        <v>219</v>
      </c>
      <c r="F41" s="76" t="s">
        <v>233</v>
      </c>
    </row>
    <row r="42" spans="1:6" ht="16.5" customHeight="1" x14ac:dyDescent="0.3">
      <c r="A42" s="65">
        <v>40</v>
      </c>
      <c r="B42" s="66">
        <v>352302619790334</v>
      </c>
      <c r="C42" s="67" t="s">
        <v>237</v>
      </c>
      <c r="D42" s="71" t="s">
        <v>44</v>
      </c>
      <c r="E42" s="69">
        <v>1200</v>
      </c>
      <c r="F42" s="70" t="s">
        <v>219</v>
      </c>
    </row>
    <row r="43" spans="1:6" ht="16.5" customHeight="1" x14ac:dyDescent="0.3">
      <c r="A43" s="65">
        <v>41</v>
      </c>
      <c r="B43" s="66">
        <v>357241838719549</v>
      </c>
      <c r="C43" s="67" t="s">
        <v>238</v>
      </c>
      <c r="D43" s="68" t="s">
        <v>188</v>
      </c>
      <c r="E43" s="69">
        <v>2250</v>
      </c>
      <c r="F43" s="70" t="s">
        <v>219</v>
      </c>
    </row>
    <row r="44" spans="1:6" ht="16.5" customHeight="1" x14ac:dyDescent="0.3">
      <c r="A44" s="65">
        <v>42</v>
      </c>
      <c r="B44" s="66">
        <v>357241837289726</v>
      </c>
      <c r="C44" s="67" t="s">
        <v>238</v>
      </c>
      <c r="D44" s="68" t="s">
        <v>188</v>
      </c>
      <c r="E44" s="69">
        <v>2250</v>
      </c>
      <c r="F44" s="70" t="s">
        <v>219</v>
      </c>
    </row>
    <row r="45" spans="1:6" ht="16.5" customHeight="1" x14ac:dyDescent="0.3">
      <c r="A45" s="65">
        <v>43</v>
      </c>
      <c r="B45" s="66">
        <v>357241838349610</v>
      </c>
      <c r="C45" s="67" t="s">
        <v>238</v>
      </c>
      <c r="D45" s="68" t="s">
        <v>188</v>
      </c>
      <c r="E45" s="69">
        <v>2250</v>
      </c>
      <c r="F45" s="70" t="s">
        <v>219</v>
      </c>
    </row>
    <row r="46" spans="1:6" ht="16.5" customHeight="1" x14ac:dyDescent="0.3">
      <c r="A46" s="65">
        <v>44</v>
      </c>
      <c r="B46" s="78" t="s">
        <v>219</v>
      </c>
      <c r="C46" s="67" t="s">
        <v>239</v>
      </c>
      <c r="D46" s="79" t="s">
        <v>219</v>
      </c>
      <c r="E46" s="69">
        <v>1920</v>
      </c>
      <c r="F46" s="70" t="s">
        <v>219</v>
      </c>
    </row>
    <row r="47" spans="1:6" ht="16.5" customHeight="1" x14ac:dyDescent="0.3">
      <c r="A47" s="65">
        <v>45</v>
      </c>
      <c r="B47" s="78" t="s">
        <v>219</v>
      </c>
      <c r="C47" s="67" t="s">
        <v>239</v>
      </c>
      <c r="D47" s="79" t="s">
        <v>219</v>
      </c>
      <c r="E47" s="69">
        <v>1920</v>
      </c>
      <c r="F47" s="70" t="s">
        <v>219</v>
      </c>
    </row>
    <row r="48" spans="1:6" ht="16.5" customHeight="1" x14ac:dyDescent="0.3">
      <c r="A48" s="65">
        <v>46</v>
      </c>
      <c r="B48" s="78" t="s">
        <v>219</v>
      </c>
      <c r="C48" s="67" t="s">
        <v>239</v>
      </c>
      <c r="D48" s="79" t="s">
        <v>219</v>
      </c>
      <c r="E48" s="69">
        <v>1920</v>
      </c>
      <c r="F48" s="70" t="s">
        <v>219</v>
      </c>
    </row>
    <row r="49" spans="1:6" ht="16.5" customHeight="1" x14ac:dyDescent="0.3">
      <c r="A49" s="65">
        <v>47</v>
      </c>
      <c r="B49" s="78" t="s">
        <v>219</v>
      </c>
      <c r="C49" s="67" t="s">
        <v>239</v>
      </c>
      <c r="D49" s="79" t="s">
        <v>219</v>
      </c>
      <c r="E49" s="69">
        <v>1920</v>
      </c>
      <c r="F49" s="70" t="s">
        <v>219</v>
      </c>
    </row>
    <row r="50" spans="1:6" ht="16.5" customHeight="1" x14ac:dyDescent="0.3">
      <c r="A50" s="65">
        <v>48</v>
      </c>
      <c r="B50" s="78" t="s">
        <v>219</v>
      </c>
      <c r="C50" s="67" t="s">
        <v>239</v>
      </c>
      <c r="D50" s="79" t="s">
        <v>219</v>
      </c>
      <c r="E50" s="69">
        <v>1920</v>
      </c>
      <c r="F50" s="70" t="s">
        <v>219</v>
      </c>
    </row>
    <row r="51" spans="1:6" ht="16.5" customHeight="1" x14ac:dyDescent="0.3">
      <c r="A51" s="65">
        <v>49</v>
      </c>
      <c r="B51" s="78" t="s">
        <v>219</v>
      </c>
      <c r="C51" s="67" t="s">
        <v>239</v>
      </c>
      <c r="D51" s="79" t="s">
        <v>219</v>
      </c>
      <c r="E51" s="69">
        <v>1920</v>
      </c>
      <c r="F51" s="70" t="s">
        <v>219</v>
      </c>
    </row>
    <row r="52" spans="1:6" ht="16.5" customHeight="1" x14ac:dyDescent="0.3">
      <c r="A52" s="65">
        <v>50</v>
      </c>
      <c r="B52" s="78" t="s">
        <v>219</v>
      </c>
      <c r="C52" s="67" t="s">
        <v>239</v>
      </c>
      <c r="D52" s="79" t="s">
        <v>219</v>
      </c>
      <c r="E52" s="69">
        <v>1920</v>
      </c>
      <c r="F52" s="70" t="s">
        <v>219</v>
      </c>
    </row>
    <row r="53" spans="1:6" ht="16.5" customHeight="1" x14ac:dyDescent="0.3">
      <c r="A53" s="65">
        <v>51</v>
      </c>
      <c r="B53" s="78" t="s">
        <v>219</v>
      </c>
      <c r="C53" s="67" t="s">
        <v>239</v>
      </c>
      <c r="D53" s="79" t="s">
        <v>219</v>
      </c>
      <c r="E53" s="69">
        <v>1920</v>
      </c>
      <c r="F53" s="70" t="s">
        <v>219</v>
      </c>
    </row>
    <row r="54" spans="1:6" ht="16.5" customHeight="1" x14ac:dyDescent="0.3">
      <c r="A54" s="65">
        <v>52</v>
      </c>
      <c r="B54" s="78" t="s">
        <v>219</v>
      </c>
      <c r="C54" s="67" t="s">
        <v>239</v>
      </c>
      <c r="D54" s="79" t="s">
        <v>219</v>
      </c>
      <c r="E54" s="69">
        <v>1920</v>
      </c>
      <c r="F54" s="70" t="s">
        <v>219</v>
      </c>
    </row>
    <row r="55" spans="1:6" ht="16.5" customHeight="1" x14ac:dyDescent="0.3">
      <c r="A55" s="65">
        <v>53</v>
      </c>
      <c r="B55" s="78" t="s">
        <v>219</v>
      </c>
      <c r="C55" s="67" t="s">
        <v>239</v>
      </c>
      <c r="D55" s="79" t="s">
        <v>219</v>
      </c>
      <c r="E55" s="69">
        <v>1920</v>
      </c>
      <c r="F55" s="70" t="s">
        <v>219</v>
      </c>
    </row>
    <row r="56" spans="1:6" ht="16.5" customHeight="1" x14ac:dyDescent="0.3">
      <c r="A56" s="65">
        <v>54</v>
      </c>
      <c r="B56" s="78" t="s">
        <v>219</v>
      </c>
      <c r="C56" s="67" t="s">
        <v>240</v>
      </c>
      <c r="D56" s="79" t="s">
        <v>219</v>
      </c>
      <c r="E56" s="69">
        <v>3250</v>
      </c>
      <c r="F56" s="70" t="s">
        <v>219</v>
      </c>
    </row>
    <row r="57" spans="1:6" ht="16.5" customHeight="1" x14ac:dyDescent="0.3">
      <c r="A57" s="65">
        <v>55</v>
      </c>
      <c r="B57" s="78" t="s">
        <v>219</v>
      </c>
      <c r="C57" s="67" t="s">
        <v>241</v>
      </c>
      <c r="D57" s="79" t="s">
        <v>219</v>
      </c>
      <c r="E57" s="69">
        <v>0</v>
      </c>
      <c r="F57" s="70" t="s">
        <v>192</v>
      </c>
    </row>
    <row r="58" spans="1:6" ht="16.5" customHeight="1" x14ac:dyDescent="0.3">
      <c r="A58" s="65">
        <v>56</v>
      </c>
      <c r="B58" s="66">
        <v>35229443522597</v>
      </c>
      <c r="C58" s="67" t="s">
        <v>242</v>
      </c>
      <c r="D58" s="79" t="s">
        <v>219</v>
      </c>
      <c r="E58" s="69" t="s">
        <v>219</v>
      </c>
      <c r="F58" s="76" t="s">
        <v>233</v>
      </c>
    </row>
    <row r="59" spans="1:6" ht="16.5" customHeight="1" x14ac:dyDescent="0.3">
      <c r="A59" s="65">
        <v>57</v>
      </c>
      <c r="B59" s="66" t="s">
        <v>243</v>
      </c>
      <c r="C59" s="67" t="s">
        <v>244</v>
      </c>
      <c r="D59" s="71" t="s">
        <v>188</v>
      </c>
      <c r="E59" s="69" t="s">
        <v>219</v>
      </c>
      <c r="F59" s="76" t="s">
        <v>233</v>
      </c>
    </row>
    <row r="60" spans="1:6" ht="16.5" customHeight="1" x14ac:dyDescent="0.3">
      <c r="A60" s="65">
        <v>58</v>
      </c>
      <c r="B60" s="66" t="s">
        <v>245</v>
      </c>
      <c r="C60" s="67" t="s">
        <v>244</v>
      </c>
      <c r="D60" s="71" t="s">
        <v>188</v>
      </c>
      <c r="E60" s="69" t="s">
        <v>219</v>
      </c>
      <c r="F60" s="76" t="s">
        <v>233</v>
      </c>
    </row>
    <row r="61" spans="1:6" ht="16.5" customHeight="1" x14ac:dyDescent="0.3">
      <c r="A61" s="65">
        <v>59</v>
      </c>
      <c r="B61" s="66">
        <v>354210972418138</v>
      </c>
      <c r="C61" s="67" t="s">
        <v>218</v>
      </c>
      <c r="D61" s="79" t="s">
        <v>219</v>
      </c>
      <c r="E61" s="69" t="s">
        <v>219</v>
      </c>
      <c r="F61" s="76" t="s">
        <v>233</v>
      </c>
    </row>
    <row r="62" spans="1:6" ht="16.5" customHeight="1" x14ac:dyDescent="0.3">
      <c r="A62" s="65">
        <v>60</v>
      </c>
      <c r="B62" s="66">
        <v>351614406888571</v>
      </c>
      <c r="C62" s="67" t="s">
        <v>220</v>
      </c>
      <c r="D62" s="79" t="s">
        <v>219</v>
      </c>
      <c r="E62" s="69" t="s">
        <v>219</v>
      </c>
      <c r="F62" s="76" t="s">
        <v>233</v>
      </c>
    </row>
    <row r="63" spans="1:6" ht="16.5" customHeight="1" x14ac:dyDescent="0.3">
      <c r="A63" s="65">
        <v>61</v>
      </c>
      <c r="B63" s="66">
        <v>355469926971977</v>
      </c>
      <c r="C63" s="67" t="s">
        <v>220</v>
      </c>
      <c r="D63" s="79" t="s">
        <v>219</v>
      </c>
      <c r="E63" s="69" t="s">
        <v>219</v>
      </c>
      <c r="F63" s="76" t="s">
        <v>233</v>
      </c>
    </row>
    <row r="64" spans="1:6" ht="16.5" customHeight="1" x14ac:dyDescent="0.3">
      <c r="A64" s="65">
        <v>62</v>
      </c>
      <c r="B64" s="66">
        <v>355008184472341</v>
      </c>
      <c r="C64" s="67" t="s">
        <v>218</v>
      </c>
      <c r="D64" s="79" t="s">
        <v>219</v>
      </c>
      <c r="E64" s="69" t="s">
        <v>219</v>
      </c>
      <c r="F64" s="76" t="s">
        <v>233</v>
      </c>
    </row>
    <row r="65" spans="1:6" ht="16.5" customHeight="1" x14ac:dyDescent="0.3">
      <c r="A65" s="65">
        <v>63</v>
      </c>
      <c r="B65" s="66">
        <v>352844977691735</v>
      </c>
      <c r="C65" s="67" t="s">
        <v>218</v>
      </c>
      <c r="D65" s="79" t="s">
        <v>219</v>
      </c>
      <c r="E65" s="69" t="s">
        <v>219</v>
      </c>
      <c r="F65" s="76" t="s">
        <v>233</v>
      </c>
    </row>
    <row r="66" spans="1:6" ht="16.5" customHeight="1" x14ac:dyDescent="0.3">
      <c r="A66" s="80"/>
      <c r="B66" s="80"/>
      <c r="C66" s="80"/>
      <c r="D66" s="80"/>
      <c r="E66" s="69">
        <f>SUM(E3:E65)</f>
        <v>116430</v>
      </c>
      <c r="F66" s="80"/>
    </row>
    <row r="67" spans="1:6" ht="16.5" customHeight="1" x14ac:dyDescent="0.3">
      <c r="C6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 (2)</vt:lpstr>
      <vt:lpstr>Invoice 19</vt:lpstr>
      <vt:lpstr>Sheet1</vt:lpstr>
      <vt:lpstr>Invoice 20</vt:lpstr>
      <vt:lpstr>Invoice 21</vt:lpstr>
      <vt:lpstr>Invoice 22</vt:lpstr>
      <vt:lpstr>Invoice 23</vt:lpstr>
      <vt:lpstr>INVOICE 24</vt:lpstr>
      <vt:lpstr>INVOICE 25</vt:lpstr>
      <vt:lpstr>INOIVCE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 Farooqui</dc:creator>
  <cp:lastModifiedBy>Swiss Tech</cp:lastModifiedBy>
  <dcterms:created xsi:type="dcterms:W3CDTF">2025-08-01T21:58:09Z</dcterms:created>
  <dcterms:modified xsi:type="dcterms:W3CDTF">2025-12-29T18:22:48Z</dcterms:modified>
</cp:coreProperties>
</file>