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"/>
    </mc:Choice>
  </mc:AlternateContent>
  <xr:revisionPtr revIDLastSave="0" documentId="13_ncr:1_{0047DF87-20F8-4761-B2F6-D38251C06F99}" xr6:coauthVersionLast="47" xr6:coauthVersionMax="47" xr10:uidLastSave="{00000000-0000-0000-0000-000000000000}"/>
  <bookViews>
    <workbookView xWindow="-108" yWindow="-108" windowWidth="23256" windowHeight="13896" xr2:uid="{1EEEF8D2-8383-44A9-8A7B-5E5A9FC46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1" l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<sst xmlns="http://schemas.openxmlformats.org/spreadsheetml/2006/main" count="35" uniqueCount="26">
  <si>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</si>
  <si>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</si>
  <si>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</si>
  <si>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</si>
  <si>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</si>
  <si>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</si>
  <si>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</si>
  <si>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 xml:space="preserve">Instax mini EVO Black Noel Leeming </t>
  </si>
  <si>
    <t>G7x Mark III Black Auckland Camera</t>
  </si>
  <si>
    <t>G7x Mark III Black Photo Warehouse Online</t>
  </si>
  <si>
    <t>G7x Mark III Black Progear Online</t>
  </si>
  <si>
    <t>Instax mini EVO Black Noel Leeming</t>
  </si>
  <si>
    <t xml:space="preserve">Starlink V4 Noel Leeming </t>
  </si>
  <si>
    <t>Mark III Silver</t>
  </si>
  <si>
    <t>Mark III Black</t>
  </si>
  <si>
    <t>SX740</t>
  </si>
  <si>
    <t>Starlink V4 Bunnings</t>
  </si>
  <si>
    <t xml:space="preserve">Starlink V4 Bunnings </t>
  </si>
  <si>
    <t xml:space="preserve">Starlink V4 Harvey Norman </t>
  </si>
  <si>
    <t xml:space="preserve">Canon SX740 Pro Gear </t>
  </si>
  <si>
    <t xml:space="preserve">Canon SX740 Progear Online </t>
  </si>
  <si>
    <t xml:space="preserve">Canon SX740 Photo Warehouse Online </t>
  </si>
  <si>
    <t xml:space="preserve">Canon SX740 Rubber Monkey </t>
  </si>
  <si>
    <t xml:space="preserve">Instax mini EVO Brown Noel Leeming </t>
  </si>
  <si>
    <t xml:space="preserve">G7X Mark III Photo Warehouse </t>
  </si>
  <si>
    <t xml:space="preserve">G7X Mark III  Progear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</si>
</sst>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6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4" fontId="0" fillId="4" borderId="6" xfId="0" applyNumberFormat="1" applyFill="1" applyBorder="1" applyAlignment="1">
      <alignment horizontal="center"/>
    </xf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052C-23E1-4362-B64E-85ACAB426D1B}">
  <dimension ref="A1:F31"/>
  <sheetViews>
    <sheetView tabSelected="1" topLeftCell="A6" workbookViewId="0">
      <selection activeCell="D34" sqref="D34"/>
    </sheetView>
  </sheetViews>
  <sheetFormatPr defaultRowHeight="14.4" x14ac:dyDescent="0.3"/>
  <cols>
    <col min="1" max="1" width="12.77734375" customWidth="1"/>
    <col min="2" max="2" width="56.77734375" customWidth="1"/>
    <col min="4" max="4" width="13.5546875" customWidth="1"/>
    <col min="5" max="5" width="11.44140625" customWidth="1"/>
    <col min="6" max="6" width="15.109375" customWidth="1"/>
  </cols>
  <sheetData>
    <row r="1" spans="1:6" ht="21" x14ac:dyDescent="0.4">
      <c r="A1" s="1" t="s">
        <v>0</v>
      </c>
      <c r="B1" s="1"/>
      <c r="C1" s="1"/>
      <c r="D1" s="1"/>
      <c r="E1" s="1"/>
      <c r="F1" s="1"/>
    </row>
    <row r="2" spans="1:6" ht="1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x14ac:dyDescent="0.3">
      <c r="A3" s="13">
        <v>45873</v>
      </c>
      <c r="B3" s="4" t="s">
        <v>7</v>
      </c>
      <c r="C3" s="5">
        <v>50</v>
      </c>
      <c r="D3" s="14">
        <v>329</v>
      </c>
      <c r="E3" s="5">
        <f t="shared" ref="E3:E23" si="0">D3*C3</f>
        <v>16450</v>
      </c>
      <c r="F3" s="6">
        <f t="shared" ref="F3:F30" si="1">E3*13.04/100</f>
        <v>2145.08</v>
      </c>
    </row>
    <row r="4" spans="1:6" x14ac:dyDescent="0.3">
      <c r="A4" s="13">
        <v>45874</v>
      </c>
      <c r="B4" s="4" t="s">
        <v>8</v>
      </c>
      <c r="C4" s="5">
        <v>1</v>
      </c>
      <c r="D4" s="14">
        <v>1449</v>
      </c>
      <c r="E4" s="5">
        <f t="shared" si="0"/>
        <v>1449</v>
      </c>
      <c r="F4" s="6">
        <f t="shared" si="1"/>
        <v>188.9496</v>
      </c>
    </row>
    <row r="5" spans="1:6" x14ac:dyDescent="0.3">
      <c r="A5" s="13">
        <v>45874</v>
      </c>
      <c r="B5" s="4" t="s">
        <v>9</v>
      </c>
      <c r="C5" s="5">
        <v>1</v>
      </c>
      <c r="D5" s="14">
        <v>1449</v>
      </c>
      <c r="E5" s="5">
        <f t="shared" si="0"/>
        <v>1449</v>
      </c>
      <c r="F5" s="6">
        <f t="shared" si="1"/>
        <v>188.9496</v>
      </c>
    </row>
    <row r="6" spans="1:6" x14ac:dyDescent="0.3">
      <c r="A6" s="13">
        <v>45874</v>
      </c>
      <c r="B6" s="4" t="s">
        <v>10</v>
      </c>
      <c r="C6" s="5">
        <v>2</v>
      </c>
      <c r="D6" s="14">
        <v>1449</v>
      </c>
      <c r="E6" s="5">
        <f t="shared" si="0"/>
        <v>2898</v>
      </c>
      <c r="F6" s="6">
        <f t="shared" si="1"/>
        <v>377.89920000000001</v>
      </c>
    </row>
    <row r="7" spans="1:6" x14ac:dyDescent="0.3">
      <c r="A7" s="13">
        <v>45876</v>
      </c>
      <c r="B7" s="4" t="s">
        <v>16</v>
      </c>
      <c r="C7" s="5">
        <v>4</v>
      </c>
      <c r="D7" s="5">
        <v>299</v>
      </c>
      <c r="E7" s="5">
        <f t="shared" si="0"/>
        <v>1196</v>
      </c>
      <c r="F7" s="6">
        <f t="shared" si="1"/>
        <v>155.95839999999998</v>
      </c>
    </row>
    <row r="8" spans="1:6" x14ac:dyDescent="0.3">
      <c r="A8" s="13">
        <v>45876</v>
      </c>
      <c r="B8" s="4" t="s">
        <v>17</v>
      </c>
      <c r="C8" s="5">
        <v>2</v>
      </c>
      <c r="D8" s="5">
        <v>299</v>
      </c>
      <c r="E8" s="5">
        <f t="shared" si="0"/>
        <v>598</v>
      </c>
      <c r="F8" s="6">
        <f t="shared" si="1"/>
        <v>77.979199999999992</v>
      </c>
    </row>
    <row r="9" spans="1:6" x14ac:dyDescent="0.3">
      <c r="A9" s="13">
        <v>45876</v>
      </c>
      <c r="B9" s="4" t="s">
        <v>17</v>
      </c>
      <c r="C9" s="5">
        <v>2</v>
      </c>
      <c r="D9" s="5">
        <v>299</v>
      </c>
      <c r="E9" s="5">
        <f t="shared" si="0"/>
        <v>598</v>
      </c>
      <c r="F9" s="6">
        <f t="shared" si="1"/>
        <v>77.979199999999992</v>
      </c>
    </row>
    <row r="10" spans="1:6" x14ac:dyDescent="0.3">
      <c r="A10" s="13">
        <v>45876</v>
      </c>
      <c r="B10" s="4" t="s">
        <v>17</v>
      </c>
      <c r="C10" s="5">
        <v>7</v>
      </c>
      <c r="D10" s="5">
        <v>299</v>
      </c>
      <c r="E10" s="5">
        <f t="shared" si="0"/>
        <v>2093</v>
      </c>
      <c r="F10" s="6">
        <f t="shared" si="1"/>
        <v>272.92719999999997</v>
      </c>
    </row>
    <row r="11" spans="1:6" x14ac:dyDescent="0.3">
      <c r="A11" s="13">
        <v>45876</v>
      </c>
      <c r="B11" s="4" t="s">
        <v>17</v>
      </c>
      <c r="C11" s="5">
        <v>8</v>
      </c>
      <c r="D11" s="5">
        <v>299</v>
      </c>
      <c r="E11" s="5">
        <f t="shared" si="0"/>
        <v>2392</v>
      </c>
      <c r="F11" s="6">
        <f t="shared" si="1"/>
        <v>311.91679999999997</v>
      </c>
    </row>
    <row r="12" spans="1:6" x14ac:dyDescent="0.3">
      <c r="A12" s="13">
        <v>45876</v>
      </c>
      <c r="B12" s="4" t="s">
        <v>16</v>
      </c>
      <c r="C12" s="5">
        <v>20</v>
      </c>
      <c r="D12" s="5">
        <v>299</v>
      </c>
      <c r="E12" s="5">
        <f t="shared" si="0"/>
        <v>5980</v>
      </c>
      <c r="F12" s="6">
        <f t="shared" si="1"/>
        <v>779.79199999999992</v>
      </c>
    </row>
    <row r="13" spans="1:6" x14ac:dyDescent="0.3">
      <c r="A13" s="13">
        <v>45876</v>
      </c>
      <c r="B13" s="4" t="s">
        <v>17</v>
      </c>
      <c r="C13" s="5">
        <v>26</v>
      </c>
      <c r="D13" s="5">
        <v>299</v>
      </c>
      <c r="E13" s="5">
        <f t="shared" si="0"/>
        <v>7774</v>
      </c>
      <c r="F13" s="6">
        <f t="shared" si="1"/>
        <v>1013.7295999999999</v>
      </c>
    </row>
    <row r="14" spans="1:6" x14ac:dyDescent="0.3">
      <c r="A14" s="13">
        <v>45876</v>
      </c>
      <c r="B14" s="4" t="s">
        <v>17</v>
      </c>
      <c r="C14" s="5">
        <v>40</v>
      </c>
      <c r="D14" s="5">
        <v>299</v>
      </c>
      <c r="E14" s="5">
        <f t="shared" si="0"/>
        <v>11960</v>
      </c>
      <c r="F14" s="6">
        <f t="shared" si="1"/>
        <v>1559.5839999999998</v>
      </c>
    </row>
    <row r="15" spans="1:6" x14ac:dyDescent="0.3">
      <c r="A15" s="13">
        <v>45877</v>
      </c>
      <c r="B15" s="4" t="s">
        <v>18</v>
      </c>
      <c r="C15" s="5">
        <v>2</v>
      </c>
      <c r="D15" s="5">
        <v>299</v>
      </c>
      <c r="E15" s="7">
        <f t="shared" si="0"/>
        <v>598</v>
      </c>
      <c r="F15" s="8">
        <f t="shared" si="1"/>
        <v>77.979199999999992</v>
      </c>
    </row>
    <row r="16" spans="1:6" x14ac:dyDescent="0.3">
      <c r="A16" s="13">
        <v>45889</v>
      </c>
      <c r="B16" s="4" t="s">
        <v>19</v>
      </c>
      <c r="C16" s="5">
        <v>5</v>
      </c>
      <c r="D16" s="5">
        <v>779.9</v>
      </c>
      <c r="E16" s="5">
        <f t="shared" si="0"/>
        <v>3899.5</v>
      </c>
      <c r="F16" s="9">
        <f t="shared" si="1"/>
        <v>508.49479999999994</v>
      </c>
    </row>
    <row r="17" spans="1:6" x14ac:dyDescent="0.3">
      <c r="A17" s="13">
        <v>45889</v>
      </c>
      <c r="B17" s="4" t="s">
        <v>20</v>
      </c>
      <c r="C17" s="5">
        <v>1</v>
      </c>
      <c r="D17" s="5">
        <v>779.9</v>
      </c>
      <c r="E17" s="5">
        <f t="shared" si="0"/>
        <v>779.9</v>
      </c>
      <c r="F17" s="9">
        <f t="shared" si="1"/>
        <v>101.69895999999999</v>
      </c>
    </row>
    <row r="18" spans="1:6" x14ac:dyDescent="0.3">
      <c r="A18" s="13">
        <v>45889</v>
      </c>
      <c r="B18" s="4" t="s">
        <v>21</v>
      </c>
      <c r="C18" s="5">
        <v>1</v>
      </c>
      <c r="D18" s="5">
        <v>775</v>
      </c>
      <c r="E18" s="5">
        <f t="shared" si="0"/>
        <v>775</v>
      </c>
      <c r="F18" s="9">
        <f t="shared" si="1"/>
        <v>101.06</v>
      </c>
    </row>
    <row r="19" spans="1:6" x14ac:dyDescent="0.3">
      <c r="A19" s="13">
        <v>45889</v>
      </c>
      <c r="B19" s="4" t="s">
        <v>22</v>
      </c>
      <c r="C19" s="5">
        <v>4</v>
      </c>
      <c r="D19" s="5">
        <v>750</v>
      </c>
      <c r="E19" s="5">
        <f t="shared" si="0"/>
        <v>3000</v>
      </c>
      <c r="F19" s="9">
        <f t="shared" si="1"/>
        <v>391.2</v>
      </c>
    </row>
    <row r="20" spans="1:6" x14ac:dyDescent="0.3">
      <c r="A20" s="13">
        <v>45895</v>
      </c>
      <c r="B20" s="4" t="s">
        <v>7</v>
      </c>
      <c r="C20" s="5">
        <v>50</v>
      </c>
      <c r="D20" s="5">
        <v>329</v>
      </c>
      <c r="E20" s="5">
        <f t="shared" si="0"/>
        <v>16450</v>
      </c>
      <c r="F20" s="9">
        <f t="shared" si="1"/>
        <v>2145.08</v>
      </c>
    </row>
    <row r="21" spans="1:6" x14ac:dyDescent="0.3">
      <c r="A21" s="13">
        <v>45895</v>
      </c>
      <c r="B21" s="4" t="s">
        <v>23</v>
      </c>
      <c r="C21" s="10">
        <v>50</v>
      </c>
      <c r="D21" s="10">
        <v>329</v>
      </c>
      <c r="E21" s="5">
        <f t="shared" si="0"/>
        <v>16450</v>
      </c>
      <c r="F21" s="9">
        <f t="shared" si="1"/>
        <v>2145.08</v>
      </c>
    </row>
    <row r="22" spans="1:6" x14ac:dyDescent="0.3">
      <c r="A22" s="15">
        <v>45909</v>
      </c>
      <c r="B22" s="11" t="s">
        <v>11</v>
      </c>
      <c r="C22" s="12">
        <v>50</v>
      </c>
      <c r="D22" s="12">
        <v>329</v>
      </c>
      <c r="E22" s="12">
        <f t="shared" si="0"/>
        <v>16450</v>
      </c>
      <c r="F22" s="9">
        <f t="shared" si="1"/>
        <v>2145.08</v>
      </c>
    </row>
    <row r="23" spans="1:6" x14ac:dyDescent="0.3">
      <c r="A23" s="13">
        <v>45909</v>
      </c>
      <c r="B23" s="4" t="s">
        <v>12</v>
      </c>
      <c r="C23" s="5">
        <v>400</v>
      </c>
      <c r="D23" s="5">
        <v>299</v>
      </c>
      <c r="E23" s="5">
        <f t="shared" si="0"/>
        <v>119600</v>
      </c>
      <c r="F23" s="6">
        <f t="shared" si="1"/>
        <v>15595.84</v>
      </c>
    </row>
    <row r="24" spans="1:6" x14ac:dyDescent="0.3">
      <c r="A24" s="13">
        <v>45925</v>
      </c>
      <c r="B24" s="4" t="s">
        <v>13</v>
      </c>
      <c r="C24" s="5">
        <v>2</v>
      </c>
      <c r="D24" s="14">
        <v>1449</v>
      </c>
      <c r="E24" s="5">
        <f>D24*C24</f>
        <v>2898</v>
      </c>
      <c r="F24" s="6">
        <f t="shared" si="1"/>
        <v>377.89920000000001</v>
      </c>
    </row>
    <row r="25" spans="1:6" x14ac:dyDescent="0.3">
      <c r="A25" s="13">
        <v>45926</v>
      </c>
      <c r="B25" s="4" t="s">
        <v>13</v>
      </c>
      <c r="C25" s="5">
        <v>4</v>
      </c>
      <c r="D25" s="14">
        <v>1348</v>
      </c>
      <c r="E25" s="5">
        <f t="shared" ref="E25:E30" si="2">D25*C25</f>
        <v>5392</v>
      </c>
      <c r="F25" s="6">
        <f t="shared" si="1"/>
        <v>703.1167999999999</v>
      </c>
    </row>
    <row r="26" spans="1:6" x14ac:dyDescent="0.3">
      <c r="A26" s="13">
        <v>45926</v>
      </c>
      <c r="B26" s="4" t="s">
        <v>14</v>
      </c>
      <c r="C26" s="5">
        <v>1</v>
      </c>
      <c r="D26" s="14">
        <v>1348</v>
      </c>
      <c r="E26" s="5">
        <f t="shared" si="2"/>
        <v>1348</v>
      </c>
      <c r="F26" s="6">
        <f t="shared" si="1"/>
        <v>175.77919999999997</v>
      </c>
    </row>
    <row r="27" spans="1:6" x14ac:dyDescent="0.3">
      <c r="A27" s="13">
        <v>45926</v>
      </c>
      <c r="B27" s="4" t="s">
        <v>15</v>
      </c>
      <c r="C27" s="5">
        <v>4</v>
      </c>
      <c r="D27" s="14">
        <v>738</v>
      </c>
      <c r="E27" s="5">
        <f t="shared" si="2"/>
        <v>2952</v>
      </c>
      <c r="F27" s="6">
        <f t="shared" si="1"/>
        <v>384.94079999999997</v>
      </c>
    </row>
    <row r="28" spans="1:6" x14ac:dyDescent="0.3">
      <c r="A28" s="13">
        <v>45926</v>
      </c>
      <c r="B28" s="4" t="s">
        <v>13</v>
      </c>
      <c r="C28" s="5">
        <v>5</v>
      </c>
      <c r="D28" s="14">
        <v>1449</v>
      </c>
      <c r="E28" s="5">
        <f t="shared" si="2"/>
        <v>7245</v>
      </c>
      <c r="F28" s="6">
        <f t="shared" si="1"/>
        <v>944.74799999999993</v>
      </c>
    </row>
    <row r="29" spans="1:6" x14ac:dyDescent="0.3">
      <c r="A29" s="13">
        <v>45957</v>
      </c>
      <c r="B29" s="4" t="s">
        <v>24</v>
      </c>
      <c r="C29" s="5">
        <v>1</v>
      </c>
      <c r="D29" s="5">
        <v>1449</v>
      </c>
      <c r="E29" s="5">
        <f t="shared" si="2"/>
        <v>1449</v>
      </c>
      <c r="F29" s="6">
        <f t="shared" si="1"/>
        <v>188.9496</v>
      </c>
    </row>
    <row r="30" spans="1:6" x14ac:dyDescent="0.3">
      <c r="A30" s="13">
        <v>45957</v>
      </c>
      <c r="B30" s="4" t="s">
        <v>25</v>
      </c>
      <c r="C30" s="5">
        <v>2</v>
      </c>
      <c r="D30" s="5">
        <v>1445</v>
      </c>
      <c r="E30" s="5">
        <f t="shared" si="2"/>
        <v>2890</v>
      </c>
      <c r="F30" s="6">
        <f t="shared" si="1"/>
        <v>376.85599999999999</v>
      </c>
    </row>
    <row r="31" spans="1:6" x14ac:dyDescent="0.3">
      <c r="F31" s="16">
        <f>SUM(F3:F30)</f>
        <v>33514.547360000004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2025-10-28T19:26:17Z</dcterms:created>
  <dcterms:modified xsi:type="dcterms:W3CDTF">2025-10-28T19:31:41Z</dcterms:modified>
</cp:coreProperties>
</file>