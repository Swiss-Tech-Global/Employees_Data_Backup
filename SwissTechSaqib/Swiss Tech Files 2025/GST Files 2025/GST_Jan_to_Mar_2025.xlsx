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5300\Documents\GST Files 2025\"/>
    </mc:Choice>
  </mc:AlternateContent>
  <xr:revisionPtr revIDLastSave="0" documentId="13_ncr:1_{587F80C2-89E9-453C-A0FB-AE947E93AEB5}" xr6:coauthVersionLast="47" xr6:coauthVersionMax="47" xr10:uidLastSave="{00000000-0000-0000-0000-000000000000}"/>
  <bookViews>
    <workbookView xWindow="-108" yWindow="-108" windowWidth="23256" windowHeight="13896" xr2:uid="{F919B22D-9ADA-469A-AE19-84D29B7E6F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8" i="1" l="1"/>
  <c r="F128" i="1" s="1"/>
  <c r="E129" i="1"/>
  <c r="F129" i="1"/>
  <c r="E130" i="1"/>
  <c r="F130" i="1" s="1"/>
  <c r="E131" i="1"/>
  <c r="F131" i="1" s="1"/>
  <c r="E132" i="1"/>
  <c r="F132" i="1"/>
  <c r="E133" i="1"/>
  <c r="F133" i="1"/>
  <c r="E134" i="1"/>
  <c r="F134" i="1" s="1"/>
  <c r="E135" i="1"/>
  <c r="F135" i="1"/>
  <c r="E136" i="1"/>
  <c r="F136" i="1"/>
  <c r="E137" i="1"/>
  <c r="F137" i="1"/>
  <c r="E138" i="1"/>
  <c r="F138" i="1"/>
  <c r="E139" i="1"/>
  <c r="F139" i="1"/>
  <c r="E140" i="1"/>
  <c r="F140" i="1"/>
  <c r="E141" i="1"/>
  <c r="F141" i="1"/>
  <c r="E142" i="1"/>
  <c r="F142" i="1"/>
  <c r="E143" i="1"/>
  <c r="F143" i="1"/>
  <c r="E144" i="1"/>
  <c r="F144" i="1"/>
  <c r="E145" i="1"/>
  <c r="F145" i="1"/>
  <c r="E146" i="1"/>
  <c r="F146" i="1"/>
  <c r="E147" i="1"/>
  <c r="F147" i="1"/>
  <c r="E148" i="1"/>
  <c r="F148" i="1"/>
  <c r="E149" i="1"/>
  <c r="F149" i="1"/>
  <c r="E173" i="1"/>
  <c r="F173" i="1" s="1"/>
  <c r="E172" i="1"/>
  <c r="F172" i="1" s="1"/>
  <c r="F171" i="1"/>
  <c r="E171" i="1"/>
  <c r="E170" i="1"/>
  <c r="F170" i="1" s="1"/>
  <c r="E169" i="1"/>
  <c r="F169" i="1" s="1"/>
  <c r="E168" i="1"/>
  <c r="F168" i="1" s="1"/>
  <c r="F167" i="1"/>
  <c r="E167" i="1"/>
  <c r="F166" i="1"/>
  <c r="E166" i="1"/>
  <c r="E165" i="1"/>
  <c r="F165" i="1" s="1"/>
  <c r="E164" i="1"/>
  <c r="F164" i="1" s="1"/>
  <c r="E163" i="1"/>
  <c r="F163" i="1" s="1"/>
  <c r="F162" i="1"/>
  <c r="E162" i="1"/>
  <c r="E161" i="1"/>
  <c r="F161" i="1" s="1"/>
  <c r="E160" i="1"/>
  <c r="F160" i="1" s="1"/>
  <c r="E159" i="1"/>
  <c r="F159" i="1" s="1"/>
  <c r="E158" i="1"/>
  <c r="F158" i="1" s="1"/>
  <c r="E127" i="1"/>
  <c r="F127" i="1" s="1"/>
  <c r="E126" i="1"/>
  <c r="F126" i="1" s="1"/>
  <c r="E125" i="1"/>
  <c r="F125" i="1" s="1"/>
  <c r="E124" i="1"/>
  <c r="F124" i="1" s="1"/>
  <c r="E123" i="1"/>
  <c r="F123" i="1" s="1"/>
  <c r="E122" i="1"/>
  <c r="F122" i="1" s="1"/>
  <c r="F121" i="1"/>
  <c r="E121" i="1"/>
  <c r="E120" i="1"/>
  <c r="F120" i="1" s="1"/>
  <c r="E119" i="1"/>
  <c r="F119" i="1" s="1"/>
  <c r="E118" i="1"/>
  <c r="F118" i="1" s="1"/>
  <c r="F117" i="1"/>
  <c r="E117" i="1"/>
  <c r="F116" i="1"/>
  <c r="E116" i="1"/>
  <c r="E115" i="1"/>
  <c r="F115" i="1" s="1"/>
  <c r="E114" i="1"/>
  <c r="F114" i="1" s="1"/>
  <c r="E113" i="1"/>
  <c r="F113" i="1" s="1"/>
  <c r="F112" i="1"/>
  <c r="E112" i="1"/>
  <c r="E111" i="1"/>
  <c r="F111" i="1" s="1"/>
  <c r="E110" i="1"/>
  <c r="F110" i="1" s="1"/>
  <c r="E109" i="1"/>
  <c r="F109" i="1" s="1"/>
  <c r="E108" i="1"/>
  <c r="F108" i="1" s="1"/>
  <c r="E107" i="1"/>
  <c r="F107" i="1" s="1"/>
  <c r="E106" i="1"/>
  <c r="F106" i="1" s="1"/>
  <c r="E105" i="1"/>
  <c r="F105" i="1" s="1"/>
  <c r="E104" i="1"/>
  <c r="F104" i="1" s="1"/>
  <c r="E103" i="1"/>
  <c r="F103" i="1" s="1"/>
  <c r="E102" i="1"/>
  <c r="F102" i="1" s="1"/>
  <c r="E101" i="1"/>
  <c r="F101" i="1" s="1"/>
  <c r="E100" i="1"/>
  <c r="F100" i="1" s="1"/>
  <c r="E99" i="1"/>
  <c r="F99" i="1" s="1"/>
  <c r="E98" i="1"/>
  <c r="F98" i="1" s="1"/>
  <c r="E97" i="1"/>
  <c r="F97" i="1" s="1"/>
  <c r="F96" i="1"/>
  <c r="E96" i="1"/>
  <c r="E95" i="1"/>
  <c r="F95" i="1" s="1"/>
  <c r="E94" i="1"/>
  <c r="F94" i="1" s="1"/>
  <c r="E93" i="1"/>
  <c r="F93" i="1" s="1"/>
  <c r="F92" i="1"/>
  <c r="E92" i="1"/>
  <c r="E91" i="1"/>
  <c r="F91" i="1" s="1"/>
  <c r="E90" i="1"/>
  <c r="F90" i="1" s="1"/>
  <c r="E89" i="1"/>
  <c r="F89" i="1" s="1"/>
  <c r="E88" i="1"/>
  <c r="F88" i="1" s="1"/>
  <c r="E87" i="1"/>
  <c r="F87" i="1" s="1"/>
  <c r="E86" i="1"/>
  <c r="F86" i="1" s="1"/>
  <c r="E85" i="1"/>
  <c r="F85" i="1" s="1"/>
  <c r="E84" i="1"/>
  <c r="F84" i="1" s="1"/>
  <c r="E83" i="1"/>
  <c r="F83" i="1" s="1"/>
  <c r="E82" i="1"/>
  <c r="F82" i="1" s="1"/>
  <c r="E81" i="1"/>
  <c r="F81" i="1" s="1"/>
  <c r="F80" i="1"/>
  <c r="E80" i="1"/>
  <c r="E79" i="1"/>
  <c r="F79" i="1" s="1"/>
  <c r="E78" i="1"/>
  <c r="F78" i="1" s="1"/>
  <c r="E77" i="1"/>
  <c r="F77" i="1" s="1"/>
  <c r="E76" i="1"/>
  <c r="F76" i="1" s="1"/>
  <c r="E75" i="1"/>
  <c r="F75" i="1" s="1"/>
  <c r="E74" i="1"/>
  <c r="F74" i="1" s="1"/>
  <c r="E73" i="1"/>
  <c r="F73" i="1" s="1"/>
  <c r="E72" i="1"/>
  <c r="F72" i="1" s="1"/>
  <c r="E71" i="1"/>
  <c r="F71" i="1" s="1"/>
  <c r="E70" i="1"/>
  <c r="F70" i="1" s="1"/>
  <c r="E69" i="1"/>
  <c r="F69" i="1" s="1"/>
  <c r="E68" i="1"/>
  <c r="F68" i="1" s="1"/>
  <c r="E67" i="1"/>
  <c r="F67" i="1" s="1"/>
  <c r="E66" i="1"/>
  <c r="F66" i="1" s="1"/>
  <c r="E65" i="1"/>
  <c r="F65" i="1" s="1"/>
  <c r="E64" i="1"/>
  <c r="F64" i="1" s="1"/>
  <c r="E63" i="1"/>
  <c r="F63" i="1" s="1"/>
  <c r="E62" i="1"/>
  <c r="F62" i="1" s="1"/>
  <c r="E61" i="1"/>
  <c r="F61" i="1" s="1"/>
  <c r="E60" i="1"/>
  <c r="F60" i="1" s="1"/>
  <c r="E59" i="1"/>
  <c r="F59" i="1" s="1"/>
  <c r="E58" i="1"/>
  <c r="F58" i="1" s="1"/>
  <c r="E57" i="1"/>
  <c r="F57" i="1" s="1"/>
  <c r="F56" i="1"/>
  <c r="E56" i="1"/>
  <c r="E55" i="1"/>
  <c r="F55" i="1" s="1"/>
  <c r="E54" i="1"/>
  <c r="F54" i="1" s="1"/>
  <c r="E53" i="1"/>
  <c r="F53" i="1" s="1"/>
  <c r="F52" i="1"/>
  <c r="E52" i="1"/>
  <c r="E51" i="1"/>
  <c r="F51" i="1" s="1"/>
  <c r="E50" i="1"/>
  <c r="F50" i="1" s="1"/>
  <c r="E49" i="1"/>
  <c r="F49" i="1" s="1"/>
  <c r="F48" i="1"/>
  <c r="E48" i="1"/>
  <c r="E47" i="1"/>
  <c r="F47" i="1" s="1"/>
  <c r="E46" i="1"/>
  <c r="F46" i="1" s="1"/>
  <c r="E45" i="1"/>
  <c r="F45" i="1" s="1"/>
  <c r="F44" i="1"/>
  <c r="E44" i="1"/>
  <c r="E43" i="1"/>
  <c r="F43" i="1" s="1"/>
  <c r="E42" i="1"/>
  <c r="F42" i="1" s="1"/>
  <c r="E41" i="1"/>
  <c r="F41" i="1" s="1"/>
  <c r="E40" i="1"/>
  <c r="F40" i="1" s="1"/>
  <c r="E39" i="1"/>
  <c r="F39" i="1" s="1"/>
  <c r="E38" i="1"/>
  <c r="F38" i="1" s="1"/>
  <c r="E37" i="1"/>
  <c r="F37" i="1" s="1"/>
  <c r="E36" i="1"/>
  <c r="F36" i="1" s="1"/>
  <c r="E35" i="1"/>
  <c r="F35" i="1" s="1"/>
  <c r="E34" i="1"/>
  <c r="F34" i="1" s="1"/>
  <c r="E33" i="1"/>
  <c r="F33" i="1" s="1"/>
  <c r="E32" i="1"/>
  <c r="F32" i="1" s="1"/>
  <c r="E31" i="1"/>
  <c r="F31" i="1" s="1"/>
  <c r="E30" i="1"/>
  <c r="F30" i="1" s="1"/>
  <c r="E29" i="1"/>
  <c r="F29" i="1" s="1"/>
  <c r="E28" i="1"/>
  <c r="F28" i="1" s="1"/>
  <c r="E27" i="1"/>
  <c r="F27" i="1" s="1"/>
  <c r="E26" i="1"/>
  <c r="F26" i="1" s="1"/>
  <c r="E25" i="1"/>
  <c r="F25" i="1" s="1"/>
  <c r="E24" i="1"/>
  <c r="F24" i="1" s="1"/>
  <c r="E23" i="1"/>
  <c r="F23" i="1" s="1"/>
  <c r="E22" i="1"/>
  <c r="F22" i="1" s="1"/>
  <c r="E21" i="1"/>
  <c r="F21" i="1" s="1"/>
  <c r="F20" i="1"/>
  <c r="E20" i="1"/>
  <c r="E19" i="1"/>
  <c r="F19" i="1" s="1"/>
  <c r="E18" i="1"/>
  <c r="F18" i="1" s="1"/>
  <c r="E17" i="1"/>
  <c r="F17" i="1" s="1"/>
  <c r="F16" i="1"/>
  <c r="E16" i="1"/>
  <c r="E15" i="1"/>
  <c r="F15" i="1" s="1"/>
  <c r="E14" i="1"/>
  <c r="F14" i="1" s="1"/>
  <c r="E13" i="1"/>
  <c r="F13" i="1" s="1"/>
  <c r="F12" i="1"/>
  <c r="E12" i="1"/>
  <c r="E11" i="1"/>
  <c r="F11" i="1" s="1"/>
  <c r="E10" i="1"/>
  <c r="F10" i="1" s="1"/>
  <c r="E9" i="1"/>
  <c r="F9" i="1" s="1"/>
  <c r="E8" i="1"/>
  <c r="F8" i="1" s="1"/>
  <c r="E7" i="1"/>
  <c r="F7" i="1" s="1"/>
  <c r="E6" i="1"/>
  <c r="F6" i="1" s="1"/>
  <c r="E5" i="1"/>
  <c r="F5" i="1" s="1"/>
  <c r="F151" i="1" l="1"/>
  <c r="F176" i="1" l="1"/>
</calcChain>
</file>

<file path=xl/sharedStrings.xml><?xml version="1.0" encoding="utf-8"?>
<sst xmlns="http://schemas.openxmlformats.org/spreadsheetml/2006/main" count="132" uniqueCount="107">
  <si>
    <t xml:space="preserve">Australia  </t>
  </si>
  <si>
    <t>Date</t>
  </si>
  <si>
    <t>Product Name</t>
  </si>
  <si>
    <t>Qty</t>
  </si>
  <si>
    <t>Per/Unit  (AUD)</t>
  </si>
  <si>
    <t>Total (AUD)</t>
  </si>
  <si>
    <t>GST</t>
  </si>
  <si>
    <t>Instax Wide 400 5units   $188  WB</t>
  </si>
  <si>
    <t>JBL Charge5 125Units $133.30 WB</t>
  </si>
  <si>
    <t>IMAC 1 unit $1919 WB Card</t>
  </si>
  <si>
    <t>IMAC 1 unit $1934 WB Card</t>
  </si>
  <si>
    <t>Macbook M4 with Airpods 4 NC 7 Units $2349 WB Card</t>
  </si>
  <si>
    <t>Macbook M4 with Airpods 4 NC 1 Unit $2349 ARB Card</t>
  </si>
  <si>
    <t>Macbook M4 with Airpods 4 NC 1 Unit $ 2349 (apple Hornsby Pending collection) WB Card</t>
  </si>
  <si>
    <r>
      <rPr>
        <b/>
        <sz val="12"/>
        <color rgb="FF000000"/>
        <rFont val="Times New Roman"/>
        <family val="1"/>
      </rPr>
      <t>Instax wide 400</t>
    </r>
    <r>
      <rPr>
        <sz val="12"/>
        <color rgb="FF000000"/>
        <rFont val="Times New Roman"/>
        <family val="1"/>
      </rPr>
      <t xml:space="preserve"> 10 Units $ 188 
(Harvey Norman Castle Hills Pending collection)</t>
    </r>
  </si>
  <si>
    <t>Innstax mini Evo 1 unit $248 HN CH</t>
  </si>
  <si>
    <t>Instax Li Play 1 Unit $203 HN CH</t>
  </si>
  <si>
    <t>Instax mini 40 1 unit $143 HN CH</t>
  </si>
  <si>
    <t>Instax mini 99 Bundle 1 unit $250 JBHIFI CH</t>
  </si>
  <si>
    <t>Mac Book 4  Anwar Ali</t>
  </si>
  <si>
    <t>Mac Book 4  Noaman Mughal</t>
  </si>
  <si>
    <t>Mac Book 4  Waheed NAB CR Card</t>
  </si>
  <si>
    <t>IMac4  Waheed NAB CR Card</t>
  </si>
  <si>
    <t>Mac Book 4  AMGT Cards</t>
  </si>
  <si>
    <t>Mac Book 4  Waheed Card</t>
  </si>
  <si>
    <r>
      <t>Mac Book Pro 14 inc M4</t>
    </r>
    <r>
      <rPr>
        <b/>
        <sz val="11"/>
        <color theme="1" tint="0.14999847407452621"/>
        <rFont val="Calibri"/>
        <family val="2"/>
        <scheme val="minor"/>
      </rPr>
      <t xml:space="preserve"> (Waheed GC)</t>
    </r>
  </si>
  <si>
    <r>
      <t>Mac Book Pro 14 inc M4</t>
    </r>
    <r>
      <rPr>
        <b/>
        <sz val="11"/>
        <color theme="1" tint="0.14999847407452621"/>
        <rFont val="Calibri"/>
        <family val="2"/>
        <scheme val="minor"/>
      </rPr>
      <t xml:space="preserve"> (Waheed )</t>
    </r>
  </si>
  <si>
    <t>Mac Book Pro 14 inc (Abdul Mujid Canada )</t>
  </si>
  <si>
    <t>Mac Book Pro 14 inc (Warda canada)</t>
  </si>
  <si>
    <t>Mac Book Air 13 inc (Waheed )</t>
  </si>
  <si>
    <t>Mac Book Air 13 inc (Abdul Rehman )</t>
  </si>
  <si>
    <t>PS5 JBHIFI (Roselands Pending collection)</t>
  </si>
  <si>
    <t>Instax Mini 99 Bundle JBHIFI Roselands Pending collection</t>
  </si>
  <si>
    <t>PS5  jbhifi Bankstown collected</t>
  </si>
  <si>
    <t>Instax Mini 99 Bundle</t>
  </si>
  <si>
    <t>PS5 JBHIFI Parramatta collected $679</t>
  </si>
  <si>
    <t>2 PS5 JBHIFI Merrylands $679</t>
  </si>
  <si>
    <t>5 PS5 $679 JBHIFI Maq Park</t>
  </si>
  <si>
    <t>3 Instax Mini 99 Bundle $235 pending collection</t>
  </si>
  <si>
    <t>1 Instax Wide 400 $190</t>
  </si>
  <si>
    <t>3 PS5 $679 JBHIFI NR</t>
  </si>
  <si>
    <t>2 Instax mini 99 $229 JBHIFI NR</t>
  </si>
  <si>
    <t>17 Starlink mini $575 AUD</t>
  </si>
  <si>
    <t>PS5 $679 JBHIFI Parramatta</t>
  </si>
  <si>
    <t>ps5 JBHIFI Homebush $679</t>
  </si>
  <si>
    <t xml:space="preserve">PS5 JBHIFI Roselands </t>
  </si>
  <si>
    <t xml:space="preserve"> Intax mini 99 bundle $229 JBHIFI Roselands</t>
  </si>
  <si>
    <t>Ps5 JBHIFI Bankstown $679</t>
  </si>
  <si>
    <t>PS5 EB GAMES $679</t>
  </si>
  <si>
    <t>1 PS5 $679 EB GAMES</t>
  </si>
  <si>
    <t>1 AirPods eBay $163</t>
  </si>
  <si>
    <t>1 MacBook Air 24/512 GB $2149 sky blue JBHIFI castle hills</t>
  </si>
  <si>
    <t xml:space="preserve"> MacBook Air 24/512 GB $2042 sky blue Office works castle hills pending collection </t>
  </si>
  <si>
    <t xml:space="preserve">2 MacBook Air 24/512 GB $2090 sky blue Office works Northmead pending collection </t>
  </si>
  <si>
    <t>1 Instax mini Evo $275 office works Northmead</t>
  </si>
  <si>
    <t xml:space="preserve">2 MacBook Air 24/512 GB $2090 sky blue Office works Auburn pending collection </t>
  </si>
  <si>
    <t xml:space="preserve">2 MacBook Air 24/512 GB $2090 sky blue Office works westRyde  pending collection </t>
  </si>
  <si>
    <t>2 PS5 $695 Costco without Coupon</t>
  </si>
  <si>
    <t xml:space="preserve">1 MacBook Air 24/512 GB $2090 sky blue Office works West Ryde pending collection </t>
  </si>
  <si>
    <t>1 MacBook Air 24/512 GB $2090  Midnight Office works West Ryde pending collection</t>
  </si>
  <si>
    <t xml:space="preserve">2 MacBook Air 24/512 GB $2090 sky blue Office works North Ryde  pending collection </t>
  </si>
  <si>
    <t xml:space="preserve">2 MacBook Air 24/512 GB $2090 sky blue Office works Five Dock pending collection </t>
  </si>
  <si>
    <t>2 PS5 slim  Astra Bot $669 EB Games</t>
  </si>
  <si>
    <t>PS5 Astro BOT JBHIFI Castle Hills</t>
  </si>
  <si>
    <t>Mac Book Air M4 24/512Midnight JBHIFI Castle Hills</t>
  </si>
  <si>
    <t>Mac Book Air M4 24/512Midnight</t>
  </si>
  <si>
    <t xml:space="preserve">Iphone 16 Pro max 256 GB Desert </t>
  </si>
  <si>
    <t>Mac Book Air M4 24/512 Sky Blue  Office Works Northmead Pending</t>
  </si>
  <si>
    <t>Mac Book Air M4 24/512 Sky Blue Office Works  Castle Hills Pending</t>
  </si>
  <si>
    <t>Mac Book Air M4 24/512Midnight Office Works  Castle Hills Pending</t>
  </si>
  <si>
    <t>Mac Book Air M4 24/512Midnight Office Works Blacktown Pending</t>
  </si>
  <si>
    <t>Mac Book Air M4 24/512 Sky Blue Office Works Blacktown Pending</t>
  </si>
  <si>
    <t>Mac Book Pro 16/512 Silver Office Works Wentworthville Pending</t>
  </si>
  <si>
    <t xml:space="preserve">Mac Book Air M4 24/512 Sky Blue Office Works Auburn Pending </t>
  </si>
  <si>
    <t>Mac Book Pro M4 14" 16/512 Silver Good Guys Auburn Pending Collection Bankstown</t>
  </si>
  <si>
    <t>Mini Evo Good Guys Auburn</t>
  </si>
  <si>
    <t>Mini 12 Purple Good Guys Auburn</t>
  </si>
  <si>
    <t>Mini 12 Blue Good Guys Auburn</t>
  </si>
  <si>
    <t>Mini 12 White Good Guys Auburn</t>
  </si>
  <si>
    <t>Ninja Blast Blender Good Guys Auburn</t>
  </si>
  <si>
    <t>Mini Evo Good Guys Auburn Pending Collection Blacktown</t>
  </si>
  <si>
    <t>Mini 12 Purple Good Guys Auburn Pending Collection Blacktown</t>
  </si>
  <si>
    <t>Mini 12 Blue Good Guys Auburn Pending Collection Blacktown</t>
  </si>
  <si>
    <t xml:space="preserve">Mac Book Air M4 24/512 Sky Blue  Office Works Auburn Pending </t>
  </si>
  <si>
    <t xml:space="preserve">Mac Book Pro M4 14" 16/512 Silver Office Works Five Dock Auburn Pending </t>
  </si>
  <si>
    <t>Ps5 Astro Bot EB games Online Pending Collection Bankstown</t>
  </si>
  <si>
    <t>Total</t>
  </si>
  <si>
    <t>Newzeland</t>
  </si>
  <si>
    <t xml:space="preserve">Per/Unit  </t>
  </si>
  <si>
    <t xml:space="preserve">Total </t>
  </si>
  <si>
    <t>Starlink v4 19Units  @580  WB</t>
  </si>
  <si>
    <t>Starlink Mini 500 Units  $630  WB</t>
  </si>
  <si>
    <t>JBL Charge 5  150Units $148  WB</t>
  </si>
  <si>
    <t>JBL Charge 5  50Units  $145   WB</t>
  </si>
  <si>
    <t>Google Chrome Cast  250Units  $149  WB</t>
  </si>
  <si>
    <t>Starlink V4  200Units $549  WB</t>
  </si>
  <si>
    <t>JBL Charge.5 6Units $145  WB</t>
  </si>
  <si>
    <t>PS5  15Units  $695  ARB</t>
  </si>
  <si>
    <r>
      <t xml:space="preserve">Starlink V4 </t>
    </r>
    <r>
      <rPr>
        <b/>
        <sz val="11"/>
        <color theme="1"/>
        <rFont val="Calibri"/>
        <family val="2"/>
        <scheme val="minor"/>
      </rPr>
      <t>($80,000 Paid)</t>
    </r>
  </si>
  <si>
    <t>Total NZ GST</t>
  </si>
  <si>
    <r>
      <rPr>
        <b/>
        <sz val="11"/>
        <color rgb="FF000000"/>
        <rFont val="Calibri"/>
        <family val="2"/>
        <scheme val="minor"/>
      </rPr>
      <t xml:space="preserve">from </t>
    </r>
    <r>
      <rPr>
        <sz val="11"/>
        <color rgb="FF000000"/>
        <rFont val="Calibri"/>
        <family val="2"/>
        <scheme val="minor"/>
      </rPr>
      <t xml:space="preserve">Jan-2025  </t>
    </r>
    <r>
      <rPr>
        <b/>
        <sz val="11"/>
        <color rgb="FF000000"/>
        <rFont val="Calibri"/>
        <family val="2"/>
        <scheme val="minor"/>
      </rPr>
      <t>to</t>
    </r>
    <r>
      <rPr>
        <sz val="11"/>
        <color rgb="FF000000"/>
        <rFont val="Calibri"/>
        <family val="2"/>
        <scheme val="minor"/>
      </rPr>
      <t xml:space="preserve"> Mar-2025</t>
    </r>
  </si>
  <si>
    <r>
      <t xml:space="preserve">Google streamer ( </t>
    </r>
    <r>
      <rPr>
        <b/>
        <sz val="11"/>
        <color theme="1"/>
        <rFont val="Calibri"/>
        <family val="2"/>
        <scheme val="minor"/>
      </rPr>
      <t>($37,500 Paid)</t>
    </r>
  </si>
  <si>
    <t>Mac Book Air M4 24/512 Sky Blue Office Works Northmead</t>
  </si>
  <si>
    <t>Mac Book Pro M4 14" 16/ 1TB Space Black Office Works Blacktown</t>
  </si>
  <si>
    <t>Mac Book Pro M4 14" 16/ 1TB Space Black Office Works Wentworthville</t>
  </si>
  <si>
    <t>Mini Evo Good Guys Blacktown Pending</t>
  </si>
  <si>
    <t>Mini 12  Mix Colour Good Guys Blacktown 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</si>
</sst>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[$AUD]\ * #,##0.00_);_([$AUD]\ * \(#,##0.00\);_([$AUD]\ * &quot;-&quot;??_);_(@_)"/>
    <numFmt numFmtId="165" formatCode="&quot;$&quot;#,##0;[Red]\-&quot;$&quot;#,##0"/>
    <numFmt numFmtId="166" formatCode="&quot;$&quot;#,##0.00"/>
    <numFmt numFmtId="167" formatCode="_(&quot;$&quot;* #,##0.00_);_(&quot;$&quot;* \(#,##0.00\);_(&quot;$&quot;* &quot;-&quot;??_);_(@_)"/>
    <numFmt numFmtId="168" formatCode="_-[$NZD]\ * #,##0.00_-;\-[$NZD]\ * #,##0.00_-;_-[$NZD]\ 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6"/>
      <color rgb="FFFFC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1"/>
      <color theme="1" tint="0.1499984740745262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14"/>
      <color theme="1" tint="0.1499984740745262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/>
    <xf numFmtId="0" fontId="6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/>
    </xf>
    <xf numFmtId="14" fontId="7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wrapText="1"/>
    </xf>
    <xf numFmtId="0" fontId="1" fillId="0" borderId="2" xfId="0" applyFont="1" applyBorder="1" applyAlignment="1">
      <alignment horizontal="center" vertical="center"/>
    </xf>
    <xf numFmtId="43" fontId="1" fillId="0" borderId="2" xfId="1" applyFont="1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9" fillId="0" borderId="2" xfId="0" applyFont="1" applyBorder="1" applyAlignment="1">
      <alignment horizontal="left" vertical="top" wrapText="1"/>
    </xf>
    <xf numFmtId="14" fontId="7" fillId="0" borderId="5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wrapText="1"/>
    </xf>
    <xf numFmtId="0" fontId="1" fillId="0" borderId="5" xfId="0" applyFont="1" applyBorder="1" applyAlignment="1">
      <alignment horizontal="center" vertical="center"/>
    </xf>
    <xf numFmtId="43" fontId="1" fillId="0" borderId="5" xfId="1" applyFont="1" applyBorder="1" applyAlignment="1">
      <alignment horizontal="center"/>
    </xf>
    <xf numFmtId="0" fontId="0" fillId="0" borderId="6" xfId="0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14" fontId="0" fillId="0" borderId="2" xfId="0" applyNumberFormat="1" applyBorder="1"/>
    <xf numFmtId="165" fontId="0" fillId="0" borderId="2" xfId="0" applyNumberFormat="1" applyBorder="1"/>
    <xf numFmtId="165" fontId="0" fillId="0" borderId="5" xfId="0" applyNumberFormat="1" applyBorder="1"/>
    <xf numFmtId="14" fontId="11" fillId="0" borderId="2" xfId="0" applyNumberFormat="1" applyFont="1" applyBorder="1"/>
    <xf numFmtId="0" fontId="11" fillId="0" borderId="2" xfId="0" applyFont="1" applyBorder="1"/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13" fillId="0" borderId="2" xfId="0" applyFont="1" applyBorder="1"/>
    <xf numFmtId="0" fontId="0" fillId="0" borderId="2" xfId="0" applyBorder="1" applyAlignment="1">
      <alignment horizontal="left"/>
    </xf>
    <xf numFmtId="14" fontId="0" fillId="0" borderId="2" xfId="0" applyNumberFormat="1" applyBorder="1" applyAlignment="1">
      <alignment horizontal="center"/>
    </xf>
    <xf numFmtId="0" fontId="14" fillId="4" borderId="0" xfId="0" applyFont="1" applyFill="1"/>
    <xf numFmtId="164" fontId="14" fillId="4" borderId="0" xfId="0" applyNumberFormat="1" applyFont="1" applyFill="1"/>
    <xf numFmtId="0" fontId="6" fillId="3" borderId="0" xfId="0" applyFont="1" applyFill="1" applyAlignment="1">
      <alignment horizontal="center"/>
    </xf>
    <xf numFmtId="167" fontId="6" fillId="3" borderId="0" xfId="0" applyNumberFormat="1" applyFont="1" applyFill="1" applyAlignment="1">
      <alignment horizontal="center"/>
    </xf>
    <xf numFmtId="0" fontId="1" fillId="0" borderId="2" xfId="0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5" xfId="0" applyBorder="1"/>
    <xf numFmtId="167" fontId="0" fillId="0" borderId="4" xfId="0" applyNumberFormat="1" applyBorder="1" applyAlignment="1">
      <alignment horizontal="center"/>
    </xf>
    <xf numFmtId="167" fontId="0" fillId="0" borderId="2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5" fillId="4" borderId="0" xfId="0" applyFont="1" applyFill="1"/>
    <xf numFmtId="168" fontId="16" fillId="3" borderId="0" xfId="0" applyNumberFormat="1" applyFont="1" applyFill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2" borderId="0" xfId="0" applyFont="1" applyFill="1" applyAlignment="1">
      <alignment horizontal="center"/>
    </xf>
    <xf numFmtId="14" fontId="0" fillId="0" borderId="2" xfId="0" applyNumberForma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Fill="1" applyBorder="1" applyAlignment="1">
      <alignment horizontal="left"/>
    </xf>
    <xf numFmtId="0" fontId="0" fillId="0" borderId="2" xfId="0" applyFill="1" applyBorder="1"/>
    <xf numFmtId="0" fontId="0" fillId="0" borderId="2" xfId="0" applyFill="1" applyBorder="1" applyAlignment="1">
      <alignment horizontal="center" vertical="center"/>
    </xf>
    <xf numFmtId="166" fontId="0" fillId="0" borderId="2" xfId="0" applyNumberForma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8E1F3-228C-4D34-8EA3-48171EBBE9A5}">
  <dimension ref="A2:F177"/>
  <sheetViews>
    <sheetView tabSelected="1" topLeftCell="A145" workbookViewId="0">
      <selection activeCell="J160" sqref="J160"/>
    </sheetView>
  </sheetViews>
  <sheetFormatPr defaultRowHeight="14.4" x14ac:dyDescent="0.3"/>
  <cols>
    <col min="1" max="1" width="15.77734375" customWidth="1"/>
    <col min="2" max="2" width="54.21875" customWidth="1"/>
    <col min="3" max="3" width="15.109375" customWidth="1"/>
    <col min="4" max="4" width="16.77734375" customWidth="1"/>
    <col min="5" max="5" width="19.33203125" customWidth="1"/>
    <col min="6" max="6" width="29.77734375" customWidth="1"/>
  </cols>
  <sheetData>
    <row r="2" spans="1:6" x14ac:dyDescent="0.3">
      <c r="A2" s="54" t="s">
        <v>100</v>
      </c>
      <c r="B2" s="55"/>
      <c r="C2" s="2"/>
      <c r="F2" s="3"/>
    </row>
    <row r="3" spans="1:6" ht="21" x14ac:dyDescent="0.4">
      <c r="A3" s="56" t="s">
        <v>0</v>
      </c>
      <c r="B3" s="56"/>
      <c r="C3" s="56"/>
      <c r="D3" s="56"/>
      <c r="E3" s="56"/>
      <c r="F3" s="56"/>
    </row>
    <row r="4" spans="1:6" ht="18" x14ac:dyDescent="0.35">
      <c r="A4" s="4" t="s">
        <v>1</v>
      </c>
      <c r="B4" s="4" t="s">
        <v>2</v>
      </c>
      <c r="C4" s="5" t="s">
        <v>3</v>
      </c>
      <c r="D4" s="4" t="s">
        <v>4</v>
      </c>
      <c r="E4" s="4" t="s">
        <v>5</v>
      </c>
      <c r="F4" s="6" t="s">
        <v>6</v>
      </c>
    </row>
    <row r="5" spans="1:6" x14ac:dyDescent="0.3">
      <c r="A5" s="7">
        <v>45701</v>
      </c>
      <c r="B5" s="8" t="s">
        <v>7</v>
      </c>
      <c r="C5" s="9">
        <v>5</v>
      </c>
      <c r="D5" s="10">
        <v>188</v>
      </c>
      <c r="E5" s="11">
        <f>D5*C5</f>
        <v>940</v>
      </c>
      <c r="F5" s="12">
        <f>E5/11</f>
        <v>85.454545454545453</v>
      </c>
    </row>
    <row r="6" spans="1:6" x14ac:dyDescent="0.3">
      <c r="A6" s="7">
        <v>45701</v>
      </c>
      <c r="B6" s="8" t="s">
        <v>8</v>
      </c>
      <c r="C6" s="9">
        <v>125</v>
      </c>
      <c r="D6" s="10">
        <v>133.30000000000001</v>
      </c>
      <c r="E6" s="11">
        <f t="shared" ref="E6:E34" si="0">D6*C6</f>
        <v>16662.5</v>
      </c>
      <c r="F6" s="12">
        <f t="shared" ref="F6:F69" si="1">E6/11</f>
        <v>1514.7727272727273</v>
      </c>
    </row>
    <row r="7" spans="1:6" x14ac:dyDescent="0.3">
      <c r="A7" s="13"/>
      <c r="B7" s="13"/>
      <c r="C7" s="14"/>
      <c r="D7" s="13"/>
      <c r="E7" s="11">
        <f t="shared" si="0"/>
        <v>0</v>
      </c>
      <c r="F7" s="12">
        <f t="shared" si="1"/>
        <v>0</v>
      </c>
    </row>
    <row r="8" spans="1:6" x14ac:dyDescent="0.3">
      <c r="A8" s="15"/>
      <c r="B8" s="15"/>
      <c r="C8" s="16"/>
      <c r="D8" s="15"/>
      <c r="E8" s="11">
        <f t="shared" si="0"/>
        <v>0</v>
      </c>
      <c r="F8" s="12">
        <f t="shared" si="1"/>
        <v>0</v>
      </c>
    </row>
    <row r="9" spans="1:6" x14ac:dyDescent="0.3">
      <c r="A9" s="7">
        <v>45709</v>
      </c>
      <c r="B9" s="8" t="s">
        <v>9</v>
      </c>
      <c r="C9" s="9">
        <v>1</v>
      </c>
      <c r="D9" s="10">
        <v>1919</v>
      </c>
      <c r="E9" s="11">
        <f t="shared" si="0"/>
        <v>1919</v>
      </c>
      <c r="F9" s="12">
        <f t="shared" si="1"/>
        <v>174.45454545454547</v>
      </c>
    </row>
    <row r="10" spans="1:6" x14ac:dyDescent="0.3">
      <c r="A10" s="7">
        <v>45709</v>
      </c>
      <c r="B10" s="8" t="s">
        <v>10</v>
      </c>
      <c r="C10" s="9">
        <v>1</v>
      </c>
      <c r="D10" s="10">
        <v>1934</v>
      </c>
      <c r="E10" s="11">
        <f t="shared" si="0"/>
        <v>1934</v>
      </c>
      <c r="F10" s="12">
        <f t="shared" si="1"/>
        <v>175.81818181818181</v>
      </c>
    </row>
    <row r="11" spans="1:6" ht="28.2" x14ac:dyDescent="0.3">
      <c r="A11" s="7">
        <v>45709</v>
      </c>
      <c r="B11" s="8" t="s">
        <v>11</v>
      </c>
      <c r="C11" s="9">
        <v>7</v>
      </c>
      <c r="D11" s="10">
        <v>2349</v>
      </c>
      <c r="E11" s="11">
        <f t="shared" si="0"/>
        <v>16443</v>
      </c>
      <c r="F11" s="12">
        <f t="shared" si="1"/>
        <v>1494.8181818181818</v>
      </c>
    </row>
    <row r="12" spans="1:6" ht="28.2" x14ac:dyDescent="0.3">
      <c r="A12" s="7">
        <v>45709</v>
      </c>
      <c r="B12" s="8" t="s">
        <v>12</v>
      </c>
      <c r="C12" s="9">
        <v>1</v>
      </c>
      <c r="D12" s="10">
        <v>2349</v>
      </c>
      <c r="E12" s="11">
        <f t="shared" si="0"/>
        <v>2349</v>
      </c>
      <c r="F12" s="12">
        <f t="shared" si="1"/>
        <v>213.54545454545453</v>
      </c>
    </row>
    <row r="13" spans="1:6" ht="28.2" x14ac:dyDescent="0.3">
      <c r="A13" s="7">
        <v>45709</v>
      </c>
      <c r="B13" s="8" t="s">
        <v>13</v>
      </c>
      <c r="C13" s="9">
        <v>1</v>
      </c>
      <c r="D13" s="10">
        <v>2349</v>
      </c>
      <c r="E13" s="11">
        <f t="shared" si="0"/>
        <v>2349</v>
      </c>
      <c r="F13" s="12">
        <f t="shared" si="1"/>
        <v>213.54545454545453</v>
      </c>
    </row>
    <row r="14" spans="1:6" ht="31.2" x14ac:dyDescent="0.3">
      <c r="A14" s="7">
        <v>45709</v>
      </c>
      <c r="B14" s="17" t="s">
        <v>14</v>
      </c>
      <c r="C14" s="9">
        <v>10</v>
      </c>
      <c r="D14" s="10">
        <v>188</v>
      </c>
      <c r="E14" s="11">
        <f t="shared" si="0"/>
        <v>1880</v>
      </c>
      <c r="F14" s="12">
        <f t="shared" si="1"/>
        <v>170.90909090909091</v>
      </c>
    </row>
    <row r="15" spans="1:6" x14ac:dyDescent="0.3">
      <c r="A15" s="7">
        <v>45709</v>
      </c>
      <c r="B15" s="8" t="s">
        <v>15</v>
      </c>
      <c r="C15" s="9">
        <v>1</v>
      </c>
      <c r="D15" s="10">
        <v>248</v>
      </c>
      <c r="E15" s="11">
        <f t="shared" si="0"/>
        <v>248</v>
      </c>
      <c r="F15" s="12">
        <f t="shared" si="1"/>
        <v>22.545454545454547</v>
      </c>
    </row>
    <row r="16" spans="1:6" x14ac:dyDescent="0.3">
      <c r="A16" s="7">
        <v>45709</v>
      </c>
      <c r="B16" s="8" t="s">
        <v>16</v>
      </c>
      <c r="C16" s="9">
        <v>1</v>
      </c>
      <c r="D16" s="10">
        <v>203</v>
      </c>
      <c r="E16" s="11">
        <f t="shared" si="0"/>
        <v>203</v>
      </c>
      <c r="F16" s="12">
        <f t="shared" si="1"/>
        <v>18.454545454545453</v>
      </c>
    </row>
    <row r="17" spans="1:6" x14ac:dyDescent="0.3">
      <c r="A17" s="18">
        <v>45709</v>
      </c>
      <c r="B17" s="19" t="s">
        <v>17</v>
      </c>
      <c r="C17" s="20">
        <v>1</v>
      </c>
      <c r="D17" s="21">
        <v>143</v>
      </c>
      <c r="E17" s="22">
        <f t="shared" si="0"/>
        <v>143</v>
      </c>
      <c r="F17" s="23">
        <f t="shared" si="1"/>
        <v>13</v>
      </c>
    </row>
    <row r="18" spans="1:6" x14ac:dyDescent="0.3">
      <c r="A18" s="7">
        <v>45709</v>
      </c>
      <c r="B18" s="8" t="s">
        <v>18</v>
      </c>
      <c r="C18" s="9">
        <v>1</v>
      </c>
      <c r="D18" s="10">
        <v>250</v>
      </c>
      <c r="E18" s="24">
        <f t="shared" si="0"/>
        <v>250</v>
      </c>
      <c r="F18" s="25">
        <f t="shared" si="1"/>
        <v>22.727272727272727</v>
      </c>
    </row>
    <row r="19" spans="1:6" x14ac:dyDescent="0.3">
      <c r="A19" s="26"/>
      <c r="B19" s="26"/>
      <c r="C19" s="27"/>
      <c r="D19" s="26"/>
      <c r="E19" s="24">
        <f t="shared" si="0"/>
        <v>0</v>
      </c>
      <c r="F19" s="25">
        <f t="shared" si="1"/>
        <v>0</v>
      </c>
    </row>
    <row r="20" spans="1:6" x14ac:dyDescent="0.3">
      <c r="A20" s="26"/>
      <c r="B20" s="26"/>
      <c r="C20" s="27"/>
      <c r="D20" s="26"/>
      <c r="E20" s="24">
        <f t="shared" si="0"/>
        <v>0</v>
      </c>
      <c r="F20" s="25">
        <f t="shared" si="1"/>
        <v>0</v>
      </c>
    </row>
    <row r="21" spans="1:6" x14ac:dyDescent="0.3">
      <c r="A21" s="26"/>
      <c r="B21" s="26"/>
      <c r="C21" s="27"/>
      <c r="D21" s="26"/>
      <c r="E21" s="24">
        <f t="shared" si="0"/>
        <v>0</v>
      </c>
      <c r="F21" s="25">
        <f t="shared" si="1"/>
        <v>0</v>
      </c>
    </row>
    <row r="22" spans="1:6" x14ac:dyDescent="0.3">
      <c r="A22" s="28">
        <v>45710</v>
      </c>
      <c r="B22" s="26" t="s">
        <v>19</v>
      </c>
      <c r="C22" s="27">
        <v>3</v>
      </c>
      <c r="D22" s="29">
        <v>2364</v>
      </c>
      <c r="E22" s="24">
        <f t="shared" si="0"/>
        <v>7092</v>
      </c>
      <c r="F22" s="25">
        <f t="shared" si="1"/>
        <v>644.72727272727275</v>
      </c>
    </row>
    <row r="23" spans="1:6" x14ac:dyDescent="0.3">
      <c r="A23" s="28">
        <v>45710</v>
      </c>
      <c r="B23" s="26" t="s">
        <v>20</v>
      </c>
      <c r="C23" s="27">
        <v>10</v>
      </c>
      <c r="D23" s="29">
        <v>2349</v>
      </c>
      <c r="E23" s="24">
        <f t="shared" si="0"/>
        <v>23490</v>
      </c>
      <c r="F23" s="25">
        <f t="shared" si="1"/>
        <v>2135.4545454545455</v>
      </c>
    </row>
    <row r="24" spans="1:6" x14ac:dyDescent="0.3">
      <c r="A24" s="28">
        <v>45711</v>
      </c>
      <c r="B24" s="26" t="s">
        <v>21</v>
      </c>
      <c r="C24" s="27">
        <v>1</v>
      </c>
      <c r="D24" s="29">
        <v>2349</v>
      </c>
      <c r="E24" s="24">
        <f>D24*C24</f>
        <v>2349</v>
      </c>
      <c r="F24" s="25">
        <f t="shared" si="1"/>
        <v>213.54545454545453</v>
      </c>
    </row>
    <row r="25" spans="1:6" x14ac:dyDescent="0.3">
      <c r="A25" s="28">
        <v>45711</v>
      </c>
      <c r="B25" s="26" t="s">
        <v>21</v>
      </c>
      <c r="C25" s="27">
        <v>1</v>
      </c>
      <c r="D25" s="30">
        <v>2349</v>
      </c>
      <c r="E25" s="24">
        <f>D25*C25</f>
        <v>2349</v>
      </c>
      <c r="F25" s="25">
        <f t="shared" si="1"/>
        <v>213.54545454545453</v>
      </c>
    </row>
    <row r="26" spans="1:6" x14ac:dyDescent="0.3">
      <c r="A26" s="28">
        <v>45711</v>
      </c>
      <c r="B26" s="26" t="s">
        <v>22</v>
      </c>
      <c r="C26" s="27">
        <v>1</v>
      </c>
      <c r="D26" s="29">
        <v>1919</v>
      </c>
      <c r="E26" s="24">
        <f>D26*C26</f>
        <v>1919</v>
      </c>
      <c r="F26" s="25">
        <f t="shared" si="1"/>
        <v>174.45454545454547</v>
      </c>
    </row>
    <row r="27" spans="1:6" x14ac:dyDescent="0.3">
      <c r="A27" s="28"/>
      <c r="B27" s="26"/>
      <c r="C27" s="27"/>
      <c r="D27" s="29"/>
      <c r="E27" s="24">
        <f t="shared" si="0"/>
        <v>0</v>
      </c>
      <c r="F27" s="25">
        <f t="shared" si="1"/>
        <v>0</v>
      </c>
    </row>
    <row r="28" spans="1:6" x14ac:dyDescent="0.3">
      <c r="A28" s="28">
        <v>45714</v>
      </c>
      <c r="B28" s="26" t="s">
        <v>23</v>
      </c>
      <c r="C28" s="27">
        <v>4</v>
      </c>
      <c r="D28" s="24">
        <v>2349</v>
      </c>
      <c r="E28" s="24">
        <f t="shared" si="0"/>
        <v>9396</v>
      </c>
      <c r="F28" s="25">
        <f t="shared" si="1"/>
        <v>854.18181818181813</v>
      </c>
    </row>
    <row r="29" spans="1:6" x14ac:dyDescent="0.3">
      <c r="A29" s="28">
        <v>45714</v>
      </c>
      <c r="B29" s="26" t="s">
        <v>24</v>
      </c>
      <c r="C29" s="27">
        <v>3</v>
      </c>
      <c r="D29" s="24">
        <v>2349</v>
      </c>
      <c r="E29" s="24">
        <f t="shared" si="0"/>
        <v>7047</v>
      </c>
      <c r="F29" s="25">
        <f t="shared" si="1"/>
        <v>640.63636363636363</v>
      </c>
    </row>
    <row r="30" spans="1:6" x14ac:dyDescent="0.3">
      <c r="A30" s="28"/>
      <c r="B30" s="26"/>
      <c r="C30" s="27"/>
      <c r="D30" s="29"/>
      <c r="E30" s="24">
        <f t="shared" si="0"/>
        <v>0</v>
      </c>
      <c r="F30" s="25">
        <f t="shared" si="1"/>
        <v>0</v>
      </c>
    </row>
    <row r="31" spans="1:6" x14ac:dyDescent="0.3">
      <c r="A31" s="28">
        <v>45715</v>
      </c>
      <c r="B31" s="26" t="s">
        <v>23</v>
      </c>
      <c r="C31" s="27">
        <v>3</v>
      </c>
      <c r="D31" s="24">
        <v>2349</v>
      </c>
      <c r="E31" s="24">
        <f t="shared" si="0"/>
        <v>7047</v>
      </c>
      <c r="F31" s="25">
        <f t="shared" si="1"/>
        <v>640.63636363636363</v>
      </c>
    </row>
    <row r="32" spans="1:6" x14ac:dyDescent="0.3">
      <c r="A32" s="28">
        <v>45715</v>
      </c>
      <c r="B32" s="26" t="s">
        <v>24</v>
      </c>
      <c r="C32" s="27">
        <v>10</v>
      </c>
      <c r="D32" s="24">
        <v>2349</v>
      </c>
      <c r="E32" s="24">
        <f t="shared" si="0"/>
        <v>23490</v>
      </c>
      <c r="F32" s="25">
        <f t="shared" si="1"/>
        <v>2135.4545454545455</v>
      </c>
    </row>
    <row r="33" spans="1:6" x14ac:dyDescent="0.3">
      <c r="A33" s="26"/>
      <c r="B33" s="26"/>
      <c r="C33" s="27"/>
      <c r="D33" s="29"/>
      <c r="E33" s="24">
        <f t="shared" si="0"/>
        <v>0</v>
      </c>
      <c r="F33" s="25">
        <f t="shared" si="1"/>
        <v>0</v>
      </c>
    </row>
    <row r="34" spans="1:6" x14ac:dyDescent="0.3">
      <c r="A34" s="26"/>
      <c r="B34" s="26"/>
      <c r="C34" s="27"/>
      <c r="D34" s="29"/>
      <c r="E34" s="24">
        <f t="shared" si="0"/>
        <v>0</v>
      </c>
      <c r="F34" s="25">
        <f t="shared" si="1"/>
        <v>0</v>
      </c>
    </row>
    <row r="35" spans="1:6" x14ac:dyDescent="0.3">
      <c r="A35" s="31">
        <v>45718</v>
      </c>
      <c r="B35" s="32" t="s">
        <v>25</v>
      </c>
      <c r="C35" s="33">
        <v>1</v>
      </c>
      <c r="D35" s="34">
        <v>2349</v>
      </c>
      <c r="E35" s="34">
        <f>D35*C35</f>
        <v>2349</v>
      </c>
      <c r="F35" s="25">
        <f t="shared" si="1"/>
        <v>213.54545454545453</v>
      </c>
    </row>
    <row r="36" spans="1:6" x14ac:dyDescent="0.3">
      <c r="A36" s="31">
        <v>45718</v>
      </c>
      <c r="B36" s="32" t="s">
        <v>25</v>
      </c>
      <c r="C36" s="33">
        <v>1</v>
      </c>
      <c r="D36" s="34">
        <v>2364</v>
      </c>
      <c r="E36" s="34">
        <f t="shared" ref="E36:E99" si="2">D36*C36</f>
        <v>2364</v>
      </c>
      <c r="F36" s="25">
        <f t="shared" si="1"/>
        <v>214.90909090909091</v>
      </c>
    </row>
    <row r="37" spans="1:6" x14ac:dyDescent="0.3">
      <c r="A37" s="31">
        <v>45719</v>
      </c>
      <c r="B37" s="32" t="s">
        <v>25</v>
      </c>
      <c r="C37" s="33">
        <v>1</v>
      </c>
      <c r="D37" s="34">
        <v>2349</v>
      </c>
      <c r="E37" s="34">
        <f t="shared" si="2"/>
        <v>2349</v>
      </c>
      <c r="F37" s="25">
        <f t="shared" si="1"/>
        <v>213.54545454545453</v>
      </c>
    </row>
    <row r="38" spans="1:6" x14ac:dyDescent="0.3">
      <c r="A38" s="31">
        <v>45719</v>
      </c>
      <c r="B38" s="32" t="s">
        <v>25</v>
      </c>
      <c r="C38" s="33">
        <v>1</v>
      </c>
      <c r="D38" s="34">
        <v>2364</v>
      </c>
      <c r="E38" s="34">
        <f t="shared" si="2"/>
        <v>2364</v>
      </c>
      <c r="F38" s="25">
        <f t="shared" si="1"/>
        <v>214.90909090909091</v>
      </c>
    </row>
    <row r="39" spans="1:6" x14ac:dyDescent="0.3">
      <c r="A39" s="31">
        <v>45720</v>
      </c>
      <c r="B39" s="32" t="s">
        <v>25</v>
      </c>
      <c r="C39" s="33">
        <v>2</v>
      </c>
      <c r="D39" s="34">
        <v>2349</v>
      </c>
      <c r="E39" s="34">
        <f t="shared" si="2"/>
        <v>4698</v>
      </c>
      <c r="F39" s="25">
        <f t="shared" si="1"/>
        <v>427.09090909090907</v>
      </c>
    </row>
    <row r="40" spans="1:6" x14ac:dyDescent="0.3">
      <c r="A40" s="31">
        <v>45720</v>
      </c>
      <c r="B40" s="32" t="s">
        <v>25</v>
      </c>
      <c r="C40" s="33">
        <v>1</v>
      </c>
      <c r="D40" s="34">
        <v>2364</v>
      </c>
      <c r="E40" s="34">
        <f t="shared" si="2"/>
        <v>2364</v>
      </c>
      <c r="F40" s="25">
        <f t="shared" si="1"/>
        <v>214.90909090909091</v>
      </c>
    </row>
    <row r="41" spans="1:6" x14ac:dyDescent="0.3">
      <c r="A41" s="31">
        <v>45720</v>
      </c>
      <c r="B41" s="32" t="s">
        <v>26</v>
      </c>
      <c r="C41" s="33">
        <v>5</v>
      </c>
      <c r="D41" s="34">
        <v>2349</v>
      </c>
      <c r="E41" s="24">
        <f t="shared" si="2"/>
        <v>11745</v>
      </c>
      <c r="F41" s="25">
        <f t="shared" si="1"/>
        <v>1067.7272727272727</v>
      </c>
    </row>
    <row r="42" spans="1:6" ht="18" x14ac:dyDescent="0.35">
      <c r="A42" s="31">
        <v>45721</v>
      </c>
      <c r="B42" s="35" t="s">
        <v>27</v>
      </c>
      <c r="C42" s="33">
        <v>1</v>
      </c>
      <c r="D42" s="34">
        <v>2349</v>
      </c>
      <c r="E42" s="24">
        <f t="shared" si="2"/>
        <v>2349</v>
      </c>
      <c r="F42" s="25">
        <f t="shared" si="1"/>
        <v>213.54545454545453</v>
      </c>
    </row>
    <row r="43" spans="1:6" x14ac:dyDescent="0.3">
      <c r="A43" s="31">
        <v>45721</v>
      </c>
      <c r="B43" s="32" t="s">
        <v>25</v>
      </c>
      <c r="C43" s="33">
        <v>3</v>
      </c>
      <c r="D43" s="34">
        <v>2349</v>
      </c>
      <c r="E43" s="24">
        <f t="shared" si="2"/>
        <v>7047</v>
      </c>
      <c r="F43" s="25">
        <f t="shared" si="1"/>
        <v>640.63636363636363</v>
      </c>
    </row>
    <row r="44" spans="1:6" x14ac:dyDescent="0.3">
      <c r="A44" s="31">
        <v>45722</v>
      </c>
      <c r="B44" s="32" t="s">
        <v>25</v>
      </c>
      <c r="C44" s="33">
        <v>3</v>
      </c>
      <c r="D44" s="34">
        <v>2364</v>
      </c>
      <c r="E44" s="24">
        <f t="shared" si="2"/>
        <v>7092</v>
      </c>
      <c r="F44" s="25">
        <f t="shared" si="1"/>
        <v>644.72727272727275</v>
      </c>
    </row>
    <row r="45" spans="1:6" x14ac:dyDescent="0.3">
      <c r="A45" s="31">
        <v>45722</v>
      </c>
      <c r="B45" s="32" t="s">
        <v>26</v>
      </c>
      <c r="C45" s="33">
        <v>1</v>
      </c>
      <c r="D45" s="34">
        <v>2349</v>
      </c>
      <c r="E45" s="24">
        <f t="shared" si="2"/>
        <v>2349</v>
      </c>
      <c r="F45" s="25">
        <f t="shared" si="1"/>
        <v>213.54545454545453</v>
      </c>
    </row>
    <row r="46" spans="1:6" x14ac:dyDescent="0.3">
      <c r="A46" s="31">
        <v>45723</v>
      </c>
      <c r="B46" s="32" t="s">
        <v>25</v>
      </c>
      <c r="C46" s="33">
        <v>2</v>
      </c>
      <c r="D46" s="34">
        <v>2364</v>
      </c>
      <c r="E46" s="24">
        <f t="shared" si="2"/>
        <v>4728</v>
      </c>
      <c r="F46" s="25">
        <f t="shared" si="1"/>
        <v>429.81818181818181</v>
      </c>
    </row>
    <row r="47" spans="1:6" ht="18" x14ac:dyDescent="0.35">
      <c r="A47" s="31">
        <v>45724</v>
      </c>
      <c r="B47" s="35" t="s">
        <v>28</v>
      </c>
      <c r="C47" s="33">
        <v>1</v>
      </c>
      <c r="D47" s="34">
        <v>2349</v>
      </c>
      <c r="E47" s="24">
        <f t="shared" si="2"/>
        <v>2349</v>
      </c>
      <c r="F47" s="25">
        <f t="shared" si="1"/>
        <v>213.54545454545453</v>
      </c>
    </row>
    <row r="48" spans="1:6" x14ac:dyDescent="0.3">
      <c r="A48" s="31">
        <v>45724</v>
      </c>
      <c r="B48" s="32" t="s">
        <v>26</v>
      </c>
      <c r="C48" s="33">
        <v>5</v>
      </c>
      <c r="D48" s="34">
        <v>2349</v>
      </c>
      <c r="E48" s="24">
        <f t="shared" si="2"/>
        <v>11745</v>
      </c>
      <c r="F48" s="25">
        <f t="shared" si="1"/>
        <v>1067.7272727272727</v>
      </c>
    </row>
    <row r="49" spans="1:6" x14ac:dyDescent="0.3">
      <c r="A49" s="31">
        <v>45727</v>
      </c>
      <c r="B49" s="32" t="s">
        <v>25</v>
      </c>
      <c r="C49" s="33">
        <v>2</v>
      </c>
      <c r="D49" s="34">
        <v>2349</v>
      </c>
      <c r="E49" s="24">
        <f t="shared" si="2"/>
        <v>4698</v>
      </c>
      <c r="F49" s="25">
        <f t="shared" si="1"/>
        <v>427.09090909090907</v>
      </c>
    </row>
    <row r="50" spans="1:6" x14ac:dyDescent="0.3">
      <c r="A50" s="31">
        <v>45727</v>
      </c>
      <c r="B50" s="32" t="s">
        <v>26</v>
      </c>
      <c r="C50" s="33">
        <v>2</v>
      </c>
      <c r="D50" s="34">
        <v>2349</v>
      </c>
      <c r="E50" s="24">
        <f t="shared" si="2"/>
        <v>4698</v>
      </c>
      <c r="F50" s="25">
        <f t="shared" si="1"/>
        <v>427.09090909090907</v>
      </c>
    </row>
    <row r="51" spans="1:6" x14ac:dyDescent="0.3">
      <c r="A51" s="31">
        <v>45728</v>
      </c>
      <c r="B51" s="32" t="s">
        <v>25</v>
      </c>
      <c r="C51" s="33">
        <v>2</v>
      </c>
      <c r="D51" s="34">
        <v>2349</v>
      </c>
      <c r="E51" s="24">
        <f t="shared" si="2"/>
        <v>4698</v>
      </c>
      <c r="F51" s="25">
        <f t="shared" si="1"/>
        <v>427.09090909090907</v>
      </c>
    </row>
    <row r="52" spans="1:6" x14ac:dyDescent="0.3">
      <c r="A52" s="31">
        <v>45729</v>
      </c>
      <c r="B52" s="32" t="s">
        <v>29</v>
      </c>
      <c r="C52" s="33">
        <v>9</v>
      </c>
      <c r="D52" s="34">
        <v>1549</v>
      </c>
      <c r="E52" s="24">
        <f t="shared" si="2"/>
        <v>13941</v>
      </c>
      <c r="F52" s="25">
        <f t="shared" si="1"/>
        <v>1267.3636363636363</v>
      </c>
    </row>
    <row r="53" spans="1:6" ht="18" x14ac:dyDescent="0.35">
      <c r="A53" s="31">
        <v>45729</v>
      </c>
      <c r="B53" s="35" t="s">
        <v>30</v>
      </c>
      <c r="C53" s="33">
        <v>2</v>
      </c>
      <c r="D53" s="34">
        <v>1549</v>
      </c>
      <c r="E53" s="24">
        <f t="shared" si="2"/>
        <v>3098</v>
      </c>
      <c r="F53" s="25">
        <f t="shared" si="1"/>
        <v>281.63636363636363</v>
      </c>
    </row>
    <row r="54" spans="1:6" x14ac:dyDescent="0.3">
      <c r="A54" s="26"/>
      <c r="B54" s="26"/>
      <c r="C54" s="27"/>
      <c r="D54" s="26"/>
      <c r="E54" s="24">
        <f t="shared" si="2"/>
        <v>0</v>
      </c>
      <c r="F54" s="25">
        <f t="shared" si="1"/>
        <v>0</v>
      </c>
    </row>
    <row r="55" spans="1:6" x14ac:dyDescent="0.3">
      <c r="A55" s="28">
        <v>45730</v>
      </c>
      <c r="B55" s="36" t="s">
        <v>31</v>
      </c>
      <c r="C55" s="27">
        <v>5</v>
      </c>
      <c r="D55" s="24">
        <v>679</v>
      </c>
      <c r="E55" s="24">
        <f t="shared" si="2"/>
        <v>3395</v>
      </c>
      <c r="F55" s="25">
        <f t="shared" si="1"/>
        <v>308.63636363636363</v>
      </c>
    </row>
    <row r="56" spans="1:6" x14ac:dyDescent="0.3">
      <c r="A56" s="28">
        <v>45730</v>
      </c>
      <c r="B56" s="36" t="s">
        <v>32</v>
      </c>
      <c r="C56" s="27">
        <v>8</v>
      </c>
      <c r="D56" s="24">
        <v>229</v>
      </c>
      <c r="E56" s="24">
        <f t="shared" si="2"/>
        <v>1832</v>
      </c>
      <c r="F56" s="25">
        <f t="shared" si="1"/>
        <v>166.54545454545453</v>
      </c>
    </row>
    <row r="57" spans="1:6" x14ac:dyDescent="0.3">
      <c r="A57" s="28">
        <v>45730</v>
      </c>
      <c r="B57" s="36" t="s">
        <v>33</v>
      </c>
      <c r="C57" s="27">
        <v>2</v>
      </c>
      <c r="D57" s="24">
        <v>679</v>
      </c>
      <c r="E57" s="24">
        <f t="shared" si="2"/>
        <v>1358</v>
      </c>
      <c r="F57" s="25">
        <f t="shared" si="1"/>
        <v>123.45454545454545</v>
      </c>
    </row>
    <row r="58" spans="1:6" x14ac:dyDescent="0.3">
      <c r="A58" s="28">
        <v>45730</v>
      </c>
      <c r="B58" s="36" t="s">
        <v>34</v>
      </c>
      <c r="C58" s="27">
        <v>6</v>
      </c>
      <c r="D58" s="24">
        <v>235</v>
      </c>
      <c r="E58" s="24">
        <f t="shared" si="2"/>
        <v>1410</v>
      </c>
      <c r="F58" s="25">
        <f t="shared" si="1"/>
        <v>128.18181818181819</v>
      </c>
    </row>
    <row r="59" spans="1:6" x14ac:dyDescent="0.3">
      <c r="A59" s="28">
        <v>45731</v>
      </c>
      <c r="B59" s="36" t="s">
        <v>35</v>
      </c>
      <c r="C59" s="27">
        <v>3</v>
      </c>
      <c r="D59" s="24">
        <v>679</v>
      </c>
      <c r="E59" s="24">
        <f t="shared" si="2"/>
        <v>2037</v>
      </c>
      <c r="F59" s="25">
        <f t="shared" si="1"/>
        <v>185.18181818181819</v>
      </c>
    </row>
    <row r="60" spans="1:6" x14ac:dyDescent="0.3">
      <c r="A60" s="28">
        <v>45731</v>
      </c>
      <c r="B60" s="36" t="s">
        <v>36</v>
      </c>
      <c r="C60" s="27">
        <v>2</v>
      </c>
      <c r="D60" s="24">
        <v>679</v>
      </c>
      <c r="E60" s="24">
        <f t="shared" si="2"/>
        <v>1358</v>
      </c>
      <c r="F60" s="25">
        <f t="shared" si="1"/>
        <v>123.45454545454545</v>
      </c>
    </row>
    <row r="61" spans="1:6" x14ac:dyDescent="0.3">
      <c r="A61" s="26"/>
      <c r="B61" s="36"/>
      <c r="C61" s="27"/>
      <c r="D61" s="26"/>
      <c r="E61" s="24">
        <f t="shared" si="2"/>
        <v>0</v>
      </c>
      <c r="F61" s="25">
        <f t="shared" si="1"/>
        <v>0</v>
      </c>
    </row>
    <row r="62" spans="1:6" x14ac:dyDescent="0.3">
      <c r="A62" s="37">
        <v>45733</v>
      </c>
      <c r="B62" s="36" t="s">
        <v>37</v>
      </c>
      <c r="C62" s="27">
        <v>5</v>
      </c>
      <c r="D62" s="24">
        <v>679</v>
      </c>
      <c r="E62" s="24">
        <f t="shared" si="2"/>
        <v>3395</v>
      </c>
      <c r="F62" s="25">
        <f t="shared" si="1"/>
        <v>308.63636363636363</v>
      </c>
    </row>
    <row r="63" spans="1:6" x14ac:dyDescent="0.3">
      <c r="A63" s="37">
        <v>45733</v>
      </c>
      <c r="B63" s="36" t="s">
        <v>38</v>
      </c>
      <c r="C63" s="27">
        <v>3</v>
      </c>
      <c r="D63" s="24">
        <v>235</v>
      </c>
      <c r="E63" s="24">
        <f t="shared" si="2"/>
        <v>705</v>
      </c>
      <c r="F63" s="25">
        <f t="shared" si="1"/>
        <v>64.090909090909093</v>
      </c>
    </row>
    <row r="64" spans="1:6" x14ac:dyDescent="0.3">
      <c r="A64" s="37">
        <v>45733</v>
      </c>
      <c r="B64" s="36" t="s">
        <v>39</v>
      </c>
      <c r="C64" s="27">
        <v>1</v>
      </c>
      <c r="D64" s="24">
        <v>190</v>
      </c>
      <c r="E64" s="24">
        <f t="shared" si="2"/>
        <v>190</v>
      </c>
      <c r="F64" s="25">
        <f t="shared" si="1"/>
        <v>17.272727272727273</v>
      </c>
    </row>
    <row r="65" spans="1:6" x14ac:dyDescent="0.3">
      <c r="A65" s="37">
        <v>45733</v>
      </c>
      <c r="B65" s="36" t="s">
        <v>40</v>
      </c>
      <c r="C65" s="27">
        <v>3</v>
      </c>
      <c r="D65" s="24">
        <v>679</v>
      </c>
      <c r="E65" s="24">
        <f t="shared" si="2"/>
        <v>2037</v>
      </c>
      <c r="F65" s="25">
        <f t="shared" si="1"/>
        <v>185.18181818181819</v>
      </c>
    </row>
    <row r="66" spans="1:6" x14ac:dyDescent="0.3">
      <c r="A66" s="37">
        <v>45733</v>
      </c>
      <c r="B66" s="36" t="s">
        <v>41</v>
      </c>
      <c r="C66" s="27">
        <v>2</v>
      </c>
      <c r="D66" s="24">
        <v>229</v>
      </c>
      <c r="E66" s="24">
        <f t="shared" si="2"/>
        <v>458</v>
      </c>
      <c r="F66" s="25">
        <f t="shared" si="1"/>
        <v>41.636363636363633</v>
      </c>
    </row>
    <row r="67" spans="1:6" x14ac:dyDescent="0.3">
      <c r="A67" s="37">
        <v>45733</v>
      </c>
      <c r="B67" s="36" t="s">
        <v>42</v>
      </c>
      <c r="C67" s="27">
        <v>17</v>
      </c>
      <c r="D67" s="24">
        <v>575</v>
      </c>
      <c r="E67" s="24">
        <f t="shared" si="2"/>
        <v>9775</v>
      </c>
      <c r="F67" s="25">
        <f t="shared" si="1"/>
        <v>888.63636363636363</v>
      </c>
    </row>
    <row r="68" spans="1:6" x14ac:dyDescent="0.3">
      <c r="A68" s="26"/>
      <c r="B68" s="36"/>
      <c r="C68" s="27"/>
      <c r="D68" s="26"/>
      <c r="E68" s="24">
        <f t="shared" si="2"/>
        <v>0</v>
      </c>
      <c r="F68" s="25">
        <f t="shared" si="1"/>
        <v>0</v>
      </c>
    </row>
    <row r="69" spans="1:6" x14ac:dyDescent="0.3">
      <c r="A69" s="37">
        <v>45734</v>
      </c>
      <c r="B69" s="36" t="s">
        <v>43</v>
      </c>
      <c r="C69" s="27">
        <v>3</v>
      </c>
      <c r="D69" s="24">
        <v>679</v>
      </c>
      <c r="E69" s="24">
        <f t="shared" si="2"/>
        <v>2037</v>
      </c>
      <c r="F69" s="25">
        <f t="shared" si="1"/>
        <v>185.18181818181819</v>
      </c>
    </row>
    <row r="70" spans="1:6" x14ac:dyDescent="0.3">
      <c r="A70" s="26"/>
      <c r="B70" s="36"/>
      <c r="C70" s="27"/>
      <c r="D70" s="26"/>
      <c r="E70" s="24">
        <f t="shared" si="2"/>
        <v>0</v>
      </c>
      <c r="F70" s="25">
        <f t="shared" ref="F70:F149" si="3">E70/11</f>
        <v>0</v>
      </c>
    </row>
    <row r="71" spans="1:6" x14ac:dyDescent="0.3">
      <c r="A71" s="37">
        <v>45735</v>
      </c>
      <c r="B71" s="36" t="s">
        <v>44</v>
      </c>
      <c r="C71" s="27">
        <v>2</v>
      </c>
      <c r="D71" s="24">
        <v>679</v>
      </c>
      <c r="E71" s="24">
        <f t="shared" si="2"/>
        <v>1358</v>
      </c>
      <c r="F71" s="25">
        <f t="shared" si="3"/>
        <v>123.45454545454545</v>
      </c>
    </row>
    <row r="72" spans="1:6" x14ac:dyDescent="0.3">
      <c r="A72" s="37">
        <v>45735</v>
      </c>
      <c r="B72" s="36" t="s">
        <v>45</v>
      </c>
      <c r="C72" s="27">
        <v>3</v>
      </c>
      <c r="D72" s="24">
        <v>679</v>
      </c>
      <c r="E72" s="24">
        <f t="shared" si="2"/>
        <v>2037</v>
      </c>
      <c r="F72" s="25">
        <f t="shared" si="3"/>
        <v>185.18181818181819</v>
      </c>
    </row>
    <row r="73" spans="1:6" x14ac:dyDescent="0.3">
      <c r="A73" s="37">
        <v>45735</v>
      </c>
      <c r="B73" s="36" t="s">
        <v>46</v>
      </c>
      <c r="C73" s="27">
        <v>3</v>
      </c>
      <c r="D73" s="24">
        <v>229</v>
      </c>
      <c r="E73" s="24">
        <f t="shared" si="2"/>
        <v>687</v>
      </c>
      <c r="F73" s="25">
        <f t="shared" si="3"/>
        <v>62.454545454545453</v>
      </c>
    </row>
    <row r="74" spans="1:6" x14ac:dyDescent="0.3">
      <c r="A74" s="37">
        <v>45735</v>
      </c>
      <c r="B74" s="36" t="s">
        <v>47</v>
      </c>
      <c r="C74" s="27">
        <v>3</v>
      </c>
      <c r="D74" s="24">
        <v>679</v>
      </c>
      <c r="E74" s="24">
        <f t="shared" si="2"/>
        <v>2037</v>
      </c>
      <c r="F74" s="25">
        <f t="shared" si="3"/>
        <v>185.18181818181819</v>
      </c>
    </row>
    <row r="75" spans="1:6" x14ac:dyDescent="0.3">
      <c r="A75" s="37">
        <v>45735</v>
      </c>
      <c r="B75" s="36" t="s">
        <v>48</v>
      </c>
      <c r="C75" s="27">
        <v>2</v>
      </c>
      <c r="D75" s="24">
        <v>679</v>
      </c>
      <c r="E75" s="24">
        <f t="shared" si="2"/>
        <v>1358</v>
      </c>
      <c r="F75" s="25">
        <f t="shared" si="3"/>
        <v>123.45454545454545</v>
      </c>
    </row>
    <row r="76" spans="1:6" x14ac:dyDescent="0.3">
      <c r="A76" s="26"/>
      <c r="B76" s="26"/>
      <c r="C76" s="27"/>
      <c r="D76" s="26"/>
      <c r="E76" s="24">
        <f t="shared" si="2"/>
        <v>0</v>
      </c>
      <c r="F76" s="25">
        <f t="shared" si="3"/>
        <v>0</v>
      </c>
    </row>
    <row r="77" spans="1:6" x14ac:dyDescent="0.3">
      <c r="A77" s="37">
        <v>45736</v>
      </c>
      <c r="B77" s="24" t="s">
        <v>49</v>
      </c>
      <c r="C77" s="24">
        <v>1</v>
      </c>
      <c r="D77" s="24">
        <v>679</v>
      </c>
      <c r="E77" s="24">
        <f t="shared" si="2"/>
        <v>679</v>
      </c>
      <c r="F77" s="25">
        <f t="shared" si="3"/>
        <v>61.727272727272727</v>
      </c>
    </row>
    <row r="78" spans="1:6" x14ac:dyDescent="0.3">
      <c r="A78" s="37">
        <v>45736</v>
      </c>
      <c r="B78" s="24" t="s">
        <v>50</v>
      </c>
      <c r="C78" s="24">
        <v>1</v>
      </c>
      <c r="D78" s="24">
        <v>163</v>
      </c>
      <c r="E78" s="24">
        <f t="shared" si="2"/>
        <v>163</v>
      </c>
      <c r="F78" s="25">
        <f t="shared" si="3"/>
        <v>14.818181818181818</v>
      </c>
    </row>
    <row r="79" spans="1:6" x14ac:dyDescent="0.3">
      <c r="A79" s="57"/>
      <c r="B79" s="58"/>
      <c r="C79" s="58"/>
      <c r="D79" s="58"/>
      <c r="E79" s="24">
        <f t="shared" si="2"/>
        <v>0</v>
      </c>
      <c r="F79" s="25">
        <f t="shared" si="3"/>
        <v>0</v>
      </c>
    </row>
    <row r="80" spans="1:6" x14ac:dyDescent="0.3">
      <c r="A80" s="57">
        <v>45739</v>
      </c>
      <c r="B80" s="59" t="s">
        <v>51</v>
      </c>
      <c r="C80" s="58">
        <v>1</v>
      </c>
      <c r="D80" s="58">
        <v>2149</v>
      </c>
      <c r="E80" s="24">
        <f t="shared" si="2"/>
        <v>2149</v>
      </c>
      <c r="F80" s="25">
        <f t="shared" si="3"/>
        <v>195.36363636363637</v>
      </c>
    </row>
    <row r="81" spans="1:6" x14ac:dyDescent="0.3">
      <c r="A81" s="57">
        <v>45739</v>
      </c>
      <c r="B81" s="59" t="s">
        <v>52</v>
      </c>
      <c r="C81" s="58">
        <v>1</v>
      </c>
      <c r="D81" s="58">
        <v>2042</v>
      </c>
      <c r="E81" s="24">
        <f t="shared" si="2"/>
        <v>2042</v>
      </c>
      <c r="F81" s="25">
        <f t="shared" si="3"/>
        <v>185.63636363636363</v>
      </c>
    </row>
    <row r="82" spans="1:6" x14ac:dyDescent="0.3">
      <c r="A82" s="57">
        <v>45739</v>
      </c>
      <c r="B82" s="59" t="s">
        <v>53</v>
      </c>
      <c r="C82" s="58">
        <v>2</v>
      </c>
      <c r="D82" s="58">
        <v>2090</v>
      </c>
      <c r="E82" s="24">
        <f t="shared" si="2"/>
        <v>4180</v>
      </c>
      <c r="F82" s="25">
        <f t="shared" si="3"/>
        <v>380</v>
      </c>
    </row>
    <row r="83" spans="1:6" x14ac:dyDescent="0.3">
      <c r="A83" s="57">
        <v>45739</v>
      </c>
      <c r="B83" s="59" t="s">
        <v>54</v>
      </c>
      <c r="C83" s="58">
        <v>1</v>
      </c>
      <c r="D83" s="58">
        <v>275</v>
      </c>
      <c r="E83" s="24">
        <f t="shared" si="2"/>
        <v>275</v>
      </c>
      <c r="F83" s="25">
        <f t="shared" si="3"/>
        <v>25</v>
      </c>
    </row>
    <row r="84" spans="1:6" x14ac:dyDescent="0.3">
      <c r="A84" s="58"/>
      <c r="B84" s="58"/>
      <c r="C84" s="58"/>
      <c r="D84" s="58"/>
      <c r="E84" s="24">
        <f t="shared" si="2"/>
        <v>0</v>
      </c>
      <c r="F84" s="25">
        <f t="shared" si="3"/>
        <v>0</v>
      </c>
    </row>
    <row r="85" spans="1:6" x14ac:dyDescent="0.3">
      <c r="A85" s="57">
        <v>45740</v>
      </c>
      <c r="B85" s="59" t="s">
        <v>55</v>
      </c>
      <c r="C85" s="58">
        <v>2</v>
      </c>
      <c r="D85" s="58">
        <v>2090</v>
      </c>
      <c r="E85" s="24">
        <f t="shared" si="2"/>
        <v>4180</v>
      </c>
      <c r="F85" s="25">
        <f t="shared" si="3"/>
        <v>380</v>
      </c>
    </row>
    <row r="86" spans="1:6" x14ac:dyDescent="0.3">
      <c r="A86" s="57">
        <v>45740</v>
      </c>
      <c r="B86" s="59" t="s">
        <v>56</v>
      </c>
      <c r="C86" s="58">
        <v>2</v>
      </c>
      <c r="D86" s="58">
        <v>2090</v>
      </c>
      <c r="E86" s="24">
        <f t="shared" si="2"/>
        <v>4180</v>
      </c>
      <c r="F86" s="25">
        <f t="shared" si="3"/>
        <v>380</v>
      </c>
    </row>
    <row r="87" spans="1:6" x14ac:dyDescent="0.3">
      <c r="A87" s="57">
        <v>45740</v>
      </c>
      <c r="B87" s="59" t="s">
        <v>57</v>
      </c>
      <c r="C87" s="58">
        <v>2</v>
      </c>
      <c r="D87" s="58">
        <v>695</v>
      </c>
      <c r="E87" s="24">
        <f t="shared" si="2"/>
        <v>1390</v>
      </c>
      <c r="F87" s="25">
        <f t="shared" si="3"/>
        <v>126.36363636363636</v>
      </c>
    </row>
    <row r="88" spans="1:6" x14ac:dyDescent="0.3">
      <c r="A88" s="60"/>
      <c r="B88" s="60"/>
      <c r="C88" s="61"/>
      <c r="D88" s="60"/>
      <c r="E88" s="24">
        <f t="shared" si="2"/>
        <v>0</v>
      </c>
      <c r="F88" s="25">
        <f t="shared" si="3"/>
        <v>0</v>
      </c>
    </row>
    <row r="89" spans="1:6" x14ac:dyDescent="0.3">
      <c r="A89" s="57">
        <v>45742</v>
      </c>
      <c r="B89" s="59" t="s">
        <v>53</v>
      </c>
      <c r="C89" s="58">
        <v>2</v>
      </c>
      <c r="D89" s="58">
        <v>2090</v>
      </c>
      <c r="E89" s="24">
        <f t="shared" si="2"/>
        <v>4180</v>
      </c>
      <c r="F89" s="25">
        <f t="shared" si="3"/>
        <v>380</v>
      </c>
    </row>
    <row r="90" spans="1:6" x14ac:dyDescent="0.3">
      <c r="A90" s="57">
        <v>45742</v>
      </c>
      <c r="B90" s="59" t="s">
        <v>58</v>
      </c>
      <c r="C90" s="58">
        <v>1</v>
      </c>
      <c r="D90" s="58">
        <v>2090</v>
      </c>
      <c r="E90" s="24">
        <f t="shared" si="2"/>
        <v>2090</v>
      </c>
      <c r="F90" s="25">
        <f t="shared" si="3"/>
        <v>190</v>
      </c>
    </row>
    <row r="91" spans="1:6" x14ac:dyDescent="0.3">
      <c r="A91" s="57">
        <v>45742</v>
      </c>
      <c r="B91" s="59" t="s">
        <v>59</v>
      </c>
      <c r="C91" s="58">
        <v>1</v>
      </c>
      <c r="D91" s="58">
        <v>2090</v>
      </c>
      <c r="E91" s="24">
        <f t="shared" si="2"/>
        <v>2090</v>
      </c>
      <c r="F91" s="25">
        <f t="shared" si="3"/>
        <v>190</v>
      </c>
    </row>
    <row r="92" spans="1:6" x14ac:dyDescent="0.3">
      <c r="A92" s="57">
        <v>45742</v>
      </c>
      <c r="B92" s="59" t="s">
        <v>60</v>
      </c>
      <c r="C92" s="58">
        <v>2</v>
      </c>
      <c r="D92" s="58">
        <v>2090</v>
      </c>
      <c r="E92" s="24">
        <f t="shared" si="2"/>
        <v>4180</v>
      </c>
      <c r="F92" s="25">
        <f t="shared" si="3"/>
        <v>380</v>
      </c>
    </row>
    <row r="93" spans="1:6" x14ac:dyDescent="0.3">
      <c r="A93" s="57">
        <v>45742</v>
      </c>
      <c r="B93" s="59" t="s">
        <v>61</v>
      </c>
      <c r="C93" s="58">
        <v>2</v>
      </c>
      <c r="D93" s="58">
        <v>2090</v>
      </c>
      <c r="E93" s="24">
        <f t="shared" si="2"/>
        <v>4180</v>
      </c>
      <c r="F93" s="25">
        <f t="shared" si="3"/>
        <v>380</v>
      </c>
    </row>
    <row r="94" spans="1:6" x14ac:dyDescent="0.3">
      <c r="A94" s="57">
        <v>45742</v>
      </c>
      <c r="B94" s="59" t="s">
        <v>55</v>
      </c>
      <c r="C94" s="58">
        <v>2</v>
      </c>
      <c r="D94" s="58">
        <v>2090</v>
      </c>
      <c r="E94" s="24">
        <f t="shared" si="2"/>
        <v>4180</v>
      </c>
      <c r="F94" s="25">
        <f t="shared" si="3"/>
        <v>380</v>
      </c>
    </row>
    <row r="95" spans="1:6" x14ac:dyDescent="0.3">
      <c r="A95" s="57">
        <v>45742</v>
      </c>
      <c r="B95" s="59" t="s">
        <v>62</v>
      </c>
      <c r="C95" s="58">
        <v>2</v>
      </c>
      <c r="D95" s="58">
        <v>669</v>
      </c>
      <c r="E95" s="24">
        <f t="shared" si="2"/>
        <v>1338</v>
      </c>
      <c r="F95" s="25">
        <f t="shared" si="3"/>
        <v>121.63636363636364</v>
      </c>
    </row>
    <row r="96" spans="1:6" x14ac:dyDescent="0.3">
      <c r="A96" s="60"/>
      <c r="B96" s="60"/>
      <c r="C96" s="61"/>
      <c r="D96" s="60"/>
      <c r="E96" s="24">
        <f t="shared" si="2"/>
        <v>0</v>
      </c>
      <c r="F96" s="25">
        <f t="shared" si="3"/>
        <v>0</v>
      </c>
    </row>
    <row r="97" spans="1:6" x14ac:dyDescent="0.3">
      <c r="A97" s="57">
        <v>45742</v>
      </c>
      <c r="B97" s="60" t="s">
        <v>63</v>
      </c>
      <c r="C97" s="58">
        <v>1</v>
      </c>
      <c r="D97" s="58">
        <v>699</v>
      </c>
      <c r="E97" s="24">
        <f t="shared" si="2"/>
        <v>699</v>
      </c>
      <c r="F97" s="25">
        <f t="shared" si="3"/>
        <v>63.545454545454547</v>
      </c>
    </row>
    <row r="98" spans="1:6" x14ac:dyDescent="0.3">
      <c r="A98" s="57">
        <v>45742</v>
      </c>
      <c r="B98" s="60" t="s">
        <v>64</v>
      </c>
      <c r="C98" s="58">
        <v>1</v>
      </c>
      <c r="D98" s="58">
        <v>2149</v>
      </c>
      <c r="E98" s="24">
        <f t="shared" si="2"/>
        <v>2149</v>
      </c>
      <c r="F98" s="25">
        <f t="shared" si="3"/>
        <v>195.36363636363637</v>
      </c>
    </row>
    <row r="99" spans="1:6" x14ac:dyDescent="0.3">
      <c r="A99" s="57">
        <v>45742</v>
      </c>
      <c r="B99" s="60" t="s">
        <v>65</v>
      </c>
      <c r="C99" s="58">
        <v>5</v>
      </c>
      <c r="D99" s="58">
        <v>2199</v>
      </c>
      <c r="E99" s="24">
        <f t="shared" si="2"/>
        <v>10995</v>
      </c>
      <c r="F99" s="25">
        <f t="shared" si="3"/>
        <v>999.5454545454545</v>
      </c>
    </row>
    <row r="100" spans="1:6" x14ac:dyDescent="0.3">
      <c r="A100" s="57">
        <v>45742</v>
      </c>
      <c r="B100" s="60" t="s">
        <v>66</v>
      </c>
      <c r="C100" s="58">
        <v>2</v>
      </c>
      <c r="D100" s="58">
        <v>1880.99</v>
      </c>
      <c r="E100" s="24">
        <f t="shared" ref="E100:E149" si="4">D100*C100</f>
        <v>3761.98</v>
      </c>
      <c r="F100" s="25">
        <f t="shared" si="3"/>
        <v>341.99818181818182</v>
      </c>
    </row>
    <row r="101" spans="1:6" x14ac:dyDescent="0.3">
      <c r="A101" s="60"/>
      <c r="B101" s="60"/>
      <c r="C101" s="61"/>
      <c r="D101" s="60"/>
      <c r="E101" s="24">
        <f t="shared" si="4"/>
        <v>0</v>
      </c>
      <c r="F101" s="25">
        <f t="shared" si="3"/>
        <v>0</v>
      </c>
    </row>
    <row r="102" spans="1:6" x14ac:dyDescent="0.3">
      <c r="A102" s="57">
        <v>45743</v>
      </c>
      <c r="B102" s="60" t="s">
        <v>67</v>
      </c>
      <c r="C102" s="58">
        <v>2</v>
      </c>
      <c r="D102" s="58">
        <v>2089.4899999999998</v>
      </c>
      <c r="E102" s="24">
        <f t="shared" si="4"/>
        <v>4178.9799999999996</v>
      </c>
      <c r="F102" s="25">
        <f t="shared" si="3"/>
        <v>379.9072727272727</v>
      </c>
    </row>
    <row r="103" spans="1:6" x14ac:dyDescent="0.3">
      <c r="A103" s="57">
        <v>45743</v>
      </c>
      <c r="B103" s="60" t="s">
        <v>68</v>
      </c>
      <c r="C103" s="58">
        <v>2</v>
      </c>
      <c r="D103" s="58">
        <v>2089.4899999999998</v>
      </c>
      <c r="E103" s="24">
        <f t="shared" si="4"/>
        <v>4178.9799999999996</v>
      </c>
      <c r="F103" s="25">
        <f t="shared" si="3"/>
        <v>379.9072727272727</v>
      </c>
    </row>
    <row r="104" spans="1:6" x14ac:dyDescent="0.3">
      <c r="A104" s="57">
        <v>45743</v>
      </c>
      <c r="B104" s="60" t="s">
        <v>69</v>
      </c>
      <c r="C104" s="58">
        <v>2</v>
      </c>
      <c r="D104" s="58">
        <v>2089.4899999999998</v>
      </c>
      <c r="E104" s="24">
        <f t="shared" si="4"/>
        <v>4178.9799999999996</v>
      </c>
      <c r="F104" s="25">
        <f t="shared" si="3"/>
        <v>379.9072727272727</v>
      </c>
    </row>
    <row r="105" spans="1:6" x14ac:dyDescent="0.3">
      <c r="A105" s="57">
        <v>45743</v>
      </c>
      <c r="B105" s="60" t="s">
        <v>70</v>
      </c>
      <c r="C105" s="58">
        <v>2</v>
      </c>
      <c r="D105" s="58">
        <v>2089.4899999999998</v>
      </c>
      <c r="E105" s="24">
        <f t="shared" si="4"/>
        <v>4178.9799999999996</v>
      </c>
      <c r="F105" s="25">
        <f t="shared" si="3"/>
        <v>379.9072727272727</v>
      </c>
    </row>
    <row r="106" spans="1:6" x14ac:dyDescent="0.3">
      <c r="A106" s="57">
        <v>45743</v>
      </c>
      <c r="B106" s="60" t="s">
        <v>71</v>
      </c>
      <c r="C106" s="58">
        <v>2</v>
      </c>
      <c r="D106" s="58">
        <v>2089.4899999999998</v>
      </c>
      <c r="E106" s="24">
        <f t="shared" si="4"/>
        <v>4178.9799999999996</v>
      </c>
      <c r="F106" s="25">
        <f t="shared" si="3"/>
        <v>379.9072727272727</v>
      </c>
    </row>
    <row r="107" spans="1:6" x14ac:dyDescent="0.3">
      <c r="A107" s="58"/>
      <c r="B107" s="58"/>
      <c r="C107" s="58"/>
      <c r="D107" s="58"/>
      <c r="E107" s="24">
        <f t="shared" si="4"/>
        <v>0</v>
      </c>
      <c r="F107" s="25">
        <f t="shared" si="3"/>
        <v>0</v>
      </c>
    </row>
    <row r="108" spans="1:6" x14ac:dyDescent="0.3">
      <c r="A108" s="57">
        <v>45743</v>
      </c>
      <c r="B108" s="60" t="s">
        <v>72</v>
      </c>
      <c r="C108" s="58">
        <v>2</v>
      </c>
      <c r="D108" s="58">
        <v>2204</v>
      </c>
      <c r="E108" s="24">
        <f t="shared" si="4"/>
        <v>4408</v>
      </c>
      <c r="F108" s="25">
        <f t="shared" si="3"/>
        <v>400.72727272727275</v>
      </c>
    </row>
    <row r="109" spans="1:6" x14ac:dyDescent="0.3">
      <c r="A109" s="60"/>
      <c r="B109" s="60"/>
      <c r="C109" s="61"/>
      <c r="D109" s="60"/>
      <c r="E109" s="24">
        <f t="shared" si="4"/>
        <v>0</v>
      </c>
      <c r="F109" s="25">
        <f t="shared" si="3"/>
        <v>0</v>
      </c>
    </row>
    <row r="110" spans="1:6" x14ac:dyDescent="0.3">
      <c r="A110" s="60"/>
      <c r="B110" s="60"/>
      <c r="C110" s="61"/>
      <c r="D110" s="60"/>
      <c r="E110" s="24">
        <f t="shared" si="4"/>
        <v>0</v>
      </c>
      <c r="F110" s="25">
        <f t="shared" si="3"/>
        <v>0</v>
      </c>
    </row>
    <row r="111" spans="1:6" x14ac:dyDescent="0.3">
      <c r="A111" s="57">
        <v>45744</v>
      </c>
      <c r="B111" s="60" t="s">
        <v>73</v>
      </c>
      <c r="C111" s="58">
        <v>2</v>
      </c>
      <c r="D111" s="58">
        <v>2089.4899999999998</v>
      </c>
      <c r="E111" s="24">
        <f t="shared" si="4"/>
        <v>4178.9799999999996</v>
      </c>
      <c r="F111" s="25">
        <f t="shared" si="3"/>
        <v>379.9072727272727</v>
      </c>
    </row>
    <row r="112" spans="1:6" x14ac:dyDescent="0.3">
      <c r="A112" s="57">
        <v>45744</v>
      </c>
      <c r="B112" s="60" t="s">
        <v>74</v>
      </c>
      <c r="C112" s="58">
        <v>1</v>
      </c>
      <c r="D112" s="58">
        <v>2204</v>
      </c>
      <c r="E112" s="24">
        <f t="shared" si="4"/>
        <v>2204</v>
      </c>
      <c r="F112" s="25">
        <f t="shared" si="3"/>
        <v>200.36363636363637</v>
      </c>
    </row>
    <row r="113" spans="1:6" x14ac:dyDescent="0.3">
      <c r="A113" s="58"/>
      <c r="B113" s="58"/>
      <c r="C113" s="58"/>
      <c r="D113" s="58"/>
      <c r="E113" s="24">
        <f t="shared" si="4"/>
        <v>0</v>
      </c>
      <c r="F113" s="25">
        <f t="shared" si="3"/>
        <v>0</v>
      </c>
    </row>
    <row r="114" spans="1:6" x14ac:dyDescent="0.3">
      <c r="A114" s="57">
        <v>45744</v>
      </c>
      <c r="B114" s="60" t="s">
        <v>75</v>
      </c>
      <c r="C114" s="58">
        <v>2</v>
      </c>
      <c r="D114" s="62">
        <v>220</v>
      </c>
      <c r="E114" s="24">
        <f t="shared" si="4"/>
        <v>440</v>
      </c>
      <c r="F114" s="25">
        <f t="shared" si="3"/>
        <v>40</v>
      </c>
    </row>
    <row r="115" spans="1:6" x14ac:dyDescent="0.3">
      <c r="A115" s="57">
        <v>45744</v>
      </c>
      <c r="B115" s="60" t="s">
        <v>76</v>
      </c>
      <c r="C115" s="58">
        <v>2</v>
      </c>
      <c r="D115" s="62">
        <v>89</v>
      </c>
      <c r="E115" s="24">
        <f t="shared" si="4"/>
        <v>178</v>
      </c>
      <c r="F115" s="25">
        <f t="shared" si="3"/>
        <v>16.181818181818183</v>
      </c>
    </row>
    <row r="116" spans="1:6" x14ac:dyDescent="0.3">
      <c r="A116" s="57">
        <v>45744</v>
      </c>
      <c r="B116" s="60" t="s">
        <v>77</v>
      </c>
      <c r="C116" s="58">
        <v>2</v>
      </c>
      <c r="D116" s="62">
        <v>89</v>
      </c>
      <c r="E116" s="24">
        <f t="shared" si="4"/>
        <v>178</v>
      </c>
      <c r="F116" s="25">
        <f t="shared" si="3"/>
        <v>16.181818181818183</v>
      </c>
    </row>
    <row r="117" spans="1:6" x14ac:dyDescent="0.3">
      <c r="A117" s="57">
        <v>45744</v>
      </c>
      <c r="B117" s="60" t="s">
        <v>78</v>
      </c>
      <c r="C117" s="58">
        <v>2</v>
      </c>
      <c r="D117" s="62">
        <v>89</v>
      </c>
      <c r="E117" s="24">
        <f t="shared" si="4"/>
        <v>178</v>
      </c>
      <c r="F117" s="25">
        <f t="shared" si="3"/>
        <v>16.181818181818183</v>
      </c>
    </row>
    <row r="118" spans="1:6" x14ac:dyDescent="0.3">
      <c r="A118" s="57">
        <v>45744</v>
      </c>
      <c r="B118" s="60" t="s">
        <v>79</v>
      </c>
      <c r="C118" s="58">
        <v>2</v>
      </c>
      <c r="D118" s="62">
        <v>55</v>
      </c>
      <c r="E118" s="24">
        <f t="shared" si="4"/>
        <v>110</v>
      </c>
      <c r="F118" s="25">
        <f t="shared" si="3"/>
        <v>10</v>
      </c>
    </row>
    <row r="119" spans="1:6" x14ac:dyDescent="0.3">
      <c r="A119" s="58"/>
      <c r="B119" s="58"/>
      <c r="C119" s="58"/>
      <c r="D119" s="58"/>
      <c r="E119" s="24">
        <f t="shared" si="4"/>
        <v>0</v>
      </c>
      <c r="F119" s="25">
        <f t="shared" si="3"/>
        <v>0</v>
      </c>
    </row>
    <row r="120" spans="1:6" x14ac:dyDescent="0.3">
      <c r="A120" s="57">
        <v>45744</v>
      </c>
      <c r="B120" s="60" t="s">
        <v>80</v>
      </c>
      <c r="C120" s="58">
        <v>2</v>
      </c>
      <c r="D120" s="62">
        <v>220</v>
      </c>
      <c r="E120" s="24">
        <f t="shared" si="4"/>
        <v>440</v>
      </c>
      <c r="F120" s="25">
        <f t="shared" si="3"/>
        <v>40</v>
      </c>
    </row>
    <row r="121" spans="1:6" x14ac:dyDescent="0.3">
      <c r="A121" s="57">
        <v>45744</v>
      </c>
      <c r="B121" s="60" t="s">
        <v>80</v>
      </c>
      <c r="C121" s="58">
        <v>2</v>
      </c>
      <c r="D121" s="62">
        <v>220</v>
      </c>
      <c r="E121" s="24">
        <f t="shared" si="4"/>
        <v>440</v>
      </c>
      <c r="F121" s="25">
        <f t="shared" si="3"/>
        <v>40</v>
      </c>
    </row>
    <row r="122" spans="1:6" x14ac:dyDescent="0.3">
      <c r="A122" s="57">
        <v>45744</v>
      </c>
      <c r="B122" s="60" t="s">
        <v>81</v>
      </c>
      <c r="C122" s="58">
        <v>2</v>
      </c>
      <c r="D122" s="62">
        <v>89</v>
      </c>
      <c r="E122" s="24">
        <f t="shared" si="4"/>
        <v>178</v>
      </c>
      <c r="F122" s="25">
        <f t="shared" si="3"/>
        <v>16.181818181818183</v>
      </c>
    </row>
    <row r="123" spans="1:6" x14ac:dyDescent="0.3">
      <c r="A123" s="57">
        <v>45744</v>
      </c>
      <c r="B123" s="60" t="s">
        <v>82</v>
      </c>
      <c r="C123" s="58">
        <v>1</v>
      </c>
      <c r="D123" s="62">
        <v>89</v>
      </c>
      <c r="E123" s="24">
        <f t="shared" si="4"/>
        <v>89</v>
      </c>
      <c r="F123" s="25">
        <f t="shared" si="3"/>
        <v>8.0909090909090917</v>
      </c>
    </row>
    <row r="124" spans="1:6" x14ac:dyDescent="0.3">
      <c r="A124" s="60"/>
      <c r="B124" s="60"/>
      <c r="C124" s="61"/>
      <c r="D124" s="60"/>
      <c r="E124" s="24">
        <f t="shared" si="4"/>
        <v>0</v>
      </c>
      <c r="F124" s="25">
        <f t="shared" si="3"/>
        <v>0</v>
      </c>
    </row>
    <row r="125" spans="1:6" x14ac:dyDescent="0.3">
      <c r="A125" s="57">
        <v>45745</v>
      </c>
      <c r="B125" s="60" t="s">
        <v>83</v>
      </c>
      <c r="C125" s="58">
        <v>2</v>
      </c>
      <c r="D125" s="58">
        <v>2089.4899999999998</v>
      </c>
      <c r="E125" s="24">
        <f t="shared" si="4"/>
        <v>4178.9799999999996</v>
      </c>
      <c r="F125" s="25">
        <f t="shared" si="3"/>
        <v>379.9072727272727</v>
      </c>
    </row>
    <row r="126" spans="1:6" x14ac:dyDescent="0.3">
      <c r="A126" s="57">
        <v>45745</v>
      </c>
      <c r="B126" s="59" t="s">
        <v>84</v>
      </c>
      <c r="C126" s="58">
        <v>2</v>
      </c>
      <c r="D126" s="58">
        <v>2204</v>
      </c>
      <c r="E126" s="24">
        <f t="shared" si="4"/>
        <v>4408</v>
      </c>
      <c r="F126" s="25">
        <f t="shared" si="3"/>
        <v>400.72727272727275</v>
      </c>
    </row>
    <row r="127" spans="1:6" x14ac:dyDescent="0.3">
      <c r="A127" s="57">
        <v>45745</v>
      </c>
      <c r="B127" s="59" t="s">
        <v>85</v>
      </c>
      <c r="C127" s="58">
        <v>1</v>
      </c>
      <c r="D127" s="58">
        <v>669</v>
      </c>
      <c r="E127" s="24">
        <f t="shared" si="4"/>
        <v>669</v>
      </c>
      <c r="F127" s="25">
        <f t="shared" si="3"/>
        <v>60.81818181818182</v>
      </c>
    </row>
    <row r="128" spans="1:6" x14ac:dyDescent="0.3">
      <c r="A128" s="60"/>
      <c r="B128" s="60"/>
      <c r="C128" s="60"/>
      <c r="D128" s="60"/>
      <c r="E128" s="24">
        <f t="shared" ref="E128:E149" si="5">D128*C128</f>
        <v>0</v>
      </c>
      <c r="F128" s="25">
        <f t="shared" ref="F128:F149" si="6">E128/11</f>
        <v>0</v>
      </c>
    </row>
    <row r="129" spans="1:6" x14ac:dyDescent="0.3">
      <c r="A129" s="60"/>
      <c r="B129" s="60"/>
      <c r="C129" s="60"/>
      <c r="D129" s="60"/>
      <c r="E129" s="24">
        <f t="shared" si="5"/>
        <v>0</v>
      </c>
      <c r="F129" s="25">
        <f t="shared" si="6"/>
        <v>0</v>
      </c>
    </row>
    <row r="130" spans="1:6" x14ac:dyDescent="0.3">
      <c r="A130" s="57">
        <v>45747</v>
      </c>
      <c r="B130" s="59" t="s">
        <v>102</v>
      </c>
      <c r="C130" s="58">
        <v>2</v>
      </c>
      <c r="D130" s="58">
        <v>2460.9899999999998</v>
      </c>
      <c r="E130" s="24">
        <f t="shared" si="5"/>
        <v>4921.9799999999996</v>
      </c>
      <c r="F130" s="25">
        <f t="shared" si="6"/>
        <v>447.45272727272726</v>
      </c>
    </row>
    <row r="131" spans="1:6" x14ac:dyDescent="0.3">
      <c r="A131" s="57">
        <v>45747</v>
      </c>
      <c r="B131" s="59" t="s">
        <v>103</v>
      </c>
      <c r="C131" s="58">
        <v>2</v>
      </c>
      <c r="D131" s="58">
        <v>2089.9899999999998</v>
      </c>
      <c r="E131" s="24">
        <f t="shared" si="5"/>
        <v>4179.9799999999996</v>
      </c>
      <c r="F131" s="25">
        <f t="shared" si="6"/>
        <v>379.99818181818176</v>
      </c>
    </row>
    <row r="132" spans="1:6" x14ac:dyDescent="0.3">
      <c r="A132" s="57">
        <v>45747</v>
      </c>
      <c r="B132" s="59" t="s">
        <v>104</v>
      </c>
      <c r="C132" s="58">
        <v>2</v>
      </c>
      <c r="D132" s="58">
        <v>2460.9899999999998</v>
      </c>
      <c r="E132" s="24">
        <f t="shared" si="5"/>
        <v>4921.9799999999996</v>
      </c>
      <c r="F132" s="25">
        <f t="shared" si="6"/>
        <v>447.45272727272726</v>
      </c>
    </row>
    <row r="133" spans="1:6" x14ac:dyDescent="0.3">
      <c r="A133" s="57">
        <v>45747</v>
      </c>
      <c r="B133" s="59" t="s">
        <v>105</v>
      </c>
      <c r="C133" s="58">
        <v>10</v>
      </c>
      <c r="D133" s="58">
        <v>213</v>
      </c>
      <c r="E133" s="24">
        <f t="shared" si="5"/>
        <v>2130</v>
      </c>
      <c r="F133" s="25">
        <f t="shared" si="6"/>
        <v>193.63636363636363</v>
      </c>
    </row>
    <row r="134" spans="1:6" x14ac:dyDescent="0.3">
      <c r="A134" s="57">
        <v>45747</v>
      </c>
      <c r="B134" s="59" t="s">
        <v>106</v>
      </c>
      <c r="C134" s="58">
        <v>10</v>
      </c>
      <c r="D134" s="58">
        <v>87</v>
      </c>
      <c r="E134" s="24">
        <f t="shared" si="5"/>
        <v>870</v>
      </c>
      <c r="F134" s="25">
        <f t="shared" si="6"/>
        <v>79.090909090909093</v>
      </c>
    </row>
    <row r="135" spans="1:6" x14ac:dyDescent="0.3">
      <c r="A135" s="26"/>
      <c r="B135" s="26"/>
      <c r="C135" s="26"/>
      <c r="D135" s="26"/>
      <c r="E135" s="24">
        <f t="shared" si="5"/>
        <v>0</v>
      </c>
      <c r="F135" s="25">
        <f t="shared" si="6"/>
        <v>0</v>
      </c>
    </row>
    <row r="136" spans="1:6" x14ac:dyDescent="0.3">
      <c r="A136" s="26"/>
      <c r="B136" s="26"/>
      <c r="C136" s="26"/>
      <c r="D136" s="26"/>
      <c r="E136" s="24">
        <f t="shared" si="5"/>
        <v>0</v>
      </c>
      <c r="F136" s="25">
        <f t="shared" si="6"/>
        <v>0</v>
      </c>
    </row>
    <row r="137" spans="1:6" x14ac:dyDescent="0.3">
      <c r="A137" s="26"/>
      <c r="B137" s="26"/>
      <c r="C137" s="26"/>
      <c r="D137" s="26"/>
      <c r="E137" s="24">
        <f t="shared" si="5"/>
        <v>0</v>
      </c>
      <c r="F137" s="25">
        <f t="shared" si="6"/>
        <v>0</v>
      </c>
    </row>
    <row r="138" spans="1:6" x14ac:dyDescent="0.3">
      <c r="A138" s="26"/>
      <c r="B138" s="26"/>
      <c r="C138" s="26"/>
      <c r="D138" s="26"/>
      <c r="E138" s="24">
        <f t="shared" si="5"/>
        <v>0</v>
      </c>
      <c r="F138" s="25">
        <f t="shared" si="6"/>
        <v>0</v>
      </c>
    </row>
    <row r="139" spans="1:6" x14ac:dyDescent="0.3">
      <c r="A139" s="26"/>
      <c r="B139" s="26"/>
      <c r="C139" s="26"/>
      <c r="D139" s="26"/>
      <c r="E139" s="24">
        <f t="shared" si="5"/>
        <v>0</v>
      </c>
      <c r="F139" s="25">
        <f t="shared" si="6"/>
        <v>0</v>
      </c>
    </row>
    <row r="140" spans="1:6" x14ac:dyDescent="0.3">
      <c r="A140" s="26"/>
      <c r="B140" s="26"/>
      <c r="C140" s="26"/>
      <c r="D140" s="26"/>
      <c r="E140" s="24">
        <f t="shared" si="5"/>
        <v>0</v>
      </c>
      <c r="F140" s="25">
        <f t="shared" si="6"/>
        <v>0</v>
      </c>
    </row>
    <row r="141" spans="1:6" x14ac:dyDescent="0.3">
      <c r="A141" s="26"/>
      <c r="B141" s="26"/>
      <c r="C141" s="26"/>
      <c r="D141" s="26"/>
      <c r="E141" s="24">
        <f t="shared" si="5"/>
        <v>0</v>
      </c>
      <c r="F141" s="25">
        <f t="shared" si="6"/>
        <v>0</v>
      </c>
    </row>
    <row r="142" spans="1:6" x14ac:dyDescent="0.3">
      <c r="A142" s="26"/>
      <c r="B142" s="26"/>
      <c r="C142" s="26"/>
      <c r="D142" s="26"/>
      <c r="E142" s="24">
        <f t="shared" si="5"/>
        <v>0</v>
      </c>
      <c r="F142" s="25">
        <f t="shared" si="6"/>
        <v>0</v>
      </c>
    </row>
    <row r="143" spans="1:6" x14ac:dyDescent="0.3">
      <c r="A143" s="26"/>
      <c r="B143" s="26"/>
      <c r="C143" s="26"/>
      <c r="D143" s="26"/>
      <c r="E143" s="24">
        <f t="shared" si="5"/>
        <v>0</v>
      </c>
      <c r="F143" s="25">
        <f t="shared" si="6"/>
        <v>0</v>
      </c>
    </row>
    <row r="144" spans="1:6" x14ac:dyDescent="0.3">
      <c r="A144" s="26"/>
      <c r="B144" s="26"/>
      <c r="C144" s="26"/>
      <c r="D144" s="26"/>
      <c r="E144" s="24">
        <f t="shared" si="5"/>
        <v>0</v>
      </c>
      <c r="F144" s="25">
        <f t="shared" si="6"/>
        <v>0</v>
      </c>
    </row>
    <row r="145" spans="1:6" x14ac:dyDescent="0.3">
      <c r="A145" s="26"/>
      <c r="B145" s="26"/>
      <c r="C145" s="26"/>
      <c r="D145" s="26"/>
      <c r="E145" s="24">
        <f t="shared" si="5"/>
        <v>0</v>
      </c>
      <c r="F145" s="25">
        <f t="shared" si="6"/>
        <v>0</v>
      </c>
    </row>
    <row r="146" spans="1:6" x14ac:dyDescent="0.3">
      <c r="A146" s="26"/>
      <c r="B146" s="26"/>
      <c r="C146" s="26"/>
      <c r="D146" s="26"/>
      <c r="E146" s="24">
        <f t="shared" si="5"/>
        <v>0</v>
      </c>
      <c r="F146" s="25">
        <f t="shared" si="6"/>
        <v>0</v>
      </c>
    </row>
    <row r="147" spans="1:6" x14ac:dyDescent="0.3">
      <c r="A147" s="26"/>
      <c r="B147" s="26"/>
      <c r="C147" s="26"/>
      <c r="D147" s="26"/>
      <c r="E147" s="24">
        <f t="shared" si="5"/>
        <v>0</v>
      </c>
      <c r="F147" s="25">
        <f t="shared" si="6"/>
        <v>0</v>
      </c>
    </row>
    <row r="148" spans="1:6" x14ac:dyDescent="0.3">
      <c r="A148" s="26"/>
      <c r="B148" s="26"/>
      <c r="C148" s="26"/>
      <c r="D148" s="26"/>
      <c r="E148" s="24">
        <f t="shared" si="5"/>
        <v>0</v>
      </c>
      <c r="F148" s="25">
        <f t="shared" si="6"/>
        <v>0</v>
      </c>
    </row>
    <row r="149" spans="1:6" x14ac:dyDescent="0.3">
      <c r="A149" s="26"/>
      <c r="B149" s="26"/>
      <c r="C149" s="27"/>
      <c r="D149" s="26"/>
      <c r="E149" s="24">
        <f t="shared" si="5"/>
        <v>0</v>
      </c>
      <c r="F149" s="25">
        <f t="shared" si="6"/>
        <v>0</v>
      </c>
    </row>
    <row r="151" spans="1:6" ht="23.4" x14ac:dyDescent="0.45">
      <c r="E151" s="38" t="s">
        <v>86</v>
      </c>
      <c r="F151" s="39">
        <f>SUM(F5:F150)</f>
        <v>34842.389090909099</v>
      </c>
    </row>
    <row r="155" spans="1:6" x14ac:dyDescent="0.3">
      <c r="B155" s="54" t="s">
        <v>100</v>
      </c>
      <c r="C155" s="55"/>
    </row>
    <row r="156" spans="1:6" ht="21" x14ac:dyDescent="0.4">
      <c r="A156" s="56" t="s">
        <v>87</v>
      </c>
      <c r="B156" s="56"/>
      <c r="C156" s="56"/>
      <c r="D156" s="56"/>
      <c r="E156" s="56"/>
      <c r="F156" s="56"/>
    </row>
    <row r="157" spans="1:6" ht="18" x14ac:dyDescent="0.35">
      <c r="A157" s="40" t="s">
        <v>1</v>
      </c>
      <c r="B157" s="40" t="s">
        <v>2</v>
      </c>
      <c r="C157" s="40" t="s">
        <v>3</v>
      </c>
      <c r="D157" s="40" t="s">
        <v>88</v>
      </c>
      <c r="E157" s="40" t="s">
        <v>89</v>
      </c>
      <c r="F157" s="41" t="s">
        <v>6</v>
      </c>
    </row>
    <row r="158" spans="1:6" x14ac:dyDescent="0.3">
      <c r="A158" s="7">
        <v>45672</v>
      </c>
      <c r="B158" s="8" t="s">
        <v>90</v>
      </c>
      <c r="C158" s="42">
        <v>19</v>
      </c>
      <c r="D158" s="43">
        <v>580</v>
      </c>
      <c r="E158" s="13">
        <f>D158*C158</f>
        <v>11020</v>
      </c>
      <c r="F158" s="44">
        <f>E158*13.04/100</f>
        <v>1437.0079999999998</v>
      </c>
    </row>
    <row r="159" spans="1:6" x14ac:dyDescent="0.3">
      <c r="A159" s="13"/>
      <c r="B159" s="13"/>
      <c r="C159" s="13"/>
      <c r="D159" s="13"/>
      <c r="E159" s="13">
        <f t="shared" ref="E159:E173" si="7">D159*C159</f>
        <v>0</v>
      </c>
      <c r="F159" s="44">
        <f t="shared" ref="F159:F173" si="8">E159*13.04/100</f>
        <v>0</v>
      </c>
    </row>
    <row r="160" spans="1:6" x14ac:dyDescent="0.3">
      <c r="A160" s="7">
        <v>45695</v>
      </c>
      <c r="B160" s="8" t="s">
        <v>91</v>
      </c>
      <c r="C160" s="42">
        <v>500</v>
      </c>
      <c r="D160" s="43">
        <v>630</v>
      </c>
      <c r="E160" s="13">
        <f t="shared" si="7"/>
        <v>315000</v>
      </c>
      <c r="F160" s="44">
        <f t="shared" si="8"/>
        <v>41075.999999999993</v>
      </c>
    </row>
    <row r="161" spans="1:6" x14ac:dyDescent="0.3">
      <c r="A161" s="7">
        <v>45695</v>
      </c>
      <c r="B161" s="8" t="s">
        <v>92</v>
      </c>
      <c r="C161" s="42">
        <v>150</v>
      </c>
      <c r="D161" s="43">
        <v>148</v>
      </c>
      <c r="E161" s="13">
        <f t="shared" si="7"/>
        <v>22200</v>
      </c>
      <c r="F161" s="44">
        <f t="shared" si="8"/>
        <v>2894.88</v>
      </c>
    </row>
    <row r="162" spans="1:6" x14ac:dyDescent="0.3">
      <c r="A162" s="7">
        <v>45695</v>
      </c>
      <c r="B162" s="8" t="s">
        <v>93</v>
      </c>
      <c r="C162" s="42">
        <v>50</v>
      </c>
      <c r="D162" s="43">
        <v>145</v>
      </c>
      <c r="E162" s="13">
        <f t="shared" si="7"/>
        <v>7250</v>
      </c>
      <c r="F162" s="44">
        <f t="shared" si="8"/>
        <v>945.4</v>
      </c>
    </row>
    <row r="163" spans="1:6" x14ac:dyDescent="0.3">
      <c r="A163" s="7">
        <v>45695</v>
      </c>
      <c r="B163" s="8" t="s">
        <v>94</v>
      </c>
      <c r="C163" s="42">
        <v>250</v>
      </c>
      <c r="D163" s="43">
        <v>149</v>
      </c>
      <c r="E163" s="13">
        <f t="shared" si="7"/>
        <v>37250</v>
      </c>
      <c r="F163" s="44">
        <f t="shared" si="8"/>
        <v>4857.3999999999996</v>
      </c>
    </row>
    <row r="164" spans="1:6" x14ac:dyDescent="0.3">
      <c r="A164" s="24"/>
      <c r="B164" s="26"/>
      <c r="C164" s="26"/>
      <c r="D164" s="26"/>
      <c r="E164" s="13">
        <f t="shared" si="7"/>
        <v>0</v>
      </c>
      <c r="F164" s="44">
        <f t="shared" si="8"/>
        <v>0</v>
      </c>
    </row>
    <row r="165" spans="1:6" x14ac:dyDescent="0.3">
      <c r="A165" s="7">
        <v>45705</v>
      </c>
      <c r="B165" s="8" t="s">
        <v>94</v>
      </c>
      <c r="C165" s="42">
        <v>250</v>
      </c>
      <c r="D165" s="43">
        <v>149</v>
      </c>
      <c r="E165" s="13">
        <f t="shared" si="7"/>
        <v>37250</v>
      </c>
      <c r="F165" s="44">
        <f t="shared" si="8"/>
        <v>4857.3999999999996</v>
      </c>
    </row>
    <row r="166" spans="1:6" x14ac:dyDescent="0.3">
      <c r="A166" s="24"/>
      <c r="B166" s="26"/>
      <c r="C166" s="26"/>
      <c r="D166" s="26"/>
      <c r="E166" s="13">
        <f t="shared" si="7"/>
        <v>0</v>
      </c>
      <c r="F166" s="44">
        <f t="shared" si="8"/>
        <v>0</v>
      </c>
    </row>
    <row r="167" spans="1:6" x14ac:dyDescent="0.3">
      <c r="A167" s="7">
        <v>45706</v>
      </c>
      <c r="B167" s="8" t="s">
        <v>95</v>
      </c>
      <c r="C167" s="42">
        <v>200</v>
      </c>
      <c r="D167" s="43">
        <v>549</v>
      </c>
      <c r="E167" s="13">
        <f t="shared" si="7"/>
        <v>109800</v>
      </c>
      <c r="F167" s="44">
        <f t="shared" si="8"/>
        <v>14317.92</v>
      </c>
    </row>
    <row r="168" spans="1:6" x14ac:dyDescent="0.3">
      <c r="A168" s="7">
        <v>45706</v>
      </c>
      <c r="B168" s="8" t="s">
        <v>96</v>
      </c>
      <c r="C168" s="42">
        <v>6</v>
      </c>
      <c r="D168" s="43">
        <v>145</v>
      </c>
      <c r="E168" s="13">
        <f t="shared" si="7"/>
        <v>870</v>
      </c>
      <c r="F168" s="44">
        <f t="shared" si="8"/>
        <v>113.44799999999999</v>
      </c>
    </row>
    <row r="169" spans="1:6" x14ac:dyDescent="0.3">
      <c r="A169" s="7">
        <v>45706</v>
      </c>
      <c r="B169" s="8" t="s">
        <v>97</v>
      </c>
      <c r="C169" s="42">
        <v>15</v>
      </c>
      <c r="D169" s="43">
        <v>695</v>
      </c>
      <c r="E169" s="13">
        <f t="shared" si="7"/>
        <v>10425</v>
      </c>
      <c r="F169" s="44">
        <f t="shared" si="8"/>
        <v>1359.42</v>
      </c>
    </row>
    <row r="170" spans="1:6" x14ac:dyDescent="0.3">
      <c r="A170" s="24"/>
      <c r="B170" s="26"/>
      <c r="C170" s="26"/>
      <c r="D170" s="26"/>
      <c r="E170" s="13">
        <f t="shared" si="7"/>
        <v>0</v>
      </c>
      <c r="F170" s="44">
        <f t="shared" si="8"/>
        <v>0</v>
      </c>
    </row>
    <row r="171" spans="1:6" x14ac:dyDescent="0.3">
      <c r="A171" s="45">
        <v>45727</v>
      </c>
      <c r="B171" s="46" t="s">
        <v>98</v>
      </c>
      <c r="C171" s="47">
        <v>153</v>
      </c>
      <c r="D171" s="47">
        <v>520</v>
      </c>
      <c r="E171" s="15">
        <f t="shared" si="7"/>
        <v>79560</v>
      </c>
      <c r="F171" s="48">
        <f t="shared" si="8"/>
        <v>10374.624</v>
      </c>
    </row>
    <row r="172" spans="1:6" x14ac:dyDescent="0.3">
      <c r="A172" s="37">
        <v>45727</v>
      </c>
      <c r="B172" s="36" t="s">
        <v>101</v>
      </c>
      <c r="C172" s="26">
        <v>250</v>
      </c>
      <c r="D172" s="26">
        <v>149</v>
      </c>
      <c r="E172" s="24">
        <f t="shared" si="7"/>
        <v>37250</v>
      </c>
      <c r="F172" s="49">
        <f t="shared" si="8"/>
        <v>4857.3999999999996</v>
      </c>
    </row>
    <row r="173" spans="1:6" x14ac:dyDescent="0.3">
      <c r="A173" s="24"/>
      <c r="B173" s="26"/>
      <c r="C173" s="26"/>
      <c r="D173" s="26"/>
      <c r="E173" s="24">
        <f t="shared" si="7"/>
        <v>0</v>
      </c>
      <c r="F173" s="49">
        <f t="shared" si="8"/>
        <v>0</v>
      </c>
    </row>
    <row r="174" spans="1:6" x14ac:dyDescent="0.3">
      <c r="A174" s="50"/>
      <c r="B174" s="1"/>
      <c r="C174" s="1"/>
      <c r="D174" s="1"/>
      <c r="E174" s="1"/>
      <c r="F174" s="51"/>
    </row>
    <row r="175" spans="1:6" x14ac:dyDescent="0.3">
      <c r="E175" s="1"/>
      <c r="F175" s="51"/>
    </row>
    <row r="176" spans="1:6" ht="21" x14ac:dyDescent="0.4">
      <c r="E176" s="52" t="s">
        <v>99</v>
      </c>
      <c r="F176" s="53">
        <f ca="1">SUM(F158:F190)</f>
        <v>87090.9</v>
      </c>
    </row>
    <row r="177" spans="5:6" x14ac:dyDescent="0.3">
      <c r="E177" s="1"/>
      <c r="F177" s="51"/>
    </row>
  </sheetData>
  <mergeCells count="4">
    <mergeCell ref="A2:B2"/>
    <mergeCell ref="A3:F3"/>
    <mergeCell ref="A156:F156"/>
    <mergeCell ref="B155:C1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dell5300</dc:creator>
  <cp:lastModifiedBy>dell5300</cp:lastModifiedBy>
  <dcterms:created xsi:type="dcterms:W3CDTF">2025-04-04T14:36:10Z</dcterms:created>
  <dcterms:modified xsi:type="dcterms:W3CDTF">2025-04-04T18:14:07Z</dcterms:modified>
</cp:coreProperties>
</file>