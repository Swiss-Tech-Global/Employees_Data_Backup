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GST Files 2025\"/>
    </mc:Choice>
  </mc:AlternateContent>
  <xr:revisionPtr revIDLastSave="0" documentId="13_ncr:1_{9D96DD00-EB48-46BC-98F4-23A5A38CA314}" xr6:coauthVersionLast="47" xr6:coauthVersionMax="47" xr10:uidLastSave="{00000000-0000-0000-0000-000000000000}"/>
  <bookViews>
    <workbookView xWindow="-120" yWindow="-120" windowWidth="29040" windowHeight="15720" xr2:uid="{7D17CDA8-2C0F-44B9-B2F3-13038086DB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9" i="1" l="1"/>
  <c r="F117" i="1"/>
  <c r="G117" i="1" s="1"/>
  <c r="F116" i="1"/>
  <c r="G116" i="1" s="1"/>
  <c r="F115" i="1"/>
  <c r="G115" i="1" s="1"/>
  <c r="F114" i="1"/>
  <c r="G114" i="1" s="1"/>
  <c r="F113" i="1"/>
  <c r="G113" i="1" s="1"/>
  <c r="F112" i="1"/>
  <c r="G112" i="1" s="1"/>
  <c r="F111" i="1"/>
  <c r="G111" i="1" s="1"/>
  <c r="F110" i="1"/>
  <c r="G110" i="1" s="1"/>
  <c r="F109" i="1"/>
  <c r="G109" i="1" s="1"/>
  <c r="F108" i="1"/>
  <c r="G108" i="1" s="1"/>
  <c r="F107" i="1"/>
  <c r="G107" i="1" s="1"/>
  <c r="F106" i="1"/>
  <c r="G106" i="1" s="1"/>
  <c r="F105" i="1"/>
  <c r="G105" i="1" s="1"/>
  <c r="F104" i="1"/>
  <c r="G104" i="1" s="1"/>
  <c r="F103" i="1"/>
  <c r="G103" i="1" s="1"/>
  <c r="F102" i="1"/>
  <c r="G102" i="1" s="1"/>
  <c r="F101" i="1"/>
  <c r="G101" i="1" s="1"/>
  <c r="F100" i="1"/>
  <c r="G100" i="1" s="1"/>
  <c r="F99" i="1"/>
  <c r="G99" i="1" s="1"/>
  <c r="F98" i="1"/>
  <c r="G98" i="1" s="1"/>
  <c r="F97" i="1"/>
  <c r="G97" i="1" s="1"/>
  <c r="F96" i="1"/>
  <c r="G96" i="1" s="1"/>
  <c r="F95" i="1"/>
  <c r="G95" i="1" s="1"/>
  <c r="F94" i="1"/>
  <c r="G94" i="1" s="1"/>
  <c r="F93" i="1"/>
  <c r="G93" i="1" s="1"/>
  <c r="F92" i="1"/>
  <c r="G92" i="1" s="1"/>
  <c r="F91" i="1"/>
  <c r="G91" i="1" s="1"/>
  <c r="F90" i="1"/>
  <c r="G90" i="1" s="1"/>
  <c r="F89" i="1"/>
  <c r="G89" i="1" s="1"/>
  <c r="F88" i="1"/>
  <c r="G88" i="1" s="1"/>
  <c r="F87" i="1"/>
  <c r="G87" i="1" s="1"/>
  <c r="F86" i="1"/>
  <c r="G86" i="1" s="1"/>
  <c r="F85" i="1"/>
  <c r="G85" i="1" s="1"/>
  <c r="F84" i="1"/>
  <c r="G84" i="1" s="1"/>
  <c r="F83" i="1"/>
  <c r="G83" i="1" s="1"/>
  <c r="F82" i="1"/>
  <c r="G82" i="1" s="1"/>
  <c r="F81" i="1"/>
  <c r="G81" i="1" s="1"/>
  <c r="F80" i="1"/>
  <c r="G80" i="1" s="1"/>
  <c r="F79" i="1"/>
  <c r="G79" i="1" s="1"/>
  <c r="F78" i="1"/>
  <c r="G78" i="1" s="1"/>
  <c r="F77" i="1"/>
  <c r="G77" i="1" s="1"/>
  <c r="F76" i="1"/>
  <c r="G76" i="1" s="1"/>
  <c r="F75" i="1"/>
  <c r="G75" i="1" s="1"/>
  <c r="F74" i="1"/>
  <c r="G74" i="1" s="1"/>
  <c r="F73" i="1"/>
  <c r="G73" i="1" s="1"/>
  <c r="F72" i="1"/>
  <c r="G72" i="1" s="1"/>
  <c r="F71" i="1"/>
  <c r="G71" i="1" s="1"/>
  <c r="F70" i="1"/>
  <c r="G70" i="1" s="1"/>
  <c r="F69" i="1"/>
  <c r="G69" i="1" s="1"/>
  <c r="F68" i="1"/>
  <c r="G68" i="1" s="1"/>
  <c r="F67" i="1"/>
  <c r="G67" i="1" s="1"/>
  <c r="F66" i="1"/>
  <c r="G66" i="1" s="1"/>
  <c r="F65" i="1"/>
  <c r="G65" i="1" s="1"/>
  <c r="F64" i="1"/>
  <c r="G64" i="1" s="1"/>
  <c r="F63" i="1"/>
  <c r="G63" i="1" s="1"/>
  <c r="F62" i="1"/>
  <c r="G62" i="1" s="1"/>
  <c r="F61" i="1"/>
  <c r="G61" i="1" s="1"/>
  <c r="F60" i="1"/>
  <c r="G60" i="1" s="1"/>
  <c r="F59" i="1"/>
  <c r="G59" i="1" s="1"/>
  <c r="F58" i="1"/>
  <c r="G58" i="1" s="1"/>
  <c r="F57" i="1"/>
  <c r="G57" i="1" s="1"/>
  <c r="F56" i="1"/>
  <c r="G56" i="1" s="1"/>
  <c r="F55" i="1"/>
  <c r="G55" i="1" s="1"/>
  <c r="F54" i="1"/>
  <c r="G54" i="1" s="1"/>
  <c r="F53" i="1"/>
  <c r="G53" i="1" s="1"/>
  <c r="F52" i="1"/>
  <c r="G52" i="1" s="1"/>
  <c r="F51" i="1"/>
  <c r="G51" i="1" s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</calcChain>
</file>

<file path=xl/sharedStrings.xml><?xml version="1.0" encoding="utf-8"?>
<sst xmlns="http://schemas.openxmlformats.org/spreadsheetml/2006/main" count="123" uniqueCount="64">
  <si>
    <t>Starlink Standard kit Adil Bhai</t>
  </si>
  <si>
    <t>PS5 Disc Bundle Adil Bhai</t>
  </si>
  <si>
    <t>PS5 Digital Bundle Adil Bhai</t>
  </si>
  <si>
    <t>Starlink Standard kit</t>
  </si>
  <si>
    <t xml:space="preserve">Australia  </t>
  </si>
  <si>
    <t>Date</t>
  </si>
  <si>
    <t>Product Name</t>
  </si>
  <si>
    <t>Qty</t>
  </si>
  <si>
    <t>Per/Unit  (AUD)</t>
  </si>
  <si>
    <t>Total (AUD)</t>
  </si>
  <si>
    <t>GST</t>
  </si>
  <si>
    <t xml:space="preserve">Iphone 17 pro max 256 Silver Officeworks </t>
  </si>
  <si>
    <t xml:space="preserve">Iphone 17 pro max 256 Silver Office Works </t>
  </si>
  <si>
    <t xml:space="preserve">PS5 Disc Bundle Adil Bhai Harvey Norman </t>
  </si>
  <si>
    <t>Iphone 17 pro max 256 Silver Office Works</t>
  </si>
  <si>
    <t>Iphone 17 pro max 256 Silver Officeworks</t>
  </si>
  <si>
    <t>Iphone 17 pro max 256 Silver Harvey Norman</t>
  </si>
  <si>
    <t xml:space="preserve">DJI Mavic 4 Pro DJI Macquarie Park </t>
  </si>
  <si>
    <t xml:space="preserve">DJI Mic 3 combo DJI Macquarie Park </t>
  </si>
  <si>
    <t xml:space="preserve">Mac Book Pro M5 24/1TB JBHIFI </t>
  </si>
  <si>
    <t xml:space="preserve">Apple Air Pods 4 ANC JBHIFI </t>
  </si>
  <si>
    <t xml:space="preserve">DJI Mini 4K combo JBHIFI </t>
  </si>
  <si>
    <t xml:space="preserve">DJI Mic 3 combo JBHIFI </t>
  </si>
  <si>
    <t xml:space="preserve">Iphone Air 256 Gold &amp; White Officeworks </t>
  </si>
  <si>
    <t xml:space="preserve">Iphone Air 256 Sky Blue Officeworks </t>
  </si>
  <si>
    <t xml:space="preserve">Canon SX740 Digi Direct </t>
  </si>
  <si>
    <t xml:space="preserve">Iphone Air 256 Gold &amp; White JBHIFI </t>
  </si>
  <si>
    <t xml:space="preserve">Iphone Air 256 White Officeworks </t>
  </si>
  <si>
    <t xml:space="preserve">Starlink Standard kit Bunnungs </t>
  </si>
  <si>
    <t xml:space="preserve">Starlink Standard kit Bunnings </t>
  </si>
  <si>
    <t>Iphone Air  256 JBHIFI</t>
  </si>
  <si>
    <t xml:space="preserve">Iphone Air  256 JHIFI </t>
  </si>
  <si>
    <t>Starlink Standard kit Bunnings</t>
  </si>
  <si>
    <t xml:space="preserve">Iphone 17 pro max 256 Silver JBHIFI </t>
  </si>
  <si>
    <t xml:space="preserve">Iphone 17 pro max 256 Orange JBHIFI </t>
  </si>
  <si>
    <t>Iphone Air 256 (Gold &amp; White) JBHIFI</t>
  </si>
  <si>
    <t xml:space="preserve">Iphone Air 256 (Gold &amp; White) Harvey Norman </t>
  </si>
  <si>
    <t xml:space="preserve">Iphone Air 256 Gold  JBHIFI </t>
  </si>
  <si>
    <t xml:space="preserve">Iphone Air 256 White JBHIFI </t>
  </si>
  <si>
    <t>Iphone 17 pro max 256 Orange JBHIFI</t>
  </si>
  <si>
    <t>Iphone Air 256 Gold JBHIFI</t>
  </si>
  <si>
    <t>Iphone Air 256 White JBHIFI</t>
  </si>
  <si>
    <t>Starlink Standard Kit Bunnings</t>
  </si>
  <si>
    <t xml:space="preserve">Starlink Standard Kit Bunnings </t>
  </si>
  <si>
    <t xml:space="preserve">Starlink Mini Bunnings </t>
  </si>
  <si>
    <t xml:space="preserve">Starlink V2 Bunnings </t>
  </si>
  <si>
    <t>Mavic 4 pro Standard DJI Macquarie Park</t>
  </si>
  <si>
    <t xml:space="preserve">Iphone 17 pro max Harvey Norman </t>
  </si>
  <si>
    <t xml:space="preserve">Macbook Pro M5 24/1TB JBHIFI </t>
  </si>
  <si>
    <t xml:space="preserve">Apple Airpods ANC JBHIFI </t>
  </si>
  <si>
    <t xml:space="preserve">DJI Mavic 4 pro 512 JBHIFI </t>
  </si>
  <si>
    <t xml:space="preserve">DJI Mavic 4 Pro RC2 JBHIFI </t>
  </si>
  <si>
    <t xml:space="preserve">DJI Mni 5 pro Combo Plus JBHIFI </t>
  </si>
  <si>
    <t xml:space="preserve">DJI mini 4K JBHIFI </t>
  </si>
  <si>
    <t xml:space="preserve">Apple Watch Ultra 3 JBHIFI </t>
  </si>
  <si>
    <t>Kodak Camera JBHIFI</t>
  </si>
  <si>
    <t xml:space="preserve">Starlink Standard Kit Bunings </t>
  </si>
  <si>
    <t xml:space="preserve">Starlink Standard Kit JBHIFI </t>
  </si>
  <si>
    <t xml:space="preserve">Iphone 17 pro max 256 Silver JHIFI </t>
  </si>
  <si>
    <t xml:space="preserve">Starlink Standard Kit JHIFI </t>
  </si>
  <si>
    <t xml:space="preserve">Iphone Air 256 Blue Harvey Norman </t>
  </si>
  <si>
    <t xml:space="preserve">Meta Rayban transitions JBHIFI </t>
  </si>
  <si>
    <t xml:space="preserve">Stalink Standard Kit  Bunnings </t>
  </si>
  <si>
    <t>Total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</si>
</sst>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_([$AUD]\ * #,##0.00_);_([$AUD]\ * \(#,##0.00\);_([$AUD]\ * &quot;-&quot;??_);_(@_)"/>
    <numFmt numFmtId="166" formatCode="&quot;$&quot;#,##0;[Red]\-&quot;$&quot;#,##0"/>
    <numFmt numFmtId="167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6"/>
      <color rgb="FFFFC00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16" fontId="0" fillId="2" borderId="1" xfId="0" applyNumberFormat="1" applyFill="1" applyBorder="1"/>
    <xf numFmtId="0" fontId="0" fillId="2" borderId="1" xfId="0" applyFill="1" applyBorder="1"/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165" fontId="2" fillId="4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4" borderId="2" xfId="0" applyFont="1" applyFill="1" applyBorder="1" applyAlignment="1">
      <alignment horizontal="right"/>
    </xf>
    <xf numFmtId="166" fontId="0" fillId="2" borderId="1" xfId="0" applyNumberFormat="1" applyFill="1" applyBorder="1" applyAlignment="1">
      <alignment horizontal="right"/>
    </xf>
    <xf numFmtId="164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167" fontId="0" fillId="2" borderId="1" xfId="0" applyNumberFormat="1" applyFill="1" applyBorder="1" applyAlignment="1">
      <alignment horizontal="right"/>
    </xf>
    <xf numFmtId="0" fontId="0" fillId="0" borderId="0" xfId="0" applyAlignment="1">
      <alignment horizontal="right"/>
    </xf>
    <xf numFmtId="165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165" fontId="2" fillId="4" borderId="1" xfId="0" applyNumberFormat="1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A0578-41DA-4FE9-BDE4-012C7FFF539B}">
  <dimension ref="B1:G244"/>
  <sheetViews>
    <sheetView tabSelected="1" workbookViewId="0">
      <selection activeCell="G129" sqref="G129:G245"/>
    </sheetView>
  </sheetViews>
  <sheetFormatPr defaultRowHeight="15" x14ac:dyDescent="0.25"/>
  <cols>
    <col min="2" max="2" width="10.28515625" customWidth="1"/>
    <col min="3" max="3" width="52.7109375" customWidth="1"/>
    <col min="4" max="4" width="15.5703125" style="8" customWidth="1"/>
    <col min="5" max="5" width="17.85546875" style="14" customWidth="1"/>
    <col min="6" max="6" width="15.5703125" customWidth="1"/>
    <col min="7" max="7" width="20.28515625" customWidth="1"/>
  </cols>
  <sheetData>
    <row r="1" spans="2:7" ht="21" x14ac:dyDescent="0.35">
      <c r="B1" s="19" t="s">
        <v>4</v>
      </c>
      <c r="C1" s="19"/>
      <c r="D1" s="19"/>
      <c r="E1" s="19"/>
      <c r="F1" s="19"/>
      <c r="G1" s="19"/>
    </row>
    <row r="2" spans="2:7" ht="18.75" x14ac:dyDescent="0.3">
      <c r="B2" s="5" t="s">
        <v>5</v>
      </c>
      <c r="C2" s="5" t="s">
        <v>6</v>
      </c>
      <c r="D2" s="6" t="s">
        <v>7</v>
      </c>
      <c r="E2" s="9" t="s">
        <v>8</v>
      </c>
      <c r="F2" s="5" t="s">
        <v>9</v>
      </c>
      <c r="G2" s="7" t="s">
        <v>10</v>
      </c>
    </row>
    <row r="3" spans="2:7" x14ac:dyDescent="0.25">
      <c r="B3" s="3">
        <v>46026</v>
      </c>
      <c r="C3" s="4" t="s">
        <v>11</v>
      </c>
      <c r="D3" s="2">
        <v>2</v>
      </c>
      <c r="E3" s="11">
        <v>2010</v>
      </c>
      <c r="F3" s="2">
        <f t="shared" ref="F3:F66" si="0">E3*D3</f>
        <v>4020</v>
      </c>
      <c r="G3" s="15">
        <f t="shared" ref="G3:G66" si="1">F3/11</f>
        <v>365.45454545454544</v>
      </c>
    </row>
    <row r="4" spans="2:7" x14ac:dyDescent="0.25">
      <c r="B4" s="3">
        <v>46026</v>
      </c>
      <c r="C4" s="4" t="s">
        <v>12</v>
      </c>
      <c r="D4" s="2">
        <v>2</v>
      </c>
      <c r="E4" s="11">
        <v>2010</v>
      </c>
      <c r="F4" s="2">
        <f t="shared" si="0"/>
        <v>4020</v>
      </c>
      <c r="G4" s="15">
        <f t="shared" si="1"/>
        <v>365.45454545454544</v>
      </c>
    </row>
    <row r="5" spans="2:7" x14ac:dyDescent="0.25">
      <c r="B5" s="3">
        <v>46025</v>
      </c>
      <c r="C5" s="4" t="s">
        <v>0</v>
      </c>
      <c r="D5" s="2">
        <v>2</v>
      </c>
      <c r="E5" s="11">
        <v>398</v>
      </c>
      <c r="F5" s="2">
        <f t="shared" si="0"/>
        <v>796</v>
      </c>
      <c r="G5" s="15">
        <f t="shared" si="1"/>
        <v>72.36363636363636</v>
      </c>
    </row>
    <row r="6" spans="2:7" x14ac:dyDescent="0.25">
      <c r="B6" s="3">
        <v>46025</v>
      </c>
      <c r="C6" s="4" t="s">
        <v>1</v>
      </c>
      <c r="D6" s="2">
        <v>8</v>
      </c>
      <c r="E6" s="11">
        <v>629</v>
      </c>
      <c r="F6" s="2">
        <f t="shared" si="0"/>
        <v>5032</v>
      </c>
      <c r="G6" s="15">
        <f t="shared" si="1"/>
        <v>457.45454545454544</v>
      </c>
    </row>
    <row r="7" spans="2:7" x14ac:dyDescent="0.25">
      <c r="B7" s="3">
        <v>46025</v>
      </c>
      <c r="C7" s="4" t="s">
        <v>1</v>
      </c>
      <c r="D7" s="2">
        <v>2</v>
      </c>
      <c r="E7" s="11">
        <v>629</v>
      </c>
      <c r="F7" s="2">
        <f t="shared" si="0"/>
        <v>1258</v>
      </c>
      <c r="G7" s="15">
        <f t="shared" si="1"/>
        <v>114.36363636363636</v>
      </c>
    </row>
    <row r="8" spans="2:7" x14ac:dyDescent="0.25">
      <c r="B8" s="3">
        <v>46025</v>
      </c>
      <c r="C8" s="4" t="s">
        <v>2</v>
      </c>
      <c r="D8" s="2">
        <v>4</v>
      </c>
      <c r="E8" s="11">
        <v>477</v>
      </c>
      <c r="F8" s="2">
        <f t="shared" si="0"/>
        <v>1908</v>
      </c>
      <c r="G8" s="15">
        <f t="shared" si="1"/>
        <v>173.45454545454547</v>
      </c>
    </row>
    <row r="9" spans="2:7" x14ac:dyDescent="0.25">
      <c r="B9" s="3">
        <v>46025</v>
      </c>
      <c r="C9" s="4" t="s">
        <v>13</v>
      </c>
      <c r="D9" s="2">
        <v>2</v>
      </c>
      <c r="E9" s="11">
        <v>629</v>
      </c>
      <c r="F9" s="2">
        <f t="shared" si="0"/>
        <v>1258</v>
      </c>
      <c r="G9" s="15">
        <f t="shared" si="1"/>
        <v>114.36363636363636</v>
      </c>
    </row>
    <row r="10" spans="2:7" x14ac:dyDescent="0.25">
      <c r="B10" s="3">
        <v>46028</v>
      </c>
      <c r="C10" s="4" t="s">
        <v>14</v>
      </c>
      <c r="D10" s="2">
        <v>2</v>
      </c>
      <c r="E10" s="11">
        <v>2010</v>
      </c>
      <c r="F10" s="2">
        <f t="shared" si="0"/>
        <v>4020</v>
      </c>
      <c r="G10" s="15">
        <f t="shared" si="1"/>
        <v>365.45454545454544</v>
      </c>
    </row>
    <row r="11" spans="2:7" x14ac:dyDescent="0.25">
      <c r="B11" s="3">
        <v>46028</v>
      </c>
      <c r="C11" s="4" t="s">
        <v>12</v>
      </c>
      <c r="D11" s="2">
        <v>2</v>
      </c>
      <c r="E11" s="11">
        <v>2010</v>
      </c>
      <c r="F11" s="2">
        <f t="shared" si="0"/>
        <v>4020</v>
      </c>
      <c r="G11" s="15">
        <f t="shared" si="1"/>
        <v>365.45454545454544</v>
      </c>
    </row>
    <row r="12" spans="2:7" x14ac:dyDescent="0.25">
      <c r="B12" s="3">
        <v>46028</v>
      </c>
      <c r="C12" s="4" t="s">
        <v>12</v>
      </c>
      <c r="D12" s="2">
        <v>2</v>
      </c>
      <c r="E12" s="11">
        <v>2010</v>
      </c>
      <c r="F12" s="2">
        <f t="shared" si="0"/>
        <v>4020</v>
      </c>
      <c r="G12" s="15">
        <f t="shared" si="1"/>
        <v>365.45454545454544</v>
      </c>
    </row>
    <row r="13" spans="2:7" x14ac:dyDescent="0.25">
      <c r="B13" s="3">
        <v>46028</v>
      </c>
      <c r="C13" s="4" t="s">
        <v>11</v>
      </c>
      <c r="D13" s="2">
        <v>2</v>
      </c>
      <c r="E13" s="11">
        <v>2010</v>
      </c>
      <c r="F13" s="2">
        <f t="shared" si="0"/>
        <v>4020</v>
      </c>
      <c r="G13" s="15">
        <f t="shared" si="1"/>
        <v>365.45454545454544</v>
      </c>
    </row>
    <row r="14" spans="2:7" x14ac:dyDescent="0.25">
      <c r="B14" s="3">
        <v>46028</v>
      </c>
      <c r="C14" s="4" t="s">
        <v>11</v>
      </c>
      <c r="D14" s="2">
        <v>1</v>
      </c>
      <c r="E14" s="11">
        <v>2010</v>
      </c>
      <c r="F14" s="2">
        <f t="shared" si="0"/>
        <v>2010</v>
      </c>
      <c r="G14" s="15">
        <f t="shared" si="1"/>
        <v>182.72727272727272</v>
      </c>
    </row>
    <row r="15" spans="2:7" x14ac:dyDescent="0.25">
      <c r="B15" s="3">
        <v>46031</v>
      </c>
      <c r="C15" s="4" t="s">
        <v>11</v>
      </c>
      <c r="D15" s="2">
        <v>2</v>
      </c>
      <c r="E15" s="11">
        <v>2010</v>
      </c>
      <c r="F15" s="2">
        <f t="shared" si="0"/>
        <v>4020</v>
      </c>
      <c r="G15" s="15">
        <f t="shared" si="1"/>
        <v>365.45454545454544</v>
      </c>
    </row>
    <row r="16" spans="2:7" x14ac:dyDescent="0.25">
      <c r="B16" s="3">
        <v>46031</v>
      </c>
      <c r="C16" s="4" t="s">
        <v>11</v>
      </c>
      <c r="D16" s="2">
        <v>2</v>
      </c>
      <c r="E16" s="11">
        <v>2010</v>
      </c>
      <c r="F16" s="2">
        <f t="shared" si="0"/>
        <v>4020</v>
      </c>
      <c r="G16" s="15">
        <f t="shared" si="1"/>
        <v>365.45454545454544</v>
      </c>
    </row>
    <row r="17" spans="2:7" x14ac:dyDescent="0.25">
      <c r="B17" s="3">
        <v>46031</v>
      </c>
      <c r="C17" s="4" t="s">
        <v>11</v>
      </c>
      <c r="D17" s="2">
        <v>2</v>
      </c>
      <c r="E17" s="11">
        <v>2010</v>
      </c>
      <c r="F17" s="2">
        <f t="shared" si="0"/>
        <v>4020</v>
      </c>
      <c r="G17" s="15">
        <f t="shared" si="1"/>
        <v>365.45454545454544</v>
      </c>
    </row>
    <row r="18" spans="2:7" x14ac:dyDescent="0.25">
      <c r="B18" s="3">
        <v>46031</v>
      </c>
      <c r="C18" s="4" t="s">
        <v>14</v>
      </c>
      <c r="D18" s="2">
        <v>1</v>
      </c>
      <c r="E18" s="11">
        <v>2010</v>
      </c>
      <c r="F18" s="2">
        <f t="shared" si="0"/>
        <v>2010</v>
      </c>
      <c r="G18" s="15">
        <f t="shared" si="1"/>
        <v>182.72727272727272</v>
      </c>
    </row>
    <row r="19" spans="2:7" x14ac:dyDescent="0.25">
      <c r="B19" s="3">
        <v>46031</v>
      </c>
      <c r="C19" s="4" t="s">
        <v>15</v>
      </c>
      <c r="D19" s="2">
        <v>2</v>
      </c>
      <c r="E19" s="11">
        <v>2010</v>
      </c>
      <c r="F19" s="2">
        <f t="shared" si="0"/>
        <v>4020</v>
      </c>
      <c r="G19" s="15">
        <f t="shared" si="1"/>
        <v>365.45454545454544</v>
      </c>
    </row>
    <row r="20" spans="2:7" x14ac:dyDescent="0.25">
      <c r="B20" s="3">
        <v>46033</v>
      </c>
      <c r="C20" s="4" t="s">
        <v>16</v>
      </c>
      <c r="D20" s="2">
        <v>7</v>
      </c>
      <c r="E20" s="10">
        <v>2197</v>
      </c>
      <c r="F20" s="2">
        <f t="shared" si="0"/>
        <v>15379</v>
      </c>
      <c r="G20" s="15">
        <f t="shared" si="1"/>
        <v>1398.090909090909</v>
      </c>
    </row>
    <row r="21" spans="2:7" x14ac:dyDescent="0.25">
      <c r="B21" s="3">
        <v>46036</v>
      </c>
      <c r="C21" s="4" t="s">
        <v>17</v>
      </c>
      <c r="D21" s="2">
        <v>8</v>
      </c>
      <c r="E21" s="11">
        <v>2490</v>
      </c>
      <c r="F21" s="2">
        <f t="shared" si="0"/>
        <v>19920</v>
      </c>
      <c r="G21" s="15">
        <f t="shared" si="1"/>
        <v>1810.909090909091</v>
      </c>
    </row>
    <row r="22" spans="2:7" x14ac:dyDescent="0.25">
      <c r="B22" s="3">
        <v>46036</v>
      </c>
      <c r="C22" s="4" t="s">
        <v>18</v>
      </c>
      <c r="D22" s="2">
        <v>25</v>
      </c>
      <c r="E22" s="11">
        <v>415</v>
      </c>
      <c r="F22" s="2">
        <f t="shared" si="0"/>
        <v>10375</v>
      </c>
      <c r="G22" s="15">
        <f t="shared" si="1"/>
        <v>943.18181818181813</v>
      </c>
    </row>
    <row r="23" spans="2:7" x14ac:dyDescent="0.25">
      <c r="B23" s="3">
        <v>46037</v>
      </c>
      <c r="C23" s="4" t="s">
        <v>19</v>
      </c>
      <c r="D23" s="2">
        <v>3</v>
      </c>
      <c r="E23" s="11">
        <v>2690</v>
      </c>
      <c r="F23" s="2">
        <f t="shared" si="0"/>
        <v>8070</v>
      </c>
      <c r="G23" s="15">
        <f t="shared" si="1"/>
        <v>733.63636363636363</v>
      </c>
    </row>
    <row r="24" spans="2:7" x14ac:dyDescent="0.25">
      <c r="B24" s="3">
        <v>46037</v>
      </c>
      <c r="C24" s="4" t="s">
        <v>20</v>
      </c>
      <c r="D24" s="2">
        <v>3</v>
      </c>
      <c r="E24" s="11">
        <v>259</v>
      </c>
      <c r="F24" s="2">
        <f t="shared" si="0"/>
        <v>777</v>
      </c>
      <c r="G24" s="15">
        <f t="shared" si="1"/>
        <v>70.63636363636364</v>
      </c>
    </row>
    <row r="25" spans="2:7" x14ac:dyDescent="0.25">
      <c r="B25" s="3">
        <v>46037</v>
      </c>
      <c r="C25" s="4" t="s">
        <v>21</v>
      </c>
      <c r="D25" s="2">
        <v>3</v>
      </c>
      <c r="E25" s="11">
        <v>519</v>
      </c>
      <c r="F25" s="2">
        <f t="shared" si="0"/>
        <v>1557</v>
      </c>
      <c r="G25" s="15">
        <f t="shared" si="1"/>
        <v>141.54545454545453</v>
      </c>
    </row>
    <row r="26" spans="2:7" x14ac:dyDescent="0.25">
      <c r="B26" s="3">
        <v>46037</v>
      </c>
      <c r="C26" s="4" t="s">
        <v>22</v>
      </c>
      <c r="D26" s="2">
        <v>3</v>
      </c>
      <c r="E26" s="11">
        <v>419</v>
      </c>
      <c r="F26" s="2">
        <f t="shared" si="0"/>
        <v>1257</v>
      </c>
      <c r="G26" s="15">
        <f t="shared" si="1"/>
        <v>114.27272727272727</v>
      </c>
    </row>
    <row r="27" spans="2:7" x14ac:dyDescent="0.25">
      <c r="B27" s="3">
        <v>46038</v>
      </c>
      <c r="C27" s="4" t="s">
        <v>23</v>
      </c>
      <c r="D27" s="2">
        <v>2</v>
      </c>
      <c r="E27" s="12">
        <v>1397</v>
      </c>
      <c r="F27" s="2">
        <f t="shared" si="0"/>
        <v>2794</v>
      </c>
      <c r="G27" s="15">
        <f t="shared" si="1"/>
        <v>254</v>
      </c>
    </row>
    <row r="28" spans="2:7" x14ac:dyDescent="0.25">
      <c r="B28" s="3">
        <v>46038</v>
      </c>
      <c r="C28" s="4" t="s">
        <v>24</v>
      </c>
      <c r="D28" s="2">
        <v>2</v>
      </c>
      <c r="E28" s="12">
        <v>1397</v>
      </c>
      <c r="F28" s="2">
        <f t="shared" si="0"/>
        <v>2794</v>
      </c>
      <c r="G28" s="15">
        <f t="shared" si="1"/>
        <v>254</v>
      </c>
    </row>
    <row r="29" spans="2:7" x14ac:dyDescent="0.25">
      <c r="B29" s="3">
        <v>46038</v>
      </c>
      <c r="C29" s="4" t="s">
        <v>25</v>
      </c>
      <c r="D29" s="2">
        <v>4</v>
      </c>
      <c r="E29" s="12">
        <v>648</v>
      </c>
      <c r="F29" s="2">
        <f t="shared" si="0"/>
        <v>2592</v>
      </c>
      <c r="G29" s="15">
        <f t="shared" si="1"/>
        <v>235.63636363636363</v>
      </c>
    </row>
    <row r="30" spans="2:7" x14ac:dyDescent="0.25">
      <c r="B30" s="3">
        <v>46039</v>
      </c>
      <c r="C30" s="4" t="s">
        <v>26</v>
      </c>
      <c r="D30" s="2">
        <v>2</v>
      </c>
      <c r="E30" s="12">
        <v>1398</v>
      </c>
      <c r="F30" s="2">
        <f t="shared" si="0"/>
        <v>2796</v>
      </c>
      <c r="G30" s="15">
        <f t="shared" si="1"/>
        <v>254.18181818181819</v>
      </c>
    </row>
    <row r="31" spans="2:7" x14ac:dyDescent="0.25">
      <c r="B31" s="3">
        <v>46039</v>
      </c>
      <c r="C31" s="4" t="s">
        <v>25</v>
      </c>
      <c r="D31" s="2">
        <v>2</v>
      </c>
      <c r="E31" s="12">
        <v>648</v>
      </c>
      <c r="F31" s="2">
        <f t="shared" si="0"/>
        <v>1296</v>
      </c>
      <c r="G31" s="15">
        <f t="shared" si="1"/>
        <v>117.81818181818181</v>
      </c>
    </row>
    <row r="32" spans="2:7" x14ac:dyDescent="0.25">
      <c r="B32" s="3">
        <v>46039</v>
      </c>
      <c r="C32" s="4" t="s">
        <v>27</v>
      </c>
      <c r="D32" s="2">
        <v>2</v>
      </c>
      <c r="E32" s="12">
        <v>1397</v>
      </c>
      <c r="F32" s="2">
        <f t="shared" si="0"/>
        <v>2794</v>
      </c>
      <c r="G32" s="15">
        <f t="shared" si="1"/>
        <v>254</v>
      </c>
    </row>
    <row r="33" spans="2:7" x14ac:dyDescent="0.25">
      <c r="B33" s="3">
        <v>46039</v>
      </c>
      <c r="C33" s="4" t="s">
        <v>24</v>
      </c>
      <c r="D33" s="2">
        <v>2</v>
      </c>
      <c r="E33" s="12">
        <v>1397</v>
      </c>
      <c r="F33" s="2">
        <f t="shared" si="0"/>
        <v>2794</v>
      </c>
      <c r="G33" s="15">
        <f t="shared" si="1"/>
        <v>254</v>
      </c>
    </row>
    <row r="34" spans="2:7" x14ac:dyDescent="0.25">
      <c r="B34" s="3">
        <v>46041</v>
      </c>
      <c r="C34" s="4" t="s">
        <v>28</v>
      </c>
      <c r="D34" s="2">
        <v>40</v>
      </c>
      <c r="E34" s="12">
        <v>402</v>
      </c>
      <c r="F34" s="2">
        <f t="shared" si="0"/>
        <v>16080</v>
      </c>
      <c r="G34" s="15">
        <f t="shared" si="1"/>
        <v>1461.8181818181818</v>
      </c>
    </row>
    <row r="35" spans="2:7" x14ac:dyDescent="0.25">
      <c r="B35" s="3">
        <v>46041</v>
      </c>
      <c r="C35" s="4" t="s">
        <v>29</v>
      </c>
      <c r="D35" s="2">
        <v>32</v>
      </c>
      <c r="E35" s="12">
        <v>402</v>
      </c>
      <c r="F35" s="2">
        <f t="shared" si="0"/>
        <v>12864</v>
      </c>
      <c r="G35" s="15">
        <f t="shared" si="1"/>
        <v>1169.4545454545455</v>
      </c>
    </row>
    <row r="36" spans="2:7" x14ac:dyDescent="0.25">
      <c r="B36" s="3">
        <v>46041</v>
      </c>
      <c r="C36" s="4" t="s">
        <v>29</v>
      </c>
      <c r="D36" s="2">
        <v>60</v>
      </c>
      <c r="E36" s="12">
        <v>402</v>
      </c>
      <c r="F36" s="2">
        <f t="shared" si="0"/>
        <v>24120</v>
      </c>
      <c r="G36" s="15">
        <f t="shared" si="1"/>
        <v>2192.7272727272725</v>
      </c>
    </row>
    <row r="37" spans="2:7" x14ac:dyDescent="0.25">
      <c r="B37" s="3">
        <v>46043</v>
      </c>
      <c r="C37" s="4" t="s">
        <v>29</v>
      </c>
      <c r="D37" s="2">
        <v>80</v>
      </c>
      <c r="E37" s="12">
        <v>398</v>
      </c>
      <c r="F37" s="2">
        <f t="shared" si="0"/>
        <v>31840</v>
      </c>
      <c r="G37" s="15">
        <f t="shared" si="1"/>
        <v>2894.5454545454545</v>
      </c>
    </row>
    <row r="38" spans="2:7" x14ac:dyDescent="0.25">
      <c r="B38" s="3">
        <v>46044</v>
      </c>
      <c r="C38" s="4" t="s">
        <v>30</v>
      </c>
      <c r="D38" s="2">
        <v>2</v>
      </c>
      <c r="E38" s="12">
        <v>1397</v>
      </c>
      <c r="F38" s="2">
        <f t="shared" si="0"/>
        <v>2794</v>
      </c>
      <c r="G38" s="15">
        <f t="shared" si="1"/>
        <v>254</v>
      </c>
    </row>
    <row r="39" spans="2:7" x14ac:dyDescent="0.25">
      <c r="B39" s="3">
        <v>46044</v>
      </c>
      <c r="C39" s="4" t="s">
        <v>31</v>
      </c>
      <c r="D39" s="2">
        <v>1</v>
      </c>
      <c r="E39" s="12">
        <v>1397</v>
      </c>
      <c r="F39" s="2">
        <f t="shared" si="0"/>
        <v>1397</v>
      </c>
      <c r="G39" s="15">
        <f t="shared" si="1"/>
        <v>127</v>
      </c>
    </row>
    <row r="40" spans="2:7" x14ac:dyDescent="0.25">
      <c r="B40" s="3">
        <v>46044</v>
      </c>
      <c r="C40" s="4" t="s">
        <v>29</v>
      </c>
      <c r="D40" s="2">
        <v>1</v>
      </c>
      <c r="E40" s="12">
        <v>439</v>
      </c>
      <c r="F40" s="2">
        <f t="shared" si="0"/>
        <v>439</v>
      </c>
      <c r="G40" s="15">
        <f t="shared" si="1"/>
        <v>39.909090909090907</v>
      </c>
    </row>
    <row r="41" spans="2:7" x14ac:dyDescent="0.25">
      <c r="B41" s="3">
        <v>46045</v>
      </c>
      <c r="C41" s="4" t="s">
        <v>32</v>
      </c>
      <c r="D41" s="2">
        <v>0</v>
      </c>
      <c r="E41" s="11">
        <v>0</v>
      </c>
      <c r="F41" s="2">
        <f t="shared" si="0"/>
        <v>0</v>
      </c>
      <c r="G41" s="15">
        <f t="shared" si="1"/>
        <v>0</v>
      </c>
    </row>
    <row r="42" spans="2:7" x14ac:dyDescent="0.25">
      <c r="B42" s="3">
        <v>46045</v>
      </c>
      <c r="C42" s="4" t="s">
        <v>29</v>
      </c>
      <c r="D42" s="2">
        <v>10</v>
      </c>
      <c r="E42" s="11">
        <v>431</v>
      </c>
      <c r="F42" s="2">
        <f t="shared" si="0"/>
        <v>4310</v>
      </c>
      <c r="G42" s="15">
        <f t="shared" si="1"/>
        <v>391.81818181818181</v>
      </c>
    </row>
    <row r="43" spans="2:7" x14ac:dyDescent="0.25">
      <c r="B43" s="3">
        <v>46046</v>
      </c>
      <c r="C43" s="4" t="s">
        <v>29</v>
      </c>
      <c r="D43" s="2">
        <v>4</v>
      </c>
      <c r="E43" s="11">
        <v>431</v>
      </c>
      <c r="F43" s="2">
        <f t="shared" si="0"/>
        <v>1724</v>
      </c>
      <c r="G43" s="15">
        <f t="shared" si="1"/>
        <v>156.72727272727272</v>
      </c>
    </row>
    <row r="44" spans="2:7" x14ac:dyDescent="0.25">
      <c r="B44" s="3">
        <v>46046</v>
      </c>
      <c r="C44" s="4" t="s">
        <v>29</v>
      </c>
      <c r="D44" s="2">
        <v>10</v>
      </c>
      <c r="E44" s="11">
        <v>451</v>
      </c>
      <c r="F44" s="2">
        <f t="shared" si="0"/>
        <v>4510</v>
      </c>
      <c r="G44" s="15">
        <f t="shared" si="1"/>
        <v>410</v>
      </c>
    </row>
    <row r="45" spans="2:7" x14ac:dyDescent="0.25">
      <c r="B45" s="3">
        <v>46049</v>
      </c>
      <c r="C45" s="4" t="s">
        <v>3</v>
      </c>
      <c r="D45" s="2">
        <v>24</v>
      </c>
      <c r="E45" s="12">
        <v>403</v>
      </c>
      <c r="F45" s="2">
        <f t="shared" si="0"/>
        <v>9672</v>
      </c>
      <c r="G45" s="15">
        <f t="shared" si="1"/>
        <v>879.27272727272725</v>
      </c>
    </row>
    <row r="46" spans="2:7" x14ac:dyDescent="0.25">
      <c r="B46" s="3">
        <v>46046</v>
      </c>
      <c r="C46" s="4" t="s">
        <v>33</v>
      </c>
      <c r="D46" s="2">
        <v>4</v>
      </c>
      <c r="E46" s="11">
        <v>2199</v>
      </c>
      <c r="F46" s="2">
        <f t="shared" si="0"/>
        <v>8796</v>
      </c>
      <c r="G46" s="15">
        <f t="shared" si="1"/>
        <v>799.63636363636363</v>
      </c>
    </row>
    <row r="47" spans="2:7" x14ac:dyDescent="0.25">
      <c r="B47" s="3">
        <v>46046</v>
      </c>
      <c r="C47" s="4" t="s">
        <v>33</v>
      </c>
      <c r="D47" s="2">
        <v>4</v>
      </c>
      <c r="E47" s="11">
        <v>2199</v>
      </c>
      <c r="F47" s="2">
        <f t="shared" si="0"/>
        <v>8796</v>
      </c>
      <c r="G47" s="15">
        <f t="shared" si="1"/>
        <v>799.63636363636363</v>
      </c>
    </row>
    <row r="48" spans="2:7" x14ac:dyDescent="0.25">
      <c r="B48" s="3">
        <v>46046</v>
      </c>
      <c r="C48" s="4" t="s">
        <v>33</v>
      </c>
      <c r="D48" s="2">
        <v>2</v>
      </c>
      <c r="E48" s="11">
        <v>2199</v>
      </c>
      <c r="F48" s="2">
        <f t="shared" si="0"/>
        <v>4398</v>
      </c>
      <c r="G48" s="15">
        <f t="shared" si="1"/>
        <v>399.81818181818181</v>
      </c>
    </row>
    <row r="49" spans="2:7" x14ac:dyDescent="0.25">
      <c r="B49" s="3">
        <v>46046</v>
      </c>
      <c r="C49" s="4" t="s">
        <v>33</v>
      </c>
      <c r="D49" s="2">
        <v>4</v>
      </c>
      <c r="E49" s="11">
        <v>2199</v>
      </c>
      <c r="F49" s="2">
        <f t="shared" si="0"/>
        <v>8796</v>
      </c>
      <c r="G49" s="15">
        <f t="shared" si="1"/>
        <v>799.63636363636363</v>
      </c>
    </row>
    <row r="50" spans="2:7" x14ac:dyDescent="0.25">
      <c r="B50" s="3">
        <v>46046</v>
      </c>
      <c r="C50" s="4" t="s">
        <v>34</v>
      </c>
      <c r="D50" s="2">
        <v>2</v>
      </c>
      <c r="E50" s="11">
        <v>2199</v>
      </c>
      <c r="F50" s="2">
        <f t="shared" si="0"/>
        <v>4398</v>
      </c>
      <c r="G50" s="15">
        <f t="shared" si="1"/>
        <v>399.81818181818181</v>
      </c>
    </row>
    <row r="51" spans="2:7" x14ac:dyDescent="0.25">
      <c r="B51" s="3">
        <v>46046</v>
      </c>
      <c r="C51" s="4" t="s">
        <v>35</v>
      </c>
      <c r="D51" s="2">
        <v>2</v>
      </c>
      <c r="E51" s="11">
        <v>1497</v>
      </c>
      <c r="F51" s="2">
        <f t="shared" si="0"/>
        <v>2994</v>
      </c>
      <c r="G51" s="15">
        <f t="shared" si="1"/>
        <v>272.18181818181819</v>
      </c>
    </row>
    <row r="52" spans="2:7" x14ac:dyDescent="0.25">
      <c r="B52" s="3">
        <v>46046</v>
      </c>
      <c r="C52" s="4" t="s">
        <v>36</v>
      </c>
      <c r="D52" s="2">
        <v>3</v>
      </c>
      <c r="E52" s="11">
        <v>1497</v>
      </c>
      <c r="F52" s="2">
        <f t="shared" si="0"/>
        <v>4491</v>
      </c>
      <c r="G52" s="15">
        <f t="shared" si="1"/>
        <v>408.27272727272725</v>
      </c>
    </row>
    <row r="53" spans="2:7" x14ac:dyDescent="0.25">
      <c r="B53" s="3">
        <v>46047</v>
      </c>
      <c r="C53" s="4" t="s">
        <v>33</v>
      </c>
      <c r="D53" s="2">
        <v>4</v>
      </c>
      <c r="E53" s="11">
        <v>2199</v>
      </c>
      <c r="F53" s="2">
        <f t="shared" si="0"/>
        <v>8796</v>
      </c>
      <c r="G53" s="15">
        <f t="shared" si="1"/>
        <v>799.63636363636363</v>
      </c>
    </row>
    <row r="54" spans="2:7" x14ac:dyDescent="0.25">
      <c r="B54" s="3">
        <v>46047</v>
      </c>
      <c r="C54" s="4" t="s">
        <v>34</v>
      </c>
      <c r="D54" s="2">
        <v>2</v>
      </c>
      <c r="E54" s="11">
        <v>2199</v>
      </c>
      <c r="F54" s="2">
        <f t="shared" si="0"/>
        <v>4398</v>
      </c>
      <c r="G54" s="15">
        <f t="shared" si="1"/>
        <v>399.81818181818181</v>
      </c>
    </row>
    <row r="55" spans="2:7" x14ac:dyDescent="0.25">
      <c r="B55" s="3">
        <v>46047</v>
      </c>
      <c r="C55" s="4" t="s">
        <v>37</v>
      </c>
      <c r="D55" s="2">
        <v>2</v>
      </c>
      <c r="E55" s="11">
        <v>1499</v>
      </c>
      <c r="F55" s="2">
        <f t="shared" si="0"/>
        <v>2998</v>
      </c>
      <c r="G55" s="15">
        <f t="shared" si="1"/>
        <v>272.54545454545456</v>
      </c>
    </row>
    <row r="56" spans="2:7" x14ac:dyDescent="0.25">
      <c r="B56" s="3">
        <v>46047</v>
      </c>
      <c r="C56" s="4" t="s">
        <v>38</v>
      </c>
      <c r="D56" s="2">
        <v>2</v>
      </c>
      <c r="E56" s="11">
        <v>1499</v>
      </c>
      <c r="F56" s="2">
        <f t="shared" si="0"/>
        <v>2998</v>
      </c>
      <c r="G56" s="15">
        <f t="shared" si="1"/>
        <v>272.54545454545456</v>
      </c>
    </row>
    <row r="57" spans="2:7" x14ac:dyDescent="0.25">
      <c r="B57" s="3">
        <v>46047</v>
      </c>
      <c r="C57" s="4" t="s">
        <v>33</v>
      </c>
      <c r="D57" s="2">
        <v>3</v>
      </c>
      <c r="E57" s="11">
        <v>2199</v>
      </c>
      <c r="F57" s="2">
        <f t="shared" si="0"/>
        <v>6597</v>
      </c>
      <c r="G57" s="15">
        <f t="shared" si="1"/>
        <v>599.72727272727275</v>
      </c>
    </row>
    <row r="58" spans="2:7" x14ac:dyDescent="0.25">
      <c r="B58" s="3">
        <v>46047</v>
      </c>
      <c r="C58" s="4" t="s">
        <v>33</v>
      </c>
      <c r="D58" s="2">
        <v>4</v>
      </c>
      <c r="E58" s="11">
        <v>2199</v>
      </c>
      <c r="F58" s="2">
        <f t="shared" si="0"/>
        <v>8796</v>
      </c>
      <c r="G58" s="15">
        <f t="shared" si="1"/>
        <v>799.63636363636363</v>
      </c>
    </row>
    <row r="59" spans="2:7" x14ac:dyDescent="0.25">
      <c r="B59" s="3">
        <v>46047</v>
      </c>
      <c r="C59" s="4" t="s">
        <v>39</v>
      </c>
      <c r="D59" s="2">
        <v>4</v>
      </c>
      <c r="E59" s="11">
        <v>2199</v>
      </c>
      <c r="F59" s="2">
        <f t="shared" si="0"/>
        <v>8796</v>
      </c>
      <c r="G59" s="15">
        <f t="shared" si="1"/>
        <v>799.63636363636363</v>
      </c>
    </row>
    <row r="60" spans="2:7" x14ac:dyDescent="0.25">
      <c r="B60" s="3">
        <v>46047</v>
      </c>
      <c r="C60" s="4" t="s">
        <v>40</v>
      </c>
      <c r="D60" s="2">
        <v>4</v>
      </c>
      <c r="E60" s="11">
        <v>1499</v>
      </c>
      <c r="F60" s="2">
        <f t="shared" si="0"/>
        <v>5996</v>
      </c>
      <c r="G60" s="15">
        <f t="shared" si="1"/>
        <v>545.09090909090912</v>
      </c>
    </row>
    <row r="61" spans="2:7" x14ac:dyDescent="0.25">
      <c r="B61" s="3">
        <v>46047</v>
      </c>
      <c r="C61" s="4" t="s">
        <v>41</v>
      </c>
      <c r="D61" s="2">
        <v>4</v>
      </c>
      <c r="E61" s="11">
        <v>1499</v>
      </c>
      <c r="F61" s="2">
        <f t="shared" si="0"/>
        <v>5996</v>
      </c>
      <c r="G61" s="15">
        <f t="shared" si="1"/>
        <v>545.09090909090912</v>
      </c>
    </row>
    <row r="62" spans="2:7" x14ac:dyDescent="0.25">
      <c r="B62" s="3">
        <v>46051</v>
      </c>
      <c r="C62" s="4" t="s">
        <v>29</v>
      </c>
      <c r="D62" s="2">
        <v>15</v>
      </c>
      <c r="E62" s="13">
        <v>403</v>
      </c>
      <c r="F62" s="2">
        <f t="shared" si="0"/>
        <v>6045</v>
      </c>
      <c r="G62" s="15">
        <f t="shared" si="1"/>
        <v>549.5454545454545</v>
      </c>
    </row>
    <row r="63" spans="2:7" x14ac:dyDescent="0.25">
      <c r="B63" s="3">
        <v>46052</v>
      </c>
      <c r="C63" s="4" t="s">
        <v>32</v>
      </c>
      <c r="D63" s="2">
        <v>250</v>
      </c>
      <c r="E63" s="13">
        <v>466</v>
      </c>
      <c r="F63" s="2">
        <f t="shared" si="0"/>
        <v>116500</v>
      </c>
      <c r="G63" s="15">
        <f t="shared" si="1"/>
        <v>10590.90909090909</v>
      </c>
    </row>
    <row r="64" spans="2:7" x14ac:dyDescent="0.25">
      <c r="B64" s="3">
        <v>46052</v>
      </c>
      <c r="C64" s="4" t="s">
        <v>29</v>
      </c>
      <c r="D64" s="2">
        <v>48</v>
      </c>
      <c r="E64" s="13">
        <v>466</v>
      </c>
      <c r="F64" s="2">
        <f t="shared" si="0"/>
        <v>22368</v>
      </c>
      <c r="G64" s="15">
        <f t="shared" si="1"/>
        <v>2033.4545454545455</v>
      </c>
    </row>
    <row r="65" spans="2:7" x14ac:dyDescent="0.25">
      <c r="B65" s="3">
        <v>46052</v>
      </c>
      <c r="C65" s="4" t="s">
        <v>29</v>
      </c>
      <c r="D65" s="2">
        <v>8</v>
      </c>
      <c r="E65" s="13">
        <v>450.89</v>
      </c>
      <c r="F65" s="2">
        <f t="shared" si="0"/>
        <v>3607.12</v>
      </c>
      <c r="G65" s="15">
        <f t="shared" si="1"/>
        <v>327.92</v>
      </c>
    </row>
    <row r="66" spans="2:7" x14ac:dyDescent="0.25">
      <c r="B66" s="3">
        <v>46052</v>
      </c>
      <c r="C66" s="4" t="s">
        <v>29</v>
      </c>
      <c r="D66" s="2">
        <v>8</v>
      </c>
      <c r="E66" s="13">
        <v>431.1</v>
      </c>
      <c r="F66" s="2">
        <f t="shared" si="0"/>
        <v>3448.8</v>
      </c>
      <c r="G66" s="15">
        <f t="shared" si="1"/>
        <v>313.52727272727276</v>
      </c>
    </row>
    <row r="67" spans="2:7" x14ac:dyDescent="0.25">
      <c r="B67" s="3">
        <v>46052</v>
      </c>
      <c r="C67" s="4" t="s">
        <v>29</v>
      </c>
      <c r="D67" s="2">
        <v>6</v>
      </c>
      <c r="E67" s="13">
        <v>440.1</v>
      </c>
      <c r="F67" s="2">
        <f t="shared" ref="F67:F117" si="2">E67*D67</f>
        <v>2640.6000000000004</v>
      </c>
      <c r="G67" s="15">
        <f t="shared" ref="G67:G117" si="3">F67/11</f>
        <v>240.05454545454549</v>
      </c>
    </row>
    <row r="68" spans="2:7" x14ac:dyDescent="0.25">
      <c r="B68" s="3">
        <v>46052</v>
      </c>
      <c r="C68" s="4" t="s">
        <v>29</v>
      </c>
      <c r="D68" s="2">
        <v>4</v>
      </c>
      <c r="E68" s="13">
        <v>440.1</v>
      </c>
      <c r="F68" s="2">
        <f t="shared" si="2"/>
        <v>1760.4</v>
      </c>
      <c r="G68" s="15">
        <f t="shared" si="3"/>
        <v>160.03636363636363</v>
      </c>
    </row>
    <row r="69" spans="2:7" x14ac:dyDescent="0.25">
      <c r="B69" s="3">
        <v>46052</v>
      </c>
      <c r="C69" s="4" t="s">
        <v>29</v>
      </c>
      <c r="D69" s="2">
        <v>10</v>
      </c>
      <c r="E69" s="13">
        <v>454.49</v>
      </c>
      <c r="F69" s="2">
        <f t="shared" si="2"/>
        <v>4544.8999999999996</v>
      </c>
      <c r="G69" s="15">
        <f t="shared" si="3"/>
        <v>413.17272727272723</v>
      </c>
    </row>
    <row r="70" spans="2:7" x14ac:dyDescent="0.25">
      <c r="B70" s="3">
        <v>46052</v>
      </c>
      <c r="C70" s="4" t="s">
        <v>29</v>
      </c>
      <c r="D70" s="2">
        <v>11</v>
      </c>
      <c r="E70" s="13">
        <v>423.45</v>
      </c>
      <c r="F70" s="2">
        <f t="shared" si="2"/>
        <v>4657.95</v>
      </c>
      <c r="G70" s="15">
        <f t="shared" si="3"/>
        <v>423.45</v>
      </c>
    </row>
    <row r="71" spans="2:7" x14ac:dyDescent="0.25">
      <c r="B71" s="3">
        <v>46052</v>
      </c>
      <c r="C71" s="4" t="s">
        <v>29</v>
      </c>
      <c r="D71" s="2">
        <v>1</v>
      </c>
      <c r="E71" s="13">
        <v>431.1</v>
      </c>
      <c r="F71" s="2">
        <f t="shared" si="2"/>
        <v>431.1</v>
      </c>
      <c r="G71" s="15">
        <f t="shared" si="3"/>
        <v>39.190909090909095</v>
      </c>
    </row>
    <row r="72" spans="2:7" x14ac:dyDescent="0.25">
      <c r="B72" s="3">
        <v>46052</v>
      </c>
      <c r="C72" s="4" t="s">
        <v>29</v>
      </c>
      <c r="D72" s="2">
        <v>7</v>
      </c>
      <c r="E72" s="13">
        <v>431.1</v>
      </c>
      <c r="F72" s="2">
        <f t="shared" si="2"/>
        <v>3017.7000000000003</v>
      </c>
      <c r="G72" s="15">
        <f t="shared" si="3"/>
        <v>274.33636363636367</v>
      </c>
    </row>
    <row r="73" spans="2:7" x14ac:dyDescent="0.25">
      <c r="B73" s="3">
        <v>46052</v>
      </c>
      <c r="C73" s="4" t="s">
        <v>29</v>
      </c>
      <c r="D73" s="2">
        <v>15</v>
      </c>
      <c r="E73" s="13">
        <v>431.1</v>
      </c>
      <c r="F73" s="2">
        <f t="shared" si="2"/>
        <v>6466.5</v>
      </c>
      <c r="G73" s="15">
        <f t="shared" si="3"/>
        <v>587.86363636363637</v>
      </c>
    </row>
    <row r="74" spans="2:7" x14ac:dyDescent="0.25">
      <c r="B74" s="3">
        <v>46052</v>
      </c>
      <c r="C74" s="4" t="s">
        <v>29</v>
      </c>
      <c r="D74" s="2">
        <v>5</v>
      </c>
      <c r="E74" s="13">
        <v>450.89</v>
      </c>
      <c r="F74" s="2">
        <f t="shared" si="2"/>
        <v>2254.4499999999998</v>
      </c>
      <c r="G74" s="15">
        <f t="shared" si="3"/>
        <v>204.95</v>
      </c>
    </row>
    <row r="75" spans="2:7" x14ac:dyDescent="0.25">
      <c r="B75" s="3">
        <v>46052</v>
      </c>
      <c r="C75" s="4" t="s">
        <v>29</v>
      </c>
      <c r="D75" s="2">
        <v>6</v>
      </c>
      <c r="E75" s="13">
        <v>431.1</v>
      </c>
      <c r="F75" s="2">
        <f t="shared" si="2"/>
        <v>2586.6000000000004</v>
      </c>
      <c r="G75" s="15">
        <f t="shared" si="3"/>
        <v>235.14545454545458</v>
      </c>
    </row>
    <row r="76" spans="2:7" x14ac:dyDescent="0.25">
      <c r="B76" s="3">
        <v>46052</v>
      </c>
      <c r="C76" s="4" t="s">
        <v>29</v>
      </c>
      <c r="D76" s="2">
        <v>8</v>
      </c>
      <c r="E76" s="13">
        <v>431.1</v>
      </c>
      <c r="F76" s="2">
        <f t="shared" si="2"/>
        <v>3448.8</v>
      </c>
      <c r="G76" s="15">
        <f t="shared" si="3"/>
        <v>313.52727272727276</v>
      </c>
    </row>
    <row r="77" spans="2:7" x14ac:dyDescent="0.25">
      <c r="B77" s="3">
        <v>46052</v>
      </c>
      <c r="C77" s="4" t="s">
        <v>29</v>
      </c>
      <c r="D77" s="2">
        <v>8</v>
      </c>
      <c r="E77" s="13">
        <v>431.1</v>
      </c>
      <c r="F77" s="2">
        <f t="shared" si="2"/>
        <v>3448.8</v>
      </c>
      <c r="G77" s="15">
        <f t="shared" si="3"/>
        <v>313.52727272727276</v>
      </c>
    </row>
    <row r="78" spans="2:7" x14ac:dyDescent="0.25">
      <c r="B78" s="3">
        <v>46052</v>
      </c>
      <c r="C78" s="4" t="s">
        <v>29</v>
      </c>
      <c r="D78" s="2">
        <v>16</v>
      </c>
      <c r="E78" s="13">
        <v>431.1</v>
      </c>
      <c r="F78" s="2">
        <f t="shared" si="2"/>
        <v>6897.6</v>
      </c>
      <c r="G78" s="15">
        <f t="shared" si="3"/>
        <v>627.05454545454552</v>
      </c>
    </row>
    <row r="79" spans="2:7" x14ac:dyDescent="0.25">
      <c r="B79" s="3">
        <v>46052</v>
      </c>
      <c r="C79" s="4" t="s">
        <v>29</v>
      </c>
      <c r="D79" s="2">
        <v>2</v>
      </c>
      <c r="E79" s="13">
        <v>450.89</v>
      </c>
      <c r="F79" s="2">
        <f t="shared" si="2"/>
        <v>901.78</v>
      </c>
      <c r="G79" s="15">
        <f t="shared" si="3"/>
        <v>81.98</v>
      </c>
    </row>
    <row r="80" spans="2:7" x14ac:dyDescent="0.25">
      <c r="B80" s="3">
        <v>46055</v>
      </c>
      <c r="C80" s="4" t="s">
        <v>42</v>
      </c>
      <c r="D80" s="2">
        <v>11</v>
      </c>
      <c r="E80" s="11">
        <v>398</v>
      </c>
      <c r="F80" s="2">
        <f t="shared" si="2"/>
        <v>4378</v>
      </c>
      <c r="G80" s="15">
        <f t="shared" si="3"/>
        <v>398</v>
      </c>
    </row>
    <row r="81" spans="2:7" x14ac:dyDescent="0.25">
      <c r="B81" s="3">
        <v>46055</v>
      </c>
      <c r="C81" s="4" t="s">
        <v>43</v>
      </c>
      <c r="D81" s="2">
        <v>4</v>
      </c>
      <c r="E81" s="13">
        <v>431</v>
      </c>
      <c r="F81" s="2">
        <f t="shared" si="2"/>
        <v>1724</v>
      </c>
      <c r="G81" s="15">
        <f t="shared" si="3"/>
        <v>156.72727272727272</v>
      </c>
    </row>
    <row r="82" spans="2:7" x14ac:dyDescent="0.25">
      <c r="B82" s="3">
        <v>46056</v>
      </c>
      <c r="C82" s="4" t="s">
        <v>43</v>
      </c>
      <c r="D82" s="2">
        <v>3</v>
      </c>
      <c r="E82" s="13">
        <v>431</v>
      </c>
      <c r="F82" s="2">
        <f t="shared" si="2"/>
        <v>1293</v>
      </c>
      <c r="G82" s="15">
        <f t="shared" si="3"/>
        <v>117.54545454545455</v>
      </c>
    </row>
    <row r="83" spans="2:7" x14ac:dyDescent="0.25">
      <c r="B83" s="3">
        <v>46056</v>
      </c>
      <c r="C83" s="4" t="s">
        <v>43</v>
      </c>
      <c r="D83" s="2">
        <v>8</v>
      </c>
      <c r="E83" s="13">
        <v>440</v>
      </c>
      <c r="F83" s="2">
        <f t="shared" si="2"/>
        <v>3520</v>
      </c>
      <c r="G83" s="15">
        <f t="shared" si="3"/>
        <v>320</v>
      </c>
    </row>
    <row r="84" spans="2:7" x14ac:dyDescent="0.25">
      <c r="B84" s="3">
        <v>46056</v>
      </c>
      <c r="C84" s="4" t="s">
        <v>42</v>
      </c>
      <c r="D84" s="2">
        <v>5</v>
      </c>
      <c r="E84" s="13">
        <v>440</v>
      </c>
      <c r="F84" s="2">
        <f t="shared" si="2"/>
        <v>2200</v>
      </c>
      <c r="G84" s="15">
        <f t="shared" si="3"/>
        <v>200</v>
      </c>
    </row>
    <row r="85" spans="2:7" x14ac:dyDescent="0.25">
      <c r="B85" s="3">
        <v>46056</v>
      </c>
      <c r="C85" s="4" t="s">
        <v>43</v>
      </c>
      <c r="D85" s="2">
        <v>6</v>
      </c>
      <c r="E85" s="13">
        <v>440</v>
      </c>
      <c r="F85" s="2">
        <f t="shared" si="2"/>
        <v>2640</v>
      </c>
      <c r="G85" s="15">
        <f t="shared" si="3"/>
        <v>240</v>
      </c>
    </row>
    <row r="86" spans="2:7" x14ac:dyDescent="0.25">
      <c r="B86" s="3">
        <v>46056</v>
      </c>
      <c r="C86" s="4" t="s">
        <v>44</v>
      </c>
      <c r="D86" s="2">
        <v>3</v>
      </c>
      <c r="E86" s="13">
        <v>398</v>
      </c>
      <c r="F86" s="2">
        <f t="shared" si="2"/>
        <v>1194</v>
      </c>
      <c r="G86" s="15">
        <f t="shared" si="3"/>
        <v>108.54545454545455</v>
      </c>
    </row>
    <row r="87" spans="2:7" x14ac:dyDescent="0.25">
      <c r="B87" s="3">
        <v>46056</v>
      </c>
      <c r="C87" s="4" t="s">
        <v>44</v>
      </c>
      <c r="D87" s="2">
        <v>3</v>
      </c>
      <c r="E87" s="13">
        <v>398</v>
      </c>
      <c r="F87" s="2">
        <f t="shared" si="2"/>
        <v>1194</v>
      </c>
      <c r="G87" s="15">
        <f t="shared" si="3"/>
        <v>108.54545454545455</v>
      </c>
    </row>
    <row r="88" spans="2:7" x14ac:dyDescent="0.25">
      <c r="B88" s="3">
        <v>46056</v>
      </c>
      <c r="C88" s="4" t="s">
        <v>44</v>
      </c>
      <c r="D88" s="2">
        <v>2</v>
      </c>
      <c r="E88" s="13">
        <v>398</v>
      </c>
      <c r="F88" s="2">
        <f t="shared" si="2"/>
        <v>796</v>
      </c>
      <c r="G88" s="15">
        <f t="shared" si="3"/>
        <v>72.36363636363636</v>
      </c>
    </row>
    <row r="89" spans="2:7" x14ac:dyDescent="0.25">
      <c r="B89" s="3">
        <v>46056</v>
      </c>
      <c r="C89" s="4" t="s">
        <v>45</v>
      </c>
      <c r="D89" s="2">
        <v>1</v>
      </c>
      <c r="E89" s="13">
        <v>7</v>
      </c>
      <c r="F89" s="2">
        <f t="shared" si="2"/>
        <v>7</v>
      </c>
      <c r="G89" s="15">
        <f t="shared" si="3"/>
        <v>0.63636363636363635</v>
      </c>
    </row>
    <row r="90" spans="2:7" x14ac:dyDescent="0.25">
      <c r="B90" s="3">
        <v>46056</v>
      </c>
      <c r="C90" s="4" t="s">
        <v>46</v>
      </c>
      <c r="D90" s="2">
        <v>5</v>
      </c>
      <c r="E90" s="13">
        <v>2490</v>
      </c>
      <c r="F90" s="2">
        <f t="shared" si="2"/>
        <v>12450</v>
      </c>
      <c r="G90" s="15">
        <f t="shared" si="3"/>
        <v>1131.8181818181818</v>
      </c>
    </row>
    <row r="91" spans="2:7" x14ac:dyDescent="0.25">
      <c r="B91" s="3">
        <v>46056</v>
      </c>
      <c r="C91" s="4" t="s">
        <v>47</v>
      </c>
      <c r="D91" s="2">
        <v>2</v>
      </c>
      <c r="E91" s="12">
        <v>2197</v>
      </c>
      <c r="F91" s="2">
        <f t="shared" si="2"/>
        <v>4394</v>
      </c>
      <c r="G91" s="15">
        <f t="shared" si="3"/>
        <v>399.45454545454544</v>
      </c>
    </row>
    <row r="92" spans="2:7" x14ac:dyDescent="0.25">
      <c r="B92" s="3">
        <v>46057</v>
      </c>
      <c r="C92" s="4" t="s">
        <v>44</v>
      </c>
      <c r="D92" s="2">
        <v>3</v>
      </c>
      <c r="E92" s="12">
        <v>397</v>
      </c>
      <c r="F92" s="2">
        <f t="shared" si="2"/>
        <v>1191</v>
      </c>
      <c r="G92" s="15">
        <f t="shared" si="3"/>
        <v>108.27272727272727</v>
      </c>
    </row>
    <row r="93" spans="2:7" x14ac:dyDescent="0.25">
      <c r="B93" s="3">
        <v>46057</v>
      </c>
      <c r="C93" s="4" t="s">
        <v>43</v>
      </c>
      <c r="D93" s="2">
        <v>4</v>
      </c>
      <c r="E93" s="12">
        <v>454</v>
      </c>
      <c r="F93" s="2">
        <f t="shared" si="2"/>
        <v>1816</v>
      </c>
      <c r="G93" s="15">
        <f t="shared" si="3"/>
        <v>165.09090909090909</v>
      </c>
    </row>
    <row r="94" spans="2:7" x14ac:dyDescent="0.25">
      <c r="B94" s="3">
        <v>46057</v>
      </c>
      <c r="C94" s="4" t="s">
        <v>43</v>
      </c>
      <c r="D94" s="2">
        <v>4</v>
      </c>
      <c r="E94" s="12">
        <v>450</v>
      </c>
      <c r="F94" s="2">
        <f t="shared" si="2"/>
        <v>1800</v>
      </c>
      <c r="G94" s="15">
        <f t="shared" si="3"/>
        <v>163.63636363636363</v>
      </c>
    </row>
    <row r="95" spans="2:7" x14ac:dyDescent="0.25">
      <c r="B95" s="3">
        <v>46058</v>
      </c>
      <c r="C95" s="4" t="s">
        <v>44</v>
      </c>
      <c r="D95" s="2">
        <v>50</v>
      </c>
      <c r="E95" s="12">
        <v>397</v>
      </c>
      <c r="F95" s="2">
        <f t="shared" si="2"/>
        <v>19850</v>
      </c>
      <c r="G95" s="15">
        <f t="shared" si="3"/>
        <v>1804.5454545454545</v>
      </c>
    </row>
    <row r="96" spans="2:7" x14ac:dyDescent="0.25">
      <c r="B96" s="3">
        <v>46059</v>
      </c>
      <c r="C96" s="4" t="s">
        <v>43</v>
      </c>
      <c r="D96" s="2">
        <v>2</v>
      </c>
      <c r="E96" s="12">
        <v>450</v>
      </c>
      <c r="F96" s="2">
        <f t="shared" si="2"/>
        <v>900</v>
      </c>
      <c r="G96" s="15">
        <f t="shared" si="3"/>
        <v>81.818181818181813</v>
      </c>
    </row>
    <row r="97" spans="2:7" x14ac:dyDescent="0.25">
      <c r="B97" s="3">
        <v>46066</v>
      </c>
      <c r="C97" s="4" t="s">
        <v>48</v>
      </c>
      <c r="D97" s="2">
        <v>1</v>
      </c>
      <c r="E97" s="12">
        <v>2949</v>
      </c>
      <c r="F97" s="2">
        <f t="shared" si="2"/>
        <v>2949</v>
      </c>
      <c r="G97" s="15">
        <f t="shared" si="3"/>
        <v>268.09090909090907</v>
      </c>
    </row>
    <row r="98" spans="2:7" x14ac:dyDescent="0.25">
      <c r="B98" s="3">
        <v>46066</v>
      </c>
      <c r="C98" s="4" t="s">
        <v>49</v>
      </c>
      <c r="D98" s="2">
        <v>1</v>
      </c>
      <c r="E98" s="12">
        <v>0</v>
      </c>
      <c r="F98" s="2">
        <f t="shared" si="2"/>
        <v>0</v>
      </c>
      <c r="G98" s="15">
        <f t="shared" si="3"/>
        <v>0</v>
      </c>
    </row>
    <row r="99" spans="2:7" x14ac:dyDescent="0.25">
      <c r="B99" s="3">
        <v>46066</v>
      </c>
      <c r="C99" s="4" t="s">
        <v>50</v>
      </c>
      <c r="D99" s="2">
        <v>1</v>
      </c>
      <c r="E99" s="12">
        <v>4400</v>
      </c>
      <c r="F99" s="2">
        <f t="shared" si="2"/>
        <v>4400</v>
      </c>
      <c r="G99" s="15">
        <f t="shared" si="3"/>
        <v>400</v>
      </c>
    </row>
    <row r="100" spans="2:7" x14ac:dyDescent="0.25">
      <c r="B100" s="3">
        <v>46066</v>
      </c>
      <c r="C100" s="4" t="s">
        <v>51</v>
      </c>
      <c r="D100" s="2">
        <v>1</v>
      </c>
      <c r="E100" s="12">
        <v>3300</v>
      </c>
      <c r="F100" s="2">
        <f t="shared" si="2"/>
        <v>3300</v>
      </c>
      <c r="G100" s="15">
        <f t="shared" si="3"/>
        <v>300</v>
      </c>
    </row>
    <row r="101" spans="2:7" x14ac:dyDescent="0.25">
      <c r="B101" s="3">
        <v>46066</v>
      </c>
      <c r="C101" s="4" t="s">
        <v>52</v>
      </c>
      <c r="D101" s="2">
        <v>2</v>
      </c>
      <c r="E101" s="12">
        <v>1400</v>
      </c>
      <c r="F101" s="2">
        <f t="shared" si="2"/>
        <v>2800</v>
      </c>
      <c r="G101" s="15">
        <f t="shared" si="3"/>
        <v>254.54545454545453</v>
      </c>
    </row>
    <row r="102" spans="2:7" x14ac:dyDescent="0.25">
      <c r="B102" s="3">
        <v>46066</v>
      </c>
      <c r="C102" s="4" t="s">
        <v>53</v>
      </c>
      <c r="D102" s="2">
        <v>3</v>
      </c>
      <c r="E102" s="12">
        <v>520</v>
      </c>
      <c r="F102" s="2">
        <f t="shared" si="2"/>
        <v>1560</v>
      </c>
      <c r="G102" s="15">
        <f t="shared" si="3"/>
        <v>141.81818181818181</v>
      </c>
    </row>
    <row r="103" spans="2:7" x14ac:dyDescent="0.25">
      <c r="B103" s="3">
        <v>46066</v>
      </c>
      <c r="C103" s="4" t="s">
        <v>54</v>
      </c>
      <c r="D103" s="2">
        <v>1</v>
      </c>
      <c r="E103" s="12">
        <v>1299</v>
      </c>
      <c r="F103" s="2">
        <f t="shared" si="2"/>
        <v>1299</v>
      </c>
      <c r="G103" s="15">
        <f t="shared" si="3"/>
        <v>118.09090909090909</v>
      </c>
    </row>
    <row r="104" spans="2:7" x14ac:dyDescent="0.25">
      <c r="B104" s="3">
        <v>46066</v>
      </c>
      <c r="C104" s="4" t="s">
        <v>55</v>
      </c>
      <c r="D104" s="2">
        <v>5</v>
      </c>
      <c r="E104" s="12">
        <v>30</v>
      </c>
      <c r="F104" s="2">
        <f t="shared" si="2"/>
        <v>150</v>
      </c>
      <c r="G104" s="15">
        <f t="shared" si="3"/>
        <v>13.636363636363637</v>
      </c>
    </row>
    <row r="105" spans="2:7" x14ac:dyDescent="0.25">
      <c r="B105" s="3">
        <v>46073</v>
      </c>
      <c r="C105" s="4" t="s">
        <v>43</v>
      </c>
      <c r="D105" s="2">
        <v>80</v>
      </c>
      <c r="E105" s="12">
        <v>400</v>
      </c>
      <c r="F105" s="2">
        <f t="shared" si="2"/>
        <v>32000</v>
      </c>
      <c r="G105" s="15">
        <f t="shared" si="3"/>
        <v>2909.090909090909</v>
      </c>
    </row>
    <row r="106" spans="2:7" x14ac:dyDescent="0.25">
      <c r="B106" s="3">
        <v>46072</v>
      </c>
      <c r="C106" s="4" t="s">
        <v>56</v>
      </c>
      <c r="D106" s="2">
        <v>60</v>
      </c>
      <c r="E106" s="12">
        <v>400</v>
      </c>
      <c r="F106" s="2">
        <f t="shared" si="2"/>
        <v>24000</v>
      </c>
      <c r="G106" s="15">
        <f t="shared" si="3"/>
        <v>2181.818181818182</v>
      </c>
    </row>
    <row r="107" spans="2:7" x14ac:dyDescent="0.25">
      <c r="B107" s="3">
        <v>46074</v>
      </c>
      <c r="C107" s="4" t="s">
        <v>33</v>
      </c>
      <c r="D107" s="2">
        <v>10</v>
      </c>
      <c r="E107" s="12">
        <v>2100</v>
      </c>
      <c r="F107" s="2">
        <f t="shared" si="2"/>
        <v>21000</v>
      </c>
      <c r="G107" s="15">
        <f t="shared" si="3"/>
        <v>1909.090909090909</v>
      </c>
    </row>
    <row r="108" spans="2:7" x14ac:dyDescent="0.25">
      <c r="B108" s="3">
        <v>46074</v>
      </c>
      <c r="C108" s="4" t="s">
        <v>57</v>
      </c>
      <c r="D108" s="2">
        <v>4</v>
      </c>
      <c r="E108" s="12">
        <v>450</v>
      </c>
      <c r="F108" s="2">
        <f t="shared" si="2"/>
        <v>1800</v>
      </c>
      <c r="G108" s="15">
        <f t="shared" si="3"/>
        <v>163.63636363636363</v>
      </c>
    </row>
    <row r="109" spans="2:7" x14ac:dyDescent="0.25">
      <c r="B109" s="3">
        <v>46074</v>
      </c>
      <c r="C109" s="4" t="s">
        <v>58</v>
      </c>
      <c r="D109" s="2">
        <v>4</v>
      </c>
      <c r="E109" s="12">
        <v>2099</v>
      </c>
      <c r="F109" s="2">
        <f t="shared" si="2"/>
        <v>8396</v>
      </c>
      <c r="G109" s="15">
        <f t="shared" si="3"/>
        <v>763.27272727272725</v>
      </c>
    </row>
    <row r="110" spans="2:7" x14ac:dyDescent="0.25">
      <c r="B110" s="3">
        <v>46074</v>
      </c>
      <c r="C110" s="4" t="s">
        <v>59</v>
      </c>
      <c r="D110" s="2">
        <v>5</v>
      </c>
      <c r="E110" s="12">
        <v>450</v>
      </c>
      <c r="F110" s="2">
        <f t="shared" si="2"/>
        <v>2250</v>
      </c>
      <c r="G110" s="15">
        <f t="shared" si="3"/>
        <v>204.54545454545453</v>
      </c>
    </row>
    <row r="111" spans="2:7" x14ac:dyDescent="0.25">
      <c r="B111" s="3">
        <v>46047</v>
      </c>
      <c r="C111" s="4" t="s">
        <v>60</v>
      </c>
      <c r="D111" s="16">
        <v>2</v>
      </c>
      <c r="E111" s="12">
        <v>1497</v>
      </c>
      <c r="F111" s="2">
        <f t="shared" si="2"/>
        <v>2994</v>
      </c>
      <c r="G111" s="15">
        <f t="shared" si="3"/>
        <v>272.18181818181819</v>
      </c>
    </row>
    <row r="112" spans="2:7" x14ac:dyDescent="0.25">
      <c r="B112" s="3">
        <v>46078</v>
      </c>
      <c r="C112" s="4" t="s">
        <v>43</v>
      </c>
      <c r="D112" s="2">
        <v>40</v>
      </c>
      <c r="E112" s="12">
        <v>398</v>
      </c>
      <c r="F112" s="2">
        <f t="shared" si="2"/>
        <v>15920</v>
      </c>
      <c r="G112" s="15">
        <f t="shared" si="3"/>
        <v>1447.2727272727273</v>
      </c>
    </row>
    <row r="113" spans="2:7" x14ac:dyDescent="0.25">
      <c r="B113" s="3">
        <v>46080</v>
      </c>
      <c r="C113" s="4" t="s">
        <v>43</v>
      </c>
      <c r="D113" s="2">
        <v>60</v>
      </c>
      <c r="E113" s="12">
        <v>400</v>
      </c>
      <c r="F113" s="2">
        <f t="shared" si="2"/>
        <v>24000</v>
      </c>
      <c r="G113" s="15">
        <f t="shared" si="3"/>
        <v>2181.818181818182</v>
      </c>
    </row>
    <row r="114" spans="2:7" x14ac:dyDescent="0.25">
      <c r="B114" s="3">
        <v>46081</v>
      </c>
      <c r="C114" s="4" t="s">
        <v>61</v>
      </c>
      <c r="D114" s="2">
        <v>4</v>
      </c>
      <c r="E114" s="12">
        <v>590</v>
      </c>
      <c r="F114" s="2">
        <f t="shared" si="2"/>
        <v>2360</v>
      </c>
      <c r="G114" s="15">
        <f t="shared" si="3"/>
        <v>214.54545454545453</v>
      </c>
    </row>
    <row r="115" spans="2:7" x14ac:dyDescent="0.25">
      <c r="B115" s="3">
        <v>46081</v>
      </c>
      <c r="C115" s="4" t="s">
        <v>33</v>
      </c>
      <c r="D115" s="2">
        <v>1</v>
      </c>
      <c r="E115" s="12">
        <v>2099</v>
      </c>
      <c r="F115" s="2">
        <f t="shared" si="2"/>
        <v>2099</v>
      </c>
      <c r="G115" s="15">
        <f t="shared" si="3"/>
        <v>190.81818181818181</v>
      </c>
    </row>
    <row r="116" spans="2:7" x14ac:dyDescent="0.25">
      <c r="B116" s="3">
        <v>46083</v>
      </c>
      <c r="C116" s="4" t="s">
        <v>42</v>
      </c>
      <c r="D116" s="2">
        <v>80</v>
      </c>
      <c r="E116" s="11">
        <v>400</v>
      </c>
      <c r="F116" s="2">
        <f t="shared" si="2"/>
        <v>32000</v>
      </c>
      <c r="G116" s="15">
        <f t="shared" si="3"/>
        <v>2909.090909090909</v>
      </c>
    </row>
    <row r="117" spans="2:7" x14ac:dyDescent="0.25">
      <c r="B117" s="3">
        <v>46105</v>
      </c>
      <c r="C117" s="17" t="s">
        <v>62</v>
      </c>
      <c r="D117" s="2">
        <v>40</v>
      </c>
      <c r="E117" s="12">
        <v>398</v>
      </c>
      <c r="F117" s="2">
        <f t="shared" si="2"/>
        <v>15920</v>
      </c>
      <c r="G117" s="15">
        <f t="shared" si="3"/>
        <v>1447.2727272727273</v>
      </c>
    </row>
    <row r="118" spans="2:7" x14ac:dyDescent="0.25">
      <c r="F118" s="1"/>
      <c r="G118" s="1"/>
    </row>
    <row r="119" spans="2:7" ht="18.75" x14ac:dyDescent="0.3">
      <c r="F119" s="18" t="s">
        <v>63</v>
      </c>
      <c r="G119" s="18">
        <f>SUM(G3:G118)</f>
        <v>72275.190909090918</v>
      </c>
    </row>
    <row r="129" spans="7:7" x14ac:dyDescent="0.25">
      <c r="G129" s="20"/>
    </row>
    <row r="130" spans="7:7" x14ac:dyDescent="0.25">
      <c r="G130" s="20"/>
    </row>
    <row r="131" spans="7:7" x14ac:dyDescent="0.25">
      <c r="G131" s="20"/>
    </row>
    <row r="132" spans="7:7" x14ac:dyDescent="0.25">
      <c r="G132" s="20"/>
    </row>
    <row r="133" spans="7:7" x14ac:dyDescent="0.25">
      <c r="G133" s="20"/>
    </row>
    <row r="134" spans="7:7" x14ac:dyDescent="0.25">
      <c r="G134" s="20"/>
    </row>
    <row r="135" spans="7:7" x14ac:dyDescent="0.25">
      <c r="G135" s="20"/>
    </row>
    <row r="136" spans="7:7" x14ac:dyDescent="0.25">
      <c r="G136" s="20"/>
    </row>
    <row r="137" spans="7:7" x14ac:dyDescent="0.25">
      <c r="G137" s="20"/>
    </row>
    <row r="138" spans="7:7" x14ac:dyDescent="0.25">
      <c r="G138" s="20"/>
    </row>
    <row r="139" spans="7:7" x14ac:dyDescent="0.25">
      <c r="G139" s="20"/>
    </row>
    <row r="140" spans="7:7" x14ac:dyDescent="0.25">
      <c r="G140" s="20"/>
    </row>
    <row r="141" spans="7:7" x14ac:dyDescent="0.25">
      <c r="G141" s="20"/>
    </row>
    <row r="142" spans="7:7" x14ac:dyDescent="0.25">
      <c r="G142" s="20"/>
    </row>
    <row r="143" spans="7:7" x14ac:dyDescent="0.25">
      <c r="G143" s="20"/>
    </row>
    <row r="144" spans="7:7" x14ac:dyDescent="0.25">
      <c r="G144" s="20"/>
    </row>
    <row r="145" spans="7:7" x14ac:dyDescent="0.25">
      <c r="G145" s="20"/>
    </row>
    <row r="146" spans="7:7" x14ac:dyDescent="0.25">
      <c r="G146" s="20"/>
    </row>
    <row r="147" spans="7:7" x14ac:dyDescent="0.25">
      <c r="G147" s="20"/>
    </row>
    <row r="148" spans="7:7" x14ac:dyDescent="0.25">
      <c r="G148" s="20"/>
    </row>
    <row r="149" spans="7:7" x14ac:dyDescent="0.25">
      <c r="G149" s="20"/>
    </row>
    <row r="150" spans="7:7" x14ac:dyDescent="0.25">
      <c r="G150" s="20"/>
    </row>
    <row r="151" spans="7:7" x14ac:dyDescent="0.25">
      <c r="G151" s="20"/>
    </row>
    <row r="152" spans="7:7" x14ac:dyDescent="0.25">
      <c r="G152" s="20"/>
    </row>
    <row r="153" spans="7:7" x14ac:dyDescent="0.25">
      <c r="G153" s="20"/>
    </row>
    <row r="154" spans="7:7" x14ac:dyDescent="0.25">
      <c r="G154" s="20"/>
    </row>
    <row r="155" spans="7:7" x14ac:dyDescent="0.25">
      <c r="G155" s="20"/>
    </row>
    <row r="156" spans="7:7" x14ac:dyDescent="0.25">
      <c r="G156" s="20"/>
    </row>
    <row r="157" spans="7:7" x14ac:dyDescent="0.25">
      <c r="G157" s="20"/>
    </row>
    <row r="158" spans="7:7" x14ac:dyDescent="0.25">
      <c r="G158" s="20"/>
    </row>
    <row r="159" spans="7:7" x14ac:dyDescent="0.25">
      <c r="G159" s="20"/>
    </row>
    <row r="160" spans="7:7" x14ac:dyDescent="0.25">
      <c r="G160" s="20"/>
    </row>
    <row r="161" spans="7:7" x14ac:dyDescent="0.25">
      <c r="G161" s="20"/>
    </row>
    <row r="162" spans="7:7" x14ac:dyDescent="0.25">
      <c r="G162" s="20"/>
    </row>
    <row r="163" spans="7:7" x14ac:dyDescent="0.25">
      <c r="G163" s="20"/>
    </row>
    <row r="164" spans="7:7" x14ac:dyDescent="0.25">
      <c r="G164" s="20"/>
    </row>
    <row r="165" spans="7:7" x14ac:dyDescent="0.25">
      <c r="G165" s="20"/>
    </row>
    <row r="166" spans="7:7" x14ac:dyDescent="0.25">
      <c r="G166" s="20"/>
    </row>
    <row r="167" spans="7:7" x14ac:dyDescent="0.25">
      <c r="G167" s="20"/>
    </row>
    <row r="168" spans="7:7" x14ac:dyDescent="0.25">
      <c r="G168" s="20"/>
    </row>
    <row r="169" spans="7:7" x14ac:dyDescent="0.25">
      <c r="G169" s="20"/>
    </row>
    <row r="170" spans="7:7" x14ac:dyDescent="0.25">
      <c r="G170" s="20"/>
    </row>
    <row r="171" spans="7:7" x14ac:dyDescent="0.25">
      <c r="G171" s="20"/>
    </row>
    <row r="172" spans="7:7" x14ac:dyDescent="0.25">
      <c r="G172" s="20"/>
    </row>
    <row r="173" spans="7:7" x14ac:dyDescent="0.25">
      <c r="G173" s="20"/>
    </row>
    <row r="174" spans="7:7" x14ac:dyDescent="0.25">
      <c r="G174" s="20"/>
    </row>
    <row r="175" spans="7:7" x14ac:dyDescent="0.25">
      <c r="G175" s="20"/>
    </row>
    <row r="176" spans="7:7" x14ac:dyDescent="0.25">
      <c r="G176" s="20"/>
    </row>
    <row r="177" spans="7:7" x14ac:dyDescent="0.25">
      <c r="G177" s="20"/>
    </row>
    <row r="178" spans="7:7" x14ac:dyDescent="0.25">
      <c r="G178" s="20"/>
    </row>
    <row r="179" spans="7:7" x14ac:dyDescent="0.25">
      <c r="G179" s="20"/>
    </row>
    <row r="180" spans="7:7" x14ac:dyDescent="0.25">
      <c r="G180" s="20"/>
    </row>
    <row r="181" spans="7:7" x14ac:dyDescent="0.25">
      <c r="G181" s="20"/>
    </row>
    <row r="182" spans="7:7" x14ac:dyDescent="0.25">
      <c r="G182" s="20"/>
    </row>
    <row r="183" spans="7:7" x14ac:dyDescent="0.25">
      <c r="G183" s="20"/>
    </row>
    <row r="184" spans="7:7" x14ac:dyDescent="0.25">
      <c r="G184" s="20"/>
    </row>
    <row r="185" spans="7:7" x14ac:dyDescent="0.25">
      <c r="G185" s="20"/>
    </row>
    <row r="186" spans="7:7" x14ac:dyDescent="0.25">
      <c r="G186" s="20"/>
    </row>
    <row r="187" spans="7:7" x14ac:dyDescent="0.25">
      <c r="G187" s="20"/>
    </row>
    <row r="188" spans="7:7" x14ac:dyDescent="0.25">
      <c r="G188" s="20"/>
    </row>
    <row r="189" spans="7:7" x14ac:dyDescent="0.25">
      <c r="G189" s="20"/>
    </row>
    <row r="190" spans="7:7" x14ac:dyDescent="0.25">
      <c r="G190" s="20"/>
    </row>
    <row r="191" spans="7:7" x14ac:dyDescent="0.25">
      <c r="G191" s="20"/>
    </row>
    <row r="192" spans="7:7" x14ac:dyDescent="0.25">
      <c r="G192" s="20"/>
    </row>
    <row r="193" spans="7:7" x14ac:dyDescent="0.25">
      <c r="G193" s="20"/>
    </row>
    <row r="194" spans="7:7" x14ac:dyDescent="0.25">
      <c r="G194" s="20"/>
    </row>
    <row r="195" spans="7:7" x14ac:dyDescent="0.25">
      <c r="G195" s="20"/>
    </row>
    <row r="196" spans="7:7" x14ac:dyDescent="0.25">
      <c r="G196" s="20"/>
    </row>
    <row r="197" spans="7:7" x14ac:dyDescent="0.25">
      <c r="G197" s="20"/>
    </row>
    <row r="198" spans="7:7" x14ac:dyDescent="0.25">
      <c r="G198" s="20"/>
    </row>
    <row r="199" spans="7:7" x14ac:dyDescent="0.25">
      <c r="G199" s="20"/>
    </row>
    <row r="200" spans="7:7" x14ac:dyDescent="0.25">
      <c r="G200" s="20"/>
    </row>
    <row r="201" spans="7:7" x14ac:dyDescent="0.25">
      <c r="G201" s="20"/>
    </row>
    <row r="202" spans="7:7" x14ac:dyDescent="0.25">
      <c r="G202" s="20"/>
    </row>
    <row r="203" spans="7:7" x14ac:dyDescent="0.25">
      <c r="G203" s="20"/>
    </row>
    <row r="204" spans="7:7" x14ac:dyDescent="0.25">
      <c r="G204" s="20"/>
    </row>
    <row r="205" spans="7:7" x14ac:dyDescent="0.25">
      <c r="G205" s="20"/>
    </row>
    <row r="206" spans="7:7" x14ac:dyDescent="0.25">
      <c r="G206" s="20"/>
    </row>
    <row r="207" spans="7:7" x14ac:dyDescent="0.25">
      <c r="G207" s="20"/>
    </row>
    <row r="208" spans="7:7" x14ac:dyDescent="0.25">
      <c r="G208" s="20"/>
    </row>
    <row r="209" spans="7:7" x14ac:dyDescent="0.25">
      <c r="G209" s="20"/>
    </row>
    <row r="210" spans="7:7" x14ac:dyDescent="0.25">
      <c r="G210" s="20"/>
    </row>
    <row r="211" spans="7:7" x14ac:dyDescent="0.25">
      <c r="G211" s="20"/>
    </row>
    <row r="212" spans="7:7" x14ac:dyDescent="0.25">
      <c r="G212" s="20"/>
    </row>
    <row r="213" spans="7:7" x14ac:dyDescent="0.25">
      <c r="G213" s="20"/>
    </row>
    <row r="214" spans="7:7" x14ac:dyDescent="0.25">
      <c r="G214" s="20"/>
    </row>
    <row r="215" spans="7:7" x14ac:dyDescent="0.25">
      <c r="G215" s="20"/>
    </row>
    <row r="216" spans="7:7" x14ac:dyDescent="0.25">
      <c r="G216" s="20"/>
    </row>
    <row r="217" spans="7:7" x14ac:dyDescent="0.25">
      <c r="G217" s="20"/>
    </row>
    <row r="218" spans="7:7" x14ac:dyDescent="0.25">
      <c r="G218" s="20"/>
    </row>
    <row r="219" spans="7:7" x14ac:dyDescent="0.25">
      <c r="G219" s="20"/>
    </row>
    <row r="220" spans="7:7" x14ac:dyDescent="0.25">
      <c r="G220" s="20"/>
    </row>
    <row r="221" spans="7:7" x14ac:dyDescent="0.25">
      <c r="G221" s="20"/>
    </row>
    <row r="222" spans="7:7" x14ac:dyDescent="0.25">
      <c r="G222" s="20"/>
    </row>
    <row r="223" spans="7:7" x14ac:dyDescent="0.25">
      <c r="G223" s="20"/>
    </row>
    <row r="224" spans="7:7" x14ac:dyDescent="0.25">
      <c r="G224" s="20"/>
    </row>
    <row r="225" spans="7:7" x14ac:dyDescent="0.25">
      <c r="G225" s="20"/>
    </row>
    <row r="226" spans="7:7" x14ac:dyDescent="0.25">
      <c r="G226" s="20"/>
    </row>
    <row r="227" spans="7:7" x14ac:dyDescent="0.25">
      <c r="G227" s="20"/>
    </row>
    <row r="228" spans="7:7" x14ac:dyDescent="0.25">
      <c r="G228" s="20"/>
    </row>
    <row r="229" spans="7:7" x14ac:dyDescent="0.25">
      <c r="G229" s="20"/>
    </row>
    <row r="230" spans="7:7" x14ac:dyDescent="0.25">
      <c r="G230" s="20"/>
    </row>
    <row r="231" spans="7:7" x14ac:dyDescent="0.25">
      <c r="G231" s="20"/>
    </row>
    <row r="232" spans="7:7" x14ac:dyDescent="0.25">
      <c r="G232" s="20"/>
    </row>
    <row r="233" spans="7:7" x14ac:dyDescent="0.25">
      <c r="G233" s="20"/>
    </row>
    <row r="234" spans="7:7" x14ac:dyDescent="0.25">
      <c r="G234" s="20"/>
    </row>
    <row r="235" spans="7:7" x14ac:dyDescent="0.25">
      <c r="G235" s="20"/>
    </row>
    <row r="236" spans="7:7" x14ac:dyDescent="0.25">
      <c r="G236" s="20"/>
    </row>
    <row r="237" spans="7:7" x14ac:dyDescent="0.25">
      <c r="G237" s="20"/>
    </row>
    <row r="238" spans="7:7" x14ac:dyDescent="0.25">
      <c r="G238" s="20"/>
    </row>
    <row r="239" spans="7:7" x14ac:dyDescent="0.25">
      <c r="G239" s="20"/>
    </row>
    <row r="240" spans="7:7" x14ac:dyDescent="0.25">
      <c r="G240" s="20"/>
    </row>
    <row r="241" spans="7:7" x14ac:dyDescent="0.25">
      <c r="G241" s="20"/>
    </row>
    <row r="242" spans="7:7" x14ac:dyDescent="0.25">
      <c r="G242" s="20"/>
    </row>
    <row r="243" spans="7:7" x14ac:dyDescent="0.25">
      <c r="G243" s="20"/>
    </row>
    <row r="244" spans="7:7" x14ac:dyDescent="0.25">
      <c r="G244" s="20"/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2026-04-22T09:38:23Z</dcterms:created>
  <dcterms:modified xsi:type="dcterms:W3CDTF">2026-05-23T12:50:13Z</dcterms:modified>
</cp:coreProperties>
</file>