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E11D17F9-3494-400F-A897-37AAC5345F4B}" xr6:coauthVersionLast="47" xr6:coauthVersionMax="47" xr10:uidLastSave="{00000000-0000-0000-0000-000000000000}"/>
  <bookViews>
    <workbookView xWindow="-108" yWindow="-108" windowWidth="23256" windowHeight="13896" xr2:uid="{BFBFE2C4-E362-4511-B520-181A31187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0" i="1" l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G112" i="1" l="1"/>
</calcChain>
</file>

<file path=xl/sharedStrings.xml><?xml version="1.0" encoding="utf-8"?>
<sst xmlns="http://schemas.openxmlformats.org/spreadsheetml/2006/main" count="123" uniqueCount="73">
  <si>
    <t>Instax mini 12 pack mini paper Good Guys</t>
  </si>
  <si>
    <t>Instax mini paper 60 pack Good Guys</t>
  </si>
  <si>
    <t>Instax 20 pack mini paper Good Guys</t>
  </si>
  <si>
    <t>16/08/20225</t>
  </si>
  <si>
    <t>DJI Mini 4 Pro  DJI RC 2 DJI Macquarie Park</t>
  </si>
  <si>
    <t>DJI Mini 4 Pro Fly More Combo 35 MIN DJI Macquarie Park</t>
  </si>
  <si>
    <t>DJI Mini 4 Pro Fly More Combo 45 MIN DJI Macquarie Park</t>
  </si>
  <si>
    <t>DJI Mavic 4 Pro Fly More Combo DJI Macquarie Park</t>
  </si>
  <si>
    <t>Ninja Blender</t>
  </si>
  <si>
    <t>Iphone 17 pro max 256gb</t>
  </si>
  <si>
    <t>Iphone 17 pro max 512gb</t>
  </si>
  <si>
    <t>DJI mini 5 pro fly more combo 52 min DJI Macquarie Park</t>
  </si>
  <si>
    <t>Osmo Pocket 3 DJI Macquarie Park</t>
  </si>
  <si>
    <t>Osmo Pocket 3 creator combo DJI Macquarie Park</t>
  </si>
  <si>
    <t>DJI Mini 4 Pro RC2 DJI Macquarie Park</t>
  </si>
  <si>
    <t>DJI Mini 4 Pro Fly More Combo RC2 34min DJI Macquarie Park</t>
  </si>
  <si>
    <t xml:space="preserve">Australia  </t>
  </si>
  <si>
    <t>Date</t>
  </si>
  <si>
    <t>Product Name</t>
  </si>
  <si>
    <t>Qty</t>
  </si>
  <si>
    <t>Per/Unit  (AUD)</t>
  </si>
  <si>
    <t>Total (AUD)</t>
  </si>
  <si>
    <t>GST</t>
  </si>
  <si>
    <t>Total GST</t>
  </si>
  <si>
    <t xml:space="preserve">Mavic 4 Pro Harvey Norman </t>
  </si>
  <si>
    <t xml:space="preserve">Mavic 3 Pro RC Harvey Norman </t>
  </si>
  <si>
    <t xml:space="preserve">DJI mini 4K Fly more Combo Harvey Norman </t>
  </si>
  <si>
    <t xml:space="preserve">DJI MINI 4 PRO RC Harvey Norman </t>
  </si>
  <si>
    <t xml:space="preserve">CANON IXUS 285 Harvey Norman </t>
  </si>
  <si>
    <t xml:space="preserve">CANON SX740 Harvey Norman </t>
  </si>
  <si>
    <t xml:space="preserve">MARK II  Harvey Norman </t>
  </si>
  <si>
    <t xml:space="preserve">DJI mini 4K Fly more Combo  Harvey Norman </t>
  </si>
  <si>
    <t xml:space="preserve">PS5 Console Bundle Digital  EB Games </t>
  </si>
  <si>
    <t xml:space="preserve">PS5 Console Bundle Disc  EB Games </t>
  </si>
  <si>
    <t xml:space="preserve">PS5 Controller Wireless  JBHIFI </t>
  </si>
  <si>
    <t xml:space="preserve">PS5 Console Bundle Disc JBHIFI </t>
  </si>
  <si>
    <t xml:space="preserve">PS5 Console Bundle Digital JBHIFI </t>
  </si>
  <si>
    <t xml:space="preserve">PS5 Bundle Digital Big W </t>
  </si>
  <si>
    <t xml:space="preserve">PS5 Bundle Digital EB Games </t>
  </si>
  <si>
    <t>PS5 Bundle Digital EB Games</t>
  </si>
  <si>
    <t xml:space="preserve">PS5 Bundle Digital JBHIFI </t>
  </si>
  <si>
    <t xml:space="preserve">SX740 JBHIFI </t>
  </si>
  <si>
    <t xml:space="preserve">PS5 Console Bundle Disc Big W </t>
  </si>
  <si>
    <t xml:space="preserve">PS5 Console Bundle Digital EB Games </t>
  </si>
  <si>
    <t xml:space="preserve">Instax Mini EVO Office Works </t>
  </si>
  <si>
    <t xml:space="preserve">Starlink V4 Office Works </t>
  </si>
  <si>
    <t xml:space="preserve">Starlink V4 Bunnings </t>
  </si>
  <si>
    <t xml:space="preserve">Starlink V4 JBHIFI </t>
  </si>
  <si>
    <t>Starlink V4 Bunnings</t>
  </si>
  <si>
    <t xml:space="preserve">Starlink V4 Harvey Norman </t>
  </si>
  <si>
    <t>DJI Mavic 4 Pro Combo Harvey Norman</t>
  </si>
  <si>
    <t xml:space="preserve">CANON IXUS285 Harvey Norman </t>
  </si>
  <si>
    <t xml:space="preserve">PS5 BUNDLE DIGITAL Harvey </t>
  </si>
  <si>
    <t xml:space="preserve">DJI MNI 4K FLY More Combo </t>
  </si>
  <si>
    <t xml:space="preserve">PS5 BUNDLE Disc Harvey </t>
  </si>
  <si>
    <t xml:space="preserve">DJI OSMO POCKET 3 Harvey Norman </t>
  </si>
  <si>
    <t xml:space="preserve">Canon SX740 JBHIFI </t>
  </si>
  <si>
    <t xml:space="preserve">DJI mini 4K Harvey Norman </t>
  </si>
  <si>
    <t xml:space="preserve">Ninja Slushi Good Guys </t>
  </si>
  <si>
    <t xml:space="preserve">Ninja Delux Creami Good Guys </t>
  </si>
  <si>
    <t>Mavic 4 Pro RC DJI Macquarie Park</t>
  </si>
  <si>
    <t xml:space="preserve">DJI Mini 4 Pro  DJI RC 2 Harvey Norman </t>
  </si>
  <si>
    <t xml:space="preserve">Canon IXUS 285 Harvey Norman </t>
  </si>
  <si>
    <t xml:space="preserve">Canon SX740 Harvey Norman </t>
  </si>
  <si>
    <t xml:space="preserve">Osmo Pocket 3 Harvey Norman </t>
  </si>
  <si>
    <t xml:space="preserve">DJI Mavic 4 Pro RC Harvey Norman </t>
  </si>
  <si>
    <t xml:space="preserve">DJI mini 4K Fly more combo Harvey Norman </t>
  </si>
  <si>
    <t xml:space="preserve">DJI Mavic 4 Pro Fly More Combo Harvey Norman </t>
  </si>
  <si>
    <t xml:space="preserve">CANON SX740 Camera Warehouse </t>
  </si>
  <si>
    <t>DJI Mavic 4 Pro Fly More Combo 512 DJI Macquarie Park</t>
  </si>
  <si>
    <t xml:space="preserve">Iphone 17 pro max Blue 256 Apple </t>
  </si>
  <si>
    <t xml:space="preserve">Iphone 17 pro max Orange 256 Apple </t>
  </si>
  <si>
    <t xml:space="preserve">Iphone 17 pro  Orange 256 Apple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</si>
</sst>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AUD]\ * #,##0.00_);_([$AUD]\ * \(#,##0.00\);_([$AUD]\ * &quot;-&quot;??_);_(@_)"/>
    <numFmt numFmtId="165" formatCode="&quot;$&quot;#,##0.00"/>
    <numFmt numFmtId="166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3" fillId="3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0" fontId="2" fillId="2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rveynorman.com.au/dji-mini-4-pro-rc-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3798-65EE-4FF4-9776-82BEA8DB7502}">
  <dimension ref="B1:G112"/>
  <sheetViews>
    <sheetView tabSelected="1" workbookViewId="0">
      <selection activeCell="C109" sqref="C109"/>
    </sheetView>
  </sheetViews>
  <sheetFormatPr defaultRowHeight="14.4" x14ac:dyDescent="0.3"/>
  <cols>
    <col min="2" max="2" width="14.6640625" style="16" customWidth="1"/>
    <col min="3" max="3" width="64.33203125" customWidth="1"/>
    <col min="4" max="4" width="11.21875" customWidth="1"/>
    <col min="5" max="5" width="18.88671875" customWidth="1"/>
    <col min="6" max="6" width="14.109375" customWidth="1"/>
    <col min="7" max="7" width="17.109375" customWidth="1"/>
  </cols>
  <sheetData>
    <row r="1" spans="2:7" ht="21" x14ac:dyDescent="0.4">
      <c r="B1" s="12" t="s">
        <v>16</v>
      </c>
      <c r="C1" s="12"/>
      <c r="D1" s="12"/>
      <c r="E1" s="12"/>
      <c r="F1" s="12"/>
      <c r="G1" s="12"/>
    </row>
    <row r="2" spans="2:7" ht="18" x14ac:dyDescent="0.35">
      <c r="B2" s="7" t="s">
        <v>17</v>
      </c>
      <c r="C2" s="7" t="s">
        <v>18</v>
      </c>
      <c r="D2" s="8" t="s">
        <v>19</v>
      </c>
      <c r="E2" s="7" t="s">
        <v>20</v>
      </c>
      <c r="F2" s="7" t="s">
        <v>21</v>
      </c>
      <c r="G2" s="9" t="s">
        <v>22</v>
      </c>
    </row>
    <row r="3" spans="2:7" x14ac:dyDescent="0.3">
      <c r="B3" s="4">
        <v>45860</v>
      </c>
      <c r="C3" s="13" t="s">
        <v>24</v>
      </c>
      <c r="D3" s="2">
        <v>3</v>
      </c>
      <c r="E3" s="3">
        <v>2885</v>
      </c>
      <c r="F3" s="2">
        <f t="shared" ref="F3:F42" si="0">E3*D3</f>
        <v>8655</v>
      </c>
      <c r="G3" s="14">
        <f t="shared" ref="G3:G61" si="1">F3/11</f>
        <v>786.81818181818187</v>
      </c>
    </row>
    <row r="4" spans="2:7" x14ac:dyDescent="0.3">
      <c r="B4" s="4">
        <v>45860</v>
      </c>
      <c r="C4" s="13" t="s">
        <v>25</v>
      </c>
      <c r="D4" s="2">
        <v>10</v>
      </c>
      <c r="E4" s="3">
        <v>2288</v>
      </c>
      <c r="F4" s="2">
        <f t="shared" si="0"/>
        <v>22880</v>
      </c>
      <c r="G4" s="14">
        <f t="shared" si="1"/>
        <v>2080</v>
      </c>
    </row>
    <row r="5" spans="2:7" x14ac:dyDescent="0.3">
      <c r="B5" s="4">
        <v>45860</v>
      </c>
      <c r="C5" s="13" t="s">
        <v>26</v>
      </c>
      <c r="D5" s="2">
        <v>30</v>
      </c>
      <c r="E5" s="2">
        <v>560</v>
      </c>
      <c r="F5" s="2">
        <f t="shared" si="0"/>
        <v>16800</v>
      </c>
      <c r="G5" s="14">
        <f t="shared" si="1"/>
        <v>1527.2727272727273</v>
      </c>
    </row>
    <row r="6" spans="2:7" x14ac:dyDescent="0.3">
      <c r="B6" s="4">
        <v>45860</v>
      </c>
      <c r="C6" s="13" t="s">
        <v>27</v>
      </c>
      <c r="D6" s="2">
        <v>28</v>
      </c>
      <c r="E6" s="2">
        <v>1063</v>
      </c>
      <c r="F6" s="2">
        <f t="shared" si="0"/>
        <v>29764</v>
      </c>
      <c r="G6" s="14">
        <f t="shared" si="1"/>
        <v>2705.818181818182</v>
      </c>
    </row>
    <row r="7" spans="2:7" x14ac:dyDescent="0.3">
      <c r="B7" s="4">
        <v>45860</v>
      </c>
      <c r="C7" s="13" t="s">
        <v>28</v>
      </c>
      <c r="D7" s="2">
        <v>1</v>
      </c>
      <c r="E7" s="2">
        <v>433</v>
      </c>
      <c r="F7" s="2">
        <f t="shared" si="0"/>
        <v>433</v>
      </c>
      <c r="G7" s="14">
        <f t="shared" si="1"/>
        <v>39.363636363636367</v>
      </c>
    </row>
    <row r="8" spans="2:7" x14ac:dyDescent="0.3">
      <c r="B8" s="4">
        <v>45860</v>
      </c>
      <c r="C8" s="13" t="s">
        <v>29</v>
      </c>
      <c r="D8" s="2">
        <v>6</v>
      </c>
      <c r="E8" s="2">
        <v>655</v>
      </c>
      <c r="F8" s="2">
        <f t="shared" si="0"/>
        <v>3930</v>
      </c>
      <c r="G8" s="14">
        <f t="shared" si="1"/>
        <v>357.27272727272725</v>
      </c>
    </row>
    <row r="9" spans="2:7" x14ac:dyDescent="0.3">
      <c r="B9" s="4">
        <v>45860</v>
      </c>
      <c r="C9" s="1" t="s">
        <v>29</v>
      </c>
      <c r="D9" s="2">
        <v>3</v>
      </c>
      <c r="E9" s="2">
        <v>679</v>
      </c>
      <c r="F9" s="2">
        <f t="shared" si="0"/>
        <v>2037</v>
      </c>
      <c r="G9" s="14">
        <f t="shared" si="1"/>
        <v>185.18181818181819</v>
      </c>
    </row>
    <row r="10" spans="2:7" x14ac:dyDescent="0.3">
      <c r="B10" s="4">
        <v>45860</v>
      </c>
      <c r="C10" s="1" t="s">
        <v>30</v>
      </c>
      <c r="D10" s="2">
        <v>1</v>
      </c>
      <c r="E10" s="2">
        <v>1069</v>
      </c>
      <c r="F10" s="2">
        <f t="shared" si="0"/>
        <v>1069</v>
      </c>
      <c r="G10" s="14">
        <f t="shared" si="1"/>
        <v>97.181818181818187</v>
      </c>
    </row>
    <row r="11" spans="2:7" x14ac:dyDescent="0.3">
      <c r="B11" s="4">
        <v>45862</v>
      </c>
      <c r="C11" s="1" t="s">
        <v>29</v>
      </c>
      <c r="D11" s="2">
        <v>2</v>
      </c>
      <c r="E11" s="2">
        <v>679</v>
      </c>
      <c r="F11" s="2">
        <f t="shared" si="0"/>
        <v>1358</v>
      </c>
      <c r="G11" s="14">
        <f t="shared" si="1"/>
        <v>123.45454545454545</v>
      </c>
    </row>
    <row r="12" spans="2:7" x14ac:dyDescent="0.3">
      <c r="B12" s="4">
        <v>45862</v>
      </c>
      <c r="C12" s="1" t="s">
        <v>31</v>
      </c>
      <c r="D12" s="2">
        <v>1</v>
      </c>
      <c r="E12" s="2">
        <v>645</v>
      </c>
      <c r="F12" s="2">
        <f t="shared" si="0"/>
        <v>645</v>
      </c>
      <c r="G12" s="14">
        <f t="shared" si="1"/>
        <v>58.636363636363633</v>
      </c>
    </row>
    <row r="13" spans="2:7" x14ac:dyDescent="0.3">
      <c r="B13" s="4">
        <v>45866</v>
      </c>
      <c r="C13" s="1" t="s">
        <v>32</v>
      </c>
      <c r="D13" s="2">
        <v>1</v>
      </c>
      <c r="E13" s="2">
        <v>549</v>
      </c>
      <c r="F13" s="2">
        <f t="shared" si="0"/>
        <v>549</v>
      </c>
      <c r="G13" s="14">
        <f t="shared" si="1"/>
        <v>49.909090909090907</v>
      </c>
    </row>
    <row r="14" spans="2:7" x14ac:dyDescent="0.3">
      <c r="B14" s="4">
        <v>45866</v>
      </c>
      <c r="C14" s="1" t="s">
        <v>33</v>
      </c>
      <c r="D14" s="2">
        <v>1</v>
      </c>
      <c r="E14" s="2">
        <v>684</v>
      </c>
      <c r="F14" s="2">
        <f t="shared" si="0"/>
        <v>684</v>
      </c>
      <c r="G14" s="14">
        <f t="shared" si="1"/>
        <v>62.18181818181818</v>
      </c>
    </row>
    <row r="15" spans="2:7" x14ac:dyDescent="0.3">
      <c r="B15" s="4">
        <v>45866</v>
      </c>
      <c r="C15" s="1" t="s">
        <v>34</v>
      </c>
      <c r="D15" s="2">
        <v>2</v>
      </c>
      <c r="E15" s="2">
        <v>80</v>
      </c>
      <c r="F15" s="2">
        <f t="shared" si="0"/>
        <v>160</v>
      </c>
      <c r="G15" s="14">
        <f t="shared" si="1"/>
        <v>14.545454545454545</v>
      </c>
    </row>
    <row r="16" spans="2:7" x14ac:dyDescent="0.3">
      <c r="B16" s="4">
        <v>45866</v>
      </c>
      <c r="C16" s="1" t="s">
        <v>35</v>
      </c>
      <c r="D16" s="2">
        <v>1</v>
      </c>
      <c r="E16" s="2">
        <v>714</v>
      </c>
      <c r="F16" s="2">
        <f t="shared" si="0"/>
        <v>714</v>
      </c>
      <c r="G16" s="14">
        <f t="shared" si="1"/>
        <v>64.909090909090907</v>
      </c>
    </row>
    <row r="17" spans="2:7" x14ac:dyDescent="0.3">
      <c r="B17" s="4">
        <v>45866</v>
      </c>
      <c r="C17" s="1" t="s">
        <v>35</v>
      </c>
      <c r="D17" s="2">
        <v>1</v>
      </c>
      <c r="E17" s="2">
        <v>714</v>
      </c>
      <c r="F17" s="2">
        <f t="shared" si="0"/>
        <v>714</v>
      </c>
      <c r="G17" s="14">
        <f t="shared" si="1"/>
        <v>64.909090909090907</v>
      </c>
    </row>
    <row r="18" spans="2:7" x14ac:dyDescent="0.3">
      <c r="B18" s="4">
        <v>45866</v>
      </c>
      <c r="C18" s="1" t="s">
        <v>36</v>
      </c>
      <c r="D18" s="2">
        <v>2</v>
      </c>
      <c r="E18" s="2">
        <v>574</v>
      </c>
      <c r="F18" s="2">
        <f t="shared" si="0"/>
        <v>1148</v>
      </c>
      <c r="G18" s="14">
        <f t="shared" si="1"/>
        <v>104.36363636363636</v>
      </c>
    </row>
    <row r="19" spans="2:7" x14ac:dyDescent="0.3">
      <c r="B19" s="4">
        <v>45867</v>
      </c>
      <c r="C19" s="13" t="s">
        <v>37</v>
      </c>
      <c r="D19" s="2">
        <v>2</v>
      </c>
      <c r="E19" s="2">
        <v>574</v>
      </c>
      <c r="F19" s="2">
        <f t="shared" si="0"/>
        <v>1148</v>
      </c>
      <c r="G19" s="14">
        <f t="shared" si="1"/>
        <v>104.36363636363636</v>
      </c>
    </row>
    <row r="20" spans="2:7" x14ac:dyDescent="0.3">
      <c r="B20" s="4">
        <v>45867</v>
      </c>
      <c r="C20" s="13" t="s">
        <v>38</v>
      </c>
      <c r="D20" s="2">
        <v>2</v>
      </c>
      <c r="E20" s="2">
        <v>549</v>
      </c>
      <c r="F20" s="2">
        <f t="shared" si="0"/>
        <v>1098</v>
      </c>
      <c r="G20" s="14">
        <f t="shared" si="1"/>
        <v>99.818181818181813</v>
      </c>
    </row>
    <row r="21" spans="2:7" x14ac:dyDescent="0.3">
      <c r="B21" s="4">
        <v>45867</v>
      </c>
      <c r="C21" s="13" t="s">
        <v>38</v>
      </c>
      <c r="D21" s="2">
        <v>1</v>
      </c>
      <c r="E21" s="2">
        <v>549</v>
      </c>
      <c r="F21" s="2">
        <f t="shared" si="0"/>
        <v>549</v>
      </c>
      <c r="G21" s="14">
        <f t="shared" si="1"/>
        <v>49.909090909090907</v>
      </c>
    </row>
    <row r="22" spans="2:7" x14ac:dyDescent="0.3">
      <c r="B22" s="4">
        <v>45867</v>
      </c>
      <c r="C22" s="13" t="s">
        <v>38</v>
      </c>
      <c r="D22" s="2">
        <v>1</v>
      </c>
      <c r="E22" s="2">
        <v>549</v>
      </c>
      <c r="F22" s="2">
        <f t="shared" si="0"/>
        <v>549</v>
      </c>
      <c r="G22" s="14">
        <f t="shared" si="1"/>
        <v>49.909090909090907</v>
      </c>
    </row>
    <row r="23" spans="2:7" x14ac:dyDescent="0.3">
      <c r="B23" s="4">
        <v>45867</v>
      </c>
      <c r="C23" s="13" t="s">
        <v>39</v>
      </c>
      <c r="D23" s="2">
        <v>1</v>
      </c>
      <c r="E23" s="2">
        <v>549</v>
      </c>
      <c r="F23" s="2">
        <f t="shared" si="0"/>
        <v>549</v>
      </c>
      <c r="G23" s="14">
        <f t="shared" si="1"/>
        <v>49.909090909090907</v>
      </c>
    </row>
    <row r="24" spans="2:7" x14ac:dyDescent="0.3">
      <c r="B24" s="4">
        <v>45867</v>
      </c>
      <c r="C24" s="13" t="s">
        <v>40</v>
      </c>
      <c r="D24" s="2">
        <v>2</v>
      </c>
      <c r="E24" s="2">
        <v>574</v>
      </c>
      <c r="F24" s="2">
        <f t="shared" si="0"/>
        <v>1148</v>
      </c>
      <c r="G24" s="14">
        <f t="shared" si="1"/>
        <v>104.36363636363636</v>
      </c>
    </row>
    <row r="25" spans="2:7" x14ac:dyDescent="0.3">
      <c r="B25" s="4">
        <v>45867</v>
      </c>
      <c r="C25" s="13" t="s">
        <v>37</v>
      </c>
      <c r="D25" s="2">
        <v>2</v>
      </c>
      <c r="E25" s="2">
        <v>574</v>
      </c>
      <c r="F25" s="2">
        <f t="shared" si="0"/>
        <v>1148</v>
      </c>
      <c r="G25" s="14">
        <f t="shared" si="1"/>
        <v>104.36363636363636</v>
      </c>
    </row>
    <row r="26" spans="2:7" x14ac:dyDescent="0.3">
      <c r="B26" s="4">
        <v>45867</v>
      </c>
      <c r="C26" s="13" t="s">
        <v>37</v>
      </c>
      <c r="D26" s="2"/>
      <c r="E26" s="2"/>
      <c r="F26" s="2">
        <f t="shared" si="0"/>
        <v>0</v>
      </c>
      <c r="G26" s="14">
        <f t="shared" si="1"/>
        <v>0</v>
      </c>
    </row>
    <row r="27" spans="2:7" x14ac:dyDescent="0.3">
      <c r="B27" s="4">
        <v>45867</v>
      </c>
      <c r="C27" s="13" t="s">
        <v>40</v>
      </c>
      <c r="D27" s="2">
        <v>2</v>
      </c>
      <c r="E27" s="2">
        <v>574</v>
      </c>
      <c r="F27" s="2">
        <f t="shared" si="0"/>
        <v>1148</v>
      </c>
      <c r="G27" s="14">
        <f t="shared" si="1"/>
        <v>104.36363636363636</v>
      </c>
    </row>
    <row r="28" spans="2:7" x14ac:dyDescent="0.3">
      <c r="B28" s="4">
        <v>45869</v>
      </c>
      <c r="C28" s="1" t="s">
        <v>36</v>
      </c>
      <c r="D28" s="2">
        <v>4</v>
      </c>
      <c r="E28" s="2">
        <v>574</v>
      </c>
      <c r="F28" s="2">
        <f t="shared" si="0"/>
        <v>2296</v>
      </c>
      <c r="G28" s="14">
        <f t="shared" si="1"/>
        <v>208.72727272727272</v>
      </c>
    </row>
    <row r="29" spans="2:7" x14ac:dyDescent="0.3">
      <c r="B29" s="4">
        <v>45869</v>
      </c>
      <c r="C29" s="15" t="s">
        <v>41</v>
      </c>
      <c r="D29" s="2">
        <v>2</v>
      </c>
      <c r="E29" s="2">
        <v>640</v>
      </c>
      <c r="F29" s="2">
        <f t="shared" si="0"/>
        <v>1280</v>
      </c>
      <c r="G29" s="14">
        <f t="shared" si="1"/>
        <v>116.36363636363636</v>
      </c>
    </row>
    <row r="30" spans="2:7" x14ac:dyDescent="0.3">
      <c r="B30" s="4">
        <v>45869</v>
      </c>
      <c r="C30" s="1" t="s">
        <v>42</v>
      </c>
      <c r="D30" s="2">
        <v>2</v>
      </c>
      <c r="E30" s="2">
        <v>714</v>
      </c>
      <c r="F30" s="2">
        <f t="shared" si="0"/>
        <v>1428</v>
      </c>
      <c r="G30" s="14">
        <f t="shared" si="1"/>
        <v>129.81818181818181</v>
      </c>
    </row>
    <row r="31" spans="2:7" x14ac:dyDescent="0.3">
      <c r="B31" s="4">
        <v>45869</v>
      </c>
      <c r="C31" s="1" t="s">
        <v>43</v>
      </c>
      <c r="D31" s="2">
        <v>2</v>
      </c>
      <c r="E31" s="2">
        <v>574</v>
      </c>
      <c r="F31" s="2">
        <f t="shared" si="0"/>
        <v>1148</v>
      </c>
      <c r="G31" s="14">
        <f t="shared" si="1"/>
        <v>104.36363636363636</v>
      </c>
    </row>
    <row r="32" spans="2:7" x14ac:dyDescent="0.3">
      <c r="B32" s="4">
        <v>45869</v>
      </c>
      <c r="C32" s="1" t="s">
        <v>43</v>
      </c>
      <c r="D32" s="2">
        <v>2</v>
      </c>
      <c r="E32" s="2">
        <v>549</v>
      </c>
      <c r="F32" s="2">
        <f t="shared" si="0"/>
        <v>1098</v>
      </c>
      <c r="G32" s="14">
        <f t="shared" si="1"/>
        <v>99.818181818181813</v>
      </c>
    </row>
    <row r="33" spans="2:7" x14ac:dyDescent="0.3">
      <c r="B33" s="4">
        <v>45869</v>
      </c>
      <c r="C33" s="1" t="s">
        <v>0</v>
      </c>
      <c r="D33" s="2">
        <v>6</v>
      </c>
      <c r="E33" s="2">
        <v>87</v>
      </c>
      <c r="F33" s="2">
        <f t="shared" si="0"/>
        <v>522</v>
      </c>
      <c r="G33" s="14">
        <f t="shared" si="1"/>
        <v>47.454545454545453</v>
      </c>
    </row>
    <row r="34" spans="2:7" x14ac:dyDescent="0.3">
      <c r="B34" s="4">
        <v>45869</v>
      </c>
      <c r="C34" s="1" t="s">
        <v>1</v>
      </c>
      <c r="D34" s="2">
        <v>4</v>
      </c>
      <c r="E34" s="2">
        <v>51</v>
      </c>
      <c r="F34" s="2">
        <f t="shared" si="0"/>
        <v>204</v>
      </c>
      <c r="G34" s="14">
        <f t="shared" si="1"/>
        <v>18.545454545454547</v>
      </c>
    </row>
    <row r="35" spans="2:7" x14ac:dyDescent="0.3">
      <c r="B35" s="4">
        <v>45869</v>
      </c>
      <c r="C35" s="1" t="s">
        <v>2</v>
      </c>
      <c r="D35" s="2">
        <v>7</v>
      </c>
      <c r="E35" s="2">
        <v>19</v>
      </c>
      <c r="F35" s="2">
        <f t="shared" si="0"/>
        <v>133</v>
      </c>
      <c r="G35" s="14">
        <f t="shared" si="1"/>
        <v>12.090909090909092</v>
      </c>
    </row>
    <row r="36" spans="2:7" x14ac:dyDescent="0.3">
      <c r="B36" s="4">
        <v>45873</v>
      </c>
      <c r="C36" s="1" t="s">
        <v>44</v>
      </c>
      <c r="D36" s="2">
        <v>1</v>
      </c>
      <c r="E36" s="2">
        <v>285</v>
      </c>
      <c r="F36" s="2">
        <f t="shared" si="0"/>
        <v>285</v>
      </c>
      <c r="G36" s="14">
        <f t="shared" si="1"/>
        <v>25.90909090909091</v>
      </c>
    </row>
    <row r="37" spans="2:7" x14ac:dyDescent="0.3">
      <c r="B37" s="4">
        <v>45873</v>
      </c>
      <c r="C37" s="1" t="s">
        <v>44</v>
      </c>
      <c r="D37" s="2">
        <v>2</v>
      </c>
      <c r="E37" s="2">
        <v>285</v>
      </c>
      <c r="F37" s="2">
        <f t="shared" si="0"/>
        <v>570</v>
      </c>
      <c r="G37" s="14">
        <f t="shared" si="1"/>
        <v>51.81818181818182</v>
      </c>
    </row>
    <row r="38" spans="2:7" x14ac:dyDescent="0.3">
      <c r="B38" s="4">
        <v>45875</v>
      </c>
      <c r="C38" s="1" t="s">
        <v>45</v>
      </c>
      <c r="D38" s="2">
        <v>1</v>
      </c>
      <c r="E38" s="2">
        <v>274</v>
      </c>
      <c r="F38" s="2">
        <f t="shared" si="0"/>
        <v>274</v>
      </c>
      <c r="G38" s="14">
        <f t="shared" si="1"/>
        <v>24.90909090909091</v>
      </c>
    </row>
    <row r="39" spans="2:7" x14ac:dyDescent="0.3">
      <c r="B39" s="4">
        <v>45876</v>
      </c>
      <c r="C39" s="1" t="s">
        <v>46</v>
      </c>
      <c r="D39" s="2">
        <v>30</v>
      </c>
      <c r="E39" s="2">
        <v>274</v>
      </c>
      <c r="F39" s="2">
        <f t="shared" si="0"/>
        <v>8220</v>
      </c>
      <c r="G39" s="14">
        <f t="shared" si="1"/>
        <v>747.27272727272725</v>
      </c>
    </row>
    <row r="40" spans="2:7" x14ac:dyDescent="0.3">
      <c r="B40" s="4">
        <v>45880</v>
      </c>
      <c r="C40" s="1" t="s">
        <v>46</v>
      </c>
      <c r="D40" s="2">
        <v>4</v>
      </c>
      <c r="E40" s="2">
        <v>274</v>
      </c>
      <c r="F40" s="2">
        <f t="shared" si="0"/>
        <v>1096</v>
      </c>
      <c r="G40" s="14">
        <f t="shared" si="1"/>
        <v>99.63636363636364</v>
      </c>
    </row>
    <row r="41" spans="2:7" x14ac:dyDescent="0.3">
      <c r="B41" s="4">
        <v>45880</v>
      </c>
      <c r="C41" s="1" t="s">
        <v>46</v>
      </c>
      <c r="D41" s="2">
        <v>4</v>
      </c>
      <c r="E41" s="2">
        <v>274</v>
      </c>
      <c r="F41" s="2">
        <f t="shared" si="0"/>
        <v>1096</v>
      </c>
      <c r="G41" s="14">
        <f t="shared" si="1"/>
        <v>99.63636363636364</v>
      </c>
    </row>
    <row r="42" spans="2:7" x14ac:dyDescent="0.3">
      <c r="B42" s="4">
        <v>45880</v>
      </c>
      <c r="C42" s="1" t="s">
        <v>47</v>
      </c>
      <c r="D42" s="2">
        <v>2</v>
      </c>
      <c r="E42" s="2">
        <v>274</v>
      </c>
      <c r="F42" s="2">
        <f t="shared" si="0"/>
        <v>548</v>
      </c>
      <c r="G42" s="14">
        <f t="shared" si="1"/>
        <v>49.81818181818182</v>
      </c>
    </row>
    <row r="43" spans="2:7" x14ac:dyDescent="0.3">
      <c r="B43" s="4">
        <v>45881</v>
      </c>
      <c r="C43" s="1" t="s">
        <v>48</v>
      </c>
      <c r="D43" s="2">
        <v>4</v>
      </c>
      <c r="E43" s="3">
        <v>274</v>
      </c>
      <c r="F43" s="2">
        <f>E43*D43</f>
        <v>1096</v>
      </c>
      <c r="G43" s="14">
        <f t="shared" si="1"/>
        <v>99.63636363636364</v>
      </c>
    </row>
    <row r="44" spans="2:7" x14ac:dyDescent="0.3">
      <c r="B44" s="4">
        <v>45881</v>
      </c>
      <c r="C44" s="1" t="s">
        <v>46</v>
      </c>
      <c r="D44" s="2">
        <v>8</v>
      </c>
      <c r="E44" s="3">
        <v>274</v>
      </c>
      <c r="F44" s="2">
        <f t="shared" ref="F44:F76" si="2">E44*D44</f>
        <v>2192</v>
      </c>
      <c r="G44" s="14">
        <f t="shared" si="1"/>
        <v>199.27272727272728</v>
      </c>
    </row>
    <row r="45" spans="2:7" x14ac:dyDescent="0.3">
      <c r="B45" s="4">
        <v>45881</v>
      </c>
      <c r="C45" s="1" t="s">
        <v>46</v>
      </c>
      <c r="D45" s="2">
        <v>4</v>
      </c>
      <c r="E45" s="3">
        <v>274</v>
      </c>
      <c r="F45" s="2">
        <f t="shared" si="2"/>
        <v>1096</v>
      </c>
      <c r="G45" s="14">
        <f t="shared" si="1"/>
        <v>99.63636363636364</v>
      </c>
    </row>
    <row r="46" spans="2:7" x14ac:dyDescent="0.3">
      <c r="B46" s="4">
        <v>45881</v>
      </c>
      <c r="C46" s="1" t="s">
        <v>46</v>
      </c>
      <c r="D46" s="2">
        <v>4</v>
      </c>
      <c r="E46" s="3">
        <v>274</v>
      </c>
      <c r="F46" s="2">
        <f t="shared" si="2"/>
        <v>1096</v>
      </c>
      <c r="G46" s="14">
        <f t="shared" si="1"/>
        <v>99.63636363636364</v>
      </c>
    </row>
    <row r="47" spans="2:7" x14ac:dyDescent="0.3">
      <c r="B47" s="4">
        <v>45881</v>
      </c>
      <c r="C47" s="1" t="s">
        <v>46</v>
      </c>
      <c r="D47" s="2">
        <v>12</v>
      </c>
      <c r="E47" s="3">
        <v>274</v>
      </c>
      <c r="F47" s="2">
        <f t="shared" si="2"/>
        <v>3288</v>
      </c>
      <c r="G47" s="14">
        <f t="shared" si="1"/>
        <v>298.90909090909093</v>
      </c>
    </row>
    <row r="48" spans="2:7" x14ac:dyDescent="0.3">
      <c r="B48" s="4">
        <v>45881</v>
      </c>
      <c r="C48" s="1" t="s">
        <v>46</v>
      </c>
      <c r="D48" s="2">
        <v>4</v>
      </c>
      <c r="E48" s="3">
        <v>274</v>
      </c>
      <c r="F48" s="2">
        <f t="shared" si="2"/>
        <v>1096</v>
      </c>
      <c r="G48" s="14">
        <f t="shared" si="1"/>
        <v>99.63636363636364</v>
      </c>
    </row>
    <row r="49" spans="2:7" x14ac:dyDescent="0.3">
      <c r="B49" s="4">
        <v>45882</v>
      </c>
      <c r="C49" s="1" t="s">
        <v>48</v>
      </c>
      <c r="D49" s="2">
        <v>2</v>
      </c>
      <c r="E49" s="3">
        <v>274</v>
      </c>
      <c r="F49" s="2">
        <f t="shared" si="2"/>
        <v>548</v>
      </c>
      <c r="G49" s="14">
        <f t="shared" si="1"/>
        <v>49.81818181818182</v>
      </c>
    </row>
    <row r="50" spans="2:7" x14ac:dyDescent="0.3">
      <c r="B50" s="4">
        <v>45882</v>
      </c>
      <c r="C50" s="1" t="s">
        <v>48</v>
      </c>
      <c r="D50" s="2">
        <v>2</v>
      </c>
      <c r="E50" s="3">
        <v>274</v>
      </c>
      <c r="F50" s="2">
        <f t="shared" si="2"/>
        <v>548</v>
      </c>
      <c r="G50" s="14">
        <f t="shared" si="1"/>
        <v>49.81818181818182</v>
      </c>
    </row>
    <row r="51" spans="2:7" x14ac:dyDescent="0.3">
      <c r="B51" s="4">
        <v>45882</v>
      </c>
      <c r="C51" s="1" t="s">
        <v>46</v>
      </c>
      <c r="D51" s="2">
        <v>2</v>
      </c>
      <c r="E51" s="3">
        <v>274</v>
      </c>
      <c r="F51" s="2">
        <f t="shared" si="2"/>
        <v>548</v>
      </c>
      <c r="G51" s="14">
        <f t="shared" si="1"/>
        <v>49.81818181818182</v>
      </c>
    </row>
    <row r="52" spans="2:7" x14ac:dyDescent="0.3">
      <c r="B52" s="4">
        <v>45882</v>
      </c>
      <c r="C52" s="1" t="s">
        <v>46</v>
      </c>
      <c r="D52" s="2">
        <v>4</v>
      </c>
      <c r="E52" s="3">
        <v>274</v>
      </c>
      <c r="F52" s="2">
        <f t="shared" si="2"/>
        <v>1096</v>
      </c>
      <c r="G52" s="14">
        <f t="shared" si="1"/>
        <v>99.63636363636364</v>
      </c>
    </row>
    <row r="53" spans="2:7" x14ac:dyDescent="0.3">
      <c r="B53" s="4">
        <v>45882</v>
      </c>
      <c r="C53" s="1" t="s">
        <v>46</v>
      </c>
      <c r="D53" s="2">
        <v>6</v>
      </c>
      <c r="E53" s="3">
        <v>274</v>
      </c>
      <c r="F53" s="2">
        <f t="shared" si="2"/>
        <v>1644</v>
      </c>
      <c r="G53" s="14">
        <f t="shared" si="1"/>
        <v>149.45454545454547</v>
      </c>
    </row>
    <row r="54" spans="2:7" x14ac:dyDescent="0.3">
      <c r="B54" s="4">
        <v>45882</v>
      </c>
      <c r="C54" s="1" t="s">
        <v>46</v>
      </c>
      <c r="D54" s="2">
        <v>2</v>
      </c>
      <c r="E54" s="3">
        <v>274</v>
      </c>
      <c r="F54" s="2">
        <f t="shared" si="2"/>
        <v>548</v>
      </c>
      <c r="G54" s="14">
        <f t="shared" si="1"/>
        <v>49.81818181818182</v>
      </c>
    </row>
    <row r="55" spans="2:7" x14ac:dyDescent="0.3">
      <c r="B55" s="4">
        <v>45882</v>
      </c>
      <c r="C55" s="1" t="s">
        <v>46</v>
      </c>
      <c r="D55" s="2">
        <v>4</v>
      </c>
      <c r="E55" s="3">
        <v>274</v>
      </c>
      <c r="F55" s="2">
        <f t="shared" si="2"/>
        <v>1096</v>
      </c>
      <c r="G55" s="14">
        <f t="shared" si="1"/>
        <v>99.63636363636364</v>
      </c>
    </row>
    <row r="56" spans="2:7" x14ac:dyDescent="0.3">
      <c r="B56" s="4">
        <v>45882</v>
      </c>
      <c r="C56" s="1" t="s">
        <v>46</v>
      </c>
      <c r="D56" s="2">
        <v>6</v>
      </c>
      <c r="E56" s="3">
        <v>274</v>
      </c>
      <c r="F56" s="2">
        <f t="shared" si="2"/>
        <v>1644</v>
      </c>
      <c r="G56" s="14">
        <f t="shared" si="1"/>
        <v>149.45454545454547</v>
      </c>
    </row>
    <row r="57" spans="2:7" x14ac:dyDescent="0.3">
      <c r="B57" s="4">
        <v>45882</v>
      </c>
      <c r="C57" s="1" t="s">
        <v>46</v>
      </c>
      <c r="D57" s="2">
        <v>2</v>
      </c>
      <c r="E57" s="3">
        <v>274</v>
      </c>
      <c r="F57" s="2">
        <f t="shared" si="2"/>
        <v>548</v>
      </c>
      <c r="G57" s="14">
        <f t="shared" si="1"/>
        <v>49.81818181818182</v>
      </c>
    </row>
    <row r="58" spans="2:7" x14ac:dyDescent="0.3">
      <c r="B58" s="4">
        <v>45882</v>
      </c>
      <c r="C58" s="1" t="s">
        <v>46</v>
      </c>
      <c r="D58" s="2">
        <v>7</v>
      </c>
      <c r="E58" s="3">
        <v>274</v>
      </c>
      <c r="F58" s="2">
        <f t="shared" si="2"/>
        <v>1918</v>
      </c>
      <c r="G58" s="14">
        <f t="shared" si="1"/>
        <v>174.36363636363637</v>
      </c>
    </row>
    <row r="59" spans="2:7" x14ac:dyDescent="0.3">
      <c r="B59" s="4">
        <v>45883</v>
      </c>
      <c r="C59" s="1" t="s">
        <v>46</v>
      </c>
      <c r="D59" s="2">
        <v>8</v>
      </c>
      <c r="E59" s="3">
        <v>274</v>
      </c>
      <c r="F59" s="2">
        <f t="shared" si="2"/>
        <v>2192</v>
      </c>
      <c r="G59" s="14">
        <f t="shared" si="1"/>
        <v>199.27272727272728</v>
      </c>
    </row>
    <row r="60" spans="2:7" x14ac:dyDescent="0.3">
      <c r="B60" s="4">
        <v>45883</v>
      </c>
      <c r="C60" s="1" t="s">
        <v>46</v>
      </c>
      <c r="D60" s="2">
        <v>24</v>
      </c>
      <c r="E60" s="3">
        <v>274</v>
      </c>
      <c r="F60" s="2">
        <f t="shared" si="2"/>
        <v>6576</v>
      </c>
      <c r="G60" s="14">
        <f t="shared" si="1"/>
        <v>597.81818181818187</v>
      </c>
    </row>
    <row r="61" spans="2:7" x14ac:dyDescent="0.3">
      <c r="B61" s="4">
        <v>45883</v>
      </c>
      <c r="C61" s="1" t="s">
        <v>48</v>
      </c>
      <c r="D61" s="2">
        <v>20</v>
      </c>
      <c r="E61" s="3">
        <v>274</v>
      </c>
      <c r="F61" s="2">
        <f t="shared" si="2"/>
        <v>5480</v>
      </c>
      <c r="G61" s="14">
        <f t="shared" si="1"/>
        <v>498.18181818181819</v>
      </c>
    </row>
    <row r="62" spans="2:7" x14ac:dyDescent="0.3">
      <c r="B62" s="2" t="s">
        <v>3</v>
      </c>
      <c r="C62" s="1" t="s">
        <v>49</v>
      </c>
      <c r="D62" s="2">
        <v>5</v>
      </c>
      <c r="E62" s="3">
        <v>274</v>
      </c>
      <c r="F62" s="2">
        <f t="shared" si="2"/>
        <v>1370</v>
      </c>
      <c r="G62" s="14">
        <f t="shared" ref="G62:G110" si="3">F62/11</f>
        <v>124.54545454545455</v>
      </c>
    </row>
    <row r="63" spans="2:7" x14ac:dyDescent="0.3">
      <c r="B63" s="2" t="s">
        <v>3</v>
      </c>
      <c r="C63" s="1" t="s">
        <v>50</v>
      </c>
      <c r="D63" s="2">
        <v>8</v>
      </c>
      <c r="E63" s="3">
        <v>3750</v>
      </c>
      <c r="F63" s="2">
        <f t="shared" si="2"/>
        <v>30000</v>
      </c>
      <c r="G63" s="14">
        <f t="shared" si="3"/>
        <v>2727.2727272727275</v>
      </c>
    </row>
    <row r="64" spans="2:7" x14ac:dyDescent="0.3">
      <c r="B64" s="2" t="s">
        <v>3</v>
      </c>
      <c r="C64" s="1" t="s">
        <v>29</v>
      </c>
      <c r="D64" s="2">
        <v>2</v>
      </c>
      <c r="E64" s="3">
        <v>655</v>
      </c>
      <c r="F64" s="2">
        <f t="shared" si="2"/>
        <v>1310</v>
      </c>
      <c r="G64" s="14">
        <f t="shared" si="3"/>
        <v>119.09090909090909</v>
      </c>
    </row>
    <row r="65" spans="2:7" x14ac:dyDescent="0.3">
      <c r="B65" s="2" t="s">
        <v>3</v>
      </c>
      <c r="C65" s="1" t="s">
        <v>51</v>
      </c>
      <c r="D65" s="2">
        <v>5</v>
      </c>
      <c r="E65" s="3">
        <v>433</v>
      </c>
      <c r="F65" s="2">
        <f t="shared" si="2"/>
        <v>2165</v>
      </c>
      <c r="G65" s="14">
        <f t="shared" si="3"/>
        <v>196.81818181818181</v>
      </c>
    </row>
    <row r="66" spans="2:7" x14ac:dyDescent="0.3">
      <c r="B66" s="2" t="s">
        <v>3</v>
      </c>
      <c r="C66" s="1" t="s">
        <v>52</v>
      </c>
      <c r="D66" s="2">
        <v>2</v>
      </c>
      <c r="E66" s="3">
        <v>573</v>
      </c>
      <c r="F66" s="2">
        <f t="shared" si="2"/>
        <v>1146</v>
      </c>
      <c r="G66" s="14">
        <f t="shared" si="3"/>
        <v>104.18181818181819</v>
      </c>
    </row>
    <row r="67" spans="2:7" x14ac:dyDescent="0.3">
      <c r="B67" s="2" t="s">
        <v>3</v>
      </c>
      <c r="C67" s="1" t="s">
        <v>53</v>
      </c>
      <c r="D67" s="2">
        <v>15</v>
      </c>
      <c r="E67" s="3">
        <v>560</v>
      </c>
      <c r="F67" s="2">
        <f t="shared" si="2"/>
        <v>8400</v>
      </c>
      <c r="G67" s="14">
        <f t="shared" si="3"/>
        <v>763.63636363636363</v>
      </c>
    </row>
    <row r="68" spans="2:7" x14ac:dyDescent="0.3">
      <c r="B68" s="2" t="s">
        <v>3</v>
      </c>
      <c r="C68" s="1" t="s">
        <v>54</v>
      </c>
      <c r="D68" s="2">
        <v>1</v>
      </c>
      <c r="E68" s="3">
        <v>713</v>
      </c>
      <c r="F68" s="2">
        <f t="shared" si="2"/>
        <v>713</v>
      </c>
      <c r="G68" s="14">
        <f t="shared" si="3"/>
        <v>64.818181818181813</v>
      </c>
    </row>
    <row r="69" spans="2:7" x14ac:dyDescent="0.3">
      <c r="B69" s="4">
        <v>45860</v>
      </c>
      <c r="C69" s="1" t="s">
        <v>55</v>
      </c>
      <c r="D69" s="2">
        <v>5</v>
      </c>
      <c r="E69" s="3">
        <v>751</v>
      </c>
      <c r="F69" s="2">
        <f t="shared" si="2"/>
        <v>3755</v>
      </c>
      <c r="G69" s="14">
        <f t="shared" si="3"/>
        <v>341.36363636363637</v>
      </c>
    </row>
    <row r="70" spans="2:7" x14ac:dyDescent="0.3">
      <c r="B70" s="4">
        <v>45860</v>
      </c>
      <c r="C70" s="1" t="s">
        <v>25</v>
      </c>
      <c r="D70" s="2">
        <v>2</v>
      </c>
      <c r="E70" s="3">
        <v>2288</v>
      </c>
      <c r="F70" s="2">
        <f t="shared" si="2"/>
        <v>4576</v>
      </c>
      <c r="G70" s="14">
        <f t="shared" si="3"/>
        <v>416</v>
      </c>
    </row>
    <row r="71" spans="2:7" x14ac:dyDescent="0.3">
      <c r="B71" s="4">
        <v>45860</v>
      </c>
      <c r="C71" s="1" t="s">
        <v>27</v>
      </c>
      <c r="D71" s="2">
        <v>12</v>
      </c>
      <c r="E71" s="3">
        <v>1063</v>
      </c>
      <c r="F71" s="2">
        <f t="shared" si="2"/>
        <v>12756</v>
      </c>
      <c r="G71" s="14">
        <f t="shared" si="3"/>
        <v>1159.6363636363637</v>
      </c>
    </row>
    <row r="72" spans="2:7" x14ac:dyDescent="0.3">
      <c r="B72" s="4">
        <v>45889</v>
      </c>
      <c r="C72" s="1" t="s">
        <v>56</v>
      </c>
      <c r="D72" s="2">
        <v>5</v>
      </c>
      <c r="E72" s="3">
        <v>690</v>
      </c>
      <c r="F72" s="2">
        <f t="shared" si="2"/>
        <v>3450</v>
      </c>
      <c r="G72" s="14">
        <f t="shared" si="3"/>
        <v>313.63636363636363</v>
      </c>
    </row>
    <row r="73" spans="2:7" x14ac:dyDescent="0.3">
      <c r="B73" s="4">
        <v>45891</v>
      </c>
      <c r="C73" s="1" t="s">
        <v>46</v>
      </c>
      <c r="D73" s="2">
        <v>400</v>
      </c>
      <c r="E73" s="3">
        <v>274</v>
      </c>
      <c r="F73" s="2">
        <f t="shared" si="2"/>
        <v>109600</v>
      </c>
      <c r="G73" s="14">
        <f t="shared" si="3"/>
        <v>9963.636363636364</v>
      </c>
    </row>
    <row r="74" spans="2:7" x14ac:dyDescent="0.3">
      <c r="B74" s="4">
        <v>45895</v>
      </c>
      <c r="C74" s="1" t="s">
        <v>46</v>
      </c>
      <c r="D74" s="2">
        <v>60</v>
      </c>
      <c r="E74" s="3">
        <v>274</v>
      </c>
      <c r="F74" s="2">
        <f t="shared" si="2"/>
        <v>16440</v>
      </c>
      <c r="G74" s="14">
        <f t="shared" si="3"/>
        <v>1494.5454545454545</v>
      </c>
    </row>
    <row r="75" spans="2:7" x14ac:dyDescent="0.3">
      <c r="B75" s="4">
        <v>45891</v>
      </c>
      <c r="C75" s="1" t="s">
        <v>46</v>
      </c>
      <c r="D75" s="2">
        <v>57</v>
      </c>
      <c r="E75" s="3">
        <v>300</v>
      </c>
      <c r="F75" s="2">
        <f t="shared" si="2"/>
        <v>17100</v>
      </c>
      <c r="G75" s="14">
        <f t="shared" si="3"/>
        <v>1554.5454545454545</v>
      </c>
    </row>
    <row r="76" spans="2:7" x14ac:dyDescent="0.3">
      <c r="B76" s="4">
        <v>45883</v>
      </c>
      <c r="C76" s="1" t="s">
        <v>46</v>
      </c>
      <c r="D76" s="2">
        <v>56</v>
      </c>
      <c r="E76" s="3">
        <v>274</v>
      </c>
      <c r="F76" s="2">
        <f t="shared" si="2"/>
        <v>15344</v>
      </c>
      <c r="G76" s="14">
        <f t="shared" si="3"/>
        <v>1394.909090909091</v>
      </c>
    </row>
    <row r="77" spans="2:7" x14ac:dyDescent="0.3">
      <c r="B77" s="4">
        <v>45883</v>
      </c>
      <c r="C77" s="13" t="s">
        <v>46</v>
      </c>
      <c r="D77" s="2">
        <v>56</v>
      </c>
      <c r="E77" s="2">
        <v>274</v>
      </c>
      <c r="F77" s="2">
        <f>E77*D77</f>
        <v>15344</v>
      </c>
      <c r="G77" s="14">
        <f t="shared" si="3"/>
        <v>1394.909090909091</v>
      </c>
    </row>
    <row r="78" spans="2:7" x14ac:dyDescent="0.3">
      <c r="B78" s="4">
        <v>45897</v>
      </c>
      <c r="C78" s="13" t="s">
        <v>60</v>
      </c>
      <c r="D78" s="2">
        <v>10</v>
      </c>
      <c r="E78" s="2">
        <v>2600</v>
      </c>
      <c r="F78" s="2">
        <f t="shared" ref="F78:F80" si="4">E78*D78</f>
        <v>26000</v>
      </c>
      <c r="G78" s="14">
        <f t="shared" si="3"/>
        <v>2363.6363636363635</v>
      </c>
    </row>
    <row r="79" spans="2:7" x14ac:dyDescent="0.3">
      <c r="B79" s="4">
        <v>45898</v>
      </c>
      <c r="C79" s="13" t="s">
        <v>46</v>
      </c>
      <c r="D79" s="2">
        <v>30</v>
      </c>
      <c r="E79" s="2">
        <v>274</v>
      </c>
      <c r="F79" s="2">
        <f t="shared" si="4"/>
        <v>8220</v>
      </c>
      <c r="G79" s="14">
        <f t="shared" si="3"/>
        <v>747.27272727272725</v>
      </c>
    </row>
    <row r="80" spans="2:7" x14ac:dyDescent="0.3">
      <c r="B80" s="4">
        <v>45899</v>
      </c>
      <c r="C80" s="13" t="s">
        <v>57</v>
      </c>
      <c r="D80" s="2">
        <v>20</v>
      </c>
      <c r="E80" s="2">
        <v>560</v>
      </c>
      <c r="F80" s="2">
        <f t="shared" si="4"/>
        <v>11200</v>
      </c>
      <c r="G80" s="14">
        <f t="shared" si="3"/>
        <v>1018.1818181818181</v>
      </c>
    </row>
    <row r="81" spans="2:7" x14ac:dyDescent="0.3">
      <c r="B81" s="4">
        <v>45909</v>
      </c>
      <c r="C81" s="1" t="s">
        <v>58</v>
      </c>
      <c r="D81" s="2">
        <v>10</v>
      </c>
      <c r="E81" s="3">
        <v>397</v>
      </c>
      <c r="F81" s="2">
        <f>E81*D81</f>
        <v>3970</v>
      </c>
      <c r="G81" s="14">
        <f t="shared" si="3"/>
        <v>360.90909090909093</v>
      </c>
    </row>
    <row r="82" spans="2:7" x14ac:dyDescent="0.3">
      <c r="B82" s="4">
        <v>45909</v>
      </c>
      <c r="C82" s="1" t="s">
        <v>59</v>
      </c>
      <c r="D82" s="2">
        <v>10</v>
      </c>
      <c r="E82" s="5">
        <v>353</v>
      </c>
      <c r="F82" s="2">
        <f t="shared" ref="F82:F109" si="5">E82*D82</f>
        <v>3530</v>
      </c>
      <c r="G82" s="14">
        <f t="shared" si="3"/>
        <v>320.90909090909093</v>
      </c>
    </row>
    <row r="83" spans="2:7" x14ac:dyDescent="0.3">
      <c r="B83" s="4">
        <v>45910</v>
      </c>
      <c r="C83" s="1" t="s">
        <v>4</v>
      </c>
      <c r="D83" s="2">
        <v>5</v>
      </c>
      <c r="E83" s="5">
        <v>999</v>
      </c>
      <c r="F83" s="2">
        <f t="shared" si="5"/>
        <v>4995</v>
      </c>
      <c r="G83" s="14">
        <f t="shared" si="3"/>
        <v>454.09090909090907</v>
      </c>
    </row>
    <row r="84" spans="2:7" x14ac:dyDescent="0.3">
      <c r="B84" s="4">
        <v>45910</v>
      </c>
      <c r="C84" s="1" t="s">
        <v>5</v>
      </c>
      <c r="D84" s="2">
        <v>15</v>
      </c>
      <c r="E84" s="5">
        <v>1150</v>
      </c>
      <c r="F84" s="2">
        <f t="shared" si="5"/>
        <v>17250</v>
      </c>
      <c r="G84" s="14">
        <f t="shared" si="3"/>
        <v>1568.1818181818182</v>
      </c>
    </row>
    <row r="85" spans="2:7" x14ac:dyDescent="0.3">
      <c r="B85" s="4">
        <v>45910</v>
      </c>
      <c r="C85" s="1" t="s">
        <v>6</v>
      </c>
      <c r="D85" s="2">
        <v>10</v>
      </c>
      <c r="E85" s="5">
        <v>1260</v>
      </c>
      <c r="F85" s="2">
        <f t="shared" si="5"/>
        <v>12600</v>
      </c>
      <c r="G85" s="14">
        <f t="shared" si="3"/>
        <v>1145.4545454545455</v>
      </c>
    </row>
    <row r="86" spans="2:7" x14ac:dyDescent="0.3">
      <c r="B86" s="4">
        <v>45910</v>
      </c>
      <c r="C86" s="1" t="s">
        <v>7</v>
      </c>
      <c r="D86" s="2">
        <v>5</v>
      </c>
      <c r="E86" s="5">
        <v>3300</v>
      </c>
      <c r="F86" s="2">
        <f t="shared" si="5"/>
        <v>16500</v>
      </c>
      <c r="G86" s="14">
        <f t="shared" si="3"/>
        <v>1500</v>
      </c>
    </row>
    <row r="87" spans="2:7" x14ac:dyDescent="0.3">
      <c r="B87" s="4">
        <v>45910</v>
      </c>
      <c r="C87" s="1" t="s">
        <v>61</v>
      </c>
      <c r="D87" s="2">
        <v>9</v>
      </c>
      <c r="E87" s="5">
        <v>1063</v>
      </c>
      <c r="F87" s="2">
        <f t="shared" si="5"/>
        <v>9567</v>
      </c>
      <c r="G87" s="14">
        <f t="shared" si="3"/>
        <v>869.72727272727275</v>
      </c>
    </row>
    <row r="88" spans="2:7" x14ac:dyDescent="0.3">
      <c r="B88" s="4">
        <v>45910</v>
      </c>
      <c r="C88" s="1" t="s">
        <v>62</v>
      </c>
      <c r="D88" s="2">
        <v>9</v>
      </c>
      <c r="E88" s="5">
        <v>433</v>
      </c>
      <c r="F88" s="2">
        <f t="shared" si="5"/>
        <v>3897</v>
      </c>
      <c r="G88" s="14">
        <f t="shared" si="3"/>
        <v>354.27272727272725</v>
      </c>
    </row>
    <row r="89" spans="2:7" x14ac:dyDescent="0.3">
      <c r="B89" s="4">
        <v>45910</v>
      </c>
      <c r="C89" s="1" t="s">
        <v>63</v>
      </c>
      <c r="D89" s="2">
        <v>1</v>
      </c>
      <c r="E89" s="5">
        <v>655</v>
      </c>
      <c r="F89" s="2">
        <f t="shared" si="5"/>
        <v>655</v>
      </c>
      <c r="G89" s="14">
        <f t="shared" si="3"/>
        <v>59.545454545454547</v>
      </c>
    </row>
    <row r="90" spans="2:7" x14ac:dyDescent="0.3">
      <c r="B90" s="4">
        <v>45910</v>
      </c>
      <c r="C90" s="1" t="s">
        <v>8</v>
      </c>
      <c r="D90" s="2">
        <v>50</v>
      </c>
      <c r="E90" s="5">
        <v>49</v>
      </c>
      <c r="F90" s="2">
        <f t="shared" si="5"/>
        <v>2450</v>
      </c>
      <c r="G90" s="14">
        <f t="shared" si="3"/>
        <v>222.72727272727272</v>
      </c>
    </row>
    <row r="91" spans="2:7" x14ac:dyDescent="0.3">
      <c r="B91" s="4">
        <v>45910</v>
      </c>
      <c r="C91" s="1" t="s">
        <v>64</v>
      </c>
      <c r="D91" s="2">
        <v>5</v>
      </c>
      <c r="E91" s="5">
        <v>751</v>
      </c>
      <c r="F91" s="2">
        <f t="shared" si="5"/>
        <v>3755</v>
      </c>
      <c r="G91" s="14">
        <f t="shared" si="3"/>
        <v>341.36363636363637</v>
      </c>
    </row>
    <row r="92" spans="2:7" x14ac:dyDescent="0.3">
      <c r="B92" s="4">
        <v>45910</v>
      </c>
      <c r="C92" s="1" t="s">
        <v>65</v>
      </c>
      <c r="D92" s="2">
        <v>2</v>
      </c>
      <c r="E92" s="5">
        <v>2800</v>
      </c>
      <c r="F92" s="2">
        <f t="shared" si="5"/>
        <v>5600</v>
      </c>
      <c r="G92" s="14">
        <f t="shared" si="3"/>
        <v>509.09090909090907</v>
      </c>
    </row>
    <row r="93" spans="2:7" x14ac:dyDescent="0.3">
      <c r="B93" s="4">
        <v>45910</v>
      </c>
      <c r="C93" s="1" t="s">
        <v>66</v>
      </c>
      <c r="D93" s="2">
        <v>20</v>
      </c>
      <c r="E93" s="5">
        <v>560</v>
      </c>
      <c r="F93" s="2">
        <f t="shared" si="5"/>
        <v>11200</v>
      </c>
      <c r="G93" s="14">
        <f t="shared" si="3"/>
        <v>1018.1818181818181</v>
      </c>
    </row>
    <row r="94" spans="2:7" x14ac:dyDescent="0.3">
      <c r="B94" s="4">
        <v>45910</v>
      </c>
      <c r="C94" s="1" t="s">
        <v>67</v>
      </c>
      <c r="D94" s="2">
        <v>1</v>
      </c>
      <c r="E94" s="5">
        <v>3690</v>
      </c>
      <c r="F94" s="2">
        <f t="shared" si="5"/>
        <v>3690</v>
      </c>
      <c r="G94" s="14">
        <f t="shared" si="3"/>
        <v>335.45454545454544</v>
      </c>
    </row>
    <row r="95" spans="2:7" x14ac:dyDescent="0.3">
      <c r="B95" s="4">
        <v>45910</v>
      </c>
      <c r="C95" s="1" t="s">
        <v>68</v>
      </c>
      <c r="D95" s="2">
        <v>4</v>
      </c>
      <c r="E95" s="6">
        <v>679</v>
      </c>
      <c r="F95" s="2">
        <f>E95*D95</f>
        <v>2716</v>
      </c>
      <c r="G95" s="14">
        <f t="shared" si="3"/>
        <v>246.90909090909091</v>
      </c>
    </row>
    <row r="96" spans="2:7" x14ac:dyDescent="0.3">
      <c r="B96" s="4">
        <v>45918</v>
      </c>
      <c r="C96" s="13" t="s">
        <v>9</v>
      </c>
      <c r="D96" s="2">
        <v>2</v>
      </c>
      <c r="E96" s="2">
        <v>2199</v>
      </c>
      <c r="F96" s="2">
        <f t="shared" si="5"/>
        <v>4398</v>
      </c>
      <c r="G96" s="14">
        <f t="shared" si="3"/>
        <v>399.81818181818181</v>
      </c>
    </row>
    <row r="97" spans="2:7" x14ac:dyDescent="0.3">
      <c r="B97" s="4">
        <v>45918</v>
      </c>
      <c r="C97" s="13" t="s">
        <v>9</v>
      </c>
      <c r="D97" s="2">
        <v>4</v>
      </c>
      <c r="E97" s="2">
        <v>2199</v>
      </c>
      <c r="F97" s="2">
        <f t="shared" si="5"/>
        <v>8796</v>
      </c>
      <c r="G97" s="14">
        <f t="shared" si="3"/>
        <v>799.63636363636363</v>
      </c>
    </row>
    <row r="98" spans="2:7" x14ac:dyDescent="0.3">
      <c r="B98" s="4">
        <v>45920</v>
      </c>
      <c r="C98" s="13" t="s">
        <v>9</v>
      </c>
      <c r="D98" s="2">
        <v>4</v>
      </c>
      <c r="E98" s="2">
        <v>2199</v>
      </c>
      <c r="F98" s="2">
        <f t="shared" si="5"/>
        <v>8796</v>
      </c>
      <c r="G98" s="14">
        <f t="shared" si="3"/>
        <v>799.63636363636363</v>
      </c>
    </row>
    <row r="99" spans="2:7" x14ac:dyDescent="0.3">
      <c r="B99" s="4">
        <v>45920</v>
      </c>
      <c r="C99" s="13" t="s">
        <v>9</v>
      </c>
      <c r="D99" s="2">
        <v>28</v>
      </c>
      <c r="E99" s="2">
        <v>2599</v>
      </c>
      <c r="F99" s="2">
        <f t="shared" si="5"/>
        <v>72772</v>
      </c>
      <c r="G99" s="14">
        <f t="shared" si="3"/>
        <v>6615.636363636364</v>
      </c>
    </row>
    <row r="100" spans="2:7" x14ac:dyDescent="0.3">
      <c r="B100" s="4">
        <v>45920</v>
      </c>
      <c r="C100" s="13" t="s">
        <v>10</v>
      </c>
      <c r="D100" s="2">
        <v>6</v>
      </c>
      <c r="E100" s="2">
        <v>2199</v>
      </c>
      <c r="F100" s="2">
        <f t="shared" si="5"/>
        <v>13194</v>
      </c>
      <c r="G100" s="14">
        <f t="shared" si="3"/>
        <v>1199.4545454545455</v>
      </c>
    </row>
    <row r="101" spans="2:7" x14ac:dyDescent="0.3">
      <c r="B101" s="4">
        <v>45925</v>
      </c>
      <c r="C101" s="1" t="s">
        <v>11</v>
      </c>
      <c r="D101" s="2">
        <v>5</v>
      </c>
      <c r="E101" s="5">
        <v>1449</v>
      </c>
      <c r="F101" s="2">
        <f t="shared" si="5"/>
        <v>7245</v>
      </c>
      <c r="G101" s="14">
        <f t="shared" si="3"/>
        <v>658.63636363636363</v>
      </c>
    </row>
    <row r="102" spans="2:7" x14ac:dyDescent="0.3">
      <c r="B102" s="4">
        <v>45925</v>
      </c>
      <c r="C102" s="1" t="s">
        <v>69</v>
      </c>
      <c r="D102" s="2">
        <v>5</v>
      </c>
      <c r="E102" s="5">
        <v>4400</v>
      </c>
      <c r="F102" s="2">
        <f t="shared" si="5"/>
        <v>22000</v>
      </c>
      <c r="G102" s="14">
        <f t="shared" si="3"/>
        <v>2000</v>
      </c>
    </row>
    <row r="103" spans="2:7" x14ac:dyDescent="0.3">
      <c r="B103" s="4">
        <v>45925</v>
      </c>
      <c r="C103" s="1" t="s">
        <v>12</v>
      </c>
      <c r="D103" s="2">
        <v>5</v>
      </c>
      <c r="E103" s="5">
        <v>645</v>
      </c>
      <c r="F103" s="2">
        <f t="shared" si="5"/>
        <v>3225</v>
      </c>
      <c r="G103" s="14">
        <f t="shared" si="3"/>
        <v>293.18181818181819</v>
      </c>
    </row>
    <row r="104" spans="2:7" x14ac:dyDescent="0.3">
      <c r="B104" s="4">
        <v>45925</v>
      </c>
      <c r="C104" s="1" t="s">
        <v>13</v>
      </c>
      <c r="D104" s="2">
        <v>5</v>
      </c>
      <c r="E104" s="5">
        <v>860</v>
      </c>
      <c r="F104" s="2">
        <f t="shared" si="5"/>
        <v>4300</v>
      </c>
      <c r="G104" s="14">
        <f t="shared" si="3"/>
        <v>390.90909090909093</v>
      </c>
    </row>
    <row r="105" spans="2:7" x14ac:dyDescent="0.3">
      <c r="B105" s="4">
        <v>45925</v>
      </c>
      <c r="C105" s="1" t="s">
        <v>14</v>
      </c>
      <c r="D105" s="2">
        <v>5</v>
      </c>
      <c r="E105" s="5">
        <v>999</v>
      </c>
      <c r="F105" s="2">
        <f t="shared" si="5"/>
        <v>4995</v>
      </c>
      <c r="G105" s="14">
        <f t="shared" si="3"/>
        <v>454.09090909090907</v>
      </c>
    </row>
    <row r="106" spans="2:7" x14ac:dyDescent="0.3">
      <c r="B106" s="4">
        <v>45925</v>
      </c>
      <c r="C106" s="1" t="s">
        <v>15</v>
      </c>
      <c r="D106" s="2">
        <v>5</v>
      </c>
      <c r="E106" s="5">
        <v>1150</v>
      </c>
      <c r="F106" s="2">
        <f t="shared" si="5"/>
        <v>5750</v>
      </c>
      <c r="G106" s="14">
        <f t="shared" si="3"/>
        <v>522.72727272727275</v>
      </c>
    </row>
    <row r="107" spans="2:7" x14ac:dyDescent="0.3">
      <c r="B107" s="4">
        <v>45926</v>
      </c>
      <c r="C107" s="1" t="s">
        <v>70</v>
      </c>
      <c r="D107" s="2">
        <v>23</v>
      </c>
      <c r="E107" s="5">
        <v>2199</v>
      </c>
      <c r="F107" s="2">
        <f t="shared" si="5"/>
        <v>50577</v>
      </c>
      <c r="G107" s="14">
        <f t="shared" si="3"/>
        <v>4597.909090909091</v>
      </c>
    </row>
    <row r="108" spans="2:7" x14ac:dyDescent="0.3">
      <c r="B108" s="4">
        <v>45926</v>
      </c>
      <c r="C108" s="1" t="s">
        <v>71</v>
      </c>
      <c r="D108" s="2">
        <v>2</v>
      </c>
      <c r="E108" s="5">
        <v>2199</v>
      </c>
      <c r="F108" s="2">
        <f t="shared" si="5"/>
        <v>4398</v>
      </c>
      <c r="G108" s="14">
        <f t="shared" si="3"/>
        <v>399.81818181818181</v>
      </c>
    </row>
    <row r="109" spans="2:7" x14ac:dyDescent="0.3">
      <c r="B109" s="4">
        <v>45926</v>
      </c>
      <c r="C109" s="1" t="s">
        <v>72</v>
      </c>
      <c r="D109" s="2">
        <v>2</v>
      </c>
      <c r="E109" s="5">
        <v>1999</v>
      </c>
      <c r="F109" s="2">
        <f t="shared" si="5"/>
        <v>3998</v>
      </c>
      <c r="G109" s="14">
        <f t="shared" si="3"/>
        <v>363.45454545454544</v>
      </c>
    </row>
    <row r="110" spans="2:7" x14ac:dyDescent="0.3">
      <c r="B110" s="4">
        <v>45926</v>
      </c>
      <c r="C110" s="1" t="s">
        <v>70</v>
      </c>
      <c r="D110" s="2">
        <v>2</v>
      </c>
      <c r="E110" s="5">
        <v>2199</v>
      </c>
      <c r="F110" s="2">
        <f>E110*D110</f>
        <v>4398</v>
      </c>
      <c r="G110" s="14">
        <f t="shared" si="3"/>
        <v>399.81818181818181</v>
      </c>
    </row>
    <row r="111" spans="2:7" x14ac:dyDescent="0.3">
      <c r="G111" s="10" t="s">
        <v>23</v>
      </c>
    </row>
    <row r="112" spans="2:7" x14ac:dyDescent="0.3">
      <c r="G112" s="11">
        <f>SUM(G3:G111)</f>
        <v>69402.818181818147</v>
      </c>
    </row>
  </sheetData>
  <mergeCells count="1">
    <mergeCell ref="B1:G1"/>
  </mergeCells>
  <hyperlinks>
    <hyperlink ref="C105" r:id="rId1" display="https://www.harveynorman.com.au/dji-mini-4-pro-rc-2.html" xr:uid="{6269D94B-CE44-4381-B94E-136E6B5BC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2025-10-07T17:49:05Z</dcterms:created>
  <dcterms:modified xsi:type="dcterms:W3CDTF">2025-10-07T18:49:48Z</dcterms:modified>
</cp:coreProperties>
</file>