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5300\Documents\GST Files 2025\"/>
    </mc:Choice>
  </mc:AlternateContent>
  <xr:revisionPtr revIDLastSave="0" documentId="13_ncr:1_{929A1C24-B281-4631-BE9F-614EAA51436C}" xr6:coauthVersionLast="47" xr6:coauthVersionMax="47" xr10:uidLastSave="{00000000-0000-0000-0000-000000000000}"/>
  <bookViews>
    <workbookView xWindow="-108" yWindow="-108" windowWidth="23256" windowHeight="13896" xr2:uid="{7B10C637-EF64-459F-8C0C-B4173EB0D2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15" i="1" l="1"/>
  <c r="E115" i="1"/>
  <c r="F114" i="1"/>
  <c r="E114" i="1"/>
  <c r="E113" i="1"/>
  <c r="F113" i="1" s="1"/>
  <c r="E112" i="1"/>
  <c r="F112" i="1" s="1"/>
  <c r="F111" i="1"/>
  <c r="E111" i="1"/>
  <c r="F110" i="1"/>
  <c r="E110" i="1"/>
  <c r="E109" i="1"/>
  <c r="F109" i="1" s="1"/>
  <c r="E108" i="1"/>
  <c r="F108" i="1" s="1"/>
  <c r="F107" i="1"/>
  <c r="E107" i="1"/>
  <c r="F106" i="1"/>
  <c r="E106" i="1"/>
  <c r="E105" i="1"/>
  <c r="F105" i="1" s="1"/>
  <c r="E104" i="1"/>
  <c r="F104" i="1" s="1"/>
  <c r="F103" i="1"/>
  <c r="E103" i="1"/>
  <c r="F102" i="1"/>
  <c r="E102" i="1"/>
  <c r="E101" i="1"/>
  <c r="F101" i="1" s="1"/>
  <c r="E100" i="1"/>
  <c r="F100" i="1" s="1"/>
  <c r="F99" i="1"/>
  <c r="E99" i="1"/>
  <c r="F98" i="1"/>
  <c r="E98" i="1"/>
  <c r="E97" i="1"/>
  <c r="F97" i="1" s="1"/>
  <c r="E96" i="1"/>
  <c r="F96" i="1" s="1"/>
  <c r="F95" i="1"/>
  <c r="E95" i="1"/>
  <c r="F94" i="1"/>
  <c r="E94" i="1"/>
  <c r="E93" i="1"/>
  <c r="F93" i="1" s="1"/>
  <c r="E92" i="1"/>
  <c r="F92" i="1" s="1"/>
  <c r="F91" i="1"/>
  <c r="E91" i="1"/>
  <c r="F90" i="1"/>
  <c r="E90" i="1"/>
  <c r="E89" i="1"/>
  <c r="F89" i="1" s="1"/>
  <c r="E88" i="1"/>
  <c r="F88" i="1" s="1"/>
  <c r="F87" i="1"/>
  <c r="E87" i="1"/>
  <c r="F86" i="1"/>
  <c r="E86" i="1"/>
  <c r="E85" i="1"/>
  <c r="F85" i="1" s="1"/>
  <c r="E84" i="1"/>
  <c r="F84" i="1" s="1"/>
  <c r="F83" i="1"/>
  <c r="E83" i="1"/>
  <c r="F82" i="1"/>
  <c r="E82" i="1"/>
  <c r="E81" i="1"/>
  <c r="F81" i="1" s="1"/>
  <c r="E80" i="1"/>
  <c r="F80" i="1" s="1"/>
  <c r="F79" i="1"/>
  <c r="E79" i="1"/>
  <c r="F78" i="1"/>
  <c r="E78" i="1"/>
  <c r="E77" i="1"/>
  <c r="F77" i="1" s="1"/>
  <c r="E76" i="1"/>
  <c r="F76" i="1" s="1"/>
  <c r="F75" i="1"/>
  <c r="E75" i="1"/>
  <c r="F74" i="1"/>
  <c r="E74" i="1"/>
  <c r="E73" i="1"/>
  <c r="F73" i="1" s="1"/>
  <c r="E72" i="1"/>
  <c r="F72" i="1" s="1"/>
  <c r="F71" i="1"/>
  <c r="E71" i="1"/>
  <c r="F70" i="1"/>
  <c r="E70" i="1"/>
  <c r="E69" i="1"/>
  <c r="F69" i="1" s="1"/>
  <c r="E68" i="1"/>
  <c r="F68" i="1" s="1"/>
  <c r="F67" i="1"/>
  <c r="E67" i="1"/>
  <c r="F66" i="1"/>
  <c r="E66" i="1"/>
  <c r="E65" i="1"/>
  <c r="F65" i="1" s="1"/>
  <c r="E64" i="1"/>
  <c r="F64" i="1" s="1"/>
  <c r="F63" i="1"/>
  <c r="E63" i="1"/>
  <c r="F62" i="1"/>
  <c r="E62" i="1"/>
  <c r="E61" i="1"/>
  <c r="F61" i="1" s="1"/>
  <c r="E60" i="1"/>
  <c r="F60" i="1" s="1"/>
  <c r="F59" i="1"/>
  <c r="E59" i="1"/>
  <c r="F58" i="1"/>
  <c r="E58" i="1"/>
  <c r="E57" i="1"/>
  <c r="F57" i="1" s="1"/>
  <c r="E56" i="1"/>
  <c r="F56" i="1" s="1"/>
  <c r="F55" i="1"/>
  <c r="E55" i="1"/>
  <c r="F54" i="1"/>
  <c r="E54" i="1"/>
  <c r="E53" i="1"/>
  <c r="F53" i="1" s="1"/>
  <c r="E52" i="1"/>
  <c r="F52" i="1" s="1"/>
  <c r="E51" i="1"/>
  <c r="E50" i="1"/>
  <c r="F50" i="1" s="1"/>
  <c r="E49" i="1"/>
  <c r="F49" i="1" s="1"/>
  <c r="F48" i="1"/>
  <c r="E48" i="1"/>
  <c r="E47" i="1"/>
  <c r="F47" i="1" s="1"/>
  <c r="E46" i="1"/>
  <c r="F46" i="1" s="1"/>
  <c r="E45" i="1"/>
  <c r="F45" i="1" s="1"/>
  <c r="F44" i="1"/>
  <c r="E44" i="1"/>
  <c r="E43" i="1"/>
  <c r="F43" i="1" s="1"/>
  <c r="E42" i="1"/>
  <c r="F42" i="1" s="1"/>
  <c r="E41" i="1"/>
  <c r="F41" i="1" s="1"/>
  <c r="F40" i="1"/>
  <c r="E40" i="1"/>
  <c r="E39" i="1"/>
  <c r="F39" i="1" s="1"/>
  <c r="E38" i="1"/>
  <c r="F38" i="1" s="1"/>
  <c r="E37" i="1"/>
  <c r="F37" i="1" s="1"/>
  <c r="F36" i="1"/>
  <c r="E36" i="1"/>
  <c r="E35" i="1"/>
  <c r="F35" i="1" s="1"/>
  <c r="E34" i="1"/>
  <c r="F34" i="1" s="1"/>
  <c r="E33" i="1"/>
  <c r="F33" i="1" s="1"/>
  <c r="F32" i="1"/>
  <c r="E32" i="1"/>
  <c r="E31" i="1"/>
  <c r="F31" i="1" s="1"/>
  <c r="E30" i="1"/>
  <c r="F30" i="1" s="1"/>
  <c r="E29" i="1"/>
  <c r="F29" i="1" s="1"/>
  <c r="F28" i="1"/>
  <c r="E28" i="1"/>
  <c r="E27" i="1"/>
  <c r="F27" i="1" s="1"/>
  <c r="E26" i="1"/>
  <c r="F26" i="1" s="1"/>
  <c r="E25" i="1"/>
  <c r="F25" i="1" s="1"/>
  <c r="F24" i="1"/>
  <c r="E24" i="1"/>
  <c r="E23" i="1"/>
  <c r="F23" i="1" s="1"/>
  <c r="E22" i="1"/>
  <c r="F22" i="1" s="1"/>
  <c r="E21" i="1"/>
  <c r="F21" i="1" s="1"/>
  <c r="F20" i="1"/>
  <c r="E20" i="1"/>
  <c r="E19" i="1"/>
  <c r="F19" i="1" s="1"/>
  <c r="E18" i="1"/>
  <c r="F18" i="1" s="1"/>
  <c r="E17" i="1"/>
  <c r="F17" i="1" s="1"/>
  <c r="F16" i="1"/>
  <c r="E16" i="1"/>
  <c r="E15" i="1"/>
  <c r="F15" i="1" s="1"/>
  <c r="E14" i="1"/>
  <c r="F14" i="1" s="1"/>
  <c r="E13" i="1"/>
  <c r="F13" i="1" s="1"/>
  <c r="F12" i="1"/>
  <c r="E12" i="1"/>
  <c r="E11" i="1"/>
  <c r="F11" i="1" s="1"/>
  <c r="E10" i="1"/>
  <c r="F10" i="1" s="1"/>
  <c r="E9" i="1"/>
  <c r="F9" i="1" s="1"/>
  <c r="F8" i="1"/>
  <c r="E8" i="1"/>
  <c r="E7" i="1"/>
  <c r="F7" i="1" s="1"/>
  <c r="E6" i="1"/>
  <c r="F6" i="1" s="1"/>
  <c r="E5" i="1"/>
  <c r="F5" i="1" s="1"/>
  <c r="F4" i="1"/>
  <c r="E4" i="1"/>
  <c r="E3" i="1"/>
  <c r="F3" i="1" s="1"/>
  <c r="F116" i="1" l="1"/>
</calcChain>
</file>

<file path=xl/sharedStrings.xml><?xml version="1.0" encoding="utf-8"?>
<sst xmlns="http://schemas.openxmlformats.org/spreadsheetml/2006/main" count="92" uniqueCount="83">
  <si>
    <t>Newzeland</t>
  </si>
  <si>
    <t>Date</t>
  </si>
  <si>
    <t>Product Name</t>
  </si>
  <si>
    <t>Qty</t>
  </si>
  <si>
    <t xml:space="preserve">Per/Unit  </t>
  </si>
  <si>
    <t xml:space="preserve">Total </t>
  </si>
  <si>
    <t>GST</t>
  </si>
  <si>
    <t>Starlink v4 19Units  @580  WB</t>
  </si>
  <si>
    <t>Starlink Mini 500 Units  $630  WB</t>
  </si>
  <si>
    <t>JBL Charge 5  150Units $148  WB</t>
  </si>
  <si>
    <t>JBL Charge 5  50Units  $145   WB</t>
  </si>
  <si>
    <t>Google Chrome Cast  250Units  $149  WB</t>
  </si>
  <si>
    <t>Starlink V4  200Units $549  WB</t>
  </si>
  <si>
    <t>JBL Charge.5 6Units $145  WB</t>
  </si>
  <si>
    <t>PS5  15Units  $695  ARB</t>
  </si>
  <si>
    <r>
      <t xml:space="preserve">Starlink V4 </t>
    </r>
    <r>
      <rPr>
        <b/>
        <sz val="11"/>
        <color theme="1"/>
        <rFont val="Calibri"/>
        <family val="2"/>
        <scheme val="minor"/>
      </rPr>
      <t>($80,000 Paid)</t>
    </r>
  </si>
  <si>
    <r>
      <t>Google streamer (</t>
    </r>
    <r>
      <rPr>
        <b/>
        <sz val="11"/>
        <color theme="5" tint="-0.249977111117893"/>
        <rFont val="Calibri"/>
        <family val="2"/>
        <scheme val="minor"/>
      </rPr>
      <t>In System Google Chrome Cast</t>
    </r>
    <r>
      <rPr>
        <sz val="11"/>
        <color theme="1"/>
        <rFont val="Calibri"/>
        <family val="2"/>
        <scheme val="minor"/>
      </rPr>
      <t xml:space="preserve">) </t>
    </r>
    <r>
      <rPr>
        <b/>
        <sz val="11"/>
        <color theme="1"/>
        <rFont val="Calibri"/>
        <family val="2"/>
        <scheme val="minor"/>
      </rPr>
      <t>($37,500 Paid)</t>
    </r>
  </si>
  <si>
    <t>10 PS5 Purchased in NZ $759</t>
  </si>
  <si>
    <t>Starlink V4 Noel Leeming</t>
  </si>
  <si>
    <t>Instax Flim 20 pack Noel Leeming</t>
  </si>
  <si>
    <t>Instax Mini Evo Noel Leeming</t>
  </si>
  <si>
    <t>PS5 Astrobot Noel Leeming</t>
  </si>
  <si>
    <t>Google Tv Streamer Noel Leeming</t>
  </si>
  <si>
    <t>Canon Camera Noel Leeming</t>
  </si>
  <si>
    <t>Osmo Pocket 3 Noel Leeming</t>
  </si>
  <si>
    <t>Osmo Pocket 3 Creator Combo Noel Leeming</t>
  </si>
  <si>
    <t xml:space="preserve">Starlink V4 200 * $492 </t>
  </si>
  <si>
    <t>Mini EVO 100 * $329</t>
  </si>
  <si>
    <t>Canon 740 qty 10* $745</t>
  </si>
  <si>
    <t>Google Streamer 250 * $149</t>
  </si>
  <si>
    <t>Canon SX740 Photo Warehouse online  Pending Delivery</t>
  </si>
  <si>
    <t xml:space="preserve">Mark II with memory card and pouch Photo WH </t>
  </si>
  <si>
    <t xml:space="preserve">Canon Mark II Photo WH </t>
  </si>
  <si>
    <t xml:space="preserve">Canon Mark III Photo WH </t>
  </si>
  <si>
    <t xml:space="preserve">Lense  Photo WH </t>
  </si>
  <si>
    <t xml:space="preserve">SX740 Photo WH </t>
  </si>
  <si>
    <t>Mark II photogear</t>
  </si>
  <si>
    <t>Lense photogear</t>
  </si>
  <si>
    <t>SX740 Progear</t>
  </si>
  <si>
    <t>G7X Mark III Silver Progear</t>
  </si>
  <si>
    <t>Lense Progear</t>
  </si>
  <si>
    <t>Sx740 Photo WH City</t>
  </si>
  <si>
    <t>G7X Mark II Photo WH City</t>
  </si>
  <si>
    <t>G7X Mark III Photo WH City</t>
  </si>
  <si>
    <t>Lense Photo WH City</t>
  </si>
  <si>
    <t>G7X Mark II Rubber Monkey online Delivered Abdul Pending</t>
  </si>
  <si>
    <t>Sx740  Rubber Monkey online Delivered Abdul Pending</t>
  </si>
  <si>
    <t>G7X Mark II Auckland Camera centre</t>
  </si>
  <si>
    <t>Lense Auckland Camera centre</t>
  </si>
  <si>
    <t>Deposit Lense Auckland Camera centre</t>
  </si>
  <si>
    <t>Mark III photo wearhouse</t>
  </si>
  <si>
    <t>SX740 photo wearhouse</t>
  </si>
  <si>
    <t>Sx740 Harvey norman Mount Roskills Pending Collection</t>
  </si>
  <si>
    <t xml:space="preserve">V4 Standard Kit  Noel Leeming </t>
  </si>
  <si>
    <t xml:space="preserve">starlink V4 Noel Leeming </t>
  </si>
  <si>
    <t xml:space="preserve">Instax Wide 400 Noel Leeming </t>
  </si>
  <si>
    <t>PS5 Console Noel Leeming</t>
  </si>
  <si>
    <t>PS5 Controller Noel Leeming</t>
  </si>
  <si>
    <t>G7X MARK III Black Progear Pending Collection</t>
  </si>
  <si>
    <t>G7X MARK III Silver Progear Pending Collection</t>
  </si>
  <si>
    <t>Lenses Canon Progear Pending Collection</t>
  </si>
  <si>
    <t>Mark III Rubber Monkey online Pending Delivery Abdul NL</t>
  </si>
  <si>
    <t>SX740 Noel Leeming  $4000 Deposit Paid</t>
  </si>
  <si>
    <t>29/072025</t>
  </si>
  <si>
    <t>G7X MARK III Silver Auckland Camera centre</t>
  </si>
  <si>
    <t>StarLink Mini (OLD Purchsing)</t>
  </si>
  <si>
    <t>SX740 progear Deposit/ Pending Stock</t>
  </si>
  <si>
    <t>SX740 photogear Deposit/ Pending Stock</t>
  </si>
  <si>
    <t>Instax mini EVO Black Noel Leeming Pending Delivery</t>
  </si>
  <si>
    <t>G7x Mark III Black Auckland Camera</t>
  </si>
  <si>
    <t>G7x Mark III Black Photo Warehouse Online</t>
  </si>
  <si>
    <t>G7x Mark III Black Progear Online</t>
  </si>
  <si>
    <t>Starlink V4 Bunnings Manukau</t>
  </si>
  <si>
    <t>Starlink V4 Bunnings Westgate</t>
  </si>
  <si>
    <t>Starlink V4 Bunnings Mount Roskills</t>
  </si>
  <si>
    <t>Starlink V4 Bunnings New Lynn</t>
  </si>
  <si>
    <t>Starlink V4 Bunnings Glenfield</t>
  </si>
  <si>
    <t>Starlink V4 Bunnings Mt Wellington</t>
  </si>
  <si>
    <t>Starlink V4 Bunnings Botany</t>
  </si>
  <si>
    <t>Starlink V4 Bunnings North Shore</t>
  </si>
  <si>
    <t>Starlink V4 Harvey Norman Mount Roskills</t>
  </si>
  <si>
    <t>NZ Trip Expense</t>
  </si>
  <si>
    <t>Total NZ GST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</si>
</sst>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&quot;$&quot;#,##0.00"/>
    <numFmt numFmtId="166" formatCode="_-[$NZD]\ * #,##0.00_-;\-[$NZD]\ * #,##0.00_-;_-[$NZD]\ 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C00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b/>
      <sz val="11"/>
      <color theme="5" tint="-0.249977111117893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5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wrapText="1"/>
    </xf>
    <xf numFmtId="0" fontId="1" fillId="0" borderId="1" xfId="0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14" fontId="0" fillId="4" borderId="1" xfId="0" applyNumberFormat="1" applyFill="1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14" fontId="0" fillId="5" borderId="1" xfId="0" applyNumberFormat="1" applyFill="1" applyBorder="1" applyAlignment="1">
      <alignment horizontal="center"/>
    </xf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14" fontId="0" fillId="6" borderId="1" xfId="0" applyNumberFormat="1" applyFill="1" applyBorder="1" applyAlignment="1">
      <alignment horizontal="center"/>
    </xf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0" fontId="0" fillId="6" borderId="1" xfId="0" applyFill="1" applyBorder="1" applyAlignment="1">
      <alignment horizontal="left"/>
    </xf>
    <xf numFmtId="14" fontId="0" fillId="6" borderId="1" xfId="0" applyNumberFormat="1" applyFill="1" applyBorder="1"/>
    <xf numFmtId="165" fontId="0" fillId="6" borderId="1" xfId="0" applyNumberFormat="1" applyFill="1" applyBorder="1"/>
    <xf numFmtId="164" fontId="0" fillId="0" borderId="1" xfId="0" applyNumberFormat="1" applyBorder="1" applyAlignment="1">
      <alignment horizontal="center"/>
    </xf>
    <xf numFmtId="14" fontId="0" fillId="0" borderId="1" xfId="0" applyNumberFormat="1" applyBorder="1"/>
    <xf numFmtId="165" fontId="0" fillId="0" borderId="1" xfId="0" applyNumberFormat="1" applyBorder="1"/>
    <xf numFmtId="0" fontId="3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64" fontId="4" fillId="3" borderId="1" xfId="0" applyNumberFormat="1" applyFont="1" applyFill="1" applyBorder="1" applyAlignment="1">
      <alignment horizontal="center"/>
    </xf>
    <xf numFmtId="0" fontId="8" fillId="7" borderId="1" xfId="0" applyFont="1" applyFill="1" applyBorder="1"/>
    <xf numFmtId="166" fontId="9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B2D40-01C7-4E4D-B63A-0726BEE0DB86}">
  <dimension ref="A1:F116"/>
  <sheetViews>
    <sheetView tabSelected="1" topLeftCell="A91" workbookViewId="0">
      <selection activeCell="B7" sqref="B7"/>
    </sheetView>
  </sheetViews>
  <sheetFormatPr defaultRowHeight="14.4" x14ac:dyDescent="0.3"/>
  <cols>
    <col min="1" max="1" width="14.77734375" customWidth="1"/>
    <col min="2" max="2" width="55.109375" customWidth="1"/>
    <col min="4" max="4" width="11.44140625" customWidth="1"/>
    <col min="5" max="5" width="22.5546875" customWidth="1"/>
    <col min="6" max="6" width="29.6640625" customWidth="1"/>
  </cols>
  <sheetData>
    <row r="1" spans="1:6" ht="21" x14ac:dyDescent="0.4">
      <c r="A1" s="24" t="s">
        <v>0</v>
      </c>
      <c r="B1" s="24"/>
      <c r="C1" s="24"/>
      <c r="D1" s="24"/>
      <c r="E1" s="24"/>
      <c r="F1" s="24"/>
    </row>
    <row r="2" spans="1:6" ht="18" x14ac:dyDescent="0.35">
      <c r="A2" s="25" t="s">
        <v>1</v>
      </c>
      <c r="B2" s="25" t="s">
        <v>2</v>
      </c>
      <c r="C2" s="25" t="s">
        <v>3</v>
      </c>
      <c r="D2" s="25" t="s">
        <v>4</v>
      </c>
      <c r="E2" s="25" t="s">
        <v>5</v>
      </c>
      <c r="F2" s="26" t="s">
        <v>6</v>
      </c>
    </row>
    <row r="3" spans="1:6" x14ac:dyDescent="0.3">
      <c r="A3" s="1">
        <v>45672</v>
      </c>
      <c r="B3" s="2" t="s">
        <v>7</v>
      </c>
      <c r="C3" s="3">
        <v>19</v>
      </c>
      <c r="D3" s="4">
        <v>580</v>
      </c>
      <c r="E3" s="5">
        <f>D3*C3</f>
        <v>11020</v>
      </c>
      <c r="F3" s="21">
        <f>E3*13.04/100</f>
        <v>1437.0079999999998</v>
      </c>
    </row>
    <row r="4" spans="1:6" x14ac:dyDescent="0.3">
      <c r="A4" s="5"/>
      <c r="B4" s="5"/>
      <c r="C4" s="5"/>
      <c r="D4" s="5"/>
      <c r="E4" s="5">
        <f t="shared" ref="E4:E67" si="0">D4*C4</f>
        <v>0</v>
      </c>
      <c r="F4" s="21">
        <f t="shared" ref="F4:F67" si="1">E4*13.04/100</f>
        <v>0</v>
      </c>
    </row>
    <row r="5" spans="1:6" x14ac:dyDescent="0.3">
      <c r="A5" s="1">
        <v>45695</v>
      </c>
      <c r="B5" s="2" t="s">
        <v>8</v>
      </c>
      <c r="C5" s="3">
        <v>500</v>
      </c>
      <c r="D5" s="4">
        <v>630</v>
      </c>
      <c r="E5" s="5">
        <f t="shared" si="0"/>
        <v>315000</v>
      </c>
      <c r="F5" s="21">
        <f t="shared" si="1"/>
        <v>41075.999999999993</v>
      </c>
    </row>
    <row r="6" spans="1:6" x14ac:dyDescent="0.3">
      <c r="A6" s="1">
        <v>45695</v>
      </c>
      <c r="B6" s="2" t="s">
        <v>9</v>
      </c>
      <c r="C6" s="3">
        <v>150</v>
      </c>
      <c r="D6" s="4">
        <v>148</v>
      </c>
      <c r="E6" s="5">
        <f t="shared" si="0"/>
        <v>22200</v>
      </c>
      <c r="F6" s="21">
        <f t="shared" si="1"/>
        <v>2894.88</v>
      </c>
    </row>
    <row r="7" spans="1:6" x14ac:dyDescent="0.3">
      <c r="A7" s="1">
        <v>45695</v>
      </c>
      <c r="B7" s="2" t="s">
        <v>10</v>
      </c>
      <c r="C7" s="3">
        <v>50</v>
      </c>
      <c r="D7" s="4">
        <v>145</v>
      </c>
      <c r="E7" s="5">
        <f t="shared" si="0"/>
        <v>7250</v>
      </c>
      <c r="F7" s="21">
        <f t="shared" si="1"/>
        <v>945.4</v>
      </c>
    </row>
    <row r="8" spans="1:6" x14ac:dyDescent="0.3">
      <c r="A8" s="1">
        <v>45695</v>
      </c>
      <c r="B8" s="2" t="s">
        <v>11</v>
      </c>
      <c r="C8" s="3">
        <v>250</v>
      </c>
      <c r="D8" s="4">
        <v>149</v>
      </c>
      <c r="E8" s="5">
        <f t="shared" si="0"/>
        <v>37250</v>
      </c>
      <c r="F8" s="21">
        <f t="shared" si="1"/>
        <v>4857.3999999999996</v>
      </c>
    </row>
    <row r="9" spans="1:6" x14ac:dyDescent="0.3">
      <c r="A9" s="5"/>
      <c r="B9" s="6"/>
      <c r="C9" s="6"/>
      <c r="D9" s="6"/>
      <c r="E9" s="5">
        <f t="shared" si="0"/>
        <v>0</v>
      </c>
      <c r="F9" s="21">
        <f t="shared" si="1"/>
        <v>0</v>
      </c>
    </row>
    <row r="10" spans="1:6" x14ac:dyDescent="0.3">
      <c r="A10" s="1">
        <v>45705</v>
      </c>
      <c r="B10" s="2" t="s">
        <v>11</v>
      </c>
      <c r="C10" s="3">
        <v>250</v>
      </c>
      <c r="D10" s="4">
        <v>149</v>
      </c>
      <c r="E10" s="5">
        <f t="shared" si="0"/>
        <v>37250</v>
      </c>
      <c r="F10" s="21">
        <f t="shared" si="1"/>
        <v>4857.3999999999996</v>
      </c>
    </row>
    <row r="11" spans="1:6" x14ac:dyDescent="0.3">
      <c r="A11" s="5"/>
      <c r="B11" s="6"/>
      <c r="C11" s="6"/>
      <c r="D11" s="6"/>
      <c r="E11" s="5">
        <f t="shared" si="0"/>
        <v>0</v>
      </c>
      <c r="F11" s="21">
        <f t="shared" si="1"/>
        <v>0</v>
      </c>
    </row>
    <row r="12" spans="1:6" x14ac:dyDescent="0.3">
      <c r="A12" s="1">
        <v>45706</v>
      </c>
      <c r="B12" s="2" t="s">
        <v>12</v>
      </c>
      <c r="C12" s="3">
        <v>200</v>
      </c>
      <c r="D12" s="4">
        <v>549</v>
      </c>
      <c r="E12" s="5">
        <f t="shared" si="0"/>
        <v>109800</v>
      </c>
      <c r="F12" s="21">
        <f t="shared" si="1"/>
        <v>14317.92</v>
      </c>
    </row>
    <row r="13" spans="1:6" x14ac:dyDescent="0.3">
      <c r="A13" s="1">
        <v>45706</v>
      </c>
      <c r="B13" s="2" t="s">
        <v>13</v>
      </c>
      <c r="C13" s="3">
        <v>6</v>
      </c>
      <c r="D13" s="4">
        <v>145</v>
      </c>
      <c r="E13" s="5">
        <f t="shared" si="0"/>
        <v>870</v>
      </c>
      <c r="F13" s="21">
        <f t="shared" si="1"/>
        <v>113.44799999999999</v>
      </c>
    </row>
    <row r="14" spans="1:6" x14ac:dyDescent="0.3">
      <c r="A14" s="1">
        <v>45706</v>
      </c>
      <c r="B14" s="2" t="s">
        <v>14</v>
      </c>
      <c r="C14" s="3">
        <v>15</v>
      </c>
      <c r="D14" s="4">
        <v>695</v>
      </c>
      <c r="E14" s="5">
        <f t="shared" si="0"/>
        <v>10425</v>
      </c>
      <c r="F14" s="21">
        <f t="shared" si="1"/>
        <v>1359.42</v>
      </c>
    </row>
    <row r="15" spans="1:6" x14ac:dyDescent="0.3">
      <c r="A15" s="5"/>
      <c r="B15" s="6"/>
      <c r="C15" s="6"/>
      <c r="D15" s="6"/>
      <c r="E15" s="5">
        <f t="shared" si="0"/>
        <v>0</v>
      </c>
      <c r="F15" s="21">
        <f t="shared" si="1"/>
        <v>0</v>
      </c>
    </row>
    <row r="16" spans="1:6" x14ac:dyDescent="0.3">
      <c r="A16" s="7">
        <v>45727</v>
      </c>
      <c r="B16" s="8" t="s">
        <v>15</v>
      </c>
      <c r="C16" s="6">
        <v>153</v>
      </c>
      <c r="D16" s="6">
        <v>520</v>
      </c>
      <c r="E16" s="5">
        <f t="shared" si="0"/>
        <v>79560</v>
      </c>
      <c r="F16" s="21">
        <f t="shared" si="1"/>
        <v>10374.624</v>
      </c>
    </row>
    <row r="17" spans="1:6" x14ac:dyDescent="0.3">
      <c r="A17" s="7">
        <v>45727</v>
      </c>
      <c r="B17" s="8" t="s">
        <v>16</v>
      </c>
      <c r="C17" s="6">
        <v>250</v>
      </c>
      <c r="D17" s="6">
        <v>149</v>
      </c>
      <c r="E17" s="5">
        <f t="shared" si="0"/>
        <v>37250</v>
      </c>
      <c r="F17" s="21">
        <f t="shared" si="1"/>
        <v>4857.3999999999996</v>
      </c>
    </row>
    <row r="18" spans="1:6" x14ac:dyDescent="0.3">
      <c r="A18" s="5"/>
      <c r="B18" s="6"/>
      <c r="C18" s="6"/>
      <c r="D18" s="6"/>
      <c r="E18" s="5">
        <f t="shared" si="0"/>
        <v>0</v>
      </c>
      <c r="F18" s="21">
        <f t="shared" si="1"/>
        <v>0</v>
      </c>
    </row>
    <row r="19" spans="1:6" x14ac:dyDescent="0.3">
      <c r="A19" s="7">
        <v>45750</v>
      </c>
      <c r="B19" s="5" t="s">
        <v>17</v>
      </c>
      <c r="C19" s="5">
        <v>10</v>
      </c>
      <c r="D19" s="5">
        <v>759</v>
      </c>
      <c r="E19" s="5">
        <f t="shared" si="0"/>
        <v>7590</v>
      </c>
      <c r="F19" s="21">
        <f t="shared" si="1"/>
        <v>989.73599999999988</v>
      </c>
    </row>
    <row r="20" spans="1:6" x14ac:dyDescent="0.3">
      <c r="A20" s="5"/>
      <c r="B20" s="6"/>
      <c r="C20" s="6"/>
      <c r="D20" s="6"/>
      <c r="E20" s="5">
        <f t="shared" si="0"/>
        <v>0</v>
      </c>
      <c r="F20" s="21">
        <f t="shared" si="1"/>
        <v>0</v>
      </c>
    </row>
    <row r="21" spans="1:6" x14ac:dyDescent="0.3">
      <c r="A21" s="7">
        <v>45784</v>
      </c>
      <c r="B21" s="8" t="s">
        <v>18</v>
      </c>
      <c r="C21" s="5">
        <v>147</v>
      </c>
      <c r="D21" s="5">
        <v>520</v>
      </c>
      <c r="E21" s="5">
        <f t="shared" si="0"/>
        <v>76440</v>
      </c>
      <c r="F21" s="21">
        <f t="shared" si="1"/>
        <v>9967.7759999999998</v>
      </c>
    </row>
    <row r="22" spans="1:6" x14ac:dyDescent="0.3">
      <c r="A22" s="7">
        <v>45784</v>
      </c>
      <c r="B22" s="8" t="s">
        <v>19</v>
      </c>
      <c r="C22" s="5">
        <v>500</v>
      </c>
      <c r="D22" s="5">
        <v>28.99</v>
      </c>
      <c r="E22" s="5">
        <f t="shared" si="0"/>
        <v>14495</v>
      </c>
      <c r="F22" s="21">
        <f t="shared" si="1"/>
        <v>1890.1479999999999</v>
      </c>
    </row>
    <row r="23" spans="1:6" x14ac:dyDescent="0.3">
      <c r="A23" s="7">
        <v>45784</v>
      </c>
      <c r="B23" s="8" t="s">
        <v>20</v>
      </c>
      <c r="C23" s="5">
        <v>200</v>
      </c>
      <c r="D23" s="5">
        <v>328.99</v>
      </c>
      <c r="E23" s="5">
        <f t="shared" si="0"/>
        <v>65798</v>
      </c>
      <c r="F23" s="21">
        <f t="shared" si="1"/>
        <v>8580.0591999999997</v>
      </c>
    </row>
    <row r="24" spans="1:6" x14ac:dyDescent="0.3">
      <c r="A24" s="7">
        <v>45784</v>
      </c>
      <c r="B24" s="8" t="s">
        <v>21</v>
      </c>
      <c r="C24" s="5">
        <v>10</v>
      </c>
      <c r="D24" s="5">
        <v>759</v>
      </c>
      <c r="E24" s="5">
        <f t="shared" si="0"/>
        <v>7590</v>
      </c>
      <c r="F24" s="21">
        <f t="shared" si="1"/>
        <v>989.73599999999988</v>
      </c>
    </row>
    <row r="25" spans="1:6" x14ac:dyDescent="0.3">
      <c r="A25" s="7">
        <v>45784</v>
      </c>
      <c r="B25" s="8" t="s">
        <v>21</v>
      </c>
      <c r="C25" s="5">
        <v>10</v>
      </c>
      <c r="D25" s="5">
        <v>759</v>
      </c>
      <c r="E25" s="5">
        <f t="shared" si="0"/>
        <v>7590</v>
      </c>
      <c r="F25" s="21">
        <f t="shared" si="1"/>
        <v>989.73599999999988</v>
      </c>
    </row>
    <row r="26" spans="1:6" x14ac:dyDescent="0.3">
      <c r="A26" s="7">
        <v>45784</v>
      </c>
      <c r="B26" s="8" t="s">
        <v>21</v>
      </c>
      <c r="C26" s="5">
        <v>2</v>
      </c>
      <c r="D26" s="5">
        <v>759</v>
      </c>
      <c r="E26" s="5">
        <f t="shared" si="0"/>
        <v>1518</v>
      </c>
      <c r="F26" s="21">
        <f t="shared" si="1"/>
        <v>197.94719999999998</v>
      </c>
    </row>
    <row r="27" spans="1:6" x14ac:dyDescent="0.3">
      <c r="A27" s="7">
        <v>45784</v>
      </c>
      <c r="B27" s="8" t="s">
        <v>21</v>
      </c>
      <c r="C27" s="5">
        <v>2</v>
      </c>
      <c r="D27" s="5">
        <v>759</v>
      </c>
      <c r="E27" s="5">
        <f t="shared" si="0"/>
        <v>1518</v>
      </c>
      <c r="F27" s="21">
        <f t="shared" si="1"/>
        <v>197.94719999999998</v>
      </c>
    </row>
    <row r="28" spans="1:6" x14ac:dyDescent="0.3">
      <c r="A28" s="7">
        <v>45784</v>
      </c>
      <c r="B28" s="8" t="s">
        <v>21</v>
      </c>
      <c r="C28" s="5">
        <v>10</v>
      </c>
      <c r="D28" s="5">
        <v>759</v>
      </c>
      <c r="E28" s="5">
        <f t="shared" si="0"/>
        <v>7590</v>
      </c>
      <c r="F28" s="21">
        <f t="shared" si="1"/>
        <v>989.73599999999988</v>
      </c>
    </row>
    <row r="29" spans="1:6" x14ac:dyDescent="0.3">
      <c r="A29" s="7">
        <v>45784</v>
      </c>
      <c r="B29" s="8" t="s">
        <v>22</v>
      </c>
      <c r="C29" s="5">
        <v>250</v>
      </c>
      <c r="D29" s="5">
        <v>149</v>
      </c>
      <c r="E29" s="5">
        <f t="shared" si="0"/>
        <v>37250</v>
      </c>
      <c r="F29" s="21">
        <f t="shared" si="1"/>
        <v>4857.3999999999996</v>
      </c>
    </row>
    <row r="30" spans="1:6" x14ac:dyDescent="0.3">
      <c r="A30" s="7">
        <v>45784</v>
      </c>
      <c r="B30" s="8" t="s">
        <v>19</v>
      </c>
      <c r="C30" s="5">
        <v>200</v>
      </c>
      <c r="D30" s="5">
        <v>28.99</v>
      </c>
      <c r="E30" s="5">
        <f t="shared" si="0"/>
        <v>5798</v>
      </c>
      <c r="F30" s="21">
        <f t="shared" si="1"/>
        <v>756.05920000000003</v>
      </c>
    </row>
    <row r="31" spans="1:6" x14ac:dyDescent="0.3">
      <c r="A31" s="5"/>
      <c r="B31" s="6"/>
      <c r="C31" s="6"/>
      <c r="D31" s="6"/>
      <c r="E31" s="5">
        <f t="shared" si="0"/>
        <v>0</v>
      </c>
      <c r="F31" s="21">
        <f t="shared" si="1"/>
        <v>0</v>
      </c>
    </row>
    <row r="32" spans="1:6" x14ac:dyDescent="0.3">
      <c r="A32" s="5"/>
      <c r="B32" s="6"/>
      <c r="C32" s="6"/>
      <c r="D32" s="6"/>
      <c r="E32" s="5">
        <f t="shared" si="0"/>
        <v>0</v>
      </c>
      <c r="F32" s="21">
        <f t="shared" si="1"/>
        <v>0</v>
      </c>
    </row>
    <row r="33" spans="1:6" x14ac:dyDescent="0.3">
      <c r="A33" s="7">
        <v>45785</v>
      </c>
      <c r="B33" s="8" t="s">
        <v>23</v>
      </c>
      <c r="C33" s="5">
        <v>5</v>
      </c>
      <c r="D33" s="5">
        <v>755</v>
      </c>
      <c r="E33" s="5">
        <f t="shared" si="0"/>
        <v>3775</v>
      </c>
      <c r="F33" s="21">
        <f t="shared" si="1"/>
        <v>492.26</v>
      </c>
    </row>
    <row r="34" spans="1:6" x14ac:dyDescent="0.3">
      <c r="A34" s="7">
        <v>45785</v>
      </c>
      <c r="B34" s="8" t="s">
        <v>24</v>
      </c>
      <c r="C34" s="5">
        <v>5</v>
      </c>
      <c r="D34" s="5">
        <v>965</v>
      </c>
      <c r="E34" s="5">
        <f t="shared" si="0"/>
        <v>4825</v>
      </c>
      <c r="F34" s="21">
        <f t="shared" si="1"/>
        <v>629.17999999999995</v>
      </c>
    </row>
    <row r="35" spans="1:6" x14ac:dyDescent="0.3">
      <c r="A35" s="7">
        <v>45785</v>
      </c>
      <c r="B35" s="8" t="s">
        <v>25</v>
      </c>
      <c r="C35" s="5">
        <v>5</v>
      </c>
      <c r="D35" s="5">
        <v>1205</v>
      </c>
      <c r="E35" s="5">
        <f t="shared" si="0"/>
        <v>6025</v>
      </c>
      <c r="F35" s="21">
        <f>E35*13.04/100</f>
        <v>785.66</v>
      </c>
    </row>
    <row r="36" spans="1:6" x14ac:dyDescent="0.3">
      <c r="A36" s="5"/>
      <c r="B36" s="6"/>
      <c r="C36" s="6"/>
      <c r="D36" s="6"/>
      <c r="E36" s="5">
        <f t="shared" si="0"/>
        <v>0</v>
      </c>
      <c r="F36" s="21">
        <f t="shared" si="1"/>
        <v>0</v>
      </c>
    </row>
    <row r="37" spans="1:6" x14ac:dyDescent="0.3">
      <c r="A37" s="5"/>
      <c r="B37" s="6"/>
      <c r="C37" s="6"/>
      <c r="D37" s="6"/>
      <c r="E37" s="5">
        <f t="shared" si="0"/>
        <v>0</v>
      </c>
      <c r="F37" s="21">
        <f t="shared" si="1"/>
        <v>0</v>
      </c>
    </row>
    <row r="38" spans="1:6" x14ac:dyDescent="0.3">
      <c r="A38" s="7">
        <v>45805</v>
      </c>
      <c r="B38" s="8" t="s">
        <v>26</v>
      </c>
      <c r="C38" s="5">
        <v>200</v>
      </c>
      <c r="D38" s="5">
        <v>492</v>
      </c>
      <c r="E38" s="5">
        <f t="shared" si="0"/>
        <v>98400</v>
      </c>
      <c r="F38" s="21">
        <f t="shared" si="1"/>
        <v>12831.36</v>
      </c>
    </row>
    <row r="39" spans="1:6" x14ac:dyDescent="0.3">
      <c r="A39" s="7">
        <v>45805</v>
      </c>
      <c r="B39" s="8" t="s">
        <v>27</v>
      </c>
      <c r="C39" s="5">
        <v>100</v>
      </c>
      <c r="D39" s="5">
        <v>329</v>
      </c>
      <c r="E39" s="5">
        <f t="shared" si="0"/>
        <v>32900</v>
      </c>
      <c r="F39" s="21">
        <f t="shared" si="1"/>
        <v>4290.16</v>
      </c>
    </row>
    <row r="40" spans="1:6" x14ac:dyDescent="0.3">
      <c r="A40" s="7">
        <v>45805</v>
      </c>
      <c r="B40" s="8" t="s">
        <v>28</v>
      </c>
      <c r="C40" s="5">
        <v>20</v>
      </c>
      <c r="D40" s="5">
        <v>745</v>
      </c>
      <c r="E40" s="5">
        <f t="shared" si="0"/>
        <v>14900</v>
      </c>
      <c r="F40" s="21">
        <f t="shared" si="1"/>
        <v>1942.96</v>
      </c>
    </row>
    <row r="41" spans="1:6" x14ac:dyDescent="0.3">
      <c r="A41" s="5"/>
      <c r="B41" s="6"/>
      <c r="C41" s="6"/>
      <c r="D41" s="6"/>
      <c r="E41" s="5">
        <f t="shared" si="0"/>
        <v>0</v>
      </c>
      <c r="F41" s="21">
        <f t="shared" si="1"/>
        <v>0</v>
      </c>
    </row>
    <row r="42" spans="1:6" x14ac:dyDescent="0.3">
      <c r="A42" s="7">
        <v>45813</v>
      </c>
      <c r="B42" s="8" t="s">
        <v>26</v>
      </c>
      <c r="C42" s="5">
        <v>300</v>
      </c>
      <c r="D42" s="5">
        <v>492</v>
      </c>
      <c r="E42" s="5">
        <f t="shared" si="0"/>
        <v>147600</v>
      </c>
      <c r="F42" s="21">
        <f t="shared" si="1"/>
        <v>19247.039999999997</v>
      </c>
    </row>
    <row r="43" spans="1:6" x14ac:dyDescent="0.3">
      <c r="A43" s="7">
        <v>45813</v>
      </c>
      <c r="B43" s="8" t="s">
        <v>29</v>
      </c>
      <c r="C43" s="5">
        <v>250</v>
      </c>
      <c r="D43" s="5">
        <v>149</v>
      </c>
      <c r="E43" s="5">
        <f t="shared" si="0"/>
        <v>37250</v>
      </c>
      <c r="F43" s="21">
        <f t="shared" si="1"/>
        <v>4857.3999999999996</v>
      </c>
    </row>
    <row r="44" spans="1:6" x14ac:dyDescent="0.3">
      <c r="A44" s="5"/>
      <c r="B44" s="6"/>
      <c r="C44" s="6"/>
      <c r="D44" s="6"/>
      <c r="E44" s="5">
        <f t="shared" si="0"/>
        <v>0</v>
      </c>
      <c r="F44" s="21">
        <f t="shared" si="1"/>
        <v>0</v>
      </c>
    </row>
    <row r="45" spans="1:6" x14ac:dyDescent="0.3">
      <c r="A45" s="7">
        <v>45831</v>
      </c>
      <c r="B45" s="8" t="s">
        <v>30</v>
      </c>
      <c r="C45" s="5">
        <v>4</v>
      </c>
      <c r="D45" s="5">
        <v>775</v>
      </c>
      <c r="E45" s="5">
        <f t="shared" si="0"/>
        <v>3100</v>
      </c>
      <c r="F45" s="21">
        <f t="shared" si="1"/>
        <v>404.24</v>
      </c>
    </row>
    <row r="46" spans="1:6" x14ac:dyDescent="0.3">
      <c r="A46" s="5"/>
      <c r="B46" s="6"/>
      <c r="C46" s="6"/>
      <c r="D46" s="6"/>
      <c r="E46" s="5">
        <f t="shared" si="0"/>
        <v>0</v>
      </c>
      <c r="F46" s="21">
        <f t="shared" si="1"/>
        <v>0</v>
      </c>
    </row>
    <row r="47" spans="1:6" x14ac:dyDescent="0.3">
      <c r="A47" s="7">
        <v>45831</v>
      </c>
      <c r="B47" s="8" t="s">
        <v>30</v>
      </c>
      <c r="C47" s="5">
        <v>4</v>
      </c>
      <c r="D47" s="5">
        <v>775</v>
      </c>
      <c r="E47" s="5">
        <f t="shared" si="0"/>
        <v>3100</v>
      </c>
      <c r="F47" s="21">
        <f t="shared" si="1"/>
        <v>404.24</v>
      </c>
    </row>
    <row r="48" spans="1:6" x14ac:dyDescent="0.3">
      <c r="A48" s="5"/>
      <c r="B48" s="6"/>
      <c r="C48" s="6"/>
      <c r="D48" s="6"/>
      <c r="E48" s="5">
        <f t="shared" si="0"/>
        <v>0</v>
      </c>
      <c r="F48" s="21">
        <f t="shared" si="1"/>
        <v>0</v>
      </c>
    </row>
    <row r="49" spans="1:6" x14ac:dyDescent="0.3">
      <c r="A49" s="7">
        <v>45839</v>
      </c>
      <c r="B49" s="6" t="s">
        <v>31</v>
      </c>
      <c r="C49" s="5">
        <v>5</v>
      </c>
      <c r="D49" s="5">
        <v>1380</v>
      </c>
      <c r="E49" s="5">
        <f t="shared" si="0"/>
        <v>6900</v>
      </c>
      <c r="F49" s="21">
        <f t="shared" si="1"/>
        <v>899.76</v>
      </c>
    </row>
    <row r="50" spans="1:6" x14ac:dyDescent="0.3">
      <c r="A50" s="7">
        <v>45839</v>
      </c>
      <c r="B50" s="6" t="s">
        <v>32</v>
      </c>
      <c r="C50" s="5">
        <v>1</v>
      </c>
      <c r="D50" s="5">
        <v>1295</v>
      </c>
      <c r="E50" s="5">
        <f t="shared" si="0"/>
        <v>1295</v>
      </c>
      <c r="F50" s="21">
        <f t="shared" si="1"/>
        <v>168.86799999999999</v>
      </c>
    </row>
    <row r="51" spans="1:6" x14ac:dyDescent="0.3">
      <c r="A51" s="7">
        <v>45839</v>
      </c>
      <c r="B51" s="6" t="s">
        <v>33</v>
      </c>
      <c r="C51" s="5">
        <v>1</v>
      </c>
      <c r="D51" s="5">
        <v>1375</v>
      </c>
      <c r="E51" s="5">
        <f t="shared" si="0"/>
        <v>1375</v>
      </c>
      <c r="F51" s="21"/>
    </row>
    <row r="52" spans="1:6" x14ac:dyDescent="0.3">
      <c r="A52" s="7">
        <v>45839</v>
      </c>
      <c r="B52" s="6" t="s">
        <v>34</v>
      </c>
      <c r="C52" s="5">
        <v>1</v>
      </c>
      <c r="D52" s="5">
        <v>852</v>
      </c>
      <c r="E52" s="5">
        <f t="shared" si="0"/>
        <v>852</v>
      </c>
      <c r="F52" s="21">
        <f t="shared" si="1"/>
        <v>111.10079999999999</v>
      </c>
    </row>
    <row r="53" spans="1:6" x14ac:dyDescent="0.3">
      <c r="A53" s="7">
        <v>45839</v>
      </c>
      <c r="B53" s="6" t="s">
        <v>35</v>
      </c>
      <c r="C53" s="5">
        <v>4</v>
      </c>
      <c r="D53" s="5">
        <v>679</v>
      </c>
      <c r="E53" s="5">
        <f t="shared" si="0"/>
        <v>2716</v>
      </c>
      <c r="F53" s="21">
        <f t="shared" si="1"/>
        <v>354.16640000000001</v>
      </c>
    </row>
    <row r="54" spans="1:6" x14ac:dyDescent="0.3">
      <c r="A54" s="5"/>
      <c r="B54" s="5"/>
      <c r="C54" s="5"/>
      <c r="D54" s="5"/>
      <c r="E54" s="5">
        <f t="shared" si="0"/>
        <v>0</v>
      </c>
      <c r="F54" s="21">
        <f t="shared" si="1"/>
        <v>0</v>
      </c>
    </row>
    <row r="55" spans="1:6" x14ac:dyDescent="0.3">
      <c r="A55" s="7">
        <v>45840</v>
      </c>
      <c r="B55" s="6" t="s">
        <v>36</v>
      </c>
      <c r="C55" s="5">
        <v>2</v>
      </c>
      <c r="D55" s="5">
        <v>1229</v>
      </c>
      <c r="E55" s="5">
        <f t="shared" si="0"/>
        <v>2458</v>
      </c>
      <c r="F55" s="21">
        <f t="shared" si="1"/>
        <v>320.52319999999997</v>
      </c>
    </row>
    <row r="56" spans="1:6" x14ac:dyDescent="0.3">
      <c r="A56" s="7">
        <v>45840</v>
      </c>
      <c r="B56" s="6" t="s">
        <v>37</v>
      </c>
      <c r="C56" s="5">
        <v>1</v>
      </c>
      <c r="D56" s="5">
        <v>852</v>
      </c>
      <c r="E56" s="5">
        <f t="shared" si="0"/>
        <v>852</v>
      </c>
      <c r="F56" s="21">
        <f t="shared" si="1"/>
        <v>111.10079999999999</v>
      </c>
    </row>
    <row r="57" spans="1:6" x14ac:dyDescent="0.3">
      <c r="A57" s="7">
        <v>45840</v>
      </c>
      <c r="B57" s="6" t="s">
        <v>38</v>
      </c>
      <c r="C57" s="5">
        <v>3</v>
      </c>
      <c r="D57" s="5">
        <v>765.71</v>
      </c>
      <c r="E57" s="5">
        <f t="shared" si="0"/>
        <v>2297.13</v>
      </c>
      <c r="F57" s="21">
        <f t="shared" si="1"/>
        <v>299.54575199999999</v>
      </c>
    </row>
    <row r="58" spans="1:6" x14ac:dyDescent="0.3">
      <c r="A58" s="7">
        <v>45840</v>
      </c>
      <c r="B58" s="6" t="s">
        <v>39</v>
      </c>
      <c r="C58" s="5">
        <v>1</v>
      </c>
      <c r="D58" s="5">
        <v>1345</v>
      </c>
      <c r="E58" s="5">
        <f t="shared" si="0"/>
        <v>1345</v>
      </c>
      <c r="F58" s="21">
        <f t="shared" si="1"/>
        <v>175.38800000000001</v>
      </c>
    </row>
    <row r="59" spans="1:6" x14ac:dyDescent="0.3">
      <c r="A59" s="7">
        <v>45840</v>
      </c>
      <c r="B59" s="6" t="s">
        <v>38</v>
      </c>
      <c r="C59" s="5">
        <v>3</v>
      </c>
      <c r="D59" s="5">
        <v>738</v>
      </c>
      <c r="E59" s="5">
        <f t="shared" si="0"/>
        <v>2214</v>
      </c>
      <c r="F59" s="21">
        <f t="shared" si="1"/>
        <v>288.7056</v>
      </c>
    </row>
    <row r="60" spans="1:6" x14ac:dyDescent="0.3">
      <c r="A60" s="7">
        <v>45840</v>
      </c>
      <c r="B60" s="6" t="s">
        <v>40</v>
      </c>
      <c r="C60" s="5">
        <v>1</v>
      </c>
      <c r="D60" s="5">
        <v>852</v>
      </c>
      <c r="E60" s="5">
        <f t="shared" si="0"/>
        <v>852</v>
      </c>
      <c r="F60" s="21">
        <f t="shared" si="1"/>
        <v>111.10079999999999</v>
      </c>
    </row>
    <row r="61" spans="1:6" x14ac:dyDescent="0.3">
      <c r="A61" s="7">
        <v>45840</v>
      </c>
      <c r="B61" s="6" t="s">
        <v>41</v>
      </c>
      <c r="C61" s="5">
        <v>1</v>
      </c>
      <c r="D61" s="5">
        <v>775</v>
      </c>
      <c r="E61" s="5">
        <f t="shared" si="0"/>
        <v>775</v>
      </c>
      <c r="F61" s="21">
        <f t="shared" si="1"/>
        <v>101.06</v>
      </c>
    </row>
    <row r="62" spans="1:6" x14ac:dyDescent="0.3">
      <c r="A62" s="7">
        <v>45840</v>
      </c>
      <c r="B62" s="6" t="s">
        <v>42</v>
      </c>
      <c r="C62" s="5">
        <v>1</v>
      </c>
      <c r="D62" s="5">
        <v>1295</v>
      </c>
      <c r="E62" s="5">
        <f t="shared" si="0"/>
        <v>1295</v>
      </c>
      <c r="F62" s="21">
        <f t="shared" si="1"/>
        <v>168.86799999999999</v>
      </c>
    </row>
    <row r="63" spans="1:6" x14ac:dyDescent="0.3">
      <c r="A63" s="7">
        <v>45840</v>
      </c>
      <c r="B63" s="6" t="s">
        <v>43</v>
      </c>
      <c r="C63" s="5">
        <v>1</v>
      </c>
      <c r="D63" s="5">
        <v>1375</v>
      </c>
      <c r="E63" s="5">
        <f t="shared" si="0"/>
        <v>1375</v>
      </c>
      <c r="F63" s="21">
        <f t="shared" si="1"/>
        <v>179.3</v>
      </c>
    </row>
    <row r="64" spans="1:6" x14ac:dyDescent="0.3">
      <c r="A64" s="7">
        <v>45840</v>
      </c>
      <c r="B64" s="6" t="s">
        <v>44</v>
      </c>
      <c r="C64" s="5">
        <v>1</v>
      </c>
      <c r="D64" s="5">
        <v>852</v>
      </c>
      <c r="E64" s="5">
        <f t="shared" si="0"/>
        <v>852</v>
      </c>
      <c r="F64" s="21">
        <f t="shared" si="1"/>
        <v>111.10079999999999</v>
      </c>
    </row>
    <row r="65" spans="1:6" x14ac:dyDescent="0.3">
      <c r="A65" s="9">
        <v>45840</v>
      </c>
      <c r="B65" s="10" t="s">
        <v>45</v>
      </c>
      <c r="C65" s="11">
        <v>1</v>
      </c>
      <c r="D65" s="11">
        <v>1228</v>
      </c>
      <c r="E65" s="5">
        <f t="shared" si="0"/>
        <v>1228</v>
      </c>
      <c r="F65" s="21">
        <f t="shared" si="1"/>
        <v>160.13119999999998</v>
      </c>
    </row>
    <row r="66" spans="1:6" x14ac:dyDescent="0.3">
      <c r="A66" s="9">
        <v>45840</v>
      </c>
      <c r="B66" s="10" t="s">
        <v>46</v>
      </c>
      <c r="C66" s="11">
        <v>1</v>
      </c>
      <c r="D66" s="11">
        <v>750</v>
      </c>
      <c r="E66" s="5">
        <f t="shared" si="0"/>
        <v>750</v>
      </c>
      <c r="F66" s="21">
        <f t="shared" si="1"/>
        <v>97.8</v>
      </c>
    </row>
    <row r="67" spans="1:6" x14ac:dyDescent="0.3">
      <c r="A67" s="5"/>
      <c r="B67" s="5"/>
      <c r="C67" s="5"/>
      <c r="D67" s="5"/>
      <c r="E67" s="5">
        <f t="shared" si="0"/>
        <v>0</v>
      </c>
      <c r="F67" s="21">
        <f t="shared" si="1"/>
        <v>0</v>
      </c>
    </row>
    <row r="68" spans="1:6" x14ac:dyDescent="0.3">
      <c r="A68" s="7">
        <v>45841</v>
      </c>
      <c r="B68" s="6" t="s">
        <v>47</v>
      </c>
      <c r="C68" s="5">
        <v>4</v>
      </c>
      <c r="D68" s="5">
        <v>1197</v>
      </c>
      <c r="E68" s="5">
        <f t="shared" ref="E68:E115" si="2">D68*C68</f>
        <v>4788</v>
      </c>
      <c r="F68" s="21">
        <f t="shared" ref="F68:F115" si="3">E68*13.04/100</f>
        <v>624.35519999999997</v>
      </c>
    </row>
    <row r="69" spans="1:6" x14ac:dyDescent="0.3">
      <c r="A69" s="7">
        <v>45841</v>
      </c>
      <c r="B69" s="6" t="s">
        <v>48</v>
      </c>
      <c r="C69" s="5">
        <v>1</v>
      </c>
      <c r="D69" s="5">
        <v>852</v>
      </c>
      <c r="E69" s="5">
        <f t="shared" si="2"/>
        <v>852</v>
      </c>
      <c r="F69" s="21">
        <f t="shared" si="3"/>
        <v>111.10079999999999</v>
      </c>
    </row>
    <row r="70" spans="1:6" x14ac:dyDescent="0.3">
      <c r="A70" s="7">
        <v>45841</v>
      </c>
      <c r="B70" s="6" t="s">
        <v>49</v>
      </c>
      <c r="C70" s="5">
        <v>1</v>
      </c>
      <c r="D70" s="5">
        <v>338</v>
      </c>
      <c r="E70" s="5">
        <f t="shared" si="2"/>
        <v>338</v>
      </c>
      <c r="F70" s="21">
        <f t="shared" si="3"/>
        <v>44.075199999999995</v>
      </c>
    </row>
    <row r="71" spans="1:6" x14ac:dyDescent="0.3">
      <c r="A71" s="7">
        <v>45840</v>
      </c>
      <c r="B71" s="6" t="s">
        <v>50</v>
      </c>
      <c r="C71" s="5">
        <v>1</v>
      </c>
      <c r="D71" s="5">
        <v>1375</v>
      </c>
      <c r="E71" s="5">
        <f t="shared" si="2"/>
        <v>1375</v>
      </c>
      <c r="F71" s="21">
        <f t="shared" si="3"/>
        <v>179.3</v>
      </c>
    </row>
    <row r="72" spans="1:6" x14ac:dyDescent="0.3">
      <c r="A72" s="7">
        <v>45840</v>
      </c>
      <c r="B72" s="6" t="s">
        <v>51</v>
      </c>
      <c r="C72" s="5">
        <v>1</v>
      </c>
      <c r="D72" s="5">
        <v>775</v>
      </c>
      <c r="E72" s="5">
        <f t="shared" si="2"/>
        <v>775</v>
      </c>
      <c r="F72" s="21">
        <f t="shared" si="3"/>
        <v>101.06</v>
      </c>
    </row>
    <row r="73" spans="1:6" x14ac:dyDescent="0.3">
      <c r="A73" s="9">
        <v>45841</v>
      </c>
      <c r="B73" s="10" t="s">
        <v>52</v>
      </c>
      <c r="C73" s="11">
        <v>4</v>
      </c>
      <c r="D73" s="11">
        <v>766</v>
      </c>
      <c r="E73" s="5">
        <f t="shared" si="2"/>
        <v>3064</v>
      </c>
      <c r="F73" s="21">
        <f t="shared" si="3"/>
        <v>399.54559999999998</v>
      </c>
    </row>
    <row r="74" spans="1:6" x14ac:dyDescent="0.3">
      <c r="A74" s="5"/>
      <c r="B74" s="5"/>
      <c r="C74" s="5"/>
      <c r="D74" s="5"/>
      <c r="E74" s="5">
        <f t="shared" si="2"/>
        <v>0</v>
      </c>
      <c r="F74" s="21">
        <f t="shared" si="3"/>
        <v>0</v>
      </c>
    </row>
    <row r="75" spans="1:6" x14ac:dyDescent="0.3">
      <c r="A75" s="12"/>
      <c r="B75" s="13"/>
      <c r="C75" s="14"/>
      <c r="D75" s="14"/>
      <c r="E75" s="5">
        <f t="shared" si="2"/>
        <v>0</v>
      </c>
      <c r="F75" s="21">
        <f t="shared" si="3"/>
        <v>0</v>
      </c>
    </row>
    <row r="76" spans="1:6" x14ac:dyDescent="0.3">
      <c r="A76" s="7">
        <v>45844</v>
      </c>
      <c r="B76" s="6" t="s">
        <v>53</v>
      </c>
      <c r="C76" s="5">
        <v>150</v>
      </c>
      <c r="D76" s="5">
        <v>494</v>
      </c>
      <c r="E76" s="5">
        <f t="shared" si="2"/>
        <v>74100</v>
      </c>
      <c r="F76" s="21">
        <f t="shared" si="3"/>
        <v>9662.64</v>
      </c>
    </row>
    <row r="77" spans="1:6" x14ac:dyDescent="0.3">
      <c r="A77" s="12"/>
      <c r="B77" s="13"/>
      <c r="C77" s="14"/>
      <c r="D77" s="14"/>
      <c r="E77" s="5">
        <f t="shared" si="2"/>
        <v>0</v>
      </c>
      <c r="F77" s="21">
        <f t="shared" si="3"/>
        <v>0</v>
      </c>
    </row>
    <row r="78" spans="1:6" x14ac:dyDescent="0.3">
      <c r="A78" s="7">
        <v>45846</v>
      </c>
      <c r="B78" s="6" t="s">
        <v>54</v>
      </c>
      <c r="C78" s="5">
        <v>100</v>
      </c>
      <c r="D78" s="5">
        <v>494</v>
      </c>
      <c r="E78" s="5">
        <f t="shared" si="2"/>
        <v>49400</v>
      </c>
      <c r="F78" s="21">
        <f t="shared" si="3"/>
        <v>6441.76</v>
      </c>
    </row>
    <row r="79" spans="1:6" x14ac:dyDescent="0.3">
      <c r="A79" s="7">
        <v>45848</v>
      </c>
      <c r="B79" s="6" t="s">
        <v>55</v>
      </c>
      <c r="C79" s="5">
        <v>100</v>
      </c>
      <c r="D79" s="5">
        <v>229</v>
      </c>
      <c r="E79" s="5">
        <f t="shared" si="2"/>
        <v>22900</v>
      </c>
      <c r="F79" s="21">
        <f t="shared" si="3"/>
        <v>2986.16</v>
      </c>
    </row>
    <row r="80" spans="1:6" x14ac:dyDescent="0.3">
      <c r="A80" s="5"/>
      <c r="B80" s="6"/>
      <c r="C80" s="6"/>
      <c r="D80" s="6"/>
      <c r="E80" s="5">
        <f t="shared" si="2"/>
        <v>0</v>
      </c>
      <c r="F80" s="21">
        <f t="shared" si="3"/>
        <v>0</v>
      </c>
    </row>
    <row r="81" spans="1:6" x14ac:dyDescent="0.3">
      <c r="A81" s="7">
        <v>45854</v>
      </c>
      <c r="B81" s="8" t="s">
        <v>56</v>
      </c>
      <c r="C81" s="5">
        <v>200</v>
      </c>
      <c r="D81" s="5">
        <v>728</v>
      </c>
      <c r="E81" s="5">
        <f t="shared" si="2"/>
        <v>145600</v>
      </c>
      <c r="F81" s="21">
        <f t="shared" si="3"/>
        <v>18986.239999999998</v>
      </c>
    </row>
    <row r="82" spans="1:6" x14ac:dyDescent="0.3">
      <c r="A82" s="7">
        <v>45854</v>
      </c>
      <c r="B82" s="8" t="s">
        <v>57</v>
      </c>
      <c r="C82" s="5">
        <v>80</v>
      </c>
      <c r="D82" s="5">
        <v>85</v>
      </c>
      <c r="E82" s="5">
        <f t="shared" si="2"/>
        <v>6800</v>
      </c>
      <c r="F82" s="21">
        <f t="shared" si="3"/>
        <v>886.72</v>
      </c>
    </row>
    <row r="83" spans="1:6" x14ac:dyDescent="0.3">
      <c r="A83" s="5"/>
      <c r="B83" s="6"/>
      <c r="C83" s="6"/>
      <c r="D83" s="6"/>
      <c r="E83" s="5">
        <f t="shared" si="2"/>
        <v>0</v>
      </c>
      <c r="F83" s="21">
        <f t="shared" si="3"/>
        <v>0</v>
      </c>
    </row>
    <row r="84" spans="1:6" x14ac:dyDescent="0.3">
      <c r="A84" s="15">
        <v>45861</v>
      </c>
      <c r="B84" s="16" t="s">
        <v>58</v>
      </c>
      <c r="C84" s="17">
        <v>10</v>
      </c>
      <c r="D84" s="16">
        <v>1448.98</v>
      </c>
      <c r="E84" s="5">
        <f t="shared" si="2"/>
        <v>14489.8</v>
      </c>
      <c r="F84" s="21">
        <f t="shared" si="3"/>
        <v>1889.4699199999998</v>
      </c>
    </row>
    <row r="85" spans="1:6" x14ac:dyDescent="0.3">
      <c r="A85" s="15">
        <v>45862</v>
      </c>
      <c r="B85" s="16" t="s">
        <v>59</v>
      </c>
      <c r="C85" s="17">
        <v>5</v>
      </c>
      <c r="D85" s="16">
        <v>1448.98</v>
      </c>
      <c r="E85" s="5">
        <f t="shared" si="2"/>
        <v>7244.9</v>
      </c>
      <c r="F85" s="21">
        <f t="shared" si="3"/>
        <v>944.73495999999989</v>
      </c>
    </row>
    <row r="86" spans="1:6" x14ac:dyDescent="0.3">
      <c r="A86" s="15">
        <v>45863</v>
      </c>
      <c r="B86" s="16" t="s">
        <v>60</v>
      </c>
      <c r="C86" s="17">
        <v>2</v>
      </c>
      <c r="D86" s="16">
        <v>852</v>
      </c>
      <c r="E86" s="5">
        <f t="shared" si="2"/>
        <v>1704</v>
      </c>
      <c r="F86" s="21">
        <f t="shared" si="3"/>
        <v>222.20159999999998</v>
      </c>
    </row>
    <row r="87" spans="1:6" x14ac:dyDescent="0.3">
      <c r="A87" s="15">
        <v>45862</v>
      </c>
      <c r="B87" s="16" t="s">
        <v>61</v>
      </c>
      <c r="C87" s="17">
        <v>1</v>
      </c>
      <c r="D87" s="16">
        <v>1359</v>
      </c>
      <c r="E87" s="5">
        <f t="shared" si="2"/>
        <v>1359</v>
      </c>
      <c r="F87" s="21">
        <f t="shared" si="3"/>
        <v>177.21360000000001</v>
      </c>
    </row>
    <row r="88" spans="1:6" x14ac:dyDescent="0.3">
      <c r="A88" s="15">
        <v>45865</v>
      </c>
      <c r="B88" s="16" t="s">
        <v>62</v>
      </c>
      <c r="C88" s="17">
        <v>20</v>
      </c>
      <c r="D88" s="16">
        <v>720</v>
      </c>
      <c r="E88" s="5">
        <f t="shared" si="2"/>
        <v>14400</v>
      </c>
      <c r="F88" s="21">
        <f t="shared" si="3"/>
        <v>1877.76</v>
      </c>
    </row>
    <row r="89" spans="1:6" x14ac:dyDescent="0.3">
      <c r="A89" s="17" t="s">
        <v>63</v>
      </c>
      <c r="B89" s="18" t="s">
        <v>64</v>
      </c>
      <c r="C89" s="17">
        <v>1</v>
      </c>
      <c r="D89" s="17">
        <v>1359</v>
      </c>
      <c r="E89" s="5">
        <f t="shared" si="2"/>
        <v>1359</v>
      </c>
      <c r="F89" s="21">
        <f t="shared" si="3"/>
        <v>177.21360000000001</v>
      </c>
    </row>
    <row r="90" spans="1:6" x14ac:dyDescent="0.3">
      <c r="A90" s="5"/>
      <c r="B90" s="6"/>
      <c r="C90" s="6"/>
      <c r="D90" s="6"/>
      <c r="E90" s="5">
        <f t="shared" si="2"/>
        <v>0</v>
      </c>
      <c r="F90" s="21">
        <f t="shared" si="3"/>
        <v>0</v>
      </c>
    </row>
    <row r="91" spans="1:6" x14ac:dyDescent="0.3">
      <c r="A91" s="7">
        <v>45831</v>
      </c>
      <c r="B91" s="8" t="s">
        <v>65</v>
      </c>
      <c r="C91" s="5">
        <v>3</v>
      </c>
      <c r="D91" s="5">
        <v>550</v>
      </c>
      <c r="E91" s="5">
        <f t="shared" si="2"/>
        <v>1650</v>
      </c>
      <c r="F91" s="21">
        <f t="shared" si="3"/>
        <v>215.16</v>
      </c>
    </row>
    <row r="92" spans="1:6" x14ac:dyDescent="0.3">
      <c r="A92" s="15">
        <v>45864</v>
      </c>
      <c r="B92" s="16" t="s">
        <v>66</v>
      </c>
      <c r="C92" s="17">
        <v>10</v>
      </c>
      <c r="D92" s="17">
        <v>738</v>
      </c>
      <c r="E92" s="5">
        <f t="shared" si="2"/>
        <v>7380</v>
      </c>
      <c r="F92" s="21">
        <f t="shared" si="3"/>
        <v>962.35199999999998</v>
      </c>
    </row>
    <row r="93" spans="1:6" x14ac:dyDescent="0.3">
      <c r="A93" s="15">
        <v>45864</v>
      </c>
      <c r="B93" s="16" t="s">
        <v>67</v>
      </c>
      <c r="C93" s="17">
        <v>10</v>
      </c>
      <c r="D93" s="17">
        <v>738</v>
      </c>
      <c r="E93" s="5">
        <f t="shared" si="2"/>
        <v>7380</v>
      </c>
      <c r="F93" s="21">
        <f t="shared" si="3"/>
        <v>962.35199999999998</v>
      </c>
    </row>
    <row r="94" spans="1:6" x14ac:dyDescent="0.3">
      <c r="A94" s="5"/>
      <c r="B94" s="6"/>
      <c r="C94" s="6"/>
      <c r="D94" s="6"/>
      <c r="E94" s="5">
        <f t="shared" si="2"/>
        <v>0</v>
      </c>
      <c r="F94" s="21">
        <f t="shared" si="3"/>
        <v>0</v>
      </c>
    </row>
    <row r="95" spans="1:6" x14ac:dyDescent="0.3">
      <c r="A95" s="19">
        <v>45873</v>
      </c>
      <c r="B95" s="16" t="s">
        <v>68</v>
      </c>
      <c r="C95" s="16">
        <v>50</v>
      </c>
      <c r="D95" s="20">
        <v>329</v>
      </c>
      <c r="E95" s="5">
        <f t="shared" si="2"/>
        <v>16450</v>
      </c>
      <c r="F95" s="21">
        <f t="shared" si="3"/>
        <v>2145.08</v>
      </c>
    </row>
    <row r="96" spans="1:6" x14ac:dyDescent="0.3">
      <c r="A96" s="22">
        <v>45874</v>
      </c>
      <c r="B96" s="6" t="s">
        <v>69</v>
      </c>
      <c r="C96" s="6">
        <v>1</v>
      </c>
      <c r="D96" s="23">
        <v>1449</v>
      </c>
      <c r="E96" s="5">
        <f t="shared" si="2"/>
        <v>1449</v>
      </c>
      <c r="F96" s="21">
        <f t="shared" si="3"/>
        <v>188.9496</v>
      </c>
    </row>
    <row r="97" spans="1:6" x14ac:dyDescent="0.3">
      <c r="A97" s="22">
        <v>45874</v>
      </c>
      <c r="B97" s="6" t="s">
        <v>70</v>
      </c>
      <c r="C97" s="6">
        <v>1</v>
      </c>
      <c r="D97" s="23">
        <v>1449</v>
      </c>
      <c r="E97" s="5">
        <f t="shared" si="2"/>
        <v>1449</v>
      </c>
      <c r="F97" s="21">
        <f t="shared" si="3"/>
        <v>188.9496</v>
      </c>
    </row>
    <row r="98" spans="1:6" x14ac:dyDescent="0.3">
      <c r="A98" s="22">
        <v>45874</v>
      </c>
      <c r="B98" s="6" t="s">
        <v>71</v>
      </c>
      <c r="C98" s="6">
        <v>2</v>
      </c>
      <c r="D98" s="23">
        <v>1449</v>
      </c>
      <c r="E98" s="5">
        <f t="shared" si="2"/>
        <v>2898</v>
      </c>
      <c r="F98" s="21">
        <f t="shared" si="3"/>
        <v>377.89920000000001</v>
      </c>
    </row>
    <row r="99" spans="1:6" x14ac:dyDescent="0.3">
      <c r="A99" s="22">
        <v>45876</v>
      </c>
      <c r="B99" s="6" t="s">
        <v>72</v>
      </c>
      <c r="C99" s="6">
        <v>4</v>
      </c>
      <c r="D99" s="6">
        <v>299</v>
      </c>
      <c r="E99" s="5">
        <f t="shared" si="2"/>
        <v>1196</v>
      </c>
      <c r="F99" s="21">
        <f t="shared" si="3"/>
        <v>155.95839999999998</v>
      </c>
    </row>
    <row r="100" spans="1:6" x14ac:dyDescent="0.3">
      <c r="A100" s="22">
        <v>45876</v>
      </c>
      <c r="B100" s="6" t="s">
        <v>73</v>
      </c>
      <c r="C100" s="6">
        <v>2</v>
      </c>
      <c r="D100" s="6">
        <v>299</v>
      </c>
      <c r="E100" s="5">
        <f t="shared" si="2"/>
        <v>598</v>
      </c>
      <c r="F100" s="21">
        <f t="shared" si="3"/>
        <v>77.979199999999992</v>
      </c>
    </row>
    <row r="101" spans="1:6" x14ac:dyDescent="0.3">
      <c r="A101" s="22">
        <v>45876</v>
      </c>
      <c r="B101" s="6" t="s">
        <v>74</v>
      </c>
      <c r="C101" s="6">
        <v>2</v>
      </c>
      <c r="D101" s="6">
        <v>299</v>
      </c>
      <c r="E101" s="5">
        <f t="shared" si="2"/>
        <v>598</v>
      </c>
      <c r="F101" s="21">
        <f t="shared" si="3"/>
        <v>77.979199999999992</v>
      </c>
    </row>
    <row r="102" spans="1:6" x14ac:dyDescent="0.3">
      <c r="A102" s="22">
        <v>45876</v>
      </c>
      <c r="B102" s="6" t="s">
        <v>75</v>
      </c>
      <c r="C102" s="6">
        <v>7</v>
      </c>
      <c r="D102" s="6">
        <v>299</v>
      </c>
      <c r="E102" s="5">
        <f t="shared" si="2"/>
        <v>2093</v>
      </c>
      <c r="F102" s="21">
        <f t="shared" si="3"/>
        <v>272.92719999999997</v>
      </c>
    </row>
    <row r="103" spans="1:6" x14ac:dyDescent="0.3">
      <c r="A103" s="22">
        <v>45876</v>
      </c>
      <c r="B103" s="6" t="s">
        <v>76</v>
      </c>
      <c r="C103" s="6">
        <v>8</v>
      </c>
      <c r="D103" s="6">
        <v>299</v>
      </c>
      <c r="E103" s="5">
        <f t="shared" si="2"/>
        <v>2392</v>
      </c>
      <c r="F103" s="21">
        <f t="shared" si="3"/>
        <v>311.91679999999997</v>
      </c>
    </row>
    <row r="104" spans="1:6" x14ac:dyDescent="0.3">
      <c r="A104" s="22">
        <v>45876</v>
      </c>
      <c r="B104" s="6" t="s">
        <v>77</v>
      </c>
      <c r="C104" s="6">
        <v>20</v>
      </c>
      <c r="D104" s="6">
        <v>299</v>
      </c>
      <c r="E104" s="5">
        <f t="shared" si="2"/>
        <v>5980</v>
      </c>
      <c r="F104" s="21">
        <f t="shared" si="3"/>
        <v>779.79199999999992</v>
      </c>
    </row>
    <row r="105" spans="1:6" x14ac:dyDescent="0.3">
      <c r="A105" s="22">
        <v>45876</v>
      </c>
      <c r="B105" s="6" t="s">
        <v>78</v>
      </c>
      <c r="C105" s="6">
        <v>26</v>
      </c>
      <c r="D105" s="6">
        <v>299</v>
      </c>
      <c r="E105" s="5">
        <f t="shared" si="2"/>
        <v>7774</v>
      </c>
      <c r="F105" s="21">
        <f t="shared" si="3"/>
        <v>1013.7295999999999</v>
      </c>
    </row>
    <row r="106" spans="1:6" x14ac:dyDescent="0.3">
      <c r="A106" s="22">
        <v>45876</v>
      </c>
      <c r="B106" s="6" t="s">
        <v>79</v>
      </c>
      <c r="C106" s="6">
        <v>40</v>
      </c>
      <c r="D106" s="6">
        <v>299</v>
      </c>
      <c r="E106" s="5">
        <f t="shared" si="2"/>
        <v>11960</v>
      </c>
      <c r="F106" s="21">
        <f t="shared" si="3"/>
        <v>1559.5839999999998</v>
      </c>
    </row>
    <row r="107" spans="1:6" x14ac:dyDescent="0.3">
      <c r="A107" s="22">
        <v>45877</v>
      </c>
      <c r="B107" s="6" t="s">
        <v>80</v>
      </c>
      <c r="C107" s="6">
        <v>2</v>
      </c>
      <c r="D107" s="6">
        <v>299</v>
      </c>
      <c r="E107" s="5">
        <f t="shared" si="2"/>
        <v>598</v>
      </c>
      <c r="F107" s="21">
        <f t="shared" si="3"/>
        <v>77.979199999999992</v>
      </c>
    </row>
    <row r="108" spans="1:6" x14ac:dyDescent="0.3">
      <c r="A108" s="22">
        <v>45877</v>
      </c>
      <c r="B108" s="6" t="s">
        <v>81</v>
      </c>
      <c r="C108" s="6">
        <v>1</v>
      </c>
      <c r="D108" s="6">
        <v>1600</v>
      </c>
      <c r="E108" s="5">
        <f t="shared" si="2"/>
        <v>1600</v>
      </c>
      <c r="F108" s="21">
        <f t="shared" si="3"/>
        <v>208.64</v>
      </c>
    </row>
    <row r="109" spans="1:6" x14ac:dyDescent="0.3">
      <c r="A109" s="5"/>
      <c r="B109" s="6"/>
      <c r="C109" s="6"/>
      <c r="D109" s="6"/>
      <c r="E109" s="5">
        <f t="shared" si="2"/>
        <v>0</v>
      </c>
      <c r="F109" s="21">
        <f t="shared" si="3"/>
        <v>0</v>
      </c>
    </row>
    <row r="110" spans="1:6" x14ac:dyDescent="0.3">
      <c r="A110" s="5"/>
      <c r="B110" s="6"/>
      <c r="C110" s="6"/>
      <c r="D110" s="6"/>
      <c r="E110" s="5">
        <f t="shared" si="2"/>
        <v>0</v>
      </c>
      <c r="F110" s="21">
        <f t="shared" si="3"/>
        <v>0</v>
      </c>
    </row>
    <row r="111" spans="1:6" x14ac:dyDescent="0.3">
      <c r="A111" s="5"/>
      <c r="B111" s="6"/>
      <c r="C111" s="6"/>
      <c r="D111" s="6"/>
      <c r="E111" s="5">
        <f t="shared" si="2"/>
        <v>0</v>
      </c>
      <c r="F111" s="21">
        <f t="shared" si="3"/>
        <v>0</v>
      </c>
    </row>
    <row r="112" spans="1:6" x14ac:dyDescent="0.3">
      <c r="A112" s="5"/>
      <c r="B112" s="6"/>
      <c r="C112" s="6"/>
      <c r="D112" s="6"/>
      <c r="E112" s="5">
        <f t="shared" si="2"/>
        <v>0</v>
      </c>
      <c r="F112" s="21">
        <f t="shared" si="3"/>
        <v>0</v>
      </c>
    </row>
    <row r="113" spans="1:6" x14ac:dyDescent="0.3">
      <c r="A113" s="5"/>
      <c r="B113" s="6"/>
      <c r="C113" s="6"/>
      <c r="D113" s="6"/>
      <c r="E113" s="5">
        <f t="shared" si="2"/>
        <v>0</v>
      </c>
      <c r="F113" s="21">
        <f t="shared" si="3"/>
        <v>0</v>
      </c>
    </row>
    <row r="114" spans="1:6" x14ac:dyDescent="0.3">
      <c r="A114" s="5"/>
      <c r="B114" s="6"/>
      <c r="C114" s="6"/>
      <c r="D114" s="6"/>
      <c r="E114" s="5">
        <f t="shared" si="2"/>
        <v>0</v>
      </c>
      <c r="F114" s="21">
        <f t="shared" si="3"/>
        <v>0</v>
      </c>
    </row>
    <row r="115" spans="1:6" x14ac:dyDescent="0.3">
      <c r="A115" s="5"/>
      <c r="B115" s="6"/>
      <c r="C115" s="6"/>
      <c r="D115" s="6"/>
      <c r="E115" s="5">
        <f t="shared" si="2"/>
        <v>0</v>
      </c>
      <c r="F115" s="21">
        <f t="shared" si="3"/>
        <v>0</v>
      </c>
    </row>
    <row r="116" spans="1:6" ht="21" x14ac:dyDescent="0.4">
      <c r="A116" s="5"/>
      <c r="B116" s="6"/>
      <c r="C116" s="6"/>
      <c r="D116" s="6"/>
      <c r="E116" s="27" t="s">
        <v>82</v>
      </c>
      <c r="F116" s="28">
        <f>SUM(F3:F115)</f>
        <v>222328.97863199984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dell5300</dc:creator>
  <cp:lastModifiedBy>dell5300</cp:lastModifiedBy>
  <dcterms:created xsi:type="dcterms:W3CDTF">2025-08-28T13:17:00Z</dcterms:created>
  <dcterms:modified xsi:type="dcterms:W3CDTF">2025-08-28T13:21:34Z</dcterms:modified>
</cp:coreProperties>
</file>