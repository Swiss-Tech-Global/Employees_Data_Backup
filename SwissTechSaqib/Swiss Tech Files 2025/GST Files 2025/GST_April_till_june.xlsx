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GST Files 2025\"/>
    </mc:Choice>
  </mc:AlternateContent>
  <xr:revisionPtr revIDLastSave="0" documentId="13_ncr:1_{B587EB44-030E-4E4D-B16D-EFFB750BCAF8}" xr6:coauthVersionLast="47" xr6:coauthVersionMax="47" xr10:uidLastSave="{00000000-0000-0000-0000-000000000000}"/>
  <bookViews>
    <workbookView xWindow="-108" yWindow="-108" windowWidth="23256" windowHeight="13896" xr2:uid="{0613A5DA-CB95-4B59-BBC5-F357F5066E3E}"/>
  </bookViews>
  <sheets>
    <sheet name="NewZealand" sheetId="1" r:id="rId1"/>
    <sheet name="Austral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4" i="2" l="1"/>
  <c r="F274" i="2" s="1"/>
  <c r="F273" i="2"/>
  <c r="E273" i="2"/>
  <c r="E272" i="2"/>
  <c r="F272" i="2" s="1"/>
  <c r="F271" i="2"/>
  <c r="E271" i="2"/>
  <c r="E270" i="2"/>
  <c r="F270" i="2" s="1"/>
  <c r="F269" i="2"/>
  <c r="E269" i="2"/>
  <c r="E268" i="2"/>
  <c r="F268" i="2" s="1"/>
  <c r="F267" i="2"/>
  <c r="E267" i="2"/>
  <c r="E266" i="2"/>
  <c r="F266" i="2" s="1"/>
  <c r="F265" i="2"/>
  <c r="E265" i="2"/>
  <c r="E264" i="2"/>
  <c r="F264" i="2" s="1"/>
  <c r="F263" i="2"/>
  <c r="E263" i="2"/>
  <c r="E262" i="2"/>
  <c r="F262" i="2" s="1"/>
  <c r="F261" i="2"/>
  <c r="E261" i="2"/>
  <c r="E260" i="2"/>
  <c r="F260" i="2" s="1"/>
  <c r="F259" i="2"/>
  <c r="E259" i="2"/>
  <c r="E258" i="2"/>
  <c r="F258" i="2" s="1"/>
  <c r="F257" i="2"/>
  <c r="E257" i="2"/>
  <c r="E256" i="2"/>
  <c r="F256" i="2" s="1"/>
  <c r="F255" i="2"/>
  <c r="E255" i="2"/>
  <c r="E254" i="2"/>
  <c r="F254" i="2" s="1"/>
  <c r="F253" i="2"/>
  <c r="E253" i="2"/>
  <c r="E252" i="2"/>
  <c r="F252" i="2" s="1"/>
  <c r="F251" i="2"/>
  <c r="E251" i="2"/>
  <c r="E250" i="2"/>
  <c r="F250" i="2" s="1"/>
  <c r="F249" i="2"/>
  <c r="E249" i="2"/>
  <c r="E248" i="2"/>
  <c r="F248" i="2" s="1"/>
  <c r="F247" i="2"/>
  <c r="E247" i="2"/>
  <c r="E246" i="2"/>
  <c r="F246" i="2" s="1"/>
  <c r="F245" i="2"/>
  <c r="E245" i="2"/>
  <c r="E244" i="2"/>
  <c r="F244" i="2" s="1"/>
  <c r="F243" i="2"/>
  <c r="E243" i="2"/>
  <c r="E242" i="2"/>
  <c r="F242" i="2" s="1"/>
  <c r="F241" i="2"/>
  <c r="E241" i="2"/>
  <c r="E240" i="2"/>
  <c r="F240" i="2" s="1"/>
  <c r="F239" i="2"/>
  <c r="E239" i="2"/>
  <c r="E238" i="2"/>
  <c r="F238" i="2" s="1"/>
  <c r="F237" i="2"/>
  <c r="E237" i="2"/>
  <c r="E236" i="2"/>
  <c r="F236" i="2" s="1"/>
  <c r="F235" i="2"/>
  <c r="E235" i="2"/>
  <c r="E234" i="2"/>
  <c r="F234" i="2" s="1"/>
  <c r="F233" i="2"/>
  <c r="E233" i="2"/>
  <c r="E232" i="2"/>
  <c r="F232" i="2" s="1"/>
  <c r="F231" i="2"/>
  <c r="E231" i="2"/>
  <c r="E230" i="2"/>
  <c r="F230" i="2" s="1"/>
  <c r="F229" i="2"/>
  <c r="E229" i="2"/>
  <c r="E228" i="2"/>
  <c r="F228" i="2" s="1"/>
  <c r="E227" i="2"/>
  <c r="F227" i="2" s="1"/>
  <c r="E226" i="2"/>
  <c r="F226" i="2" s="1"/>
  <c r="F225" i="2"/>
  <c r="E225" i="2"/>
  <c r="E224" i="2"/>
  <c r="F224" i="2" s="1"/>
  <c r="F223" i="2"/>
  <c r="E223" i="2"/>
  <c r="E222" i="2"/>
  <c r="F222" i="2" s="1"/>
  <c r="F221" i="2"/>
  <c r="E221" i="2"/>
  <c r="E220" i="2"/>
  <c r="F220" i="2" s="1"/>
  <c r="F219" i="2"/>
  <c r="E219" i="2"/>
  <c r="E218" i="2"/>
  <c r="F218" i="2" s="1"/>
  <c r="F217" i="2"/>
  <c r="E217" i="2"/>
  <c r="E216" i="2"/>
  <c r="F216" i="2" s="1"/>
  <c r="F215" i="2"/>
  <c r="E215" i="2"/>
  <c r="E214" i="2"/>
  <c r="F214" i="2" s="1"/>
  <c r="F213" i="2"/>
  <c r="E213" i="2"/>
  <c r="E212" i="2"/>
  <c r="F212" i="2" s="1"/>
  <c r="F211" i="2"/>
  <c r="E211" i="2"/>
  <c r="E210" i="2"/>
  <c r="F210" i="2" s="1"/>
  <c r="F209" i="2"/>
  <c r="E209" i="2"/>
  <c r="E208" i="2"/>
  <c r="F208" i="2" s="1"/>
  <c r="F207" i="2"/>
  <c r="E207" i="2"/>
  <c r="E206" i="2"/>
  <c r="F206" i="2" s="1"/>
  <c r="F205" i="2"/>
  <c r="E205" i="2"/>
  <c r="E204" i="2"/>
  <c r="F204" i="2" s="1"/>
  <c r="F203" i="2"/>
  <c r="E203" i="2"/>
  <c r="E202" i="2"/>
  <c r="F202" i="2" s="1"/>
  <c r="F201" i="2"/>
  <c r="E201" i="2"/>
  <c r="E200" i="2"/>
  <c r="F200" i="2" s="1"/>
  <c r="F199" i="2"/>
  <c r="E199" i="2"/>
  <c r="E198" i="2"/>
  <c r="F198" i="2" s="1"/>
  <c r="F197" i="2"/>
  <c r="E197" i="2"/>
  <c r="E196" i="2"/>
  <c r="F196" i="2" s="1"/>
  <c r="F195" i="2"/>
  <c r="E195" i="2"/>
  <c r="E194" i="2"/>
  <c r="F194" i="2" s="1"/>
  <c r="F193" i="2"/>
  <c r="E193" i="2"/>
  <c r="E192" i="2"/>
  <c r="F192" i="2" s="1"/>
  <c r="F191" i="2"/>
  <c r="E191" i="2"/>
  <c r="E190" i="2"/>
  <c r="F190" i="2" s="1"/>
  <c r="F189" i="2"/>
  <c r="E189" i="2"/>
  <c r="E188" i="2"/>
  <c r="F188" i="2" s="1"/>
  <c r="F187" i="2"/>
  <c r="E187" i="2"/>
  <c r="E186" i="2"/>
  <c r="F186" i="2" s="1"/>
  <c r="F185" i="2"/>
  <c r="E185" i="2"/>
  <c r="E184" i="2"/>
  <c r="F184" i="2" s="1"/>
  <c r="F183" i="2"/>
  <c r="E183" i="2"/>
  <c r="E182" i="2"/>
  <c r="F182" i="2" s="1"/>
  <c r="F181" i="2"/>
  <c r="E181" i="2"/>
  <c r="E180" i="2"/>
  <c r="F180" i="2" s="1"/>
  <c r="F179" i="2"/>
  <c r="E179" i="2"/>
  <c r="E178" i="2"/>
  <c r="F178" i="2" s="1"/>
  <c r="F177" i="2"/>
  <c r="E177" i="2"/>
  <c r="E176" i="2"/>
  <c r="F176" i="2" s="1"/>
  <c r="F175" i="2"/>
  <c r="E175" i="2"/>
  <c r="E174" i="2"/>
  <c r="F174" i="2" s="1"/>
  <c r="F173" i="2"/>
  <c r="E173" i="2"/>
  <c r="E172" i="2"/>
  <c r="F172" i="2" s="1"/>
  <c r="F171" i="2"/>
  <c r="E171" i="2"/>
  <c r="E170" i="2"/>
  <c r="F170" i="2" s="1"/>
  <c r="F169" i="2"/>
  <c r="E169" i="2"/>
  <c r="E168" i="2"/>
  <c r="F168" i="2" s="1"/>
  <c r="F167" i="2"/>
  <c r="E167" i="2"/>
  <c r="E166" i="2"/>
  <c r="F166" i="2" s="1"/>
  <c r="E165" i="2"/>
  <c r="F165" i="2" s="1"/>
  <c r="E164" i="2"/>
  <c r="F164" i="2" s="1"/>
  <c r="F163" i="2"/>
  <c r="E163" i="2"/>
  <c r="E162" i="2"/>
  <c r="F162" i="2" s="1"/>
  <c r="F161" i="2"/>
  <c r="E161" i="2"/>
  <c r="E160" i="2"/>
  <c r="F160" i="2" s="1"/>
  <c r="F159" i="2"/>
  <c r="E159" i="2"/>
  <c r="E158" i="2"/>
  <c r="F158" i="2" s="1"/>
  <c r="F157" i="2"/>
  <c r="E157" i="2"/>
  <c r="E156" i="2"/>
  <c r="F156" i="2" s="1"/>
  <c r="F155" i="2"/>
  <c r="E155" i="2"/>
  <c r="E154" i="2"/>
  <c r="F154" i="2" s="1"/>
  <c r="F153" i="2"/>
  <c r="E153" i="2"/>
  <c r="E152" i="2"/>
  <c r="F152" i="2" s="1"/>
  <c r="F151" i="2"/>
  <c r="E151" i="2"/>
  <c r="E150" i="2"/>
  <c r="F150" i="2" s="1"/>
  <c r="F149" i="2"/>
  <c r="E149" i="2"/>
  <c r="E148" i="2"/>
  <c r="F148" i="2" s="1"/>
  <c r="F147" i="2"/>
  <c r="E147" i="2"/>
  <c r="E146" i="2"/>
  <c r="F146" i="2" s="1"/>
  <c r="F145" i="2"/>
  <c r="E145" i="2"/>
  <c r="E144" i="2"/>
  <c r="F144" i="2" s="1"/>
  <c r="F143" i="2"/>
  <c r="E143" i="2"/>
  <c r="E142" i="2"/>
  <c r="F142" i="2" s="1"/>
  <c r="F141" i="2"/>
  <c r="E141" i="2"/>
  <c r="E140" i="2"/>
  <c r="F140" i="2" s="1"/>
  <c r="F139" i="2"/>
  <c r="E139" i="2"/>
  <c r="E138" i="2"/>
  <c r="F138" i="2" s="1"/>
  <c r="F137" i="2"/>
  <c r="E137" i="2"/>
  <c r="E136" i="2"/>
  <c r="F136" i="2" s="1"/>
  <c r="F135" i="2"/>
  <c r="E135" i="2"/>
  <c r="E134" i="2"/>
  <c r="F134" i="2" s="1"/>
  <c r="F133" i="2"/>
  <c r="E133" i="2"/>
  <c r="E132" i="2"/>
  <c r="F132" i="2" s="1"/>
  <c r="F131" i="2"/>
  <c r="E131" i="2"/>
  <c r="E130" i="2"/>
  <c r="F130" i="2" s="1"/>
  <c r="F129" i="2"/>
  <c r="E129" i="2"/>
  <c r="E128" i="2"/>
  <c r="F128" i="2" s="1"/>
  <c r="F127" i="2"/>
  <c r="E127" i="2"/>
  <c r="E126" i="2"/>
  <c r="F126" i="2" s="1"/>
  <c r="F125" i="2"/>
  <c r="E125" i="2"/>
  <c r="E124" i="2"/>
  <c r="F124" i="2" s="1"/>
  <c r="F123" i="2"/>
  <c r="E123" i="2"/>
  <c r="E122" i="2"/>
  <c r="F122" i="2" s="1"/>
  <c r="F121" i="2"/>
  <c r="E121" i="2"/>
  <c r="E120" i="2"/>
  <c r="F120" i="2" s="1"/>
  <c r="F119" i="2"/>
  <c r="E119" i="2"/>
  <c r="E118" i="2"/>
  <c r="F118" i="2" s="1"/>
  <c r="F117" i="2"/>
  <c r="E117" i="2"/>
  <c r="E116" i="2"/>
  <c r="F116" i="2" s="1"/>
  <c r="F115" i="2"/>
  <c r="E115" i="2"/>
  <c r="E114" i="2"/>
  <c r="F114" i="2" s="1"/>
  <c r="F113" i="2"/>
  <c r="E113" i="2"/>
  <c r="E112" i="2"/>
  <c r="F112" i="2" s="1"/>
  <c r="F111" i="2"/>
  <c r="E111" i="2"/>
  <c r="E110" i="2"/>
  <c r="F110" i="2" s="1"/>
  <c r="F109" i="2"/>
  <c r="E109" i="2"/>
  <c r="E108" i="2"/>
  <c r="F108" i="2" s="1"/>
  <c r="F107" i="2"/>
  <c r="E107" i="2"/>
  <c r="E106" i="2"/>
  <c r="F106" i="2" s="1"/>
  <c r="F105" i="2"/>
  <c r="E105" i="2"/>
  <c r="E104" i="2"/>
  <c r="F104" i="2" s="1"/>
  <c r="F103" i="2"/>
  <c r="E103" i="2"/>
  <c r="E102" i="2"/>
  <c r="F102" i="2" s="1"/>
  <c r="F101" i="2"/>
  <c r="E101" i="2"/>
  <c r="E100" i="2"/>
  <c r="F100" i="2" s="1"/>
  <c r="F99" i="2"/>
  <c r="E99" i="2"/>
  <c r="E98" i="2"/>
  <c r="F98" i="2" s="1"/>
  <c r="F97" i="2"/>
  <c r="E97" i="2"/>
  <c r="E96" i="2"/>
  <c r="F96" i="2" s="1"/>
  <c r="F95" i="2"/>
  <c r="E95" i="2"/>
  <c r="E94" i="2"/>
  <c r="F94" i="2" s="1"/>
  <c r="F93" i="2"/>
  <c r="E93" i="2"/>
  <c r="E92" i="2"/>
  <c r="F92" i="2" s="1"/>
  <c r="F91" i="2"/>
  <c r="E91" i="2"/>
  <c r="E90" i="2"/>
  <c r="F90" i="2" s="1"/>
  <c r="F89" i="2"/>
  <c r="E89" i="2"/>
  <c r="E88" i="2"/>
  <c r="F88" i="2" s="1"/>
  <c r="F87" i="2"/>
  <c r="E87" i="2"/>
  <c r="E86" i="2"/>
  <c r="F86" i="2" s="1"/>
  <c r="F85" i="2"/>
  <c r="E85" i="2"/>
  <c r="E84" i="2"/>
  <c r="F84" i="2" s="1"/>
  <c r="F83" i="2"/>
  <c r="E83" i="2"/>
  <c r="E82" i="2"/>
  <c r="F82" i="2" s="1"/>
  <c r="F81" i="2"/>
  <c r="E81" i="2"/>
  <c r="E80" i="2"/>
  <c r="F80" i="2" s="1"/>
  <c r="F79" i="2"/>
  <c r="E79" i="2"/>
  <c r="E78" i="2"/>
  <c r="F78" i="2" s="1"/>
  <c r="F77" i="2"/>
  <c r="E77" i="2"/>
  <c r="E76" i="2"/>
  <c r="F76" i="2" s="1"/>
  <c r="F75" i="2"/>
  <c r="E75" i="2"/>
  <c r="E74" i="2"/>
  <c r="F74" i="2" s="1"/>
  <c r="F73" i="2"/>
  <c r="E73" i="2"/>
  <c r="E72" i="2"/>
  <c r="F72" i="2" s="1"/>
  <c r="F71" i="2"/>
  <c r="E71" i="2"/>
  <c r="E70" i="2"/>
  <c r="F70" i="2" s="1"/>
  <c r="F69" i="2"/>
  <c r="E69" i="2"/>
  <c r="E68" i="2"/>
  <c r="F68" i="2" s="1"/>
  <c r="F67" i="2"/>
  <c r="E67" i="2"/>
  <c r="E66" i="2"/>
  <c r="F66" i="2" s="1"/>
  <c r="F65" i="2"/>
  <c r="E65" i="2"/>
  <c r="E64" i="2"/>
  <c r="F64" i="2" s="1"/>
  <c r="F63" i="2"/>
  <c r="E63" i="2"/>
  <c r="E62" i="2"/>
  <c r="F62" i="2" s="1"/>
  <c r="F61" i="2"/>
  <c r="E61" i="2"/>
  <c r="E60" i="2"/>
  <c r="F60" i="2" s="1"/>
  <c r="F59" i="2"/>
  <c r="E59" i="2"/>
  <c r="E58" i="2"/>
  <c r="F58" i="2" s="1"/>
  <c r="F57" i="2"/>
  <c r="E57" i="2"/>
  <c r="E56" i="2"/>
  <c r="F56" i="2" s="1"/>
  <c r="F55" i="2"/>
  <c r="E55" i="2"/>
  <c r="E54" i="2"/>
  <c r="F54" i="2" s="1"/>
  <c r="F53" i="2"/>
  <c r="E53" i="2"/>
  <c r="E52" i="2"/>
  <c r="F52" i="2" s="1"/>
  <c r="F51" i="2"/>
  <c r="E51" i="2"/>
  <c r="E50" i="2"/>
  <c r="F50" i="2" s="1"/>
  <c r="F49" i="2"/>
  <c r="E49" i="2"/>
  <c r="E48" i="2"/>
  <c r="F48" i="2" s="1"/>
  <c r="F47" i="2"/>
  <c r="E47" i="2"/>
  <c r="E46" i="2"/>
  <c r="F46" i="2" s="1"/>
  <c r="F45" i="2"/>
  <c r="E45" i="2"/>
  <c r="E44" i="2"/>
  <c r="F44" i="2" s="1"/>
  <c r="F43" i="2"/>
  <c r="E43" i="2"/>
  <c r="E42" i="2"/>
  <c r="F42" i="2" s="1"/>
  <c r="F41" i="2"/>
  <c r="E41" i="2"/>
  <c r="E40" i="2"/>
  <c r="F40" i="2" s="1"/>
  <c r="F39" i="2"/>
  <c r="E39" i="2"/>
  <c r="E38" i="2"/>
  <c r="F38" i="2" s="1"/>
  <c r="F37" i="2"/>
  <c r="E37" i="2"/>
  <c r="E36" i="2"/>
  <c r="F36" i="2" s="1"/>
  <c r="F35" i="2"/>
  <c r="E35" i="2"/>
  <c r="E34" i="2"/>
  <c r="F34" i="2" s="1"/>
  <c r="F33" i="2"/>
  <c r="E33" i="2"/>
  <c r="E32" i="2"/>
  <c r="F32" i="2" s="1"/>
  <c r="F31" i="2"/>
  <c r="E31" i="2"/>
  <c r="E30" i="2"/>
  <c r="F30" i="2" s="1"/>
  <c r="F29" i="2"/>
  <c r="E29" i="2"/>
  <c r="E28" i="2"/>
  <c r="F28" i="2" s="1"/>
  <c r="F27" i="2"/>
  <c r="E27" i="2"/>
  <c r="E26" i="2"/>
  <c r="F26" i="2" s="1"/>
  <c r="F25" i="2"/>
  <c r="E25" i="2"/>
  <c r="E24" i="2"/>
  <c r="F24" i="2" s="1"/>
  <c r="F23" i="2"/>
  <c r="E23" i="2"/>
  <c r="E22" i="2"/>
  <c r="F22" i="2" s="1"/>
  <c r="F21" i="2"/>
  <c r="E21" i="2"/>
  <c r="E20" i="2"/>
  <c r="F20" i="2" s="1"/>
  <c r="F19" i="2"/>
  <c r="E19" i="2"/>
  <c r="E18" i="2"/>
  <c r="F18" i="2" s="1"/>
  <c r="F17" i="2"/>
  <c r="E17" i="2"/>
  <c r="E16" i="2"/>
  <c r="F16" i="2" s="1"/>
  <c r="F15" i="2"/>
  <c r="E15" i="2"/>
  <c r="E14" i="2"/>
  <c r="F14" i="2" s="1"/>
  <c r="F13" i="2"/>
  <c r="E13" i="2"/>
  <c r="E12" i="2"/>
  <c r="F12" i="2" s="1"/>
  <c r="F11" i="2"/>
  <c r="E11" i="2"/>
  <c r="E10" i="2"/>
  <c r="F10" i="2" s="1"/>
  <c r="F9" i="2"/>
  <c r="E9" i="2"/>
  <c r="E8" i="2"/>
  <c r="F8" i="2" s="1"/>
  <c r="F7" i="2"/>
  <c r="E7" i="2"/>
  <c r="E6" i="2"/>
  <c r="F6" i="2" s="1"/>
  <c r="F5" i="2"/>
  <c r="E5" i="2"/>
  <c r="E4" i="2"/>
  <c r="F4" i="2" s="1"/>
  <c r="F3" i="2"/>
  <c r="E3" i="2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F30" i="1" s="1"/>
  <c r="F276" i="2" l="1"/>
</calcChain>
</file>

<file path=xl/sharedStrings.xml><?xml version="1.0" encoding="utf-8"?>
<sst xmlns="http://schemas.openxmlformats.org/spreadsheetml/2006/main" count="226" uniqueCount="191">
  <si>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</si>
  <si>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</si>
  <si>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</si>
  <si>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</si>
  <si>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</si>
  <si>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</si>
  <si>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</si>
  <si>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>10 PS5 Purchased in NZ $759</t>
  </si>
  <si>
    <t>Starlink V4 Noel Leeming</t>
  </si>
  <si>
    <t>Instax Flim 20 pack Noel Leeming</t>
  </si>
  <si>
    <t>Instax Mini Evo Noel Leeming</t>
  </si>
  <si>
    <t>PS5 Astrobot Noel Leeming</t>
  </si>
  <si>
    <t>Google Tv Streamer Noel Leeming</t>
  </si>
  <si>
    <t>Canon Camera Noel Leeming</t>
  </si>
  <si>
    <t>Osmo Pocket 3 Noel Leeming</t>
  </si>
  <si>
    <t>Osmo Pocket 3 Creator Combo Noel Leeming</t>
  </si>
  <si>
    <t xml:space="preserve">Starlink V4 200 * $492 </t>
  </si>
  <si>
    <t>Mini EVO 100 * $329</t>
  </si>
  <si>
    <t>Canon 740 qty 10* $745</t>
  </si>
  <si>
    <t xml:space="preserve">Starlink V4  * $492 </t>
  </si>
  <si>
    <t>Google Streamer 250 * $149</t>
  </si>
  <si>
    <t>TOTAL</t>
  </si>
  <si>
    <t xml:space="preserve">Australia  </t>
  </si>
  <si>
    <t>Per/Unit  (AUD)</t>
  </si>
  <si>
    <t>Total (AUD)</t>
  </si>
  <si>
    <t>Macbook Air 13 M4 24/512 Sky Blue Office Works Nothmead Collected</t>
  </si>
  <si>
    <t>Macbook Pro 14" 16/1TB Space Black Office Works Auburn Pending</t>
  </si>
  <si>
    <t>Macbook Pro 14" 16/1TB Space Black Office Works Nothmead Pending</t>
  </si>
  <si>
    <t>Macbook Air 13 M4 24/512 Sky Blue Office Works Castle Hills Pending</t>
  </si>
  <si>
    <t>Macbook Air 13 M4 24/512 Space Black Office Works Castle Hills Pending</t>
  </si>
  <si>
    <t>Macbook Air 13 M4 24/512 Sky Blue Office Works Hornsby Pending</t>
  </si>
  <si>
    <t>Macbook Air 13 M4 24/512 Space Black Office Works Hornsby Pending</t>
  </si>
  <si>
    <t>Instax Mini 99 Bundle JB HIFI Hornsby Collected</t>
  </si>
  <si>
    <t>Ps5 Astro Bot JB HIFI Hornsby Castle Hills Pending</t>
  </si>
  <si>
    <t>Meta Quest 3 512 GB JB HIFI Hornsby Castle Hills Pending</t>
  </si>
  <si>
    <t>Macbook Air 13 M4 24/512 Sky Blue  JB HIFI Hornsby Collected</t>
  </si>
  <si>
    <t>Macbook Air 13 M4 24/512 Sky Blue  Office Works Auburn Pending</t>
  </si>
  <si>
    <t>Macbook Air 13 M4 24/512 Space Black  Office Works Auburn Pending</t>
  </si>
  <si>
    <t>Norton Antivirus Collected</t>
  </si>
  <si>
    <t>Meta Quest 3 512 JBHIFI Castle Hills</t>
  </si>
  <si>
    <t>PS5 EB Games Online Pending Collection</t>
  </si>
  <si>
    <t xml:space="preserve"> Instax Mini 12 Good Guys </t>
  </si>
  <si>
    <t>Mac Book Pro M4 14" 16/512 Silver Good Guys Pending Collection Bankstown</t>
  </si>
  <si>
    <t>Mac Book Air 13" M4 24/512 Space Black Office Works Punchbowl</t>
  </si>
  <si>
    <t>Mac Book Air 13" M4 24/512 Sky Blue</t>
  </si>
  <si>
    <t>PS5 Hard drive</t>
  </si>
  <si>
    <t>Mac Book Air 15" M4 24/512 Sky Blue</t>
  </si>
  <si>
    <t>6 Macbook Air 24/512 Office Works (extra Piece purchasing)</t>
  </si>
  <si>
    <t>PS5 Astrobot with CD game Big W Merrylands</t>
  </si>
  <si>
    <t>Mac Book Air 15" M3 24/512 Starlight Costco Online</t>
  </si>
  <si>
    <t>Mac Book Air 15" M3 24/512 Silver Costco Online</t>
  </si>
  <si>
    <t>Mac Book Air 15" M3 24/512 Midnight Costco Online</t>
  </si>
  <si>
    <t>Mac Book Air 15" M4 24/512 Sky Blue Costco Online</t>
  </si>
  <si>
    <t>Meta Quest 3S 128 JBHIFI Bankstown</t>
  </si>
  <si>
    <t>PS5 Astrobot with CD game JBHIFI Bankstown</t>
  </si>
  <si>
    <t>PS5 Astrobot with CD game Big W Bansktown</t>
  </si>
  <si>
    <t>PS5 Astrobot with CD game Big W Winston Hills</t>
  </si>
  <si>
    <t>Mac Book Air 15" 24/512 Sky Blue Costco Online</t>
  </si>
  <si>
    <t>Mac Book Air 15" 24/512 Midnight Costco Online</t>
  </si>
  <si>
    <t>Macbook Air M4 13" 24/512 Midnight</t>
  </si>
  <si>
    <t>Macbook Air M4 13" 24/512 Sky Blue</t>
  </si>
  <si>
    <t>PS5 Astrobot Bundle No CD</t>
  </si>
  <si>
    <t>Play Station Portal Black</t>
  </si>
  <si>
    <t>Macbook Air M4 13" 24/512 Silver</t>
  </si>
  <si>
    <t>Macbook Air M4 15" 24/512 Midnight</t>
  </si>
  <si>
    <t>Macbook Air M4 15" 24/512 Sky Blue</t>
  </si>
  <si>
    <t>Instax Mini 40</t>
  </si>
  <si>
    <t>Dragon Age Game CD</t>
  </si>
  <si>
    <t>Macbook Air M4 15" 24/512 Silver</t>
  </si>
  <si>
    <t>PS5 Astrobot with CD game</t>
  </si>
  <si>
    <t>DJI Osmo Pocket 3</t>
  </si>
  <si>
    <t>Instax mini EVO</t>
  </si>
  <si>
    <t>Instax Mini 12</t>
  </si>
  <si>
    <t>Instax Film 20 Pack</t>
  </si>
  <si>
    <t>Macbook Air M3 13" 24/512 Midnight</t>
  </si>
  <si>
    <t xml:space="preserve">Instax Li Play Mix </t>
  </si>
  <si>
    <t>Instax Li Play Pink</t>
  </si>
  <si>
    <t>DJI Mavic Pro RC (10% Gift Card + $200 Gift Card)</t>
  </si>
  <si>
    <t>DJI Mavic Pro RC Combo (10% Gift Card + $200 Gift Card)</t>
  </si>
  <si>
    <t>PS5 with CD Big W Online Rockdale cd Pending</t>
  </si>
  <si>
    <t>Macbook Air M4 15" 24/512 Starlinght Costco Online Pending Delivery</t>
  </si>
  <si>
    <t>Macbook Air M4 15" 24/512 Silver Costco Online Pending Delivery</t>
  </si>
  <si>
    <t>Macbook Air M4 13" 24/512 Sky Blue Costco Online Pending Delivery</t>
  </si>
  <si>
    <t>Meta RW4010 Transitins glasses Sunglass Hut Bankstown</t>
  </si>
  <si>
    <t>Mini Evo Good Guys Auburn</t>
  </si>
  <si>
    <t>20 PK film paper Good Guys Auburn</t>
  </si>
  <si>
    <t>Osmo Action 5 pro Adventure Good Guys Auburn Pending Collection</t>
  </si>
  <si>
    <t>Osmo Pocket 3 Good Guys Auburn Pending Collection</t>
  </si>
  <si>
    <t>Osmo Mobile 7 P Good Guys Auburn Pending Collection</t>
  </si>
  <si>
    <t>RW4006  EYE CONCEPTS MerryLands</t>
  </si>
  <si>
    <t>RW4008 EYE CONCEPTS MerryLands</t>
  </si>
  <si>
    <t>RW4010 Transitions OPSM Parramatta</t>
  </si>
  <si>
    <t>RW4008 Transitions OPSM Parramatta</t>
  </si>
  <si>
    <t>RW 4008 Transitions Sunglass Hut Parramatta</t>
  </si>
  <si>
    <t>RW4006 Sunglass Hut Parramatta</t>
  </si>
  <si>
    <t>RW4010 Transitions Sunglass Hut Parramatta</t>
  </si>
  <si>
    <t>RW4006 Transitions Sunglass Hut Parramatta</t>
  </si>
  <si>
    <t>Meta RaybanTransitions Mix  Myer Sydney</t>
  </si>
  <si>
    <t>RW4006 Matte Dusty Blue  Myer Online Pending Delivery</t>
  </si>
  <si>
    <t>Osmo 7P  Good Guys Castle Hills</t>
  </si>
  <si>
    <t>DJI Mavic Pro3 RC Harvey Norman Castle Hills ($1200 Gift Card )</t>
  </si>
  <si>
    <t>Instax Film 20 Pack Harvey Norman Castle Hills</t>
  </si>
  <si>
    <t>Meta RaybanTransitions Mix  Sunglass Hut Castle Towers</t>
  </si>
  <si>
    <t>RW4006 Matte Dusty Blue 53 David Jones Castle hills</t>
  </si>
  <si>
    <t>Meta RaybanTransitions Mix  Myer Castle Hills</t>
  </si>
  <si>
    <t>Meta RaybanTransitions Mix  OPSM Castle Hills</t>
  </si>
  <si>
    <t>Macbook Air M4 13" 24/512 Sky Blue Costco Online</t>
  </si>
  <si>
    <t>Macbook Air M4 13" 24/512 MidnightCostco Online</t>
  </si>
  <si>
    <t>Airpods 4 ANC Office Works West Ryde</t>
  </si>
  <si>
    <t>Instac Mini12  Camera House Drummy One</t>
  </si>
  <si>
    <t>DJI Mavic Pro 3 RC Harvey Norman North Ryde</t>
  </si>
  <si>
    <t>DJI Mavic Pro 3 RC COMBO Harvey Norman North Ryde</t>
  </si>
  <si>
    <t>Macbook Air M4 15" 24/512 Sky Blue JB HIFI Top Macquare park</t>
  </si>
  <si>
    <t>Macbook Air M4 13" 24/512 Sky Blue JB HIFI Top Macquare park</t>
  </si>
  <si>
    <t>Airpods 4 ANC Office Works Aubrum</t>
  </si>
  <si>
    <t>Instac Mini12   Office Works Aubrum</t>
  </si>
  <si>
    <t>DJI Mavic 3 Pro RC Harvey Norman Morre Park</t>
  </si>
  <si>
    <t>DJI Mavic 3 Pro RC Combo Harvey Norman Morre Park</t>
  </si>
  <si>
    <t>Meta Ryban Transitions Harvey Norman Morre Park</t>
  </si>
  <si>
    <t>Instax film wide 10pk Harvey Norman Morre Park</t>
  </si>
  <si>
    <t>Instax film wide 20pk Harvey Norman Morre Park</t>
  </si>
  <si>
    <t>Instax film Square 10 PK Harvey Norman Morre Park</t>
  </si>
  <si>
    <t>Instax film Square 10 PK Black  Harvey Norman Morre Park</t>
  </si>
  <si>
    <t>Instax film Square 10 PK Monochorome Harvey Norman Morre Park</t>
  </si>
  <si>
    <t>Instax film Square 10 PK star Illuminate Harvey Norman Morre Park</t>
  </si>
  <si>
    <t>Instax film Square 10 PK star sunset Harvey Norman Morre Park</t>
  </si>
  <si>
    <t>Instax film Square 10 PK star Rainbow Harvey Norman Morre Park</t>
  </si>
  <si>
    <t>Intax mini link 3 Harvey Norman Morre Park</t>
  </si>
  <si>
    <t>instax Liplay Harvey Norman Morre Park</t>
  </si>
  <si>
    <t>Osmo Mobile 7 P Harvey Norman Morre Park</t>
  </si>
  <si>
    <t>Instax mini EVO  Harvey Norman Morre Park</t>
  </si>
  <si>
    <t>Meta Ryban Transitions  Harvey Norman Alexandria</t>
  </si>
  <si>
    <t>DJI Mavic 3 Pro RC Combo Harvey Norman Alexandria</t>
  </si>
  <si>
    <t>Macbook Air M4 13" 24/512 Sky Blue JBHIFI Moore Park</t>
  </si>
  <si>
    <t>Meta Ryban Transitions Harvey Norman Broadway</t>
  </si>
  <si>
    <t>DJI Mavic 3 Pro RC Combo Harvey Norman Blacktown</t>
  </si>
  <si>
    <t>DJI Mavic 3 Pro RC  Harvey Norman Blacktown</t>
  </si>
  <si>
    <t>DJI Mavic 3 Pro RC Combo Harvey Norman Liverpool</t>
  </si>
  <si>
    <t>DJI Mavic 3 Pro RC  Harvey Norman Liverpool</t>
  </si>
  <si>
    <t>Meta Ryban Transitions Harvey Norman Liverpool</t>
  </si>
  <si>
    <t xml:space="preserve">MacBook Air 13 M4 24/512 GB </t>
  </si>
  <si>
    <t>17-april shipment extra piece shipped but not purcahses at that time</t>
  </si>
  <si>
    <t>Told by waheed bhai to purchase 4 units on April 29, 2025</t>
  </si>
  <si>
    <t>Meta Rayban Transitions  Sunglass Hutt BanksTown</t>
  </si>
  <si>
    <t>RW4006 Matte Dusty Blue 50 - Sunglass Hutt Castle Hills</t>
  </si>
  <si>
    <t>Transitions Graphite Green - Sunglass Hutt Castle Hills</t>
  </si>
  <si>
    <t>RW4006 Matte Dusty Blue 50 - OPSM Castle Hills</t>
  </si>
  <si>
    <t>Wayfarer Shiny Black Clear 4006 - JBHIFI Castle hills</t>
  </si>
  <si>
    <t>Transitions Graphite Green Myer Parramatta</t>
  </si>
  <si>
    <t>Transitions Graphite Green JBHIFI Broadway</t>
  </si>
  <si>
    <t>Transitions mix Sunglass Hutt Parramatta</t>
  </si>
  <si>
    <t>Transitions Graphite Green Myer Macquarie Park</t>
  </si>
  <si>
    <t>Canon GX70 Digi Direct</t>
  </si>
  <si>
    <t>Canon SX740  Harvey norman Moore Park</t>
  </si>
  <si>
    <t>DJI Mavic 4 Pro RC Combo  Harvey norman Moore Park</t>
  </si>
  <si>
    <t>DJI Mavic 3 Pro RC Combo  Harvey norman Moore Park</t>
  </si>
  <si>
    <t>DJI Mavic 3 Pro RC  Harvey norman Moore Park</t>
  </si>
  <si>
    <t>Instax mini 12   Office Works Castle Hills</t>
  </si>
  <si>
    <t>DJI Mic 2  JBHIFI Merrylands</t>
  </si>
  <si>
    <t>DJI Mic 2   JBHIFI Castle hills</t>
  </si>
  <si>
    <t>Meta Transitions Wayfarer Sunglass Hutt Castle Hills</t>
  </si>
  <si>
    <t>Rayban Wayfarer   Sunglass Hutt Castle Hills</t>
  </si>
  <si>
    <t>DJI Mic 2  JBHIFI Castle hills</t>
  </si>
  <si>
    <t>Canon SX740  JB HIFI Parramatta</t>
  </si>
  <si>
    <t>DJI MIC 2   JB HIFI Parramatta</t>
  </si>
  <si>
    <t>DJI MIC 2  JB HIFI Macquarie Park</t>
  </si>
  <si>
    <t>DJI MIC 2 MobilieCiti</t>
  </si>
  <si>
    <t>Osmo Pocket 3 Combo  MobilieCiti</t>
  </si>
  <si>
    <t>Osmo Pocket 3 Combo  DJI Macquarie</t>
  </si>
  <si>
    <t>DJI MIC 2    DJI Macquarie</t>
  </si>
  <si>
    <t>Osmo Pocket 3 Combo Harvey Norman Moorepark</t>
  </si>
  <si>
    <t>Osmo Pocket 3  Harvey Norman Moorepark</t>
  </si>
  <si>
    <t>Canon SX740 Harvey Norman Moorepark</t>
  </si>
  <si>
    <t>DJI Mic 2 Harvey Norman Moorepark</t>
  </si>
  <si>
    <t>Mavic 4 Pro Harvey Norman Moorepark</t>
  </si>
  <si>
    <t>Mavic 4 Pro combo Harvey Norman Moorepark</t>
  </si>
  <si>
    <t>Mavic 3 Pro Harvey Norman Moorepark</t>
  </si>
  <si>
    <t>Mavic 3 Pro combo Harvey Norman Moorepark</t>
  </si>
  <si>
    <t>Mavic 4 Pro combo Harvey Norman Broadway</t>
  </si>
  <si>
    <t>Mavic 4 Pro Harvey Norman Broadway</t>
  </si>
  <si>
    <t>PS5 Console COSTCO</t>
  </si>
  <si>
    <t>PS5 Controller COSTCO</t>
  </si>
  <si>
    <t>PS5 Console EB Games Merrylands Pending Collection</t>
  </si>
  <si>
    <t>PS5 Console JBHIFI Parramatta</t>
  </si>
  <si>
    <t>PS5 Console EB Games Parramatta</t>
  </si>
  <si>
    <t>Canon SX740 Digi Direct Parramatta</t>
  </si>
  <si>
    <t>GM II Lense Digi Direct Parramatta Pending Collection</t>
  </si>
  <si>
    <t>PS5 Console EB Games Bankstown</t>
  </si>
  <si>
    <t>PS5 Console JBHIFI Bankstown Pending Collection Merrylands</t>
  </si>
  <si>
    <t>DJI Mic 2 Mobile Citi</t>
  </si>
  <si>
    <t>DJI Mic 2 Dual Microphone Combo (refund)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</si>
</sst>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AUD]\ * #,##0.00_);_([$AUD]\ * \(#,##0.00\);_([$AUD]\ * &quot;-&quot;??_);_(@_)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14" fontId="0" fillId="5" borderId="1" xfId="0" applyNumberFormat="1" applyFill="1" applyBorder="1"/>
    <xf numFmtId="166" fontId="0" fillId="0" borderId="1" xfId="0" applyNumberFormat="1" applyBorder="1"/>
    <xf numFmtId="0" fontId="0" fillId="5" borderId="1" xfId="0" applyFill="1" applyBorder="1"/>
    <xf numFmtId="166" fontId="0" fillId="5" borderId="1" xfId="0" applyNumberFormat="1" applyFill="1" applyBorder="1"/>
    <xf numFmtId="166" fontId="0" fillId="0" borderId="1" xfId="0" applyNumberFormat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0" fontId="0" fillId="6" borderId="1" xfId="0" applyFill="1" applyBorder="1"/>
    <xf numFmtId="14" fontId="0" fillId="5" borderId="3" xfId="0" applyNumberFormat="1" applyFill="1" applyBorder="1" applyAlignment="1">
      <alignment horizont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166" fontId="0" fillId="5" borderId="3" xfId="0" applyNumberFormat="1" applyFill="1" applyBorder="1"/>
    <xf numFmtId="0" fontId="0" fillId="7" borderId="1" xfId="0" applyFill="1" applyBorder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D7B3-0D57-4B64-A773-801333A36744}">
  <dimension ref="A1:F31"/>
  <sheetViews>
    <sheetView tabSelected="1" zoomScale="86" zoomScaleNormal="86" workbookViewId="0">
      <selection activeCell="N16" sqref="N16"/>
    </sheetView>
  </sheetViews>
  <sheetFormatPr defaultRowHeight="14.4" x14ac:dyDescent="0.3"/>
  <cols>
    <col min="1" max="1" width="17.44140625" customWidth="1"/>
    <col min="2" max="2" width="62.5546875" customWidth="1"/>
    <col min="6" max="6" width="17.77734375" customWidth="1"/>
  </cols>
  <sheetData>
    <row r="1" spans="1:6" ht="21" x14ac:dyDescent="0.4">
      <c r="A1" s="41" t="s">
        <v>0</v>
      </c>
      <c r="B1" s="41"/>
      <c r="C1" s="41"/>
      <c r="D1" s="41"/>
      <c r="E1" s="41"/>
      <c r="F1" s="41"/>
    </row>
    <row r="2" spans="1:6" ht="1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</row>
    <row r="3" spans="1:6" x14ac:dyDescent="0.3">
      <c r="A3" s="3">
        <v>45750</v>
      </c>
      <c r="B3" s="4" t="s">
        <v>7</v>
      </c>
      <c r="C3" s="4">
        <v>10</v>
      </c>
      <c r="D3" s="4">
        <v>759</v>
      </c>
      <c r="E3" s="5">
        <f t="shared" ref="E3:E28" si="0">D3*C3</f>
        <v>7590</v>
      </c>
      <c r="F3" s="6">
        <f t="shared" ref="F3:F28" si="1">E3*13.04/100</f>
        <v>989.73599999999988</v>
      </c>
    </row>
    <row r="4" spans="1:6" x14ac:dyDescent="0.3">
      <c r="A4" s="7"/>
      <c r="B4" s="7"/>
      <c r="C4" s="7"/>
      <c r="D4" s="7"/>
      <c r="E4" s="5">
        <f t="shared" si="0"/>
        <v>0</v>
      </c>
      <c r="F4" s="6">
        <f t="shared" si="1"/>
        <v>0</v>
      </c>
    </row>
    <row r="5" spans="1:6" x14ac:dyDescent="0.3">
      <c r="A5" s="3">
        <v>45784</v>
      </c>
      <c r="B5" s="8" t="s">
        <v>8</v>
      </c>
      <c r="C5" s="4">
        <v>147</v>
      </c>
      <c r="D5" s="4">
        <v>520</v>
      </c>
      <c r="E5" s="5">
        <f t="shared" si="0"/>
        <v>76440</v>
      </c>
      <c r="F5" s="6">
        <f t="shared" si="1"/>
        <v>9967.7759999999998</v>
      </c>
    </row>
    <row r="6" spans="1:6" x14ac:dyDescent="0.3">
      <c r="A6" s="3">
        <v>45784</v>
      </c>
      <c r="B6" s="8" t="s">
        <v>9</v>
      </c>
      <c r="C6" s="4">
        <v>500</v>
      </c>
      <c r="D6" s="4">
        <v>28.99</v>
      </c>
      <c r="E6" s="5">
        <f t="shared" si="0"/>
        <v>14495</v>
      </c>
      <c r="F6" s="6">
        <f t="shared" si="1"/>
        <v>1890.1479999999999</v>
      </c>
    </row>
    <row r="7" spans="1:6" x14ac:dyDescent="0.3">
      <c r="A7" s="3">
        <v>45784</v>
      </c>
      <c r="B7" s="8" t="s">
        <v>10</v>
      </c>
      <c r="C7" s="4">
        <v>200</v>
      </c>
      <c r="D7" s="4">
        <v>328.99</v>
      </c>
      <c r="E7" s="5">
        <f t="shared" si="0"/>
        <v>65798</v>
      </c>
      <c r="F7" s="6">
        <f t="shared" si="1"/>
        <v>8580.0591999999997</v>
      </c>
    </row>
    <row r="8" spans="1:6" x14ac:dyDescent="0.3">
      <c r="A8" s="3">
        <v>45784</v>
      </c>
      <c r="B8" s="8" t="s">
        <v>11</v>
      </c>
      <c r="C8" s="4">
        <v>10</v>
      </c>
      <c r="D8" s="4">
        <v>759</v>
      </c>
      <c r="E8" s="5">
        <f t="shared" si="0"/>
        <v>7590</v>
      </c>
      <c r="F8" s="6">
        <f t="shared" si="1"/>
        <v>989.73599999999988</v>
      </c>
    </row>
    <row r="9" spans="1:6" x14ac:dyDescent="0.3">
      <c r="A9" s="3">
        <v>45784</v>
      </c>
      <c r="B9" s="8" t="s">
        <v>11</v>
      </c>
      <c r="C9" s="4">
        <v>10</v>
      </c>
      <c r="D9" s="4">
        <v>759</v>
      </c>
      <c r="E9" s="5">
        <f t="shared" si="0"/>
        <v>7590</v>
      </c>
      <c r="F9" s="6">
        <f t="shared" si="1"/>
        <v>989.73599999999988</v>
      </c>
    </row>
    <row r="10" spans="1:6" x14ac:dyDescent="0.3">
      <c r="A10" s="3">
        <v>45784</v>
      </c>
      <c r="B10" s="8" t="s">
        <v>11</v>
      </c>
      <c r="C10" s="4">
        <v>2</v>
      </c>
      <c r="D10" s="4">
        <v>759</v>
      </c>
      <c r="E10" s="5">
        <f t="shared" si="0"/>
        <v>1518</v>
      </c>
      <c r="F10" s="6">
        <f t="shared" si="1"/>
        <v>197.94719999999998</v>
      </c>
    </row>
    <row r="11" spans="1:6" x14ac:dyDescent="0.3">
      <c r="A11" s="3">
        <v>45784</v>
      </c>
      <c r="B11" s="8" t="s">
        <v>11</v>
      </c>
      <c r="C11" s="4">
        <v>2</v>
      </c>
      <c r="D11" s="4">
        <v>759</v>
      </c>
      <c r="E11" s="5">
        <f t="shared" si="0"/>
        <v>1518</v>
      </c>
      <c r="F11" s="6">
        <f t="shared" si="1"/>
        <v>197.94719999999998</v>
      </c>
    </row>
    <row r="12" spans="1:6" x14ac:dyDescent="0.3">
      <c r="A12" s="3">
        <v>45784</v>
      </c>
      <c r="B12" s="8" t="s">
        <v>11</v>
      </c>
      <c r="C12" s="4">
        <v>10</v>
      </c>
      <c r="D12" s="4">
        <v>759</v>
      </c>
      <c r="E12" s="5">
        <f t="shared" si="0"/>
        <v>7590</v>
      </c>
      <c r="F12" s="6">
        <f t="shared" si="1"/>
        <v>989.73599999999988</v>
      </c>
    </row>
    <row r="13" spans="1:6" x14ac:dyDescent="0.3">
      <c r="A13" s="3">
        <v>45784</v>
      </c>
      <c r="B13" s="8" t="s">
        <v>12</v>
      </c>
      <c r="C13" s="4">
        <v>250</v>
      </c>
      <c r="D13" s="4">
        <v>149</v>
      </c>
      <c r="E13" s="5">
        <f t="shared" si="0"/>
        <v>37250</v>
      </c>
      <c r="F13" s="6">
        <f t="shared" si="1"/>
        <v>4857.3999999999996</v>
      </c>
    </row>
    <row r="14" spans="1:6" x14ac:dyDescent="0.3">
      <c r="A14" s="3">
        <v>45784</v>
      </c>
      <c r="B14" s="8" t="s">
        <v>9</v>
      </c>
      <c r="C14" s="4">
        <v>200</v>
      </c>
      <c r="D14" s="4">
        <v>28.99</v>
      </c>
      <c r="E14" s="5">
        <f t="shared" si="0"/>
        <v>5798</v>
      </c>
      <c r="F14" s="6">
        <f t="shared" si="1"/>
        <v>756.05920000000003</v>
      </c>
    </row>
    <row r="15" spans="1:6" x14ac:dyDescent="0.3">
      <c r="A15" s="9"/>
      <c r="B15" s="9"/>
      <c r="C15" s="9"/>
      <c r="D15" s="9"/>
      <c r="E15" s="10">
        <f t="shared" si="0"/>
        <v>0</v>
      </c>
      <c r="F15" s="6">
        <f t="shared" si="1"/>
        <v>0</v>
      </c>
    </row>
    <row r="16" spans="1:6" x14ac:dyDescent="0.3">
      <c r="A16" s="7"/>
      <c r="B16" s="7"/>
      <c r="C16" s="7"/>
      <c r="D16" s="7"/>
      <c r="E16" s="4">
        <f t="shared" si="0"/>
        <v>0</v>
      </c>
      <c r="F16" s="11">
        <f t="shared" si="1"/>
        <v>0</v>
      </c>
    </row>
    <row r="17" spans="1:6" x14ac:dyDescent="0.3">
      <c r="A17" s="3">
        <v>45785</v>
      </c>
      <c r="B17" s="8" t="s">
        <v>13</v>
      </c>
      <c r="C17" s="4">
        <v>5</v>
      </c>
      <c r="D17" s="4">
        <v>755</v>
      </c>
      <c r="E17" s="4">
        <f t="shared" si="0"/>
        <v>3775</v>
      </c>
      <c r="F17" s="11">
        <f t="shared" si="1"/>
        <v>492.26</v>
      </c>
    </row>
    <row r="18" spans="1:6" x14ac:dyDescent="0.3">
      <c r="A18" s="3">
        <v>45785</v>
      </c>
      <c r="B18" s="8" t="s">
        <v>14</v>
      </c>
      <c r="C18" s="4">
        <v>5</v>
      </c>
      <c r="D18" s="4">
        <v>965</v>
      </c>
      <c r="E18" s="4">
        <f t="shared" si="0"/>
        <v>4825</v>
      </c>
      <c r="F18" s="11">
        <f t="shared" si="1"/>
        <v>629.17999999999995</v>
      </c>
    </row>
    <row r="19" spans="1:6" x14ac:dyDescent="0.3">
      <c r="A19" s="3">
        <v>45785</v>
      </c>
      <c r="B19" s="8" t="s">
        <v>15</v>
      </c>
      <c r="C19" s="4">
        <v>5</v>
      </c>
      <c r="D19" s="4">
        <v>1205</v>
      </c>
      <c r="E19" s="4">
        <f t="shared" si="0"/>
        <v>6025</v>
      </c>
      <c r="F19" s="11">
        <f t="shared" si="1"/>
        <v>785.66</v>
      </c>
    </row>
    <row r="20" spans="1:6" x14ac:dyDescent="0.3">
      <c r="A20" s="7"/>
      <c r="B20" s="7"/>
      <c r="C20" s="7"/>
      <c r="D20" s="7"/>
      <c r="E20" s="4">
        <f t="shared" si="0"/>
        <v>0</v>
      </c>
      <c r="F20" s="11">
        <f t="shared" si="1"/>
        <v>0</v>
      </c>
    </row>
    <row r="21" spans="1:6" x14ac:dyDescent="0.3">
      <c r="A21" s="7"/>
      <c r="B21" s="7"/>
      <c r="C21" s="7"/>
      <c r="D21" s="7"/>
      <c r="E21" s="4">
        <f t="shared" si="0"/>
        <v>0</v>
      </c>
      <c r="F21" s="11">
        <f t="shared" si="1"/>
        <v>0</v>
      </c>
    </row>
    <row r="22" spans="1:6" x14ac:dyDescent="0.3">
      <c r="A22" s="3">
        <v>45805</v>
      </c>
      <c r="B22" s="8" t="s">
        <v>16</v>
      </c>
      <c r="C22" s="4">
        <v>200</v>
      </c>
      <c r="D22" s="4">
        <v>492</v>
      </c>
      <c r="E22" s="4">
        <f t="shared" si="0"/>
        <v>98400</v>
      </c>
      <c r="F22" s="11">
        <f t="shared" si="1"/>
        <v>12831.36</v>
      </c>
    </row>
    <row r="23" spans="1:6" x14ac:dyDescent="0.3">
      <c r="A23" s="3">
        <v>45805</v>
      </c>
      <c r="B23" s="8" t="s">
        <v>17</v>
      </c>
      <c r="C23" s="4">
        <v>100</v>
      </c>
      <c r="D23" s="4">
        <v>329</v>
      </c>
      <c r="E23" s="4">
        <f t="shared" si="0"/>
        <v>32900</v>
      </c>
      <c r="F23" s="11">
        <f t="shared" si="1"/>
        <v>4290.16</v>
      </c>
    </row>
    <row r="24" spans="1:6" x14ac:dyDescent="0.3">
      <c r="A24" s="3">
        <v>45805</v>
      </c>
      <c r="B24" s="8" t="s">
        <v>18</v>
      </c>
      <c r="C24" s="4">
        <v>20</v>
      </c>
      <c r="D24" s="4">
        <v>745</v>
      </c>
      <c r="E24" s="4">
        <f t="shared" si="0"/>
        <v>14900</v>
      </c>
      <c r="F24" s="11">
        <f t="shared" si="1"/>
        <v>1942.96</v>
      </c>
    </row>
    <row r="25" spans="1:6" x14ac:dyDescent="0.3">
      <c r="A25" s="7"/>
      <c r="B25" s="7"/>
      <c r="C25" s="7"/>
      <c r="D25" s="7"/>
      <c r="E25" s="4">
        <f t="shared" si="0"/>
        <v>0</v>
      </c>
      <c r="F25" s="11">
        <f t="shared" si="1"/>
        <v>0</v>
      </c>
    </row>
    <row r="26" spans="1:6" x14ac:dyDescent="0.3">
      <c r="A26" s="3">
        <v>45813</v>
      </c>
      <c r="B26" s="8" t="s">
        <v>19</v>
      </c>
      <c r="C26" s="4">
        <v>300</v>
      </c>
      <c r="D26" s="4">
        <v>492</v>
      </c>
      <c r="E26" s="4">
        <f t="shared" si="0"/>
        <v>147600</v>
      </c>
      <c r="F26" s="11">
        <f t="shared" si="1"/>
        <v>19247.039999999997</v>
      </c>
    </row>
    <row r="27" spans="1:6" x14ac:dyDescent="0.3">
      <c r="A27" s="3">
        <v>45813</v>
      </c>
      <c r="B27" s="8" t="s">
        <v>20</v>
      </c>
      <c r="C27" s="4">
        <v>250</v>
      </c>
      <c r="D27" s="4">
        <v>149</v>
      </c>
      <c r="E27" s="4">
        <f t="shared" si="0"/>
        <v>37250</v>
      </c>
      <c r="F27" s="11">
        <f t="shared" si="1"/>
        <v>4857.3999999999996</v>
      </c>
    </row>
    <row r="28" spans="1:6" x14ac:dyDescent="0.3">
      <c r="A28" s="7"/>
      <c r="B28" s="7"/>
      <c r="C28" s="7"/>
      <c r="D28" s="7"/>
      <c r="E28" s="4">
        <f t="shared" si="0"/>
        <v>0</v>
      </c>
      <c r="F28" s="11">
        <f t="shared" si="1"/>
        <v>0</v>
      </c>
    </row>
    <row r="29" spans="1:6" x14ac:dyDescent="0.3">
      <c r="F29" s="12"/>
    </row>
    <row r="30" spans="1:6" x14ac:dyDescent="0.3">
      <c r="E30" t="s">
        <v>21</v>
      </c>
      <c r="F30" s="12">
        <f>SUM(F3:F29)</f>
        <v>75482.300799999997</v>
      </c>
    </row>
    <row r="31" spans="1:6" x14ac:dyDescent="0.3">
      <c r="F31" s="1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D68C-22A9-4387-BFBF-5C76604DA2A0}">
  <dimension ref="A1:F276"/>
  <sheetViews>
    <sheetView topLeftCell="A224" workbookViewId="0">
      <selection activeCell="I264" sqref="I264"/>
    </sheetView>
  </sheetViews>
  <sheetFormatPr defaultRowHeight="14.4" x14ac:dyDescent="0.3"/>
  <cols>
    <col min="1" max="1" width="19.33203125" customWidth="1"/>
    <col min="2" max="2" width="55.21875" customWidth="1"/>
    <col min="3" max="3" width="9.33203125" customWidth="1"/>
    <col min="4" max="4" width="23.77734375" customWidth="1"/>
    <col min="5" max="5" width="20.109375" customWidth="1"/>
    <col min="6" max="6" width="33.21875" customWidth="1"/>
  </cols>
  <sheetData>
    <row r="1" spans="1:6" ht="21" x14ac:dyDescent="0.4">
      <c r="A1" s="41" t="s">
        <v>22</v>
      </c>
      <c r="B1" s="41"/>
      <c r="C1" s="41"/>
      <c r="D1" s="41"/>
      <c r="E1" s="41"/>
      <c r="F1" s="41"/>
    </row>
    <row r="2" spans="1:6" ht="18" x14ac:dyDescent="0.35">
      <c r="A2" s="13" t="s">
        <v>1</v>
      </c>
      <c r="B2" s="13" t="s">
        <v>2</v>
      </c>
      <c r="C2" s="14" t="s">
        <v>3</v>
      </c>
      <c r="D2" s="13" t="s">
        <v>23</v>
      </c>
      <c r="E2" s="13" t="s">
        <v>24</v>
      </c>
      <c r="F2" s="15" t="s">
        <v>6</v>
      </c>
    </row>
    <row r="3" spans="1:6" x14ac:dyDescent="0.3">
      <c r="A3" s="16">
        <v>45748</v>
      </c>
      <c r="B3" s="17" t="s">
        <v>25</v>
      </c>
      <c r="C3" s="18">
        <v>2</v>
      </c>
      <c r="D3" s="18">
        <v>2089.4899999999998</v>
      </c>
      <c r="E3" s="4">
        <f t="shared" ref="E3:E66" si="0">D3*C3</f>
        <v>4178.9799999999996</v>
      </c>
      <c r="F3" s="19">
        <f t="shared" ref="F3:F66" si="1">E3/11</f>
        <v>379.9072727272727</v>
      </c>
    </row>
    <row r="4" spans="1:6" x14ac:dyDescent="0.3">
      <c r="A4" s="20">
        <v>45748</v>
      </c>
      <c r="B4" s="21" t="s">
        <v>26</v>
      </c>
      <c r="C4" s="22">
        <v>2</v>
      </c>
      <c r="D4" s="22">
        <v>2460.4899999999998</v>
      </c>
      <c r="E4" s="4">
        <f t="shared" si="0"/>
        <v>4920.9799999999996</v>
      </c>
      <c r="F4" s="19">
        <f t="shared" si="1"/>
        <v>447.36181818181814</v>
      </c>
    </row>
    <row r="5" spans="1:6" x14ac:dyDescent="0.3">
      <c r="A5" s="4"/>
      <c r="B5" s="8"/>
      <c r="C5" s="4"/>
      <c r="D5" s="4"/>
      <c r="E5" s="4">
        <f t="shared" si="0"/>
        <v>0</v>
      </c>
      <c r="F5" s="19">
        <f t="shared" si="1"/>
        <v>0</v>
      </c>
    </row>
    <row r="6" spans="1:6" x14ac:dyDescent="0.3">
      <c r="A6" s="20">
        <v>45749</v>
      </c>
      <c r="B6" s="21" t="s">
        <v>27</v>
      </c>
      <c r="C6" s="22">
        <v>2</v>
      </c>
      <c r="D6" s="22">
        <v>2517.4899999999998</v>
      </c>
      <c r="E6" s="4">
        <f t="shared" si="0"/>
        <v>5034.9799999999996</v>
      </c>
      <c r="F6" s="19">
        <f t="shared" si="1"/>
        <v>457.72545454545451</v>
      </c>
    </row>
    <row r="7" spans="1:6" x14ac:dyDescent="0.3">
      <c r="A7" s="20">
        <v>45749</v>
      </c>
      <c r="B7" s="21" t="s">
        <v>28</v>
      </c>
      <c r="C7" s="22">
        <v>2</v>
      </c>
      <c r="D7" s="22">
        <v>2089.4899999999998</v>
      </c>
      <c r="E7" s="4">
        <f t="shared" si="0"/>
        <v>4178.9799999999996</v>
      </c>
      <c r="F7" s="19">
        <f t="shared" si="1"/>
        <v>379.9072727272727</v>
      </c>
    </row>
    <row r="8" spans="1:6" x14ac:dyDescent="0.3">
      <c r="A8" s="20">
        <v>45749</v>
      </c>
      <c r="B8" s="21" t="s">
        <v>29</v>
      </c>
      <c r="C8" s="22">
        <v>2</v>
      </c>
      <c r="D8" s="22">
        <v>2089.4899999999998</v>
      </c>
      <c r="E8" s="4">
        <f t="shared" si="0"/>
        <v>4178.9799999999996</v>
      </c>
      <c r="F8" s="19">
        <f t="shared" si="1"/>
        <v>379.9072727272727</v>
      </c>
    </row>
    <row r="9" spans="1:6" x14ac:dyDescent="0.3">
      <c r="A9" s="20">
        <v>45749</v>
      </c>
      <c r="B9" s="21" t="s">
        <v>30</v>
      </c>
      <c r="C9" s="22">
        <v>1</v>
      </c>
      <c r="D9" s="22">
        <v>2089.9899999999998</v>
      </c>
      <c r="E9" s="4">
        <f t="shared" si="0"/>
        <v>2089.9899999999998</v>
      </c>
      <c r="F9" s="19">
        <f t="shared" si="1"/>
        <v>189.99909090909088</v>
      </c>
    </row>
    <row r="10" spans="1:6" x14ac:dyDescent="0.3">
      <c r="A10" s="20">
        <v>45749</v>
      </c>
      <c r="B10" s="21" t="s">
        <v>31</v>
      </c>
      <c r="C10" s="22">
        <v>1</v>
      </c>
      <c r="D10" s="22">
        <v>2089.9899999999998</v>
      </c>
      <c r="E10" s="4">
        <f t="shared" si="0"/>
        <v>2089.9899999999998</v>
      </c>
      <c r="F10" s="19">
        <f t="shared" si="1"/>
        <v>189.99909090909088</v>
      </c>
    </row>
    <row r="11" spans="1:6" x14ac:dyDescent="0.3">
      <c r="A11" s="4"/>
      <c r="B11" s="4"/>
      <c r="C11" s="4"/>
      <c r="D11" s="4"/>
      <c r="E11" s="4">
        <f t="shared" si="0"/>
        <v>0</v>
      </c>
      <c r="F11" s="19">
        <f t="shared" si="1"/>
        <v>0</v>
      </c>
    </row>
    <row r="12" spans="1:6" x14ac:dyDescent="0.3">
      <c r="A12" s="16">
        <v>45749</v>
      </c>
      <c r="B12" s="18" t="s">
        <v>32</v>
      </c>
      <c r="C12" s="18">
        <v>8</v>
      </c>
      <c r="D12" s="18">
        <v>229</v>
      </c>
      <c r="E12" s="4">
        <f t="shared" si="0"/>
        <v>1832</v>
      </c>
      <c r="F12" s="19">
        <f t="shared" si="1"/>
        <v>166.54545454545453</v>
      </c>
    </row>
    <row r="13" spans="1:6" x14ac:dyDescent="0.3">
      <c r="A13" s="20">
        <v>45749</v>
      </c>
      <c r="B13" s="22" t="s">
        <v>33</v>
      </c>
      <c r="C13" s="22">
        <v>1</v>
      </c>
      <c r="D13" s="22">
        <v>699</v>
      </c>
      <c r="E13" s="4">
        <f t="shared" si="0"/>
        <v>699</v>
      </c>
      <c r="F13" s="19">
        <f t="shared" si="1"/>
        <v>63.545454545454547</v>
      </c>
    </row>
    <row r="14" spans="1:6" x14ac:dyDescent="0.3">
      <c r="A14" s="20">
        <v>45749</v>
      </c>
      <c r="B14" s="22" t="s">
        <v>34</v>
      </c>
      <c r="C14" s="22">
        <v>1</v>
      </c>
      <c r="D14" s="22">
        <v>799</v>
      </c>
      <c r="E14" s="4">
        <f t="shared" si="0"/>
        <v>799</v>
      </c>
      <c r="F14" s="19">
        <f t="shared" si="1"/>
        <v>72.63636363636364</v>
      </c>
    </row>
    <row r="15" spans="1:6" x14ac:dyDescent="0.3">
      <c r="A15" s="4"/>
      <c r="B15" s="4"/>
      <c r="C15" s="4"/>
      <c r="D15" s="4"/>
      <c r="E15" s="4">
        <f t="shared" si="0"/>
        <v>0</v>
      </c>
      <c r="F15" s="19">
        <f t="shared" si="1"/>
        <v>0</v>
      </c>
    </row>
    <row r="16" spans="1:6" x14ac:dyDescent="0.3">
      <c r="A16" s="16">
        <v>45749</v>
      </c>
      <c r="B16" s="17" t="s">
        <v>35</v>
      </c>
      <c r="C16" s="18">
        <v>1</v>
      </c>
      <c r="D16" s="18">
        <v>2149</v>
      </c>
      <c r="E16" s="4">
        <f t="shared" si="0"/>
        <v>2149</v>
      </c>
      <c r="F16" s="19">
        <f t="shared" si="1"/>
        <v>195.36363636363637</v>
      </c>
    </row>
    <row r="17" spans="1:6" x14ac:dyDescent="0.3">
      <c r="A17" s="3"/>
      <c r="B17" s="8"/>
      <c r="C17" s="4"/>
      <c r="D17" s="4"/>
      <c r="E17" s="4">
        <f t="shared" si="0"/>
        <v>0</v>
      </c>
      <c r="F17" s="19">
        <f t="shared" si="1"/>
        <v>0</v>
      </c>
    </row>
    <row r="18" spans="1:6" x14ac:dyDescent="0.3">
      <c r="A18" s="3"/>
      <c r="B18" s="8"/>
      <c r="C18" s="4"/>
      <c r="D18" s="4"/>
      <c r="E18" s="4">
        <f t="shared" si="0"/>
        <v>0</v>
      </c>
      <c r="F18" s="19">
        <f t="shared" si="1"/>
        <v>0</v>
      </c>
    </row>
    <row r="19" spans="1:6" x14ac:dyDescent="0.3">
      <c r="A19" s="20">
        <v>45749</v>
      </c>
      <c r="B19" s="21" t="s">
        <v>36</v>
      </c>
      <c r="C19" s="22">
        <v>1</v>
      </c>
      <c r="D19" s="22">
        <v>2089.9899999999998</v>
      </c>
      <c r="E19" s="4">
        <f t="shared" si="0"/>
        <v>2089.9899999999998</v>
      </c>
      <c r="F19" s="19">
        <f t="shared" si="1"/>
        <v>189.99909090909088</v>
      </c>
    </row>
    <row r="20" spans="1:6" x14ac:dyDescent="0.3">
      <c r="A20" s="20">
        <v>45749</v>
      </c>
      <c r="B20" s="21" t="s">
        <v>37</v>
      </c>
      <c r="C20" s="22">
        <v>1</v>
      </c>
      <c r="D20" s="22">
        <v>2089.9899999999998</v>
      </c>
      <c r="E20" s="4">
        <f t="shared" si="0"/>
        <v>2089.9899999999998</v>
      </c>
      <c r="F20" s="19">
        <f t="shared" si="1"/>
        <v>189.99909090909088</v>
      </c>
    </row>
    <row r="21" spans="1:6" x14ac:dyDescent="0.3">
      <c r="A21" s="4"/>
      <c r="B21" s="4"/>
      <c r="C21" s="4"/>
      <c r="D21" s="4"/>
      <c r="E21" s="4">
        <f t="shared" si="0"/>
        <v>0</v>
      </c>
      <c r="F21" s="19">
        <f t="shared" si="1"/>
        <v>0</v>
      </c>
    </row>
    <row r="22" spans="1:6" x14ac:dyDescent="0.3">
      <c r="A22" s="16">
        <v>45749</v>
      </c>
      <c r="B22" s="18" t="s">
        <v>38</v>
      </c>
      <c r="C22" s="18">
        <v>1</v>
      </c>
      <c r="D22" s="18">
        <v>39</v>
      </c>
      <c r="E22" s="4">
        <f t="shared" si="0"/>
        <v>39</v>
      </c>
      <c r="F22" s="19">
        <f t="shared" si="1"/>
        <v>3.5454545454545454</v>
      </c>
    </row>
    <row r="23" spans="1:6" x14ac:dyDescent="0.3">
      <c r="A23" s="7"/>
      <c r="B23" s="7"/>
      <c r="C23" s="23"/>
      <c r="D23" s="7"/>
      <c r="E23" s="4">
        <f t="shared" si="0"/>
        <v>0</v>
      </c>
      <c r="F23" s="19">
        <f t="shared" si="1"/>
        <v>0</v>
      </c>
    </row>
    <row r="24" spans="1:6" x14ac:dyDescent="0.3">
      <c r="A24" s="7"/>
      <c r="B24" s="7"/>
      <c r="C24" s="23"/>
      <c r="D24" s="7"/>
      <c r="E24" s="4">
        <f t="shared" si="0"/>
        <v>0</v>
      </c>
      <c r="F24" s="19">
        <f t="shared" si="1"/>
        <v>0</v>
      </c>
    </row>
    <row r="25" spans="1:6" x14ac:dyDescent="0.3">
      <c r="A25" s="3">
        <v>45750</v>
      </c>
      <c r="B25" s="4" t="s">
        <v>39</v>
      </c>
      <c r="C25" s="4">
        <v>1</v>
      </c>
      <c r="D25" s="4">
        <v>799</v>
      </c>
      <c r="E25" s="4">
        <f t="shared" si="0"/>
        <v>799</v>
      </c>
      <c r="F25" s="19">
        <f t="shared" si="1"/>
        <v>72.63636363636364</v>
      </c>
    </row>
    <row r="26" spans="1:6" x14ac:dyDescent="0.3">
      <c r="A26" s="20">
        <v>45750</v>
      </c>
      <c r="B26" s="22" t="s">
        <v>40</v>
      </c>
      <c r="C26" s="22">
        <v>1</v>
      </c>
      <c r="D26" s="22">
        <v>669</v>
      </c>
      <c r="E26" s="4">
        <f t="shared" si="0"/>
        <v>669</v>
      </c>
      <c r="F26" s="19">
        <f t="shared" si="1"/>
        <v>60.81818181818182</v>
      </c>
    </row>
    <row r="27" spans="1:6" x14ac:dyDescent="0.3">
      <c r="A27" s="7"/>
      <c r="B27" s="7"/>
      <c r="C27" s="23"/>
      <c r="D27" s="7"/>
      <c r="E27" s="4">
        <f t="shared" si="0"/>
        <v>0</v>
      </c>
      <c r="F27" s="19">
        <f t="shared" si="1"/>
        <v>0</v>
      </c>
    </row>
    <row r="28" spans="1:6" x14ac:dyDescent="0.3">
      <c r="A28" s="3">
        <v>45751</v>
      </c>
      <c r="B28" s="8" t="s">
        <v>41</v>
      </c>
      <c r="C28" s="4">
        <v>6</v>
      </c>
      <c r="D28" s="4">
        <v>87</v>
      </c>
      <c r="E28" s="4">
        <f t="shared" si="0"/>
        <v>522</v>
      </c>
      <c r="F28" s="19">
        <f t="shared" si="1"/>
        <v>47.454545454545453</v>
      </c>
    </row>
    <row r="29" spans="1:6" x14ac:dyDescent="0.3">
      <c r="A29" s="20">
        <v>45751</v>
      </c>
      <c r="B29" s="21" t="s">
        <v>42</v>
      </c>
      <c r="C29" s="22">
        <v>1</v>
      </c>
      <c r="D29" s="22">
        <v>2204</v>
      </c>
      <c r="E29" s="4">
        <f t="shared" si="0"/>
        <v>2204</v>
      </c>
      <c r="F29" s="19">
        <f t="shared" si="1"/>
        <v>200.36363636363637</v>
      </c>
    </row>
    <row r="30" spans="1:6" x14ac:dyDescent="0.3">
      <c r="A30" s="3">
        <v>45751</v>
      </c>
      <c r="B30" s="8" t="s">
        <v>43</v>
      </c>
      <c r="C30" s="4">
        <v>1</v>
      </c>
      <c r="D30" s="4">
        <v>2089.9899999999998</v>
      </c>
      <c r="E30" s="4">
        <f t="shared" si="0"/>
        <v>2089.9899999999998</v>
      </c>
      <c r="F30" s="19">
        <f t="shared" si="1"/>
        <v>189.99909090909088</v>
      </c>
    </row>
    <row r="31" spans="1:6" x14ac:dyDescent="0.3">
      <c r="A31" s="20"/>
      <c r="B31" s="21"/>
      <c r="C31" s="22"/>
      <c r="D31" s="22"/>
      <c r="E31" s="4">
        <f t="shared" si="0"/>
        <v>0</v>
      </c>
      <c r="F31" s="19">
        <f t="shared" si="1"/>
        <v>0</v>
      </c>
    </row>
    <row r="32" spans="1:6" x14ac:dyDescent="0.3">
      <c r="A32" s="7"/>
      <c r="B32" s="7"/>
      <c r="C32" s="23"/>
      <c r="D32" s="7"/>
      <c r="E32" s="4">
        <f t="shared" si="0"/>
        <v>0</v>
      </c>
      <c r="F32" s="19">
        <f t="shared" si="1"/>
        <v>0</v>
      </c>
    </row>
    <row r="33" spans="1:6" x14ac:dyDescent="0.3">
      <c r="A33" s="3">
        <v>45752</v>
      </c>
      <c r="B33" s="7" t="s">
        <v>44</v>
      </c>
      <c r="C33" s="4">
        <v>1</v>
      </c>
      <c r="D33" s="4">
        <v>2089.9899999999998</v>
      </c>
      <c r="E33" s="4">
        <f t="shared" si="0"/>
        <v>2089.9899999999998</v>
      </c>
      <c r="F33" s="19">
        <f t="shared" si="1"/>
        <v>189.99909090909088</v>
      </c>
    </row>
    <row r="34" spans="1:6" x14ac:dyDescent="0.3">
      <c r="A34" s="3">
        <v>45752</v>
      </c>
      <c r="B34" s="7" t="s">
        <v>45</v>
      </c>
      <c r="C34" s="4">
        <v>1</v>
      </c>
      <c r="D34" s="4">
        <v>149</v>
      </c>
      <c r="E34" s="4">
        <f t="shared" si="0"/>
        <v>149</v>
      </c>
      <c r="F34" s="19">
        <f t="shared" si="1"/>
        <v>13.545454545454545</v>
      </c>
    </row>
    <row r="35" spans="1:6" x14ac:dyDescent="0.3">
      <c r="A35" s="3">
        <v>45752</v>
      </c>
      <c r="B35" s="7" t="s">
        <v>46</v>
      </c>
      <c r="C35" s="4">
        <v>1</v>
      </c>
      <c r="D35" s="4">
        <v>2549</v>
      </c>
      <c r="E35" s="4">
        <f t="shared" si="0"/>
        <v>2549</v>
      </c>
      <c r="F35" s="19">
        <f t="shared" si="1"/>
        <v>231.72727272727272</v>
      </c>
    </row>
    <row r="36" spans="1:6" x14ac:dyDescent="0.3">
      <c r="A36" s="7"/>
      <c r="B36" s="7"/>
      <c r="C36" s="23"/>
      <c r="D36" s="7"/>
      <c r="E36" s="4">
        <f t="shared" si="0"/>
        <v>0</v>
      </c>
      <c r="F36" s="19">
        <f t="shared" si="1"/>
        <v>0</v>
      </c>
    </row>
    <row r="37" spans="1:6" x14ac:dyDescent="0.3">
      <c r="A37" s="24">
        <v>45752</v>
      </c>
      <c r="B37" s="4" t="s">
        <v>47</v>
      </c>
      <c r="C37" s="4">
        <v>6</v>
      </c>
      <c r="D37" s="4">
        <v>2089.9899999999998</v>
      </c>
      <c r="E37" s="4">
        <f t="shared" si="0"/>
        <v>12539.939999999999</v>
      </c>
      <c r="F37" s="19">
        <f t="shared" si="1"/>
        <v>1139.9945454545452</v>
      </c>
    </row>
    <row r="38" spans="1:6" x14ac:dyDescent="0.3">
      <c r="A38" s="7"/>
      <c r="B38" s="7"/>
      <c r="C38" s="23"/>
      <c r="D38" s="7"/>
      <c r="E38" s="4">
        <f t="shared" si="0"/>
        <v>0</v>
      </c>
      <c r="F38" s="19">
        <f t="shared" si="1"/>
        <v>0</v>
      </c>
    </row>
    <row r="39" spans="1:6" x14ac:dyDescent="0.3">
      <c r="A39" s="24">
        <v>45756</v>
      </c>
      <c r="B39" s="4" t="s">
        <v>48</v>
      </c>
      <c r="C39" s="4">
        <v>10</v>
      </c>
      <c r="D39" s="4">
        <v>724</v>
      </c>
      <c r="E39" s="4">
        <f t="shared" si="0"/>
        <v>7240</v>
      </c>
      <c r="F39" s="19">
        <f t="shared" si="1"/>
        <v>658.18181818181813</v>
      </c>
    </row>
    <row r="40" spans="1:6" x14ac:dyDescent="0.3">
      <c r="A40" s="24">
        <v>45756</v>
      </c>
      <c r="B40" s="4" t="s">
        <v>49</v>
      </c>
      <c r="C40" s="4">
        <v>2</v>
      </c>
      <c r="D40" s="4">
        <v>1749.99</v>
      </c>
      <c r="E40" s="4">
        <f t="shared" si="0"/>
        <v>3499.98</v>
      </c>
      <c r="F40" s="19">
        <f t="shared" si="1"/>
        <v>318.18</v>
      </c>
    </row>
    <row r="41" spans="1:6" x14ac:dyDescent="0.3">
      <c r="A41" s="24">
        <v>45756</v>
      </c>
      <c r="B41" s="4" t="s">
        <v>50</v>
      </c>
      <c r="C41" s="4">
        <v>2</v>
      </c>
      <c r="D41" s="4">
        <v>1749.99</v>
      </c>
      <c r="E41" s="4">
        <f t="shared" si="0"/>
        <v>3499.98</v>
      </c>
      <c r="F41" s="19">
        <f t="shared" si="1"/>
        <v>318.18</v>
      </c>
    </row>
    <row r="42" spans="1:6" x14ac:dyDescent="0.3">
      <c r="A42" s="24">
        <v>45756</v>
      </c>
      <c r="B42" s="4" t="s">
        <v>49</v>
      </c>
      <c r="C42" s="4">
        <v>3</v>
      </c>
      <c r="D42" s="4">
        <v>1749.99</v>
      </c>
      <c r="E42" s="4">
        <f t="shared" si="0"/>
        <v>5249.97</v>
      </c>
      <c r="F42" s="19">
        <f t="shared" si="1"/>
        <v>477.27000000000004</v>
      </c>
    </row>
    <row r="43" spans="1:6" x14ac:dyDescent="0.3">
      <c r="A43" s="24">
        <v>45756</v>
      </c>
      <c r="B43" s="4" t="s">
        <v>51</v>
      </c>
      <c r="C43" s="4">
        <v>6</v>
      </c>
      <c r="D43" s="4">
        <v>1749.99</v>
      </c>
      <c r="E43" s="4">
        <f t="shared" si="0"/>
        <v>10499.94</v>
      </c>
      <c r="F43" s="19">
        <f t="shared" si="1"/>
        <v>954.54000000000008</v>
      </c>
    </row>
    <row r="44" spans="1:6" x14ac:dyDescent="0.3">
      <c r="A44" s="4"/>
      <c r="B44" s="25"/>
      <c r="C44" s="4"/>
      <c r="D44" s="4"/>
      <c r="E44" s="4">
        <f t="shared" si="0"/>
        <v>0</v>
      </c>
      <c r="F44" s="19">
        <f t="shared" si="1"/>
        <v>0</v>
      </c>
    </row>
    <row r="45" spans="1:6" x14ac:dyDescent="0.3">
      <c r="A45" s="24">
        <v>45756</v>
      </c>
      <c r="B45" s="4" t="s">
        <v>52</v>
      </c>
      <c r="C45" s="4">
        <v>5</v>
      </c>
      <c r="D45" s="4">
        <v>2199</v>
      </c>
      <c r="E45" s="4">
        <f t="shared" si="0"/>
        <v>10995</v>
      </c>
      <c r="F45" s="19">
        <f t="shared" si="1"/>
        <v>999.5454545454545</v>
      </c>
    </row>
    <row r="46" spans="1:6" x14ac:dyDescent="0.3">
      <c r="A46" s="24"/>
      <c r="B46" s="4"/>
      <c r="C46" s="4"/>
      <c r="D46" s="4"/>
      <c r="E46" s="4">
        <f t="shared" si="0"/>
        <v>0</v>
      </c>
      <c r="F46" s="19">
        <f t="shared" si="1"/>
        <v>0</v>
      </c>
    </row>
    <row r="47" spans="1:6" x14ac:dyDescent="0.3">
      <c r="A47" s="7"/>
      <c r="B47" s="7"/>
      <c r="C47" s="23"/>
      <c r="D47" s="7"/>
      <c r="E47" s="4">
        <f t="shared" si="0"/>
        <v>0</v>
      </c>
      <c r="F47" s="19">
        <f t="shared" si="1"/>
        <v>0</v>
      </c>
    </row>
    <row r="48" spans="1:6" x14ac:dyDescent="0.3">
      <c r="A48" s="24">
        <v>45757</v>
      </c>
      <c r="B48" s="7" t="s">
        <v>53</v>
      </c>
      <c r="C48" s="7">
        <v>1</v>
      </c>
      <c r="D48" s="27">
        <v>449</v>
      </c>
      <c r="E48" s="4">
        <f t="shared" si="0"/>
        <v>449</v>
      </c>
      <c r="F48" s="19">
        <f t="shared" si="1"/>
        <v>40.81818181818182</v>
      </c>
    </row>
    <row r="49" spans="1:6" x14ac:dyDescent="0.3">
      <c r="A49" s="26">
        <v>45757</v>
      </c>
      <c r="B49" s="28" t="s">
        <v>54</v>
      </c>
      <c r="C49" s="28">
        <v>2</v>
      </c>
      <c r="D49" s="29">
        <v>689</v>
      </c>
      <c r="E49" s="4">
        <f t="shared" si="0"/>
        <v>1378</v>
      </c>
      <c r="F49" s="19">
        <f t="shared" si="1"/>
        <v>125.27272727272727</v>
      </c>
    </row>
    <row r="50" spans="1:6" x14ac:dyDescent="0.3">
      <c r="A50" s="26">
        <v>45757</v>
      </c>
      <c r="B50" s="28" t="s">
        <v>55</v>
      </c>
      <c r="C50" s="28">
        <v>8</v>
      </c>
      <c r="D50" s="29">
        <v>724</v>
      </c>
      <c r="E50" s="4">
        <f t="shared" si="0"/>
        <v>5792</v>
      </c>
      <c r="F50" s="19">
        <f t="shared" si="1"/>
        <v>526.5454545454545</v>
      </c>
    </row>
    <row r="51" spans="1:6" x14ac:dyDescent="0.3">
      <c r="A51" s="24">
        <v>45757</v>
      </c>
      <c r="B51" s="7" t="s">
        <v>56</v>
      </c>
      <c r="C51" s="7">
        <v>5</v>
      </c>
      <c r="D51" s="27">
        <v>724</v>
      </c>
      <c r="E51" s="4">
        <f t="shared" si="0"/>
        <v>3620</v>
      </c>
      <c r="F51" s="19">
        <f t="shared" si="1"/>
        <v>329.09090909090907</v>
      </c>
    </row>
    <row r="52" spans="1:6" x14ac:dyDescent="0.3">
      <c r="A52" s="7"/>
      <c r="B52" s="7"/>
      <c r="C52" s="23"/>
      <c r="D52" s="7"/>
      <c r="E52" s="4">
        <f t="shared" si="0"/>
        <v>0</v>
      </c>
      <c r="F52" s="19">
        <f t="shared" si="1"/>
        <v>0</v>
      </c>
    </row>
    <row r="53" spans="1:6" x14ac:dyDescent="0.3">
      <c r="A53" s="24">
        <v>45758</v>
      </c>
      <c r="B53" s="7" t="s">
        <v>56</v>
      </c>
      <c r="C53" s="7">
        <v>11</v>
      </c>
      <c r="D53" s="27">
        <v>724</v>
      </c>
      <c r="E53" s="4">
        <f t="shared" si="0"/>
        <v>7964</v>
      </c>
      <c r="F53" s="19">
        <f t="shared" si="1"/>
        <v>724</v>
      </c>
    </row>
    <row r="54" spans="1:6" x14ac:dyDescent="0.3">
      <c r="A54" s="24">
        <v>45758</v>
      </c>
      <c r="B54" s="7" t="s">
        <v>57</v>
      </c>
      <c r="C54" s="7">
        <v>3</v>
      </c>
      <c r="D54" s="27">
        <v>2549.9899999999998</v>
      </c>
      <c r="E54" s="4">
        <f t="shared" si="0"/>
        <v>7649.9699999999993</v>
      </c>
      <c r="F54" s="19">
        <f t="shared" si="1"/>
        <v>695.45181818181811</v>
      </c>
    </row>
    <row r="55" spans="1:6" x14ac:dyDescent="0.3">
      <c r="A55" s="24">
        <v>45758</v>
      </c>
      <c r="B55" s="7" t="s">
        <v>58</v>
      </c>
      <c r="C55" s="7">
        <v>1</v>
      </c>
      <c r="D55" s="27">
        <v>2549.9899999999998</v>
      </c>
      <c r="E55" s="4">
        <f t="shared" si="0"/>
        <v>2549.9899999999998</v>
      </c>
      <c r="F55" s="19">
        <f t="shared" si="1"/>
        <v>231.81727272727269</v>
      </c>
    </row>
    <row r="56" spans="1:6" x14ac:dyDescent="0.3">
      <c r="A56" s="7"/>
      <c r="B56" s="7"/>
      <c r="C56" s="23"/>
      <c r="D56" s="7"/>
      <c r="E56" s="4">
        <f t="shared" si="0"/>
        <v>0</v>
      </c>
      <c r="F56" s="19">
        <f t="shared" si="1"/>
        <v>0</v>
      </c>
    </row>
    <row r="57" spans="1:6" x14ac:dyDescent="0.3">
      <c r="A57" s="7"/>
      <c r="B57" s="7"/>
      <c r="C57" s="23"/>
      <c r="D57" s="7"/>
      <c r="E57" s="4">
        <f t="shared" si="0"/>
        <v>0</v>
      </c>
      <c r="F57" s="19">
        <f t="shared" si="1"/>
        <v>0</v>
      </c>
    </row>
    <row r="58" spans="1:6" x14ac:dyDescent="0.3">
      <c r="A58" s="26">
        <v>45759</v>
      </c>
      <c r="B58" s="28" t="s">
        <v>59</v>
      </c>
      <c r="C58" s="22">
        <v>1</v>
      </c>
      <c r="D58" s="29">
        <v>2299</v>
      </c>
      <c r="E58" s="4">
        <f t="shared" si="0"/>
        <v>2299</v>
      </c>
      <c r="F58" s="19">
        <f t="shared" si="1"/>
        <v>209</v>
      </c>
    </row>
    <row r="59" spans="1:6" x14ac:dyDescent="0.3">
      <c r="A59" s="26">
        <v>45759</v>
      </c>
      <c r="B59" s="28" t="s">
        <v>60</v>
      </c>
      <c r="C59" s="22">
        <v>1</v>
      </c>
      <c r="D59" s="29">
        <v>2299</v>
      </c>
      <c r="E59" s="4">
        <f t="shared" si="0"/>
        <v>2299</v>
      </c>
      <c r="F59" s="19">
        <f t="shared" si="1"/>
        <v>209</v>
      </c>
    </row>
    <row r="60" spans="1:6" x14ac:dyDescent="0.3">
      <c r="A60" s="26">
        <v>45759</v>
      </c>
      <c r="B60" s="28" t="s">
        <v>61</v>
      </c>
      <c r="C60" s="22">
        <v>1</v>
      </c>
      <c r="D60" s="29">
        <v>724</v>
      </c>
      <c r="E60" s="4">
        <f t="shared" si="0"/>
        <v>724</v>
      </c>
      <c r="F60" s="19">
        <f t="shared" si="1"/>
        <v>65.818181818181813</v>
      </c>
    </row>
    <row r="61" spans="1:6" x14ac:dyDescent="0.3">
      <c r="A61" s="26">
        <v>45759</v>
      </c>
      <c r="B61" s="28" t="s">
        <v>62</v>
      </c>
      <c r="C61" s="22">
        <v>3</v>
      </c>
      <c r="D61" s="29">
        <v>328</v>
      </c>
      <c r="E61" s="4">
        <f t="shared" si="0"/>
        <v>984</v>
      </c>
      <c r="F61" s="19">
        <f t="shared" si="1"/>
        <v>89.454545454545453</v>
      </c>
    </row>
    <row r="62" spans="1:6" x14ac:dyDescent="0.3">
      <c r="A62" s="4"/>
      <c r="B62" s="4"/>
      <c r="C62" s="4"/>
      <c r="D62" s="4"/>
      <c r="E62" s="4">
        <f t="shared" si="0"/>
        <v>0</v>
      </c>
      <c r="F62" s="19">
        <f t="shared" si="1"/>
        <v>0</v>
      </c>
    </row>
    <row r="63" spans="1:6" x14ac:dyDescent="0.3">
      <c r="A63" s="26">
        <v>45759</v>
      </c>
      <c r="B63" s="28" t="s">
        <v>60</v>
      </c>
      <c r="C63" s="22">
        <v>15</v>
      </c>
      <c r="D63" s="29">
        <v>2299</v>
      </c>
      <c r="E63" s="4">
        <f t="shared" si="0"/>
        <v>34485</v>
      </c>
      <c r="F63" s="19">
        <f t="shared" si="1"/>
        <v>3135</v>
      </c>
    </row>
    <row r="64" spans="1:6" x14ac:dyDescent="0.3">
      <c r="A64" s="26">
        <v>45759</v>
      </c>
      <c r="B64" s="28" t="s">
        <v>59</v>
      </c>
      <c r="C64" s="22">
        <v>10</v>
      </c>
      <c r="D64" s="29">
        <v>2299</v>
      </c>
      <c r="E64" s="4">
        <f t="shared" si="0"/>
        <v>22990</v>
      </c>
      <c r="F64" s="19">
        <f t="shared" si="1"/>
        <v>2090</v>
      </c>
    </row>
    <row r="65" spans="1:6" x14ac:dyDescent="0.3">
      <c r="A65" s="26">
        <v>45759</v>
      </c>
      <c r="B65" s="28" t="s">
        <v>63</v>
      </c>
      <c r="C65" s="22">
        <v>5</v>
      </c>
      <c r="D65" s="29">
        <v>2299</v>
      </c>
      <c r="E65" s="4">
        <f t="shared" si="0"/>
        <v>11495</v>
      </c>
      <c r="F65" s="19">
        <f t="shared" si="1"/>
        <v>1045</v>
      </c>
    </row>
    <row r="66" spans="1:6" x14ac:dyDescent="0.3">
      <c r="A66" s="4"/>
      <c r="B66" s="4"/>
      <c r="C66" s="4"/>
      <c r="D66" s="4"/>
      <c r="E66" s="4">
        <f t="shared" si="0"/>
        <v>0</v>
      </c>
      <c r="F66" s="19">
        <f t="shared" si="1"/>
        <v>0</v>
      </c>
    </row>
    <row r="67" spans="1:6" x14ac:dyDescent="0.3">
      <c r="A67" s="26">
        <v>45759</v>
      </c>
      <c r="B67" s="28" t="s">
        <v>64</v>
      </c>
      <c r="C67" s="22">
        <v>5</v>
      </c>
      <c r="D67" s="29">
        <v>2699</v>
      </c>
      <c r="E67" s="4">
        <f t="shared" ref="E67:E130" si="2">D67*C67</f>
        <v>13495</v>
      </c>
      <c r="F67" s="19">
        <f t="shared" ref="F67:F130" si="3">E67/11</f>
        <v>1226.8181818181818</v>
      </c>
    </row>
    <row r="68" spans="1:6" x14ac:dyDescent="0.3">
      <c r="A68" s="26">
        <v>45759</v>
      </c>
      <c r="B68" s="28" t="s">
        <v>65</v>
      </c>
      <c r="C68" s="22">
        <v>5</v>
      </c>
      <c r="D68" s="29">
        <v>2699</v>
      </c>
      <c r="E68" s="4">
        <f t="shared" si="2"/>
        <v>13495</v>
      </c>
      <c r="F68" s="19">
        <f t="shared" si="3"/>
        <v>1226.8181818181818</v>
      </c>
    </row>
    <row r="69" spans="1:6" x14ac:dyDescent="0.3">
      <c r="A69" s="4"/>
      <c r="B69" s="4"/>
      <c r="C69" s="4"/>
      <c r="D69" s="4"/>
      <c r="E69" s="4">
        <f t="shared" si="2"/>
        <v>0</v>
      </c>
      <c r="F69" s="19">
        <f t="shared" si="3"/>
        <v>0</v>
      </c>
    </row>
    <row r="70" spans="1:6" x14ac:dyDescent="0.3">
      <c r="A70" s="3">
        <v>45759</v>
      </c>
      <c r="B70" s="7" t="s">
        <v>59</v>
      </c>
      <c r="C70" s="4">
        <v>2</v>
      </c>
      <c r="D70" s="27">
        <v>2299</v>
      </c>
      <c r="E70" s="4">
        <f t="shared" si="2"/>
        <v>4598</v>
      </c>
      <c r="F70" s="19">
        <f t="shared" si="3"/>
        <v>418</v>
      </c>
    </row>
    <row r="71" spans="1:6" x14ac:dyDescent="0.3">
      <c r="A71" s="3">
        <v>45759</v>
      </c>
      <c r="B71" s="7" t="s">
        <v>60</v>
      </c>
      <c r="C71" s="4">
        <v>2</v>
      </c>
      <c r="D71" s="27">
        <v>2299</v>
      </c>
      <c r="E71" s="4">
        <f t="shared" si="2"/>
        <v>4598</v>
      </c>
      <c r="F71" s="19">
        <f t="shared" si="3"/>
        <v>418</v>
      </c>
    </row>
    <row r="72" spans="1:6" x14ac:dyDescent="0.3">
      <c r="A72" s="3">
        <v>45759</v>
      </c>
      <c r="B72" s="7" t="s">
        <v>64</v>
      </c>
      <c r="C72" s="4">
        <v>1</v>
      </c>
      <c r="D72" s="27">
        <v>2699</v>
      </c>
      <c r="E72" s="4">
        <f t="shared" si="2"/>
        <v>2699</v>
      </c>
      <c r="F72" s="19">
        <f t="shared" si="3"/>
        <v>245.36363636363637</v>
      </c>
    </row>
    <row r="73" spans="1:6" x14ac:dyDescent="0.3">
      <c r="A73" s="3">
        <v>45759</v>
      </c>
      <c r="B73" s="7" t="s">
        <v>65</v>
      </c>
      <c r="C73" s="4">
        <v>2</v>
      </c>
      <c r="D73" s="27">
        <v>2699</v>
      </c>
      <c r="E73" s="4">
        <f t="shared" si="2"/>
        <v>5398</v>
      </c>
      <c r="F73" s="19">
        <f t="shared" si="3"/>
        <v>490.72727272727275</v>
      </c>
    </row>
    <row r="74" spans="1:6" x14ac:dyDescent="0.3">
      <c r="A74" s="4"/>
      <c r="B74" s="4"/>
      <c r="C74" s="4"/>
      <c r="D74" s="4"/>
      <c r="E74" s="4">
        <f t="shared" si="2"/>
        <v>0</v>
      </c>
      <c r="F74" s="19">
        <f t="shared" si="3"/>
        <v>0</v>
      </c>
    </row>
    <row r="75" spans="1:6" x14ac:dyDescent="0.3">
      <c r="A75" s="3">
        <v>45759</v>
      </c>
      <c r="B75" s="7" t="s">
        <v>66</v>
      </c>
      <c r="C75" s="4">
        <v>5</v>
      </c>
      <c r="D75" s="27">
        <v>143</v>
      </c>
      <c r="E75" s="4">
        <f t="shared" si="2"/>
        <v>715</v>
      </c>
      <c r="F75" s="19">
        <f t="shared" si="3"/>
        <v>65</v>
      </c>
    </row>
    <row r="76" spans="1:6" x14ac:dyDescent="0.3">
      <c r="A76" s="3">
        <v>45759</v>
      </c>
      <c r="B76" s="7" t="s">
        <v>67</v>
      </c>
      <c r="C76" s="4">
        <v>6</v>
      </c>
      <c r="D76" s="27">
        <v>30</v>
      </c>
      <c r="E76" s="4">
        <f t="shared" si="2"/>
        <v>180</v>
      </c>
      <c r="F76" s="19">
        <f t="shared" si="3"/>
        <v>16.363636363636363</v>
      </c>
    </row>
    <row r="77" spans="1:6" x14ac:dyDescent="0.3">
      <c r="A77" s="4"/>
      <c r="B77" s="4"/>
      <c r="C77" s="4"/>
      <c r="D77" s="4"/>
      <c r="E77" s="4">
        <f t="shared" si="2"/>
        <v>0</v>
      </c>
      <c r="F77" s="19">
        <f t="shared" si="3"/>
        <v>0</v>
      </c>
    </row>
    <row r="78" spans="1:6" x14ac:dyDescent="0.3">
      <c r="A78" s="20">
        <v>45759</v>
      </c>
      <c r="B78" s="28" t="s">
        <v>67</v>
      </c>
      <c r="C78" s="22">
        <v>20</v>
      </c>
      <c r="D78" s="29">
        <v>30</v>
      </c>
      <c r="E78" s="4">
        <f t="shared" si="2"/>
        <v>600</v>
      </c>
      <c r="F78" s="19">
        <f t="shared" si="3"/>
        <v>54.545454545454547</v>
      </c>
    </row>
    <row r="79" spans="1:6" x14ac:dyDescent="0.3">
      <c r="A79" s="4"/>
      <c r="B79" s="4"/>
      <c r="C79" s="4"/>
      <c r="D79" s="4"/>
      <c r="E79" s="4">
        <f t="shared" si="2"/>
        <v>0</v>
      </c>
      <c r="F79" s="19">
        <f t="shared" si="3"/>
        <v>0</v>
      </c>
    </row>
    <row r="80" spans="1:6" x14ac:dyDescent="0.3">
      <c r="A80" s="3">
        <v>45759</v>
      </c>
      <c r="B80" s="7" t="s">
        <v>67</v>
      </c>
      <c r="C80" s="4">
        <v>6</v>
      </c>
      <c r="D80" s="27">
        <v>30</v>
      </c>
      <c r="E80" s="4">
        <f t="shared" si="2"/>
        <v>180</v>
      </c>
      <c r="F80" s="19">
        <f t="shared" si="3"/>
        <v>16.363636363636363</v>
      </c>
    </row>
    <row r="81" spans="1:6" x14ac:dyDescent="0.3">
      <c r="A81" s="3">
        <v>45759</v>
      </c>
      <c r="B81" s="7" t="s">
        <v>61</v>
      </c>
      <c r="C81" s="4">
        <v>5</v>
      </c>
      <c r="D81" s="27">
        <v>715</v>
      </c>
      <c r="E81" s="4">
        <f t="shared" si="2"/>
        <v>3575</v>
      </c>
      <c r="F81" s="19">
        <f t="shared" si="3"/>
        <v>325</v>
      </c>
    </row>
    <row r="82" spans="1:6" x14ac:dyDescent="0.3">
      <c r="A82" s="4"/>
      <c r="B82" s="4"/>
      <c r="C82" s="4"/>
      <c r="D82" s="4"/>
      <c r="E82" s="4">
        <f t="shared" si="2"/>
        <v>0</v>
      </c>
      <c r="F82" s="19">
        <f t="shared" si="3"/>
        <v>0</v>
      </c>
    </row>
    <row r="83" spans="1:6" x14ac:dyDescent="0.3">
      <c r="A83" s="3">
        <v>45759</v>
      </c>
      <c r="B83" s="7" t="s">
        <v>59</v>
      </c>
      <c r="C83" s="4">
        <v>1</v>
      </c>
      <c r="D83" s="27">
        <v>2299</v>
      </c>
      <c r="E83" s="4">
        <f t="shared" si="2"/>
        <v>2299</v>
      </c>
      <c r="F83" s="19">
        <f t="shared" si="3"/>
        <v>209</v>
      </c>
    </row>
    <row r="84" spans="1:6" x14ac:dyDescent="0.3">
      <c r="A84" s="3">
        <v>45759</v>
      </c>
      <c r="B84" s="7" t="s">
        <v>64</v>
      </c>
      <c r="C84" s="4">
        <v>1</v>
      </c>
      <c r="D84" s="27">
        <v>2699</v>
      </c>
      <c r="E84" s="4">
        <f t="shared" si="2"/>
        <v>2699</v>
      </c>
      <c r="F84" s="19">
        <f t="shared" si="3"/>
        <v>245.36363636363637</v>
      </c>
    </row>
    <row r="85" spans="1:6" x14ac:dyDescent="0.3">
      <c r="A85" s="7"/>
      <c r="B85" s="7"/>
      <c r="C85" s="23"/>
      <c r="D85" s="7"/>
      <c r="E85" s="4">
        <f t="shared" si="2"/>
        <v>0</v>
      </c>
      <c r="F85" s="19">
        <f t="shared" si="3"/>
        <v>0</v>
      </c>
    </row>
    <row r="86" spans="1:6" x14ac:dyDescent="0.3">
      <c r="A86" s="20">
        <v>45760</v>
      </c>
      <c r="B86" s="28" t="s">
        <v>61</v>
      </c>
      <c r="C86" s="22">
        <v>17</v>
      </c>
      <c r="D86" s="29">
        <v>699.99</v>
      </c>
      <c r="E86" s="4">
        <f t="shared" si="2"/>
        <v>11899.83</v>
      </c>
      <c r="F86" s="19">
        <f t="shared" si="3"/>
        <v>1081.8027272727272</v>
      </c>
    </row>
    <row r="87" spans="1:6" x14ac:dyDescent="0.3">
      <c r="A87" s="20">
        <v>45760</v>
      </c>
      <c r="B87" s="28" t="s">
        <v>61</v>
      </c>
      <c r="C87" s="22">
        <v>1</v>
      </c>
      <c r="D87" s="29">
        <v>699.99</v>
      </c>
      <c r="E87" s="4">
        <f t="shared" si="2"/>
        <v>699.99</v>
      </c>
      <c r="F87" s="19">
        <f t="shared" si="3"/>
        <v>63.635454545454543</v>
      </c>
    </row>
    <row r="88" spans="1:6" x14ac:dyDescent="0.3">
      <c r="A88" s="4"/>
      <c r="B88" s="4"/>
      <c r="C88" s="4"/>
      <c r="D88" s="4"/>
      <c r="E88" s="4">
        <f t="shared" si="2"/>
        <v>0</v>
      </c>
      <c r="F88" s="19">
        <f t="shared" si="3"/>
        <v>0</v>
      </c>
    </row>
    <row r="89" spans="1:6" x14ac:dyDescent="0.3">
      <c r="A89" s="20">
        <v>45760</v>
      </c>
      <c r="B89" s="28" t="s">
        <v>64</v>
      </c>
      <c r="C89" s="22">
        <v>3</v>
      </c>
      <c r="D89" s="29">
        <v>2549.9899999999998</v>
      </c>
      <c r="E89" s="4">
        <f t="shared" si="2"/>
        <v>7649.9699999999993</v>
      </c>
      <c r="F89" s="19">
        <f t="shared" si="3"/>
        <v>695.45181818181811</v>
      </c>
    </row>
    <row r="90" spans="1:6" x14ac:dyDescent="0.3">
      <c r="A90" s="20">
        <v>45760</v>
      </c>
      <c r="B90" s="28" t="s">
        <v>68</v>
      </c>
      <c r="C90" s="22">
        <v>2</v>
      </c>
      <c r="D90" s="29">
        <v>2549.9899999999998</v>
      </c>
      <c r="E90" s="4">
        <f t="shared" si="2"/>
        <v>5099.9799999999996</v>
      </c>
      <c r="F90" s="19">
        <f t="shared" si="3"/>
        <v>463.63454545454539</v>
      </c>
    </row>
    <row r="91" spans="1:6" x14ac:dyDescent="0.3">
      <c r="A91" s="4"/>
      <c r="B91" s="4"/>
      <c r="C91" s="4"/>
      <c r="D91" s="4"/>
      <c r="E91" s="4">
        <f t="shared" si="2"/>
        <v>0</v>
      </c>
      <c r="F91" s="19">
        <f t="shared" si="3"/>
        <v>0</v>
      </c>
    </row>
    <row r="92" spans="1:6" x14ac:dyDescent="0.3">
      <c r="A92" s="20">
        <v>45760</v>
      </c>
      <c r="B92" s="28" t="s">
        <v>69</v>
      </c>
      <c r="C92" s="22">
        <v>10</v>
      </c>
      <c r="D92" s="29">
        <v>724</v>
      </c>
      <c r="E92" s="4">
        <f t="shared" si="2"/>
        <v>7240</v>
      </c>
      <c r="F92" s="19">
        <f t="shared" si="3"/>
        <v>658.18181818181813</v>
      </c>
    </row>
    <row r="93" spans="1:6" x14ac:dyDescent="0.3">
      <c r="A93" s="4"/>
      <c r="B93" s="4"/>
      <c r="C93" s="4"/>
      <c r="D93" s="4"/>
      <c r="E93" s="4">
        <f t="shared" si="2"/>
        <v>0</v>
      </c>
      <c r="F93" s="19">
        <f t="shared" si="3"/>
        <v>0</v>
      </c>
    </row>
    <row r="94" spans="1:6" x14ac:dyDescent="0.3">
      <c r="A94" s="3">
        <v>45760</v>
      </c>
      <c r="B94" s="7" t="s">
        <v>70</v>
      </c>
      <c r="C94" s="4">
        <v>1</v>
      </c>
      <c r="D94" s="27">
        <v>713</v>
      </c>
      <c r="E94" s="4">
        <f t="shared" si="2"/>
        <v>713</v>
      </c>
      <c r="F94" s="19">
        <f t="shared" si="3"/>
        <v>64.818181818181813</v>
      </c>
    </row>
    <row r="95" spans="1:6" x14ac:dyDescent="0.3">
      <c r="A95" s="4"/>
      <c r="B95" s="4"/>
      <c r="C95" s="4"/>
      <c r="D95" s="4"/>
      <c r="E95" s="4">
        <f t="shared" si="2"/>
        <v>0</v>
      </c>
      <c r="F95" s="19">
        <f t="shared" si="3"/>
        <v>0</v>
      </c>
    </row>
    <row r="96" spans="1:6" x14ac:dyDescent="0.3">
      <c r="A96" s="3">
        <v>45760</v>
      </c>
      <c r="B96" s="7" t="s">
        <v>71</v>
      </c>
      <c r="C96" s="4">
        <v>3</v>
      </c>
      <c r="D96" s="27">
        <v>213</v>
      </c>
      <c r="E96" s="4">
        <f t="shared" si="2"/>
        <v>639</v>
      </c>
      <c r="F96" s="19">
        <f t="shared" si="3"/>
        <v>58.090909090909093</v>
      </c>
    </row>
    <row r="97" spans="1:6" x14ac:dyDescent="0.3">
      <c r="A97" s="3">
        <v>45760</v>
      </c>
      <c r="B97" s="7" t="s">
        <v>72</v>
      </c>
      <c r="C97" s="4">
        <v>2</v>
      </c>
      <c r="D97" s="27">
        <v>87</v>
      </c>
      <c r="E97" s="4">
        <f t="shared" si="2"/>
        <v>174</v>
      </c>
      <c r="F97" s="19">
        <f t="shared" si="3"/>
        <v>15.818181818181818</v>
      </c>
    </row>
    <row r="98" spans="1:6" x14ac:dyDescent="0.3">
      <c r="A98" s="3">
        <v>45760</v>
      </c>
      <c r="B98" s="7" t="s">
        <v>73</v>
      </c>
      <c r="C98" s="4">
        <v>8</v>
      </c>
      <c r="D98" s="27">
        <v>19</v>
      </c>
      <c r="E98" s="4">
        <f t="shared" si="2"/>
        <v>152</v>
      </c>
      <c r="F98" s="19">
        <f t="shared" si="3"/>
        <v>13.818181818181818</v>
      </c>
    </row>
    <row r="99" spans="1:6" x14ac:dyDescent="0.3">
      <c r="A99" s="4"/>
      <c r="B99" s="4"/>
      <c r="C99" s="4"/>
      <c r="D99" s="4"/>
      <c r="E99" s="4">
        <f t="shared" si="2"/>
        <v>0</v>
      </c>
      <c r="F99" s="19">
        <f t="shared" si="3"/>
        <v>0</v>
      </c>
    </row>
    <row r="100" spans="1:6" x14ac:dyDescent="0.3">
      <c r="A100" s="20">
        <v>45760</v>
      </c>
      <c r="B100" s="28" t="s">
        <v>67</v>
      </c>
      <c r="C100" s="22">
        <v>20</v>
      </c>
      <c r="D100" s="29">
        <v>30</v>
      </c>
      <c r="E100" s="4">
        <f t="shared" si="2"/>
        <v>600</v>
      </c>
      <c r="F100" s="19">
        <f t="shared" si="3"/>
        <v>54.545454545454547</v>
      </c>
    </row>
    <row r="101" spans="1:6" x14ac:dyDescent="0.3">
      <c r="A101" s="4"/>
      <c r="B101" s="4"/>
      <c r="C101" s="4"/>
      <c r="D101" s="4"/>
      <c r="E101" s="4">
        <f t="shared" si="2"/>
        <v>0</v>
      </c>
      <c r="F101" s="19">
        <f t="shared" si="3"/>
        <v>0</v>
      </c>
    </row>
    <row r="102" spans="1:6" x14ac:dyDescent="0.3">
      <c r="A102" s="20">
        <v>45760</v>
      </c>
      <c r="B102" s="28" t="s">
        <v>61</v>
      </c>
      <c r="C102" s="22">
        <v>3</v>
      </c>
      <c r="D102" s="29">
        <v>724</v>
      </c>
      <c r="E102" s="4">
        <f t="shared" si="2"/>
        <v>2172</v>
      </c>
      <c r="F102" s="19">
        <f t="shared" si="3"/>
        <v>197.45454545454547</v>
      </c>
    </row>
    <row r="103" spans="1:6" x14ac:dyDescent="0.3">
      <c r="A103" s="4"/>
      <c r="B103" s="4"/>
      <c r="C103" s="4"/>
      <c r="D103" s="4"/>
      <c r="E103" s="4">
        <f t="shared" si="2"/>
        <v>0</v>
      </c>
      <c r="F103" s="19">
        <f t="shared" si="3"/>
        <v>0</v>
      </c>
    </row>
    <row r="104" spans="1:6" x14ac:dyDescent="0.3">
      <c r="A104" s="3">
        <v>45760</v>
      </c>
      <c r="B104" s="7" t="s">
        <v>74</v>
      </c>
      <c r="C104" s="4">
        <v>1</v>
      </c>
      <c r="D104" s="27">
        <v>2077</v>
      </c>
      <c r="E104" s="4">
        <f t="shared" si="2"/>
        <v>2077</v>
      </c>
      <c r="F104" s="19">
        <f t="shared" si="3"/>
        <v>188.81818181818181</v>
      </c>
    </row>
    <row r="105" spans="1:6" x14ac:dyDescent="0.3">
      <c r="A105" s="3">
        <v>45760</v>
      </c>
      <c r="B105" s="7" t="s">
        <v>64</v>
      </c>
      <c r="C105" s="4">
        <v>1</v>
      </c>
      <c r="D105" s="27">
        <v>2699</v>
      </c>
      <c r="E105" s="4">
        <f t="shared" si="2"/>
        <v>2699</v>
      </c>
      <c r="F105" s="19">
        <f t="shared" si="3"/>
        <v>245.36363636363637</v>
      </c>
    </row>
    <row r="106" spans="1:6" x14ac:dyDescent="0.3">
      <c r="A106" s="4"/>
      <c r="B106" s="4"/>
      <c r="C106" s="4"/>
      <c r="D106" s="4"/>
      <c r="E106" s="4">
        <f t="shared" si="2"/>
        <v>0</v>
      </c>
      <c r="F106" s="19">
        <f t="shared" si="3"/>
        <v>0</v>
      </c>
    </row>
    <row r="107" spans="1:6" x14ac:dyDescent="0.3">
      <c r="A107" s="3">
        <v>45760</v>
      </c>
      <c r="B107" s="7" t="s">
        <v>62</v>
      </c>
      <c r="C107" s="4">
        <v>2</v>
      </c>
      <c r="D107" s="27">
        <v>299</v>
      </c>
      <c r="E107" s="4">
        <f t="shared" si="2"/>
        <v>598</v>
      </c>
      <c r="F107" s="19">
        <f t="shared" si="3"/>
        <v>54.363636363636367</v>
      </c>
    </row>
    <row r="108" spans="1:6" x14ac:dyDescent="0.3">
      <c r="A108" s="4"/>
      <c r="B108" s="4"/>
      <c r="C108" s="4"/>
      <c r="D108" s="4"/>
      <c r="E108" s="4">
        <f t="shared" si="2"/>
        <v>0</v>
      </c>
      <c r="F108" s="19">
        <f t="shared" si="3"/>
        <v>0</v>
      </c>
    </row>
    <row r="109" spans="1:6" x14ac:dyDescent="0.3">
      <c r="A109" s="3">
        <v>45760</v>
      </c>
      <c r="B109" s="7" t="s">
        <v>73</v>
      </c>
      <c r="C109" s="4">
        <v>12</v>
      </c>
      <c r="D109" s="27">
        <v>19</v>
      </c>
      <c r="E109" s="4">
        <f t="shared" si="2"/>
        <v>228</v>
      </c>
      <c r="F109" s="19">
        <f t="shared" si="3"/>
        <v>20.727272727272727</v>
      </c>
    </row>
    <row r="110" spans="1:6" x14ac:dyDescent="0.3">
      <c r="A110" s="3">
        <v>45760</v>
      </c>
      <c r="B110" s="7" t="s">
        <v>71</v>
      </c>
      <c r="C110" s="4">
        <v>1</v>
      </c>
      <c r="D110" s="27">
        <v>213</v>
      </c>
      <c r="E110" s="4">
        <f t="shared" si="2"/>
        <v>213</v>
      </c>
      <c r="F110" s="19">
        <f t="shared" si="3"/>
        <v>19.363636363636363</v>
      </c>
    </row>
    <row r="111" spans="1:6" x14ac:dyDescent="0.3">
      <c r="A111" s="3">
        <v>45760</v>
      </c>
      <c r="B111" s="7" t="s">
        <v>72</v>
      </c>
      <c r="C111" s="4">
        <v>3</v>
      </c>
      <c r="D111" s="27">
        <v>87</v>
      </c>
      <c r="E111" s="4">
        <f t="shared" si="2"/>
        <v>261</v>
      </c>
      <c r="F111" s="19">
        <f t="shared" si="3"/>
        <v>23.727272727272727</v>
      </c>
    </row>
    <row r="112" spans="1:6" x14ac:dyDescent="0.3">
      <c r="A112" s="4"/>
      <c r="B112" s="4"/>
      <c r="C112" s="4"/>
      <c r="D112" s="4"/>
      <c r="E112" s="4">
        <f t="shared" si="2"/>
        <v>0</v>
      </c>
      <c r="F112" s="19">
        <f t="shared" si="3"/>
        <v>0</v>
      </c>
    </row>
    <row r="113" spans="1:6" x14ac:dyDescent="0.3">
      <c r="A113" s="3">
        <v>45760</v>
      </c>
      <c r="B113" s="7" t="s">
        <v>75</v>
      </c>
      <c r="C113" s="4">
        <v>6</v>
      </c>
      <c r="D113" s="27">
        <v>204</v>
      </c>
      <c r="E113" s="4">
        <f t="shared" si="2"/>
        <v>1224</v>
      </c>
      <c r="F113" s="19">
        <f t="shared" si="3"/>
        <v>111.27272727272727</v>
      </c>
    </row>
    <row r="114" spans="1:6" x14ac:dyDescent="0.3">
      <c r="A114" s="3">
        <v>45760</v>
      </c>
      <c r="B114" s="7" t="s">
        <v>76</v>
      </c>
      <c r="C114" s="4">
        <v>3</v>
      </c>
      <c r="D114" s="27">
        <v>200</v>
      </c>
      <c r="E114" s="4">
        <f t="shared" si="2"/>
        <v>600</v>
      </c>
      <c r="F114" s="19">
        <f t="shared" si="3"/>
        <v>54.545454545454547</v>
      </c>
    </row>
    <row r="115" spans="1:6" x14ac:dyDescent="0.3">
      <c r="A115" s="3">
        <v>45760</v>
      </c>
      <c r="B115" s="7" t="s">
        <v>73</v>
      </c>
      <c r="C115" s="4">
        <v>11</v>
      </c>
      <c r="D115" s="27">
        <v>21</v>
      </c>
      <c r="E115" s="4">
        <f t="shared" si="2"/>
        <v>231</v>
      </c>
      <c r="F115" s="19">
        <f t="shared" si="3"/>
        <v>21</v>
      </c>
    </row>
    <row r="116" spans="1:6" x14ac:dyDescent="0.3">
      <c r="A116" s="4"/>
      <c r="B116" s="4"/>
      <c r="C116" s="4"/>
      <c r="D116" s="4"/>
      <c r="E116" s="4">
        <f t="shared" si="2"/>
        <v>0</v>
      </c>
      <c r="F116" s="19">
        <f t="shared" si="3"/>
        <v>0</v>
      </c>
    </row>
    <row r="117" spans="1:6" x14ac:dyDescent="0.3">
      <c r="A117" s="3">
        <v>45760</v>
      </c>
      <c r="B117" s="7" t="s">
        <v>77</v>
      </c>
      <c r="C117" s="4">
        <v>5</v>
      </c>
      <c r="D117" s="27">
        <v>2605</v>
      </c>
      <c r="E117" s="4">
        <f t="shared" si="2"/>
        <v>13025</v>
      </c>
      <c r="F117" s="19">
        <f t="shared" si="3"/>
        <v>1184.090909090909</v>
      </c>
    </row>
    <row r="118" spans="1:6" x14ac:dyDescent="0.3">
      <c r="A118" s="3">
        <v>45760</v>
      </c>
      <c r="B118" s="7" t="s">
        <v>78</v>
      </c>
      <c r="C118" s="4">
        <v>1</v>
      </c>
      <c r="D118" s="27">
        <v>3535</v>
      </c>
      <c r="E118" s="4">
        <f t="shared" si="2"/>
        <v>3535</v>
      </c>
      <c r="F118" s="19">
        <f t="shared" si="3"/>
        <v>321.36363636363637</v>
      </c>
    </row>
    <row r="119" spans="1:6" x14ac:dyDescent="0.3">
      <c r="A119" s="7"/>
      <c r="B119" s="7"/>
      <c r="C119" s="23"/>
      <c r="D119" s="7"/>
      <c r="E119" s="4">
        <f t="shared" si="2"/>
        <v>0</v>
      </c>
      <c r="F119" s="19">
        <f t="shared" si="3"/>
        <v>0</v>
      </c>
    </row>
    <row r="120" spans="1:6" x14ac:dyDescent="0.3">
      <c r="A120" s="3">
        <v>45761</v>
      </c>
      <c r="B120" s="7" t="s">
        <v>79</v>
      </c>
      <c r="C120" s="4">
        <v>6</v>
      </c>
      <c r="D120" s="30">
        <v>724</v>
      </c>
      <c r="E120" s="4">
        <f t="shared" si="2"/>
        <v>4344</v>
      </c>
      <c r="F120" s="19">
        <f t="shared" si="3"/>
        <v>394.90909090909093</v>
      </c>
    </row>
    <row r="121" spans="1:6" x14ac:dyDescent="0.3">
      <c r="A121" s="20">
        <v>45762</v>
      </c>
      <c r="B121" s="28" t="s">
        <v>80</v>
      </c>
      <c r="C121" s="22">
        <v>2</v>
      </c>
      <c r="D121" s="31">
        <v>2549</v>
      </c>
      <c r="E121" s="4">
        <f t="shared" si="2"/>
        <v>5098</v>
      </c>
      <c r="F121" s="19">
        <f t="shared" si="3"/>
        <v>463.45454545454544</v>
      </c>
    </row>
    <row r="122" spans="1:6" x14ac:dyDescent="0.3">
      <c r="A122" s="20">
        <v>45762</v>
      </c>
      <c r="B122" s="28" t="s">
        <v>81</v>
      </c>
      <c r="C122" s="22">
        <v>1</v>
      </c>
      <c r="D122" s="31">
        <v>2549</v>
      </c>
      <c r="E122" s="4">
        <f t="shared" si="2"/>
        <v>2549</v>
      </c>
      <c r="F122" s="19">
        <f t="shared" si="3"/>
        <v>231.72727272727272</v>
      </c>
    </row>
    <row r="123" spans="1:6" x14ac:dyDescent="0.3">
      <c r="A123" s="20">
        <v>45762</v>
      </c>
      <c r="B123" s="28" t="s">
        <v>82</v>
      </c>
      <c r="C123" s="22">
        <v>2</v>
      </c>
      <c r="D123" s="31">
        <v>2199</v>
      </c>
      <c r="E123" s="4">
        <f t="shared" si="2"/>
        <v>4398</v>
      </c>
      <c r="F123" s="19">
        <f t="shared" si="3"/>
        <v>399.81818181818181</v>
      </c>
    </row>
    <row r="124" spans="1:6" x14ac:dyDescent="0.3">
      <c r="A124" s="4"/>
      <c r="B124" s="4"/>
      <c r="C124" s="4"/>
      <c r="D124" s="4"/>
      <c r="E124" s="4">
        <f t="shared" si="2"/>
        <v>0</v>
      </c>
      <c r="F124" s="19">
        <f t="shared" si="3"/>
        <v>0</v>
      </c>
    </row>
    <row r="125" spans="1:6" x14ac:dyDescent="0.3">
      <c r="A125" s="3">
        <v>45763</v>
      </c>
      <c r="B125" s="32" t="s">
        <v>83</v>
      </c>
      <c r="C125" s="4">
        <v>2</v>
      </c>
      <c r="D125" s="33">
        <v>539</v>
      </c>
      <c r="E125" s="4">
        <f t="shared" si="2"/>
        <v>1078</v>
      </c>
      <c r="F125" s="19">
        <f t="shared" si="3"/>
        <v>98</v>
      </c>
    </row>
    <row r="126" spans="1:6" x14ac:dyDescent="0.3">
      <c r="A126" s="4"/>
      <c r="B126" s="4"/>
      <c r="C126" s="4"/>
      <c r="D126" s="4"/>
      <c r="E126" s="4">
        <f t="shared" si="2"/>
        <v>0</v>
      </c>
      <c r="F126" s="19">
        <f t="shared" si="3"/>
        <v>0</v>
      </c>
    </row>
    <row r="127" spans="1:6" x14ac:dyDescent="0.3">
      <c r="A127" s="3">
        <v>45763</v>
      </c>
      <c r="B127" s="7" t="s">
        <v>84</v>
      </c>
      <c r="C127" s="4">
        <v>2</v>
      </c>
      <c r="D127" s="30">
        <v>213</v>
      </c>
      <c r="E127" s="4">
        <f t="shared" si="2"/>
        <v>426</v>
      </c>
      <c r="F127" s="19">
        <f t="shared" si="3"/>
        <v>38.727272727272727</v>
      </c>
    </row>
    <row r="128" spans="1:6" x14ac:dyDescent="0.3">
      <c r="A128" s="3">
        <v>45763</v>
      </c>
      <c r="B128" s="7" t="s">
        <v>85</v>
      </c>
      <c r="C128" s="4">
        <v>6</v>
      </c>
      <c r="D128" s="30">
        <v>19</v>
      </c>
      <c r="E128" s="4">
        <f t="shared" si="2"/>
        <v>114</v>
      </c>
      <c r="F128" s="19">
        <f t="shared" si="3"/>
        <v>10.363636363636363</v>
      </c>
    </row>
    <row r="129" spans="1:6" x14ac:dyDescent="0.3">
      <c r="A129" s="4"/>
      <c r="B129" s="4"/>
      <c r="C129" s="4"/>
      <c r="D129" s="4"/>
      <c r="E129" s="4">
        <f t="shared" si="2"/>
        <v>0</v>
      </c>
      <c r="F129" s="19">
        <f t="shared" si="3"/>
        <v>0</v>
      </c>
    </row>
    <row r="130" spans="1:6" x14ac:dyDescent="0.3">
      <c r="A130" s="20">
        <v>45763</v>
      </c>
      <c r="B130" s="28" t="s">
        <v>86</v>
      </c>
      <c r="C130" s="22">
        <v>2</v>
      </c>
      <c r="D130" s="31">
        <v>646</v>
      </c>
      <c r="E130" s="4">
        <f t="shared" si="2"/>
        <v>1292</v>
      </c>
      <c r="F130" s="19">
        <f t="shared" si="3"/>
        <v>117.45454545454545</v>
      </c>
    </row>
    <row r="131" spans="1:6" x14ac:dyDescent="0.3">
      <c r="A131" s="20">
        <v>45763</v>
      </c>
      <c r="B131" s="28" t="s">
        <v>87</v>
      </c>
      <c r="C131" s="22">
        <v>4</v>
      </c>
      <c r="D131" s="31">
        <v>713</v>
      </c>
      <c r="E131" s="4">
        <f t="shared" ref="E131:E194" si="4">D131*C131</f>
        <v>2852</v>
      </c>
      <c r="F131" s="19">
        <f t="shared" ref="F131:F194" si="5">E131/11</f>
        <v>259.27272727272725</v>
      </c>
    </row>
    <row r="132" spans="1:6" x14ac:dyDescent="0.3">
      <c r="A132" s="20">
        <v>45763</v>
      </c>
      <c r="B132" s="28" t="s">
        <v>88</v>
      </c>
      <c r="C132" s="22">
        <v>2</v>
      </c>
      <c r="D132" s="31">
        <v>184</v>
      </c>
      <c r="E132" s="4">
        <f t="shared" si="4"/>
        <v>368</v>
      </c>
      <c r="F132" s="19">
        <f t="shared" si="5"/>
        <v>33.454545454545453</v>
      </c>
    </row>
    <row r="133" spans="1:6" x14ac:dyDescent="0.3">
      <c r="A133" s="4"/>
      <c r="B133" s="4"/>
      <c r="C133" s="4"/>
      <c r="D133" s="4"/>
      <c r="E133" s="4">
        <f t="shared" si="4"/>
        <v>0</v>
      </c>
      <c r="F133" s="19">
        <f t="shared" si="5"/>
        <v>0</v>
      </c>
    </row>
    <row r="134" spans="1:6" x14ac:dyDescent="0.3">
      <c r="A134" s="3">
        <v>45764</v>
      </c>
      <c r="B134" s="7" t="s">
        <v>89</v>
      </c>
      <c r="C134" s="4">
        <v>1</v>
      </c>
      <c r="D134" s="30">
        <v>489</v>
      </c>
      <c r="E134" s="4">
        <f t="shared" si="4"/>
        <v>489</v>
      </c>
      <c r="F134" s="19">
        <f t="shared" si="5"/>
        <v>44.454545454545453</v>
      </c>
    </row>
    <row r="135" spans="1:6" x14ac:dyDescent="0.3">
      <c r="A135" s="3">
        <v>45764</v>
      </c>
      <c r="B135" s="7" t="s">
        <v>90</v>
      </c>
      <c r="C135" s="4">
        <v>1</v>
      </c>
      <c r="D135" s="30">
        <v>489</v>
      </c>
      <c r="E135" s="4">
        <f t="shared" si="4"/>
        <v>489</v>
      </c>
      <c r="F135" s="19">
        <f t="shared" si="5"/>
        <v>44.454545454545453</v>
      </c>
    </row>
    <row r="136" spans="1:6" x14ac:dyDescent="0.3">
      <c r="A136" s="3">
        <v>45764</v>
      </c>
      <c r="B136" s="7" t="s">
        <v>91</v>
      </c>
      <c r="C136" s="4">
        <v>1</v>
      </c>
      <c r="D136" s="30">
        <v>539</v>
      </c>
      <c r="E136" s="4">
        <f t="shared" si="4"/>
        <v>539</v>
      </c>
      <c r="F136" s="19">
        <f t="shared" si="5"/>
        <v>49</v>
      </c>
    </row>
    <row r="137" spans="1:6" x14ac:dyDescent="0.3">
      <c r="A137" s="3">
        <v>45764</v>
      </c>
      <c r="B137" s="7" t="s">
        <v>92</v>
      </c>
      <c r="C137" s="4">
        <v>1</v>
      </c>
      <c r="D137" s="30">
        <v>539</v>
      </c>
      <c r="E137" s="4">
        <f t="shared" si="4"/>
        <v>539</v>
      </c>
      <c r="F137" s="19">
        <f t="shared" si="5"/>
        <v>49</v>
      </c>
    </row>
    <row r="138" spans="1:6" x14ac:dyDescent="0.3">
      <c r="A138" s="3">
        <v>45764</v>
      </c>
      <c r="B138" s="34" t="s">
        <v>93</v>
      </c>
      <c r="C138" s="4">
        <v>1</v>
      </c>
      <c r="D138" s="30">
        <v>539</v>
      </c>
      <c r="E138" s="4">
        <f t="shared" si="4"/>
        <v>539</v>
      </c>
      <c r="F138" s="19">
        <f t="shared" si="5"/>
        <v>49</v>
      </c>
    </row>
    <row r="139" spans="1:6" x14ac:dyDescent="0.3">
      <c r="A139" s="3">
        <v>45764</v>
      </c>
      <c r="B139" s="34" t="s">
        <v>94</v>
      </c>
      <c r="C139" s="4">
        <v>1</v>
      </c>
      <c r="D139" s="30">
        <v>489</v>
      </c>
      <c r="E139" s="4">
        <f t="shared" si="4"/>
        <v>489</v>
      </c>
      <c r="F139" s="19">
        <f t="shared" si="5"/>
        <v>44.454545454545453</v>
      </c>
    </row>
    <row r="140" spans="1:6" x14ac:dyDescent="0.3">
      <c r="A140" s="3">
        <v>45764</v>
      </c>
      <c r="B140" s="34" t="s">
        <v>95</v>
      </c>
      <c r="C140" s="4">
        <v>5</v>
      </c>
      <c r="D140" s="30">
        <v>539</v>
      </c>
      <c r="E140" s="4">
        <f t="shared" si="4"/>
        <v>2695</v>
      </c>
      <c r="F140" s="19">
        <f t="shared" si="5"/>
        <v>245</v>
      </c>
    </row>
    <row r="141" spans="1:6" x14ac:dyDescent="0.3">
      <c r="A141" s="3">
        <v>45764</v>
      </c>
      <c r="B141" s="7" t="s">
        <v>96</v>
      </c>
      <c r="C141" s="4">
        <v>4</v>
      </c>
      <c r="D141" s="30">
        <v>539</v>
      </c>
      <c r="E141" s="4">
        <f t="shared" si="4"/>
        <v>2156</v>
      </c>
      <c r="F141" s="19">
        <f t="shared" si="5"/>
        <v>196</v>
      </c>
    </row>
    <row r="142" spans="1:6" x14ac:dyDescent="0.3">
      <c r="A142" s="7"/>
      <c r="B142" s="7"/>
      <c r="C142" s="23"/>
      <c r="D142" s="7"/>
      <c r="E142" s="4">
        <f t="shared" si="4"/>
        <v>0</v>
      </c>
      <c r="F142" s="19">
        <f t="shared" si="5"/>
        <v>0</v>
      </c>
    </row>
    <row r="143" spans="1:6" x14ac:dyDescent="0.3">
      <c r="A143" s="3">
        <v>45767</v>
      </c>
      <c r="B143" s="34" t="s">
        <v>97</v>
      </c>
      <c r="C143" s="4">
        <v>9</v>
      </c>
      <c r="D143" s="27">
        <v>539</v>
      </c>
      <c r="E143" s="4">
        <f t="shared" si="4"/>
        <v>4851</v>
      </c>
      <c r="F143" s="19">
        <f t="shared" si="5"/>
        <v>441</v>
      </c>
    </row>
    <row r="144" spans="1:6" x14ac:dyDescent="0.3">
      <c r="A144" s="20">
        <v>45767</v>
      </c>
      <c r="B144" s="28" t="s">
        <v>98</v>
      </c>
      <c r="C144" s="22">
        <v>5</v>
      </c>
      <c r="D144" s="29">
        <v>489</v>
      </c>
      <c r="E144" s="4">
        <f t="shared" si="4"/>
        <v>2445</v>
      </c>
      <c r="F144" s="19">
        <f t="shared" si="5"/>
        <v>222.27272727272728</v>
      </c>
    </row>
    <row r="145" spans="1:6" x14ac:dyDescent="0.3">
      <c r="A145" s="4"/>
      <c r="B145" s="4"/>
      <c r="C145" s="4"/>
      <c r="D145" s="4"/>
      <c r="E145" s="4">
        <f t="shared" si="4"/>
        <v>0</v>
      </c>
      <c r="F145" s="19">
        <f t="shared" si="5"/>
        <v>0</v>
      </c>
    </row>
    <row r="146" spans="1:6" x14ac:dyDescent="0.3">
      <c r="A146" s="3">
        <v>45768</v>
      </c>
      <c r="B146" s="7" t="s">
        <v>99</v>
      </c>
      <c r="C146" s="4">
        <v>1</v>
      </c>
      <c r="D146" s="7">
        <v>184</v>
      </c>
      <c r="E146" s="4">
        <f t="shared" si="4"/>
        <v>184</v>
      </c>
      <c r="F146" s="19">
        <f t="shared" si="5"/>
        <v>16.727272727272727</v>
      </c>
    </row>
    <row r="147" spans="1:6" x14ac:dyDescent="0.3">
      <c r="A147" s="3">
        <v>45768</v>
      </c>
      <c r="B147" s="7" t="s">
        <v>100</v>
      </c>
      <c r="C147" s="4">
        <v>6</v>
      </c>
      <c r="D147" s="7">
        <v>2590</v>
      </c>
      <c r="E147" s="4">
        <f t="shared" si="4"/>
        <v>15540</v>
      </c>
      <c r="F147" s="19">
        <f t="shared" si="5"/>
        <v>1412.7272727272727</v>
      </c>
    </row>
    <row r="148" spans="1:6" x14ac:dyDescent="0.3">
      <c r="A148" s="4"/>
      <c r="B148" s="4"/>
      <c r="C148" s="4"/>
      <c r="D148" s="4"/>
      <c r="E148" s="4">
        <f t="shared" si="4"/>
        <v>0</v>
      </c>
      <c r="F148" s="19">
        <f t="shared" si="5"/>
        <v>0</v>
      </c>
    </row>
    <row r="149" spans="1:6" x14ac:dyDescent="0.3">
      <c r="A149" s="3">
        <v>45768</v>
      </c>
      <c r="B149" s="7" t="s">
        <v>101</v>
      </c>
      <c r="C149" s="4">
        <v>5</v>
      </c>
      <c r="D149" s="7">
        <v>21</v>
      </c>
      <c r="E149" s="4">
        <f t="shared" si="4"/>
        <v>105</v>
      </c>
      <c r="F149" s="19">
        <f t="shared" si="5"/>
        <v>9.545454545454545</v>
      </c>
    </row>
    <row r="150" spans="1:6" x14ac:dyDescent="0.3">
      <c r="A150" s="4"/>
      <c r="B150" s="4"/>
      <c r="C150" s="4"/>
      <c r="D150" s="4"/>
      <c r="E150" s="4">
        <f t="shared" si="4"/>
        <v>0</v>
      </c>
      <c r="F150" s="19">
        <f t="shared" si="5"/>
        <v>0</v>
      </c>
    </row>
    <row r="151" spans="1:6" x14ac:dyDescent="0.3">
      <c r="A151" s="3">
        <v>45768</v>
      </c>
      <c r="B151" s="34" t="s">
        <v>102</v>
      </c>
      <c r="C151" s="4">
        <v>6</v>
      </c>
      <c r="D151" s="7">
        <v>539</v>
      </c>
      <c r="E151" s="4">
        <f t="shared" si="4"/>
        <v>3234</v>
      </c>
      <c r="F151" s="19">
        <f t="shared" si="5"/>
        <v>294</v>
      </c>
    </row>
    <row r="152" spans="1:6" x14ac:dyDescent="0.3">
      <c r="A152" s="20">
        <v>45768</v>
      </c>
      <c r="B152" s="28" t="s">
        <v>103</v>
      </c>
      <c r="C152" s="22">
        <v>1</v>
      </c>
      <c r="D152" s="29">
        <v>489</v>
      </c>
      <c r="E152" s="4">
        <f t="shared" si="4"/>
        <v>489</v>
      </c>
      <c r="F152" s="19">
        <f t="shared" si="5"/>
        <v>44.454545454545453</v>
      </c>
    </row>
    <row r="153" spans="1:6" x14ac:dyDescent="0.3">
      <c r="A153" s="3">
        <v>45768</v>
      </c>
      <c r="B153" s="34" t="s">
        <v>104</v>
      </c>
      <c r="C153" s="4">
        <v>4</v>
      </c>
      <c r="D153" s="7">
        <v>539</v>
      </c>
      <c r="E153" s="4">
        <f t="shared" si="4"/>
        <v>2156</v>
      </c>
      <c r="F153" s="19">
        <f t="shared" si="5"/>
        <v>196</v>
      </c>
    </row>
    <row r="154" spans="1:6" x14ac:dyDescent="0.3">
      <c r="A154" s="3">
        <v>45768</v>
      </c>
      <c r="B154" s="34" t="s">
        <v>105</v>
      </c>
      <c r="C154" s="4">
        <v>4</v>
      </c>
      <c r="D154" s="7">
        <v>539</v>
      </c>
      <c r="E154" s="4">
        <f t="shared" si="4"/>
        <v>2156</v>
      </c>
      <c r="F154" s="19">
        <f t="shared" si="5"/>
        <v>196</v>
      </c>
    </row>
    <row r="155" spans="1:6" x14ac:dyDescent="0.3">
      <c r="A155" s="4"/>
      <c r="B155" s="25"/>
      <c r="C155" s="4"/>
      <c r="D155" s="4"/>
      <c r="E155" s="4">
        <f t="shared" si="4"/>
        <v>0</v>
      </c>
      <c r="F155" s="19">
        <f t="shared" si="5"/>
        <v>0</v>
      </c>
    </row>
    <row r="156" spans="1:6" x14ac:dyDescent="0.3">
      <c r="A156" s="20">
        <v>45768</v>
      </c>
      <c r="B156" s="28" t="s">
        <v>106</v>
      </c>
      <c r="C156" s="22">
        <v>3</v>
      </c>
      <c r="D156" s="29">
        <v>2199</v>
      </c>
      <c r="E156" s="4">
        <f t="shared" si="4"/>
        <v>6597</v>
      </c>
      <c r="F156" s="19">
        <f t="shared" si="5"/>
        <v>599.72727272727275</v>
      </c>
    </row>
    <row r="157" spans="1:6" x14ac:dyDescent="0.3">
      <c r="A157" s="35">
        <v>45768</v>
      </c>
      <c r="B157" s="36" t="s">
        <v>107</v>
      </c>
      <c r="C157" s="37">
        <v>6</v>
      </c>
      <c r="D157" s="38">
        <v>2199</v>
      </c>
      <c r="E157" s="4">
        <f t="shared" si="4"/>
        <v>13194</v>
      </c>
      <c r="F157" s="19">
        <f t="shared" si="5"/>
        <v>1199.4545454545455</v>
      </c>
    </row>
    <row r="158" spans="1:6" x14ac:dyDescent="0.3">
      <c r="A158" s="7"/>
      <c r="B158" s="7"/>
      <c r="C158" s="23"/>
      <c r="D158" s="7"/>
      <c r="E158" s="4">
        <f t="shared" si="4"/>
        <v>0</v>
      </c>
      <c r="F158" s="19">
        <f t="shared" si="5"/>
        <v>0</v>
      </c>
    </row>
    <row r="159" spans="1:6" x14ac:dyDescent="0.3">
      <c r="A159" s="7"/>
      <c r="B159" s="7"/>
      <c r="C159" s="23"/>
      <c r="D159" s="7"/>
      <c r="E159" s="4">
        <f t="shared" si="4"/>
        <v>0</v>
      </c>
      <c r="F159" s="19">
        <f t="shared" si="5"/>
        <v>0</v>
      </c>
    </row>
    <row r="160" spans="1:6" x14ac:dyDescent="0.3">
      <c r="A160" s="3">
        <v>45769</v>
      </c>
      <c r="B160" s="8" t="s">
        <v>108</v>
      </c>
      <c r="C160" s="4">
        <v>2</v>
      </c>
      <c r="D160" s="4">
        <v>254.6</v>
      </c>
      <c r="E160" s="4">
        <f t="shared" si="4"/>
        <v>509.2</v>
      </c>
      <c r="F160" s="19">
        <f t="shared" si="5"/>
        <v>46.290909090909089</v>
      </c>
    </row>
    <row r="161" spans="1:6" x14ac:dyDescent="0.3">
      <c r="A161" s="3">
        <v>45769</v>
      </c>
      <c r="B161" s="8" t="s">
        <v>109</v>
      </c>
      <c r="C161" s="4">
        <v>17</v>
      </c>
      <c r="D161" s="4">
        <v>98</v>
      </c>
      <c r="E161" s="4">
        <f t="shared" si="4"/>
        <v>1666</v>
      </c>
      <c r="F161" s="19">
        <f t="shared" si="5"/>
        <v>151.45454545454547</v>
      </c>
    </row>
    <row r="162" spans="1:6" x14ac:dyDescent="0.3">
      <c r="A162" s="3">
        <v>45769</v>
      </c>
      <c r="B162" s="8" t="s">
        <v>110</v>
      </c>
      <c r="C162" s="4">
        <v>1</v>
      </c>
      <c r="D162" s="4">
        <v>2588</v>
      </c>
      <c r="E162" s="4">
        <f t="shared" si="4"/>
        <v>2588</v>
      </c>
      <c r="F162" s="19">
        <f t="shared" si="5"/>
        <v>235.27272727272728</v>
      </c>
    </row>
    <row r="163" spans="1:6" x14ac:dyDescent="0.3">
      <c r="A163" s="3">
        <v>45769</v>
      </c>
      <c r="B163" s="8" t="s">
        <v>111</v>
      </c>
      <c r="C163" s="4">
        <v>1</v>
      </c>
      <c r="D163" s="4">
        <v>3518</v>
      </c>
      <c r="E163" s="4">
        <f t="shared" si="4"/>
        <v>3518</v>
      </c>
      <c r="F163" s="19">
        <f t="shared" si="5"/>
        <v>319.81818181818181</v>
      </c>
    </row>
    <row r="164" spans="1:6" x14ac:dyDescent="0.3">
      <c r="A164" s="4"/>
      <c r="B164" s="8"/>
      <c r="C164" s="4"/>
      <c r="D164" s="4"/>
      <c r="E164" s="4">
        <f t="shared" si="4"/>
        <v>0</v>
      </c>
      <c r="F164" s="19">
        <f t="shared" si="5"/>
        <v>0</v>
      </c>
    </row>
    <row r="165" spans="1:6" x14ac:dyDescent="0.3">
      <c r="A165" s="3"/>
      <c r="B165" s="8"/>
      <c r="C165" s="4"/>
      <c r="D165" s="4"/>
      <c r="E165" s="4">
        <f t="shared" si="4"/>
        <v>0</v>
      </c>
      <c r="F165" s="19">
        <f t="shared" si="5"/>
        <v>0</v>
      </c>
    </row>
    <row r="166" spans="1:6" x14ac:dyDescent="0.3">
      <c r="A166" s="3">
        <v>45769</v>
      </c>
      <c r="B166" s="8"/>
      <c r="C166" s="4"/>
      <c r="D166" s="4"/>
      <c r="E166" s="4">
        <f t="shared" si="4"/>
        <v>0</v>
      </c>
      <c r="F166" s="19">
        <f t="shared" si="5"/>
        <v>0</v>
      </c>
    </row>
    <row r="167" spans="1:6" x14ac:dyDescent="0.3">
      <c r="A167" s="3">
        <v>45769</v>
      </c>
      <c r="B167" s="8" t="s">
        <v>112</v>
      </c>
      <c r="C167" s="4">
        <v>1</v>
      </c>
      <c r="D167" s="4">
        <v>2549</v>
      </c>
      <c r="E167" s="4">
        <f t="shared" si="4"/>
        <v>2549</v>
      </c>
      <c r="F167" s="19">
        <f t="shared" si="5"/>
        <v>231.72727272727272</v>
      </c>
    </row>
    <row r="168" spans="1:6" x14ac:dyDescent="0.3">
      <c r="A168" s="3">
        <v>45769</v>
      </c>
      <c r="B168" s="8" t="s">
        <v>113</v>
      </c>
      <c r="C168" s="4">
        <v>3</v>
      </c>
      <c r="D168" s="4">
        <v>2197</v>
      </c>
      <c r="E168" s="4">
        <f t="shared" si="4"/>
        <v>6591</v>
      </c>
      <c r="F168" s="19">
        <f t="shared" si="5"/>
        <v>599.18181818181813</v>
      </c>
    </row>
    <row r="169" spans="1:6" x14ac:dyDescent="0.3">
      <c r="A169" s="4"/>
      <c r="B169" s="4"/>
      <c r="C169" s="4"/>
      <c r="D169" s="4"/>
      <c r="E169" s="4">
        <f t="shared" si="4"/>
        <v>0</v>
      </c>
      <c r="F169" s="19">
        <f t="shared" si="5"/>
        <v>0</v>
      </c>
    </row>
    <row r="170" spans="1:6" x14ac:dyDescent="0.3">
      <c r="A170" s="3">
        <v>45769</v>
      </c>
      <c r="B170" s="8" t="s">
        <v>114</v>
      </c>
      <c r="C170" s="4">
        <v>3</v>
      </c>
      <c r="D170" s="4">
        <v>254.6</v>
      </c>
      <c r="E170" s="4">
        <f t="shared" si="4"/>
        <v>763.8</v>
      </c>
      <c r="F170" s="19">
        <f t="shared" si="5"/>
        <v>69.436363636363637</v>
      </c>
    </row>
    <row r="171" spans="1:6" x14ac:dyDescent="0.3">
      <c r="A171" s="4"/>
      <c r="B171" s="4"/>
      <c r="C171" s="4"/>
      <c r="D171" s="4"/>
      <c r="E171" s="4">
        <f t="shared" si="4"/>
        <v>0</v>
      </c>
      <c r="F171" s="19">
        <f t="shared" si="5"/>
        <v>0</v>
      </c>
    </row>
    <row r="172" spans="1:6" x14ac:dyDescent="0.3">
      <c r="A172" s="3">
        <v>45769</v>
      </c>
      <c r="B172" s="8" t="s">
        <v>115</v>
      </c>
      <c r="C172" s="4">
        <v>1</v>
      </c>
      <c r="D172" s="4">
        <v>98</v>
      </c>
      <c r="E172" s="4">
        <f t="shared" si="4"/>
        <v>98</v>
      </c>
      <c r="F172" s="19">
        <f t="shared" si="5"/>
        <v>8.9090909090909083</v>
      </c>
    </row>
    <row r="173" spans="1:6" x14ac:dyDescent="0.3">
      <c r="A173" s="7"/>
      <c r="B173" s="7"/>
      <c r="C173" s="23"/>
      <c r="D173" s="7"/>
      <c r="E173" s="4">
        <f t="shared" si="4"/>
        <v>0</v>
      </c>
      <c r="F173" s="19">
        <f t="shared" si="5"/>
        <v>0</v>
      </c>
    </row>
    <row r="174" spans="1:6" x14ac:dyDescent="0.3">
      <c r="A174" s="7"/>
      <c r="B174" s="7"/>
      <c r="C174" s="23"/>
      <c r="D174" s="7"/>
      <c r="E174" s="4">
        <f t="shared" si="4"/>
        <v>0</v>
      </c>
      <c r="F174" s="19">
        <f t="shared" si="5"/>
        <v>0</v>
      </c>
    </row>
    <row r="175" spans="1:6" x14ac:dyDescent="0.3">
      <c r="A175" s="7"/>
      <c r="B175" s="7"/>
      <c r="C175" s="23"/>
      <c r="D175" s="7"/>
      <c r="E175" s="4">
        <f t="shared" si="4"/>
        <v>0</v>
      </c>
      <c r="F175" s="19">
        <f t="shared" si="5"/>
        <v>0</v>
      </c>
    </row>
    <row r="176" spans="1:6" x14ac:dyDescent="0.3">
      <c r="A176" s="24">
        <v>45771</v>
      </c>
      <c r="B176" s="7" t="s">
        <v>116</v>
      </c>
      <c r="C176" s="4">
        <v>4</v>
      </c>
      <c r="D176" s="27">
        <v>2330</v>
      </c>
      <c r="E176" s="4">
        <f t="shared" si="4"/>
        <v>9320</v>
      </c>
      <c r="F176" s="19">
        <f t="shared" si="5"/>
        <v>847.27272727272725</v>
      </c>
    </row>
    <row r="177" spans="1:6" x14ac:dyDescent="0.3">
      <c r="A177" s="24">
        <v>45771</v>
      </c>
      <c r="B177" s="7" t="s">
        <v>117</v>
      </c>
      <c r="C177" s="4">
        <v>4</v>
      </c>
      <c r="D177" s="27">
        <v>3250</v>
      </c>
      <c r="E177" s="4">
        <f t="shared" si="4"/>
        <v>13000</v>
      </c>
      <c r="F177" s="19">
        <f t="shared" si="5"/>
        <v>1181.8181818181818</v>
      </c>
    </row>
    <row r="178" spans="1:6" x14ac:dyDescent="0.3">
      <c r="A178" s="24">
        <v>45771</v>
      </c>
      <c r="B178" s="7" t="s">
        <v>118</v>
      </c>
      <c r="C178" s="4">
        <v>3</v>
      </c>
      <c r="D178" s="27">
        <v>521</v>
      </c>
      <c r="E178" s="4">
        <f t="shared" si="4"/>
        <v>1563</v>
      </c>
      <c r="F178" s="19">
        <f t="shared" si="5"/>
        <v>142.09090909090909</v>
      </c>
    </row>
    <row r="179" spans="1:6" x14ac:dyDescent="0.3">
      <c r="A179" s="24">
        <v>45771</v>
      </c>
      <c r="B179" s="7" t="s">
        <v>119</v>
      </c>
      <c r="C179" s="4">
        <v>12</v>
      </c>
      <c r="D179" s="27">
        <v>14.5</v>
      </c>
      <c r="E179" s="4">
        <f t="shared" si="4"/>
        <v>174</v>
      </c>
      <c r="F179" s="19">
        <f t="shared" si="5"/>
        <v>15.818181818181818</v>
      </c>
    </row>
    <row r="180" spans="1:6" x14ac:dyDescent="0.3">
      <c r="A180" s="24">
        <v>45771</v>
      </c>
      <c r="B180" s="7" t="s">
        <v>120</v>
      </c>
      <c r="C180" s="4">
        <v>15</v>
      </c>
      <c r="D180" s="27">
        <v>26.5</v>
      </c>
      <c r="E180" s="4">
        <f t="shared" si="4"/>
        <v>397.5</v>
      </c>
      <c r="F180" s="19">
        <f t="shared" si="5"/>
        <v>36.136363636363633</v>
      </c>
    </row>
    <row r="181" spans="1:6" x14ac:dyDescent="0.3">
      <c r="A181" s="24">
        <v>45771</v>
      </c>
      <c r="B181" s="7" t="s">
        <v>121</v>
      </c>
      <c r="C181" s="4">
        <v>23</v>
      </c>
      <c r="D181" s="27">
        <v>12</v>
      </c>
      <c r="E181" s="4">
        <f t="shared" si="4"/>
        <v>276</v>
      </c>
      <c r="F181" s="19">
        <f t="shared" si="5"/>
        <v>25.09090909090909</v>
      </c>
    </row>
    <row r="182" spans="1:6" x14ac:dyDescent="0.3">
      <c r="A182" s="24">
        <v>45771</v>
      </c>
      <c r="B182" s="7" t="s">
        <v>122</v>
      </c>
      <c r="C182" s="4">
        <v>3</v>
      </c>
      <c r="D182" s="27">
        <v>18</v>
      </c>
      <c r="E182" s="4">
        <f t="shared" si="4"/>
        <v>54</v>
      </c>
      <c r="F182" s="19">
        <f t="shared" si="5"/>
        <v>4.9090909090909092</v>
      </c>
    </row>
    <row r="183" spans="1:6" x14ac:dyDescent="0.3">
      <c r="A183" s="24">
        <v>45771</v>
      </c>
      <c r="B183" s="7" t="s">
        <v>123</v>
      </c>
      <c r="C183" s="4">
        <v>3</v>
      </c>
      <c r="D183" s="27">
        <v>18</v>
      </c>
      <c r="E183" s="4">
        <f t="shared" si="4"/>
        <v>54</v>
      </c>
      <c r="F183" s="19">
        <f t="shared" si="5"/>
        <v>4.9090909090909092</v>
      </c>
    </row>
    <row r="184" spans="1:6" x14ac:dyDescent="0.3">
      <c r="A184" s="24">
        <v>45771</v>
      </c>
      <c r="B184" s="7" t="s">
        <v>124</v>
      </c>
      <c r="C184" s="4">
        <v>2</v>
      </c>
      <c r="D184" s="27">
        <v>18</v>
      </c>
      <c r="E184" s="4">
        <f t="shared" si="4"/>
        <v>36</v>
      </c>
      <c r="F184" s="19">
        <f t="shared" si="5"/>
        <v>3.2727272727272729</v>
      </c>
    </row>
    <row r="185" spans="1:6" x14ac:dyDescent="0.3">
      <c r="A185" s="24">
        <v>45771</v>
      </c>
      <c r="B185" s="7" t="s">
        <v>125</v>
      </c>
      <c r="C185" s="4">
        <v>2</v>
      </c>
      <c r="D185" s="27">
        <v>18</v>
      </c>
      <c r="E185" s="4">
        <f t="shared" si="4"/>
        <v>36</v>
      </c>
      <c r="F185" s="19">
        <f t="shared" si="5"/>
        <v>3.2727272727272729</v>
      </c>
    </row>
    <row r="186" spans="1:6" x14ac:dyDescent="0.3">
      <c r="A186" s="24">
        <v>45771</v>
      </c>
      <c r="B186" s="7" t="s">
        <v>126</v>
      </c>
      <c r="C186" s="4">
        <v>2</v>
      </c>
      <c r="D186" s="27">
        <v>18</v>
      </c>
      <c r="E186" s="4">
        <f t="shared" si="4"/>
        <v>36</v>
      </c>
      <c r="F186" s="19">
        <f t="shared" si="5"/>
        <v>3.2727272727272729</v>
      </c>
    </row>
    <row r="187" spans="1:6" x14ac:dyDescent="0.3">
      <c r="A187" s="24">
        <v>45771</v>
      </c>
      <c r="B187" s="7" t="s">
        <v>127</v>
      </c>
      <c r="C187" s="4">
        <v>1</v>
      </c>
      <c r="D187" s="27">
        <v>136</v>
      </c>
      <c r="E187" s="4">
        <f t="shared" si="4"/>
        <v>136</v>
      </c>
      <c r="F187" s="19">
        <f t="shared" si="5"/>
        <v>12.363636363636363</v>
      </c>
    </row>
    <row r="188" spans="1:6" x14ac:dyDescent="0.3">
      <c r="A188" s="24">
        <v>45771</v>
      </c>
      <c r="B188" s="7" t="s">
        <v>128</v>
      </c>
      <c r="C188" s="4">
        <v>2</v>
      </c>
      <c r="D188" s="27">
        <v>191</v>
      </c>
      <c r="E188" s="4">
        <f t="shared" si="4"/>
        <v>382</v>
      </c>
      <c r="F188" s="19">
        <f t="shared" si="5"/>
        <v>34.727272727272727</v>
      </c>
    </row>
    <row r="189" spans="1:6" x14ac:dyDescent="0.3">
      <c r="A189" s="24">
        <v>45771</v>
      </c>
      <c r="B189" s="7" t="s">
        <v>129</v>
      </c>
      <c r="C189" s="4">
        <v>4</v>
      </c>
      <c r="D189" s="27">
        <v>184</v>
      </c>
      <c r="E189" s="4">
        <f t="shared" si="4"/>
        <v>736</v>
      </c>
      <c r="F189" s="19">
        <f t="shared" si="5"/>
        <v>66.909090909090907</v>
      </c>
    </row>
    <row r="190" spans="1:6" x14ac:dyDescent="0.3">
      <c r="A190" s="24">
        <v>45771</v>
      </c>
      <c r="B190" s="7" t="s">
        <v>130</v>
      </c>
      <c r="C190" s="4">
        <v>4</v>
      </c>
      <c r="D190" s="27">
        <v>238</v>
      </c>
      <c r="E190" s="4">
        <f t="shared" si="4"/>
        <v>952</v>
      </c>
      <c r="F190" s="19">
        <f t="shared" si="5"/>
        <v>86.545454545454547</v>
      </c>
    </row>
    <row r="191" spans="1:6" x14ac:dyDescent="0.3">
      <c r="A191" s="24">
        <v>45771</v>
      </c>
      <c r="B191" s="7" t="s">
        <v>131</v>
      </c>
      <c r="C191" s="4">
        <v>3</v>
      </c>
      <c r="D191" s="27">
        <v>510</v>
      </c>
      <c r="E191" s="4">
        <f t="shared" si="4"/>
        <v>1530</v>
      </c>
      <c r="F191" s="19">
        <f t="shared" si="5"/>
        <v>139.09090909090909</v>
      </c>
    </row>
    <row r="192" spans="1:6" x14ac:dyDescent="0.3">
      <c r="A192" s="24">
        <v>45771</v>
      </c>
      <c r="B192" s="7" t="s">
        <v>132</v>
      </c>
      <c r="C192" s="4">
        <v>2</v>
      </c>
      <c r="D192" s="27">
        <v>3300</v>
      </c>
      <c r="E192" s="4">
        <f t="shared" si="4"/>
        <v>6600</v>
      </c>
      <c r="F192" s="19">
        <f t="shared" si="5"/>
        <v>600</v>
      </c>
    </row>
    <row r="193" spans="1:6" x14ac:dyDescent="0.3">
      <c r="A193" s="24">
        <v>45771</v>
      </c>
      <c r="B193" s="7" t="s">
        <v>133</v>
      </c>
      <c r="C193" s="4">
        <v>2</v>
      </c>
      <c r="D193" s="27">
        <v>2149</v>
      </c>
      <c r="E193" s="4">
        <f t="shared" si="4"/>
        <v>4298</v>
      </c>
      <c r="F193" s="19">
        <f t="shared" si="5"/>
        <v>390.72727272727275</v>
      </c>
    </row>
    <row r="194" spans="1:6" x14ac:dyDescent="0.3">
      <c r="A194" s="7"/>
      <c r="B194" s="7"/>
      <c r="C194" s="23"/>
      <c r="D194" s="7"/>
      <c r="E194" s="4">
        <f t="shared" si="4"/>
        <v>0</v>
      </c>
      <c r="F194" s="19">
        <f t="shared" si="5"/>
        <v>0</v>
      </c>
    </row>
    <row r="195" spans="1:6" x14ac:dyDescent="0.3">
      <c r="A195" s="7"/>
      <c r="B195" s="7"/>
      <c r="C195" s="23"/>
      <c r="D195" s="7"/>
      <c r="E195" s="4">
        <f t="shared" ref="E195:E258" si="6">D195*C195</f>
        <v>0</v>
      </c>
      <c r="F195" s="19">
        <f t="shared" ref="F195:F258" si="7">E195/11</f>
        <v>0</v>
      </c>
    </row>
    <row r="196" spans="1:6" x14ac:dyDescent="0.3">
      <c r="A196" s="7"/>
      <c r="B196" s="7"/>
      <c r="C196" s="23"/>
      <c r="D196" s="7"/>
      <c r="E196" s="4">
        <f t="shared" si="6"/>
        <v>0</v>
      </c>
      <c r="F196" s="19">
        <f t="shared" si="7"/>
        <v>0</v>
      </c>
    </row>
    <row r="197" spans="1:6" x14ac:dyDescent="0.3">
      <c r="A197" s="24">
        <v>45773</v>
      </c>
      <c r="B197" s="7" t="s">
        <v>134</v>
      </c>
      <c r="C197" s="4">
        <v>3</v>
      </c>
      <c r="D197" s="27">
        <v>520</v>
      </c>
      <c r="E197" s="4">
        <f t="shared" si="6"/>
        <v>1560</v>
      </c>
      <c r="F197" s="19">
        <f t="shared" si="7"/>
        <v>141.81818181818181</v>
      </c>
    </row>
    <row r="198" spans="1:6" x14ac:dyDescent="0.3">
      <c r="A198" s="24">
        <v>45774</v>
      </c>
      <c r="B198" s="7" t="s">
        <v>135</v>
      </c>
      <c r="C198" s="4">
        <v>2</v>
      </c>
      <c r="D198" s="27">
        <v>3220</v>
      </c>
      <c r="E198" s="4">
        <f t="shared" si="6"/>
        <v>6440</v>
      </c>
      <c r="F198" s="19">
        <f t="shared" si="7"/>
        <v>585.4545454545455</v>
      </c>
    </row>
    <row r="199" spans="1:6" x14ac:dyDescent="0.3">
      <c r="A199" s="24">
        <v>45774</v>
      </c>
      <c r="B199" s="7" t="s">
        <v>136</v>
      </c>
      <c r="C199" s="4">
        <v>1</v>
      </c>
      <c r="D199" s="27">
        <v>2315</v>
      </c>
      <c r="E199" s="4">
        <f t="shared" si="6"/>
        <v>2315</v>
      </c>
      <c r="F199" s="19">
        <f t="shared" si="7"/>
        <v>210.45454545454547</v>
      </c>
    </row>
    <row r="200" spans="1:6" x14ac:dyDescent="0.3">
      <c r="A200" s="24">
        <v>45774</v>
      </c>
      <c r="B200" s="7" t="s">
        <v>137</v>
      </c>
      <c r="C200" s="4">
        <v>2</v>
      </c>
      <c r="D200" s="27">
        <v>3300</v>
      </c>
      <c r="E200" s="4">
        <f t="shared" si="6"/>
        <v>6600</v>
      </c>
      <c r="F200" s="19">
        <f t="shared" si="7"/>
        <v>600</v>
      </c>
    </row>
    <row r="201" spans="1:6" x14ac:dyDescent="0.3">
      <c r="A201" s="24">
        <v>45774</v>
      </c>
      <c r="B201" s="7" t="s">
        <v>138</v>
      </c>
      <c r="C201" s="4">
        <v>2</v>
      </c>
      <c r="D201" s="27">
        <v>2380</v>
      </c>
      <c r="E201" s="4">
        <f t="shared" si="6"/>
        <v>4760</v>
      </c>
      <c r="F201" s="19">
        <f t="shared" si="7"/>
        <v>432.72727272727275</v>
      </c>
    </row>
    <row r="202" spans="1:6" x14ac:dyDescent="0.3">
      <c r="A202" s="24">
        <v>45774</v>
      </c>
      <c r="B202" s="7" t="s">
        <v>139</v>
      </c>
      <c r="C202" s="4">
        <v>1</v>
      </c>
      <c r="D202" s="27">
        <v>520</v>
      </c>
      <c r="E202" s="4">
        <f t="shared" si="6"/>
        <v>520</v>
      </c>
      <c r="F202" s="19">
        <f t="shared" si="7"/>
        <v>47.272727272727273</v>
      </c>
    </row>
    <row r="203" spans="1:6" x14ac:dyDescent="0.3">
      <c r="A203" s="7"/>
      <c r="B203" s="7"/>
      <c r="C203" s="23"/>
      <c r="D203" s="7"/>
      <c r="E203" s="4">
        <f t="shared" si="6"/>
        <v>0</v>
      </c>
      <c r="F203" s="19">
        <f t="shared" si="7"/>
        <v>0</v>
      </c>
    </row>
    <row r="204" spans="1:6" x14ac:dyDescent="0.3">
      <c r="A204" s="24">
        <v>45776</v>
      </c>
      <c r="B204" s="8" t="s">
        <v>140</v>
      </c>
      <c r="C204" s="4">
        <v>4</v>
      </c>
      <c r="D204" s="4">
        <v>2159</v>
      </c>
      <c r="E204" s="4">
        <f t="shared" si="6"/>
        <v>8636</v>
      </c>
      <c r="F204" s="19">
        <f t="shared" si="7"/>
        <v>785.09090909090912</v>
      </c>
    </row>
    <row r="205" spans="1:6" x14ac:dyDescent="0.3">
      <c r="A205" s="4"/>
      <c r="B205" s="8" t="s">
        <v>141</v>
      </c>
      <c r="C205" s="4"/>
      <c r="D205" s="4"/>
      <c r="E205" s="4">
        <f t="shared" si="6"/>
        <v>0</v>
      </c>
      <c r="F205" s="19">
        <f t="shared" si="7"/>
        <v>0</v>
      </c>
    </row>
    <row r="206" spans="1:6" x14ac:dyDescent="0.3">
      <c r="A206" s="4"/>
      <c r="B206" s="8" t="s">
        <v>142</v>
      </c>
      <c r="C206" s="4"/>
      <c r="D206" s="4"/>
      <c r="E206" s="4">
        <f t="shared" si="6"/>
        <v>0</v>
      </c>
      <c r="F206" s="19">
        <f t="shared" si="7"/>
        <v>0</v>
      </c>
    </row>
    <row r="207" spans="1:6" x14ac:dyDescent="0.3">
      <c r="A207" s="7"/>
      <c r="B207" s="7"/>
      <c r="C207" s="23"/>
      <c r="D207" s="7"/>
      <c r="E207" s="4">
        <f t="shared" si="6"/>
        <v>0</v>
      </c>
      <c r="F207" s="19">
        <f t="shared" si="7"/>
        <v>0</v>
      </c>
    </row>
    <row r="208" spans="1:6" x14ac:dyDescent="0.3">
      <c r="A208" s="24">
        <v>45775</v>
      </c>
      <c r="B208" s="4" t="s">
        <v>143</v>
      </c>
      <c r="C208" s="4">
        <v>2</v>
      </c>
      <c r="D208" s="4">
        <v>539</v>
      </c>
      <c r="E208" s="4">
        <f t="shared" si="6"/>
        <v>1078</v>
      </c>
      <c r="F208" s="19">
        <f t="shared" si="7"/>
        <v>98</v>
      </c>
    </row>
    <row r="209" spans="1:6" x14ac:dyDescent="0.3">
      <c r="A209" s="7"/>
      <c r="B209" s="7"/>
      <c r="C209" s="23"/>
      <c r="D209" s="7"/>
      <c r="E209" s="4">
        <f t="shared" si="6"/>
        <v>0</v>
      </c>
      <c r="F209" s="19">
        <f t="shared" si="7"/>
        <v>0</v>
      </c>
    </row>
    <row r="210" spans="1:6" x14ac:dyDescent="0.3">
      <c r="A210" s="3">
        <v>45778</v>
      </c>
      <c r="B210" s="8" t="s">
        <v>144</v>
      </c>
      <c r="C210" s="4">
        <v>2</v>
      </c>
      <c r="D210" s="4">
        <v>489</v>
      </c>
      <c r="E210" s="4">
        <f t="shared" si="6"/>
        <v>978</v>
      </c>
      <c r="F210" s="19">
        <f t="shared" si="7"/>
        <v>88.909090909090907</v>
      </c>
    </row>
    <row r="211" spans="1:6" x14ac:dyDescent="0.3">
      <c r="A211" s="3">
        <v>45778</v>
      </c>
      <c r="B211" s="8" t="s">
        <v>145</v>
      </c>
      <c r="C211" s="4">
        <v>2</v>
      </c>
      <c r="D211" s="4">
        <v>539</v>
      </c>
      <c r="E211" s="4">
        <f t="shared" si="6"/>
        <v>1078</v>
      </c>
      <c r="F211" s="19">
        <f t="shared" si="7"/>
        <v>98</v>
      </c>
    </row>
    <row r="212" spans="1:6" x14ac:dyDescent="0.3">
      <c r="A212" s="3">
        <v>45778</v>
      </c>
      <c r="B212" s="8" t="s">
        <v>146</v>
      </c>
      <c r="C212" s="4">
        <v>2</v>
      </c>
      <c r="D212" s="4">
        <v>489</v>
      </c>
      <c r="E212" s="4">
        <f t="shared" si="6"/>
        <v>978</v>
      </c>
      <c r="F212" s="19">
        <f t="shared" si="7"/>
        <v>88.909090909090907</v>
      </c>
    </row>
    <row r="213" spans="1:6" x14ac:dyDescent="0.3">
      <c r="A213" s="3">
        <v>45778</v>
      </c>
      <c r="B213" s="8" t="s">
        <v>147</v>
      </c>
      <c r="C213" s="4">
        <v>3</v>
      </c>
      <c r="D213" s="4">
        <v>449</v>
      </c>
      <c r="E213" s="4">
        <f t="shared" si="6"/>
        <v>1347</v>
      </c>
      <c r="F213" s="19">
        <f t="shared" si="7"/>
        <v>122.45454545454545</v>
      </c>
    </row>
    <row r="214" spans="1:6" x14ac:dyDescent="0.3">
      <c r="A214" s="7"/>
      <c r="B214" s="7"/>
      <c r="C214" s="23"/>
      <c r="D214" s="7"/>
      <c r="E214" s="4">
        <f t="shared" si="6"/>
        <v>0</v>
      </c>
      <c r="F214" s="19">
        <f t="shared" si="7"/>
        <v>0</v>
      </c>
    </row>
    <row r="215" spans="1:6" x14ac:dyDescent="0.3">
      <c r="A215" s="3">
        <v>45780</v>
      </c>
      <c r="B215" s="34" t="s">
        <v>148</v>
      </c>
      <c r="C215" s="4">
        <v>3</v>
      </c>
      <c r="D215" s="30">
        <v>539</v>
      </c>
      <c r="E215" s="4">
        <f t="shared" si="6"/>
        <v>1617</v>
      </c>
      <c r="F215" s="19">
        <f t="shared" si="7"/>
        <v>147</v>
      </c>
    </row>
    <row r="216" spans="1:6" x14ac:dyDescent="0.3">
      <c r="A216" s="3">
        <v>45780</v>
      </c>
      <c r="B216" s="34" t="s">
        <v>149</v>
      </c>
      <c r="C216" s="4">
        <v>2</v>
      </c>
      <c r="D216" s="30">
        <v>520</v>
      </c>
      <c r="E216" s="4">
        <f t="shared" si="6"/>
        <v>1040</v>
      </c>
      <c r="F216" s="19">
        <f t="shared" si="7"/>
        <v>94.545454545454547</v>
      </c>
    </row>
    <row r="217" spans="1:6" x14ac:dyDescent="0.3">
      <c r="A217" s="4"/>
      <c r="B217" s="7"/>
      <c r="C217" s="4"/>
      <c r="D217" s="30"/>
      <c r="E217" s="4">
        <f t="shared" si="6"/>
        <v>0</v>
      </c>
      <c r="F217" s="19">
        <f t="shared" si="7"/>
        <v>0</v>
      </c>
    </row>
    <row r="218" spans="1:6" x14ac:dyDescent="0.3">
      <c r="A218" s="3">
        <v>45785</v>
      </c>
      <c r="B218" s="7" t="s">
        <v>150</v>
      </c>
      <c r="C218" s="4">
        <v>22</v>
      </c>
      <c r="D218" s="30">
        <v>539</v>
      </c>
      <c r="E218" s="4">
        <f t="shared" si="6"/>
        <v>11858</v>
      </c>
      <c r="F218" s="19">
        <f t="shared" si="7"/>
        <v>1078</v>
      </c>
    </row>
    <row r="219" spans="1:6" x14ac:dyDescent="0.3">
      <c r="A219" s="4"/>
      <c r="B219" s="4"/>
      <c r="C219" s="4"/>
      <c r="D219" s="4"/>
      <c r="E219" s="4">
        <f t="shared" si="6"/>
        <v>0</v>
      </c>
      <c r="F219" s="19">
        <f t="shared" si="7"/>
        <v>0</v>
      </c>
    </row>
    <row r="220" spans="1:6" x14ac:dyDescent="0.3">
      <c r="A220" s="3">
        <v>45790</v>
      </c>
      <c r="B220" s="34" t="s">
        <v>151</v>
      </c>
      <c r="C220" s="4">
        <v>4</v>
      </c>
      <c r="D220" s="30">
        <v>539</v>
      </c>
      <c r="E220" s="4">
        <f t="shared" si="6"/>
        <v>2156</v>
      </c>
      <c r="F220" s="19">
        <f t="shared" si="7"/>
        <v>196</v>
      </c>
    </row>
    <row r="221" spans="1:6" x14ac:dyDescent="0.3">
      <c r="A221" s="4"/>
      <c r="B221" s="4"/>
      <c r="C221" s="4"/>
      <c r="D221" s="4"/>
      <c r="E221" s="4">
        <f t="shared" si="6"/>
        <v>0</v>
      </c>
      <c r="F221" s="19">
        <f t="shared" si="7"/>
        <v>0</v>
      </c>
    </row>
    <row r="222" spans="1:6" x14ac:dyDescent="0.3">
      <c r="A222" s="3">
        <v>45793</v>
      </c>
      <c r="B222" s="7" t="s">
        <v>152</v>
      </c>
      <c r="C222" s="4">
        <v>2</v>
      </c>
      <c r="D222" s="30">
        <v>699</v>
      </c>
      <c r="E222" s="4">
        <f t="shared" si="6"/>
        <v>1398</v>
      </c>
      <c r="F222" s="19">
        <f t="shared" si="7"/>
        <v>127.09090909090909</v>
      </c>
    </row>
    <row r="223" spans="1:6" x14ac:dyDescent="0.3">
      <c r="A223" s="4"/>
      <c r="B223" s="4"/>
      <c r="C223" s="4"/>
      <c r="D223" s="4"/>
      <c r="E223" s="4">
        <f t="shared" si="6"/>
        <v>0</v>
      </c>
      <c r="F223" s="19">
        <f t="shared" si="7"/>
        <v>0</v>
      </c>
    </row>
    <row r="224" spans="1:6" x14ac:dyDescent="0.3">
      <c r="A224" s="3">
        <v>45793</v>
      </c>
      <c r="B224" s="7" t="s">
        <v>153</v>
      </c>
      <c r="C224" s="4">
        <v>4</v>
      </c>
      <c r="D224" s="30">
        <v>679</v>
      </c>
      <c r="E224" s="4">
        <f t="shared" si="6"/>
        <v>2716</v>
      </c>
      <c r="F224" s="19">
        <f t="shared" si="7"/>
        <v>246.90909090909091</v>
      </c>
    </row>
    <row r="225" spans="1:6" x14ac:dyDescent="0.3">
      <c r="A225" s="3">
        <v>45793</v>
      </c>
      <c r="B225" s="7" t="s">
        <v>154</v>
      </c>
      <c r="C225" s="4">
        <v>1</v>
      </c>
      <c r="D225" s="30">
        <v>3748</v>
      </c>
      <c r="E225" s="4">
        <f t="shared" si="6"/>
        <v>3748</v>
      </c>
      <c r="F225" s="19">
        <f t="shared" si="7"/>
        <v>340.72727272727275</v>
      </c>
    </row>
    <row r="226" spans="1:6" x14ac:dyDescent="0.3">
      <c r="A226" s="20">
        <v>45793</v>
      </c>
      <c r="B226" s="28" t="s">
        <v>155</v>
      </c>
      <c r="C226" s="22">
        <v>12</v>
      </c>
      <c r="D226" s="31">
        <v>3478</v>
      </c>
      <c r="E226" s="4">
        <f t="shared" si="6"/>
        <v>41736</v>
      </c>
      <c r="F226" s="19">
        <f t="shared" si="7"/>
        <v>3794.181818181818</v>
      </c>
    </row>
    <row r="227" spans="1:6" x14ac:dyDescent="0.3">
      <c r="A227" s="20">
        <v>45793</v>
      </c>
      <c r="B227" s="28" t="s">
        <v>156</v>
      </c>
      <c r="C227" s="22">
        <v>10</v>
      </c>
      <c r="D227" s="31">
        <v>2558</v>
      </c>
      <c r="E227" s="4">
        <f t="shared" si="6"/>
        <v>25580</v>
      </c>
      <c r="F227" s="19">
        <f t="shared" si="7"/>
        <v>2325.4545454545455</v>
      </c>
    </row>
    <row r="228" spans="1:6" x14ac:dyDescent="0.3">
      <c r="A228" s="3">
        <v>45793</v>
      </c>
      <c r="B228" s="7" t="s">
        <v>157</v>
      </c>
      <c r="C228" s="4">
        <v>3</v>
      </c>
      <c r="D228" s="30">
        <v>98</v>
      </c>
      <c r="E228" s="4">
        <f t="shared" si="6"/>
        <v>294</v>
      </c>
      <c r="F228" s="19">
        <f t="shared" si="7"/>
        <v>26.727272727272727</v>
      </c>
    </row>
    <row r="229" spans="1:6" x14ac:dyDescent="0.3">
      <c r="A229" s="4"/>
      <c r="B229" s="4"/>
      <c r="C229" s="4"/>
      <c r="D229" s="4"/>
      <c r="E229" s="4">
        <f t="shared" si="6"/>
        <v>0</v>
      </c>
      <c r="F229" s="19">
        <f t="shared" si="7"/>
        <v>0</v>
      </c>
    </row>
    <row r="230" spans="1:6" x14ac:dyDescent="0.3">
      <c r="A230" s="3">
        <v>45794</v>
      </c>
      <c r="B230" s="7" t="s">
        <v>158</v>
      </c>
      <c r="C230" s="4">
        <v>3</v>
      </c>
      <c r="D230" s="30">
        <v>355</v>
      </c>
      <c r="E230" s="4">
        <f t="shared" si="6"/>
        <v>1065</v>
      </c>
      <c r="F230" s="19">
        <f t="shared" si="7"/>
        <v>96.818181818181813</v>
      </c>
    </row>
    <row r="231" spans="1:6" x14ac:dyDescent="0.3">
      <c r="A231" s="3">
        <v>45794</v>
      </c>
      <c r="B231" s="7" t="s">
        <v>159</v>
      </c>
      <c r="C231" s="4">
        <v>3</v>
      </c>
      <c r="D231" s="30">
        <v>351</v>
      </c>
      <c r="E231" s="4">
        <f t="shared" si="6"/>
        <v>1053</v>
      </c>
      <c r="F231" s="19">
        <f t="shared" si="7"/>
        <v>95.727272727272734</v>
      </c>
    </row>
    <row r="232" spans="1:6" x14ac:dyDescent="0.3">
      <c r="A232" s="3">
        <v>45794</v>
      </c>
      <c r="B232" s="7" t="s">
        <v>160</v>
      </c>
      <c r="C232" s="4">
        <v>3</v>
      </c>
      <c r="D232" s="30">
        <v>539</v>
      </c>
      <c r="E232" s="4">
        <f t="shared" si="6"/>
        <v>1617</v>
      </c>
      <c r="F232" s="19">
        <f t="shared" si="7"/>
        <v>147</v>
      </c>
    </row>
    <row r="233" spans="1:6" x14ac:dyDescent="0.3">
      <c r="A233" s="20">
        <v>45794</v>
      </c>
      <c r="B233" s="28" t="s">
        <v>161</v>
      </c>
      <c r="C233" s="22">
        <v>2</v>
      </c>
      <c r="D233" s="31">
        <v>117</v>
      </c>
      <c r="E233" s="4">
        <f t="shared" si="6"/>
        <v>234</v>
      </c>
      <c r="F233" s="19">
        <f t="shared" si="7"/>
        <v>21.272727272727273</v>
      </c>
    </row>
    <row r="234" spans="1:6" x14ac:dyDescent="0.3">
      <c r="A234" s="3">
        <v>45794</v>
      </c>
      <c r="B234" s="7" t="s">
        <v>162</v>
      </c>
      <c r="C234" s="4">
        <v>1</v>
      </c>
      <c r="D234" s="30">
        <v>377</v>
      </c>
      <c r="E234" s="4">
        <f t="shared" si="6"/>
        <v>377</v>
      </c>
      <c r="F234" s="19">
        <f t="shared" si="7"/>
        <v>34.272727272727273</v>
      </c>
    </row>
    <row r="235" spans="1:6" x14ac:dyDescent="0.3">
      <c r="A235" s="4"/>
      <c r="B235" s="8"/>
      <c r="C235" s="4"/>
      <c r="D235" s="4"/>
      <c r="E235" s="4">
        <f t="shared" si="6"/>
        <v>0</v>
      </c>
      <c r="F235" s="19">
        <f t="shared" si="7"/>
        <v>0</v>
      </c>
    </row>
    <row r="236" spans="1:6" x14ac:dyDescent="0.3">
      <c r="A236" s="20">
        <v>45794</v>
      </c>
      <c r="B236" s="21" t="s">
        <v>163</v>
      </c>
      <c r="C236" s="22">
        <v>4</v>
      </c>
      <c r="D236" s="22">
        <v>615</v>
      </c>
      <c r="E236" s="4">
        <f t="shared" si="6"/>
        <v>2460</v>
      </c>
      <c r="F236" s="19">
        <f t="shared" si="7"/>
        <v>223.63636363636363</v>
      </c>
    </row>
    <row r="237" spans="1:6" x14ac:dyDescent="0.3">
      <c r="A237" s="3">
        <v>45794</v>
      </c>
      <c r="B237" s="8" t="s">
        <v>164</v>
      </c>
      <c r="C237" s="4">
        <v>2</v>
      </c>
      <c r="D237" s="4">
        <v>351</v>
      </c>
      <c r="E237" s="4">
        <f t="shared" si="6"/>
        <v>702</v>
      </c>
      <c r="F237" s="19">
        <f t="shared" si="7"/>
        <v>63.81818181818182</v>
      </c>
    </row>
    <row r="238" spans="1:6" x14ac:dyDescent="0.3">
      <c r="A238" s="20">
        <v>45795</v>
      </c>
      <c r="B238" s="21" t="s">
        <v>165</v>
      </c>
      <c r="C238" s="22">
        <v>2</v>
      </c>
      <c r="D238" s="22">
        <v>351</v>
      </c>
      <c r="E238" s="4">
        <f t="shared" si="6"/>
        <v>702</v>
      </c>
      <c r="F238" s="19">
        <f t="shared" si="7"/>
        <v>63.81818181818182</v>
      </c>
    </row>
    <row r="239" spans="1:6" x14ac:dyDescent="0.3">
      <c r="A239" s="3">
        <v>45795</v>
      </c>
      <c r="B239" s="8" t="s">
        <v>166</v>
      </c>
      <c r="C239" s="4">
        <v>50</v>
      </c>
      <c r="D239" s="4">
        <v>359</v>
      </c>
      <c r="E239" s="4">
        <f t="shared" si="6"/>
        <v>17950</v>
      </c>
      <c r="F239" s="19">
        <f t="shared" si="7"/>
        <v>1631.8181818181818</v>
      </c>
    </row>
    <row r="240" spans="1:6" x14ac:dyDescent="0.3">
      <c r="A240" s="3">
        <v>45795</v>
      </c>
      <c r="B240" s="8" t="s">
        <v>167</v>
      </c>
      <c r="C240" s="4">
        <v>5</v>
      </c>
      <c r="D240" s="4">
        <v>1050</v>
      </c>
      <c r="E240" s="4">
        <f t="shared" si="6"/>
        <v>5250</v>
      </c>
      <c r="F240" s="19">
        <f t="shared" si="7"/>
        <v>477.27272727272725</v>
      </c>
    </row>
    <row r="241" spans="1:6" x14ac:dyDescent="0.3">
      <c r="A241" s="3">
        <v>45795</v>
      </c>
      <c r="B241" s="8" t="s">
        <v>168</v>
      </c>
      <c r="C241" s="4">
        <v>5</v>
      </c>
      <c r="D241" s="4">
        <v>1030</v>
      </c>
      <c r="E241" s="4">
        <f t="shared" si="6"/>
        <v>5150</v>
      </c>
      <c r="F241" s="19">
        <f t="shared" si="7"/>
        <v>468.18181818181819</v>
      </c>
    </row>
    <row r="242" spans="1:6" x14ac:dyDescent="0.3">
      <c r="A242" s="20">
        <v>45795</v>
      </c>
      <c r="B242" s="21" t="s">
        <v>169</v>
      </c>
      <c r="C242" s="22">
        <v>30</v>
      </c>
      <c r="D242" s="22">
        <v>340</v>
      </c>
      <c r="E242" s="4">
        <f t="shared" si="6"/>
        <v>10200</v>
      </c>
      <c r="F242" s="19">
        <f t="shared" si="7"/>
        <v>927.27272727272725</v>
      </c>
    </row>
    <row r="243" spans="1:6" x14ac:dyDescent="0.3">
      <c r="A243" s="7"/>
      <c r="B243" s="7"/>
      <c r="C243" s="23"/>
      <c r="D243" s="7"/>
      <c r="E243" s="4">
        <f t="shared" si="6"/>
        <v>0</v>
      </c>
      <c r="F243" s="19">
        <f t="shared" si="7"/>
        <v>0</v>
      </c>
    </row>
    <row r="244" spans="1:6" x14ac:dyDescent="0.3">
      <c r="A244" s="3">
        <v>45810</v>
      </c>
      <c r="B244" t="s">
        <v>190</v>
      </c>
      <c r="C244" s="4"/>
      <c r="D244" s="4"/>
      <c r="E244" s="4">
        <f t="shared" si="6"/>
        <v>0</v>
      </c>
      <c r="F244" s="19">
        <f t="shared" si="7"/>
        <v>0</v>
      </c>
    </row>
    <row r="245" spans="1:6" x14ac:dyDescent="0.3">
      <c r="A245" s="7"/>
      <c r="B245" s="7"/>
      <c r="C245" s="23"/>
      <c r="D245" s="7"/>
      <c r="E245" s="4">
        <f t="shared" si="6"/>
        <v>0</v>
      </c>
      <c r="F245" s="19">
        <f t="shared" si="7"/>
        <v>0</v>
      </c>
    </row>
    <row r="246" spans="1:6" x14ac:dyDescent="0.3">
      <c r="A246" s="24">
        <v>45830</v>
      </c>
      <c r="B246" s="34" t="s">
        <v>170</v>
      </c>
      <c r="C246" s="4">
        <v>3</v>
      </c>
      <c r="D246" s="30">
        <v>1129</v>
      </c>
      <c r="E246" s="4">
        <f t="shared" si="6"/>
        <v>3387</v>
      </c>
      <c r="F246" s="19">
        <f t="shared" si="7"/>
        <v>307.90909090909093</v>
      </c>
    </row>
    <row r="247" spans="1:6" x14ac:dyDescent="0.3">
      <c r="A247" s="24">
        <v>45830</v>
      </c>
      <c r="B247" s="34" t="s">
        <v>170</v>
      </c>
      <c r="C247" s="4">
        <v>3</v>
      </c>
      <c r="D247" s="30">
        <v>1033</v>
      </c>
      <c r="E247" s="4">
        <f t="shared" si="6"/>
        <v>3099</v>
      </c>
      <c r="F247" s="19">
        <f t="shared" si="7"/>
        <v>281.72727272727275</v>
      </c>
    </row>
    <row r="248" spans="1:6" x14ac:dyDescent="0.3">
      <c r="A248" s="24">
        <v>45830</v>
      </c>
      <c r="B248" s="34" t="s">
        <v>171</v>
      </c>
      <c r="C248" s="4">
        <v>3</v>
      </c>
      <c r="D248" s="30">
        <v>751</v>
      </c>
      <c r="E248" s="4">
        <f t="shared" si="6"/>
        <v>2253</v>
      </c>
      <c r="F248" s="19">
        <f t="shared" si="7"/>
        <v>204.81818181818181</v>
      </c>
    </row>
    <row r="249" spans="1:6" x14ac:dyDescent="0.3">
      <c r="A249" s="24">
        <v>45830</v>
      </c>
      <c r="B249" s="7" t="s">
        <v>172</v>
      </c>
      <c r="C249" s="39">
        <v>5</v>
      </c>
      <c r="D249" s="30">
        <v>679</v>
      </c>
      <c r="E249" s="4">
        <f t="shared" si="6"/>
        <v>3395</v>
      </c>
      <c r="F249" s="19">
        <f t="shared" si="7"/>
        <v>308.63636363636363</v>
      </c>
    </row>
    <row r="250" spans="1:6" x14ac:dyDescent="0.3">
      <c r="A250" s="24">
        <v>45830</v>
      </c>
      <c r="B250" s="7" t="s">
        <v>173</v>
      </c>
      <c r="C250" s="4">
        <v>3</v>
      </c>
      <c r="D250" s="30">
        <v>348</v>
      </c>
      <c r="E250" s="4">
        <f t="shared" si="6"/>
        <v>1044</v>
      </c>
      <c r="F250" s="19">
        <f t="shared" si="7"/>
        <v>94.909090909090907</v>
      </c>
    </row>
    <row r="251" spans="1:6" x14ac:dyDescent="0.3">
      <c r="A251" s="24">
        <v>45830</v>
      </c>
      <c r="B251" s="7" t="s">
        <v>174</v>
      </c>
      <c r="C251" s="39">
        <v>3</v>
      </c>
      <c r="D251" s="30">
        <v>2834</v>
      </c>
      <c r="E251" s="4">
        <f t="shared" si="6"/>
        <v>8502</v>
      </c>
      <c r="F251" s="19">
        <f t="shared" si="7"/>
        <v>772.90909090909088</v>
      </c>
    </row>
    <row r="252" spans="1:6" x14ac:dyDescent="0.3">
      <c r="A252" s="24">
        <v>45830</v>
      </c>
      <c r="B252" s="7" t="s">
        <v>175</v>
      </c>
      <c r="C252" s="4">
        <v>2</v>
      </c>
      <c r="D252" s="30">
        <v>3694</v>
      </c>
      <c r="E252" s="4">
        <f t="shared" si="6"/>
        <v>7388</v>
      </c>
      <c r="F252" s="19">
        <f t="shared" si="7"/>
        <v>671.63636363636363</v>
      </c>
    </row>
    <row r="253" spans="1:6" x14ac:dyDescent="0.3">
      <c r="A253" s="24">
        <v>45830</v>
      </c>
      <c r="B253" s="7" t="s">
        <v>176</v>
      </c>
      <c r="C253" s="4">
        <v>6</v>
      </c>
      <c r="D253" s="30">
        <v>2558</v>
      </c>
      <c r="E253" s="4">
        <f t="shared" si="6"/>
        <v>15348</v>
      </c>
      <c r="F253" s="19">
        <f t="shared" si="7"/>
        <v>1395.2727272727273</v>
      </c>
    </row>
    <row r="254" spans="1:6" x14ac:dyDescent="0.3">
      <c r="A254" s="24">
        <v>45830</v>
      </c>
      <c r="B254" s="7" t="s">
        <v>177</v>
      </c>
      <c r="C254" s="4">
        <v>6</v>
      </c>
      <c r="D254" s="30">
        <v>3478</v>
      </c>
      <c r="E254" s="4">
        <f t="shared" si="6"/>
        <v>20868</v>
      </c>
      <c r="F254" s="19">
        <f t="shared" si="7"/>
        <v>1897.090909090909</v>
      </c>
    </row>
    <row r="255" spans="1:6" x14ac:dyDescent="0.3">
      <c r="A255" s="24">
        <v>45830</v>
      </c>
      <c r="B255" s="7" t="s">
        <v>178</v>
      </c>
      <c r="C255" s="4">
        <v>6</v>
      </c>
      <c r="D255" s="30">
        <v>3750</v>
      </c>
      <c r="E255" s="4">
        <f t="shared" si="6"/>
        <v>22500</v>
      </c>
      <c r="F255" s="19">
        <f t="shared" si="7"/>
        <v>2045.4545454545455</v>
      </c>
    </row>
    <row r="256" spans="1:6" x14ac:dyDescent="0.3">
      <c r="A256" s="24">
        <v>45830</v>
      </c>
      <c r="B256" s="7" t="s">
        <v>179</v>
      </c>
      <c r="C256" s="4">
        <v>8</v>
      </c>
      <c r="D256" s="30">
        <v>2885</v>
      </c>
      <c r="E256" s="4">
        <f t="shared" si="6"/>
        <v>23080</v>
      </c>
      <c r="F256" s="19">
        <f t="shared" si="7"/>
        <v>2098.181818181818</v>
      </c>
    </row>
    <row r="257" spans="1:6" x14ac:dyDescent="0.3">
      <c r="A257" s="7"/>
      <c r="B257" s="7"/>
      <c r="C257" s="23"/>
      <c r="D257" s="7"/>
      <c r="E257" s="4">
        <f t="shared" si="6"/>
        <v>0</v>
      </c>
      <c r="F257" s="19">
        <f t="shared" si="7"/>
        <v>0</v>
      </c>
    </row>
    <row r="258" spans="1:6" x14ac:dyDescent="0.3">
      <c r="A258" s="24">
        <v>45826</v>
      </c>
      <c r="B258" s="7" t="s">
        <v>180</v>
      </c>
      <c r="C258" s="4">
        <v>32</v>
      </c>
      <c r="D258" s="30">
        <v>629</v>
      </c>
      <c r="E258" s="4">
        <f t="shared" si="6"/>
        <v>20128</v>
      </c>
      <c r="F258" s="19">
        <f t="shared" si="7"/>
        <v>1829.8181818181818</v>
      </c>
    </row>
    <row r="259" spans="1:6" x14ac:dyDescent="0.3">
      <c r="A259" s="24">
        <v>45826</v>
      </c>
      <c r="B259" s="7" t="s">
        <v>181</v>
      </c>
      <c r="C259" s="4">
        <v>1</v>
      </c>
      <c r="D259" s="30">
        <v>75</v>
      </c>
      <c r="E259" s="4">
        <f t="shared" ref="E259:E274" si="8">D259*C259</f>
        <v>75</v>
      </c>
      <c r="F259" s="19">
        <f t="shared" ref="F259:F274" si="9">E259/11</f>
        <v>6.8181818181818183</v>
      </c>
    </row>
    <row r="260" spans="1:6" x14ac:dyDescent="0.3">
      <c r="A260" s="26">
        <v>45826</v>
      </c>
      <c r="B260" s="28" t="s">
        <v>182</v>
      </c>
      <c r="C260" s="22">
        <v>1</v>
      </c>
      <c r="D260" s="31">
        <v>615</v>
      </c>
      <c r="E260" s="4">
        <f t="shared" si="8"/>
        <v>615</v>
      </c>
      <c r="F260" s="19">
        <f t="shared" si="9"/>
        <v>55.909090909090907</v>
      </c>
    </row>
    <row r="261" spans="1:6" x14ac:dyDescent="0.3">
      <c r="A261" s="24">
        <v>45826</v>
      </c>
      <c r="B261" s="7" t="s">
        <v>183</v>
      </c>
      <c r="C261" s="4">
        <v>2</v>
      </c>
      <c r="D261" s="30">
        <v>629</v>
      </c>
      <c r="E261" s="4">
        <f t="shared" si="8"/>
        <v>1258</v>
      </c>
      <c r="F261" s="19">
        <f t="shared" si="9"/>
        <v>114.36363636363636</v>
      </c>
    </row>
    <row r="262" spans="1:6" x14ac:dyDescent="0.3">
      <c r="A262" s="24">
        <v>45826</v>
      </c>
      <c r="B262" s="7" t="s">
        <v>184</v>
      </c>
      <c r="C262" s="4">
        <v>1</v>
      </c>
      <c r="D262" s="30">
        <v>615</v>
      </c>
      <c r="E262" s="4">
        <f t="shared" si="8"/>
        <v>615</v>
      </c>
      <c r="F262" s="19">
        <f t="shared" si="9"/>
        <v>55.909090909090907</v>
      </c>
    </row>
    <row r="263" spans="1:6" x14ac:dyDescent="0.3">
      <c r="A263" s="24">
        <v>45826</v>
      </c>
      <c r="B263" s="7" t="s">
        <v>185</v>
      </c>
      <c r="C263" s="4">
        <v>4</v>
      </c>
      <c r="D263" s="30">
        <v>648</v>
      </c>
      <c r="E263" s="4">
        <f t="shared" si="8"/>
        <v>2592</v>
      </c>
      <c r="F263" s="19">
        <f t="shared" si="9"/>
        <v>235.63636363636363</v>
      </c>
    </row>
    <row r="264" spans="1:6" x14ac:dyDescent="0.3">
      <c r="A264" s="26">
        <v>45826</v>
      </c>
      <c r="B264" s="28" t="s">
        <v>186</v>
      </c>
      <c r="C264" s="22">
        <v>1</v>
      </c>
      <c r="D264" s="31">
        <v>2799</v>
      </c>
      <c r="E264" s="4">
        <f t="shared" si="8"/>
        <v>2799</v>
      </c>
      <c r="F264" s="19">
        <f t="shared" si="9"/>
        <v>254.45454545454547</v>
      </c>
    </row>
    <row r="265" spans="1:6" x14ac:dyDescent="0.3">
      <c r="A265" s="7"/>
      <c r="B265" s="7"/>
      <c r="C265" s="23"/>
      <c r="D265" s="7"/>
      <c r="E265" s="4">
        <f t="shared" si="8"/>
        <v>0</v>
      </c>
      <c r="F265" s="19">
        <f t="shared" si="9"/>
        <v>0</v>
      </c>
    </row>
    <row r="266" spans="1:6" x14ac:dyDescent="0.3">
      <c r="A266" s="24">
        <v>45832</v>
      </c>
      <c r="B266" s="7" t="s">
        <v>184</v>
      </c>
      <c r="C266" s="4">
        <v>2</v>
      </c>
      <c r="D266" s="30">
        <v>615</v>
      </c>
      <c r="E266" s="4">
        <f t="shared" si="8"/>
        <v>1230</v>
      </c>
      <c r="F266" s="19">
        <f t="shared" si="9"/>
        <v>111.81818181818181</v>
      </c>
    </row>
    <row r="267" spans="1:6" x14ac:dyDescent="0.3">
      <c r="A267" s="24">
        <v>45832</v>
      </c>
      <c r="B267" s="7" t="s">
        <v>187</v>
      </c>
      <c r="C267" s="4">
        <v>2</v>
      </c>
      <c r="D267" s="30">
        <v>615</v>
      </c>
      <c r="E267" s="4">
        <f t="shared" si="8"/>
        <v>1230</v>
      </c>
      <c r="F267" s="19">
        <f t="shared" si="9"/>
        <v>111.81818181818181</v>
      </c>
    </row>
    <row r="268" spans="1:6" x14ac:dyDescent="0.3">
      <c r="A268" s="26">
        <v>45832</v>
      </c>
      <c r="B268" s="28" t="s">
        <v>188</v>
      </c>
      <c r="C268" s="22">
        <v>2</v>
      </c>
      <c r="D268" s="31">
        <v>629</v>
      </c>
      <c r="E268" s="4">
        <f t="shared" si="8"/>
        <v>1258</v>
      </c>
      <c r="F268" s="19">
        <f t="shared" si="9"/>
        <v>114.36363636363636</v>
      </c>
    </row>
    <row r="269" spans="1:6" x14ac:dyDescent="0.3">
      <c r="A269" s="24"/>
      <c r="B269" s="7"/>
      <c r="C269" s="4"/>
      <c r="D269" s="30"/>
      <c r="E269" s="4">
        <f t="shared" si="8"/>
        <v>0</v>
      </c>
      <c r="F269" s="19">
        <f t="shared" si="9"/>
        <v>0</v>
      </c>
    </row>
    <row r="270" spans="1:6" x14ac:dyDescent="0.3">
      <c r="A270" s="24">
        <v>45833</v>
      </c>
      <c r="B270" s="7" t="s">
        <v>189</v>
      </c>
      <c r="C270" s="4">
        <v>40</v>
      </c>
      <c r="D270" s="30">
        <v>340</v>
      </c>
      <c r="E270" s="4">
        <f t="shared" si="8"/>
        <v>13600</v>
      </c>
      <c r="F270" s="19">
        <f t="shared" si="9"/>
        <v>1236.3636363636363</v>
      </c>
    </row>
    <row r="271" spans="1:6" x14ac:dyDescent="0.3">
      <c r="A271" s="7"/>
      <c r="B271" s="7"/>
      <c r="C271" s="23"/>
      <c r="D271" s="7"/>
      <c r="E271" s="4">
        <f t="shared" si="8"/>
        <v>0</v>
      </c>
      <c r="F271" s="19">
        <f t="shared" si="9"/>
        <v>0</v>
      </c>
    </row>
    <row r="272" spans="1:6" x14ac:dyDescent="0.3">
      <c r="A272" s="7"/>
      <c r="B272" s="7"/>
      <c r="C272" s="23"/>
      <c r="D272" s="7"/>
      <c r="E272" s="4">
        <f t="shared" si="8"/>
        <v>0</v>
      </c>
      <c r="F272" s="19">
        <f t="shared" si="9"/>
        <v>0</v>
      </c>
    </row>
    <row r="273" spans="1:6" x14ac:dyDescent="0.3">
      <c r="A273" s="7"/>
      <c r="B273" s="7"/>
      <c r="C273" s="23"/>
      <c r="D273" s="7"/>
      <c r="E273" s="4">
        <f t="shared" si="8"/>
        <v>0</v>
      </c>
      <c r="F273" s="19">
        <f t="shared" si="9"/>
        <v>0</v>
      </c>
    </row>
    <row r="274" spans="1:6" x14ac:dyDescent="0.3">
      <c r="A274" s="7"/>
      <c r="B274" s="7"/>
      <c r="C274" s="23"/>
      <c r="D274" s="7"/>
      <c r="E274" s="4">
        <f t="shared" si="8"/>
        <v>0</v>
      </c>
      <c r="F274" s="19">
        <f t="shared" si="9"/>
        <v>0</v>
      </c>
    </row>
    <row r="276" spans="1:6" x14ac:dyDescent="0.3">
      <c r="F276" s="40">
        <f>SUM(F3:F275)</f>
        <v>72057.625454545385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NewZealand</vt:lpstr>
      <vt:lpstr>Australia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2025-06-23T13:46:46Z</dcterms:created>
  <dcterms:modified xsi:type="dcterms:W3CDTF">2025-07-29T12:09:26Z</dcterms:modified>
</cp:coreProperties>
</file>