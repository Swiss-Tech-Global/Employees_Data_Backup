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GST Files 2025\"/>
    </mc:Choice>
  </mc:AlternateContent>
  <xr:revisionPtr revIDLastSave="0" documentId="13_ncr:1_{0B2CE8FD-19CC-4843-A90C-B57D00989B47}" xr6:coauthVersionLast="47" xr6:coauthVersionMax="47" xr10:uidLastSave="{00000000-0000-0000-0000-000000000000}"/>
  <bookViews>
    <workbookView xWindow="-108" yWindow="-108" windowWidth="23256" windowHeight="13896" xr2:uid="{80A5A330-7075-4D77-AABF-7B99489BD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F58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</calcChain>
</file>

<file path=xl/sharedStrings.xml><?xml version="1.0" encoding="utf-8"?>
<sst xmlns="http://schemas.openxmlformats.org/spreadsheetml/2006/main" count="50" uniqueCount="48">
  <si>
    <t xml:space="preserve">Starlink V4 200 * $492 </t>
  </si>
  <si>
    <t>Google Streamer 250 * $149</t>
  </si>
  <si>
    <t>Canon SX740 Photo Warehouse online  Pending Delivery</t>
  </si>
  <si>
    <t xml:space="preserve">Mark II with memory card and pouch Photo WH </t>
  </si>
  <si>
    <t xml:space="preserve">Canon Mark II Photo WH </t>
  </si>
  <si>
    <t xml:space="preserve">Canon Mark III Photo WH </t>
  </si>
  <si>
    <t xml:space="preserve">Lense  Photo WH </t>
  </si>
  <si>
    <t xml:space="preserve">SX740 Photo WH </t>
  </si>
  <si>
    <t>Mark II photogear</t>
  </si>
  <si>
    <t>Lense photogear</t>
  </si>
  <si>
    <t>SX740 Progear</t>
  </si>
  <si>
    <t>G7X Mark III Silver Progear</t>
  </si>
  <si>
    <t>Lense Progear</t>
  </si>
  <si>
    <t>Sx740 Photo WH City</t>
  </si>
  <si>
    <t>G7X Mark II Photo WH City</t>
  </si>
  <si>
    <t>G7X Mark III Photo WH City</t>
  </si>
  <si>
    <t>Lense Photo WH City</t>
  </si>
  <si>
    <t>G7X Mark II Rubber Monkey online Delivered Abdul Pending</t>
  </si>
  <si>
    <t>Sx740  Rubber Monkey online Delivered Abdul Pending</t>
  </si>
  <si>
    <t>G7X Mark II Auckland Camera centre</t>
  </si>
  <si>
    <t>Lense Auckland Camera centre</t>
  </si>
  <si>
    <t>Deposit Lense Auckland Camera centre</t>
  </si>
  <si>
    <t>Mark III photo wearhouse</t>
  </si>
  <si>
    <t>SX740 photo wearhouse</t>
  </si>
  <si>
    <t>Sx740 Harvey norman Mount Roskills Pending Collection</t>
  </si>
  <si>
    <t xml:space="preserve">V4 Standard Kit  Noel Leeming </t>
  </si>
  <si>
    <t xml:space="preserve">starlink V4 Noel Leeming </t>
  </si>
  <si>
    <t xml:space="preserve">Instax Wide 400 Noel Leeming </t>
  </si>
  <si>
    <t>PS5 Console Noel Leeming</t>
  </si>
  <si>
    <t>PS5 Controller Noel Leeming</t>
  </si>
  <si>
    <t>G7X MARK III Black Progear Pending Collection</t>
  </si>
  <si>
    <t>G7X MARK III Silver Progear Pending Collection</t>
  </si>
  <si>
    <t>Lenses Canon Progear Pending Collection</t>
  </si>
  <si>
    <t>Mark III Rubber Monkey online Pending Delivery Abdul NL</t>
  </si>
  <si>
    <t>SX740 Noel Leeming  $4000 Deposit Paid</t>
  </si>
  <si>
    <t>29/072025</t>
  </si>
  <si>
    <t>G7X MARK III Silver Auckland Camera centre</t>
  </si>
  <si>
    <t>StarLink Mini (OLD Purchsing)</t>
  </si>
  <si>
    <t>SX740 progear Deposit/ Pending Stock</t>
  </si>
  <si>
    <t>SX740 photogear Deposit/ Pending Stock</t>
  </si>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</sst>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/>
    <xf numFmtId="164" fontId="3" fillId="7" borderId="1" xfId="0" applyNumberFormat="1" applyFont="1" applyFill="1" applyBorder="1"/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A059-F9F9-4387-8F6C-12DC6428D858}">
  <dimension ref="A1:F58"/>
  <sheetViews>
    <sheetView tabSelected="1" topLeftCell="A28" workbookViewId="0">
      <selection activeCell="C44" sqref="C44"/>
    </sheetView>
  </sheetViews>
  <sheetFormatPr defaultRowHeight="14.4" x14ac:dyDescent="0.3"/>
  <cols>
    <col min="1" max="1" width="16.77734375" customWidth="1"/>
    <col min="2" max="2" width="65.109375" customWidth="1"/>
    <col min="3" max="3" width="13.109375" customWidth="1"/>
    <col min="4" max="4" width="14.88671875" customWidth="1"/>
    <col min="5" max="5" width="9.77734375" customWidth="1"/>
    <col min="6" max="6" width="20.88671875" customWidth="1"/>
    <col min="7" max="7" width="11.33203125" customWidth="1"/>
  </cols>
  <sheetData>
    <row r="1" spans="1:6" ht="21" x14ac:dyDescent="0.4">
      <c r="A1" s="20" t="s">
        <v>40</v>
      </c>
      <c r="B1" s="20"/>
      <c r="C1" s="20"/>
      <c r="D1" s="20"/>
      <c r="E1" s="20"/>
      <c r="F1" s="20"/>
    </row>
    <row r="2" spans="1:6" ht="18" x14ac:dyDescent="0.35">
      <c r="A2" s="15" t="s">
        <v>41</v>
      </c>
      <c r="B2" s="15" t="s">
        <v>42</v>
      </c>
      <c r="C2" s="15" t="s">
        <v>43</v>
      </c>
      <c r="D2" s="15" t="s">
        <v>44</v>
      </c>
      <c r="E2" s="15" t="s">
        <v>45</v>
      </c>
      <c r="F2" s="16" t="s">
        <v>46</v>
      </c>
    </row>
    <row r="3" spans="1:6" x14ac:dyDescent="0.3">
      <c r="A3" s="1">
        <v>45813</v>
      </c>
      <c r="B3" s="2" t="s">
        <v>0</v>
      </c>
      <c r="C3" s="3">
        <v>300</v>
      </c>
      <c r="D3" s="3">
        <v>492</v>
      </c>
      <c r="E3" s="3">
        <f t="shared" ref="E3:E54" si="0">D3*C3</f>
        <v>147600</v>
      </c>
      <c r="F3" s="17">
        <f t="shared" ref="F3:F11" si="1">E3*13.04/100</f>
        <v>19247.039999999997</v>
      </c>
    </row>
    <row r="4" spans="1:6" x14ac:dyDescent="0.3">
      <c r="A4" s="1">
        <v>45813</v>
      </c>
      <c r="B4" s="2" t="s">
        <v>1</v>
      </c>
      <c r="C4" s="3">
        <v>250</v>
      </c>
      <c r="D4" s="3">
        <v>149</v>
      </c>
      <c r="E4" s="3">
        <f t="shared" si="0"/>
        <v>37250</v>
      </c>
      <c r="F4" s="17">
        <f t="shared" si="1"/>
        <v>4857.3999999999996</v>
      </c>
    </row>
    <row r="5" spans="1:6" x14ac:dyDescent="0.3">
      <c r="A5" s="3"/>
      <c r="B5" s="4"/>
      <c r="C5" s="4"/>
      <c r="D5" s="4"/>
      <c r="E5" s="3">
        <f t="shared" si="0"/>
        <v>0</v>
      </c>
      <c r="F5" s="17">
        <f t="shared" si="1"/>
        <v>0</v>
      </c>
    </row>
    <row r="6" spans="1:6" x14ac:dyDescent="0.3">
      <c r="A6" s="1">
        <v>45831</v>
      </c>
      <c r="B6" s="2" t="s">
        <v>2</v>
      </c>
      <c r="C6" s="3">
        <v>4</v>
      </c>
      <c r="D6" s="3">
        <v>775</v>
      </c>
      <c r="E6" s="3">
        <f t="shared" si="0"/>
        <v>3100</v>
      </c>
      <c r="F6" s="17">
        <f t="shared" si="1"/>
        <v>404.24</v>
      </c>
    </row>
    <row r="7" spans="1:6" x14ac:dyDescent="0.3">
      <c r="A7" s="3"/>
      <c r="B7" s="4"/>
      <c r="C7" s="4"/>
      <c r="D7" s="4"/>
      <c r="E7" s="3">
        <f t="shared" si="0"/>
        <v>0</v>
      </c>
      <c r="F7" s="17">
        <f t="shared" si="1"/>
        <v>0</v>
      </c>
    </row>
    <row r="8" spans="1:6" x14ac:dyDescent="0.3">
      <c r="A8" s="1">
        <v>45831</v>
      </c>
      <c r="B8" s="2" t="s">
        <v>2</v>
      </c>
      <c r="C8" s="3">
        <v>4</v>
      </c>
      <c r="D8" s="3">
        <v>775</v>
      </c>
      <c r="E8" s="3">
        <f t="shared" si="0"/>
        <v>3100</v>
      </c>
      <c r="F8" s="17">
        <f t="shared" si="1"/>
        <v>404.24</v>
      </c>
    </row>
    <row r="9" spans="1:6" x14ac:dyDescent="0.3">
      <c r="A9" s="3"/>
      <c r="B9" s="4"/>
      <c r="C9" s="4"/>
      <c r="D9" s="4"/>
      <c r="E9" s="3">
        <f t="shared" si="0"/>
        <v>0</v>
      </c>
      <c r="F9" s="17">
        <f t="shared" si="1"/>
        <v>0</v>
      </c>
    </row>
    <row r="10" spans="1:6" x14ac:dyDescent="0.3">
      <c r="A10" s="1">
        <v>45839</v>
      </c>
      <c r="B10" s="4" t="s">
        <v>3</v>
      </c>
      <c r="C10" s="3">
        <v>5</v>
      </c>
      <c r="D10" s="3">
        <v>1380</v>
      </c>
      <c r="E10" s="3">
        <f t="shared" si="0"/>
        <v>6900</v>
      </c>
      <c r="F10" s="17">
        <f t="shared" si="1"/>
        <v>899.76</v>
      </c>
    </row>
    <row r="11" spans="1:6" x14ac:dyDescent="0.3">
      <c r="A11" s="1">
        <v>45839</v>
      </c>
      <c r="B11" s="4" t="s">
        <v>4</v>
      </c>
      <c r="C11" s="3">
        <v>1</v>
      </c>
      <c r="D11" s="3">
        <v>1295</v>
      </c>
      <c r="E11" s="3">
        <f t="shared" si="0"/>
        <v>1295</v>
      </c>
      <c r="F11" s="17">
        <f t="shared" si="1"/>
        <v>168.86799999999999</v>
      </c>
    </row>
    <row r="12" spans="1:6" x14ac:dyDescent="0.3">
      <c r="A12" s="1">
        <v>45839</v>
      </c>
      <c r="B12" s="4" t="s">
        <v>5</v>
      </c>
      <c r="C12" s="3">
        <v>1</v>
      </c>
      <c r="D12" s="3">
        <v>1375</v>
      </c>
      <c r="E12" s="3">
        <f t="shared" si="0"/>
        <v>1375</v>
      </c>
      <c r="F12" s="17"/>
    </row>
    <row r="13" spans="1:6" x14ac:dyDescent="0.3">
      <c r="A13" s="1">
        <v>45839</v>
      </c>
      <c r="B13" s="4" t="s">
        <v>6</v>
      </c>
      <c r="C13" s="3">
        <v>1</v>
      </c>
      <c r="D13" s="3">
        <v>852</v>
      </c>
      <c r="E13" s="3">
        <f t="shared" si="0"/>
        <v>852</v>
      </c>
      <c r="F13" s="17">
        <f t="shared" ref="F13:F54" si="2">E13*13.04/100</f>
        <v>111.10079999999999</v>
      </c>
    </row>
    <row r="14" spans="1:6" x14ac:dyDescent="0.3">
      <c r="A14" s="1">
        <v>45839</v>
      </c>
      <c r="B14" s="4" t="s">
        <v>7</v>
      </c>
      <c r="C14" s="3">
        <v>4</v>
      </c>
      <c r="D14" s="3">
        <v>679</v>
      </c>
      <c r="E14" s="3">
        <f t="shared" si="0"/>
        <v>2716</v>
      </c>
      <c r="F14" s="17">
        <f t="shared" si="2"/>
        <v>354.16640000000001</v>
      </c>
    </row>
    <row r="15" spans="1:6" x14ac:dyDescent="0.3">
      <c r="A15" s="3"/>
      <c r="B15" s="3"/>
      <c r="C15" s="3"/>
      <c r="D15" s="3"/>
      <c r="E15" s="3">
        <f t="shared" si="0"/>
        <v>0</v>
      </c>
      <c r="F15" s="17">
        <f t="shared" si="2"/>
        <v>0</v>
      </c>
    </row>
    <row r="16" spans="1:6" x14ac:dyDescent="0.3">
      <c r="A16" s="1">
        <v>45840</v>
      </c>
      <c r="B16" s="4" t="s">
        <v>8</v>
      </c>
      <c r="C16" s="3">
        <v>2</v>
      </c>
      <c r="D16" s="3">
        <v>1229</v>
      </c>
      <c r="E16" s="3">
        <f t="shared" si="0"/>
        <v>2458</v>
      </c>
      <c r="F16" s="17">
        <f t="shared" si="2"/>
        <v>320.52319999999997</v>
      </c>
    </row>
    <row r="17" spans="1:6" x14ac:dyDescent="0.3">
      <c r="A17" s="1">
        <v>45840</v>
      </c>
      <c r="B17" s="4" t="s">
        <v>9</v>
      </c>
      <c r="C17" s="3">
        <v>1</v>
      </c>
      <c r="D17" s="3">
        <v>852</v>
      </c>
      <c r="E17" s="3">
        <f t="shared" si="0"/>
        <v>852</v>
      </c>
      <c r="F17" s="17">
        <f t="shared" si="2"/>
        <v>111.10079999999999</v>
      </c>
    </row>
    <row r="18" spans="1:6" x14ac:dyDescent="0.3">
      <c r="A18" s="1">
        <v>45840</v>
      </c>
      <c r="B18" s="4" t="s">
        <v>10</v>
      </c>
      <c r="C18" s="3">
        <v>3</v>
      </c>
      <c r="D18" s="3">
        <v>765.71</v>
      </c>
      <c r="E18" s="3">
        <f t="shared" si="0"/>
        <v>2297.13</v>
      </c>
      <c r="F18" s="17">
        <f t="shared" si="2"/>
        <v>299.54575199999999</v>
      </c>
    </row>
    <row r="19" spans="1:6" x14ac:dyDescent="0.3">
      <c r="A19" s="1">
        <v>45840</v>
      </c>
      <c r="B19" s="4" t="s">
        <v>11</v>
      </c>
      <c r="C19" s="3">
        <v>1</v>
      </c>
      <c r="D19" s="3">
        <v>1345</v>
      </c>
      <c r="E19" s="3">
        <f t="shared" si="0"/>
        <v>1345</v>
      </c>
      <c r="F19" s="17">
        <f t="shared" si="2"/>
        <v>175.38800000000001</v>
      </c>
    </row>
    <row r="20" spans="1:6" x14ac:dyDescent="0.3">
      <c r="A20" s="1">
        <v>45840</v>
      </c>
      <c r="B20" s="4" t="s">
        <v>10</v>
      </c>
      <c r="C20" s="3">
        <v>3</v>
      </c>
      <c r="D20" s="3">
        <v>738</v>
      </c>
      <c r="E20" s="3">
        <f t="shared" si="0"/>
        <v>2214</v>
      </c>
      <c r="F20" s="17">
        <f t="shared" si="2"/>
        <v>288.7056</v>
      </c>
    </row>
    <row r="21" spans="1:6" x14ac:dyDescent="0.3">
      <c r="A21" s="1">
        <v>45840</v>
      </c>
      <c r="B21" s="4" t="s">
        <v>12</v>
      </c>
      <c r="C21" s="3">
        <v>1</v>
      </c>
      <c r="D21" s="3">
        <v>852</v>
      </c>
      <c r="E21" s="3">
        <f t="shared" si="0"/>
        <v>852</v>
      </c>
      <c r="F21" s="17">
        <f t="shared" si="2"/>
        <v>111.10079999999999</v>
      </c>
    </row>
    <row r="22" spans="1:6" x14ac:dyDescent="0.3">
      <c r="A22" s="1">
        <v>45840</v>
      </c>
      <c r="B22" s="4" t="s">
        <v>13</v>
      </c>
      <c r="C22" s="3">
        <v>1</v>
      </c>
      <c r="D22" s="3">
        <v>775</v>
      </c>
      <c r="E22" s="3">
        <f t="shared" si="0"/>
        <v>775</v>
      </c>
      <c r="F22" s="17">
        <f t="shared" si="2"/>
        <v>101.06</v>
      </c>
    </row>
    <row r="23" spans="1:6" x14ac:dyDescent="0.3">
      <c r="A23" s="1">
        <v>45840</v>
      </c>
      <c r="B23" s="4" t="s">
        <v>14</v>
      </c>
      <c r="C23" s="3">
        <v>1</v>
      </c>
      <c r="D23" s="3">
        <v>1295</v>
      </c>
      <c r="E23" s="3">
        <f t="shared" si="0"/>
        <v>1295</v>
      </c>
      <c r="F23" s="17">
        <f t="shared" si="2"/>
        <v>168.86799999999999</v>
      </c>
    </row>
    <row r="24" spans="1:6" x14ac:dyDescent="0.3">
      <c r="A24" s="1">
        <v>45840</v>
      </c>
      <c r="B24" s="4" t="s">
        <v>15</v>
      </c>
      <c r="C24" s="3">
        <v>1</v>
      </c>
      <c r="D24" s="3">
        <v>1375</v>
      </c>
      <c r="E24" s="3">
        <f t="shared" si="0"/>
        <v>1375</v>
      </c>
      <c r="F24" s="17">
        <f t="shared" si="2"/>
        <v>179.3</v>
      </c>
    </row>
    <row r="25" spans="1:6" x14ac:dyDescent="0.3">
      <c r="A25" s="1">
        <v>45840</v>
      </c>
      <c r="B25" s="4" t="s">
        <v>16</v>
      </c>
      <c r="C25" s="3">
        <v>1</v>
      </c>
      <c r="D25" s="3">
        <v>852</v>
      </c>
      <c r="E25" s="3">
        <f t="shared" si="0"/>
        <v>852</v>
      </c>
      <c r="F25" s="17">
        <f t="shared" si="2"/>
        <v>111.10079999999999</v>
      </c>
    </row>
    <row r="26" spans="1:6" x14ac:dyDescent="0.3">
      <c r="A26" s="5">
        <v>45840</v>
      </c>
      <c r="B26" s="6" t="s">
        <v>17</v>
      </c>
      <c r="C26" s="7">
        <v>1</v>
      </c>
      <c r="D26" s="7">
        <v>1228</v>
      </c>
      <c r="E26" s="3">
        <f t="shared" si="0"/>
        <v>1228</v>
      </c>
      <c r="F26" s="17">
        <f t="shared" si="2"/>
        <v>160.13119999999998</v>
      </c>
    </row>
    <row r="27" spans="1:6" x14ac:dyDescent="0.3">
      <c r="A27" s="5">
        <v>45840</v>
      </c>
      <c r="B27" s="6" t="s">
        <v>18</v>
      </c>
      <c r="C27" s="7">
        <v>1</v>
      </c>
      <c r="D27" s="7">
        <v>750</v>
      </c>
      <c r="E27" s="3">
        <f t="shared" si="0"/>
        <v>750</v>
      </c>
      <c r="F27" s="17">
        <f t="shared" si="2"/>
        <v>97.8</v>
      </c>
    </row>
    <row r="28" spans="1:6" x14ac:dyDescent="0.3">
      <c r="A28" s="3"/>
      <c r="B28" s="3"/>
      <c r="C28" s="3"/>
      <c r="D28" s="3"/>
      <c r="E28" s="3">
        <f t="shared" si="0"/>
        <v>0</v>
      </c>
      <c r="F28" s="17">
        <f t="shared" si="2"/>
        <v>0</v>
      </c>
    </row>
    <row r="29" spans="1:6" x14ac:dyDescent="0.3">
      <c r="A29" s="1">
        <v>45841</v>
      </c>
      <c r="B29" s="4" t="s">
        <v>19</v>
      </c>
      <c r="C29" s="3">
        <v>4</v>
      </c>
      <c r="D29" s="3">
        <v>1197</v>
      </c>
      <c r="E29" s="3">
        <f t="shared" si="0"/>
        <v>4788</v>
      </c>
      <c r="F29" s="17">
        <f t="shared" si="2"/>
        <v>624.35519999999997</v>
      </c>
    </row>
    <row r="30" spans="1:6" x14ac:dyDescent="0.3">
      <c r="A30" s="1">
        <v>45841</v>
      </c>
      <c r="B30" s="4" t="s">
        <v>20</v>
      </c>
      <c r="C30" s="3">
        <v>1</v>
      </c>
      <c r="D30" s="3">
        <v>852</v>
      </c>
      <c r="E30" s="3">
        <f t="shared" si="0"/>
        <v>852</v>
      </c>
      <c r="F30" s="17">
        <f t="shared" si="2"/>
        <v>111.10079999999999</v>
      </c>
    </row>
    <row r="31" spans="1:6" x14ac:dyDescent="0.3">
      <c r="A31" s="1">
        <v>45841</v>
      </c>
      <c r="B31" s="4" t="s">
        <v>21</v>
      </c>
      <c r="C31" s="3">
        <v>1</v>
      </c>
      <c r="D31" s="3">
        <v>338</v>
      </c>
      <c r="E31" s="3">
        <f t="shared" si="0"/>
        <v>338</v>
      </c>
      <c r="F31" s="17">
        <f t="shared" si="2"/>
        <v>44.075199999999995</v>
      </c>
    </row>
    <row r="32" spans="1:6" x14ac:dyDescent="0.3">
      <c r="A32" s="1">
        <v>45840</v>
      </c>
      <c r="B32" s="4" t="s">
        <v>22</v>
      </c>
      <c r="C32" s="3">
        <v>1</v>
      </c>
      <c r="D32" s="3">
        <v>1375</v>
      </c>
      <c r="E32" s="3">
        <f t="shared" si="0"/>
        <v>1375</v>
      </c>
      <c r="F32" s="17">
        <f t="shared" si="2"/>
        <v>179.3</v>
      </c>
    </row>
    <row r="33" spans="1:6" x14ac:dyDescent="0.3">
      <c r="A33" s="1">
        <v>45840</v>
      </c>
      <c r="B33" s="4" t="s">
        <v>23</v>
      </c>
      <c r="C33" s="3">
        <v>1</v>
      </c>
      <c r="D33" s="3">
        <v>775</v>
      </c>
      <c r="E33" s="3">
        <f t="shared" si="0"/>
        <v>775</v>
      </c>
      <c r="F33" s="17">
        <f t="shared" si="2"/>
        <v>101.06</v>
      </c>
    </row>
    <row r="34" spans="1:6" x14ac:dyDescent="0.3">
      <c r="A34" s="5">
        <v>45841</v>
      </c>
      <c r="B34" s="6" t="s">
        <v>24</v>
      </c>
      <c r="C34" s="7">
        <v>4</v>
      </c>
      <c r="D34" s="7">
        <v>766</v>
      </c>
      <c r="E34" s="3">
        <f t="shared" si="0"/>
        <v>3064</v>
      </c>
      <c r="F34" s="17">
        <f t="shared" si="2"/>
        <v>399.54559999999998</v>
      </c>
    </row>
    <row r="35" spans="1:6" x14ac:dyDescent="0.3">
      <c r="A35" s="3"/>
      <c r="B35" s="3"/>
      <c r="C35" s="3"/>
      <c r="D35" s="3"/>
      <c r="E35" s="3">
        <f t="shared" si="0"/>
        <v>0</v>
      </c>
      <c r="F35" s="17">
        <f t="shared" si="2"/>
        <v>0</v>
      </c>
    </row>
    <row r="36" spans="1:6" x14ac:dyDescent="0.3">
      <c r="A36" s="8"/>
      <c r="B36" s="9"/>
      <c r="C36" s="10"/>
      <c r="D36" s="10"/>
      <c r="E36" s="3">
        <f t="shared" si="0"/>
        <v>0</v>
      </c>
      <c r="F36" s="17">
        <f t="shared" si="2"/>
        <v>0</v>
      </c>
    </row>
    <row r="37" spans="1:6" x14ac:dyDescent="0.3">
      <c r="A37" s="1">
        <v>45844</v>
      </c>
      <c r="B37" s="4" t="s">
        <v>25</v>
      </c>
      <c r="C37" s="3">
        <v>150</v>
      </c>
      <c r="D37" s="3">
        <v>494</v>
      </c>
      <c r="E37" s="3">
        <f t="shared" si="0"/>
        <v>74100</v>
      </c>
      <c r="F37" s="17">
        <f t="shared" si="2"/>
        <v>9662.64</v>
      </c>
    </row>
    <row r="38" spans="1:6" x14ac:dyDescent="0.3">
      <c r="A38" s="8"/>
      <c r="B38" s="9"/>
      <c r="C38" s="10"/>
      <c r="D38" s="10"/>
      <c r="E38" s="3">
        <f t="shared" si="0"/>
        <v>0</v>
      </c>
      <c r="F38" s="17">
        <f t="shared" si="2"/>
        <v>0</v>
      </c>
    </row>
    <row r="39" spans="1:6" x14ac:dyDescent="0.3">
      <c r="A39" s="1">
        <v>45846</v>
      </c>
      <c r="B39" s="4" t="s">
        <v>26</v>
      </c>
      <c r="C39" s="3">
        <v>100</v>
      </c>
      <c r="D39" s="3">
        <v>494</v>
      </c>
      <c r="E39" s="3">
        <f t="shared" si="0"/>
        <v>49400</v>
      </c>
      <c r="F39" s="17">
        <f t="shared" si="2"/>
        <v>6441.76</v>
      </c>
    </row>
    <row r="40" spans="1:6" x14ac:dyDescent="0.3">
      <c r="A40" s="1">
        <v>45848</v>
      </c>
      <c r="B40" s="4" t="s">
        <v>27</v>
      </c>
      <c r="C40" s="3">
        <v>100</v>
      </c>
      <c r="D40" s="3">
        <v>229</v>
      </c>
      <c r="E40" s="3">
        <f t="shared" si="0"/>
        <v>22900</v>
      </c>
      <c r="F40" s="17">
        <f t="shared" si="2"/>
        <v>2986.16</v>
      </c>
    </row>
    <row r="41" spans="1:6" x14ac:dyDescent="0.3">
      <c r="A41" s="3"/>
      <c r="B41" s="4"/>
      <c r="C41" s="4"/>
      <c r="D41" s="4"/>
      <c r="E41" s="3">
        <f t="shared" si="0"/>
        <v>0</v>
      </c>
      <c r="F41" s="17">
        <f t="shared" si="2"/>
        <v>0</v>
      </c>
    </row>
    <row r="42" spans="1:6" x14ac:dyDescent="0.3">
      <c r="A42" s="1">
        <v>45854</v>
      </c>
      <c r="B42" s="2" t="s">
        <v>28</v>
      </c>
      <c r="C42" s="3">
        <v>200</v>
      </c>
      <c r="D42" s="3">
        <v>728</v>
      </c>
      <c r="E42" s="3">
        <f t="shared" si="0"/>
        <v>145600</v>
      </c>
      <c r="F42" s="17">
        <f t="shared" si="2"/>
        <v>18986.239999999998</v>
      </c>
    </row>
    <row r="43" spans="1:6" x14ac:dyDescent="0.3">
      <c r="A43" s="1">
        <v>45854</v>
      </c>
      <c r="B43" s="2" t="s">
        <v>29</v>
      </c>
      <c r="C43" s="3">
        <v>80</v>
      </c>
      <c r="D43" s="3">
        <v>85</v>
      </c>
      <c r="E43" s="3">
        <f t="shared" si="0"/>
        <v>6800</v>
      </c>
      <c r="F43" s="17">
        <f t="shared" si="2"/>
        <v>886.72</v>
      </c>
    </row>
    <row r="44" spans="1:6" x14ac:dyDescent="0.3">
      <c r="A44" s="3"/>
      <c r="B44" s="4"/>
      <c r="C44" s="4"/>
      <c r="D44" s="4"/>
      <c r="E44" s="3">
        <f t="shared" si="0"/>
        <v>0</v>
      </c>
      <c r="F44" s="17">
        <f t="shared" si="2"/>
        <v>0</v>
      </c>
    </row>
    <row r="45" spans="1:6" x14ac:dyDescent="0.3">
      <c r="A45" s="11">
        <v>45861</v>
      </c>
      <c r="B45" s="12" t="s">
        <v>30</v>
      </c>
      <c r="C45" s="13">
        <v>10</v>
      </c>
      <c r="D45" s="12">
        <v>1448.98</v>
      </c>
      <c r="E45" s="3">
        <f t="shared" si="0"/>
        <v>14489.8</v>
      </c>
      <c r="F45" s="17">
        <f t="shared" si="2"/>
        <v>1889.4699199999998</v>
      </c>
    </row>
    <row r="46" spans="1:6" x14ac:dyDescent="0.3">
      <c r="A46" s="11">
        <v>45862</v>
      </c>
      <c r="B46" s="12" t="s">
        <v>31</v>
      </c>
      <c r="C46" s="13">
        <v>5</v>
      </c>
      <c r="D46" s="12">
        <v>1448.98</v>
      </c>
      <c r="E46" s="3">
        <f t="shared" si="0"/>
        <v>7244.9</v>
      </c>
      <c r="F46" s="17">
        <f t="shared" si="2"/>
        <v>944.73495999999989</v>
      </c>
    </row>
    <row r="47" spans="1:6" x14ac:dyDescent="0.3">
      <c r="A47" s="11">
        <v>45863</v>
      </c>
      <c r="B47" s="12" t="s">
        <v>32</v>
      </c>
      <c r="C47" s="13">
        <v>2</v>
      </c>
      <c r="D47" s="12">
        <v>852</v>
      </c>
      <c r="E47" s="3">
        <f t="shared" si="0"/>
        <v>1704</v>
      </c>
      <c r="F47" s="17">
        <f t="shared" si="2"/>
        <v>222.20159999999998</v>
      </c>
    </row>
    <row r="48" spans="1:6" x14ac:dyDescent="0.3">
      <c r="A48" s="11">
        <v>45862</v>
      </c>
      <c r="B48" s="12" t="s">
        <v>33</v>
      </c>
      <c r="C48" s="13">
        <v>1</v>
      </c>
      <c r="D48" s="12">
        <v>1359</v>
      </c>
      <c r="E48" s="3">
        <f t="shared" si="0"/>
        <v>1359</v>
      </c>
      <c r="F48" s="17">
        <f t="shared" si="2"/>
        <v>177.21360000000001</v>
      </c>
    </row>
    <row r="49" spans="1:6" x14ac:dyDescent="0.3">
      <c r="A49" s="11">
        <v>45865</v>
      </c>
      <c r="B49" s="12" t="s">
        <v>34</v>
      </c>
      <c r="C49" s="13">
        <v>20</v>
      </c>
      <c r="D49" s="12">
        <v>720</v>
      </c>
      <c r="E49" s="3">
        <f t="shared" si="0"/>
        <v>14400</v>
      </c>
      <c r="F49" s="17">
        <f t="shared" si="2"/>
        <v>1877.76</v>
      </c>
    </row>
    <row r="50" spans="1:6" x14ac:dyDescent="0.3">
      <c r="A50" s="13" t="s">
        <v>35</v>
      </c>
      <c r="B50" s="14" t="s">
        <v>36</v>
      </c>
      <c r="C50" s="13">
        <v>1</v>
      </c>
      <c r="D50" s="13">
        <v>1359</v>
      </c>
      <c r="E50" s="3">
        <f t="shared" si="0"/>
        <v>1359</v>
      </c>
      <c r="F50" s="17">
        <f t="shared" si="2"/>
        <v>177.21360000000001</v>
      </c>
    </row>
    <row r="51" spans="1:6" x14ac:dyDescent="0.3">
      <c r="A51" s="3"/>
      <c r="B51" s="4"/>
      <c r="C51" s="4"/>
      <c r="D51" s="4"/>
      <c r="E51" s="3">
        <f t="shared" si="0"/>
        <v>0</v>
      </c>
      <c r="F51" s="17">
        <f t="shared" si="2"/>
        <v>0</v>
      </c>
    </row>
    <row r="52" spans="1:6" x14ac:dyDescent="0.3">
      <c r="A52" s="1">
        <v>45831</v>
      </c>
      <c r="B52" s="2" t="s">
        <v>37</v>
      </c>
      <c r="C52" s="3">
        <v>3</v>
      </c>
      <c r="D52" s="3">
        <v>550</v>
      </c>
      <c r="E52" s="3">
        <f t="shared" si="0"/>
        <v>1650</v>
      </c>
      <c r="F52" s="17">
        <f t="shared" si="2"/>
        <v>215.16</v>
      </c>
    </row>
    <row r="53" spans="1:6" x14ac:dyDescent="0.3">
      <c r="A53" s="11">
        <v>45864</v>
      </c>
      <c r="B53" s="12" t="s">
        <v>38</v>
      </c>
      <c r="C53" s="13">
        <v>10</v>
      </c>
      <c r="D53" s="13">
        <v>738</v>
      </c>
      <c r="E53" s="3">
        <f t="shared" si="0"/>
        <v>7380</v>
      </c>
      <c r="F53" s="17">
        <f t="shared" si="2"/>
        <v>962.35199999999998</v>
      </c>
    </row>
    <row r="54" spans="1:6" x14ac:dyDescent="0.3">
      <c r="A54" s="11">
        <v>45864</v>
      </c>
      <c r="B54" s="12" t="s">
        <v>39</v>
      </c>
      <c r="C54" s="13">
        <v>10</v>
      </c>
      <c r="D54" s="13">
        <v>738</v>
      </c>
      <c r="E54" s="3">
        <f t="shared" si="0"/>
        <v>7380</v>
      </c>
      <c r="F54" s="17">
        <f t="shared" si="2"/>
        <v>962.35199999999998</v>
      </c>
    </row>
    <row r="55" spans="1:6" x14ac:dyDescent="0.3">
      <c r="A55" s="4"/>
      <c r="B55" s="4"/>
      <c r="C55" s="4"/>
      <c r="D55" s="4"/>
      <c r="E55" s="4"/>
      <c r="F55" s="4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4"/>
      <c r="B57" s="4"/>
      <c r="C57" s="4"/>
      <c r="D57" s="4"/>
      <c r="E57" s="4"/>
      <c r="F57" s="4"/>
    </row>
    <row r="58" spans="1:6" ht="18" x14ac:dyDescent="0.35">
      <c r="A58" s="4"/>
      <c r="B58" s="4"/>
      <c r="C58" s="4"/>
      <c r="D58" s="4"/>
      <c r="E58" s="18" t="s">
        <v>47</v>
      </c>
      <c r="F58" s="19">
        <f>SUM(F3:F57)</f>
        <v>76422.853832000008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2025-08-27T13:47:46Z</dcterms:created>
  <dcterms:modified xsi:type="dcterms:W3CDTF">2025-08-27T14:22:27Z</dcterms:modified>
</cp:coreProperties>
</file>