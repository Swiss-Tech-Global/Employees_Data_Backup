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ales Reports 2025\"/>
    </mc:Choice>
  </mc:AlternateContent>
  <xr:revisionPtr revIDLastSave="0" documentId="13_ncr:1_{E6D94BE8-0AA7-4617-B6FA-8045A89C0055}" xr6:coauthVersionLast="47" xr6:coauthVersionMax="47" xr10:uidLastSave="{00000000-0000-0000-0000-000000000000}"/>
  <bookViews>
    <workbookView xWindow="-120" yWindow="-120" windowWidth="29040" windowHeight="15720" activeTab="5" xr2:uid="{502F506D-7540-4017-88FE-B68F53084CE8}"/>
  </bookViews>
  <sheets>
    <sheet name="Sheet1" sheetId="1" r:id="rId1"/>
    <sheet name="Australia" sheetId="2" r:id="rId2"/>
    <sheet name="Dubai" sheetId="3" r:id="rId3"/>
    <sheet name="Karachi" sheetId="4" r:id="rId4"/>
    <sheet name="Newzealand" sheetId="5" r:id="rId5"/>
    <sheet name="USA" sheetId="6" r:id="rId6"/>
    <sheet name="Sheet2" sheetId="8" r:id="rId7"/>
    <sheet name="Sheet7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7" l="1"/>
  <c r="C49" i="2"/>
  <c r="C191" i="6"/>
  <c r="C188" i="6"/>
  <c r="I172" i="6"/>
  <c r="H172" i="6"/>
  <c r="G172" i="6"/>
  <c r="C43" i="5"/>
  <c r="C40" i="5"/>
  <c r="I32" i="5"/>
  <c r="H32" i="5"/>
  <c r="G32" i="5"/>
  <c r="C57" i="4"/>
  <c r="C54" i="4"/>
  <c r="I35" i="4"/>
  <c r="H35" i="4"/>
  <c r="G35" i="4"/>
  <c r="C47" i="3"/>
  <c r="C44" i="3"/>
  <c r="I35" i="3"/>
  <c r="H35" i="3"/>
  <c r="G35" i="3"/>
  <c r="C46" i="2"/>
  <c r="I37" i="2"/>
  <c r="G37" i="2"/>
  <c r="H37" i="2"/>
  <c r="H169" i="6"/>
  <c r="G169" i="6"/>
  <c r="I169" i="6" s="1"/>
  <c r="F169" i="6"/>
  <c r="H168" i="6"/>
  <c r="I168" i="6" s="1"/>
  <c r="G168" i="6"/>
  <c r="F168" i="6"/>
  <c r="I167" i="6"/>
  <c r="H167" i="6"/>
  <c r="G167" i="6"/>
  <c r="F167" i="6"/>
  <c r="H166" i="6"/>
  <c r="I166" i="6" s="1"/>
  <c r="G166" i="6"/>
  <c r="F166" i="6"/>
  <c r="I165" i="6"/>
  <c r="H165" i="6"/>
  <c r="G165" i="6"/>
  <c r="F165" i="6"/>
  <c r="H164" i="6"/>
  <c r="I164" i="6" s="1"/>
  <c r="G164" i="6"/>
  <c r="F164" i="6"/>
  <c r="I163" i="6"/>
  <c r="H163" i="6"/>
  <c r="G163" i="6"/>
  <c r="F163" i="6"/>
  <c r="H162" i="6"/>
  <c r="I162" i="6" s="1"/>
  <c r="G162" i="6"/>
  <c r="F162" i="6"/>
  <c r="I161" i="6"/>
  <c r="H161" i="6"/>
  <c r="G161" i="6"/>
  <c r="F161" i="6"/>
  <c r="H160" i="6"/>
  <c r="I160" i="6" s="1"/>
  <c r="G160" i="6"/>
  <c r="F160" i="6"/>
  <c r="I159" i="6"/>
  <c r="H159" i="6"/>
  <c r="G159" i="6"/>
  <c r="F159" i="6"/>
  <c r="H158" i="6"/>
  <c r="I158" i="6" s="1"/>
  <c r="G158" i="6"/>
  <c r="F158" i="6"/>
  <c r="I157" i="6"/>
  <c r="H157" i="6"/>
  <c r="G157" i="6"/>
  <c r="F157" i="6"/>
  <c r="H156" i="6"/>
  <c r="I156" i="6" s="1"/>
  <c r="G156" i="6"/>
  <c r="F156" i="6"/>
  <c r="I155" i="6"/>
  <c r="H155" i="6"/>
  <c r="G155" i="6"/>
  <c r="F155" i="6"/>
  <c r="H154" i="6"/>
  <c r="I154" i="6" s="1"/>
  <c r="G154" i="6"/>
  <c r="F154" i="6"/>
  <c r="I153" i="6"/>
  <c r="H153" i="6"/>
  <c r="G153" i="6"/>
  <c r="F153" i="6"/>
  <c r="H152" i="6"/>
  <c r="I152" i="6" s="1"/>
  <c r="G152" i="6"/>
  <c r="F152" i="6"/>
  <c r="I151" i="6"/>
  <c r="H151" i="6"/>
  <c r="G151" i="6"/>
  <c r="F151" i="6"/>
  <c r="H150" i="6"/>
  <c r="I150" i="6" s="1"/>
  <c r="G150" i="6"/>
  <c r="F150" i="6"/>
  <c r="I149" i="6"/>
  <c r="H149" i="6"/>
  <c r="G149" i="6"/>
  <c r="F149" i="6"/>
  <c r="H148" i="6"/>
  <c r="I148" i="6" s="1"/>
  <c r="G148" i="6"/>
  <c r="F148" i="6"/>
  <c r="I147" i="6"/>
  <c r="H147" i="6"/>
  <c r="G147" i="6"/>
  <c r="F147" i="6"/>
  <c r="H146" i="6"/>
  <c r="I146" i="6" s="1"/>
  <c r="G146" i="6"/>
  <c r="F146" i="6"/>
  <c r="I145" i="6"/>
  <c r="H145" i="6"/>
  <c r="G145" i="6"/>
  <c r="F145" i="6"/>
  <c r="H144" i="6"/>
  <c r="I144" i="6" s="1"/>
  <c r="G144" i="6"/>
  <c r="F144" i="6"/>
  <c r="I143" i="6"/>
  <c r="H143" i="6"/>
  <c r="G143" i="6"/>
  <c r="F143" i="6"/>
  <c r="H142" i="6"/>
  <c r="I142" i="6" s="1"/>
  <c r="G142" i="6"/>
  <c r="F142" i="6"/>
  <c r="I141" i="6"/>
  <c r="H141" i="6"/>
  <c r="G141" i="6"/>
  <c r="F141" i="6"/>
  <c r="H140" i="6"/>
  <c r="I140" i="6" s="1"/>
  <c r="G140" i="6"/>
  <c r="F140" i="6"/>
  <c r="I139" i="6"/>
  <c r="H139" i="6"/>
  <c r="G139" i="6"/>
  <c r="F139" i="6"/>
  <c r="H138" i="6"/>
  <c r="I138" i="6" s="1"/>
  <c r="G138" i="6"/>
  <c r="F138" i="6"/>
  <c r="I137" i="6"/>
  <c r="H137" i="6"/>
  <c r="G137" i="6"/>
  <c r="F137" i="6"/>
  <c r="H136" i="6"/>
  <c r="I136" i="6" s="1"/>
  <c r="G136" i="6"/>
  <c r="F136" i="6"/>
  <c r="I135" i="6"/>
  <c r="H135" i="6"/>
  <c r="G135" i="6"/>
  <c r="F135" i="6"/>
  <c r="H134" i="6"/>
  <c r="I134" i="6" s="1"/>
  <c r="G134" i="6"/>
  <c r="F134" i="6"/>
  <c r="I133" i="6"/>
  <c r="H133" i="6"/>
  <c r="G133" i="6"/>
  <c r="F133" i="6"/>
  <c r="H132" i="6"/>
  <c r="I132" i="6" s="1"/>
  <c r="G132" i="6"/>
  <c r="F132" i="6"/>
  <c r="I131" i="6"/>
  <c r="H131" i="6"/>
  <c r="G131" i="6"/>
  <c r="F131" i="6"/>
  <c r="H130" i="6"/>
  <c r="I130" i="6" s="1"/>
  <c r="G130" i="6"/>
  <c r="F130" i="6"/>
  <c r="I129" i="6"/>
  <c r="H129" i="6"/>
  <c r="G129" i="6"/>
  <c r="F129" i="6"/>
  <c r="H128" i="6"/>
  <c r="I128" i="6" s="1"/>
  <c r="G128" i="6"/>
  <c r="F128" i="6"/>
  <c r="I127" i="6"/>
  <c r="H127" i="6"/>
  <c r="G127" i="6"/>
  <c r="F127" i="6"/>
  <c r="H126" i="6"/>
  <c r="I126" i="6" s="1"/>
  <c r="G126" i="6"/>
  <c r="F126" i="6"/>
  <c r="I125" i="6"/>
  <c r="H125" i="6"/>
  <c r="G125" i="6"/>
  <c r="F125" i="6"/>
  <c r="H124" i="6"/>
  <c r="I124" i="6" s="1"/>
  <c r="G124" i="6"/>
  <c r="F124" i="6"/>
  <c r="I123" i="6"/>
  <c r="H123" i="6"/>
  <c r="G123" i="6"/>
  <c r="F123" i="6"/>
  <c r="H122" i="6"/>
  <c r="I122" i="6" s="1"/>
  <c r="G122" i="6"/>
  <c r="F122" i="6"/>
  <c r="I121" i="6"/>
  <c r="H121" i="6"/>
  <c r="G121" i="6"/>
  <c r="F121" i="6"/>
  <c r="H120" i="6"/>
  <c r="I120" i="6" s="1"/>
  <c r="G120" i="6"/>
  <c r="F120" i="6"/>
  <c r="I119" i="6"/>
  <c r="H119" i="6"/>
  <c r="G119" i="6"/>
  <c r="F119" i="6"/>
  <c r="H118" i="6"/>
  <c r="I118" i="6" s="1"/>
  <c r="G118" i="6"/>
  <c r="F118" i="6"/>
  <c r="I117" i="6"/>
  <c r="H117" i="6"/>
  <c r="G117" i="6"/>
  <c r="F117" i="6"/>
  <c r="H116" i="6"/>
  <c r="I116" i="6" s="1"/>
  <c r="G116" i="6"/>
  <c r="F116" i="6"/>
  <c r="I115" i="6"/>
  <c r="H115" i="6"/>
  <c r="G115" i="6"/>
  <c r="F115" i="6"/>
  <c r="H114" i="6"/>
  <c r="I114" i="6" s="1"/>
  <c r="G114" i="6"/>
  <c r="F114" i="6"/>
  <c r="I113" i="6"/>
  <c r="H113" i="6"/>
  <c r="G113" i="6"/>
  <c r="F113" i="6"/>
  <c r="H112" i="6"/>
  <c r="I112" i="6" s="1"/>
  <c r="G112" i="6"/>
  <c r="F112" i="6"/>
  <c r="I111" i="6"/>
  <c r="H111" i="6"/>
  <c r="G111" i="6"/>
  <c r="F111" i="6"/>
  <c r="H110" i="6"/>
  <c r="I110" i="6" s="1"/>
  <c r="G110" i="6"/>
  <c r="F110" i="6"/>
  <c r="I109" i="6"/>
  <c r="H109" i="6"/>
  <c r="G109" i="6"/>
  <c r="F109" i="6"/>
  <c r="H108" i="6"/>
  <c r="I108" i="6" s="1"/>
  <c r="G108" i="6"/>
  <c r="F108" i="6"/>
  <c r="I107" i="6"/>
  <c r="H107" i="6"/>
  <c r="G107" i="6"/>
  <c r="F107" i="6"/>
  <c r="H106" i="6"/>
  <c r="I106" i="6" s="1"/>
  <c r="G106" i="6"/>
  <c r="F106" i="6"/>
  <c r="I105" i="6"/>
  <c r="H105" i="6"/>
  <c r="G105" i="6"/>
  <c r="F105" i="6"/>
  <c r="H104" i="6"/>
  <c r="I104" i="6" s="1"/>
  <c r="G104" i="6"/>
  <c r="F104" i="6"/>
  <c r="I103" i="6"/>
  <c r="H103" i="6"/>
  <c r="G103" i="6"/>
  <c r="F103" i="6"/>
  <c r="H102" i="6"/>
  <c r="I102" i="6" s="1"/>
  <c r="G102" i="6"/>
  <c r="F102" i="6"/>
  <c r="I101" i="6"/>
  <c r="H101" i="6"/>
  <c r="G101" i="6"/>
  <c r="F101" i="6"/>
  <c r="H100" i="6"/>
  <c r="I100" i="6" s="1"/>
  <c r="G100" i="6"/>
  <c r="F100" i="6"/>
  <c r="I99" i="6"/>
  <c r="H99" i="6"/>
  <c r="G99" i="6"/>
  <c r="F99" i="6"/>
  <c r="H98" i="6"/>
  <c r="I98" i="6" s="1"/>
  <c r="G98" i="6"/>
  <c r="F98" i="6"/>
  <c r="I97" i="6"/>
  <c r="H97" i="6"/>
  <c r="G97" i="6"/>
  <c r="F97" i="6"/>
  <c r="H96" i="6"/>
  <c r="I96" i="6" s="1"/>
  <c r="G96" i="6"/>
  <c r="F96" i="6"/>
  <c r="I95" i="6"/>
  <c r="H95" i="6"/>
  <c r="G95" i="6"/>
  <c r="F95" i="6"/>
  <c r="H94" i="6"/>
  <c r="I94" i="6" s="1"/>
  <c r="G94" i="6"/>
  <c r="F94" i="6"/>
  <c r="I93" i="6"/>
  <c r="H93" i="6"/>
  <c r="G93" i="6"/>
  <c r="F93" i="6"/>
  <c r="H92" i="6"/>
  <c r="I92" i="6" s="1"/>
  <c r="G92" i="6"/>
  <c r="F92" i="6"/>
  <c r="I91" i="6"/>
  <c r="H91" i="6"/>
  <c r="G91" i="6"/>
  <c r="F91" i="6"/>
  <c r="H90" i="6"/>
  <c r="I90" i="6" s="1"/>
  <c r="G90" i="6"/>
  <c r="F90" i="6"/>
  <c r="I89" i="6"/>
  <c r="H89" i="6"/>
  <c r="G89" i="6"/>
  <c r="F89" i="6"/>
  <c r="H88" i="6"/>
  <c r="I88" i="6" s="1"/>
  <c r="G88" i="6"/>
  <c r="F88" i="6"/>
  <c r="I87" i="6"/>
  <c r="H87" i="6"/>
  <c r="G87" i="6"/>
  <c r="F87" i="6"/>
  <c r="H86" i="6"/>
  <c r="I86" i="6" s="1"/>
  <c r="G86" i="6"/>
  <c r="F86" i="6"/>
  <c r="I85" i="6"/>
  <c r="H85" i="6"/>
  <c r="G85" i="6"/>
  <c r="F85" i="6"/>
  <c r="H84" i="6"/>
  <c r="I84" i="6" s="1"/>
  <c r="G84" i="6"/>
  <c r="F84" i="6"/>
  <c r="I83" i="6"/>
  <c r="H83" i="6"/>
  <c r="G83" i="6"/>
  <c r="F83" i="6"/>
  <c r="H82" i="6"/>
  <c r="I82" i="6" s="1"/>
  <c r="G82" i="6"/>
  <c r="F82" i="6"/>
  <c r="I81" i="6"/>
  <c r="H81" i="6"/>
  <c r="G81" i="6"/>
  <c r="F81" i="6"/>
  <c r="H80" i="6"/>
  <c r="I80" i="6" s="1"/>
  <c r="G80" i="6"/>
  <c r="F80" i="6"/>
  <c r="I79" i="6"/>
  <c r="H79" i="6"/>
  <c r="G79" i="6"/>
  <c r="F79" i="6"/>
  <c r="H78" i="6"/>
  <c r="I78" i="6" s="1"/>
  <c r="G78" i="6"/>
  <c r="F78" i="6"/>
  <c r="I77" i="6"/>
  <c r="H77" i="6"/>
  <c r="G77" i="6"/>
  <c r="F77" i="6"/>
  <c r="H76" i="6"/>
  <c r="I76" i="6" s="1"/>
  <c r="G76" i="6"/>
  <c r="F76" i="6"/>
  <c r="I75" i="6"/>
  <c r="H75" i="6"/>
  <c r="G75" i="6"/>
  <c r="F75" i="6"/>
  <c r="H74" i="6"/>
  <c r="I74" i="6" s="1"/>
  <c r="G74" i="6"/>
  <c r="F74" i="6"/>
  <c r="I73" i="6"/>
  <c r="H73" i="6"/>
  <c r="G73" i="6"/>
  <c r="F73" i="6"/>
  <c r="H72" i="6"/>
  <c r="I72" i="6" s="1"/>
  <c r="G72" i="6"/>
  <c r="F72" i="6"/>
  <c r="H71" i="6"/>
  <c r="G71" i="6"/>
  <c r="I71" i="6" s="1"/>
  <c r="F71" i="6"/>
  <c r="H70" i="6"/>
  <c r="I70" i="6" s="1"/>
  <c r="G70" i="6"/>
  <c r="F70" i="6"/>
  <c r="I69" i="6"/>
  <c r="H69" i="6"/>
  <c r="G69" i="6"/>
  <c r="F69" i="6"/>
  <c r="H68" i="6"/>
  <c r="I68" i="6" s="1"/>
  <c r="G68" i="6"/>
  <c r="F68" i="6"/>
  <c r="H67" i="6"/>
  <c r="G67" i="6"/>
  <c r="I67" i="6" s="1"/>
  <c r="F67" i="6"/>
  <c r="H66" i="6"/>
  <c r="I66" i="6" s="1"/>
  <c r="G66" i="6"/>
  <c r="F66" i="6"/>
  <c r="H65" i="6"/>
  <c r="G65" i="6"/>
  <c r="I65" i="6" s="1"/>
  <c r="F65" i="6"/>
  <c r="H64" i="6"/>
  <c r="I64" i="6" s="1"/>
  <c r="G64" i="6"/>
  <c r="F64" i="6"/>
  <c r="H63" i="6"/>
  <c r="G63" i="6"/>
  <c r="I63" i="6" s="1"/>
  <c r="F63" i="6"/>
  <c r="H62" i="6"/>
  <c r="I62" i="6" s="1"/>
  <c r="G62" i="6"/>
  <c r="F62" i="6"/>
  <c r="H61" i="6"/>
  <c r="G61" i="6"/>
  <c r="I61" i="6" s="1"/>
  <c r="F61" i="6"/>
  <c r="H60" i="6"/>
  <c r="I60" i="6" s="1"/>
  <c r="G60" i="6"/>
  <c r="F60" i="6"/>
  <c r="H59" i="6"/>
  <c r="G59" i="6"/>
  <c r="I59" i="6" s="1"/>
  <c r="F59" i="6"/>
  <c r="H58" i="6"/>
  <c r="I58" i="6" s="1"/>
  <c r="G58" i="6"/>
  <c r="F58" i="6"/>
  <c r="H57" i="6"/>
  <c r="G57" i="6"/>
  <c r="I57" i="6" s="1"/>
  <c r="F57" i="6"/>
  <c r="H56" i="6"/>
  <c r="I56" i="6" s="1"/>
  <c r="G56" i="6"/>
  <c r="F56" i="6"/>
  <c r="H55" i="6"/>
  <c r="G55" i="6"/>
  <c r="I55" i="6" s="1"/>
  <c r="F55" i="6"/>
  <c r="H54" i="6"/>
  <c r="I54" i="6" s="1"/>
  <c r="G54" i="6"/>
  <c r="F54" i="6"/>
  <c r="H53" i="6"/>
  <c r="G53" i="6"/>
  <c r="I53" i="6" s="1"/>
  <c r="F53" i="6"/>
  <c r="H52" i="6"/>
  <c r="I52" i="6" s="1"/>
  <c r="G52" i="6"/>
  <c r="F52" i="6"/>
  <c r="H51" i="6"/>
  <c r="G51" i="6"/>
  <c r="I51" i="6" s="1"/>
  <c r="F51" i="6"/>
  <c r="H50" i="6"/>
  <c r="I50" i="6" s="1"/>
  <c r="G50" i="6"/>
  <c r="F50" i="6"/>
  <c r="H49" i="6"/>
  <c r="G49" i="6"/>
  <c r="I49" i="6" s="1"/>
  <c r="F49" i="6"/>
  <c r="H48" i="6"/>
  <c r="I48" i="6" s="1"/>
  <c r="G48" i="6"/>
  <c r="F48" i="6"/>
  <c r="H47" i="6"/>
  <c r="G47" i="6"/>
  <c r="I47" i="6" s="1"/>
  <c r="F47" i="6"/>
  <c r="H46" i="6"/>
  <c r="I46" i="6" s="1"/>
  <c r="G46" i="6"/>
  <c r="F46" i="6"/>
  <c r="H45" i="6"/>
  <c r="G45" i="6"/>
  <c r="I45" i="6" s="1"/>
  <c r="F45" i="6"/>
  <c r="H44" i="6"/>
  <c r="I44" i="6" s="1"/>
  <c r="G44" i="6"/>
  <c r="F44" i="6"/>
  <c r="H43" i="6"/>
  <c r="G43" i="6"/>
  <c r="I43" i="6" s="1"/>
  <c r="F43" i="6"/>
  <c r="H42" i="6"/>
  <c r="I42" i="6" s="1"/>
  <c r="G42" i="6"/>
  <c r="F42" i="6"/>
  <c r="H41" i="6"/>
  <c r="G41" i="6"/>
  <c r="I41" i="6" s="1"/>
  <c r="F41" i="6"/>
  <c r="H40" i="6"/>
  <c r="G40" i="6"/>
  <c r="I40" i="6" s="1"/>
  <c r="F40" i="6"/>
  <c r="H39" i="6"/>
  <c r="G39" i="6"/>
  <c r="I39" i="6" s="1"/>
  <c r="F39" i="6"/>
  <c r="H38" i="6"/>
  <c r="I38" i="6" s="1"/>
  <c r="G38" i="6"/>
  <c r="F38" i="6"/>
  <c r="H37" i="6"/>
  <c r="G37" i="6"/>
  <c r="I37" i="6" s="1"/>
  <c r="F37" i="6"/>
  <c r="H36" i="6"/>
  <c r="I36" i="6" s="1"/>
  <c r="G36" i="6"/>
  <c r="F36" i="6"/>
  <c r="H35" i="6"/>
  <c r="G35" i="6"/>
  <c r="I35" i="6" s="1"/>
  <c r="F35" i="6"/>
  <c r="H34" i="6"/>
  <c r="I34" i="6" s="1"/>
  <c r="G34" i="6"/>
  <c r="F34" i="6"/>
  <c r="H33" i="6"/>
  <c r="G33" i="6"/>
  <c r="I33" i="6" s="1"/>
  <c r="F33" i="6"/>
  <c r="H32" i="6"/>
  <c r="G32" i="6"/>
  <c r="I32" i="6" s="1"/>
  <c r="F32" i="6"/>
  <c r="H31" i="6"/>
  <c r="G31" i="6"/>
  <c r="I31" i="6" s="1"/>
  <c r="F31" i="6"/>
  <c r="H30" i="6"/>
  <c r="G30" i="6"/>
  <c r="I30" i="6" s="1"/>
  <c r="F30" i="6"/>
  <c r="H29" i="6"/>
  <c r="G29" i="6"/>
  <c r="I29" i="6" s="1"/>
  <c r="F29" i="6"/>
  <c r="H28" i="6"/>
  <c r="G28" i="6"/>
  <c r="I28" i="6" s="1"/>
  <c r="F28" i="6"/>
  <c r="H27" i="6"/>
  <c r="G27" i="6"/>
  <c r="I27" i="6" s="1"/>
  <c r="F27" i="6"/>
  <c r="H26" i="6"/>
  <c r="G26" i="6"/>
  <c r="I26" i="6" s="1"/>
  <c r="F26" i="6"/>
  <c r="H25" i="6"/>
  <c r="G25" i="6"/>
  <c r="I25" i="6" s="1"/>
  <c r="F25" i="6"/>
  <c r="H24" i="6"/>
  <c r="G24" i="6"/>
  <c r="I24" i="6" s="1"/>
  <c r="F24" i="6"/>
  <c r="H23" i="6"/>
  <c r="G23" i="6"/>
  <c r="I23" i="6" s="1"/>
  <c r="F23" i="6"/>
  <c r="H22" i="6"/>
  <c r="G22" i="6"/>
  <c r="I22" i="6" s="1"/>
  <c r="F22" i="6"/>
  <c r="H21" i="6"/>
  <c r="G21" i="6"/>
  <c r="I21" i="6" s="1"/>
  <c r="F21" i="6"/>
  <c r="H20" i="6"/>
  <c r="G20" i="6"/>
  <c r="I20" i="6" s="1"/>
  <c r="F20" i="6"/>
  <c r="H19" i="6"/>
  <c r="G19" i="6"/>
  <c r="I19" i="6" s="1"/>
  <c r="F19" i="6"/>
  <c r="H18" i="6"/>
  <c r="G18" i="6"/>
  <c r="I18" i="6" s="1"/>
  <c r="F18" i="6"/>
  <c r="H17" i="6"/>
  <c r="G17" i="6"/>
  <c r="I17" i="6" s="1"/>
  <c r="F17" i="6"/>
  <c r="H16" i="6"/>
  <c r="G16" i="6"/>
  <c r="I16" i="6" s="1"/>
  <c r="F16" i="6"/>
  <c r="H15" i="6"/>
  <c r="G15" i="6"/>
  <c r="I15" i="6" s="1"/>
  <c r="F15" i="6"/>
  <c r="H14" i="6"/>
  <c r="G14" i="6"/>
  <c r="I14" i="6" s="1"/>
  <c r="F14" i="6"/>
  <c r="H13" i="6"/>
  <c r="G13" i="6"/>
  <c r="I13" i="6" s="1"/>
  <c r="F13" i="6"/>
  <c r="H12" i="6"/>
  <c r="G12" i="6"/>
  <c r="I12" i="6" s="1"/>
  <c r="F12" i="6"/>
  <c r="H11" i="6"/>
  <c r="G11" i="6"/>
  <c r="I11" i="6" s="1"/>
  <c r="F11" i="6"/>
  <c r="H10" i="6"/>
  <c r="G10" i="6"/>
  <c r="I10" i="6" s="1"/>
  <c r="F10" i="6"/>
  <c r="H9" i="6"/>
  <c r="G9" i="6"/>
  <c r="I9" i="6" s="1"/>
  <c r="F9" i="6"/>
  <c r="H8" i="6"/>
  <c r="G8" i="6"/>
  <c r="I8" i="6" s="1"/>
  <c r="F8" i="6"/>
  <c r="H7" i="6"/>
  <c r="G7" i="6"/>
  <c r="I7" i="6" s="1"/>
  <c r="F7" i="6"/>
  <c r="H6" i="6"/>
  <c r="G6" i="6"/>
  <c r="I6" i="6" s="1"/>
  <c r="F6" i="6"/>
  <c r="H5" i="6"/>
  <c r="G5" i="6"/>
  <c r="I5" i="6" s="1"/>
  <c r="F5" i="6"/>
  <c r="H4" i="6"/>
  <c r="G4" i="6"/>
  <c r="I4" i="6" s="1"/>
  <c r="F4" i="6"/>
  <c r="H3" i="6"/>
  <c r="G3" i="6"/>
  <c r="I3" i="6" s="1"/>
  <c r="F3" i="6"/>
  <c r="H2" i="6"/>
  <c r="G2" i="6"/>
  <c r="I2" i="6" s="1"/>
  <c r="F2" i="6"/>
  <c r="H29" i="5"/>
  <c r="I29" i="5" s="1"/>
  <c r="G29" i="5"/>
  <c r="F29" i="5"/>
  <c r="I28" i="5"/>
  <c r="H28" i="5"/>
  <c r="G28" i="5"/>
  <c r="F28" i="5"/>
  <c r="H27" i="5"/>
  <c r="I27" i="5" s="1"/>
  <c r="G27" i="5"/>
  <c r="F27" i="5"/>
  <c r="I26" i="5"/>
  <c r="H26" i="5"/>
  <c r="G26" i="5"/>
  <c r="F26" i="5"/>
  <c r="H25" i="5"/>
  <c r="I25" i="5" s="1"/>
  <c r="G25" i="5"/>
  <c r="F25" i="5"/>
  <c r="I24" i="5"/>
  <c r="H24" i="5"/>
  <c r="G24" i="5"/>
  <c r="F24" i="5"/>
  <c r="H23" i="5"/>
  <c r="I23" i="5" s="1"/>
  <c r="G23" i="5"/>
  <c r="F23" i="5"/>
  <c r="I22" i="5"/>
  <c r="H22" i="5"/>
  <c r="G22" i="5"/>
  <c r="F22" i="5"/>
  <c r="H21" i="5"/>
  <c r="I21" i="5" s="1"/>
  <c r="G21" i="5"/>
  <c r="F21" i="5"/>
  <c r="I20" i="5"/>
  <c r="H20" i="5"/>
  <c r="G20" i="5"/>
  <c r="F20" i="5"/>
  <c r="H19" i="5"/>
  <c r="I19" i="5" s="1"/>
  <c r="G19" i="5"/>
  <c r="F19" i="5"/>
  <c r="I18" i="5"/>
  <c r="H18" i="5"/>
  <c r="G18" i="5"/>
  <c r="F18" i="5"/>
  <c r="H17" i="5"/>
  <c r="I17" i="5" s="1"/>
  <c r="G17" i="5"/>
  <c r="F17" i="5"/>
  <c r="I16" i="5"/>
  <c r="H16" i="5"/>
  <c r="G16" i="5"/>
  <c r="F16" i="5"/>
  <c r="H15" i="5"/>
  <c r="I15" i="5" s="1"/>
  <c r="G15" i="5"/>
  <c r="F15" i="5"/>
  <c r="I14" i="5"/>
  <c r="H14" i="5"/>
  <c r="G14" i="5"/>
  <c r="F14" i="5"/>
  <c r="H13" i="5"/>
  <c r="I13" i="5" s="1"/>
  <c r="G13" i="5"/>
  <c r="F13" i="5"/>
  <c r="I12" i="5"/>
  <c r="H12" i="5"/>
  <c r="G12" i="5"/>
  <c r="F12" i="5"/>
  <c r="H11" i="5"/>
  <c r="I11" i="5" s="1"/>
  <c r="G11" i="5"/>
  <c r="F11" i="5"/>
  <c r="I10" i="5"/>
  <c r="H10" i="5"/>
  <c r="G10" i="5"/>
  <c r="F10" i="5"/>
  <c r="H9" i="5"/>
  <c r="I9" i="5" s="1"/>
  <c r="G9" i="5"/>
  <c r="F9" i="5"/>
  <c r="I8" i="5"/>
  <c r="H8" i="5"/>
  <c r="G8" i="5"/>
  <c r="F8" i="5"/>
  <c r="H7" i="5"/>
  <c r="I7" i="5" s="1"/>
  <c r="G7" i="5"/>
  <c r="F7" i="5"/>
  <c r="I6" i="5"/>
  <c r="H6" i="5"/>
  <c r="G6" i="5"/>
  <c r="F6" i="5"/>
  <c r="H5" i="5"/>
  <c r="I5" i="5" s="1"/>
  <c r="G5" i="5"/>
  <c r="F5" i="5"/>
  <c r="I4" i="5"/>
  <c r="H4" i="5"/>
  <c r="G4" i="5"/>
  <c r="F4" i="5"/>
  <c r="H3" i="5"/>
  <c r="I3" i="5" s="1"/>
  <c r="G3" i="5"/>
  <c r="F3" i="5"/>
  <c r="I2" i="5"/>
  <c r="H2" i="5"/>
  <c r="G2" i="5"/>
  <c r="F2" i="5"/>
  <c r="I32" i="4"/>
  <c r="H32" i="4"/>
  <c r="G32" i="4"/>
  <c r="F32" i="4"/>
  <c r="I31" i="4"/>
  <c r="H31" i="4"/>
  <c r="G31" i="4"/>
  <c r="F31" i="4"/>
  <c r="I30" i="4"/>
  <c r="H30" i="4"/>
  <c r="G30" i="4"/>
  <c r="F30" i="4"/>
  <c r="I29" i="4"/>
  <c r="H29" i="4"/>
  <c r="G29" i="4"/>
  <c r="F29" i="4"/>
  <c r="I28" i="4"/>
  <c r="H28" i="4"/>
  <c r="G28" i="4"/>
  <c r="F28" i="4"/>
  <c r="I27" i="4"/>
  <c r="H27" i="4"/>
  <c r="G27" i="4"/>
  <c r="F27" i="4"/>
  <c r="I26" i="4"/>
  <c r="H26" i="4"/>
  <c r="G26" i="4"/>
  <c r="F26" i="4"/>
  <c r="I25" i="4"/>
  <c r="H25" i="4"/>
  <c r="G25" i="4"/>
  <c r="F25" i="4"/>
  <c r="I24" i="4"/>
  <c r="H24" i="4"/>
  <c r="G24" i="4"/>
  <c r="F24" i="4"/>
  <c r="I23" i="4"/>
  <c r="H23" i="4"/>
  <c r="G23" i="4"/>
  <c r="F23" i="4"/>
  <c r="I22" i="4"/>
  <c r="H22" i="4"/>
  <c r="G22" i="4"/>
  <c r="F22" i="4"/>
  <c r="I21" i="4"/>
  <c r="H21" i="4"/>
  <c r="G21" i="4"/>
  <c r="F21" i="4"/>
  <c r="I20" i="4"/>
  <c r="H20" i="4"/>
  <c r="G20" i="4"/>
  <c r="F20" i="4"/>
  <c r="I19" i="4"/>
  <c r="H19" i="4"/>
  <c r="G19" i="4"/>
  <c r="F19" i="4"/>
  <c r="I18" i="4"/>
  <c r="H18" i="4"/>
  <c r="G18" i="4"/>
  <c r="F18" i="4"/>
  <c r="I17" i="4"/>
  <c r="H17" i="4"/>
  <c r="G17" i="4"/>
  <c r="F17" i="4"/>
  <c r="I16" i="4"/>
  <c r="H16" i="4"/>
  <c r="G16" i="4"/>
  <c r="F16" i="4"/>
  <c r="I15" i="4"/>
  <c r="H15" i="4"/>
  <c r="G15" i="4"/>
  <c r="F15" i="4"/>
  <c r="I14" i="4"/>
  <c r="H14" i="4"/>
  <c r="G14" i="4"/>
  <c r="F14" i="4"/>
  <c r="I13" i="4"/>
  <c r="H13" i="4"/>
  <c r="G13" i="4"/>
  <c r="F13" i="4"/>
  <c r="I12" i="4"/>
  <c r="H12" i="4"/>
  <c r="G12" i="4"/>
  <c r="F12" i="4"/>
  <c r="I11" i="4"/>
  <c r="H11" i="4"/>
  <c r="G11" i="4"/>
  <c r="F11" i="4"/>
  <c r="I10" i="4"/>
  <c r="H10" i="4"/>
  <c r="G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I2" i="4"/>
  <c r="H2" i="4"/>
  <c r="G2" i="4"/>
  <c r="F2" i="4"/>
  <c r="H32" i="3"/>
  <c r="I32" i="3" s="1"/>
  <c r="G32" i="3"/>
  <c r="F32" i="3"/>
  <c r="I31" i="3"/>
  <c r="H31" i="3"/>
  <c r="G31" i="3"/>
  <c r="F31" i="3"/>
  <c r="H30" i="3"/>
  <c r="I30" i="3" s="1"/>
  <c r="G30" i="3"/>
  <c r="F30" i="3"/>
  <c r="I29" i="3"/>
  <c r="H29" i="3"/>
  <c r="G29" i="3"/>
  <c r="F29" i="3"/>
  <c r="H28" i="3"/>
  <c r="I28" i="3" s="1"/>
  <c r="G28" i="3"/>
  <c r="F28" i="3"/>
  <c r="I27" i="3"/>
  <c r="H27" i="3"/>
  <c r="G27" i="3"/>
  <c r="F27" i="3"/>
  <c r="H26" i="3"/>
  <c r="I26" i="3" s="1"/>
  <c r="G26" i="3"/>
  <c r="F26" i="3"/>
  <c r="I25" i="3"/>
  <c r="H25" i="3"/>
  <c r="G25" i="3"/>
  <c r="F25" i="3"/>
  <c r="H24" i="3"/>
  <c r="I24" i="3" s="1"/>
  <c r="G24" i="3"/>
  <c r="F24" i="3"/>
  <c r="I23" i="3"/>
  <c r="H23" i="3"/>
  <c r="G23" i="3"/>
  <c r="F23" i="3"/>
  <c r="H22" i="3"/>
  <c r="I22" i="3" s="1"/>
  <c r="G22" i="3"/>
  <c r="F22" i="3"/>
  <c r="I21" i="3"/>
  <c r="H21" i="3"/>
  <c r="G21" i="3"/>
  <c r="F21" i="3"/>
  <c r="H20" i="3"/>
  <c r="I20" i="3" s="1"/>
  <c r="G20" i="3"/>
  <c r="F20" i="3"/>
  <c r="I19" i="3"/>
  <c r="H19" i="3"/>
  <c r="G19" i="3"/>
  <c r="F19" i="3"/>
  <c r="H18" i="3"/>
  <c r="I18" i="3" s="1"/>
  <c r="G18" i="3"/>
  <c r="F18" i="3"/>
  <c r="I17" i="3"/>
  <c r="H17" i="3"/>
  <c r="G17" i="3"/>
  <c r="F17" i="3"/>
  <c r="H16" i="3"/>
  <c r="I16" i="3" s="1"/>
  <c r="G16" i="3"/>
  <c r="F16" i="3"/>
  <c r="I15" i="3"/>
  <c r="H15" i="3"/>
  <c r="G15" i="3"/>
  <c r="F15" i="3"/>
  <c r="H14" i="3"/>
  <c r="I14" i="3" s="1"/>
  <c r="G14" i="3"/>
  <c r="F14" i="3"/>
  <c r="I13" i="3"/>
  <c r="H13" i="3"/>
  <c r="G13" i="3"/>
  <c r="F13" i="3"/>
  <c r="H12" i="3"/>
  <c r="I12" i="3" s="1"/>
  <c r="G12" i="3"/>
  <c r="F12" i="3"/>
  <c r="I11" i="3"/>
  <c r="H11" i="3"/>
  <c r="G11" i="3"/>
  <c r="F11" i="3"/>
  <c r="H10" i="3"/>
  <c r="I10" i="3" s="1"/>
  <c r="G10" i="3"/>
  <c r="F10" i="3"/>
  <c r="I9" i="3"/>
  <c r="H9" i="3"/>
  <c r="G9" i="3"/>
  <c r="F9" i="3"/>
  <c r="H8" i="3"/>
  <c r="I8" i="3" s="1"/>
  <c r="G8" i="3"/>
  <c r="F8" i="3"/>
  <c r="I7" i="3"/>
  <c r="H7" i="3"/>
  <c r="G7" i="3"/>
  <c r="F7" i="3"/>
  <c r="H6" i="3"/>
  <c r="I6" i="3" s="1"/>
  <c r="G6" i="3"/>
  <c r="F6" i="3"/>
  <c r="I5" i="3"/>
  <c r="H5" i="3"/>
  <c r="G5" i="3"/>
  <c r="F5" i="3"/>
  <c r="H4" i="3"/>
  <c r="I4" i="3" s="1"/>
  <c r="G4" i="3"/>
  <c r="F4" i="3"/>
  <c r="I3" i="3"/>
  <c r="H3" i="3"/>
  <c r="G3" i="3"/>
  <c r="F3" i="3"/>
  <c r="H2" i="3"/>
  <c r="I2" i="3" s="1"/>
  <c r="G2" i="3"/>
  <c r="F2" i="3"/>
  <c r="H35" i="2"/>
  <c r="G35" i="2"/>
  <c r="I35" i="2" s="1"/>
  <c r="F35" i="2"/>
  <c r="H34" i="2"/>
  <c r="G34" i="2"/>
  <c r="I34" i="2" s="1"/>
  <c r="F34" i="2"/>
  <c r="H33" i="2"/>
  <c r="G33" i="2"/>
  <c r="I33" i="2" s="1"/>
  <c r="F33" i="2"/>
  <c r="H32" i="2"/>
  <c r="G32" i="2"/>
  <c r="I32" i="2" s="1"/>
  <c r="F32" i="2"/>
  <c r="H31" i="2"/>
  <c r="G31" i="2"/>
  <c r="I31" i="2" s="1"/>
  <c r="F31" i="2"/>
  <c r="H30" i="2"/>
  <c r="G30" i="2"/>
  <c r="I30" i="2" s="1"/>
  <c r="F30" i="2"/>
  <c r="H29" i="2"/>
  <c r="G29" i="2"/>
  <c r="I29" i="2" s="1"/>
  <c r="F29" i="2"/>
  <c r="H28" i="2"/>
  <c r="G28" i="2"/>
  <c r="I28" i="2" s="1"/>
  <c r="F28" i="2"/>
  <c r="H27" i="2"/>
  <c r="G27" i="2"/>
  <c r="I27" i="2" s="1"/>
  <c r="F27" i="2"/>
  <c r="H26" i="2"/>
  <c r="G26" i="2"/>
  <c r="I26" i="2" s="1"/>
  <c r="F26" i="2"/>
  <c r="H25" i="2"/>
  <c r="G25" i="2"/>
  <c r="I25" i="2" s="1"/>
  <c r="F25" i="2"/>
  <c r="H24" i="2"/>
  <c r="G24" i="2"/>
  <c r="I24" i="2" s="1"/>
  <c r="F24" i="2"/>
  <c r="H23" i="2"/>
  <c r="G23" i="2"/>
  <c r="I23" i="2" s="1"/>
  <c r="F23" i="2"/>
  <c r="H22" i="2"/>
  <c r="G22" i="2"/>
  <c r="I22" i="2" s="1"/>
  <c r="F22" i="2"/>
  <c r="H21" i="2"/>
  <c r="G21" i="2"/>
  <c r="I21" i="2" s="1"/>
  <c r="F21" i="2"/>
  <c r="H20" i="2"/>
  <c r="G20" i="2"/>
  <c r="I20" i="2" s="1"/>
  <c r="F20" i="2"/>
  <c r="H19" i="2"/>
  <c r="G19" i="2"/>
  <c r="I19" i="2" s="1"/>
  <c r="F19" i="2"/>
  <c r="H18" i="2"/>
  <c r="G18" i="2"/>
  <c r="I18" i="2" s="1"/>
  <c r="F18" i="2"/>
  <c r="H17" i="2"/>
  <c r="G17" i="2"/>
  <c r="I17" i="2" s="1"/>
  <c r="F17" i="2"/>
  <c r="H16" i="2"/>
  <c r="G16" i="2"/>
  <c r="I16" i="2" s="1"/>
  <c r="F16" i="2"/>
  <c r="H15" i="2"/>
  <c r="G15" i="2"/>
  <c r="I15" i="2" s="1"/>
  <c r="F15" i="2"/>
  <c r="H14" i="2"/>
  <c r="G14" i="2"/>
  <c r="I14" i="2" s="1"/>
  <c r="F14" i="2"/>
  <c r="H13" i="2"/>
  <c r="G13" i="2"/>
  <c r="I13" i="2" s="1"/>
  <c r="F13" i="2"/>
  <c r="H12" i="2"/>
  <c r="G12" i="2"/>
  <c r="I12" i="2" s="1"/>
  <c r="F12" i="2"/>
  <c r="H11" i="2"/>
  <c r="G11" i="2"/>
  <c r="I11" i="2" s="1"/>
  <c r="F11" i="2"/>
  <c r="H10" i="2"/>
  <c r="G10" i="2"/>
  <c r="I10" i="2" s="1"/>
  <c r="F10" i="2"/>
  <c r="H9" i="2"/>
  <c r="G9" i="2"/>
  <c r="I9" i="2" s="1"/>
  <c r="F9" i="2"/>
  <c r="H8" i="2"/>
  <c r="G8" i="2"/>
  <c r="I8" i="2" s="1"/>
  <c r="F8" i="2"/>
  <c r="H7" i="2"/>
  <c r="G7" i="2"/>
  <c r="I7" i="2" s="1"/>
  <c r="F7" i="2"/>
  <c r="H6" i="2"/>
  <c r="G6" i="2"/>
  <c r="I6" i="2" s="1"/>
  <c r="F6" i="2"/>
  <c r="H5" i="2"/>
  <c r="G5" i="2"/>
  <c r="I5" i="2" s="1"/>
  <c r="F5" i="2"/>
  <c r="H4" i="2"/>
  <c r="G4" i="2"/>
  <c r="I4" i="2" s="1"/>
  <c r="F4" i="2"/>
  <c r="H3" i="2"/>
  <c r="G3" i="2"/>
  <c r="I3" i="2" s="1"/>
  <c r="F3" i="2"/>
  <c r="H2" i="2"/>
  <c r="G2" i="2"/>
  <c r="I2" i="2" s="1"/>
  <c r="F2" i="2"/>
  <c r="H3" i="1"/>
  <c r="H4" i="1"/>
  <c r="H5" i="1"/>
  <c r="H6" i="1"/>
  <c r="H37" i="1"/>
  <c r="H38" i="1"/>
  <c r="H7" i="1"/>
  <c r="H39" i="1"/>
  <c r="H67" i="1"/>
  <c r="H68" i="1"/>
  <c r="H40" i="1"/>
  <c r="H41" i="1"/>
  <c r="H42" i="1"/>
  <c r="H8" i="1"/>
  <c r="H43" i="1"/>
  <c r="H44" i="1"/>
  <c r="H45" i="1"/>
  <c r="H69" i="1"/>
  <c r="H46" i="1"/>
  <c r="H9" i="1"/>
  <c r="H70" i="1"/>
  <c r="H71" i="1"/>
  <c r="H47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0" i="1"/>
  <c r="H72" i="1"/>
  <c r="H73" i="1"/>
  <c r="H48" i="1"/>
  <c r="H49" i="1"/>
  <c r="H11" i="1"/>
  <c r="H50" i="1"/>
  <c r="H162" i="1"/>
  <c r="H163" i="1"/>
  <c r="H164" i="1"/>
  <c r="H165" i="1"/>
  <c r="H166" i="1"/>
  <c r="H51" i="1"/>
  <c r="H12" i="1"/>
  <c r="H13" i="1"/>
  <c r="H52" i="1"/>
  <c r="H14" i="1"/>
  <c r="H53" i="1"/>
  <c r="H54" i="1"/>
  <c r="H98" i="1"/>
  <c r="H55" i="1"/>
  <c r="H74" i="1"/>
  <c r="H15" i="1"/>
  <c r="H99" i="1"/>
  <c r="H100" i="1"/>
  <c r="H101" i="1"/>
  <c r="H75" i="1"/>
  <c r="H102" i="1"/>
  <c r="H103" i="1"/>
  <c r="H104" i="1"/>
  <c r="H105" i="1"/>
  <c r="H106" i="1"/>
  <c r="H167" i="1"/>
  <c r="H168" i="1"/>
  <c r="H169" i="1"/>
  <c r="H107" i="1"/>
  <c r="H108" i="1"/>
  <c r="H109" i="1"/>
  <c r="H110" i="1"/>
  <c r="H56" i="1"/>
  <c r="H111" i="1"/>
  <c r="H16" i="1"/>
  <c r="H76" i="1"/>
  <c r="H77" i="1"/>
  <c r="H112" i="1"/>
  <c r="H17" i="1"/>
  <c r="H57" i="1"/>
  <c r="H113" i="1"/>
  <c r="H58" i="1"/>
  <c r="H78" i="1"/>
  <c r="H59" i="1"/>
  <c r="H60" i="1"/>
  <c r="H18" i="1"/>
  <c r="H61" i="1"/>
  <c r="H19" i="1"/>
  <c r="H114" i="1"/>
  <c r="H115" i="1"/>
  <c r="H62" i="1"/>
  <c r="H63" i="1"/>
  <c r="H116" i="1"/>
  <c r="H170" i="1"/>
  <c r="H171" i="1"/>
  <c r="H172" i="1"/>
  <c r="H173" i="1"/>
  <c r="H174" i="1"/>
  <c r="H175" i="1"/>
  <c r="H176" i="1"/>
  <c r="H177" i="1"/>
  <c r="H79" i="1"/>
  <c r="H64" i="1"/>
  <c r="H20" i="1"/>
  <c r="H117" i="1"/>
  <c r="H21" i="1"/>
  <c r="H118" i="1"/>
  <c r="H22" i="1"/>
  <c r="H119" i="1"/>
  <c r="H65" i="1"/>
  <c r="H178" i="1"/>
  <c r="H179" i="1"/>
  <c r="H80" i="1"/>
  <c r="H81" i="1"/>
  <c r="H23" i="1"/>
  <c r="H180" i="1"/>
  <c r="H12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82" i="1"/>
  <c r="H121" i="1"/>
  <c r="H83" i="1"/>
  <c r="H84" i="1"/>
  <c r="H194" i="1"/>
  <c r="H195" i="1"/>
  <c r="H24" i="1"/>
  <c r="H85" i="1"/>
  <c r="H86" i="1"/>
  <c r="H87" i="1"/>
  <c r="H88" i="1"/>
  <c r="H89" i="1"/>
  <c r="H90" i="1"/>
  <c r="H196" i="1"/>
  <c r="H197" i="1"/>
  <c r="H198" i="1"/>
  <c r="H199" i="1"/>
  <c r="H200" i="1"/>
  <c r="H201" i="1"/>
  <c r="H202" i="1"/>
  <c r="H25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6" i="1"/>
  <c r="H66" i="1"/>
  <c r="H91" i="1"/>
  <c r="H27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8" i="1"/>
  <c r="H29" i="1"/>
  <c r="H239" i="1"/>
  <c r="H30" i="1"/>
  <c r="H31" i="1"/>
  <c r="H32" i="1"/>
  <c r="H92" i="1"/>
  <c r="H93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33" i="1"/>
  <c r="H255" i="1"/>
  <c r="H256" i="1"/>
  <c r="H257" i="1"/>
  <c r="H258" i="1"/>
  <c r="H34" i="1"/>
  <c r="H94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35" i="1"/>
  <c r="H122" i="1"/>
  <c r="H123" i="1"/>
  <c r="H124" i="1"/>
  <c r="H95" i="1"/>
  <c r="H96" i="1"/>
  <c r="H275" i="1"/>
  <c r="H276" i="1"/>
  <c r="H277" i="1"/>
  <c r="H278" i="1"/>
  <c r="H97" i="1"/>
  <c r="H2" i="1"/>
  <c r="H296" i="1" s="1"/>
  <c r="H125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36" i="1"/>
  <c r="G3" i="1"/>
  <c r="I3" i="1" s="1"/>
  <c r="G4" i="1"/>
  <c r="I4" i="1" s="1"/>
  <c r="G5" i="1"/>
  <c r="I5" i="1" s="1"/>
  <c r="G6" i="1"/>
  <c r="I6" i="1" s="1"/>
  <c r="G37" i="1"/>
  <c r="I37" i="1" s="1"/>
  <c r="G38" i="1"/>
  <c r="I38" i="1" s="1"/>
  <c r="G7" i="1"/>
  <c r="I7" i="1" s="1"/>
  <c r="G39" i="1"/>
  <c r="I39" i="1" s="1"/>
  <c r="G67" i="1"/>
  <c r="I67" i="1" s="1"/>
  <c r="G68" i="1"/>
  <c r="I68" i="1" s="1"/>
  <c r="G40" i="1"/>
  <c r="I40" i="1" s="1"/>
  <c r="G41" i="1"/>
  <c r="I41" i="1" s="1"/>
  <c r="G42" i="1"/>
  <c r="I42" i="1" s="1"/>
  <c r="G8" i="1"/>
  <c r="I8" i="1" s="1"/>
  <c r="G43" i="1"/>
  <c r="I43" i="1" s="1"/>
  <c r="G44" i="1"/>
  <c r="I44" i="1" s="1"/>
  <c r="G45" i="1"/>
  <c r="I45" i="1" s="1"/>
  <c r="G69" i="1"/>
  <c r="I69" i="1" s="1"/>
  <c r="G46" i="1"/>
  <c r="I46" i="1" s="1"/>
  <c r="G9" i="1"/>
  <c r="I9" i="1" s="1"/>
  <c r="G70" i="1"/>
  <c r="I70" i="1" s="1"/>
  <c r="G71" i="1"/>
  <c r="I71" i="1" s="1"/>
  <c r="G47" i="1"/>
  <c r="I47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142" i="1"/>
  <c r="I142" i="1" s="1"/>
  <c r="G143" i="1"/>
  <c r="I143" i="1" s="1"/>
  <c r="G144" i="1"/>
  <c r="I144" i="1" s="1"/>
  <c r="G145" i="1"/>
  <c r="I145" i="1" s="1"/>
  <c r="G146" i="1"/>
  <c r="I146" i="1" s="1"/>
  <c r="G147" i="1"/>
  <c r="I147" i="1" s="1"/>
  <c r="G148" i="1"/>
  <c r="I148" i="1" s="1"/>
  <c r="G149" i="1"/>
  <c r="I149" i="1" s="1"/>
  <c r="G150" i="1"/>
  <c r="I150" i="1" s="1"/>
  <c r="G151" i="1"/>
  <c r="I151" i="1" s="1"/>
  <c r="G152" i="1"/>
  <c r="I152" i="1" s="1"/>
  <c r="G153" i="1"/>
  <c r="I153" i="1" s="1"/>
  <c r="G154" i="1"/>
  <c r="I154" i="1" s="1"/>
  <c r="G155" i="1"/>
  <c r="I155" i="1" s="1"/>
  <c r="G156" i="1"/>
  <c r="I156" i="1" s="1"/>
  <c r="G157" i="1"/>
  <c r="I157" i="1" s="1"/>
  <c r="G158" i="1"/>
  <c r="I158" i="1" s="1"/>
  <c r="G159" i="1"/>
  <c r="I159" i="1" s="1"/>
  <c r="G160" i="1"/>
  <c r="I160" i="1" s="1"/>
  <c r="G161" i="1"/>
  <c r="I161" i="1" s="1"/>
  <c r="G10" i="1"/>
  <c r="I10" i="1" s="1"/>
  <c r="G72" i="1"/>
  <c r="I72" i="1" s="1"/>
  <c r="G73" i="1"/>
  <c r="I73" i="1" s="1"/>
  <c r="G48" i="1"/>
  <c r="I48" i="1" s="1"/>
  <c r="G49" i="1"/>
  <c r="I49" i="1" s="1"/>
  <c r="G11" i="1"/>
  <c r="I11" i="1" s="1"/>
  <c r="G50" i="1"/>
  <c r="I50" i="1" s="1"/>
  <c r="G162" i="1"/>
  <c r="I162" i="1" s="1"/>
  <c r="G163" i="1"/>
  <c r="I163" i="1" s="1"/>
  <c r="G164" i="1"/>
  <c r="I164" i="1" s="1"/>
  <c r="G165" i="1"/>
  <c r="I165" i="1" s="1"/>
  <c r="G166" i="1"/>
  <c r="I166" i="1" s="1"/>
  <c r="G51" i="1"/>
  <c r="I51" i="1" s="1"/>
  <c r="G12" i="1"/>
  <c r="I12" i="1" s="1"/>
  <c r="G13" i="1"/>
  <c r="I13" i="1" s="1"/>
  <c r="G52" i="1"/>
  <c r="I52" i="1" s="1"/>
  <c r="G14" i="1"/>
  <c r="I14" i="1" s="1"/>
  <c r="G53" i="1"/>
  <c r="I53" i="1" s="1"/>
  <c r="G54" i="1"/>
  <c r="I54" i="1" s="1"/>
  <c r="G98" i="1"/>
  <c r="I98" i="1" s="1"/>
  <c r="G55" i="1"/>
  <c r="I55" i="1" s="1"/>
  <c r="G74" i="1"/>
  <c r="I74" i="1" s="1"/>
  <c r="G15" i="1"/>
  <c r="I15" i="1" s="1"/>
  <c r="G99" i="1"/>
  <c r="I99" i="1" s="1"/>
  <c r="G100" i="1"/>
  <c r="I100" i="1" s="1"/>
  <c r="G101" i="1"/>
  <c r="I101" i="1" s="1"/>
  <c r="G75" i="1"/>
  <c r="I75" i="1" s="1"/>
  <c r="G102" i="1"/>
  <c r="I102" i="1" s="1"/>
  <c r="G103" i="1"/>
  <c r="I103" i="1" s="1"/>
  <c r="G104" i="1"/>
  <c r="I104" i="1" s="1"/>
  <c r="G105" i="1"/>
  <c r="I105" i="1" s="1"/>
  <c r="G106" i="1"/>
  <c r="I106" i="1" s="1"/>
  <c r="G167" i="1"/>
  <c r="I167" i="1" s="1"/>
  <c r="G168" i="1"/>
  <c r="I168" i="1" s="1"/>
  <c r="G169" i="1"/>
  <c r="I169" i="1" s="1"/>
  <c r="G107" i="1"/>
  <c r="I107" i="1" s="1"/>
  <c r="G108" i="1"/>
  <c r="I108" i="1" s="1"/>
  <c r="G109" i="1"/>
  <c r="I109" i="1" s="1"/>
  <c r="G110" i="1"/>
  <c r="I110" i="1" s="1"/>
  <c r="G56" i="1"/>
  <c r="I56" i="1" s="1"/>
  <c r="G111" i="1"/>
  <c r="I111" i="1" s="1"/>
  <c r="G16" i="1"/>
  <c r="I16" i="1" s="1"/>
  <c r="G76" i="1"/>
  <c r="I76" i="1" s="1"/>
  <c r="G77" i="1"/>
  <c r="I77" i="1" s="1"/>
  <c r="G112" i="1"/>
  <c r="I112" i="1" s="1"/>
  <c r="G17" i="1"/>
  <c r="I17" i="1" s="1"/>
  <c r="G57" i="1"/>
  <c r="I57" i="1" s="1"/>
  <c r="G113" i="1"/>
  <c r="I113" i="1" s="1"/>
  <c r="G58" i="1"/>
  <c r="I58" i="1" s="1"/>
  <c r="G78" i="1"/>
  <c r="I78" i="1" s="1"/>
  <c r="G59" i="1"/>
  <c r="I59" i="1" s="1"/>
  <c r="G60" i="1"/>
  <c r="I60" i="1" s="1"/>
  <c r="G18" i="1"/>
  <c r="I18" i="1" s="1"/>
  <c r="G61" i="1"/>
  <c r="I61" i="1" s="1"/>
  <c r="G19" i="1"/>
  <c r="I19" i="1" s="1"/>
  <c r="G114" i="1"/>
  <c r="I114" i="1" s="1"/>
  <c r="G115" i="1"/>
  <c r="I115" i="1" s="1"/>
  <c r="G62" i="1"/>
  <c r="I62" i="1" s="1"/>
  <c r="G63" i="1"/>
  <c r="I63" i="1" s="1"/>
  <c r="G116" i="1"/>
  <c r="I116" i="1" s="1"/>
  <c r="G170" i="1"/>
  <c r="I170" i="1" s="1"/>
  <c r="G171" i="1"/>
  <c r="I171" i="1" s="1"/>
  <c r="G172" i="1"/>
  <c r="I172" i="1" s="1"/>
  <c r="G173" i="1"/>
  <c r="I173" i="1" s="1"/>
  <c r="G174" i="1"/>
  <c r="I174" i="1" s="1"/>
  <c r="G175" i="1"/>
  <c r="I175" i="1" s="1"/>
  <c r="G176" i="1"/>
  <c r="I176" i="1" s="1"/>
  <c r="G177" i="1"/>
  <c r="I177" i="1" s="1"/>
  <c r="G79" i="1"/>
  <c r="I79" i="1" s="1"/>
  <c r="G64" i="1"/>
  <c r="I64" i="1" s="1"/>
  <c r="G20" i="1"/>
  <c r="I20" i="1" s="1"/>
  <c r="G117" i="1"/>
  <c r="I117" i="1" s="1"/>
  <c r="G21" i="1"/>
  <c r="I21" i="1" s="1"/>
  <c r="G118" i="1"/>
  <c r="I118" i="1" s="1"/>
  <c r="G22" i="1"/>
  <c r="I22" i="1" s="1"/>
  <c r="G119" i="1"/>
  <c r="I119" i="1" s="1"/>
  <c r="G65" i="1"/>
  <c r="I65" i="1" s="1"/>
  <c r="G178" i="1"/>
  <c r="I178" i="1" s="1"/>
  <c r="G179" i="1"/>
  <c r="I179" i="1" s="1"/>
  <c r="G80" i="1"/>
  <c r="I80" i="1" s="1"/>
  <c r="G81" i="1"/>
  <c r="I81" i="1" s="1"/>
  <c r="G23" i="1"/>
  <c r="I23" i="1" s="1"/>
  <c r="G180" i="1"/>
  <c r="I180" i="1" s="1"/>
  <c r="G120" i="1"/>
  <c r="I120" i="1" s="1"/>
  <c r="G181" i="1"/>
  <c r="I181" i="1" s="1"/>
  <c r="G182" i="1"/>
  <c r="I182" i="1" s="1"/>
  <c r="G183" i="1"/>
  <c r="I183" i="1" s="1"/>
  <c r="G184" i="1"/>
  <c r="I184" i="1" s="1"/>
  <c r="G185" i="1"/>
  <c r="I185" i="1" s="1"/>
  <c r="G186" i="1"/>
  <c r="I186" i="1" s="1"/>
  <c r="G187" i="1"/>
  <c r="I187" i="1" s="1"/>
  <c r="G188" i="1"/>
  <c r="I188" i="1" s="1"/>
  <c r="G189" i="1"/>
  <c r="I189" i="1" s="1"/>
  <c r="G190" i="1"/>
  <c r="I190" i="1" s="1"/>
  <c r="G191" i="1"/>
  <c r="I191" i="1" s="1"/>
  <c r="G192" i="1"/>
  <c r="I192" i="1" s="1"/>
  <c r="G193" i="1"/>
  <c r="I193" i="1" s="1"/>
  <c r="G82" i="1"/>
  <c r="I82" i="1" s="1"/>
  <c r="G121" i="1"/>
  <c r="I121" i="1" s="1"/>
  <c r="G83" i="1"/>
  <c r="I83" i="1" s="1"/>
  <c r="G84" i="1"/>
  <c r="I84" i="1" s="1"/>
  <c r="G194" i="1"/>
  <c r="I194" i="1" s="1"/>
  <c r="G195" i="1"/>
  <c r="I195" i="1" s="1"/>
  <c r="G24" i="1"/>
  <c r="I2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196" i="1"/>
  <c r="I196" i="1" s="1"/>
  <c r="G197" i="1"/>
  <c r="I197" i="1" s="1"/>
  <c r="G198" i="1"/>
  <c r="I198" i="1" s="1"/>
  <c r="G199" i="1"/>
  <c r="I199" i="1" s="1"/>
  <c r="G200" i="1"/>
  <c r="I200" i="1" s="1"/>
  <c r="G201" i="1"/>
  <c r="I201" i="1" s="1"/>
  <c r="G202" i="1"/>
  <c r="I202" i="1" s="1"/>
  <c r="G25" i="1"/>
  <c r="I25" i="1" s="1"/>
  <c r="G203" i="1"/>
  <c r="I203" i="1" s="1"/>
  <c r="G204" i="1"/>
  <c r="I204" i="1" s="1"/>
  <c r="G205" i="1"/>
  <c r="I205" i="1" s="1"/>
  <c r="G206" i="1"/>
  <c r="I206" i="1" s="1"/>
  <c r="G207" i="1"/>
  <c r="I207" i="1" s="1"/>
  <c r="G208" i="1"/>
  <c r="I208" i="1" s="1"/>
  <c r="G209" i="1"/>
  <c r="I209" i="1" s="1"/>
  <c r="G210" i="1"/>
  <c r="I210" i="1" s="1"/>
  <c r="G211" i="1"/>
  <c r="I211" i="1" s="1"/>
  <c r="G212" i="1"/>
  <c r="I212" i="1" s="1"/>
  <c r="G213" i="1"/>
  <c r="I213" i="1" s="1"/>
  <c r="G214" i="1"/>
  <c r="I214" i="1" s="1"/>
  <c r="G215" i="1"/>
  <c r="I215" i="1" s="1"/>
  <c r="G216" i="1"/>
  <c r="I216" i="1" s="1"/>
  <c r="G217" i="1"/>
  <c r="I217" i="1" s="1"/>
  <c r="G218" i="1"/>
  <c r="I218" i="1" s="1"/>
  <c r="G26" i="1"/>
  <c r="I26" i="1" s="1"/>
  <c r="G66" i="1"/>
  <c r="I66" i="1" s="1"/>
  <c r="G91" i="1"/>
  <c r="I91" i="1" s="1"/>
  <c r="G27" i="1"/>
  <c r="I27" i="1" s="1"/>
  <c r="G219" i="1"/>
  <c r="I219" i="1" s="1"/>
  <c r="G220" i="1"/>
  <c r="I220" i="1" s="1"/>
  <c r="G221" i="1"/>
  <c r="I221" i="1" s="1"/>
  <c r="G222" i="1"/>
  <c r="I222" i="1" s="1"/>
  <c r="G223" i="1"/>
  <c r="I223" i="1" s="1"/>
  <c r="G224" i="1"/>
  <c r="I224" i="1" s="1"/>
  <c r="G225" i="1"/>
  <c r="I225" i="1" s="1"/>
  <c r="G226" i="1"/>
  <c r="I226" i="1" s="1"/>
  <c r="G227" i="1"/>
  <c r="I227" i="1" s="1"/>
  <c r="G228" i="1"/>
  <c r="I228" i="1" s="1"/>
  <c r="G229" i="1"/>
  <c r="I229" i="1" s="1"/>
  <c r="G230" i="1"/>
  <c r="I230" i="1" s="1"/>
  <c r="G231" i="1"/>
  <c r="I231" i="1" s="1"/>
  <c r="G232" i="1"/>
  <c r="I232" i="1" s="1"/>
  <c r="G233" i="1"/>
  <c r="I233" i="1" s="1"/>
  <c r="G234" i="1"/>
  <c r="I234" i="1" s="1"/>
  <c r="G235" i="1"/>
  <c r="I235" i="1" s="1"/>
  <c r="G236" i="1"/>
  <c r="I236" i="1" s="1"/>
  <c r="G237" i="1"/>
  <c r="I237" i="1" s="1"/>
  <c r="G238" i="1"/>
  <c r="I238" i="1" s="1"/>
  <c r="G28" i="1"/>
  <c r="I28" i="1" s="1"/>
  <c r="G29" i="1"/>
  <c r="I29" i="1" s="1"/>
  <c r="G239" i="1"/>
  <c r="I239" i="1" s="1"/>
  <c r="G30" i="1"/>
  <c r="I30" i="1" s="1"/>
  <c r="G31" i="1"/>
  <c r="I31" i="1" s="1"/>
  <c r="G32" i="1"/>
  <c r="I32" i="1" s="1"/>
  <c r="G92" i="1"/>
  <c r="I92" i="1" s="1"/>
  <c r="G93" i="1"/>
  <c r="I93" i="1" s="1"/>
  <c r="G240" i="1"/>
  <c r="I240" i="1" s="1"/>
  <c r="G241" i="1"/>
  <c r="I241" i="1" s="1"/>
  <c r="G242" i="1"/>
  <c r="I242" i="1" s="1"/>
  <c r="G243" i="1"/>
  <c r="I243" i="1" s="1"/>
  <c r="G244" i="1"/>
  <c r="I244" i="1" s="1"/>
  <c r="G245" i="1"/>
  <c r="I245" i="1" s="1"/>
  <c r="G246" i="1"/>
  <c r="I246" i="1" s="1"/>
  <c r="G247" i="1"/>
  <c r="I247" i="1" s="1"/>
  <c r="G248" i="1"/>
  <c r="I248" i="1" s="1"/>
  <c r="G249" i="1"/>
  <c r="I249" i="1" s="1"/>
  <c r="G250" i="1"/>
  <c r="I250" i="1" s="1"/>
  <c r="G251" i="1"/>
  <c r="I251" i="1" s="1"/>
  <c r="G252" i="1"/>
  <c r="I252" i="1" s="1"/>
  <c r="G253" i="1"/>
  <c r="I253" i="1" s="1"/>
  <c r="G254" i="1"/>
  <c r="I254" i="1" s="1"/>
  <c r="G33" i="1"/>
  <c r="I33" i="1" s="1"/>
  <c r="G255" i="1"/>
  <c r="I255" i="1" s="1"/>
  <c r="G256" i="1"/>
  <c r="I256" i="1" s="1"/>
  <c r="G257" i="1"/>
  <c r="I257" i="1" s="1"/>
  <c r="G258" i="1"/>
  <c r="I258" i="1" s="1"/>
  <c r="G34" i="1"/>
  <c r="I34" i="1" s="1"/>
  <c r="G94" i="1"/>
  <c r="I94" i="1" s="1"/>
  <c r="G259" i="1"/>
  <c r="I259" i="1" s="1"/>
  <c r="G260" i="1"/>
  <c r="I260" i="1" s="1"/>
  <c r="G261" i="1"/>
  <c r="I261" i="1" s="1"/>
  <c r="G262" i="1"/>
  <c r="I262" i="1" s="1"/>
  <c r="G263" i="1"/>
  <c r="I263" i="1" s="1"/>
  <c r="G264" i="1"/>
  <c r="I264" i="1" s="1"/>
  <c r="G265" i="1"/>
  <c r="I265" i="1" s="1"/>
  <c r="G266" i="1"/>
  <c r="I266" i="1" s="1"/>
  <c r="G267" i="1"/>
  <c r="I267" i="1" s="1"/>
  <c r="G268" i="1"/>
  <c r="I268" i="1" s="1"/>
  <c r="G269" i="1"/>
  <c r="I269" i="1" s="1"/>
  <c r="G270" i="1"/>
  <c r="I270" i="1" s="1"/>
  <c r="G271" i="1"/>
  <c r="I271" i="1" s="1"/>
  <c r="G272" i="1"/>
  <c r="I272" i="1" s="1"/>
  <c r="G273" i="1"/>
  <c r="I273" i="1" s="1"/>
  <c r="G274" i="1"/>
  <c r="I274" i="1" s="1"/>
  <c r="G35" i="1"/>
  <c r="I35" i="1" s="1"/>
  <c r="G122" i="1"/>
  <c r="I122" i="1" s="1"/>
  <c r="G123" i="1"/>
  <c r="I123" i="1" s="1"/>
  <c r="G124" i="1"/>
  <c r="I124" i="1" s="1"/>
  <c r="G95" i="1"/>
  <c r="I95" i="1" s="1"/>
  <c r="G96" i="1"/>
  <c r="I96" i="1" s="1"/>
  <c r="G275" i="1"/>
  <c r="I275" i="1" s="1"/>
  <c r="G276" i="1"/>
  <c r="I276" i="1" s="1"/>
  <c r="G277" i="1"/>
  <c r="I277" i="1" s="1"/>
  <c r="G278" i="1"/>
  <c r="I278" i="1" s="1"/>
  <c r="G97" i="1"/>
  <c r="I97" i="1" s="1"/>
  <c r="G2" i="1"/>
  <c r="G296" i="1" s="1"/>
  <c r="G125" i="1"/>
  <c r="I125" i="1" s="1"/>
  <c r="G279" i="1"/>
  <c r="I279" i="1" s="1"/>
  <c r="G280" i="1"/>
  <c r="I280" i="1" s="1"/>
  <c r="G281" i="1"/>
  <c r="I281" i="1" s="1"/>
  <c r="G282" i="1"/>
  <c r="I282" i="1" s="1"/>
  <c r="G283" i="1"/>
  <c r="I283" i="1" s="1"/>
  <c r="G284" i="1"/>
  <c r="I284" i="1" s="1"/>
  <c r="G285" i="1"/>
  <c r="I285" i="1" s="1"/>
  <c r="G286" i="1"/>
  <c r="I286" i="1" s="1"/>
  <c r="G287" i="1"/>
  <c r="I287" i="1" s="1"/>
  <c r="G288" i="1"/>
  <c r="I288" i="1" s="1"/>
  <c r="G289" i="1"/>
  <c r="I289" i="1" s="1"/>
  <c r="G290" i="1"/>
  <c r="I290" i="1" s="1"/>
  <c r="G291" i="1"/>
  <c r="I291" i="1" s="1"/>
  <c r="G292" i="1"/>
  <c r="I292" i="1" s="1"/>
  <c r="G293" i="1"/>
  <c r="I293" i="1" s="1"/>
  <c r="G36" i="1"/>
  <c r="I36" i="1" s="1"/>
  <c r="F3" i="1"/>
  <c r="F4" i="1"/>
  <c r="F5" i="1"/>
  <c r="F6" i="1"/>
  <c r="F37" i="1"/>
  <c r="F38" i="1"/>
  <c r="F7" i="1"/>
  <c r="F39" i="1"/>
  <c r="F67" i="1"/>
  <c r="F68" i="1"/>
  <c r="F40" i="1"/>
  <c r="F41" i="1"/>
  <c r="F42" i="1"/>
  <c r="F8" i="1"/>
  <c r="F43" i="1"/>
  <c r="F44" i="1"/>
  <c r="F45" i="1"/>
  <c r="F69" i="1"/>
  <c r="F46" i="1"/>
  <c r="F9" i="1"/>
  <c r="F70" i="1"/>
  <c r="F71" i="1"/>
  <c r="F47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0" i="1"/>
  <c r="F72" i="1"/>
  <c r="F73" i="1"/>
  <c r="F48" i="1"/>
  <c r="F49" i="1"/>
  <c r="F11" i="1"/>
  <c r="F50" i="1"/>
  <c r="F162" i="1"/>
  <c r="F163" i="1"/>
  <c r="F164" i="1"/>
  <c r="F165" i="1"/>
  <c r="F166" i="1"/>
  <c r="F51" i="1"/>
  <c r="F12" i="1"/>
  <c r="F13" i="1"/>
  <c r="F52" i="1"/>
  <c r="F14" i="1"/>
  <c r="F53" i="1"/>
  <c r="F54" i="1"/>
  <c r="F98" i="1"/>
  <c r="F55" i="1"/>
  <c r="F74" i="1"/>
  <c r="F15" i="1"/>
  <c r="F99" i="1"/>
  <c r="F100" i="1"/>
  <c r="F101" i="1"/>
  <c r="F75" i="1"/>
  <c r="F102" i="1"/>
  <c r="F103" i="1"/>
  <c r="F104" i="1"/>
  <c r="F105" i="1"/>
  <c r="F106" i="1"/>
  <c r="F167" i="1"/>
  <c r="F168" i="1"/>
  <c r="F169" i="1"/>
  <c r="F107" i="1"/>
  <c r="F108" i="1"/>
  <c r="F109" i="1"/>
  <c r="F110" i="1"/>
  <c r="F56" i="1"/>
  <c r="F111" i="1"/>
  <c r="F16" i="1"/>
  <c r="F76" i="1"/>
  <c r="F77" i="1"/>
  <c r="F112" i="1"/>
  <c r="F17" i="1"/>
  <c r="F57" i="1"/>
  <c r="F113" i="1"/>
  <c r="F58" i="1"/>
  <c r="F78" i="1"/>
  <c r="F59" i="1"/>
  <c r="F60" i="1"/>
  <c r="F18" i="1"/>
  <c r="F61" i="1"/>
  <c r="F19" i="1"/>
  <c r="F114" i="1"/>
  <c r="F115" i="1"/>
  <c r="F62" i="1"/>
  <c r="F63" i="1"/>
  <c r="F116" i="1"/>
  <c r="F170" i="1"/>
  <c r="F171" i="1"/>
  <c r="F172" i="1"/>
  <c r="F173" i="1"/>
  <c r="F174" i="1"/>
  <c r="F175" i="1"/>
  <c r="F176" i="1"/>
  <c r="F177" i="1"/>
  <c r="F79" i="1"/>
  <c r="F64" i="1"/>
  <c r="F20" i="1"/>
  <c r="F117" i="1"/>
  <c r="F21" i="1"/>
  <c r="F118" i="1"/>
  <c r="F22" i="1"/>
  <c r="F119" i="1"/>
  <c r="F65" i="1"/>
  <c r="F178" i="1"/>
  <c r="F179" i="1"/>
  <c r="F80" i="1"/>
  <c r="F81" i="1"/>
  <c r="F23" i="1"/>
  <c r="F180" i="1"/>
  <c r="F12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82" i="1"/>
  <c r="F121" i="1"/>
  <c r="F83" i="1"/>
  <c r="F84" i="1"/>
  <c r="F194" i="1"/>
  <c r="F195" i="1"/>
  <c r="F24" i="1"/>
  <c r="F85" i="1"/>
  <c r="F86" i="1"/>
  <c r="F87" i="1"/>
  <c r="F88" i="1"/>
  <c r="F89" i="1"/>
  <c r="F90" i="1"/>
  <c r="F196" i="1"/>
  <c r="F197" i="1"/>
  <c r="F198" i="1"/>
  <c r="F199" i="1"/>
  <c r="F200" i="1"/>
  <c r="F201" i="1"/>
  <c r="F202" i="1"/>
  <c r="F25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6" i="1"/>
  <c r="F66" i="1"/>
  <c r="F91" i="1"/>
  <c r="F27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8" i="1"/>
  <c r="F29" i="1"/>
  <c r="F239" i="1"/>
  <c r="F30" i="1"/>
  <c r="F31" i="1"/>
  <c r="F32" i="1"/>
  <c r="F92" i="1"/>
  <c r="F93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33" i="1"/>
  <c r="F255" i="1"/>
  <c r="F256" i="1"/>
  <c r="F257" i="1"/>
  <c r="F258" i="1"/>
  <c r="F34" i="1"/>
  <c r="F94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35" i="1"/>
  <c r="F122" i="1"/>
  <c r="F123" i="1"/>
  <c r="F124" i="1"/>
  <c r="F95" i="1"/>
  <c r="F96" i="1"/>
  <c r="F275" i="1"/>
  <c r="F276" i="1"/>
  <c r="F277" i="1"/>
  <c r="F278" i="1"/>
  <c r="F97" i="1"/>
  <c r="F2" i="1"/>
  <c r="F125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36" i="1"/>
  <c r="I2" i="1" l="1"/>
  <c r="I296" i="1" s="1"/>
</calcChain>
</file>

<file path=xl/sharedStrings.xml><?xml version="1.0" encoding="utf-8"?>
<sst xmlns="http://schemas.openxmlformats.org/spreadsheetml/2006/main" count="1302" uniqueCount="114">
  <si>
    <t>Product Name</t>
  </si>
  <si>
    <t>Qty</t>
  </si>
  <si>
    <t>Per Unit Sale</t>
  </si>
  <si>
    <t>Per unit Purchase</t>
  </si>
  <si>
    <t>Per Unit Profit</t>
  </si>
  <si>
    <t>Total Sale</t>
  </si>
  <si>
    <t>Total Purhcase</t>
  </si>
  <si>
    <t>Total Profit</t>
  </si>
  <si>
    <t>STARLINK MINI</t>
  </si>
  <si>
    <t>PS5</t>
  </si>
  <si>
    <t>MACBOOK AIR M4 24/512</t>
  </si>
  <si>
    <t>CANON SX 740</t>
  </si>
  <si>
    <t>STARLINK V4</t>
  </si>
  <si>
    <t>DATE</t>
  </si>
  <si>
    <t>IPHONE 16 PRO MAX 256GB</t>
  </si>
  <si>
    <t>IPHONE 16 PRO 128GB</t>
  </si>
  <si>
    <t>STARLINK HP KIT</t>
  </si>
  <si>
    <t>APPLE WATCH ULTRA 49MM</t>
  </si>
  <si>
    <t>IPAD 11 PRO M4 256GB</t>
  </si>
  <si>
    <t>IPAD PRO 13 M4 256GB</t>
  </si>
  <si>
    <t>IPHONE 16 128GB</t>
  </si>
  <si>
    <t>IPHONE 16 PLUS 128GB</t>
  </si>
  <si>
    <t>IPHONE 16 PRO 512GB</t>
  </si>
  <si>
    <t>IPHONE 16 PRO MAX 1TB</t>
  </si>
  <si>
    <t>IPHONE 16 PRO MAX 512GB</t>
  </si>
  <si>
    <t>IPHONE 16 PRO 256GB</t>
  </si>
  <si>
    <t>IPHONE 16 PRO 1TB</t>
  </si>
  <si>
    <t>APPLE SERIES 10 46MM</t>
  </si>
  <si>
    <t>APPLE SERIES 10 42MM</t>
  </si>
  <si>
    <t>IPAD PRO 13 M4 512GB</t>
  </si>
  <si>
    <t>Meta Quest 3 512 GB</t>
  </si>
  <si>
    <t xml:space="preserve">Meta Quest 3 256 GB </t>
  </si>
  <si>
    <t>PS5 Pro</t>
  </si>
  <si>
    <t>PS5 Disc</t>
  </si>
  <si>
    <t>PS5 Digital</t>
  </si>
  <si>
    <t>DJI MAVIC 4 PRO</t>
  </si>
  <si>
    <t>CANON G7X MARK II</t>
  </si>
  <si>
    <t>CANON G7X MARK III</t>
  </si>
  <si>
    <t xml:space="preserve">meta quest 3s 128 </t>
  </si>
  <si>
    <t xml:space="preserve">ps5 pro </t>
  </si>
  <si>
    <t>ps5 disc</t>
  </si>
  <si>
    <t>DJI MAVIC 3 PRO COMBO</t>
  </si>
  <si>
    <t>IPHONE SE 16 128GB</t>
  </si>
  <si>
    <t>INSTAX WIDE 400</t>
  </si>
  <si>
    <t>ESSENTIAL FLIP</t>
  </si>
  <si>
    <t>IPHONE 16 PLUS 256GB</t>
  </si>
  <si>
    <t>IPAD PRO 13 M4 1TB</t>
  </si>
  <si>
    <t>meta quest 3s 512</t>
  </si>
  <si>
    <t>OSMO POCKET 3 COMBO</t>
  </si>
  <si>
    <t>SAMSUNG S25 ULTRA 256GB</t>
  </si>
  <si>
    <t>SAMSUNG S25 ULTRA 512GB</t>
  </si>
  <si>
    <t>DJI MIC 2</t>
  </si>
  <si>
    <t>IPAD A16 128GB</t>
  </si>
  <si>
    <t>IPAD PRO 11 1TB</t>
  </si>
  <si>
    <t>DJI MAVIC 4 COMBO</t>
  </si>
  <si>
    <t>I WATCH SE GEN 2</t>
  </si>
  <si>
    <t>meta quest 3 512</t>
  </si>
  <si>
    <t>INSTAX FLIM 10 PACK</t>
  </si>
  <si>
    <t>IPAD PRO 13 M4 128GB</t>
  </si>
  <si>
    <t>PS5 CONTROLLER</t>
  </si>
  <si>
    <t>iPhone16 Pro Max 256</t>
  </si>
  <si>
    <t>Apple Watch Ultra 2 49mm</t>
  </si>
  <si>
    <t>Iphone 16 Pro 1TB</t>
  </si>
  <si>
    <t>iPhone16 Pro 256</t>
  </si>
  <si>
    <t>iPhone16 Pro 128</t>
  </si>
  <si>
    <t>iPhone 16 256</t>
  </si>
  <si>
    <t>Ipad Pro 13" W+C Black 256gb</t>
  </si>
  <si>
    <t>iPhone16 Pro 512</t>
  </si>
  <si>
    <t>Country</t>
  </si>
  <si>
    <t>USA</t>
  </si>
  <si>
    <t>DUBAI</t>
  </si>
  <si>
    <t>NEWZEALAND</t>
  </si>
  <si>
    <t>AUSTRALIA</t>
  </si>
  <si>
    <t>KARACHI</t>
  </si>
  <si>
    <t>AMOUNT</t>
  </si>
  <si>
    <t>{ Megatop Charges 10,000 AUD @2.3999 }</t>
  </si>
  <si>
    <t>{ $5000 Paid Mega Top Shipping @2.3806 by WB }</t>
  </si>
  <si>
    <t>{ Aus Office EXP 4000 @2.37805 }</t>
  </si>
  <si>
    <t>TOTAL EXPENSE</t>
  </si>
  <si>
    <t>Profit/Loss</t>
  </si>
  <si>
    <t>UAE</t>
  </si>
  <si>
    <t>MIS EXP</t>
  </si>
  <si>
    <t>Commsison Charges</t>
  </si>
  <si>
    <t>Shipping and Clearence UAE</t>
  </si>
  <si>
    <t>Salary EXP (Faisal Bhai and Tipu bhai)</t>
  </si>
  <si>
    <t>KARACHI OFFICE EXPENSE</t>
  </si>
  <si>
    <t>{ 15k PKR @80 for Karachi Office Exp from AR }</t>
  </si>
  <si>
    <t>{ 2 Piece Carry To waqas Aslam @80 by FB }</t>
  </si>
  <si>
    <t>{ Bank tax charges 300 PKR @80 AB Meezan }</t>
  </si>
  <si>
    <t>{ 90k PKR for Saqib and Maaz Salary @80 }</t>
  </si>
  <si>
    <t>{ 28k @79 to waqas aslam for Carry from FB }</t>
  </si>
  <si>
    <t>{ 16 pro max carry 11 piece @15k by AR }</t>
  </si>
  <si>
    <t>{ 10k PKR @79 for Karachi OFFice Exp from AR }</t>
  </si>
  <si>
    <t>{ 300 PKR @79 for IP Cable to Saqib }</t>
  </si>
  <si>
    <t>{ 28K @79 FROM FB MZN TO WAQAS ASLAM }</t>
  </si>
  <si>
    <t>{ 6 piece Carry @15k by AR }</t>
  </si>
  <si>
    <t>{ Abubaker Salary for the months june-2025 @79 }</t>
  </si>
  <si>
    <t xml:space="preserve">NEWZEALAND </t>
  </si>
  <si>
    <t>CASH { Noel Leeming delivery Charges @2.21 06/07/2025 }</t>
  </si>
  <si>
    <t>{ NZ Visit EXP 1900 @2.21 by WB }</t>
  </si>
  <si>
    <t>{ 16/07/2025 NZ Delivery Charges @2.23 178 }</t>
  </si>
  <si>
    <t>{ 18,969.21 NZD @2.21 to CT-Freight by WB }</t>
  </si>
  <si>
    <t>{ to express logistic for import charges USA }</t>
  </si>
  <si>
    <t>{ to express for owais Houston 2 pallets shipment }</t>
  </si>
  <si>
    <t>{ owais payment express. }</t>
  </si>
  <si>
    <t>{ pallet charges paid to express owais shipment }</t>
  </si>
  <si>
    <t>{ USA Fedex 882617378411 (2 Pallets) 2276.88 @3.674 }</t>
  </si>
  <si>
    <t>{ USA Fadex 882858587862 (2 Pallets) 2198.75@3.674 }</t>
  </si>
  <si>
    <t>{ Usa Fadex 882980166868 (1 Pallet) 1175.1@3.674 }</t>
  </si>
  <si>
    <t>{ Usa Fadex 883127118767 (2 Pallets) 1342@3.674 }</t>
  </si>
  <si>
    <t>{ Usa Fadex 883192634912 (2 Pallets) 1618.82@3.674 }</t>
  </si>
  <si>
    <t>{ Usa Fadex 882357138635 (1 Pallet) 932@3.674 }</t>
  </si>
  <si>
    <t>COUNTRY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</si>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</sst>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AED&quot;* #,##0_-;\-&quot;AED&quot;* #,##0_-;_-&quot;AED&quot;* &quot;-&quot;_-;_-@_-"/>
    <numFmt numFmtId="44" formatCode="_-&quot;AED&quot;* #,##0.00_-;\-&quot;AED&quot;* #,##0.00_-;_-&quot;AED&quot;* &quot;-&quot;??_-;_-@_-"/>
    <numFmt numFmtId="164" formatCode="0_ ;\-0\ "/>
  </numFmts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42" fontId="1" fillId="2" borderId="0" xfId="0" applyNumberFormat="1" applyFont="1" applyFill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44" fontId="1" fillId="2" borderId="0" xfId="0" applyNumberFormat="1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1" xfId="0" applyNumberFormat="1" applyBorder="1"/>
    <xf numFmtId="44" fontId="0" fillId="0" borderId="0" xfId="0" applyNumberFormat="1"/>
    <xf numFmtId="44" fontId="0" fillId="0" borderId="2" xfId="0" applyNumberFormat="1" applyBorder="1"/>
    <xf numFmtId="14" fontId="0" fillId="3" borderId="0" xfId="0" applyNumberFormat="1" applyFill="1"/>
    <xf numFmtId="0" fontId="0" fillId="3" borderId="0" xfId="0" applyFill="1"/>
    <xf numFmtId="0" fontId="0" fillId="3" borderId="0" xfId="0" applyFill="1" applyAlignment="1">
      <alignment horizontal="center"/>
    </xf>
    <xf numFmtId="44" fontId="0" fillId="3" borderId="0" xfId="0" applyNumberFormat="1" applyFill="1" applyAlignment="1">
      <alignment horizontal="center"/>
    </xf>
    <xf numFmtId="4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44" fontId="2" fillId="0" borderId="0" xfId="0" applyNumberFormat="1" applyFont="1"/>
    <xf numFmtId="0" fontId="3" fillId="2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42" fontId="3" fillId="2" borderId="0" xfId="0" applyNumberFormat="1" applyFont="1" applyFill="1" applyAlignment="1">
      <alignment horizontal="center"/>
    </xf>
    <xf numFmtId="0" fontId="1" fillId="2" borderId="0" xfId="0" applyFont="1" applyFill="1"/>
    <xf numFmtId="14" fontId="0" fillId="0" borderId="0" xfId="0" applyNumberFormat="1" applyAlignment="1">
      <alignment horizontal="center"/>
    </xf>
    <xf numFmtId="14" fontId="0" fillId="0" borderId="1" xfId="0" applyNumberFormat="1" applyBorder="1"/>
    <xf numFmtId="14" fontId="0" fillId="3" borderId="0" xfId="0" applyNumberFormat="1" applyFill="1" applyAlignment="1">
      <alignment horizontal="center"/>
    </xf>
    <xf numFmtId="14" fontId="0" fillId="3" borderId="1" xfId="0" applyNumberFormat="1" applyFill="1" applyBorder="1"/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2" xfId="0" applyBorder="1"/>
    <xf numFmtId="0" fontId="0" fillId="3" borderId="0" xfId="0" applyFill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14" fontId="0" fillId="4" borderId="0" xfId="0" applyNumberFormat="1" applyFill="1"/>
    <xf numFmtId="0" fontId="0" fillId="4" borderId="0" xfId="0" applyFill="1"/>
    <xf numFmtId="44" fontId="0" fillId="4" borderId="0" xfId="0" applyNumberFormat="1" applyFill="1"/>
    <xf numFmtId="0" fontId="4" fillId="2" borderId="0" xfId="0" applyFont="1" applyFill="1"/>
    <xf numFmtId="44" fontId="5" fillId="3" borderId="0" xfId="0" applyNumberFormat="1" applyFont="1" applyFill="1"/>
    <xf numFmtId="0" fontId="6" fillId="2" borderId="0" xfId="0" applyFont="1" applyFill="1"/>
    <xf numFmtId="44" fontId="7" fillId="3" borderId="0" xfId="0" applyNumberFormat="1" applyFont="1" applyFill="1"/>
    <xf numFmtId="44" fontId="2" fillId="5" borderId="0" xfId="0" applyNumberFormat="1" applyFont="1" applyFill="1"/>
    <xf numFmtId="44" fontId="8" fillId="5" borderId="0" xfId="0" applyNumberFormat="1" applyFont="1" applyFill="1"/>
    <xf numFmtId="0" fontId="9" fillId="5" borderId="0" xfId="0" applyFont="1" applyFill="1"/>
    <xf numFmtId="44" fontId="9" fillId="5" borderId="0" xfId="0" applyNumberFormat="1" applyFont="1" applyFill="1"/>
    <xf numFmtId="0" fontId="3" fillId="6" borderId="0" xfId="0" applyFont="1" applyFill="1"/>
    <xf numFmtId="44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CF5E-5508-4440-A28C-8C1517F09E50}">
  <dimension ref="A1:J297"/>
  <sheetViews>
    <sheetView topLeftCell="A270" zoomScale="90" zoomScaleNormal="90" workbookViewId="0">
      <selection sqref="A1:J1"/>
    </sheetView>
  </sheetViews>
  <sheetFormatPr defaultRowHeight="15" x14ac:dyDescent="0.25"/>
  <cols>
    <col min="1" max="1" width="13.85546875" customWidth="1"/>
    <col min="2" max="2" width="30.28515625" customWidth="1"/>
    <col min="3" max="3" width="11.28515625" style="10" customWidth="1"/>
    <col min="4" max="4" width="19.28515625" style="16" customWidth="1"/>
    <col min="5" max="5" width="20.42578125" style="20" customWidth="1"/>
    <col min="6" max="6" width="17.7109375" customWidth="1"/>
    <col min="7" max="7" width="25.5703125" customWidth="1"/>
    <col min="8" max="8" width="24.85546875" customWidth="1"/>
    <col min="9" max="9" width="30" customWidth="1"/>
    <col min="10" max="10" width="17.5703125" customWidth="1"/>
    <col min="11" max="11" width="17.85546875" customWidth="1"/>
  </cols>
  <sheetData>
    <row r="1" spans="1:10" ht="18.75" x14ac:dyDescent="0.3">
      <c r="A1" s="1" t="s">
        <v>13</v>
      </c>
      <c r="B1" s="1" t="s">
        <v>0</v>
      </c>
      <c r="C1" s="2" t="s">
        <v>1</v>
      </c>
      <c r="D1" s="15" t="s">
        <v>2</v>
      </c>
      <c r="E1" s="15" t="s">
        <v>3</v>
      </c>
      <c r="F1" s="1" t="s">
        <v>4</v>
      </c>
      <c r="G1" s="1" t="s">
        <v>5</v>
      </c>
      <c r="H1" s="3" t="s">
        <v>6</v>
      </c>
      <c r="I1" s="4" t="s">
        <v>7</v>
      </c>
      <c r="J1" s="32" t="s">
        <v>68</v>
      </c>
    </row>
    <row r="2" spans="1:10" x14ac:dyDescent="0.25">
      <c r="A2" s="33">
        <v>45869</v>
      </c>
      <c r="B2" t="s">
        <v>8</v>
      </c>
      <c r="C2" s="10">
        <v>3</v>
      </c>
      <c r="D2" s="16">
        <v>850</v>
      </c>
      <c r="E2" s="20">
        <v>840</v>
      </c>
      <c r="F2" s="20">
        <f t="shared" ref="F2:F65" si="0">D2-E2</f>
        <v>10</v>
      </c>
      <c r="G2" s="20">
        <f t="shared" ref="G2:G65" si="1">D2*C2</f>
        <v>2550</v>
      </c>
      <c r="H2" s="20">
        <f t="shared" ref="H2:H65" si="2">E2*C2</f>
        <v>2520</v>
      </c>
      <c r="I2" s="20">
        <f t="shared" ref="I2:I65" si="3">G2-H2</f>
        <v>30</v>
      </c>
      <c r="J2" t="s">
        <v>72</v>
      </c>
    </row>
    <row r="3" spans="1:10" x14ac:dyDescent="0.25">
      <c r="A3" s="5">
        <v>45839</v>
      </c>
      <c r="B3" t="s">
        <v>9</v>
      </c>
      <c r="C3" s="10">
        <v>2</v>
      </c>
      <c r="D3" s="16">
        <v>1655</v>
      </c>
      <c r="E3" s="20">
        <v>1335.31</v>
      </c>
      <c r="F3" s="20">
        <f t="shared" si="0"/>
        <v>319.69000000000005</v>
      </c>
      <c r="G3" s="20">
        <f t="shared" si="1"/>
        <v>3310</v>
      </c>
      <c r="H3" s="20">
        <f t="shared" si="2"/>
        <v>2670.62</v>
      </c>
      <c r="I3" s="20">
        <f t="shared" si="3"/>
        <v>639.38000000000011</v>
      </c>
      <c r="J3" t="s">
        <v>72</v>
      </c>
    </row>
    <row r="4" spans="1:10" x14ac:dyDescent="0.25">
      <c r="A4" s="22">
        <v>45839</v>
      </c>
      <c r="B4" s="23" t="s">
        <v>10</v>
      </c>
      <c r="C4" s="24">
        <v>2</v>
      </c>
      <c r="D4" s="25">
        <v>4400</v>
      </c>
      <c r="E4" s="26">
        <v>5339.75</v>
      </c>
      <c r="F4" s="26">
        <f t="shared" si="0"/>
        <v>-939.75</v>
      </c>
      <c r="G4" s="26">
        <f t="shared" si="1"/>
        <v>8800</v>
      </c>
      <c r="H4" s="26">
        <f t="shared" si="2"/>
        <v>10679.5</v>
      </c>
      <c r="I4" s="26">
        <f t="shared" si="3"/>
        <v>-1879.5</v>
      </c>
      <c r="J4" t="s">
        <v>72</v>
      </c>
    </row>
    <row r="5" spans="1:10" x14ac:dyDescent="0.25">
      <c r="A5" s="5">
        <v>45839</v>
      </c>
      <c r="B5" t="s">
        <v>11</v>
      </c>
      <c r="C5" s="10">
        <v>8</v>
      </c>
      <c r="D5" s="16">
        <v>2450</v>
      </c>
      <c r="E5" s="20">
        <v>1424.41</v>
      </c>
      <c r="F5" s="20">
        <f t="shared" si="0"/>
        <v>1025.5899999999999</v>
      </c>
      <c r="G5" s="20">
        <f t="shared" si="1"/>
        <v>19600</v>
      </c>
      <c r="H5" s="20">
        <f t="shared" si="2"/>
        <v>11395.28</v>
      </c>
      <c r="I5" s="20">
        <f t="shared" si="3"/>
        <v>8204.7199999999993</v>
      </c>
      <c r="J5" t="s">
        <v>72</v>
      </c>
    </row>
    <row r="6" spans="1:10" x14ac:dyDescent="0.25">
      <c r="A6" s="22">
        <v>45839</v>
      </c>
      <c r="B6" s="23" t="s">
        <v>10</v>
      </c>
      <c r="C6" s="24">
        <v>2</v>
      </c>
      <c r="D6" s="25">
        <v>4400</v>
      </c>
      <c r="E6" s="26">
        <v>5339.75</v>
      </c>
      <c r="F6" s="26">
        <f t="shared" si="0"/>
        <v>-939.75</v>
      </c>
      <c r="G6" s="26">
        <f t="shared" si="1"/>
        <v>8800</v>
      </c>
      <c r="H6" s="26">
        <f t="shared" si="2"/>
        <v>10679.5</v>
      </c>
      <c r="I6" s="26">
        <f t="shared" si="3"/>
        <v>-1879.5</v>
      </c>
      <c r="J6" t="s">
        <v>72</v>
      </c>
    </row>
    <row r="7" spans="1:10" x14ac:dyDescent="0.25">
      <c r="A7" s="22">
        <v>45839</v>
      </c>
      <c r="B7" s="23" t="s">
        <v>10</v>
      </c>
      <c r="C7" s="24">
        <v>1</v>
      </c>
      <c r="D7" s="25">
        <v>4400</v>
      </c>
      <c r="E7" s="26">
        <v>5339.75</v>
      </c>
      <c r="F7" s="26">
        <f t="shared" si="0"/>
        <v>-939.75</v>
      </c>
      <c r="G7" s="26">
        <f t="shared" si="1"/>
        <v>4400</v>
      </c>
      <c r="H7" s="26">
        <f t="shared" si="2"/>
        <v>5339.75</v>
      </c>
      <c r="I7" s="26">
        <f t="shared" si="3"/>
        <v>-939.75</v>
      </c>
      <c r="J7" t="s">
        <v>72</v>
      </c>
    </row>
    <row r="8" spans="1:10" x14ac:dyDescent="0.25">
      <c r="A8" s="22">
        <v>45840</v>
      </c>
      <c r="B8" s="23" t="s">
        <v>10</v>
      </c>
      <c r="C8" s="24">
        <v>1</v>
      </c>
      <c r="D8" s="25">
        <v>4420</v>
      </c>
      <c r="E8" s="26">
        <v>5339.75</v>
      </c>
      <c r="F8" s="26">
        <f t="shared" si="0"/>
        <v>-919.75</v>
      </c>
      <c r="G8" s="26">
        <f t="shared" si="1"/>
        <v>4420</v>
      </c>
      <c r="H8" s="26">
        <f t="shared" si="2"/>
        <v>5339.75</v>
      </c>
      <c r="I8" s="26">
        <f t="shared" si="3"/>
        <v>-919.75</v>
      </c>
      <c r="J8" t="s">
        <v>72</v>
      </c>
    </row>
    <row r="9" spans="1:10" x14ac:dyDescent="0.25">
      <c r="A9" s="5">
        <v>45841</v>
      </c>
      <c r="B9" t="s">
        <v>16</v>
      </c>
      <c r="C9" s="10">
        <v>1</v>
      </c>
      <c r="D9" s="16">
        <v>6200</v>
      </c>
      <c r="E9" s="20">
        <v>3753.63</v>
      </c>
      <c r="F9" s="20">
        <f t="shared" si="0"/>
        <v>2446.37</v>
      </c>
      <c r="G9" s="20">
        <f t="shared" si="1"/>
        <v>6200</v>
      </c>
      <c r="H9" s="20">
        <f t="shared" si="2"/>
        <v>3753.63</v>
      </c>
      <c r="I9" s="20">
        <f t="shared" si="3"/>
        <v>2446.37</v>
      </c>
      <c r="J9" t="s">
        <v>72</v>
      </c>
    </row>
    <row r="10" spans="1:10" x14ac:dyDescent="0.25">
      <c r="A10" s="22">
        <v>45843</v>
      </c>
      <c r="B10" s="23" t="s">
        <v>10</v>
      </c>
      <c r="C10" s="24">
        <v>1</v>
      </c>
      <c r="D10" s="25">
        <v>4400</v>
      </c>
      <c r="E10" s="26">
        <v>5339.75</v>
      </c>
      <c r="F10" s="26">
        <f t="shared" si="0"/>
        <v>-939.75</v>
      </c>
      <c r="G10" s="26">
        <f t="shared" si="1"/>
        <v>4400</v>
      </c>
      <c r="H10" s="26">
        <f t="shared" si="2"/>
        <v>5339.75</v>
      </c>
      <c r="I10" s="26">
        <f t="shared" si="3"/>
        <v>-939.75</v>
      </c>
      <c r="J10" t="s">
        <v>72</v>
      </c>
    </row>
    <row r="11" spans="1:10" x14ac:dyDescent="0.25">
      <c r="A11" s="22">
        <v>45845</v>
      </c>
      <c r="B11" s="23" t="s">
        <v>10</v>
      </c>
      <c r="C11" s="24">
        <v>1</v>
      </c>
      <c r="D11" s="25">
        <v>4430</v>
      </c>
      <c r="E11" s="26">
        <v>5339.75</v>
      </c>
      <c r="F11" s="26">
        <f t="shared" si="0"/>
        <v>-909.75</v>
      </c>
      <c r="G11" s="26">
        <f t="shared" si="1"/>
        <v>4430</v>
      </c>
      <c r="H11" s="26">
        <f t="shared" si="2"/>
        <v>5339.75</v>
      </c>
      <c r="I11" s="26">
        <f t="shared" si="3"/>
        <v>-909.75</v>
      </c>
      <c r="J11" t="s">
        <v>72</v>
      </c>
    </row>
    <row r="12" spans="1:10" x14ac:dyDescent="0.25">
      <c r="A12" s="33">
        <v>45846</v>
      </c>
      <c r="B12" s="39" t="s">
        <v>35</v>
      </c>
      <c r="C12" s="10">
        <v>1</v>
      </c>
      <c r="D12" s="16">
        <v>6700</v>
      </c>
      <c r="E12" s="20">
        <v>6138.82</v>
      </c>
      <c r="F12" s="20">
        <f t="shared" si="0"/>
        <v>561.18000000000029</v>
      </c>
      <c r="G12" s="20">
        <f t="shared" si="1"/>
        <v>6700</v>
      </c>
      <c r="H12" s="20">
        <f t="shared" si="2"/>
        <v>6138.82</v>
      </c>
      <c r="I12" s="20">
        <f t="shared" si="3"/>
        <v>561.18000000000029</v>
      </c>
      <c r="J12" t="s">
        <v>72</v>
      </c>
    </row>
    <row r="13" spans="1:10" x14ac:dyDescent="0.25">
      <c r="A13" s="35">
        <v>45847</v>
      </c>
      <c r="B13" s="23" t="s">
        <v>10</v>
      </c>
      <c r="C13" s="24">
        <v>1</v>
      </c>
      <c r="D13" s="25">
        <v>4430</v>
      </c>
      <c r="E13" s="26">
        <v>5339.75</v>
      </c>
      <c r="F13" s="26">
        <f t="shared" si="0"/>
        <v>-909.75</v>
      </c>
      <c r="G13" s="26">
        <f t="shared" si="1"/>
        <v>4430</v>
      </c>
      <c r="H13" s="26">
        <f t="shared" si="2"/>
        <v>5339.75</v>
      </c>
      <c r="I13" s="26">
        <f t="shared" si="3"/>
        <v>-909.75</v>
      </c>
      <c r="J13" t="s">
        <v>72</v>
      </c>
    </row>
    <row r="14" spans="1:10" x14ac:dyDescent="0.25">
      <c r="A14" s="35">
        <v>45848</v>
      </c>
      <c r="B14" s="23" t="s">
        <v>10</v>
      </c>
      <c r="C14" s="24">
        <v>1</v>
      </c>
      <c r="D14" s="25">
        <v>4430</v>
      </c>
      <c r="E14" s="26">
        <v>5339.75</v>
      </c>
      <c r="F14" s="26">
        <f t="shared" si="0"/>
        <v>-909.75</v>
      </c>
      <c r="G14" s="26">
        <f t="shared" si="1"/>
        <v>4430</v>
      </c>
      <c r="H14" s="26">
        <f t="shared" si="2"/>
        <v>5339.75</v>
      </c>
      <c r="I14" s="26">
        <f t="shared" si="3"/>
        <v>-909.75</v>
      </c>
      <c r="J14" t="s">
        <v>72</v>
      </c>
    </row>
    <row r="15" spans="1:10" x14ac:dyDescent="0.25">
      <c r="A15" s="35">
        <v>45849</v>
      </c>
      <c r="B15" s="23" t="s">
        <v>10</v>
      </c>
      <c r="C15" s="24">
        <v>1</v>
      </c>
      <c r="D15" s="25">
        <v>4450</v>
      </c>
      <c r="E15" s="26">
        <v>5339.75</v>
      </c>
      <c r="F15" s="26">
        <f t="shared" si="0"/>
        <v>-889.75</v>
      </c>
      <c r="G15" s="26">
        <f t="shared" si="1"/>
        <v>4450</v>
      </c>
      <c r="H15" s="26">
        <f t="shared" si="2"/>
        <v>5339.75</v>
      </c>
      <c r="I15" s="26">
        <f t="shared" si="3"/>
        <v>-889.75</v>
      </c>
      <c r="J15" t="s">
        <v>72</v>
      </c>
    </row>
    <row r="16" spans="1:10" x14ac:dyDescent="0.25">
      <c r="A16" s="33">
        <v>45850</v>
      </c>
      <c r="B16" s="39" t="s">
        <v>35</v>
      </c>
      <c r="C16" s="10">
        <v>1</v>
      </c>
      <c r="D16" s="16">
        <v>6700</v>
      </c>
      <c r="E16" s="20">
        <v>6138.82</v>
      </c>
      <c r="F16" s="20">
        <f t="shared" si="0"/>
        <v>561.18000000000029</v>
      </c>
      <c r="G16" s="20">
        <f t="shared" si="1"/>
        <v>6700</v>
      </c>
      <c r="H16" s="20">
        <f t="shared" si="2"/>
        <v>6138.82</v>
      </c>
      <c r="I16" s="20">
        <f t="shared" si="3"/>
        <v>561.18000000000029</v>
      </c>
      <c r="J16" t="s">
        <v>72</v>
      </c>
    </row>
    <row r="17" spans="1:10" x14ac:dyDescent="0.25">
      <c r="A17" s="33">
        <v>45852</v>
      </c>
      <c r="B17" s="39" t="s">
        <v>35</v>
      </c>
      <c r="C17" s="10">
        <v>5</v>
      </c>
      <c r="D17" s="16">
        <v>6680</v>
      </c>
      <c r="E17" s="20">
        <v>6138.82</v>
      </c>
      <c r="F17" s="20">
        <f t="shared" si="0"/>
        <v>541.18000000000029</v>
      </c>
      <c r="G17" s="20">
        <f t="shared" si="1"/>
        <v>33400</v>
      </c>
      <c r="H17" s="20">
        <f t="shared" si="2"/>
        <v>30694.1</v>
      </c>
      <c r="I17" s="20">
        <f t="shared" si="3"/>
        <v>2705.9000000000015</v>
      </c>
      <c r="J17" t="s">
        <v>72</v>
      </c>
    </row>
    <row r="18" spans="1:10" x14ac:dyDescent="0.25">
      <c r="A18" s="33">
        <v>45853</v>
      </c>
      <c r="B18" t="s">
        <v>41</v>
      </c>
      <c r="C18" s="10">
        <v>1</v>
      </c>
      <c r="D18" s="16">
        <v>8000</v>
      </c>
      <c r="E18" s="20">
        <v>7466.63</v>
      </c>
      <c r="F18" s="20">
        <f t="shared" si="0"/>
        <v>533.36999999999989</v>
      </c>
      <c r="G18" s="20">
        <f t="shared" si="1"/>
        <v>8000</v>
      </c>
      <c r="H18" s="20">
        <f t="shared" si="2"/>
        <v>7466.63</v>
      </c>
      <c r="I18" s="20">
        <f t="shared" si="3"/>
        <v>533.36999999999989</v>
      </c>
      <c r="J18" t="s">
        <v>72</v>
      </c>
    </row>
    <row r="19" spans="1:10" x14ac:dyDescent="0.25">
      <c r="A19" s="33">
        <v>45853</v>
      </c>
      <c r="B19" s="39" t="s">
        <v>35</v>
      </c>
      <c r="C19" s="10">
        <v>1</v>
      </c>
      <c r="D19" s="16">
        <v>6680</v>
      </c>
      <c r="E19" s="20">
        <v>6138.82</v>
      </c>
      <c r="F19" s="20">
        <f t="shared" si="0"/>
        <v>541.18000000000029</v>
      </c>
      <c r="G19" s="20">
        <f t="shared" si="1"/>
        <v>6680</v>
      </c>
      <c r="H19" s="20">
        <f t="shared" si="2"/>
        <v>6138.82</v>
      </c>
      <c r="I19" s="20">
        <f t="shared" si="3"/>
        <v>541.18000000000029</v>
      </c>
      <c r="J19" t="s">
        <v>72</v>
      </c>
    </row>
    <row r="20" spans="1:10" x14ac:dyDescent="0.25">
      <c r="A20" s="33">
        <v>45855</v>
      </c>
      <c r="B20" t="s">
        <v>41</v>
      </c>
      <c r="C20" s="10">
        <v>3</v>
      </c>
      <c r="D20" s="16">
        <v>8000</v>
      </c>
      <c r="E20" s="20">
        <v>7466.63</v>
      </c>
      <c r="F20" s="20">
        <f t="shared" si="0"/>
        <v>533.36999999999989</v>
      </c>
      <c r="G20" s="20">
        <f t="shared" si="1"/>
        <v>24000</v>
      </c>
      <c r="H20" s="20">
        <f t="shared" si="2"/>
        <v>22399.89</v>
      </c>
      <c r="I20" s="20">
        <f t="shared" si="3"/>
        <v>1600.1100000000006</v>
      </c>
      <c r="J20" t="s">
        <v>72</v>
      </c>
    </row>
    <row r="21" spans="1:10" x14ac:dyDescent="0.25">
      <c r="A21" s="33">
        <v>45855</v>
      </c>
      <c r="B21" t="s">
        <v>44</v>
      </c>
      <c r="C21" s="10">
        <v>8</v>
      </c>
      <c r="D21" s="16">
        <v>185</v>
      </c>
      <c r="E21" s="20">
        <v>159.6</v>
      </c>
      <c r="F21" s="20">
        <f t="shared" si="0"/>
        <v>25.400000000000006</v>
      </c>
      <c r="G21" s="20">
        <f t="shared" si="1"/>
        <v>1480</v>
      </c>
      <c r="H21" s="20">
        <f t="shared" si="2"/>
        <v>1276.8</v>
      </c>
      <c r="I21" s="20">
        <f t="shared" si="3"/>
        <v>203.20000000000005</v>
      </c>
      <c r="J21" t="s">
        <v>72</v>
      </c>
    </row>
    <row r="22" spans="1:10" x14ac:dyDescent="0.25">
      <c r="A22" s="33">
        <v>45855</v>
      </c>
      <c r="B22" s="39" t="s">
        <v>35</v>
      </c>
      <c r="C22" s="10">
        <v>1</v>
      </c>
      <c r="D22" s="16">
        <v>6750</v>
      </c>
      <c r="E22" s="20">
        <v>6138.82</v>
      </c>
      <c r="F22" s="20">
        <f t="shared" si="0"/>
        <v>611.18000000000029</v>
      </c>
      <c r="G22" s="20">
        <f t="shared" si="1"/>
        <v>6750</v>
      </c>
      <c r="H22" s="20">
        <f t="shared" si="2"/>
        <v>6138.82</v>
      </c>
      <c r="I22" s="20">
        <f t="shared" si="3"/>
        <v>611.18000000000029</v>
      </c>
      <c r="J22" t="s">
        <v>72</v>
      </c>
    </row>
    <row r="23" spans="1:10" x14ac:dyDescent="0.25">
      <c r="A23" s="33">
        <v>45856</v>
      </c>
      <c r="B23" t="s">
        <v>16</v>
      </c>
      <c r="C23" s="10">
        <v>1</v>
      </c>
      <c r="D23" s="16">
        <v>5880</v>
      </c>
      <c r="E23" s="20">
        <v>3753.63</v>
      </c>
      <c r="F23" s="20">
        <f t="shared" si="0"/>
        <v>2126.37</v>
      </c>
      <c r="G23" s="20">
        <f t="shared" si="1"/>
        <v>5880</v>
      </c>
      <c r="H23" s="20">
        <f t="shared" si="2"/>
        <v>3753.63</v>
      </c>
      <c r="I23" s="20">
        <f t="shared" si="3"/>
        <v>2126.37</v>
      </c>
      <c r="J23" t="s">
        <v>72</v>
      </c>
    </row>
    <row r="24" spans="1:10" x14ac:dyDescent="0.25">
      <c r="A24" s="33">
        <v>45859</v>
      </c>
      <c r="B24" t="s">
        <v>41</v>
      </c>
      <c r="C24" s="10">
        <v>1</v>
      </c>
      <c r="D24" s="16">
        <v>8000</v>
      </c>
      <c r="E24" s="20">
        <v>7466.63</v>
      </c>
      <c r="F24" s="20">
        <f t="shared" si="0"/>
        <v>533.36999999999989</v>
      </c>
      <c r="G24" s="20">
        <f t="shared" si="1"/>
        <v>8000</v>
      </c>
      <c r="H24" s="20">
        <f t="shared" si="2"/>
        <v>7466.63</v>
      </c>
      <c r="I24" s="20">
        <f t="shared" si="3"/>
        <v>533.36999999999989</v>
      </c>
      <c r="J24" t="s">
        <v>72</v>
      </c>
    </row>
    <row r="25" spans="1:10" x14ac:dyDescent="0.25">
      <c r="A25" s="35">
        <v>45860</v>
      </c>
      <c r="B25" s="41" t="s">
        <v>48</v>
      </c>
      <c r="C25" s="24">
        <v>5</v>
      </c>
      <c r="D25" s="25">
        <v>2225</v>
      </c>
      <c r="E25" s="26">
        <v>2320.71</v>
      </c>
      <c r="F25" s="26">
        <f t="shared" si="0"/>
        <v>-95.710000000000036</v>
      </c>
      <c r="G25" s="26">
        <f t="shared" si="1"/>
        <v>11125</v>
      </c>
      <c r="H25" s="26">
        <f t="shared" si="2"/>
        <v>11603.55</v>
      </c>
      <c r="I25" s="26">
        <f t="shared" si="3"/>
        <v>-478.54999999999927</v>
      </c>
      <c r="J25" t="s">
        <v>72</v>
      </c>
    </row>
    <row r="26" spans="1:10" x14ac:dyDescent="0.25">
      <c r="A26" s="35">
        <v>45862</v>
      </c>
      <c r="B26" s="41" t="s">
        <v>48</v>
      </c>
      <c r="C26" s="24">
        <v>1</v>
      </c>
      <c r="D26" s="25">
        <v>2260</v>
      </c>
      <c r="E26" s="26">
        <v>2320.71</v>
      </c>
      <c r="F26" s="26">
        <f t="shared" si="0"/>
        <v>-60.710000000000036</v>
      </c>
      <c r="G26" s="26">
        <f t="shared" si="1"/>
        <v>2260</v>
      </c>
      <c r="H26" s="26">
        <f t="shared" si="2"/>
        <v>2320.71</v>
      </c>
      <c r="I26" s="26">
        <f t="shared" si="3"/>
        <v>-60.710000000000036</v>
      </c>
      <c r="J26" t="s">
        <v>72</v>
      </c>
    </row>
    <row r="27" spans="1:10" x14ac:dyDescent="0.25">
      <c r="A27" s="33">
        <v>45863</v>
      </c>
      <c r="B27" t="s">
        <v>51</v>
      </c>
      <c r="C27" s="10">
        <v>15</v>
      </c>
      <c r="D27" s="16">
        <v>735</v>
      </c>
      <c r="E27" s="20">
        <v>729.91</v>
      </c>
      <c r="F27" s="20">
        <f t="shared" si="0"/>
        <v>5.0900000000000318</v>
      </c>
      <c r="G27" s="20">
        <f t="shared" si="1"/>
        <v>11025</v>
      </c>
      <c r="H27" s="20">
        <f t="shared" si="2"/>
        <v>10948.65</v>
      </c>
      <c r="I27" s="20">
        <f t="shared" si="3"/>
        <v>76.350000000000364</v>
      </c>
      <c r="J27" t="s">
        <v>72</v>
      </c>
    </row>
    <row r="28" spans="1:10" x14ac:dyDescent="0.25">
      <c r="A28" s="33">
        <v>45863</v>
      </c>
      <c r="B28" t="s">
        <v>41</v>
      </c>
      <c r="C28" s="10">
        <v>1</v>
      </c>
      <c r="D28" s="16">
        <v>8000</v>
      </c>
      <c r="E28" s="20">
        <v>7466.63</v>
      </c>
      <c r="F28" s="20">
        <f t="shared" si="0"/>
        <v>533.36999999999989</v>
      </c>
      <c r="G28" s="20">
        <f t="shared" si="1"/>
        <v>8000</v>
      </c>
      <c r="H28" s="20">
        <f t="shared" si="2"/>
        <v>7466.63</v>
      </c>
      <c r="I28" s="20">
        <f t="shared" si="3"/>
        <v>533.36999999999989</v>
      </c>
      <c r="J28" t="s">
        <v>72</v>
      </c>
    </row>
    <row r="29" spans="1:10" x14ac:dyDescent="0.25">
      <c r="A29" s="33">
        <v>45863</v>
      </c>
      <c r="B29" t="s">
        <v>16</v>
      </c>
      <c r="C29" s="10">
        <v>1</v>
      </c>
      <c r="D29" s="16">
        <v>5750</v>
      </c>
      <c r="E29" s="20">
        <v>3753.63</v>
      </c>
      <c r="F29" s="20">
        <f t="shared" si="0"/>
        <v>1996.37</v>
      </c>
      <c r="G29" s="20">
        <f t="shared" si="1"/>
        <v>5750</v>
      </c>
      <c r="H29" s="20">
        <f t="shared" si="2"/>
        <v>3753.63</v>
      </c>
      <c r="I29" s="20">
        <f t="shared" si="3"/>
        <v>1996.37</v>
      </c>
      <c r="J29" t="s">
        <v>72</v>
      </c>
    </row>
    <row r="30" spans="1:10" x14ac:dyDescent="0.25">
      <c r="A30" s="33">
        <v>45864</v>
      </c>
      <c r="B30" t="s">
        <v>51</v>
      </c>
      <c r="C30" s="10">
        <v>18</v>
      </c>
      <c r="D30" s="16">
        <v>740</v>
      </c>
      <c r="E30" s="20">
        <v>729.91</v>
      </c>
      <c r="F30" s="20">
        <f t="shared" si="0"/>
        <v>10.090000000000032</v>
      </c>
      <c r="G30" s="20">
        <f t="shared" si="1"/>
        <v>13320</v>
      </c>
      <c r="H30" s="20">
        <f t="shared" si="2"/>
        <v>13138.38</v>
      </c>
      <c r="I30" s="20">
        <f t="shared" si="3"/>
        <v>181.6200000000008</v>
      </c>
      <c r="J30" t="s">
        <v>72</v>
      </c>
    </row>
    <row r="31" spans="1:10" x14ac:dyDescent="0.25">
      <c r="A31" s="33">
        <v>45864</v>
      </c>
      <c r="B31" t="s">
        <v>41</v>
      </c>
      <c r="C31" s="10">
        <v>1</v>
      </c>
      <c r="D31" s="16">
        <v>8200</v>
      </c>
      <c r="E31" s="20">
        <v>7466.63</v>
      </c>
      <c r="F31" s="20">
        <f t="shared" si="0"/>
        <v>733.36999999999989</v>
      </c>
      <c r="G31" s="20">
        <f t="shared" si="1"/>
        <v>8200</v>
      </c>
      <c r="H31" s="20">
        <f t="shared" si="2"/>
        <v>7466.63</v>
      </c>
      <c r="I31" s="20">
        <f t="shared" si="3"/>
        <v>733.36999999999989</v>
      </c>
      <c r="J31" t="s">
        <v>72</v>
      </c>
    </row>
    <row r="32" spans="1:10" x14ac:dyDescent="0.25">
      <c r="A32" s="33">
        <v>45864</v>
      </c>
      <c r="B32" t="s">
        <v>54</v>
      </c>
      <c r="C32" s="10">
        <v>1</v>
      </c>
      <c r="D32" s="16">
        <v>8600</v>
      </c>
      <c r="E32" s="20">
        <v>7990.45</v>
      </c>
      <c r="F32" s="20">
        <f t="shared" si="0"/>
        <v>609.55000000000018</v>
      </c>
      <c r="G32" s="20">
        <f t="shared" si="1"/>
        <v>8600</v>
      </c>
      <c r="H32" s="20">
        <f t="shared" si="2"/>
        <v>7990.45</v>
      </c>
      <c r="I32" s="20">
        <f t="shared" si="3"/>
        <v>609.55000000000018</v>
      </c>
      <c r="J32" t="s">
        <v>72</v>
      </c>
    </row>
    <row r="33" spans="1:10" x14ac:dyDescent="0.25">
      <c r="A33" s="33">
        <v>45866</v>
      </c>
      <c r="B33" s="39" t="s">
        <v>35</v>
      </c>
      <c r="C33" s="10">
        <v>2</v>
      </c>
      <c r="D33" s="16">
        <v>6630</v>
      </c>
      <c r="E33" s="20">
        <v>6138.82</v>
      </c>
      <c r="F33" s="20">
        <f t="shared" si="0"/>
        <v>491.18000000000029</v>
      </c>
      <c r="G33" s="20">
        <f t="shared" si="1"/>
        <v>13260</v>
      </c>
      <c r="H33" s="20">
        <f t="shared" si="2"/>
        <v>12277.64</v>
      </c>
      <c r="I33" s="20">
        <f t="shared" si="3"/>
        <v>982.36000000000058</v>
      </c>
      <c r="J33" t="s">
        <v>72</v>
      </c>
    </row>
    <row r="34" spans="1:10" x14ac:dyDescent="0.25">
      <c r="A34" s="33">
        <v>45866</v>
      </c>
      <c r="B34" s="39" t="s">
        <v>57</v>
      </c>
      <c r="C34" s="10">
        <v>12</v>
      </c>
      <c r="D34" s="16">
        <v>72</v>
      </c>
      <c r="E34" s="20">
        <v>36</v>
      </c>
      <c r="F34" s="20">
        <f t="shared" si="0"/>
        <v>36</v>
      </c>
      <c r="G34" s="20">
        <f t="shared" si="1"/>
        <v>864</v>
      </c>
      <c r="H34" s="20">
        <f t="shared" si="2"/>
        <v>432</v>
      </c>
      <c r="I34" s="20">
        <f t="shared" si="3"/>
        <v>432</v>
      </c>
      <c r="J34" t="s">
        <v>72</v>
      </c>
    </row>
    <row r="35" spans="1:10" x14ac:dyDescent="0.25">
      <c r="A35" s="35">
        <v>45867</v>
      </c>
      <c r="B35" s="23" t="s">
        <v>10</v>
      </c>
      <c r="C35" s="24">
        <v>1</v>
      </c>
      <c r="D35" s="25">
        <v>4400</v>
      </c>
      <c r="E35" s="26">
        <v>5339.75</v>
      </c>
      <c r="F35" s="26">
        <f t="shared" si="0"/>
        <v>-939.75</v>
      </c>
      <c r="G35" s="26">
        <f t="shared" si="1"/>
        <v>4400</v>
      </c>
      <c r="H35" s="26">
        <f t="shared" si="2"/>
        <v>5339.75</v>
      </c>
      <c r="I35" s="26">
        <f t="shared" si="3"/>
        <v>-939.75</v>
      </c>
      <c r="J35" t="s">
        <v>72</v>
      </c>
    </row>
    <row r="36" spans="1:10" x14ac:dyDescent="0.25">
      <c r="A36" s="5">
        <v>45839</v>
      </c>
      <c r="B36" t="s">
        <v>8</v>
      </c>
      <c r="C36" s="10">
        <v>5</v>
      </c>
      <c r="D36" s="16">
        <v>860</v>
      </c>
      <c r="E36" s="20">
        <v>840</v>
      </c>
      <c r="F36" s="20">
        <f t="shared" si="0"/>
        <v>20</v>
      </c>
      <c r="G36" s="20">
        <f t="shared" si="1"/>
        <v>4300</v>
      </c>
      <c r="H36" s="20">
        <f t="shared" si="2"/>
        <v>4200</v>
      </c>
      <c r="I36" s="20">
        <f t="shared" si="3"/>
        <v>100</v>
      </c>
      <c r="J36" t="s">
        <v>70</v>
      </c>
    </row>
    <row r="37" spans="1:10" x14ac:dyDescent="0.25">
      <c r="A37" s="5">
        <v>45839</v>
      </c>
      <c r="B37" t="s">
        <v>12</v>
      </c>
      <c r="C37" s="10">
        <v>10</v>
      </c>
      <c r="D37" s="16">
        <v>1160</v>
      </c>
      <c r="E37" s="20">
        <v>1145</v>
      </c>
      <c r="F37" s="20">
        <f t="shared" si="0"/>
        <v>15</v>
      </c>
      <c r="G37" s="20">
        <f t="shared" si="1"/>
        <v>11600</v>
      </c>
      <c r="H37" s="20">
        <f t="shared" si="2"/>
        <v>11450</v>
      </c>
      <c r="I37" s="20">
        <f t="shared" si="3"/>
        <v>150</v>
      </c>
      <c r="J37" t="s">
        <v>70</v>
      </c>
    </row>
    <row r="38" spans="1:10" x14ac:dyDescent="0.25">
      <c r="A38" s="5">
        <v>45839</v>
      </c>
      <c r="B38" t="s">
        <v>12</v>
      </c>
      <c r="C38" s="10">
        <v>1</v>
      </c>
      <c r="D38" s="16">
        <v>1175</v>
      </c>
      <c r="E38" s="20">
        <v>1145</v>
      </c>
      <c r="F38" s="20">
        <f t="shared" si="0"/>
        <v>30</v>
      </c>
      <c r="G38" s="20">
        <f t="shared" si="1"/>
        <v>1175</v>
      </c>
      <c r="H38" s="20">
        <f t="shared" si="2"/>
        <v>1145</v>
      </c>
      <c r="I38" s="20">
        <f t="shared" si="3"/>
        <v>30</v>
      </c>
      <c r="J38" t="s">
        <v>70</v>
      </c>
    </row>
    <row r="39" spans="1:10" x14ac:dyDescent="0.25">
      <c r="A39" s="5">
        <v>45839</v>
      </c>
      <c r="B39" t="s">
        <v>12</v>
      </c>
      <c r="C39" s="10">
        <v>50</v>
      </c>
      <c r="D39" s="16">
        <v>1175</v>
      </c>
      <c r="E39" s="20">
        <v>1145</v>
      </c>
      <c r="F39" s="20">
        <f t="shared" si="0"/>
        <v>30</v>
      </c>
      <c r="G39" s="20">
        <f t="shared" si="1"/>
        <v>58750</v>
      </c>
      <c r="H39" s="20">
        <f t="shared" si="2"/>
        <v>57250</v>
      </c>
      <c r="I39" s="20">
        <f t="shared" si="3"/>
        <v>1500</v>
      </c>
      <c r="J39" t="s">
        <v>70</v>
      </c>
    </row>
    <row r="40" spans="1:10" x14ac:dyDescent="0.25">
      <c r="A40" s="5">
        <v>45840</v>
      </c>
      <c r="B40" t="s">
        <v>12</v>
      </c>
      <c r="C40" s="10">
        <v>6</v>
      </c>
      <c r="D40" s="16">
        <v>1170</v>
      </c>
      <c r="E40" s="20">
        <v>1145</v>
      </c>
      <c r="F40" s="20">
        <f t="shared" si="0"/>
        <v>25</v>
      </c>
      <c r="G40" s="20">
        <f t="shared" si="1"/>
        <v>7020</v>
      </c>
      <c r="H40" s="20">
        <f t="shared" si="2"/>
        <v>6870</v>
      </c>
      <c r="I40" s="20">
        <f t="shared" si="3"/>
        <v>150</v>
      </c>
      <c r="J40" t="s">
        <v>70</v>
      </c>
    </row>
    <row r="41" spans="1:10" x14ac:dyDescent="0.25">
      <c r="A41" s="5">
        <v>45840</v>
      </c>
      <c r="B41" t="s">
        <v>12</v>
      </c>
      <c r="C41" s="10">
        <v>2</v>
      </c>
      <c r="D41" s="16">
        <v>1165</v>
      </c>
      <c r="E41" s="20">
        <v>1145</v>
      </c>
      <c r="F41" s="20">
        <f t="shared" si="0"/>
        <v>20</v>
      </c>
      <c r="G41" s="20">
        <f t="shared" si="1"/>
        <v>2330</v>
      </c>
      <c r="H41" s="20">
        <f t="shared" si="2"/>
        <v>2290</v>
      </c>
      <c r="I41" s="20">
        <f t="shared" si="3"/>
        <v>40</v>
      </c>
      <c r="J41" t="s">
        <v>70</v>
      </c>
    </row>
    <row r="42" spans="1:10" x14ac:dyDescent="0.25">
      <c r="A42" s="5">
        <v>45840</v>
      </c>
      <c r="B42" t="s">
        <v>8</v>
      </c>
      <c r="C42" s="10">
        <v>3</v>
      </c>
      <c r="D42" s="16">
        <v>870</v>
      </c>
      <c r="E42" s="20">
        <v>840</v>
      </c>
      <c r="F42" s="20">
        <f t="shared" si="0"/>
        <v>30</v>
      </c>
      <c r="G42" s="20">
        <f t="shared" si="1"/>
        <v>2610</v>
      </c>
      <c r="H42" s="20">
        <f t="shared" si="2"/>
        <v>2520</v>
      </c>
      <c r="I42" s="20">
        <f t="shared" si="3"/>
        <v>90</v>
      </c>
      <c r="J42" t="s">
        <v>70</v>
      </c>
    </row>
    <row r="43" spans="1:10" x14ac:dyDescent="0.25">
      <c r="A43" s="5">
        <v>45840</v>
      </c>
      <c r="B43" t="s">
        <v>12</v>
      </c>
      <c r="C43" s="10">
        <v>15</v>
      </c>
      <c r="D43" s="16">
        <v>1164</v>
      </c>
      <c r="E43" s="20">
        <v>1145</v>
      </c>
      <c r="F43" s="20">
        <f t="shared" si="0"/>
        <v>19</v>
      </c>
      <c r="G43" s="20">
        <f t="shared" si="1"/>
        <v>17460</v>
      </c>
      <c r="H43" s="20">
        <f t="shared" si="2"/>
        <v>17175</v>
      </c>
      <c r="I43" s="20">
        <f t="shared" si="3"/>
        <v>285</v>
      </c>
      <c r="J43" t="s">
        <v>70</v>
      </c>
    </row>
    <row r="44" spans="1:10" x14ac:dyDescent="0.25">
      <c r="A44" s="5">
        <v>45840</v>
      </c>
      <c r="B44" t="s">
        <v>8</v>
      </c>
      <c r="C44" s="10">
        <v>72</v>
      </c>
      <c r="D44" s="16">
        <v>842</v>
      </c>
      <c r="E44" s="20">
        <v>840</v>
      </c>
      <c r="F44" s="20">
        <f t="shared" si="0"/>
        <v>2</v>
      </c>
      <c r="G44" s="20">
        <f t="shared" si="1"/>
        <v>60624</v>
      </c>
      <c r="H44" s="20">
        <f t="shared" si="2"/>
        <v>60480</v>
      </c>
      <c r="I44" s="20">
        <f t="shared" si="3"/>
        <v>144</v>
      </c>
      <c r="J44" t="s">
        <v>70</v>
      </c>
    </row>
    <row r="45" spans="1:10" x14ac:dyDescent="0.25">
      <c r="A45" s="5">
        <v>45840</v>
      </c>
      <c r="B45" t="s">
        <v>12</v>
      </c>
      <c r="C45" s="10">
        <v>15</v>
      </c>
      <c r="D45" s="16">
        <v>1160</v>
      </c>
      <c r="E45" s="20">
        <v>1145</v>
      </c>
      <c r="F45" s="20">
        <f t="shared" si="0"/>
        <v>15</v>
      </c>
      <c r="G45" s="20">
        <f t="shared" si="1"/>
        <v>17400</v>
      </c>
      <c r="H45" s="20">
        <f t="shared" si="2"/>
        <v>17175</v>
      </c>
      <c r="I45" s="20">
        <f t="shared" si="3"/>
        <v>225</v>
      </c>
      <c r="J45" t="s">
        <v>70</v>
      </c>
    </row>
    <row r="46" spans="1:10" x14ac:dyDescent="0.25">
      <c r="A46" s="5">
        <v>45841</v>
      </c>
      <c r="B46" t="s">
        <v>12</v>
      </c>
      <c r="C46" s="10">
        <v>2</v>
      </c>
      <c r="D46" s="16">
        <v>1170</v>
      </c>
      <c r="E46" s="20">
        <v>1145</v>
      </c>
      <c r="F46" s="20">
        <f t="shared" si="0"/>
        <v>25</v>
      </c>
      <c r="G46" s="20">
        <f t="shared" si="1"/>
        <v>2340</v>
      </c>
      <c r="H46" s="20">
        <f t="shared" si="2"/>
        <v>2290</v>
      </c>
      <c r="I46" s="20">
        <f t="shared" si="3"/>
        <v>50</v>
      </c>
      <c r="J46" t="s">
        <v>70</v>
      </c>
    </row>
    <row r="47" spans="1:10" x14ac:dyDescent="0.25">
      <c r="A47" s="5">
        <v>45842</v>
      </c>
      <c r="B47" t="s">
        <v>8</v>
      </c>
      <c r="C47" s="10">
        <v>128</v>
      </c>
      <c r="D47" s="16">
        <v>842</v>
      </c>
      <c r="E47" s="20">
        <v>838</v>
      </c>
      <c r="F47" s="20">
        <f t="shared" si="0"/>
        <v>4</v>
      </c>
      <c r="G47" s="20">
        <f t="shared" si="1"/>
        <v>107776</v>
      </c>
      <c r="H47" s="20">
        <f t="shared" si="2"/>
        <v>107264</v>
      </c>
      <c r="I47" s="20">
        <f t="shared" si="3"/>
        <v>512</v>
      </c>
      <c r="J47" t="s">
        <v>70</v>
      </c>
    </row>
    <row r="48" spans="1:10" x14ac:dyDescent="0.25">
      <c r="A48" s="5">
        <v>45845</v>
      </c>
      <c r="B48" t="s">
        <v>12</v>
      </c>
      <c r="C48" s="10">
        <v>5</v>
      </c>
      <c r="D48" s="16">
        <v>1150</v>
      </c>
      <c r="E48" s="20">
        <v>1145</v>
      </c>
      <c r="F48" s="20">
        <f t="shared" si="0"/>
        <v>5</v>
      </c>
      <c r="G48" s="20">
        <f t="shared" si="1"/>
        <v>5750</v>
      </c>
      <c r="H48" s="20">
        <f t="shared" si="2"/>
        <v>5725</v>
      </c>
      <c r="I48" s="20">
        <f t="shared" si="3"/>
        <v>25</v>
      </c>
      <c r="J48" t="s">
        <v>70</v>
      </c>
    </row>
    <row r="49" spans="1:10" x14ac:dyDescent="0.25">
      <c r="A49" s="5">
        <v>45845</v>
      </c>
      <c r="B49" t="s">
        <v>12</v>
      </c>
      <c r="C49" s="10">
        <v>4</v>
      </c>
      <c r="D49" s="16">
        <v>1160</v>
      </c>
      <c r="E49" s="20">
        <v>1145</v>
      </c>
      <c r="F49" s="20">
        <f t="shared" si="0"/>
        <v>15</v>
      </c>
      <c r="G49" s="20">
        <f t="shared" si="1"/>
        <v>4640</v>
      </c>
      <c r="H49" s="20">
        <f t="shared" si="2"/>
        <v>4580</v>
      </c>
      <c r="I49" s="20">
        <f t="shared" si="3"/>
        <v>60</v>
      </c>
      <c r="J49" t="s">
        <v>70</v>
      </c>
    </row>
    <row r="50" spans="1:10" x14ac:dyDescent="0.25">
      <c r="A50" s="5">
        <v>45845</v>
      </c>
      <c r="B50" t="s">
        <v>12</v>
      </c>
      <c r="C50" s="10">
        <v>5</v>
      </c>
      <c r="D50" s="16">
        <v>1160</v>
      </c>
      <c r="E50" s="20">
        <v>1145</v>
      </c>
      <c r="F50" s="20">
        <f t="shared" si="0"/>
        <v>15</v>
      </c>
      <c r="G50" s="20">
        <f t="shared" si="1"/>
        <v>5800</v>
      </c>
      <c r="H50" s="20">
        <f t="shared" si="2"/>
        <v>5725</v>
      </c>
      <c r="I50" s="20">
        <f t="shared" si="3"/>
        <v>75</v>
      </c>
      <c r="J50" t="s">
        <v>70</v>
      </c>
    </row>
    <row r="51" spans="1:10" x14ac:dyDescent="0.25">
      <c r="A51" s="33">
        <v>45846</v>
      </c>
      <c r="B51" t="s">
        <v>12</v>
      </c>
      <c r="C51" s="10">
        <v>1</v>
      </c>
      <c r="D51" s="16">
        <v>1160</v>
      </c>
      <c r="E51" s="20">
        <v>1145</v>
      </c>
      <c r="F51" s="20">
        <f t="shared" si="0"/>
        <v>15</v>
      </c>
      <c r="G51" s="20">
        <f t="shared" si="1"/>
        <v>1160</v>
      </c>
      <c r="H51" s="20">
        <f t="shared" si="2"/>
        <v>1145</v>
      </c>
      <c r="I51" s="20">
        <f t="shared" si="3"/>
        <v>15</v>
      </c>
      <c r="J51" t="s">
        <v>70</v>
      </c>
    </row>
    <row r="52" spans="1:10" x14ac:dyDescent="0.25">
      <c r="A52" s="33">
        <v>45848</v>
      </c>
      <c r="B52" t="s">
        <v>12</v>
      </c>
      <c r="C52" s="10">
        <v>1</v>
      </c>
      <c r="D52" s="16">
        <v>1160</v>
      </c>
      <c r="E52" s="20">
        <v>1145</v>
      </c>
      <c r="F52" s="20">
        <f t="shared" si="0"/>
        <v>15</v>
      </c>
      <c r="G52" s="20">
        <f t="shared" si="1"/>
        <v>1160</v>
      </c>
      <c r="H52" s="20">
        <f t="shared" si="2"/>
        <v>1145</v>
      </c>
      <c r="I52" s="20">
        <f t="shared" si="3"/>
        <v>15</v>
      </c>
      <c r="J52" t="s">
        <v>70</v>
      </c>
    </row>
    <row r="53" spans="1:10" x14ac:dyDescent="0.25">
      <c r="A53" s="33">
        <v>45848</v>
      </c>
      <c r="B53" t="s">
        <v>12</v>
      </c>
      <c r="C53" s="10">
        <v>5</v>
      </c>
      <c r="D53" s="16">
        <v>1155</v>
      </c>
      <c r="E53" s="20">
        <v>1140</v>
      </c>
      <c r="F53" s="20">
        <f t="shared" si="0"/>
        <v>15</v>
      </c>
      <c r="G53" s="20">
        <f t="shared" si="1"/>
        <v>5775</v>
      </c>
      <c r="H53" s="20">
        <f t="shared" si="2"/>
        <v>5700</v>
      </c>
      <c r="I53" s="20">
        <f t="shared" si="3"/>
        <v>75</v>
      </c>
      <c r="J53" t="s">
        <v>70</v>
      </c>
    </row>
    <row r="54" spans="1:10" x14ac:dyDescent="0.25">
      <c r="A54" s="33">
        <v>45848</v>
      </c>
      <c r="B54" t="s">
        <v>8</v>
      </c>
      <c r="C54" s="10">
        <v>50</v>
      </c>
      <c r="D54" s="16">
        <v>844</v>
      </c>
      <c r="E54" s="20">
        <v>838</v>
      </c>
      <c r="F54" s="20">
        <f t="shared" si="0"/>
        <v>6</v>
      </c>
      <c r="G54" s="20">
        <f t="shared" si="1"/>
        <v>42200</v>
      </c>
      <c r="H54" s="20">
        <f t="shared" si="2"/>
        <v>41900</v>
      </c>
      <c r="I54" s="20">
        <f t="shared" si="3"/>
        <v>300</v>
      </c>
      <c r="J54" t="s">
        <v>70</v>
      </c>
    </row>
    <row r="55" spans="1:10" x14ac:dyDescent="0.25">
      <c r="A55" s="33">
        <v>45848</v>
      </c>
      <c r="B55" t="s">
        <v>8</v>
      </c>
      <c r="C55" s="10">
        <v>1</v>
      </c>
      <c r="D55" s="16">
        <v>850</v>
      </c>
      <c r="E55" s="20">
        <v>840</v>
      </c>
      <c r="F55" s="20">
        <f t="shared" si="0"/>
        <v>10</v>
      </c>
      <c r="G55" s="20">
        <f t="shared" si="1"/>
        <v>850</v>
      </c>
      <c r="H55" s="20">
        <f t="shared" si="2"/>
        <v>840</v>
      </c>
      <c r="I55" s="20">
        <f t="shared" si="3"/>
        <v>10</v>
      </c>
      <c r="J55" t="s">
        <v>70</v>
      </c>
    </row>
    <row r="56" spans="1:10" x14ac:dyDescent="0.25">
      <c r="A56" s="33">
        <v>45850</v>
      </c>
      <c r="B56" t="s">
        <v>8</v>
      </c>
      <c r="C56" s="10">
        <v>5</v>
      </c>
      <c r="D56" s="16">
        <v>845</v>
      </c>
      <c r="E56" s="20">
        <v>840</v>
      </c>
      <c r="F56" s="20">
        <f t="shared" si="0"/>
        <v>5</v>
      </c>
      <c r="G56" s="20">
        <f t="shared" si="1"/>
        <v>4225</v>
      </c>
      <c r="H56" s="20">
        <f t="shared" si="2"/>
        <v>4200</v>
      </c>
      <c r="I56" s="20">
        <f t="shared" si="3"/>
        <v>25</v>
      </c>
      <c r="J56" t="s">
        <v>70</v>
      </c>
    </row>
    <row r="57" spans="1:10" x14ac:dyDescent="0.25">
      <c r="A57" s="33">
        <v>45852</v>
      </c>
      <c r="B57" t="s">
        <v>8</v>
      </c>
      <c r="C57" s="10">
        <v>3</v>
      </c>
      <c r="D57" s="16">
        <v>850</v>
      </c>
      <c r="E57" s="20">
        <v>840</v>
      </c>
      <c r="F57" s="20">
        <f t="shared" si="0"/>
        <v>10</v>
      </c>
      <c r="G57" s="20">
        <f t="shared" si="1"/>
        <v>2550</v>
      </c>
      <c r="H57" s="20">
        <f t="shared" si="2"/>
        <v>2520</v>
      </c>
      <c r="I57" s="20">
        <f t="shared" si="3"/>
        <v>30</v>
      </c>
      <c r="J57" t="s">
        <v>70</v>
      </c>
    </row>
    <row r="58" spans="1:10" x14ac:dyDescent="0.25">
      <c r="A58" s="33">
        <v>45852</v>
      </c>
      <c r="B58" t="s">
        <v>8</v>
      </c>
      <c r="C58" s="10">
        <v>1</v>
      </c>
      <c r="D58" s="16">
        <v>850</v>
      </c>
      <c r="E58" s="20">
        <v>840</v>
      </c>
      <c r="F58" s="20">
        <f t="shared" si="0"/>
        <v>10</v>
      </c>
      <c r="G58" s="20">
        <f t="shared" si="1"/>
        <v>850</v>
      </c>
      <c r="H58" s="20">
        <f t="shared" si="2"/>
        <v>840</v>
      </c>
      <c r="I58" s="20">
        <f t="shared" si="3"/>
        <v>10</v>
      </c>
      <c r="J58" t="s">
        <v>70</v>
      </c>
    </row>
    <row r="59" spans="1:10" x14ac:dyDescent="0.25">
      <c r="A59" s="33">
        <v>45853</v>
      </c>
      <c r="B59" t="s">
        <v>8</v>
      </c>
      <c r="C59" s="10">
        <v>20</v>
      </c>
      <c r="D59" s="16">
        <v>850</v>
      </c>
      <c r="E59" s="20">
        <v>840</v>
      </c>
      <c r="F59" s="20">
        <f t="shared" si="0"/>
        <v>10</v>
      </c>
      <c r="G59" s="20">
        <f t="shared" si="1"/>
        <v>17000</v>
      </c>
      <c r="H59" s="20">
        <f t="shared" si="2"/>
        <v>16800</v>
      </c>
      <c r="I59" s="20">
        <f t="shared" si="3"/>
        <v>200</v>
      </c>
      <c r="J59" t="s">
        <v>70</v>
      </c>
    </row>
    <row r="60" spans="1:10" x14ac:dyDescent="0.25">
      <c r="A60" s="33">
        <v>45853</v>
      </c>
      <c r="B60" t="s">
        <v>8</v>
      </c>
      <c r="C60" s="10">
        <v>1</v>
      </c>
      <c r="D60" s="16">
        <v>850</v>
      </c>
      <c r="E60" s="20">
        <v>840</v>
      </c>
      <c r="F60" s="20">
        <f t="shared" si="0"/>
        <v>10</v>
      </c>
      <c r="G60" s="20">
        <f t="shared" si="1"/>
        <v>850</v>
      </c>
      <c r="H60" s="20">
        <f t="shared" si="2"/>
        <v>840</v>
      </c>
      <c r="I60" s="20">
        <f t="shared" si="3"/>
        <v>10</v>
      </c>
      <c r="J60" t="s">
        <v>70</v>
      </c>
    </row>
    <row r="61" spans="1:10" x14ac:dyDescent="0.25">
      <c r="A61" s="33">
        <v>45853</v>
      </c>
      <c r="B61" t="s">
        <v>8</v>
      </c>
      <c r="C61" s="10">
        <v>40</v>
      </c>
      <c r="D61" s="16">
        <v>844</v>
      </c>
      <c r="E61" s="20">
        <v>840</v>
      </c>
      <c r="F61" s="20">
        <f t="shared" si="0"/>
        <v>4</v>
      </c>
      <c r="G61" s="20">
        <f t="shared" si="1"/>
        <v>33760</v>
      </c>
      <c r="H61" s="20">
        <f t="shared" si="2"/>
        <v>33600</v>
      </c>
      <c r="I61" s="20">
        <f t="shared" si="3"/>
        <v>160</v>
      </c>
      <c r="J61" t="s">
        <v>70</v>
      </c>
    </row>
    <row r="62" spans="1:10" x14ac:dyDescent="0.25">
      <c r="A62" s="33">
        <v>45853</v>
      </c>
      <c r="B62" t="s">
        <v>8</v>
      </c>
      <c r="C62" s="10">
        <v>5</v>
      </c>
      <c r="D62" s="16">
        <v>845</v>
      </c>
      <c r="E62" s="20">
        <v>840</v>
      </c>
      <c r="F62" s="20">
        <f t="shared" si="0"/>
        <v>5</v>
      </c>
      <c r="G62" s="20">
        <f t="shared" si="1"/>
        <v>4225</v>
      </c>
      <c r="H62" s="20">
        <f t="shared" si="2"/>
        <v>4200</v>
      </c>
      <c r="I62" s="20">
        <f t="shared" si="3"/>
        <v>25</v>
      </c>
      <c r="J62" t="s">
        <v>70</v>
      </c>
    </row>
    <row r="63" spans="1:10" x14ac:dyDescent="0.25">
      <c r="A63" s="33">
        <v>45853</v>
      </c>
      <c r="B63" t="s">
        <v>8</v>
      </c>
      <c r="C63" s="10">
        <v>11</v>
      </c>
      <c r="D63" s="16">
        <v>850</v>
      </c>
      <c r="E63" s="20">
        <v>840</v>
      </c>
      <c r="F63" s="20">
        <f t="shared" si="0"/>
        <v>10</v>
      </c>
      <c r="G63" s="20">
        <f t="shared" si="1"/>
        <v>9350</v>
      </c>
      <c r="H63" s="20">
        <f t="shared" si="2"/>
        <v>9240</v>
      </c>
      <c r="I63" s="20">
        <f t="shared" si="3"/>
        <v>110</v>
      </c>
      <c r="J63" t="s">
        <v>70</v>
      </c>
    </row>
    <row r="64" spans="1:10" x14ac:dyDescent="0.25">
      <c r="A64" s="33">
        <v>45855</v>
      </c>
      <c r="B64" t="s">
        <v>8</v>
      </c>
      <c r="C64" s="10">
        <v>10</v>
      </c>
      <c r="D64" s="16">
        <v>844</v>
      </c>
      <c r="E64" s="20">
        <v>840</v>
      </c>
      <c r="F64" s="20">
        <f t="shared" si="0"/>
        <v>4</v>
      </c>
      <c r="G64" s="20">
        <f t="shared" si="1"/>
        <v>8440</v>
      </c>
      <c r="H64" s="20">
        <f t="shared" si="2"/>
        <v>8400</v>
      </c>
      <c r="I64" s="20">
        <f t="shared" si="3"/>
        <v>40</v>
      </c>
      <c r="J64" t="s">
        <v>70</v>
      </c>
    </row>
    <row r="65" spans="1:10" x14ac:dyDescent="0.25">
      <c r="A65" s="33">
        <v>45855</v>
      </c>
      <c r="B65" t="s">
        <v>8</v>
      </c>
      <c r="C65" s="10">
        <v>3</v>
      </c>
      <c r="D65" s="16">
        <v>850</v>
      </c>
      <c r="E65" s="20">
        <v>840</v>
      </c>
      <c r="F65" s="20">
        <f t="shared" si="0"/>
        <v>10</v>
      </c>
      <c r="G65" s="20">
        <f t="shared" si="1"/>
        <v>2550</v>
      </c>
      <c r="H65" s="20">
        <f t="shared" si="2"/>
        <v>2520</v>
      </c>
      <c r="I65" s="20">
        <f t="shared" si="3"/>
        <v>30</v>
      </c>
      <c r="J65" t="s">
        <v>70</v>
      </c>
    </row>
    <row r="66" spans="1:10" x14ac:dyDescent="0.25">
      <c r="A66" s="33">
        <v>45862</v>
      </c>
      <c r="B66" t="s">
        <v>8</v>
      </c>
      <c r="C66" s="10">
        <v>1</v>
      </c>
      <c r="D66" s="16">
        <v>850</v>
      </c>
      <c r="E66" s="20">
        <v>840</v>
      </c>
      <c r="F66" s="20">
        <f t="shared" ref="F66:F129" si="4">D66-E66</f>
        <v>10</v>
      </c>
      <c r="G66" s="20">
        <f t="shared" ref="G66:G129" si="5">D66*C66</f>
        <v>850</v>
      </c>
      <c r="H66" s="20">
        <f t="shared" ref="H66:H129" si="6">E66*C66</f>
        <v>840</v>
      </c>
      <c r="I66" s="20">
        <f t="shared" ref="I66:I129" si="7">G66-H66</f>
        <v>10</v>
      </c>
      <c r="J66" t="s">
        <v>70</v>
      </c>
    </row>
    <row r="67" spans="1:10" x14ac:dyDescent="0.25">
      <c r="A67" s="5">
        <v>45839</v>
      </c>
      <c r="B67" t="s">
        <v>14</v>
      </c>
      <c r="C67" s="10">
        <v>2</v>
      </c>
      <c r="D67" s="16">
        <v>2912.5</v>
      </c>
      <c r="E67" s="20">
        <v>2580</v>
      </c>
      <c r="F67" s="20">
        <f t="shared" si="4"/>
        <v>332.5</v>
      </c>
      <c r="G67" s="20">
        <f t="shared" si="5"/>
        <v>5825</v>
      </c>
      <c r="H67" s="20">
        <f t="shared" si="6"/>
        <v>5160</v>
      </c>
      <c r="I67" s="20">
        <f t="shared" si="7"/>
        <v>665</v>
      </c>
      <c r="J67" t="s">
        <v>73</v>
      </c>
    </row>
    <row r="68" spans="1:10" x14ac:dyDescent="0.25">
      <c r="A68" s="5">
        <v>45839</v>
      </c>
      <c r="B68" t="s">
        <v>14</v>
      </c>
      <c r="C68" s="10">
        <v>1</v>
      </c>
      <c r="D68" s="16">
        <v>2906.25</v>
      </c>
      <c r="E68" s="20">
        <v>2580</v>
      </c>
      <c r="F68" s="20">
        <f t="shared" si="4"/>
        <v>326.25</v>
      </c>
      <c r="G68" s="20">
        <f t="shared" si="5"/>
        <v>2906.25</v>
      </c>
      <c r="H68" s="20">
        <f t="shared" si="6"/>
        <v>2580</v>
      </c>
      <c r="I68" s="20">
        <f t="shared" si="7"/>
        <v>326.25</v>
      </c>
      <c r="J68" t="s">
        <v>73</v>
      </c>
    </row>
    <row r="69" spans="1:10" x14ac:dyDescent="0.25">
      <c r="A69" s="34">
        <v>45840</v>
      </c>
      <c r="B69" s="38" t="s">
        <v>15</v>
      </c>
      <c r="C69" s="8">
        <v>1</v>
      </c>
      <c r="D69" s="17">
        <v>2475</v>
      </c>
      <c r="E69" s="19">
        <v>2070</v>
      </c>
      <c r="F69" s="20">
        <f t="shared" si="4"/>
        <v>405</v>
      </c>
      <c r="G69" s="20">
        <f t="shared" si="5"/>
        <v>2475</v>
      </c>
      <c r="H69" s="20">
        <f t="shared" si="6"/>
        <v>2070</v>
      </c>
      <c r="I69" s="20">
        <f t="shared" si="7"/>
        <v>405</v>
      </c>
      <c r="J69" t="s">
        <v>73</v>
      </c>
    </row>
    <row r="70" spans="1:10" x14ac:dyDescent="0.25">
      <c r="A70" s="34">
        <v>45841</v>
      </c>
      <c r="B70" s="38" t="s">
        <v>15</v>
      </c>
      <c r="C70" s="8">
        <v>1</v>
      </c>
      <c r="D70" s="17">
        <v>2475</v>
      </c>
      <c r="E70" s="19">
        <v>2070</v>
      </c>
      <c r="F70" s="20">
        <f t="shared" si="4"/>
        <v>405</v>
      </c>
      <c r="G70" s="20">
        <f t="shared" si="5"/>
        <v>2475</v>
      </c>
      <c r="H70" s="20">
        <f t="shared" si="6"/>
        <v>2070</v>
      </c>
      <c r="I70" s="20">
        <f t="shared" si="7"/>
        <v>405</v>
      </c>
      <c r="J70" t="s">
        <v>73</v>
      </c>
    </row>
    <row r="71" spans="1:10" x14ac:dyDescent="0.25">
      <c r="A71" s="34">
        <v>45841</v>
      </c>
      <c r="B71" s="38" t="s">
        <v>14</v>
      </c>
      <c r="C71" s="8">
        <v>1</v>
      </c>
      <c r="D71" s="17">
        <v>2906.25</v>
      </c>
      <c r="E71" s="19">
        <v>2580</v>
      </c>
      <c r="F71" s="20">
        <f t="shared" si="4"/>
        <v>326.25</v>
      </c>
      <c r="G71" s="20">
        <f t="shared" si="5"/>
        <v>2906.25</v>
      </c>
      <c r="H71" s="20">
        <f t="shared" si="6"/>
        <v>2580</v>
      </c>
      <c r="I71" s="20">
        <f t="shared" si="7"/>
        <v>326.25</v>
      </c>
      <c r="J71" t="s">
        <v>73</v>
      </c>
    </row>
    <row r="72" spans="1:10" x14ac:dyDescent="0.25">
      <c r="A72" s="34">
        <v>45843</v>
      </c>
      <c r="B72" s="38" t="s">
        <v>14</v>
      </c>
      <c r="C72" s="8">
        <v>1</v>
      </c>
      <c r="D72" s="17">
        <v>2912.5</v>
      </c>
      <c r="E72" s="19">
        <v>2580</v>
      </c>
      <c r="F72" s="20">
        <f t="shared" si="4"/>
        <v>332.5</v>
      </c>
      <c r="G72" s="20">
        <f t="shared" si="5"/>
        <v>2912.5</v>
      </c>
      <c r="H72" s="20">
        <f t="shared" si="6"/>
        <v>2580</v>
      </c>
      <c r="I72" s="20">
        <f t="shared" si="7"/>
        <v>332.5</v>
      </c>
      <c r="J72" t="s">
        <v>73</v>
      </c>
    </row>
    <row r="73" spans="1:10" x14ac:dyDescent="0.25">
      <c r="A73" s="34">
        <v>45843</v>
      </c>
      <c r="B73" s="38" t="s">
        <v>14</v>
      </c>
      <c r="C73" s="8">
        <v>1</v>
      </c>
      <c r="D73" s="17">
        <v>2925</v>
      </c>
      <c r="E73" s="19">
        <v>2580</v>
      </c>
      <c r="F73" s="20">
        <f t="shared" si="4"/>
        <v>345</v>
      </c>
      <c r="G73" s="20">
        <f t="shared" si="5"/>
        <v>2925</v>
      </c>
      <c r="H73" s="20">
        <f t="shared" si="6"/>
        <v>2580</v>
      </c>
      <c r="I73" s="20">
        <f t="shared" si="7"/>
        <v>345</v>
      </c>
      <c r="J73" t="s">
        <v>73</v>
      </c>
    </row>
    <row r="74" spans="1:10" x14ac:dyDescent="0.25">
      <c r="A74" s="6">
        <v>45848</v>
      </c>
      <c r="B74" t="s">
        <v>14</v>
      </c>
      <c r="C74" s="9">
        <v>1</v>
      </c>
      <c r="D74" s="18">
        <v>2900</v>
      </c>
      <c r="E74" s="20">
        <v>2580</v>
      </c>
      <c r="F74" s="20">
        <f t="shared" si="4"/>
        <v>320</v>
      </c>
      <c r="G74" s="20">
        <f t="shared" si="5"/>
        <v>2900</v>
      </c>
      <c r="H74" s="20">
        <f t="shared" si="6"/>
        <v>2580</v>
      </c>
      <c r="I74" s="20">
        <f t="shared" si="7"/>
        <v>320</v>
      </c>
      <c r="J74" t="s">
        <v>73</v>
      </c>
    </row>
    <row r="75" spans="1:10" x14ac:dyDescent="0.25">
      <c r="A75" s="6">
        <v>45849</v>
      </c>
      <c r="B75" s="40" t="s">
        <v>14</v>
      </c>
      <c r="C75" s="10">
        <v>1</v>
      </c>
      <c r="D75" s="16">
        <v>2900</v>
      </c>
      <c r="E75" s="21">
        <v>2580</v>
      </c>
      <c r="F75" s="20">
        <f t="shared" si="4"/>
        <v>320</v>
      </c>
      <c r="G75" s="20">
        <f t="shared" si="5"/>
        <v>2900</v>
      </c>
      <c r="H75" s="20">
        <f t="shared" si="6"/>
        <v>2580</v>
      </c>
      <c r="I75" s="20">
        <f t="shared" si="7"/>
        <v>320</v>
      </c>
      <c r="J75" t="s">
        <v>73</v>
      </c>
    </row>
    <row r="76" spans="1:10" x14ac:dyDescent="0.25">
      <c r="A76" s="6">
        <v>45850</v>
      </c>
      <c r="B76" t="s">
        <v>14</v>
      </c>
      <c r="C76" s="10">
        <v>1</v>
      </c>
      <c r="D76" s="16">
        <v>2900</v>
      </c>
      <c r="E76" s="20">
        <v>2580</v>
      </c>
      <c r="F76" s="20">
        <f t="shared" si="4"/>
        <v>320</v>
      </c>
      <c r="G76" s="20">
        <f t="shared" si="5"/>
        <v>2900</v>
      </c>
      <c r="H76" s="20">
        <f t="shared" si="6"/>
        <v>2580</v>
      </c>
      <c r="I76" s="20">
        <f t="shared" si="7"/>
        <v>320</v>
      </c>
      <c r="J76" t="s">
        <v>73</v>
      </c>
    </row>
    <row r="77" spans="1:10" x14ac:dyDescent="0.25">
      <c r="A77" s="6">
        <v>45850</v>
      </c>
      <c r="B77" t="s">
        <v>14</v>
      </c>
      <c r="C77" s="9">
        <v>1</v>
      </c>
      <c r="D77" s="18">
        <v>2687.5</v>
      </c>
      <c r="E77" s="20">
        <v>2550</v>
      </c>
      <c r="F77" s="20">
        <f t="shared" si="4"/>
        <v>137.5</v>
      </c>
      <c r="G77" s="20">
        <f t="shared" si="5"/>
        <v>2687.5</v>
      </c>
      <c r="H77" s="20">
        <f t="shared" si="6"/>
        <v>2550</v>
      </c>
      <c r="I77" s="20">
        <f t="shared" si="7"/>
        <v>137.5</v>
      </c>
      <c r="J77" t="s">
        <v>73</v>
      </c>
    </row>
    <row r="78" spans="1:10" x14ac:dyDescent="0.25">
      <c r="A78" s="6">
        <v>45852</v>
      </c>
      <c r="B78" t="s">
        <v>14</v>
      </c>
      <c r="C78" s="10">
        <v>1</v>
      </c>
      <c r="D78" s="16">
        <v>2700</v>
      </c>
      <c r="E78" s="20">
        <v>2580</v>
      </c>
      <c r="F78" s="20">
        <f t="shared" si="4"/>
        <v>120</v>
      </c>
      <c r="G78" s="20">
        <f t="shared" si="5"/>
        <v>2700</v>
      </c>
      <c r="H78" s="20">
        <f t="shared" si="6"/>
        <v>2580</v>
      </c>
      <c r="I78" s="20">
        <f t="shared" si="7"/>
        <v>120</v>
      </c>
      <c r="J78" t="s">
        <v>73</v>
      </c>
    </row>
    <row r="79" spans="1:10" x14ac:dyDescent="0.25">
      <c r="A79" s="6">
        <v>45854</v>
      </c>
      <c r="B79" t="s">
        <v>14</v>
      </c>
      <c r="C79" s="10">
        <v>1</v>
      </c>
      <c r="D79" s="16">
        <v>2860.759</v>
      </c>
      <c r="E79" s="20">
        <v>2580</v>
      </c>
      <c r="F79" s="20">
        <f t="shared" si="4"/>
        <v>280.75900000000001</v>
      </c>
      <c r="G79" s="20">
        <f t="shared" si="5"/>
        <v>2860.759</v>
      </c>
      <c r="H79" s="20">
        <f t="shared" si="6"/>
        <v>2580</v>
      </c>
      <c r="I79" s="20">
        <f t="shared" si="7"/>
        <v>280.75900000000001</v>
      </c>
      <c r="J79" t="s">
        <v>73</v>
      </c>
    </row>
    <row r="80" spans="1:10" x14ac:dyDescent="0.25">
      <c r="A80" s="6">
        <v>45855</v>
      </c>
      <c r="B80" t="s">
        <v>14</v>
      </c>
      <c r="C80" s="10">
        <v>1</v>
      </c>
      <c r="D80" s="16">
        <v>2841.77</v>
      </c>
      <c r="E80" s="20">
        <v>2580</v>
      </c>
      <c r="F80" s="20">
        <f t="shared" si="4"/>
        <v>261.77</v>
      </c>
      <c r="G80" s="20">
        <f t="shared" si="5"/>
        <v>2841.77</v>
      </c>
      <c r="H80" s="20">
        <f t="shared" si="6"/>
        <v>2580</v>
      </c>
      <c r="I80" s="20">
        <f t="shared" si="7"/>
        <v>261.77</v>
      </c>
      <c r="J80" t="s">
        <v>73</v>
      </c>
    </row>
    <row r="81" spans="1:10" x14ac:dyDescent="0.25">
      <c r="A81" s="6">
        <v>45855</v>
      </c>
      <c r="B81" t="s">
        <v>14</v>
      </c>
      <c r="C81" s="10">
        <v>1</v>
      </c>
      <c r="D81" s="16">
        <v>2962.02</v>
      </c>
      <c r="E81" s="20">
        <v>2580</v>
      </c>
      <c r="F81" s="20">
        <f t="shared" si="4"/>
        <v>382.02</v>
      </c>
      <c r="G81" s="20">
        <f t="shared" si="5"/>
        <v>2962.02</v>
      </c>
      <c r="H81" s="20">
        <f t="shared" si="6"/>
        <v>2580</v>
      </c>
      <c r="I81" s="20">
        <f t="shared" si="7"/>
        <v>382.02</v>
      </c>
      <c r="J81" t="s">
        <v>73</v>
      </c>
    </row>
    <row r="82" spans="1:10" x14ac:dyDescent="0.25">
      <c r="A82" s="6">
        <v>45857</v>
      </c>
      <c r="B82" t="s">
        <v>14</v>
      </c>
      <c r="C82" s="10">
        <v>1</v>
      </c>
      <c r="D82" s="16">
        <v>2974.68</v>
      </c>
      <c r="E82" s="20">
        <v>2580</v>
      </c>
      <c r="F82" s="20">
        <f t="shared" si="4"/>
        <v>394.67999999999984</v>
      </c>
      <c r="G82" s="20">
        <f t="shared" si="5"/>
        <v>2974.68</v>
      </c>
      <c r="H82" s="20">
        <f t="shared" si="6"/>
        <v>2580</v>
      </c>
      <c r="I82" s="20">
        <f t="shared" si="7"/>
        <v>394.67999999999984</v>
      </c>
      <c r="J82" t="s">
        <v>73</v>
      </c>
    </row>
    <row r="83" spans="1:10" x14ac:dyDescent="0.25">
      <c r="A83" s="6">
        <v>45858</v>
      </c>
      <c r="B83" t="s">
        <v>14</v>
      </c>
      <c r="C83" s="10">
        <v>1</v>
      </c>
      <c r="D83" s="16">
        <v>2974.68</v>
      </c>
      <c r="E83" s="20">
        <v>2580</v>
      </c>
      <c r="F83" s="20">
        <f t="shared" si="4"/>
        <v>394.67999999999984</v>
      </c>
      <c r="G83" s="20">
        <f t="shared" si="5"/>
        <v>2974.68</v>
      </c>
      <c r="H83" s="20">
        <f t="shared" si="6"/>
        <v>2580</v>
      </c>
      <c r="I83" s="20">
        <f t="shared" si="7"/>
        <v>394.67999999999984</v>
      </c>
      <c r="J83" t="s">
        <v>73</v>
      </c>
    </row>
    <row r="84" spans="1:10" x14ac:dyDescent="0.25">
      <c r="A84" s="6">
        <v>45858</v>
      </c>
      <c r="B84" t="s">
        <v>14</v>
      </c>
      <c r="C84" s="10">
        <v>1</v>
      </c>
      <c r="D84" s="16">
        <v>2974.68</v>
      </c>
      <c r="E84" s="20">
        <v>2580</v>
      </c>
      <c r="F84" s="20">
        <f t="shared" si="4"/>
        <v>394.67999999999984</v>
      </c>
      <c r="G84" s="20">
        <f t="shared" si="5"/>
        <v>2974.68</v>
      </c>
      <c r="H84" s="20">
        <f t="shared" si="6"/>
        <v>2580</v>
      </c>
      <c r="I84" s="20">
        <f t="shared" si="7"/>
        <v>394.67999999999984</v>
      </c>
      <c r="J84" t="s">
        <v>73</v>
      </c>
    </row>
    <row r="85" spans="1:10" x14ac:dyDescent="0.25">
      <c r="A85" s="6">
        <v>45859</v>
      </c>
      <c r="B85" t="s">
        <v>14</v>
      </c>
      <c r="C85" s="10">
        <v>1</v>
      </c>
      <c r="D85" s="16">
        <v>2974.68</v>
      </c>
      <c r="E85" s="20">
        <v>2580</v>
      </c>
      <c r="F85" s="20">
        <f t="shared" si="4"/>
        <v>394.67999999999984</v>
      </c>
      <c r="G85" s="20">
        <f t="shared" si="5"/>
        <v>2974.68</v>
      </c>
      <c r="H85" s="20">
        <f t="shared" si="6"/>
        <v>2580</v>
      </c>
      <c r="I85" s="20">
        <f t="shared" si="7"/>
        <v>394.67999999999984</v>
      </c>
      <c r="J85" t="s">
        <v>73</v>
      </c>
    </row>
    <row r="86" spans="1:10" x14ac:dyDescent="0.25">
      <c r="A86" s="6">
        <v>45859</v>
      </c>
      <c r="B86" t="s">
        <v>14</v>
      </c>
      <c r="C86" s="10">
        <v>1</v>
      </c>
      <c r="D86" s="16">
        <v>2974.68</v>
      </c>
      <c r="E86" s="20">
        <v>2580</v>
      </c>
      <c r="F86" s="20">
        <f t="shared" si="4"/>
        <v>394.67999999999984</v>
      </c>
      <c r="G86" s="20">
        <f t="shared" si="5"/>
        <v>2974.68</v>
      </c>
      <c r="H86" s="20">
        <f t="shared" si="6"/>
        <v>2580</v>
      </c>
      <c r="I86" s="20">
        <f t="shared" si="7"/>
        <v>394.67999999999984</v>
      </c>
      <c r="J86" t="s">
        <v>73</v>
      </c>
    </row>
    <row r="87" spans="1:10" x14ac:dyDescent="0.25">
      <c r="A87" s="6">
        <v>45859</v>
      </c>
      <c r="B87" t="s">
        <v>14</v>
      </c>
      <c r="C87" s="10">
        <v>1</v>
      </c>
      <c r="D87" s="16">
        <v>2708.86</v>
      </c>
      <c r="E87" s="20">
        <v>2580</v>
      </c>
      <c r="F87" s="20">
        <f t="shared" si="4"/>
        <v>128.86000000000013</v>
      </c>
      <c r="G87" s="20">
        <f t="shared" si="5"/>
        <v>2708.86</v>
      </c>
      <c r="H87" s="20">
        <f t="shared" si="6"/>
        <v>2580</v>
      </c>
      <c r="I87" s="20">
        <f t="shared" si="7"/>
        <v>128.86000000000013</v>
      </c>
      <c r="J87" t="s">
        <v>73</v>
      </c>
    </row>
    <row r="88" spans="1:10" x14ac:dyDescent="0.25">
      <c r="A88" s="6">
        <v>45859</v>
      </c>
      <c r="B88" t="s">
        <v>14</v>
      </c>
      <c r="C88" s="10">
        <v>1</v>
      </c>
      <c r="D88" s="16">
        <v>2848.1</v>
      </c>
      <c r="E88" s="20">
        <v>2580</v>
      </c>
      <c r="F88" s="20">
        <f t="shared" si="4"/>
        <v>268.09999999999991</v>
      </c>
      <c r="G88" s="20">
        <f t="shared" si="5"/>
        <v>2848.1</v>
      </c>
      <c r="H88" s="20">
        <f t="shared" si="6"/>
        <v>2580</v>
      </c>
      <c r="I88" s="20">
        <f t="shared" si="7"/>
        <v>268.09999999999991</v>
      </c>
      <c r="J88" t="s">
        <v>73</v>
      </c>
    </row>
    <row r="89" spans="1:10" x14ac:dyDescent="0.25">
      <c r="A89" s="6">
        <v>45859</v>
      </c>
      <c r="B89" t="s">
        <v>14</v>
      </c>
      <c r="C89" s="10">
        <v>3</v>
      </c>
      <c r="D89" s="16">
        <v>2708.86</v>
      </c>
      <c r="E89" s="20">
        <v>2580</v>
      </c>
      <c r="F89" s="20">
        <f t="shared" si="4"/>
        <v>128.86000000000013</v>
      </c>
      <c r="G89" s="20">
        <f t="shared" si="5"/>
        <v>8126.58</v>
      </c>
      <c r="H89" s="20">
        <f t="shared" si="6"/>
        <v>7740</v>
      </c>
      <c r="I89" s="20">
        <f t="shared" si="7"/>
        <v>386.57999999999993</v>
      </c>
      <c r="J89" t="s">
        <v>73</v>
      </c>
    </row>
    <row r="90" spans="1:10" x14ac:dyDescent="0.25">
      <c r="A90" s="6">
        <v>45859</v>
      </c>
      <c r="B90" t="s">
        <v>14</v>
      </c>
      <c r="C90" s="10">
        <v>1</v>
      </c>
      <c r="D90" s="16">
        <v>2974.68</v>
      </c>
      <c r="E90" s="20">
        <v>2580</v>
      </c>
      <c r="F90" s="20">
        <f t="shared" si="4"/>
        <v>394.67999999999984</v>
      </c>
      <c r="G90" s="20">
        <f t="shared" si="5"/>
        <v>2974.68</v>
      </c>
      <c r="H90" s="20">
        <f t="shared" si="6"/>
        <v>2580</v>
      </c>
      <c r="I90" s="20">
        <f t="shared" si="7"/>
        <v>394.67999999999984</v>
      </c>
      <c r="J90" t="s">
        <v>73</v>
      </c>
    </row>
    <row r="91" spans="1:10" x14ac:dyDescent="0.25">
      <c r="A91" s="6">
        <v>45862</v>
      </c>
      <c r="B91" t="s">
        <v>14</v>
      </c>
      <c r="C91" s="10">
        <v>1</v>
      </c>
      <c r="D91" s="16">
        <v>2848.1010000000001</v>
      </c>
      <c r="E91" s="20">
        <v>2580</v>
      </c>
      <c r="F91" s="20">
        <f t="shared" si="4"/>
        <v>268.10100000000011</v>
      </c>
      <c r="G91" s="20">
        <f t="shared" si="5"/>
        <v>2848.1010000000001</v>
      </c>
      <c r="H91" s="20">
        <f t="shared" si="6"/>
        <v>2580</v>
      </c>
      <c r="I91" s="20">
        <f t="shared" si="7"/>
        <v>268.10100000000011</v>
      </c>
      <c r="J91" t="s">
        <v>73</v>
      </c>
    </row>
    <row r="92" spans="1:10" x14ac:dyDescent="0.25">
      <c r="A92" s="6">
        <v>45864</v>
      </c>
      <c r="B92" t="s">
        <v>14</v>
      </c>
      <c r="C92" s="10">
        <v>3</v>
      </c>
      <c r="D92" s="16">
        <v>3012.6579999999999</v>
      </c>
      <c r="E92" s="20">
        <v>2580</v>
      </c>
      <c r="F92" s="20">
        <f t="shared" si="4"/>
        <v>432.6579999999999</v>
      </c>
      <c r="G92" s="20">
        <f t="shared" si="5"/>
        <v>9037.9740000000002</v>
      </c>
      <c r="H92" s="20">
        <f t="shared" si="6"/>
        <v>7740</v>
      </c>
      <c r="I92" s="20">
        <f t="shared" si="7"/>
        <v>1297.9740000000002</v>
      </c>
      <c r="J92" t="s">
        <v>73</v>
      </c>
    </row>
    <row r="93" spans="1:10" x14ac:dyDescent="0.25">
      <c r="A93" s="6">
        <v>45864</v>
      </c>
      <c r="B93" t="s">
        <v>14</v>
      </c>
      <c r="C93" s="10">
        <v>1</v>
      </c>
      <c r="D93" s="16">
        <v>2455.6959999999999</v>
      </c>
      <c r="E93" s="20">
        <v>2350</v>
      </c>
      <c r="F93" s="20">
        <f t="shared" si="4"/>
        <v>105.69599999999991</v>
      </c>
      <c r="G93" s="20">
        <f t="shared" si="5"/>
        <v>2455.6959999999999</v>
      </c>
      <c r="H93" s="20">
        <f t="shared" si="6"/>
        <v>2350</v>
      </c>
      <c r="I93" s="20">
        <f t="shared" si="7"/>
        <v>105.69599999999991</v>
      </c>
      <c r="J93" t="s">
        <v>73</v>
      </c>
    </row>
    <row r="94" spans="1:10" x14ac:dyDescent="0.25">
      <c r="A94" s="6">
        <v>45866</v>
      </c>
      <c r="B94" s="38" t="s">
        <v>14</v>
      </c>
      <c r="C94" s="8">
        <v>1</v>
      </c>
      <c r="D94" s="16">
        <v>3012.6579999999999</v>
      </c>
      <c r="E94" s="20">
        <v>2580</v>
      </c>
      <c r="F94" s="20">
        <f t="shared" si="4"/>
        <v>432.6579999999999</v>
      </c>
      <c r="G94" s="20">
        <f t="shared" si="5"/>
        <v>3012.6579999999999</v>
      </c>
      <c r="H94" s="20">
        <f t="shared" si="6"/>
        <v>2580</v>
      </c>
      <c r="I94" s="20">
        <f t="shared" si="7"/>
        <v>432.6579999999999</v>
      </c>
      <c r="J94" t="s">
        <v>73</v>
      </c>
    </row>
    <row r="95" spans="1:10" x14ac:dyDescent="0.25">
      <c r="A95" s="6">
        <v>45867</v>
      </c>
      <c r="B95" s="38" t="s">
        <v>14</v>
      </c>
      <c r="C95" s="8">
        <v>1</v>
      </c>
      <c r="D95" s="16">
        <v>3012.6579999999999</v>
      </c>
      <c r="E95" s="20">
        <v>2580</v>
      </c>
      <c r="F95" s="20">
        <f t="shared" si="4"/>
        <v>432.6579999999999</v>
      </c>
      <c r="G95" s="20">
        <f t="shared" si="5"/>
        <v>3012.6579999999999</v>
      </c>
      <c r="H95" s="20">
        <f t="shared" si="6"/>
        <v>2580</v>
      </c>
      <c r="I95" s="20">
        <f t="shared" si="7"/>
        <v>432.6579999999999</v>
      </c>
      <c r="J95" t="s">
        <v>73</v>
      </c>
    </row>
    <row r="96" spans="1:10" x14ac:dyDescent="0.25">
      <c r="A96" s="6">
        <v>45868</v>
      </c>
      <c r="B96" s="38" t="s">
        <v>14</v>
      </c>
      <c r="C96" s="8">
        <v>1</v>
      </c>
      <c r="D96" s="16">
        <v>3006.32</v>
      </c>
      <c r="E96" s="20">
        <v>2580</v>
      </c>
      <c r="F96" s="20">
        <f t="shared" si="4"/>
        <v>426.32000000000016</v>
      </c>
      <c r="G96" s="20">
        <f t="shared" si="5"/>
        <v>3006.32</v>
      </c>
      <c r="H96" s="20">
        <f t="shared" si="6"/>
        <v>2580</v>
      </c>
      <c r="I96" s="20">
        <f t="shared" si="7"/>
        <v>426.32000000000016</v>
      </c>
      <c r="J96" t="s">
        <v>73</v>
      </c>
    </row>
    <row r="97" spans="1:10" x14ac:dyDescent="0.25">
      <c r="A97" s="6">
        <v>45869</v>
      </c>
      <c r="B97" t="s">
        <v>14</v>
      </c>
      <c r="C97" s="10">
        <v>1</v>
      </c>
      <c r="D97" s="16">
        <v>3006.32</v>
      </c>
      <c r="E97" s="20">
        <v>2580</v>
      </c>
      <c r="F97" s="20">
        <f t="shared" si="4"/>
        <v>426.32000000000016</v>
      </c>
      <c r="G97" s="20">
        <f t="shared" si="5"/>
        <v>3006.32</v>
      </c>
      <c r="H97" s="20">
        <f t="shared" si="6"/>
        <v>2580</v>
      </c>
      <c r="I97" s="20">
        <f t="shared" si="7"/>
        <v>426.32000000000016</v>
      </c>
      <c r="J97" t="s">
        <v>73</v>
      </c>
    </row>
    <row r="98" spans="1:10" x14ac:dyDescent="0.25">
      <c r="A98" s="6">
        <v>45848</v>
      </c>
      <c r="B98" t="s">
        <v>12</v>
      </c>
      <c r="C98" s="10">
        <v>2</v>
      </c>
      <c r="D98" s="16">
        <v>1155</v>
      </c>
      <c r="E98" s="20">
        <v>1145</v>
      </c>
      <c r="F98" s="20">
        <f t="shared" si="4"/>
        <v>10</v>
      </c>
      <c r="G98" s="20">
        <f t="shared" si="5"/>
        <v>2310</v>
      </c>
      <c r="H98" s="20">
        <f t="shared" si="6"/>
        <v>2290</v>
      </c>
      <c r="I98" s="20">
        <f t="shared" si="7"/>
        <v>20</v>
      </c>
      <c r="J98" t="s">
        <v>71</v>
      </c>
    </row>
    <row r="99" spans="1:10" x14ac:dyDescent="0.25">
      <c r="A99" s="6">
        <v>45849</v>
      </c>
      <c r="B99" t="s">
        <v>36</v>
      </c>
      <c r="C99" s="10">
        <v>4</v>
      </c>
      <c r="D99" s="16">
        <v>3950</v>
      </c>
      <c r="E99" s="20">
        <v>2462.89</v>
      </c>
      <c r="F99" s="20">
        <f t="shared" si="4"/>
        <v>1487.1100000000001</v>
      </c>
      <c r="G99" s="20">
        <f t="shared" si="5"/>
        <v>15800</v>
      </c>
      <c r="H99" s="20">
        <f t="shared" si="6"/>
        <v>9851.56</v>
      </c>
      <c r="I99" s="20">
        <f t="shared" si="7"/>
        <v>5948.4400000000005</v>
      </c>
      <c r="J99" t="s">
        <v>71</v>
      </c>
    </row>
    <row r="100" spans="1:10" x14ac:dyDescent="0.25">
      <c r="A100" s="6">
        <v>45849</v>
      </c>
      <c r="B100" t="s">
        <v>12</v>
      </c>
      <c r="C100" s="10">
        <v>10</v>
      </c>
      <c r="D100" s="16">
        <v>1133</v>
      </c>
      <c r="E100" s="20">
        <v>949.37</v>
      </c>
      <c r="F100" s="20">
        <f t="shared" si="4"/>
        <v>183.63</v>
      </c>
      <c r="G100" s="20">
        <f t="shared" si="5"/>
        <v>11330</v>
      </c>
      <c r="H100" s="20">
        <f t="shared" si="6"/>
        <v>9493.7000000000007</v>
      </c>
      <c r="I100" s="20">
        <f t="shared" si="7"/>
        <v>1836.2999999999993</v>
      </c>
      <c r="J100" t="s">
        <v>71</v>
      </c>
    </row>
    <row r="101" spans="1:10" x14ac:dyDescent="0.25">
      <c r="A101" s="6">
        <v>45849</v>
      </c>
      <c r="B101" t="s">
        <v>12</v>
      </c>
      <c r="C101" s="10">
        <v>2</v>
      </c>
      <c r="D101" s="16">
        <v>1133</v>
      </c>
      <c r="E101" s="20">
        <v>949.37</v>
      </c>
      <c r="F101" s="20">
        <f t="shared" si="4"/>
        <v>183.63</v>
      </c>
      <c r="G101" s="20">
        <f t="shared" si="5"/>
        <v>2266</v>
      </c>
      <c r="H101" s="20">
        <f t="shared" si="6"/>
        <v>1898.74</v>
      </c>
      <c r="I101" s="20">
        <f t="shared" si="7"/>
        <v>367.26</v>
      </c>
      <c r="J101" t="s">
        <v>71</v>
      </c>
    </row>
    <row r="102" spans="1:10" x14ac:dyDescent="0.25">
      <c r="A102" s="6">
        <v>45850</v>
      </c>
      <c r="B102" t="s">
        <v>37</v>
      </c>
      <c r="C102" s="10">
        <v>1</v>
      </c>
      <c r="D102" s="16">
        <v>4500</v>
      </c>
      <c r="E102" s="20">
        <v>2613.66</v>
      </c>
      <c r="F102" s="20">
        <f t="shared" si="4"/>
        <v>1886.3400000000001</v>
      </c>
      <c r="G102" s="20">
        <f t="shared" si="5"/>
        <v>4500</v>
      </c>
      <c r="H102" s="20">
        <f t="shared" si="6"/>
        <v>2613.66</v>
      </c>
      <c r="I102" s="20">
        <f t="shared" si="7"/>
        <v>1886.3400000000001</v>
      </c>
      <c r="J102" t="s">
        <v>71</v>
      </c>
    </row>
    <row r="103" spans="1:10" x14ac:dyDescent="0.25">
      <c r="A103" s="6">
        <v>45850</v>
      </c>
      <c r="B103" s="40" t="s">
        <v>37</v>
      </c>
      <c r="C103" s="10">
        <v>2</v>
      </c>
      <c r="D103" s="16">
        <v>4475</v>
      </c>
      <c r="E103" s="21">
        <v>2613.66</v>
      </c>
      <c r="F103" s="20">
        <f t="shared" si="4"/>
        <v>1861.3400000000001</v>
      </c>
      <c r="G103" s="20">
        <f t="shared" si="5"/>
        <v>8950</v>
      </c>
      <c r="H103" s="20">
        <f t="shared" si="6"/>
        <v>5227.32</v>
      </c>
      <c r="I103" s="20">
        <f t="shared" si="7"/>
        <v>3722.6800000000003</v>
      </c>
      <c r="J103" t="s">
        <v>71</v>
      </c>
    </row>
    <row r="104" spans="1:10" x14ac:dyDescent="0.25">
      <c r="A104" s="6">
        <v>45850</v>
      </c>
      <c r="B104" t="s">
        <v>11</v>
      </c>
      <c r="C104" s="10">
        <v>10</v>
      </c>
      <c r="D104" s="16">
        <v>2460</v>
      </c>
      <c r="E104" s="20">
        <v>1426.8</v>
      </c>
      <c r="F104" s="20">
        <f t="shared" si="4"/>
        <v>1033.2</v>
      </c>
      <c r="G104" s="20">
        <f t="shared" si="5"/>
        <v>24600</v>
      </c>
      <c r="H104" s="20">
        <f t="shared" si="6"/>
        <v>14268</v>
      </c>
      <c r="I104" s="20">
        <f t="shared" si="7"/>
        <v>10332</v>
      </c>
      <c r="J104" t="s">
        <v>71</v>
      </c>
    </row>
    <row r="105" spans="1:10" x14ac:dyDescent="0.25">
      <c r="A105" s="6">
        <v>45850</v>
      </c>
      <c r="B105" t="s">
        <v>12</v>
      </c>
      <c r="C105" s="10">
        <v>12</v>
      </c>
      <c r="D105" s="16">
        <v>1125</v>
      </c>
      <c r="E105" s="20">
        <v>949.37</v>
      </c>
      <c r="F105" s="20">
        <f t="shared" si="4"/>
        <v>175.63</v>
      </c>
      <c r="G105" s="20">
        <f t="shared" si="5"/>
        <v>13500</v>
      </c>
      <c r="H105" s="20">
        <f t="shared" si="6"/>
        <v>11392.44</v>
      </c>
      <c r="I105" s="20">
        <f t="shared" si="7"/>
        <v>2107.5599999999995</v>
      </c>
      <c r="J105" t="s">
        <v>71</v>
      </c>
    </row>
    <row r="106" spans="1:10" x14ac:dyDescent="0.25">
      <c r="A106" s="6">
        <v>45850</v>
      </c>
      <c r="B106" t="s">
        <v>36</v>
      </c>
      <c r="C106" s="10">
        <v>5</v>
      </c>
      <c r="D106" s="16">
        <v>3930</v>
      </c>
      <c r="E106" s="20">
        <v>2462.89</v>
      </c>
      <c r="F106" s="20">
        <f t="shared" si="4"/>
        <v>1467.1100000000001</v>
      </c>
      <c r="G106" s="20">
        <f t="shared" si="5"/>
        <v>19650</v>
      </c>
      <c r="H106" s="20">
        <f t="shared" si="6"/>
        <v>12314.449999999999</v>
      </c>
      <c r="I106" s="20">
        <f t="shared" si="7"/>
        <v>7335.5500000000011</v>
      </c>
      <c r="J106" t="s">
        <v>71</v>
      </c>
    </row>
    <row r="107" spans="1:10" x14ac:dyDescent="0.25">
      <c r="A107" s="6">
        <v>45850</v>
      </c>
      <c r="B107" s="40" t="s">
        <v>12</v>
      </c>
      <c r="C107" s="10">
        <v>8</v>
      </c>
      <c r="D107" s="16">
        <v>1125</v>
      </c>
      <c r="E107" s="21">
        <v>949.37</v>
      </c>
      <c r="F107" s="20">
        <f t="shared" si="4"/>
        <v>175.63</v>
      </c>
      <c r="G107" s="20">
        <f t="shared" si="5"/>
        <v>9000</v>
      </c>
      <c r="H107" s="20">
        <f t="shared" si="6"/>
        <v>7594.96</v>
      </c>
      <c r="I107" s="20">
        <f t="shared" si="7"/>
        <v>1405.04</v>
      </c>
      <c r="J107" t="s">
        <v>71</v>
      </c>
    </row>
    <row r="108" spans="1:10" x14ac:dyDescent="0.25">
      <c r="A108" s="6">
        <v>45850</v>
      </c>
      <c r="B108" t="s">
        <v>12</v>
      </c>
      <c r="C108" s="10">
        <v>30</v>
      </c>
      <c r="D108" s="16">
        <v>1130</v>
      </c>
      <c r="E108" s="20">
        <v>949.37</v>
      </c>
      <c r="F108" s="20">
        <f t="shared" si="4"/>
        <v>180.63</v>
      </c>
      <c r="G108" s="20">
        <f t="shared" si="5"/>
        <v>33900</v>
      </c>
      <c r="H108" s="20">
        <f t="shared" si="6"/>
        <v>28481.1</v>
      </c>
      <c r="I108" s="20">
        <f t="shared" si="7"/>
        <v>5418.9000000000015</v>
      </c>
      <c r="J108" t="s">
        <v>71</v>
      </c>
    </row>
    <row r="109" spans="1:10" x14ac:dyDescent="0.25">
      <c r="A109" s="6">
        <v>45850</v>
      </c>
      <c r="B109" t="s">
        <v>12</v>
      </c>
      <c r="C109" s="10">
        <v>20</v>
      </c>
      <c r="D109" s="16">
        <v>1130</v>
      </c>
      <c r="E109" s="20">
        <v>949.37</v>
      </c>
      <c r="F109" s="20">
        <f t="shared" si="4"/>
        <v>180.63</v>
      </c>
      <c r="G109" s="20">
        <f t="shared" si="5"/>
        <v>22600</v>
      </c>
      <c r="H109" s="20">
        <f t="shared" si="6"/>
        <v>18987.400000000001</v>
      </c>
      <c r="I109" s="20">
        <f t="shared" si="7"/>
        <v>3612.5999999999985</v>
      </c>
      <c r="J109" t="s">
        <v>71</v>
      </c>
    </row>
    <row r="110" spans="1:10" x14ac:dyDescent="0.25">
      <c r="A110" s="6">
        <v>45850</v>
      </c>
      <c r="B110" t="s">
        <v>12</v>
      </c>
      <c r="C110" s="10">
        <v>5</v>
      </c>
      <c r="D110" s="16">
        <v>1130</v>
      </c>
      <c r="E110" s="20">
        <v>949.37</v>
      </c>
      <c r="F110" s="20">
        <f t="shared" si="4"/>
        <v>180.63</v>
      </c>
      <c r="G110" s="20">
        <f t="shared" si="5"/>
        <v>5650</v>
      </c>
      <c r="H110" s="20">
        <f t="shared" si="6"/>
        <v>4746.8500000000004</v>
      </c>
      <c r="I110" s="20">
        <f t="shared" si="7"/>
        <v>903.14999999999964</v>
      </c>
      <c r="J110" t="s">
        <v>71</v>
      </c>
    </row>
    <row r="111" spans="1:10" x14ac:dyDescent="0.25">
      <c r="A111" s="6">
        <v>45850</v>
      </c>
      <c r="B111" t="s">
        <v>12</v>
      </c>
      <c r="C111" s="10">
        <v>30</v>
      </c>
      <c r="D111" s="16">
        <v>1140</v>
      </c>
      <c r="E111" s="20">
        <v>949.37</v>
      </c>
      <c r="F111" s="20">
        <f t="shared" si="4"/>
        <v>190.63</v>
      </c>
      <c r="G111" s="20">
        <f t="shared" si="5"/>
        <v>34200</v>
      </c>
      <c r="H111" s="20">
        <f t="shared" si="6"/>
        <v>28481.1</v>
      </c>
      <c r="I111" s="20">
        <f t="shared" si="7"/>
        <v>5718.9000000000015</v>
      </c>
      <c r="J111" t="s">
        <v>71</v>
      </c>
    </row>
    <row r="112" spans="1:10" x14ac:dyDescent="0.25">
      <c r="A112" s="6">
        <v>45852</v>
      </c>
      <c r="B112" t="s">
        <v>12</v>
      </c>
      <c r="C112" s="10">
        <v>4</v>
      </c>
      <c r="D112" s="16">
        <v>1140</v>
      </c>
      <c r="E112" s="20">
        <v>949.37</v>
      </c>
      <c r="F112" s="20">
        <f t="shared" si="4"/>
        <v>190.63</v>
      </c>
      <c r="G112" s="20">
        <f t="shared" si="5"/>
        <v>4560</v>
      </c>
      <c r="H112" s="20">
        <f t="shared" si="6"/>
        <v>3797.48</v>
      </c>
      <c r="I112" s="20">
        <f t="shared" si="7"/>
        <v>762.52</v>
      </c>
      <c r="J112" t="s">
        <v>71</v>
      </c>
    </row>
    <row r="113" spans="1:10" x14ac:dyDescent="0.25">
      <c r="A113" s="6">
        <v>45852</v>
      </c>
      <c r="B113" t="s">
        <v>12</v>
      </c>
      <c r="C113" s="10">
        <v>5</v>
      </c>
      <c r="D113" s="16">
        <v>1130</v>
      </c>
      <c r="E113" s="20">
        <v>949.37</v>
      </c>
      <c r="F113" s="20">
        <f t="shared" si="4"/>
        <v>180.63</v>
      </c>
      <c r="G113" s="20">
        <f t="shared" si="5"/>
        <v>5650</v>
      </c>
      <c r="H113" s="20">
        <f t="shared" si="6"/>
        <v>4746.8500000000004</v>
      </c>
      <c r="I113" s="20">
        <f t="shared" si="7"/>
        <v>903.14999999999964</v>
      </c>
      <c r="J113" t="s">
        <v>71</v>
      </c>
    </row>
    <row r="114" spans="1:10" x14ac:dyDescent="0.25">
      <c r="A114" s="6">
        <v>45853</v>
      </c>
      <c r="B114" t="s">
        <v>12</v>
      </c>
      <c r="C114" s="10">
        <v>20</v>
      </c>
      <c r="D114" s="16">
        <v>1130</v>
      </c>
      <c r="E114" s="20">
        <v>949.37</v>
      </c>
      <c r="F114" s="20">
        <f t="shared" si="4"/>
        <v>180.63</v>
      </c>
      <c r="G114" s="20">
        <f t="shared" si="5"/>
        <v>22600</v>
      </c>
      <c r="H114" s="20">
        <f t="shared" si="6"/>
        <v>18987.400000000001</v>
      </c>
      <c r="I114" s="20">
        <f t="shared" si="7"/>
        <v>3612.5999999999985</v>
      </c>
      <c r="J114" t="s">
        <v>71</v>
      </c>
    </row>
    <row r="115" spans="1:10" x14ac:dyDescent="0.25">
      <c r="A115" s="6">
        <v>45853</v>
      </c>
      <c r="B115" t="s">
        <v>12</v>
      </c>
      <c r="C115" s="10">
        <v>5</v>
      </c>
      <c r="D115" s="16">
        <v>1130</v>
      </c>
      <c r="E115" s="20">
        <v>949.37</v>
      </c>
      <c r="F115" s="20">
        <f t="shared" si="4"/>
        <v>180.63</v>
      </c>
      <c r="G115" s="20">
        <f t="shared" si="5"/>
        <v>5650</v>
      </c>
      <c r="H115" s="20">
        <f t="shared" si="6"/>
        <v>4746.8500000000004</v>
      </c>
      <c r="I115" s="20">
        <f t="shared" si="7"/>
        <v>903.14999999999964</v>
      </c>
      <c r="J115" t="s">
        <v>71</v>
      </c>
    </row>
    <row r="116" spans="1:10" x14ac:dyDescent="0.25">
      <c r="A116" s="6">
        <v>45854</v>
      </c>
      <c r="B116" s="40" t="s">
        <v>11</v>
      </c>
      <c r="C116" s="10">
        <v>7</v>
      </c>
      <c r="D116" s="16">
        <v>2465</v>
      </c>
      <c r="E116" s="21">
        <v>1426.8</v>
      </c>
      <c r="F116" s="20">
        <f t="shared" si="4"/>
        <v>1038.2</v>
      </c>
      <c r="G116" s="20">
        <f t="shared" si="5"/>
        <v>17255</v>
      </c>
      <c r="H116" s="20">
        <f t="shared" si="6"/>
        <v>9987.6</v>
      </c>
      <c r="I116" s="20">
        <f t="shared" si="7"/>
        <v>7267.4</v>
      </c>
      <c r="J116" t="s">
        <v>71</v>
      </c>
    </row>
    <row r="117" spans="1:10" x14ac:dyDescent="0.25">
      <c r="A117" s="6">
        <v>45855</v>
      </c>
      <c r="B117" t="s">
        <v>43</v>
      </c>
      <c r="C117" s="10">
        <v>32</v>
      </c>
      <c r="D117" s="16">
        <v>510</v>
      </c>
      <c r="E117" s="20">
        <v>440</v>
      </c>
      <c r="F117" s="20">
        <f t="shared" si="4"/>
        <v>70</v>
      </c>
      <c r="G117" s="20">
        <f t="shared" si="5"/>
        <v>16320</v>
      </c>
      <c r="H117" s="20">
        <f t="shared" si="6"/>
        <v>14080</v>
      </c>
      <c r="I117" s="20">
        <f t="shared" si="7"/>
        <v>2240</v>
      </c>
      <c r="J117" t="s">
        <v>71</v>
      </c>
    </row>
    <row r="118" spans="1:10" x14ac:dyDescent="0.25">
      <c r="A118" s="6">
        <v>45855</v>
      </c>
      <c r="B118" t="s">
        <v>36</v>
      </c>
      <c r="C118" s="10">
        <v>4</v>
      </c>
      <c r="D118" s="16">
        <v>3975</v>
      </c>
      <c r="E118" s="20">
        <v>2462.89</v>
      </c>
      <c r="F118" s="20">
        <f t="shared" si="4"/>
        <v>1512.1100000000001</v>
      </c>
      <c r="G118" s="20">
        <f t="shared" si="5"/>
        <v>15900</v>
      </c>
      <c r="H118" s="20">
        <f t="shared" si="6"/>
        <v>9851.56</v>
      </c>
      <c r="I118" s="20">
        <f t="shared" si="7"/>
        <v>6048.4400000000005</v>
      </c>
      <c r="J118" t="s">
        <v>71</v>
      </c>
    </row>
    <row r="119" spans="1:10" x14ac:dyDescent="0.25">
      <c r="A119" s="6">
        <v>45855</v>
      </c>
      <c r="B119" t="s">
        <v>12</v>
      </c>
      <c r="C119" s="10">
        <v>10</v>
      </c>
      <c r="D119" s="16">
        <v>1135</v>
      </c>
      <c r="E119" s="20">
        <v>949.37</v>
      </c>
      <c r="F119" s="20">
        <f t="shared" si="4"/>
        <v>185.63</v>
      </c>
      <c r="G119" s="20">
        <f t="shared" si="5"/>
        <v>11350</v>
      </c>
      <c r="H119" s="20">
        <f t="shared" si="6"/>
        <v>9493.7000000000007</v>
      </c>
      <c r="I119" s="20">
        <f t="shared" si="7"/>
        <v>1856.2999999999993</v>
      </c>
      <c r="J119" t="s">
        <v>71</v>
      </c>
    </row>
    <row r="120" spans="1:10" x14ac:dyDescent="0.25">
      <c r="A120" s="6">
        <v>45856</v>
      </c>
      <c r="B120" t="s">
        <v>12</v>
      </c>
      <c r="C120" s="10">
        <v>10</v>
      </c>
      <c r="D120" s="16">
        <v>1130</v>
      </c>
      <c r="E120" s="20">
        <v>949.37</v>
      </c>
      <c r="F120" s="20">
        <f t="shared" si="4"/>
        <v>180.63</v>
      </c>
      <c r="G120" s="20">
        <f t="shared" si="5"/>
        <v>11300</v>
      </c>
      <c r="H120" s="20">
        <f t="shared" si="6"/>
        <v>9493.7000000000007</v>
      </c>
      <c r="I120" s="20">
        <f t="shared" si="7"/>
        <v>1806.2999999999993</v>
      </c>
      <c r="J120" t="s">
        <v>71</v>
      </c>
    </row>
    <row r="121" spans="1:10" x14ac:dyDescent="0.25">
      <c r="A121" s="6">
        <v>45858</v>
      </c>
      <c r="B121" t="s">
        <v>12</v>
      </c>
      <c r="C121" s="10">
        <v>78</v>
      </c>
      <c r="D121" s="16">
        <v>1120</v>
      </c>
      <c r="E121" s="20">
        <v>949.37</v>
      </c>
      <c r="F121" s="20">
        <f t="shared" si="4"/>
        <v>170.63</v>
      </c>
      <c r="G121" s="20">
        <f t="shared" si="5"/>
        <v>87360</v>
      </c>
      <c r="H121" s="20">
        <f t="shared" si="6"/>
        <v>74050.86</v>
      </c>
      <c r="I121" s="20">
        <f t="shared" si="7"/>
        <v>13309.14</v>
      </c>
      <c r="J121" t="s">
        <v>71</v>
      </c>
    </row>
    <row r="122" spans="1:10" x14ac:dyDescent="0.25">
      <c r="A122" s="6">
        <v>45867</v>
      </c>
      <c r="B122" t="s">
        <v>9</v>
      </c>
      <c r="C122" s="10">
        <v>200</v>
      </c>
      <c r="D122" s="16">
        <v>1680</v>
      </c>
      <c r="E122" s="20">
        <v>1411.75</v>
      </c>
      <c r="F122" s="20">
        <f t="shared" si="4"/>
        <v>268.25</v>
      </c>
      <c r="G122" s="20">
        <f t="shared" si="5"/>
        <v>336000</v>
      </c>
      <c r="H122" s="20">
        <f t="shared" si="6"/>
        <v>282350</v>
      </c>
      <c r="I122" s="20">
        <f t="shared" si="7"/>
        <v>53650</v>
      </c>
      <c r="J122" t="s">
        <v>71</v>
      </c>
    </row>
    <row r="123" spans="1:10" x14ac:dyDescent="0.25">
      <c r="A123" s="6">
        <v>45867</v>
      </c>
      <c r="B123" t="s">
        <v>59</v>
      </c>
      <c r="C123" s="10">
        <v>50</v>
      </c>
      <c r="D123" s="16">
        <v>197</v>
      </c>
      <c r="E123" s="20">
        <v>164.84</v>
      </c>
      <c r="F123" s="20">
        <f t="shared" si="4"/>
        <v>32.159999999999997</v>
      </c>
      <c r="G123" s="20">
        <f t="shared" si="5"/>
        <v>9850</v>
      </c>
      <c r="H123" s="20">
        <f t="shared" si="6"/>
        <v>8242</v>
      </c>
      <c r="I123" s="20">
        <f t="shared" si="7"/>
        <v>1608</v>
      </c>
      <c r="J123" t="s">
        <v>71</v>
      </c>
    </row>
    <row r="124" spans="1:10" x14ac:dyDescent="0.25">
      <c r="A124" s="6">
        <v>45867</v>
      </c>
      <c r="B124" t="s">
        <v>59</v>
      </c>
      <c r="C124" s="10">
        <v>30</v>
      </c>
      <c r="D124" s="16">
        <v>195</v>
      </c>
      <c r="E124" s="20">
        <v>164.84</v>
      </c>
      <c r="F124" s="20">
        <f t="shared" si="4"/>
        <v>30.159999999999997</v>
      </c>
      <c r="G124" s="20">
        <f t="shared" si="5"/>
        <v>5850</v>
      </c>
      <c r="H124" s="20">
        <f t="shared" si="6"/>
        <v>4945.2</v>
      </c>
      <c r="I124" s="20">
        <f t="shared" si="7"/>
        <v>904.80000000000018</v>
      </c>
      <c r="J124" t="s">
        <v>71</v>
      </c>
    </row>
    <row r="125" spans="1:10" x14ac:dyDescent="0.25">
      <c r="A125" s="6">
        <v>45869</v>
      </c>
      <c r="B125" t="s">
        <v>12</v>
      </c>
      <c r="C125" s="10">
        <v>1</v>
      </c>
      <c r="D125" s="16">
        <v>1100</v>
      </c>
      <c r="E125" s="20">
        <v>949.37</v>
      </c>
      <c r="F125" s="20">
        <f t="shared" si="4"/>
        <v>150.63</v>
      </c>
      <c r="G125" s="20">
        <f t="shared" si="5"/>
        <v>1100</v>
      </c>
      <c r="H125" s="20">
        <f t="shared" si="6"/>
        <v>949.37</v>
      </c>
      <c r="I125" s="20">
        <f t="shared" si="7"/>
        <v>150.63</v>
      </c>
      <c r="J125" t="s">
        <v>71</v>
      </c>
    </row>
    <row r="126" spans="1:10" x14ac:dyDescent="0.25">
      <c r="A126" s="34">
        <v>45843</v>
      </c>
      <c r="B126" t="s">
        <v>17</v>
      </c>
      <c r="C126" s="10">
        <v>7</v>
      </c>
      <c r="D126" s="16">
        <v>2532.3000000000002</v>
      </c>
      <c r="E126" s="20">
        <v>2410</v>
      </c>
      <c r="F126" s="20">
        <f t="shared" si="4"/>
        <v>122.30000000000018</v>
      </c>
      <c r="G126" s="20">
        <f t="shared" si="5"/>
        <v>17726.100000000002</v>
      </c>
      <c r="H126" s="20">
        <f t="shared" si="6"/>
        <v>16870</v>
      </c>
      <c r="I126" s="20">
        <f t="shared" si="7"/>
        <v>856.10000000000218</v>
      </c>
      <c r="J126" t="s">
        <v>69</v>
      </c>
    </row>
    <row r="127" spans="1:10" x14ac:dyDescent="0.25">
      <c r="A127" s="34">
        <v>45843</v>
      </c>
      <c r="B127" t="s">
        <v>18</v>
      </c>
      <c r="C127" s="10">
        <v>3</v>
      </c>
      <c r="D127" s="16">
        <v>3798.45</v>
      </c>
      <c r="E127" s="20">
        <v>3350</v>
      </c>
      <c r="F127" s="20">
        <f t="shared" si="4"/>
        <v>448.44999999999982</v>
      </c>
      <c r="G127" s="20">
        <f t="shared" si="5"/>
        <v>11395.349999999999</v>
      </c>
      <c r="H127" s="20">
        <f t="shared" si="6"/>
        <v>10050</v>
      </c>
      <c r="I127" s="20">
        <f t="shared" si="7"/>
        <v>1345.3499999999985</v>
      </c>
      <c r="J127" t="s">
        <v>69</v>
      </c>
    </row>
    <row r="128" spans="1:10" x14ac:dyDescent="0.25">
      <c r="A128" s="34">
        <v>45843</v>
      </c>
      <c r="B128" t="s">
        <v>19</v>
      </c>
      <c r="C128" s="10">
        <v>6</v>
      </c>
      <c r="D128" s="16">
        <v>3890.2</v>
      </c>
      <c r="E128" s="20">
        <v>3600</v>
      </c>
      <c r="F128" s="20">
        <f t="shared" si="4"/>
        <v>290.19999999999982</v>
      </c>
      <c r="G128" s="20">
        <f t="shared" si="5"/>
        <v>23341.199999999997</v>
      </c>
      <c r="H128" s="20">
        <f t="shared" si="6"/>
        <v>21600</v>
      </c>
      <c r="I128" s="20">
        <f t="shared" si="7"/>
        <v>1741.1999999999971</v>
      </c>
      <c r="J128" t="s">
        <v>69</v>
      </c>
    </row>
    <row r="129" spans="1:10" x14ac:dyDescent="0.25">
      <c r="A129" s="34">
        <v>45843</v>
      </c>
      <c r="B129" t="s">
        <v>20</v>
      </c>
      <c r="C129" s="10">
        <v>1</v>
      </c>
      <c r="D129" s="16">
        <v>1468</v>
      </c>
      <c r="E129" s="20">
        <v>1400</v>
      </c>
      <c r="F129" s="20">
        <f t="shared" si="4"/>
        <v>68</v>
      </c>
      <c r="G129" s="20">
        <f t="shared" si="5"/>
        <v>1468</v>
      </c>
      <c r="H129" s="20">
        <f t="shared" si="6"/>
        <v>1400</v>
      </c>
      <c r="I129" s="20">
        <f t="shared" si="7"/>
        <v>68</v>
      </c>
      <c r="J129" t="s">
        <v>69</v>
      </c>
    </row>
    <row r="130" spans="1:10" x14ac:dyDescent="0.25">
      <c r="A130" s="36">
        <v>45843</v>
      </c>
      <c r="B130" s="23" t="s">
        <v>21</v>
      </c>
      <c r="C130" s="24">
        <v>1</v>
      </c>
      <c r="D130" s="25">
        <v>1504.7</v>
      </c>
      <c r="E130" s="26">
        <v>1550</v>
      </c>
      <c r="F130" s="26">
        <f t="shared" ref="F130:F193" si="8">D130-E130</f>
        <v>-45.299999999999955</v>
      </c>
      <c r="G130" s="26">
        <f t="shared" ref="G130:G193" si="9">D130*C130</f>
        <v>1504.7</v>
      </c>
      <c r="H130" s="26">
        <f t="shared" ref="H130:H193" si="10">E130*C130</f>
        <v>1550</v>
      </c>
      <c r="I130" s="26">
        <f t="shared" ref="I130:I193" si="11">G130-H130</f>
        <v>-45.299999999999955</v>
      </c>
      <c r="J130" t="s">
        <v>69</v>
      </c>
    </row>
    <row r="131" spans="1:10" x14ac:dyDescent="0.25">
      <c r="A131" s="34">
        <v>45843</v>
      </c>
      <c r="B131" t="s">
        <v>15</v>
      </c>
      <c r="C131" s="10">
        <v>2</v>
      </c>
      <c r="D131" s="16">
        <v>2018.5</v>
      </c>
      <c r="E131" s="20">
        <v>1850</v>
      </c>
      <c r="F131" s="20">
        <f t="shared" si="8"/>
        <v>168.5</v>
      </c>
      <c r="G131" s="20">
        <f t="shared" si="9"/>
        <v>4037</v>
      </c>
      <c r="H131" s="20">
        <f t="shared" si="10"/>
        <v>3700</v>
      </c>
      <c r="I131" s="20">
        <f t="shared" si="11"/>
        <v>337</v>
      </c>
      <c r="J131" t="s">
        <v>69</v>
      </c>
    </row>
    <row r="132" spans="1:10" x14ac:dyDescent="0.25">
      <c r="A132" s="34">
        <v>45843</v>
      </c>
      <c r="B132" t="s">
        <v>15</v>
      </c>
      <c r="C132" s="10">
        <v>1</v>
      </c>
      <c r="D132" s="16">
        <v>2165.3000000000002</v>
      </c>
      <c r="E132" s="20">
        <v>1900</v>
      </c>
      <c r="F132" s="20">
        <f t="shared" si="8"/>
        <v>265.30000000000018</v>
      </c>
      <c r="G132" s="20">
        <f t="shared" si="9"/>
        <v>2165.3000000000002</v>
      </c>
      <c r="H132" s="20">
        <f t="shared" si="10"/>
        <v>1900</v>
      </c>
      <c r="I132" s="20">
        <f t="shared" si="11"/>
        <v>265.30000000000018</v>
      </c>
      <c r="J132" t="s">
        <v>69</v>
      </c>
    </row>
    <row r="133" spans="1:10" x14ac:dyDescent="0.25">
      <c r="A133" s="34">
        <v>45843</v>
      </c>
      <c r="B133" t="s">
        <v>22</v>
      </c>
      <c r="C133" s="10">
        <v>1</v>
      </c>
      <c r="D133" s="16">
        <v>2422.1999999999998</v>
      </c>
      <c r="E133" s="20">
        <v>1980</v>
      </c>
      <c r="F133" s="20">
        <f t="shared" si="8"/>
        <v>442.19999999999982</v>
      </c>
      <c r="G133" s="20">
        <f t="shared" si="9"/>
        <v>2422.1999999999998</v>
      </c>
      <c r="H133" s="20">
        <f t="shared" si="10"/>
        <v>1980</v>
      </c>
      <c r="I133" s="20">
        <f t="shared" si="11"/>
        <v>442.19999999999982</v>
      </c>
      <c r="J133" t="s">
        <v>69</v>
      </c>
    </row>
    <row r="134" spans="1:10" x14ac:dyDescent="0.25">
      <c r="A134" s="34">
        <v>45843</v>
      </c>
      <c r="B134" t="s">
        <v>14</v>
      </c>
      <c r="C134" s="10">
        <v>6</v>
      </c>
      <c r="D134" s="16">
        <v>2422.1999999999998</v>
      </c>
      <c r="E134" s="20">
        <v>2350</v>
      </c>
      <c r="F134" s="20">
        <f t="shared" si="8"/>
        <v>72.199999999999818</v>
      </c>
      <c r="G134" s="20">
        <f t="shared" si="9"/>
        <v>14533.199999999999</v>
      </c>
      <c r="H134" s="20">
        <f t="shared" si="10"/>
        <v>14100</v>
      </c>
      <c r="I134" s="20">
        <f t="shared" si="11"/>
        <v>433.19999999999891</v>
      </c>
      <c r="J134" t="s">
        <v>69</v>
      </c>
    </row>
    <row r="135" spans="1:10" x14ac:dyDescent="0.25">
      <c r="A135" s="34">
        <v>45843</v>
      </c>
      <c r="B135" t="s">
        <v>23</v>
      </c>
      <c r="C135" s="10">
        <v>1</v>
      </c>
      <c r="D135" s="16">
        <v>3082.8</v>
      </c>
      <c r="E135" s="20">
        <v>2780</v>
      </c>
      <c r="F135" s="20">
        <f t="shared" si="8"/>
        <v>302.80000000000018</v>
      </c>
      <c r="G135" s="20">
        <f t="shared" si="9"/>
        <v>3082.8</v>
      </c>
      <c r="H135" s="20">
        <f t="shared" si="10"/>
        <v>2780</v>
      </c>
      <c r="I135" s="20">
        <f t="shared" si="11"/>
        <v>302.80000000000018</v>
      </c>
      <c r="J135" t="s">
        <v>69</v>
      </c>
    </row>
    <row r="136" spans="1:10" x14ac:dyDescent="0.25">
      <c r="A136" s="34">
        <v>45843</v>
      </c>
      <c r="B136" s="40" t="s">
        <v>14</v>
      </c>
      <c r="C136" s="10">
        <v>4</v>
      </c>
      <c r="D136" s="16">
        <v>2605.6999999999998</v>
      </c>
      <c r="E136" s="21">
        <v>2550</v>
      </c>
      <c r="F136" s="20">
        <f t="shared" si="8"/>
        <v>55.699999999999818</v>
      </c>
      <c r="G136" s="20">
        <f t="shared" si="9"/>
        <v>10422.799999999999</v>
      </c>
      <c r="H136" s="20">
        <f t="shared" si="10"/>
        <v>10200</v>
      </c>
      <c r="I136" s="20">
        <f t="shared" si="11"/>
        <v>222.79999999999927</v>
      </c>
      <c r="J136" t="s">
        <v>69</v>
      </c>
    </row>
    <row r="137" spans="1:10" x14ac:dyDescent="0.25">
      <c r="A137" s="34">
        <v>45843</v>
      </c>
      <c r="B137" t="s">
        <v>24</v>
      </c>
      <c r="C137" s="10">
        <v>1</v>
      </c>
      <c r="D137" s="16">
        <v>2825.9</v>
      </c>
      <c r="E137" s="20">
        <v>2600</v>
      </c>
      <c r="F137" s="20">
        <f t="shared" si="8"/>
        <v>225.90000000000009</v>
      </c>
      <c r="G137" s="20">
        <f t="shared" si="9"/>
        <v>2825.9</v>
      </c>
      <c r="H137" s="20">
        <f t="shared" si="10"/>
        <v>2600</v>
      </c>
      <c r="I137" s="20">
        <f t="shared" si="11"/>
        <v>225.90000000000009</v>
      </c>
      <c r="J137" t="s">
        <v>69</v>
      </c>
    </row>
    <row r="138" spans="1:10" x14ac:dyDescent="0.25">
      <c r="A138" s="34">
        <v>45843</v>
      </c>
      <c r="B138" t="s">
        <v>14</v>
      </c>
      <c r="C138" s="10">
        <v>2</v>
      </c>
      <c r="D138" s="16">
        <v>2550.65</v>
      </c>
      <c r="E138" s="20">
        <v>2400</v>
      </c>
      <c r="F138" s="20">
        <f t="shared" si="8"/>
        <v>150.65000000000009</v>
      </c>
      <c r="G138" s="20">
        <f t="shared" si="9"/>
        <v>5101.3</v>
      </c>
      <c r="H138" s="20">
        <f t="shared" si="10"/>
        <v>4800</v>
      </c>
      <c r="I138" s="20">
        <f t="shared" si="11"/>
        <v>301.30000000000018</v>
      </c>
      <c r="J138" t="s">
        <v>69</v>
      </c>
    </row>
    <row r="139" spans="1:10" x14ac:dyDescent="0.25">
      <c r="A139" s="34">
        <v>45843</v>
      </c>
      <c r="B139" t="s">
        <v>24</v>
      </c>
      <c r="C139" s="10">
        <v>1</v>
      </c>
      <c r="D139" s="16">
        <v>2825.9</v>
      </c>
      <c r="E139" s="20">
        <v>2600</v>
      </c>
      <c r="F139" s="20">
        <f t="shared" si="8"/>
        <v>225.90000000000009</v>
      </c>
      <c r="G139" s="20">
        <f t="shared" si="9"/>
        <v>2825.9</v>
      </c>
      <c r="H139" s="20">
        <f t="shared" si="10"/>
        <v>2600</v>
      </c>
      <c r="I139" s="20">
        <f t="shared" si="11"/>
        <v>225.90000000000009</v>
      </c>
      <c r="J139" t="s">
        <v>69</v>
      </c>
    </row>
    <row r="140" spans="1:10" x14ac:dyDescent="0.25">
      <c r="A140" s="34">
        <v>45843</v>
      </c>
      <c r="B140" t="s">
        <v>15</v>
      </c>
      <c r="C140" s="10">
        <v>4</v>
      </c>
      <c r="D140" s="16">
        <v>2055.1999999999998</v>
      </c>
      <c r="E140" s="20">
        <v>1850</v>
      </c>
      <c r="F140" s="20">
        <f t="shared" si="8"/>
        <v>205.19999999999982</v>
      </c>
      <c r="G140" s="20">
        <f t="shared" si="9"/>
        <v>8220.7999999999993</v>
      </c>
      <c r="H140" s="20">
        <f t="shared" si="10"/>
        <v>7400</v>
      </c>
      <c r="I140" s="20">
        <f t="shared" si="11"/>
        <v>820.79999999999927</v>
      </c>
      <c r="J140" t="s">
        <v>69</v>
      </c>
    </row>
    <row r="141" spans="1:10" x14ac:dyDescent="0.25">
      <c r="A141" s="34">
        <v>45843</v>
      </c>
      <c r="B141" t="s">
        <v>14</v>
      </c>
      <c r="C141" s="10">
        <v>3</v>
      </c>
      <c r="D141" s="16">
        <v>2422.1999999999998</v>
      </c>
      <c r="E141" s="20">
        <v>2350</v>
      </c>
      <c r="F141" s="20">
        <f t="shared" si="8"/>
        <v>72.199999999999818</v>
      </c>
      <c r="G141" s="20">
        <f t="shared" si="9"/>
        <v>7266.5999999999995</v>
      </c>
      <c r="H141" s="20">
        <f t="shared" si="10"/>
        <v>7050</v>
      </c>
      <c r="I141" s="20">
        <f t="shared" si="11"/>
        <v>216.59999999999945</v>
      </c>
      <c r="J141" t="s">
        <v>69</v>
      </c>
    </row>
    <row r="142" spans="1:10" x14ac:dyDescent="0.25">
      <c r="A142" s="34">
        <v>45843</v>
      </c>
      <c r="B142" t="s">
        <v>23</v>
      </c>
      <c r="C142" s="10">
        <v>2</v>
      </c>
      <c r="D142" s="16">
        <v>3082.8</v>
      </c>
      <c r="E142" s="20">
        <v>2750</v>
      </c>
      <c r="F142" s="20">
        <f t="shared" si="8"/>
        <v>332.80000000000018</v>
      </c>
      <c r="G142" s="20">
        <f t="shared" si="9"/>
        <v>6165.6</v>
      </c>
      <c r="H142" s="20">
        <f t="shared" si="10"/>
        <v>5500</v>
      </c>
      <c r="I142" s="20">
        <f t="shared" si="11"/>
        <v>665.60000000000036</v>
      </c>
      <c r="J142" t="s">
        <v>69</v>
      </c>
    </row>
    <row r="143" spans="1:10" x14ac:dyDescent="0.25">
      <c r="A143" s="34">
        <v>45843</v>
      </c>
      <c r="B143" t="s">
        <v>14</v>
      </c>
      <c r="C143" s="10">
        <v>7</v>
      </c>
      <c r="D143" s="16">
        <v>2605.6999999999998</v>
      </c>
      <c r="E143" s="20">
        <v>2550</v>
      </c>
      <c r="F143" s="20">
        <f t="shared" si="8"/>
        <v>55.699999999999818</v>
      </c>
      <c r="G143" s="20">
        <f t="shared" si="9"/>
        <v>18239.899999999998</v>
      </c>
      <c r="H143" s="20">
        <f t="shared" si="10"/>
        <v>17850</v>
      </c>
      <c r="I143" s="20">
        <f t="shared" si="11"/>
        <v>389.89999999999782</v>
      </c>
      <c r="J143" t="s">
        <v>69</v>
      </c>
    </row>
    <row r="144" spans="1:10" x14ac:dyDescent="0.25">
      <c r="A144" s="34">
        <v>45843</v>
      </c>
      <c r="B144" t="s">
        <v>23</v>
      </c>
      <c r="C144" s="10">
        <v>2</v>
      </c>
      <c r="D144" s="16">
        <v>3027.75</v>
      </c>
      <c r="E144" s="20">
        <v>2750</v>
      </c>
      <c r="F144" s="20">
        <f t="shared" si="8"/>
        <v>277.75</v>
      </c>
      <c r="G144" s="20">
        <f t="shared" si="9"/>
        <v>6055.5</v>
      </c>
      <c r="H144" s="20">
        <f t="shared" si="10"/>
        <v>5500</v>
      </c>
      <c r="I144" s="20">
        <f t="shared" si="11"/>
        <v>555.5</v>
      </c>
      <c r="J144" t="s">
        <v>69</v>
      </c>
    </row>
    <row r="145" spans="1:10" x14ac:dyDescent="0.25">
      <c r="A145" s="34">
        <v>45843</v>
      </c>
      <c r="B145" t="s">
        <v>15</v>
      </c>
      <c r="C145" s="10">
        <v>1</v>
      </c>
      <c r="D145" s="16">
        <v>2165.3000000000002</v>
      </c>
      <c r="E145" s="20">
        <v>1900</v>
      </c>
      <c r="F145" s="20">
        <f t="shared" si="8"/>
        <v>265.30000000000018</v>
      </c>
      <c r="G145" s="20">
        <f t="shared" si="9"/>
        <v>2165.3000000000002</v>
      </c>
      <c r="H145" s="20">
        <f t="shared" si="10"/>
        <v>1900</v>
      </c>
      <c r="I145" s="20">
        <f t="shared" si="11"/>
        <v>265.30000000000018</v>
      </c>
      <c r="J145" t="s">
        <v>69</v>
      </c>
    </row>
    <row r="146" spans="1:10" x14ac:dyDescent="0.25">
      <c r="A146" s="34">
        <v>45843</v>
      </c>
      <c r="B146" t="s">
        <v>14</v>
      </c>
      <c r="C146" s="10">
        <v>10</v>
      </c>
      <c r="D146" s="16">
        <v>2424.8739999999998</v>
      </c>
      <c r="E146" s="20">
        <v>2350</v>
      </c>
      <c r="F146" s="20">
        <f t="shared" si="8"/>
        <v>74.873999999999796</v>
      </c>
      <c r="G146" s="20">
        <f t="shared" si="9"/>
        <v>24248.739999999998</v>
      </c>
      <c r="H146" s="20">
        <f t="shared" si="10"/>
        <v>23500</v>
      </c>
      <c r="I146" s="20">
        <f t="shared" si="11"/>
        <v>748.73999999999796</v>
      </c>
      <c r="J146" t="s">
        <v>69</v>
      </c>
    </row>
    <row r="147" spans="1:10" x14ac:dyDescent="0.25">
      <c r="A147" s="34">
        <v>45843</v>
      </c>
      <c r="B147" t="s">
        <v>14</v>
      </c>
      <c r="C147" s="10">
        <v>3</v>
      </c>
      <c r="D147" s="16">
        <v>2388.1</v>
      </c>
      <c r="E147" s="20">
        <v>2300</v>
      </c>
      <c r="F147" s="20">
        <f t="shared" si="8"/>
        <v>88.099999999999909</v>
      </c>
      <c r="G147" s="20">
        <f t="shared" si="9"/>
        <v>7164.2999999999993</v>
      </c>
      <c r="H147" s="20">
        <f t="shared" si="10"/>
        <v>6900</v>
      </c>
      <c r="I147" s="20">
        <f t="shared" si="11"/>
        <v>264.29999999999927</v>
      </c>
      <c r="J147" t="s">
        <v>69</v>
      </c>
    </row>
    <row r="148" spans="1:10" x14ac:dyDescent="0.25">
      <c r="A148" s="34">
        <v>45843</v>
      </c>
      <c r="B148" t="s">
        <v>14</v>
      </c>
      <c r="C148" s="10">
        <v>4</v>
      </c>
      <c r="D148" s="16">
        <v>2608.64</v>
      </c>
      <c r="E148" s="20">
        <v>2550</v>
      </c>
      <c r="F148" s="20">
        <f t="shared" si="8"/>
        <v>58.639999999999873</v>
      </c>
      <c r="G148" s="20">
        <f t="shared" si="9"/>
        <v>10434.56</v>
      </c>
      <c r="H148" s="20">
        <f t="shared" si="10"/>
        <v>10200</v>
      </c>
      <c r="I148" s="20">
        <f t="shared" si="11"/>
        <v>234.55999999999949</v>
      </c>
      <c r="J148" t="s">
        <v>69</v>
      </c>
    </row>
    <row r="149" spans="1:10" x14ac:dyDescent="0.25">
      <c r="A149" s="34">
        <v>45843</v>
      </c>
      <c r="B149" t="s">
        <v>14</v>
      </c>
      <c r="C149" s="10">
        <v>2</v>
      </c>
      <c r="D149" s="16">
        <v>2571.8000000000002</v>
      </c>
      <c r="E149" s="20">
        <v>2550</v>
      </c>
      <c r="F149" s="20">
        <f t="shared" si="8"/>
        <v>21.800000000000182</v>
      </c>
      <c r="G149" s="20">
        <f t="shared" si="9"/>
        <v>5143.6000000000004</v>
      </c>
      <c r="H149" s="20">
        <f t="shared" si="10"/>
        <v>5100</v>
      </c>
      <c r="I149" s="20">
        <f t="shared" si="11"/>
        <v>43.600000000000364</v>
      </c>
      <c r="J149" t="s">
        <v>69</v>
      </c>
    </row>
    <row r="150" spans="1:10" x14ac:dyDescent="0.25">
      <c r="A150" s="34">
        <v>45843</v>
      </c>
      <c r="B150" t="s">
        <v>14</v>
      </c>
      <c r="C150" s="10">
        <v>3</v>
      </c>
      <c r="D150" s="16">
        <v>2424.84</v>
      </c>
      <c r="E150" s="20">
        <v>2300</v>
      </c>
      <c r="F150" s="20">
        <f t="shared" si="8"/>
        <v>124.84000000000015</v>
      </c>
      <c r="G150" s="20">
        <f t="shared" si="9"/>
        <v>7274.52</v>
      </c>
      <c r="H150" s="20">
        <f t="shared" si="10"/>
        <v>6900</v>
      </c>
      <c r="I150" s="20">
        <f t="shared" si="11"/>
        <v>374.52000000000044</v>
      </c>
      <c r="J150" t="s">
        <v>69</v>
      </c>
    </row>
    <row r="151" spans="1:10" x14ac:dyDescent="0.25">
      <c r="A151" s="34">
        <v>45843</v>
      </c>
      <c r="B151" t="s">
        <v>14</v>
      </c>
      <c r="C151" s="10">
        <v>1</v>
      </c>
      <c r="D151" s="16">
        <v>2388.1</v>
      </c>
      <c r="E151" s="20">
        <v>2300</v>
      </c>
      <c r="F151" s="20">
        <f t="shared" si="8"/>
        <v>88.099999999999909</v>
      </c>
      <c r="G151" s="20">
        <f t="shared" si="9"/>
        <v>2388.1</v>
      </c>
      <c r="H151" s="20">
        <f t="shared" si="10"/>
        <v>2300</v>
      </c>
      <c r="I151" s="20">
        <f t="shared" si="11"/>
        <v>88.099999999999909</v>
      </c>
      <c r="J151" t="s">
        <v>69</v>
      </c>
    </row>
    <row r="152" spans="1:10" x14ac:dyDescent="0.25">
      <c r="A152" s="34">
        <v>45843</v>
      </c>
      <c r="B152" t="s">
        <v>25</v>
      </c>
      <c r="C152" s="10">
        <v>3</v>
      </c>
      <c r="D152" s="16">
        <v>2277.88</v>
      </c>
      <c r="E152" s="20">
        <v>1980</v>
      </c>
      <c r="F152" s="20">
        <f t="shared" si="8"/>
        <v>297.88000000000011</v>
      </c>
      <c r="G152" s="20">
        <f t="shared" si="9"/>
        <v>6833.64</v>
      </c>
      <c r="H152" s="20">
        <f t="shared" si="10"/>
        <v>5940</v>
      </c>
      <c r="I152" s="20">
        <f t="shared" si="11"/>
        <v>893.64000000000033</v>
      </c>
      <c r="J152" t="s">
        <v>69</v>
      </c>
    </row>
    <row r="153" spans="1:10" x14ac:dyDescent="0.25">
      <c r="A153" s="34">
        <v>45843</v>
      </c>
      <c r="B153" t="s">
        <v>25</v>
      </c>
      <c r="C153" s="10">
        <v>2</v>
      </c>
      <c r="D153" s="16">
        <v>2388.1</v>
      </c>
      <c r="E153" s="20">
        <v>1980</v>
      </c>
      <c r="F153" s="20">
        <f t="shared" si="8"/>
        <v>408.09999999999991</v>
      </c>
      <c r="G153" s="20">
        <f t="shared" si="9"/>
        <v>4776.2</v>
      </c>
      <c r="H153" s="20">
        <f t="shared" si="10"/>
        <v>3960</v>
      </c>
      <c r="I153" s="20">
        <f t="shared" si="11"/>
        <v>816.19999999999982</v>
      </c>
      <c r="J153" t="s">
        <v>69</v>
      </c>
    </row>
    <row r="154" spans="1:10" x14ac:dyDescent="0.25">
      <c r="A154" s="34">
        <v>45843</v>
      </c>
      <c r="B154" t="s">
        <v>15</v>
      </c>
      <c r="C154" s="10">
        <v>3</v>
      </c>
      <c r="D154" s="16">
        <v>2057.44</v>
      </c>
      <c r="E154" s="20">
        <v>1850</v>
      </c>
      <c r="F154" s="20">
        <f t="shared" si="8"/>
        <v>207.44000000000005</v>
      </c>
      <c r="G154" s="20">
        <f t="shared" si="9"/>
        <v>6172.32</v>
      </c>
      <c r="H154" s="20">
        <f t="shared" si="10"/>
        <v>5550</v>
      </c>
      <c r="I154" s="20">
        <f t="shared" si="11"/>
        <v>622.31999999999971</v>
      </c>
      <c r="J154" t="s">
        <v>69</v>
      </c>
    </row>
    <row r="155" spans="1:10" x14ac:dyDescent="0.25">
      <c r="A155" s="34">
        <v>45843</v>
      </c>
      <c r="B155" t="s">
        <v>26</v>
      </c>
      <c r="C155" s="10">
        <v>1</v>
      </c>
      <c r="D155" s="16">
        <v>2479.9499999999998</v>
      </c>
      <c r="E155" s="20">
        <v>2200</v>
      </c>
      <c r="F155" s="20">
        <f t="shared" si="8"/>
        <v>279.94999999999982</v>
      </c>
      <c r="G155" s="20">
        <f t="shared" si="9"/>
        <v>2479.9499999999998</v>
      </c>
      <c r="H155" s="20">
        <f t="shared" si="10"/>
        <v>2200</v>
      </c>
      <c r="I155" s="20">
        <f t="shared" si="11"/>
        <v>279.94999999999982</v>
      </c>
      <c r="J155" t="s">
        <v>69</v>
      </c>
    </row>
    <row r="156" spans="1:10" x14ac:dyDescent="0.25">
      <c r="A156" s="34">
        <v>45843</v>
      </c>
      <c r="B156" t="s">
        <v>17</v>
      </c>
      <c r="C156" s="10">
        <v>8</v>
      </c>
      <c r="D156" s="16">
        <v>2535.06</v>
      </c>
      <c r="E156" s="20">
        <v>2450</v>
      </c>
      <c r="F156" s="20">
        <f t="shared" si="8"/>
        <v>85.059999999999945</v>
      </c>
      <c r="G156" s="20">
        <f t="shared" si="9"/>
        <v>20280.48</v>
      </c>
      <c r="H156" s="20">
        <f t="shared" si="10"/>
        <v>19600</v>
      </c>
      <c r="I156" s="20">
        <f t="shared" si="11"/>
        <v>680.47999999999956</v>
      </c>
      <c r="J156" t="s">
        <v>69</v>
      </c>
    </row>
    <row r="157" spans="1:10" x14ac:dyDescent="0.25">
      <c r="A157" s="34">
        <v>45843</v>
      </c>
      <c r="B157" t="s">
        <v>27</v>
      </c>
      <c r="C157" s="10">
        <v>1</v>
      </c>
      <c r="D157" s="16">
        <v>1212.42</v>
      </c>
      <c r="E157" s="20">
        <v>1115</v>
      </c>
      <c r="F157" s="20">
        <f t="shared" si="8"/>
        <v>97.420000000000073</v>
      </c>
      <c r="G157" s="20">
        <f t="shared" si="9"/>
        <v>1212.42</v>
      </c>
      <c r="H157" s="20">
        <f t="shared" si="10"/>
        <v>1115</v>
      </c>
      <c r="I157" s="20">
        <f t="shared" si="11"/>
        <v>97.420000000000073</v>
      </c>
      <c r="J157" t="s">
        <v>69</v>
      </c>
    </row>
    <row r="158" spans="1:10" x14ac:dyDescent="0.25">
      <c r="A158" s="36">
        <v>45843</v>
      </c>
      <c r="B158" s="23" t="s">
        <v>28</v>
      </c>
      <c r="C158" s="24">
        <v>1</v>
      </c>
      <c r="D158" s="25">
        <v>1102.2</v>
      </c>
      <c r="E158" s="26">
        <v>1215</v>
      </c>
      <c r="F158" s="26">
        <f t="shared" si="8"/>
        <v>-112.79999999999995</v>
      </c>
      <c r="G158" s="26">
        <f t="shared" si="9"/>
        <v>1102.2</v>
      </c>
      <c r="H158" s="26">
        <f t="shared" si="10"/>
        <v>1215</v>
      </c>
      <c r="I158" s="26">
        <f t="shared" si="11"/>
        <v>-112.79999999999995</v>
      </c>
      <c r="J158" t="s">
        <v>69</v>
      </c>
    </row>
    <row r="159" spans="1:10" x14ac:dyDescent="0.25">
      <c r="A159" s="34">
        <v>45843</v>
      </c>
      <c r="B159" t="s">
        <v>19</v>
      </c>
      <c r="C159" s="10">
        <v>3</v>
      </c>
      <c r="D159" s="16">
        <v>3894.44</v>
      </c>
      <c r="E159" s="20">
        <v>3600</v>
      </c>
      <c r="F159" s="20">
        <f t="shared" si="8"/>
        <v>294.44000000000005</v>
      </c>
      <c r="G159" s="20">
        <f t="shared" si="9"/>
        <v>11683.32</v>
      </c>
      <c r="H159" s="20">
        <f t="shared" si="10"/>
        <v>10800</v>
      </c>
      <c r="I159" s="20">
        <f t="shared" si="11"/>
        <v>883.31999999999971</v>
      </c>
      <c r="J159" t="s">
        <v>69</v>
      </c>
    </row>
    <row r="160" spans="1:10" x14ac:dyDescent="0.25">
      <c r="A160" s="34">
        <v>45843</v>
      </c>
      <c r="B160" t="s">
        <v>19</v>
      </c>
      <c r="C160" s="10">
        <v>1</v>
      </c>
      <c r="D160" s="16">
        <v>3674</v>
      </c>
      <c r="E160" s="20">
        <v>3600</v>
      </c>
      <c r="F160" s="20">
        <f t="shared" si="8"/>
        <v>74</v>
      </c>
      <c r="G160" s="20">
        <f t="shared" si="9"/>
        <v>3674</v>
      </c>
      <c r="H160" s="20">
        <f t="shared" si="10"/>
        <v>3600</v>
      </c>
      <c r="I160" s="20">
        <f t="shared" si="11"/>
        <v>74</v>
      </c>
      <c r="J160" t="s">
        <v>69</v>
      </c>
    </row>
    <row r="161" spans="1:10" x14ac:dyDescent="0.25">
      <c r="A161" s="34">
        <v>45843</v>
      </c>
      <c r="B161" t="s">
        <v>29</v>
      </c>
      <c r="C161" s="10">
        <v>1</v>
      </c>
      <c r="D161" s="16">
        <v>4849.68</v>
      </c>
      <c r="E161" s="20">
        <v>3900</v>
      </c>
      <c r="F161" s="20">
        <f t="shared" si="8"/>
        <v>949.68000000000029</v>
      </c>
      <c r="G161" s="20">
        <f t="shared" si="9"/>
        <v>4849.68</v>
      </c>
      <c r="H161" s="20">
        <f t="shared" si="10"/>
        <v>3900</v>
      </c>
      <c r="I161" s="20">
        <f t="shared" si="11"/>
        <v>949.68000000000029</v>
      </c>
      <c r="J161" t="s">
        <v>69</v>
      </c>
    </row>
    <row r="162" spans="1:10" x14ac:dyDescent="0.25">
      <c r="A162" s="6">
        <v>45845</v>
      </c>
      <c r="B162" s="39" t="s">
        <v>30</v>
      </c>
      <c r="C162" s="10">
        <v>8</v>
      </c>
      <c r="D162" s="16">
        <v>1715</v>
      </c>
      <c r="E162" s="20">
        <v>1534.25</v>
      </c>
      <c r="F162" s="20">
        <f t="shared" si="8"/>
        <v>180.75</v>
      </c>
      <c r="G162" s="20">
        <f t="shared" si="9"/>
        <v>13720</v>
      </c>
      <c r="H162" s="20">
        <f t="shared" si="10"/>
        <v>12274</v>
      </c>
      <c r="I162" s="20">
        <f t="shared" si="11"/>
        <v>1446</v>
      </c>
      <c r="J162" t="s">
        <v>69</v>
      </c>
    </row>
    <row r="163" spans="1:10" x14ac:dyDescent="0.25">
      <c r="A163" s="6">
        <v>45845</v>
      </c>
      <c r="B163" s="39" t="s">
        <v>31</v>
      </c>
      <c r="C163" s="10">
        <v>2</v>
      </c>
      <c r="D163" s="16">
        <v>1190</v>
      </c>
      <c r="E163" s="20">
        <v>1155.2</v>
      </c>
      <c r="F163" s="20">
        <f t="shared" si="8"/>
        <v>34.799999999999955</v>
      </c>
      <c r="G163" s="20">
        <f t="shared" si="9"/>
        <v>2380</v>
      </c>
      <c r="H163" s="20">
        <f t="shared" si="10"/>
        <v>2310.4</v>
      </c>
      <c r="I163" s="20">
        <f t="shared" si="11"/>
        <v>69.599999999999909</v>
      </c>
      <c r="J163" t="s">
        <v>69</v>
      </c>
    </row>
    <row r="164" spans="1:10" x14ac:dyDescent="0.25">
      <c r="A164" s="6">
        <v>45845</v>
      </c>
      <c r="B164" s="39" t="s">
        <v>32</v>
      </c>
      <c r="C164" s="10">
        <v>23</v>
      </c>
      <c r="D164" s="16">
        <v>2440</v>
      </c>
      <c r="E164" s="20">
        <v>2129.9</v>
      </c>
      <c r="F164" s="20">
        <f t="shared" si="8"/>
        <v>310.09999999999991</v>
      </c>
      <c r="G164" s="20">
        <f t="shared" si="9"/>
        <v>56120</v>
      </c>
      <c r="H164" s="20">
        <f t="shared" si="10"/>
        <v>48987.700000000004</v>
      </c>
      <c r="I164" s="20">
        <f t="shared" si="11"/>
        <v>7132.2999999999956</v>
      </c>
      <c r="J164" t="s">
        <v>69</v>
      </c>
    </row>
    <row r="165" spans="1:10" x14ac:dyDescent="0.25">
      <c r="A165" s="6">
        <v>45845</v>
      </c>
      <c r="B165" s="39" t="s">
        <v>33</v>
      </c>
      <c r="C165" s="10">
        <v>8</v>
      </c>
      <c r="D165" s="16">
        <v>1690</v>
      </c>
      <c r="E165" s="20">
        <v>1407.8999999999999</v>
      </c>
      <c r="F165" s="20">
        <f t="shared" si="8"/>
        <v>282.10000000000014</v>
      </c>
      <c r="G165" s="20">
        <f t="shared" si="9"/>
        <v>13520</v>
      </c>
      <c r="H165" s="20">
        <f t="shared" si="10"/>
        <v>11263.199999999999</v>
      </c>
      <c r="I165" s="20">
        <f t="shared" si="11"/>
        <v>2256.8000000000011</v>
      </c>
      <c r="J165" t="s">
        <v>69</v>
      </c>
    </row>
    <row r="166" spans="1:10" x14ac:dyDescent="0.25">
      <c r="A166" s="6">
        <v>45845</v>
      </c>
      <c r="B166" s="39" t="s">
        <v>34</v>
      </c>
      <c r="C166" s="10">
        <v>1</v>
      </c>
      <c r="D166" s="16">
        <v>1415</v>
      </c>
      <c r="E166" s="20">
        <v>1227.3999999999999</v>
      </c>
      <c r="F166" s="20">
        <f t="shared" si="8"/>
        <v>187.60000000000014</v>
      </c>
      <c r="G166" s="20">
        <f t="shared" si="9"/>
        <v>1415</v>
      </c>
      <c r="H166" s="20">
        <f t="shared" si="10"/>
        <v>1227.3999999999999</v>
      </c>
      <c r="I166" s="20">
        <f t="shared" si="11"/>
        <v>187.60000000000014</v>
      </c>
      <c r="J166" t="s">
        <v>69</v>
      </c>
    </row>
    <row r="167" spans="1:10" x14ac:dyDescent="0.25">
      <c r="A167" s="6">
        <v>45850</v>
      </c>
      <c r="B167" s="39" t="s">
        <v>38</v>
      </c>
      <c r="C167" s="10">
        <v>112</v>
      </c>
      <c r="D167" s="16">
        <v>981</v>
      </c>
      <c r="E167" s="16">
        <v>794.19999999999993</v>
      </c>
      <c r="F167" s="20">
        <f t="shared" si="8"/>
        <v>186.80000000000007</v>
      </c>
      <c r="G167" s="20">
        <f t="shared" si="9"/>
        <v>109872</v>
      </c>
      <c r="H167" s="20">
        <f t="shared" si="10"/>
        <v>88950.399999999994</v>
      </c>
      <c r="I167" s="20">
        <f t="shared" si="11"/>
        <v>20921.600000000006</v>
      </c>
      <c r="J167" t="s">
        <v>69</v>
      </c>
    </row>
    <row r="168" spans="1:10" x14ac:dyDescent="0.25">
      <c r="A168" s="6">
        <v>45850</v>
      </c>
      <c r="B168" s="39" t="s">
        <v>39</v>
      </c>
      <c r="C168" s="10">
        <v>24</v>
      </c>
      <c r="D168" s="16">
        <v>2435</v>
      </c>
      <c r="E168" s="16">
        <v>2129.9</v>
      </c>
      <c r="F168" s="20">
        <f t="shared" si="8"/>
        <v>305.09999999999991</v>
      </c>
      <c r="G168" s="20">
        <f t="shared" si="9"/>
        <v>58440</v>
      </c>
      <c r="H168" s="20">
        <f t="shared" si="10"/>
        <v>51117.600000000006</v>
      </c>
      <c r="I168" s="20">
        <f t="shared" si="11"/>
        <v>7322.3999999999942</v>
      </c>
      <c r="J168" t="s">
        <v>69</v>
      </c>
    </row>
    <row r="169" spans="1:10" x14ac:dyDescent="0.25">
      <c r="A169" s="6">
        <v>45850</v>
      </c>
      <c r="B169" s="39" t="s">
        <v>40</v>
      </c>
      <c r="C169" s="10">
        <v>1</v>
      </c>
      <c r="D169" s="16">
        <v>1700</v>
      </c>
      <c r="E169" s="16">
        <v>1407.8999999999999</v>
      </c>
      <c r="F169" s="20">
        <f t="shared" si="8"/>
        <v>292.10000000000014</v>
      </c>
      <c r="G169" s="20">
        <f t="shared" si="9"/>
        <v>1700</v>
      </c>
      <c r="H169" s="20">
        <f t="shared" si="10"/>
        <v>1407.8999999999999</v>
      </c>
      <c r="I169" s="20">
        <f t="shared" si="11"/>
        <v>292.10000000000014</v>
      </c>
      <c r="J169" t="s">
        <v>69</v>
      </c>
    </row>
    <row r="170" spans="1:10" x14ac:dyDescent="0.25">
      <c r="A170" s="6">
        <v>45854</v>
      </c>
      <c r="B170" t="s">
        <v>14</v>
      </c>
      <c r="C170" s="10">
        <v>2</v>
      </c>
      <c r="D170" s="16">
        <v>2680</v>
      </c>
      <c r="E170" s="20">
        <v>2530</v>
      </c>
      <c r="F170" s="20">
        <f t="shared" si="8"/>
        <v>150</v>
      </c>
      <c r="G170" s="20">
        <f t="shared" si="9"/>
        <v>5360</v>
      </c>
      <c r="H170" s="20">
        <f t="shared" si="10"/>
        <v>5060</v>
      </c>
      <c r="I170" s="20">
        <f t="shared" si="11"/>
        <v>300</v>
      </c>
      <c r="J170" t="s">
        <v>69</v>
      </c>
    </row>
    <row r="171" spans="1:10" x14ac:dyDescent="0.25">
      <c r="A171" s="6">
        <v>45854</v>
      </c>
      <c r="B171" t="s">
        <v>14</v>
      </c>
      <c r="C171" s="10">
        <v>1</v>
      </c>
      <c r="D171" s="16">
        <v>2610</v>
      </c>
      <c r="E171" s="20">
        <v>2530</v>
      </c>
      <c r="F171" s="20">
        <f t="shared" si="8"/>
        <v>80</v>
      </c>
      <c r="G171" s="20">
        <f t="shared" si="9"/>
        <v>2610</v>
      </c>
      <c r="H171" s="20">
        <f t="shared" si="10"/>
        <v>2530</v>
      </c>
      <c r="I171" s="20">
        <f t="shared" si="11"/>
        <v>80</v>
      </c>
      <c r="J171" t="s">
        <v>69</v>
      </c>
    </row>
    <row r="172" spans="1:10" x14ac:dyDescent="0.25">
      <c r="A172" s="6">
        <v>45854</v>
      </c>
      <c r="B172" t="s">
        <v>14</v>
      </c>
      <c r="C172" s="10">
        <v>2</v>
      </c>
      <c r="D172" s="16">
        <v>2550</v>
      </c>
      <c r="E172" s="20">
        <v>2400</v>
      </c>
      <c r="F172" s="20">
        <f t="shared" si="8"/>
        <v>150</v>
      </c>
      <c r="G172" s="20">
        <f t="shared" si="9"/>
        <v>5100</v>
      </c>
      <c r="H172" s="20">
        <f t="shared" si="10"/>
        <v>4800</v>
      </c>
      <c r="I172" s="20">
        <f t="shared" si="11"/>
        <v>300</v>
      </c>
      <c r="J172" t="s">
        <v>69</v>
      </c>
    </row>
    <row r="173" spans="1:10" x14ac:dyDescent="0.25">
      <c r="A173" s="6">
        <v>45854</v>
      </c>
      <c r="B173" t="s">
        <v>14</v>
      </c>
      <c r="C173" s="10">
        <v>2</v>
      </c>
      <c r="D173" s="16">
        <v>2435</v>
      </c>
      <c r="E173" s="20">
        <v>2350</v>
      </c>
      <c r="F173" s="20">
        <f t="shared" si="8"/>
        <v>85</v>
      </c>
      <c r="G173" s="20">
        <f t="shared" si="9"/>
        <v>4870</v>
      </c>
      <c r="H173" s="20">
        <f t="shared" si="10"/>
        <v>4700</v>
      </c>
      <c r="I173" s="20">
        <f t="shared" si="11"/>
        <v>170</v>
      </c>
      <c r="J173" t="s">
        <v>69</v>
      </c>
    </row>
    <row r="174" spans="1:10" x14ac:dyDescent="0.25">
      <c r="A174" s="6">
        <v>45854</v>
      </c>
      <c r="B174" s="38" t="s">
        <v>14</v>
      </c>
      <c r="C174" s="8">
        <v>1</v>
      </c>
      <c r="D174" s="17">
        <v>2350</v>
      </c>
      <c r="E174" s="20">
        <v>2350</v>
      </c>
      <c r="F174" s="20">
        <f t="shared" si="8"/>
        <v>0</v>
      </c>
      <c r="G174" s="20">
        <f t="shared" si="9"/>
        <v>2350</v>
      </c>
      <c r="H174" s="20">
        <f t="shared" si="10"/>
        <v>2350</v>
      </c>
      <c r="I174" s="20">
        <f t="shared" si="11"/>
        <v>0</v>
      </c>
      <c r="J174" t="s">
        <v>69</v>
      </c>
    </row>
    <row r="175" spans="1:10" x14ac:dyDescent="0.25">
      <c r="A175" s="6">
        <v>45854</v>
      </c>
      <c r="B175" s="38" t="s">
        <v>20</v>
      </c>
      <c r="C175" s="8">
        <v>3</v>
      </c>
      <c r="D175" s="17">
        <v>1530</v>
      </c>
      <c r="E175" s="20">
        <v>1400</v>
      </c>
      <c r="F175" s="20">
        <f t="shared" si="8"/>
        <v>130</v>
      </c>
      <c r="G175" s="20">
        <f t="shared" si="9"/>
        <v>4590</v>
      </c>
      <c r="H175" s="20">
        <f t="shared" si="10"/>
        <v>4200</v>
      </c>
      <c r="I175" s="20">
        <f t="shared" si="11"/>
        <v>390</v>
      </c>
      <c r="J175" t="s">
        <v>69</v>
      </c>
    </row>
    <row r="176" spans="1:10" x14ac:dyDescent="0.25">
      <c r="A176" s="6">
        <v>45854</v>
      </c>
      <c r="B176" s="38" t="s">
        <v>42</v>
      </c>
      <c r="C176" s="8">
        <v>2</v>
      </c>
      <c r="D176" s="17">
        <v>865</v>
      </c>
      <c r="E176" s="20">
        <v>600</v>
      </c>
      <c r="F176" s="20">
        <f t="shared" si="8"/>
        <v>265</v>
      </c>
      <c r="G176" s="20">
        <f t="shared" si="9"/>
        <v>1730</v>
      </c>
      <c r="H176" s="20">
        <f t="shared" si="10"/>
        <v>1200</v>
      </c>
      <c r="I176" s="20">
        <f t="shared" si="11"/>
        <v>530</v>
      </c>
      <c r="J176" t="s">
        <v>69</v>
      </c>
    </row>
    <row r="177" spans="1:10" x14ac:dyDescent="0.25">
      <c r="A177" s="6">
        <v>45854</v>
      </c>
      <c r="B177" s="38" t="s">
        <v>24</v>
      </c>
      <c r="C177" s="8">
        <v>1</v>
      </c>
      <c r="D177" s="17">
        <v>2950</v>
      </c>
      <c r="E177" s="20">
        <v>2600</v>
      </c>
      <c r="F177" s="20">
        <f t="shared" si="8"/>
        <v>350</v>
      </c>
      <c r="G177" s="20">
        <f t="shared" si="9"/>
        <v>2950</v>
      </c>
      <c r="H177" s="20">
        <f t="shared" si="10"/>
        <v>2600</v>
      </c>
      <c r="I177" s="20">
        <f t="shared" si="11"/>
        <v>350</v>
      </c>
      <c r="J177" t="s">
        <v>69</v>
      </c>
    </row>
    <row r="178" spans="1:10" x14ac:dyDescent="0.25">
      <c r="A178" s="6">
        <v>45855</v>
      </c>
      <c r="B178" s="38" t="s">
        <v>19</v>
      </c>
      <c r="C178" s="8">
        <v>3</v>
      </c>
      <c r="D178" s="17">
        <v>3900</v>
      </c>
      <c r="E178" s="20">
        <v>3600</v>
      </c>
      <c r="F178" s="20">
        <f t="shared" si="8"/>
        <v>300</v>
      </c>
      <c r="G178" s="20">
        <f t="shared" si="9"/>
        <v>11700</v>
      </c>
      <c r="H178" s="20">
        <f t="shared" si="10"/>
        <v>10800</v>
      </c>
      <c r="I178" s="20">
        <f t="shared" si="11"/>
        <v>900</v>
      </c>
      <c r="J178" t="s">
        <v>69</v>
      </c>
    </row>
    <row r="179" spans="1:10" x14ac:dyDescent="0.25">
      <c r="A179" s="6">
        <v>45855</v>
      </c>
      <c r="B179" s="40" t="s">
        <v>17</v>
      </c>
      <c r="C179" s="10">
        <v>1</v>
      </c>
      <c r="D179" s="16">
        <v>2430</v>
      </c>
      <c r="E179" s="20">
        <v>2410</v>
      </c>
      <c r="F179" s="20">
        <f t="shared" si="8"/>
        <v>20</v>
      </c>
      <c r="G179" s="20">
        <f t="shared" si="9"/>
        <v>2430</v>
      </c>
      <c r="H179" s="20">
        <f t="shared" si="10"/>
        <v>2410</v>
      </c>
      <c r="I179" s="20">
        <f t="shared" si="11"/>
        <v>20</v>
      </c>
      <c r="J179" t="s">
        <v>69</v>
      </c>
    </row>
    <row r="180" spans="1:10" x14ac:dyDescent="0.25">
      <c r="A180" s="27">
        <v>45856</v>
      </c>
      <c r="B180" s="23" t="s">
        <v>14</v>
      </c>
      <c r="C180" s="24">
        <v>1</v>
      </c>
      <c r="D180" s="25">
        <v>2325</v>
      </c>
      <c r="E180" s="26">
        <v>2350</v>
      </c>
      <c r="F180" s="26">
        <f t="shared" si="8"/>
        <v>-25</v>
      </c>
      <c r="G180" s="26">
        <f t="shared" si="9"/>
        <v>2325</v>
      </c>
      <c r="H180" s="26">
        <f t="shared" si="10"/>
        <v>2350</v>
      </c>
      <c r="I180" s="26">
        <f t="shared" si="11"/>
        <v>-25</v>
      </c>
      <c r="J180" t="s">
        <v>69</v>
      </c>
    </row>
    <row r="181" spans="1:10" x14ac:dyDescent="0.25">
      <c r="A181" s="6">
        <v>45857</v>
      </c>
      <c r="B181" t="s">
        <v>14</v>
      </c>
      <c r="C181" s="10">
        <v>3</v>
      </c>
      <c r="D181" s="16">
        <v>2680</v>
      </c>
      <c r="E181" s="20">
        <v>2530</v>
      </c>
      <c r="F181" s="20">
        <f t="shared" si="8"/>
        <v>150</v>
      </c>
      <c r="G181" s="20">
        <f t="shared" si="9"/>
        <v>8040</v>
      </c>
      <c r="H181" s="20">
        <f t="shared" si="10"/>
        <v>7590</v>
      </c>
      <c r="I181" s="20">
        <f t="shared" si="11"/>
        <v>450</v>
      </c>
      <c r="J181" t="s">
        <v>69</v>
      </c>
    </row>
    <row r="182" spans="1:10" x14ac:dyDescent="0.25">
      <c r="A182" s="6">
        <v>45857</v>
      </c>
      <c r="B182" t="s">
        <v>24</v>
      </c>
      <c r="C182" s="10">
        <v>1</v>
      </c>
      <c r="D182" s="16">
        <v>2950</v>
      </c>
      <c r="E182" s="20">
        <v>2700</v>
      </c>
      <c r="F182" s="20">
        <f t="shared" si="8"/>
        <v>250</v>
      </c>
      <c r="G182" s="20">
        <f t="shared" si="9"/>
        <v>2950</v>
      </c>
      <c r="H182" s="20">
        <f t="shared" si="10"/>
        <v>2700</v>
      </c>
      <c r="I182" s="20">
        <f t="shared" si="11"/>
        <v>250</v>
      </c>
      <c r="J182" t="s">
        <v>69</v>
      </c>
    </row>
    <row r="183" spans="1:10" x14ac:dyDescent="0.25">
      <c r="A183" s="6">
        <v>45857</v>
      </c>
      <c r="B183" t="s">
        <v>24</v>
      </c>
      <c r="C183" s="10">
        <v>2</v>
      </c>
      <c r="D183" s="16">
        <v>2700</v>
      </c>
      <c r="E183" s="20">
        <v>2600</v>
      </c>
      <c r="F183" s="20">
        <f t="shared" si="8"/>
        <v>100</v>
      </c>
      <c r="G183" s="20">
        <f t="shared" si="9"/>
        <v>5400</v>
      </c>
      <c r="H183" s="20">
        <f t="shared" si="10"/>
        <v>5200</v>
      </c>
      <c r="I183" s="20">
        <f t="shared" si="11"/>
        <v>200</v>
      </c>
      <c r="J183" t="s">
        <v>69</v>
      </c>
    </row>
    <row r="184" spans="1:10" x14ac:dyDescent="0.25">
      <c r="A184" s="6">
        <v>45857</v>
      </c>
      <c r="B184" t="s">
        <v>14</v>
      </c>
      <c r="C184" s="10">
        <v>2</v>
      </c>
      <c r="D184" s="16">
        <v>2435</v>
      </c>
      <c r="E184" s="20">
        <v>2350</v>
      </c>
      <c r="F184" s="20">
        <f t="shared" si="8"/>
        <v>85</v>
      </c>
      <c r="G184" s="20">
        <f t="shared" si="9"/>
        <v>4870</v>
      </c>
      <c r="H184" s="20">
        <f t="shared" si="10"/>
        <v>4700</v>
      </c>
      <c r="I184" s="20">
        <f t="shared" si="11"/>
        <v>170</v>
      </c>
      <c r="J184" t="s">
        <v>69</v>
      </c>
    </row>
    <row r="185" spans="1:10" x14ac:dyDescent="0.25">
      <c r="A185" s="6">
        <v>45857</v>
      </c>
      <c r="B185" t="s">
        <v>45</v>
      </c>
      <c r="C185" s="10">
        <v>1</v>
      </c>
      <c r="D185" s="16">
        <v>1750</v>
      </c>
      <c r="E185" s="20">
        <v>1700</v>
      </c>
      <c r="F185" s="20">
        <f t="shared" si="8"/>
        <v>50</v>
      </c>
      <c r="G185" s="20">
        <f t="shared" si="9"/>
        <v>1750</v>
      </c>
      <c r="H185" s="20">
        <f t="shared" si="10"/>
        <v>1700</v>
      </c>
      <c r="I185" s="20">
        <f t="shared" si="11"/>
        <v>50</v>
      </c>
      <c r="J185" t="s">
        <v>69</v>
      </c>
    </row>
    <row r="186" spans="1:10" x14ac:dyDescent="0.25">
      <c r="A186" s="6">
        <v>45857</v>
      </c>
      <c r="B186" t="s">
        <v>21</v>
      </c>
      <c r="C186" s="10">
        <v>1</v>
      </c>
      <c r="D186" s="16">
        <v>1650</v>
      </c>
      <c r="E186" s="20">
        <v>1600</v>
      </c>
      <c r="F186" s="20">
        <f t="shared" si="8"/>
        <v>50</v>
      </c>
      <c r="G186" s="20">
        <f t="shared" si="9"/>
        <v>1650</v>
      </c>
      <c r="H186" s="20">
        <f t="shared" si="10"/>
        <v>1600</v>
      </c>
      <c r="I186" s="20">
        <f t="shared" si="11"/>
        <v>50</v>
      </c>
      <c r="J186" t="s">
        <v>69</v>
      </c>
    </row>
    <row r="187" spans="1:10" x14ac:dyDescent="0.25">
      <c r="A187" s="6">
        <v>45857</v>
      </c>
      <c r="B187" t="s">
        <v>21</v>
      </c>
      <c r="C187" s="10">
        <v>1</v>
      </c>
      <c r="D187" s="16">
        <v>1580</v>
      </c>
      <c r="E187" s="20">
        <v>1530</v>
      </c>
      <c r="F187" s="20">
        <f t="shared" si="8"/>
        <v>50</v>
      </c>
      <c r="G187" s="20">
        <f t="shared" si="9"/>
        <v>1580</v>
      </c>
      <c r="H187" s="20">
        <f t="shared" si="10"/>
        <v>1530</v>
      </c>
      <c r="I187" s="20">
        <f t="shared" si="11"/>
        <v>50</v>
      </c>
      <c r="J187" t="s">
        <v>69</v>
      </c>
    </row>
    <row r="188" spans="1:10" x14ac:dyDescent="0.25">
      <c r="A188" s="6">
        <v>45857</v>
      </c>
      <c r="B188" t="s">
        <v>20</v>
      </c>
      <c r="C188" s="10">
        <v>2</v>
      </c>
      <c r="D188" s="16">
        <v>1510</v>
      </c>
      <c r="E188" s="20">
        <v>1400</v>
      </c>
      <c r="F188" s="20">
        <f t="shared" si="8"/>
        <v>110</v>
      </c>
      <c r="G188" s="20">
        <f t="shared" si="9"/>
        <v>3020</v>
      </c>
      <c r="H188" s="20">
        <f t="shared" si="10"/>
        <v>2800</v>
      </c>
      <c r="I188" s="20">
        <f t="shared" si="11"/>
        <v>220</v>
      </c>
      <c r="J188" t="s">
        <v>69</v>
      </c>
    </row>
    <row r="189" spans="1:10" x14ac:dyDescent="0.25">
      <c r="A189" s="6">
        <v>45857</v>
      </c>
      <c r="B189" t="s">
        <v>25</v>
      </c>
      <c r="C189" s="10">
        <v>1</v>
      </c>
      <c r="D189" s="16">
        <v>2300</v>
      </c>
      <c r="E189" s="20">
        <v>2100</v>
      </c>
      <c r="F189" s="20">
        <f t="shared" si="8"/>
        <v>200</v>
      </c>
      <c r="G189" s="20">
        <f t="shared" si="9"/>
        <v>2300</v>
      </c>
      <c r="H189" s="20">
        <f t="shared" si="10"/>
        <v>2100</v>
      </c>
      <c r="I189" s="20">
        <f t="shared" si="11"/>
        <v>200</v>
      </c>
      <c r="J189" t="s">
        <v>69</v>
      </c>
    </row>
    <row r="190" spans="1:10" x14ac:dyDescent="0.25">
      <c r="A190" s="6">
        <v>45857</v>
      </c>
      <c r="B190" t="s">
        <v>15</v>
      </c>
      <c r="C190" s="10">
        <v>1</v>
      </c>
      <c r="D190" s="16">
        <v>2170</v>
      </c>
      <c r="E190" s="20">
        <v>2070</v>
      </c>
      <c r="F190" s="20">
        <f t="shared" si="8"/>
        <v>100</v>
      </c>
      <c r="G190" s="20">
        <f t="shared" si="9"/>
        <v>2170</v>
      </c>
      <c r="H190" s="20">
        <f t="shared" si="10"/>
        <v>2070</v>
      </c>
      <c r="I190" s="20">
        <f t="shared" si="11"/>
        <v>100</v>
      </c>
      <c r="J190" t="s">
        <v>69</v>
      </c>
    </row>
    <row r="191" spans="1:10" x14ac:dyDescent="0.25">
      <c r="A191" s="6">
        <v>45857</v>
      </c>
      <c r="B191" t="s">
        <v>26</v>
      </c>
      <c r="C191" s="10">
        <v>2</v>
      </c>
      <c r="D191" s="16">
        <v>2650</v>
      </c>
      <c r="E191" s="20">
        <v>2350</v>
      </c>
      <c r="F191" s="20">
        <f t="shared" si="8"/>
        <v>300</v>
      </c>
      <c r="G191" s="20">
        <f t="shared" si="9"/>
        <v>5300</v>
      </c>
      <c r="H191" s="20">
        <f t="shared" si="10"/>
        <v>4700</v>
      </c>
      <c r="I191" s="20">
        <f t="shared" si="11"/>
        <v>600</v>
      </c>
      <c r="J191" t="s">
        <v>69</v>
      </c>
    </row>
    <row r="192" spans="1:10" x14ac:dyDescent="0.25">
      <c r="A192" s="6">
        <v>45857</v>
      </c>
      <c r="B192" t="s">
        <v>14</v>
      </c>
      <c r="C192" s="10">
        <v>1</v>
      </c>
      <c r="D192" s="16">
        <v>2550</v>
      </c>
      <c r="E192" s="20">
        <v>2500</v>
      </c>
      <c r="F192" s="20">
        <f t="shared" si="8"/>
        <v>50</v>
      </c>
      <c r="G192" s="20">
        <f t="shared" si="9"/>
        <v>2550</v>
      </c>
      <c r="H192" s="20">
        <f t="shared" si="10"/>
        <v>2500</v>
      </c>
      <c r="I192" s="20">
        <f t="shared" si="11"/>
        <v>50</v>
      </c>
      <c r="J192" t="s">
        <v>69</v>
      </c>
    </row>
    <row r="193" spans="1:10" x14ac:dyDescent="0.25">
      <c r="A193" s="6">
        <v>45857</v>
      </c>
      <c r="B193" t="s">
        <v>14</v>
      </c>
      <c r="C193" s="10">
        <v>1</v>
      </c>
      <c r="D193" s="16">
        <v>2350</v>
      </c>
      <c r="E193" s="20">
        <v>2350</v>
      </c>
      <c r="F193" s="20">
        <f t="shared" si="8"/>
        <v>0</v>
      </c>
      <c r="G193" s="20">
        <f t="shared" si="9"/>
        <v>2350</v>
      </c>
      <c r="H193" s="20">
        <f t="shared" si="10"/>
        <v>2350</v>
      </c>
      <c r="I193" s="20">
        <f t="shared" si="11"/>
        <v>0</v>
      </c>
      <c r="J193" t="s">
        <v>69</v>
      </c>
    </row>
    <row r="194" spans="1:10" x14ac:dyDescent="0.25">
      <c r="A194" s="6">
        <v>45859</v>
      </c>
      <c r="B194" t="s">
        <v>17</v>
      </c>
      <c r="C194" s="10">
        <v>9</v>
      </c>
      <c r="D194" s="16">
        <v>2430</v>
      </c>
      <c r="E194" s="20">
        <v>2390</v>
      </c>
      <c r="F194" s="20">
        <f t="shared" ref="F194:F257" si="12">D194-E194</f>
        <v>40</v>
      </c>
      <c r="G194" s="20">
        <f t="shared" ref="G194:G257" si="13">D194*C194</f>
        <v>21870</v>
      </c>
      <c r="H194" s="20">
        <f t="shared" ref="H194:H257" si="14">E194*C194</f>
        <v>21510</v>
      </c>
      <c r="I194" s="20">
        <f t="shared" ref="I194:I257" si="15">G194-H194</f>
        <v>360</v>
      </c>
      <c r="J194" t="s">
        <v>69</v>
      </c>
    </row>
    <row r="195" spans="1:10" x14ac:dyDescent="0.25">
      <c r="A195" s="6">
        <v>45859</v>
      </c>
      <c r="B195" t="s">
        <v>17</v>
      </c>
      <c r="C195" s="10">
        <v>6</v>
      </c>
      <c r="D195" s="16">
        <v>2440</v>
      </c>
      <c r="E195" s="20">
        <v>2410</v>
      </c>
      <c r="F195" s="20">
        <f t="shared" si="12"/>
        <v>30</v>
      </c>
      <c r="G195" s="20">
        <f t="shared" si="13"/>
        <v>14640</v>
      </c>
      <c r="H195" s="20">
        <f t="shared" si="14"/>
        <v>14460</v>
      </c>
      <c r="I195" s="20">
        <f t="shared" si="15"/>
        <v>180</v>
      </c>
      <c r="J195" t="s">
        <v>69</v>
      </c>
    </row>
    <row r="196" spans="1:10" x14ac:dyDescent="0.25">
      <c r="A196" s="6">
        <v>45859</v>
      </c>
      <c r="B196" s="40" t="s">
        <v>46</v>
      </c>
      <c r="C196" s="10">
        <v>2</v>
      </c>
      <c r="D196" s="16">
        <v>5500</v>
      </c>
      <c r="E196" s="20">
        <v>3900</v>
      </c>
      <c r="F196" s="20">
        <f t="shared" si="12"/>
        <v>1600</v>
      </c>
      <c r="G196" s="20">
        <f t="shared" si="13"/>
        <v>11000</v>
      </c>
      <c r="H196" s="20">
        <f t="shared" si="14"/>
        <v>7800</v>
      </c>
      <c r="I196" s="20">
        <f t="shared" si="15"/>
        <v>3200</v>
      </c>
      <c r="J196" t="s">
        <v>69</v>
      </c>
    </row>
    <row r="197" spans="1:10" x14ac:dyDescent="0.25">
      <c r="A197" s="6">
        <v>45859</v>
      </c>
      <c r="B197" t="s">
        <v>19</v>
      </c>
      <c r="C197" s="10">
        <v>2</v>
      </c>
      <c r="D197" s="16">
        <v>3940</v>
      </c>
      <c r="E197" s="20">
        <v>3600</v>
      </c>
      <c r="F197" s="20">
        <f t="shared" si="12"/>
        <v>340</v>
      </c>
      <c r="G197" s="20">
        <f t="shared" si="13"/>
        <v>7880</v>
      </c>
      <c r="H197" s="20">
        <f t="shared" si="14"/>
        <v>7200</v>
      </c>
      <c r="I197" s="20">
        <f t="shared" si="15"/>
        <v>680</v>
      </c>
      <c r="J197" t="s">
        <v>69</v>
      </c>
    </row>
    <row r="198" spans="1:10" x14ac:dyDescent="0.25">
      <c r="A198" s="6">
        <v>45860</v>
      </c>
      <c r="B198" s="39" t="s">
        <v>38</v>
      </c>
      <c r="C198" s="10">
        <v>8</v>
      </c>
      <c r="D198" s="20">
        <v>973</v>
      </c>
      <c r="E198" s="20">
        <v>794.19999999999993</v>
      </c>
      <c r="F198" s="20">
        <f t="shared" si="12"/>
        <v>178.80000000000007</v>
      </c>
      <c r="G198" s="20">
        <f t="shared" si="13"/>
        <v>7784</v>
      </c>
      <c r="H198" s="20">
        <f t="shared" si="14"/>
        <v>6353.5999999999995</v>
      </c>
      <c r="I198" s="20">
        <f t="shared" si="15"/>
        <v>1430.4000000000005</v>
      </c>
      <c r="J198" t="s">
        <v>69</v>
      </c>
    </row>
    <row r="199" spans="1:10" x14ac:dyDescent="0.25">
      <c r="A199" s="6">
        <v>45860</v>
      </c>
      <c r="B199" s="39" t="s">
        <v>47</v>
      </c>
      <c r="C199" s="10">
        <v>39</v>
      </c>
      <c r="D199" s="20">
        <v>1710</v>
      </c>
      <c r="E199" s="20">
        <v>1534.25</v>
      </c>
      <c r="F199" s="20">
        <f t="shared" si="12"/>
        <v>175.75</v>
      </c>
      <c r="G199" s="20">
        <f t="shared" si="13"/>
        <v>66690</v>
      </c>
      <c r="H199" s="20">
        <f t="shared" si="14"/>
        <v>59835.75</v>
      </c>
      <c r="I199" s="20">
        <f t="shared" si="15"/>
        <v>6854.25</v>
      </c>
      <c r="J199" t="s">
        <v>69</v>
      </c>
    </row>
    <row r="200" spans="1:10" x14ac:dyDescent="0.25">
      <c r="A200" s="6">
        <v>45860</v>
      </c>
      <c r="B200" s="39" t="s">
        <v>32</v>
      </c>
      <c r="C200" s="10">
        <v>35</v>
      </c>
      <c r="D200" s="20">
        <v>2435</v>
      </c>
      <c r="E200" s="20">
        <v>2129.9</v>
      </c>
      <c r="F200" s="20">
        <f t="shared" si="12"/>
        <v>305.09999999999991</v>
      </c>
      <c r="G200" s="20">
        <f t="shared" si="13"/>
        <v>85225</v>
      </c>
      <c r="H200" s="20">
        <f t="shared" si="14"/>
        <v>74546.5</v>
      </c>
      <c r="I200" s="20">
        <f t="shared" si="15"/>
        <v>10678.5</v>
      </c>
      <c r="J200" t="s">
        <v>69</v>
      </c>
    </row>
    <row r="201" spans="1:10" x14ac:dyDescent="0.25">
      <c r="A201" s="6">
        <v>45860</v>
      </c>
      <c r="B201" s="39" t="s">
        <v>33</v>
      </c>
      <c r="C201" s="10">
        <v>15</v>
      </c>
      <c r="D201" s="20">
        <v>1700</v>
      </c>
      <c r="E201" s="20">
        <v>1407.8999999999999</v>
      </c>
      <c r="F201" s="20">
        <f t="shared" si="12"/>
        <v>292.10000000000014</v>
      </c>
      <c r="G201" s="20">
        <f t="shared" si="13"/>
        <v>25500</v>
      </c>
      <c r="H201" s="20">
        <f t="shared" si="14"/>
        <v>21118.499999999996</v>
      </c>
      <c r="I201" s="20">
        <f t="shared" si="15"/>
        <v>4381.5000000000036</v>
      </c>
      <c r="J201" t="s">
        <v>69</v>
      </c>
    </row>
    <row r="202" spans="1:10" x14ac:dyDescent="0.25">
      <c r="A202" s="6">
        <v>45860</v>
      </c>
      <c r="B202" s="39" t="s">
        <v>34</v>
      </c>
      <c r="C202" s="10">
        <v>7</v>
      </c>
      <c r="D202" s="20">
        <v>1440</v>
      </c>
      <c r="E202" s="20">
        <v>1227.3999999999999</v>
      </c>
      <c r="F202" s="20">
        <f t="shared" si="12"/>
        <v>212.60000000000014</v>
      </c>
      <c r="G202" s="20">
        <f t="shared" si="13"/>
        <v>10080</v>
      </c>
      <c r="H202" s="20">
        <f t="shared" si="14"/>
        <v>8591.7999999999993</v>
      </c>
      <c r="I202" s="20">
        <f t="shared" si="15"/>
        <v>1488.2000000000007</v>
      </c>
      <c r="J202" t="s">
        <v>69</v>
      </c>
    </row>
    <row r="203" spans="1:10" x14ac:dyDescent="0.25">
      <c r="A203" s="27">
        <v>45860</v>
      </c>
      <c r="B203" s="23" t="s">
        <v>17</v>
      </c>
      <c r="C203" s="24">
        <v>10</v>
      </c>
      <c r="D203" s="25">
        <v>2329.5</v>
      </c>
      <c r="E203" s="26">
        <v>2390</v>
      </c>
      <c r="F203" s="26">
        <f t="shared" si="12"/>
        <v>-60.5</v>
      </c>
      <c r="G203" s="26">
        <f t="shared" si="13"/>
        <v>23295</v>
      </c>
      <c r="H203" s="26">
        <f t="shared" si="14"/>
        <v>23900</v>
      </c>
      <c r="I203" s="26">
        <f t="shared" si="15"/>
        <v>-605</v>
      </c>
      <c r="J203" t="s">
        <v>69</v>
      </c>
    </row>
    <row r="204" spans="1:10" x14ac:dyDescent="0.25">
      <c r="A204" s="6">
        <v>45861</v>
      </c>
      <c r="B204" t="s">
        <v>14</v>
      </c>
      <c r="C204" s="10">
        <v>5</v>
      </c>
      <c r="D204" s="16">
        <v>2680</v>
      </c>
      <c r="E204" s="20">
        <v>2580</v>
      </c>
      <c r="F204" s="20">
        <f t="shared" si="12"/>
        <v>100</v>
      </c>
      <c r="G204" s="20">
        <f t="shared" si="13"/>
        <v>13400</v>
      </c>
      <c r="H204" s="20">
        <f t="shared" si="14"/>
        <v>12900</v>
      </c>
      <c r="I204" s="20">
        <f t="shared" si="15"/>
        <v>500</v>
      </c>
      <c r="J204" t="s">
        <v>69</v>
      </c>
    </row>
    <row r="205" spans="1:10" x14ac:dyDescent="0.25">
      <c r="A205" s="6">
        <v>45861</v>
      </c>
      <c r="B205" t="s">
        <v>14</v>
      </c>
      <c r="C205" s="10">
        <v>10</v>
      </c>
      <c r="D205" s="16">
        <v>2435</v>
      </c>
      <c r="E205" s="20">
        <v>2400</v>
      </c>
      <c r="F205" s="20">
        <f t="shared" si="12"/>
        <v>35</v>
      </c>
      <c r="G205" s="20">
        <f t="shared" si="13"/>
        <v>24350</v>
      </c>
      <c r="H205" s="20">
        <f t="shared" si="14"/>
        <v>24000</v>
      </c>
      <c r="I205" s="20">
        <f t="shared" si="15"/>
        <v>350</v>
      </c>
      <c r="J205" t="s">
        <v>69</v>
      </c>
    </row>
    <row r="206" spans="1:10" x14ac:dyDescent="0.25">
      <c r="A206" s="6">
        <v>45861</v>
      </c>
      <c r="B206" t="s">
        <v>14</v>
      </c>
      <c r="C206" s="10">
        <v>2</v>
      </c>
      <c r="D206" s="16">
        <v>2550</v>
      </c>
      <c r="E206" s="20">
        <v>2500</v>
      </c>
      <c r="F206" s="20">
        <f t="shared" si="12"/>
        <v>50</v>
      </c>
      <c r="G206" s="20">
        <f t="shared" si="13"/>
        <v>5100</v>
      </c>
      <c r="H206" s="20">
        <f t="shared" si="14"/>
        <v>5000</v>
      </c>
      <c r="I206" s="20">
        <f t="shared" si="15"/>
        <v>100</v>
      </c>
      <c r="J206" t="s">
        <v>69</v>
      </c>
    </row>
    <row r="207" spans="1:10" x14ac:dyDescent="0.25">
      <c r="A207" s="6">
        <v>45861</v>
      </c>
      <c r="B207" t="s">
        <v>24</v>
      </c>
      <c r="C207" s="10">
        <v>2</v>
      </c>
      <c r="D207" s="16">
        <v>2700</v>
      </c>
      <c r="E207" s="20">
        <v>2600</v>
      </c>
      <c r="F207" s="20">
        <f t="shared" si="12"/>
        <v>100</v>
      </c>
      <c r="G207" s="20">
        <f t="shared" si="13"/>
        <v>5400</v>
      </c>
      <c r="H207" s="20">
        <f t="shared" si="14"/>
        <v>5200</v>
      </c>
      <c r="I207" s="20">
        <f t="shared" si="15"/>
        <v>200</v>
      </c>
      <c r="J207" t="s">
        <v>69</v>
      </c>
    </row>
    <row r="208" spans="1:10" x14ac:dyDescent="0.25">
      <c r="A208" s="6">
        <v>45861</v>
      </c>
      <c r="B208" t="s">
        <v>24</v>
      </c>
      <c r="C208" s="10">
        <v>2</v>
      </c>
      <c r="D208" s="16">
        <v>2750</v>
      </c>
      <c r="E208" s="20">
        <v>2600</v>
      </c>
      <c r="F208" s="20">
        <f t="shared" si="12"/>
        <v>150</v>
      </c>
      <c r="G208" s="20">
        <f t="shared" si="13"/>
        <v>5500</v>
      </c>
      <c r="H208" s="20">
        <f t="shared" si="14"/>
        <v>5200</v>
      </c>
      <c r="I208" s="20">
        <f t="shared" si="15"/>
        <v>300</v>
      </c>
      <c r="J208" t="s">
        <v>69</v>
      </c>
    </row>
    <row r="209" spans="1:10" x14ac:dyDescent="0.25">
      <c r="A209" s="6">
        <v>45861</v>
      </c>
      <c r="B209" t="s">
        <v>23</v>
      </c>
      <c r="C209" s="10">
        <v>1</v>
      </c>
      <c r="D209" s="16">
        <v>2950</v>
      </c>
      <c r="E209" s="20">
        <v>2750</v>
      </c>
      <c r="F209" s="20">
        <f t="shared" si="12"/>
        <v>200</v>
      </c>
      <c r="G209" s="20">
        <f t="shared" si="13"/>
        <v>2950</v>
      </c>
      <c r="H209" s="20">
        <f t="shared" si="14"/>
        <v>2750</v>
      </c>
      <c r="I209" s="20">
        <f t="shared" si="15"/>
        <v>200</v>
      </c>
      <c r="J209" t="s">
        <v>69</v>
      </c>
    </row>
    <row r="210" spans="1:10" x14ac:dyDescent="0.25">
      <c r="A210" s="6">
        <v>45861</v>
      </c>
      <c r="B210" t="s">
        <v>26</v>
      </c>
      <c r="C210" s="10">
        <v>1</v>
      </c>
      <c r="D210" s="16">
        <v>2525</v>
      </c>
      <c r="E210" s="20">
        <v>2350</v>
      </c>
      <c r="F210" s="20">
        <f t="shared" si="12"/>
        <v>175</v>
      </c>
      <c r="G210" s="20">
        <f t="shared" si="13"/>
        <v>2525</v>
      </c>
      <c r="H210" s="20">
        <f t="shared" si="14"/>
        <v>2350</v>
      </c>
      <c r="I210" s="20">
        <f t="shared" si="15"/>
        <v>175</v>
      </c>
      <c r="J210" t="s">
        <v>69</v>
      </c>
    </row>
    <row r="211" spans="1:10" x14ac:dyDescent="0.25">
      <c r="A211" s="6">
        <v>45861</v>
      </c>
      <c r="B211" t="s">
        <v>26</v>
      </c>
      <c r="C211" s="10">
        <v>1</v>
      </c>
      <c r="D211" s="16">
        <v>2650</v>
      </c>
      <c r="E211" s="20">
        <v>2350</v>
      </c>
      <c r="F211" s="20">
        <f t="shared" si="12"/>
        <v>300</v>
      </c>
      <c r="G211" s="20">
        <f t="shared" si="13"/>
        <v>2650</v>
      </c>
      <c r="H211" s="20">
        <f t="shared" si="14"/>
        <v>2350</v>
      </c>
      <c r="I211" s="20">
        <f t="shared" si="15"/>
        <v>300</v>
      </c>
      <c r="J211" t="s">
        <v>69</v>
      </c>
    </row>
    <row r="212" spans="1:10" x14ac:dyDescent="0.25">
      <c r="A212" s="6">
        <v>45861</v>
      </c>
      <c r="B212" t="s">
        <v>15</v>
      </c>
      <c r="C212" s="10">
        <v>2</v>
      </c>
      <c r="D212" s="16">
        <v>2170</v>
      </c>
      <c r="E212" s="20">
        <v>2070</v>
      </c>
      <c r="F212" s="20">
        <f t="shared" si="12"/>
        <v>100</v>
      </c>
      <c r="G212" s="20">
        <f t="shared" si="13"/>
        <v>4340</v>
      </c>
      <c r="H212" s="20">
        <f t="shared" si="14"/>
        <v>4140</v>
      </c>
      <c r="I212" s="20">
        <f t="shared" si="15"/>
        <v>200</v>
      </c>
      <c r="J212" t="s">
        <v>69</v>
      </c>
    </row>
    <row r="213" spans="1:10" x14ac:dyDescent="0.25">
      <c r="A213" s="6">
        <v>45861</v>
      </c>
      <c r="B213" t="s">
        <v>15</v>
      </c>
      <c r="C213" s="10">
        <v>1</v>
      </c>
      <c r="D213" s="16">
        <v>2070</v>
      </c>
      <c r="E213" s="20">
        <v>2020</v>
      </c>
      <c r="F213" s="20">
        <f t="shared" si="12"/>
        <v>50</v>
      </c>
      <c r="G213" s="20">
        <f t="shared" si="13"/>
        <v>2070</v>
      </c>
      <c r="H213" s="20">
        <f t="shared" si="14"/>
        <v>2020</v>
      </c>
      <c r="I213" s="20">
        <f t="shared" si="15"/>
        <v>50</v>
      </c>
      <c r="J213" t="s">
        <v>69</v>
      </c>
    </row>
    <row r="214" spans="1:10" x14ac:dyDescent="0.25">
      <c r="A214" s="6">
        <v>45861</v>
      </c>
      <c r="B214" t="s">
        <v>15</v>
      </c>
      <c r="C214" s="10">
        <v>1</v>
      </c>
      <c r="D214" s="16">
        <v>2020</v>
      </c>
      <c r="E214" s="20">
        <v>2020</v>
      </c>
      <c r="F214" s="20">
        <f t="shared" si="12"/>
        <v>0</v>
      </c>
      <c r="G214" s="20">
        <f t="shared" si="13"/>
        <v>2020</v>
      </c>
      <c r="H214" s="20">
        <f t="shared" si="14"/>
        <v>2020</v>
      </c>
      <c r="I214" s="20">
        <f t="shared" si="15"/>
        <v>0</v>
      </c>
      <c r="J214" t="s">
        <v>69</v>
      </c>
    </row>
    <row r="215" spans="1:10" x14ac:dyDescent="0.25">
      <c r="A215" s="6">
        <v>45861</v>
      </c>
      <c r="B215" t="s">
        <v>22</v>
      </c>
      <c r="C215" s="10">
        <v>1</v>
      </c>
      <c r="D215" s="16">
        <v>2450</v>
      </c>
      <c r="E215" s="20">
        <v>2200</v>
      </c>
      <c r="F215" s="20">
        <f t="shared" si="12"/>
        <v>250</v>
      </c>
      <c r="G215" s="20">
        <f t="shared" si="13"/>
        <v>2450</v>
      </c>
      <c r="H215" s="20">
        <f t="shared" si="14"/>
        <v>2200</v>
      </c>
      <c r="I215" s="20">
        <f t="shared" si="15"/>
        <v>250</v>
      </c>
      <c r="J215" t="s">
        <v>69</v>
      </c>
    </row>
    <row r="216" spans="1:10" x14ac:dyDescent="0.25">
      <c r="A216" s="6">
        <v>45861</v>
      </c>
      <c r="B216" t="s">
        <v>22</v>
      </c>
      <c r="C216" s="10">
        <v>1</v>
      </c>
      <c r="D216" s="16">
        <v>2550</v>
      </c>
      <c r="E216" s="20">
        <v>2200</v>
      </c>
      <c r="F216" s="20">
        <f t="shared" si="12"/>
        <v>350</v>
      </c>
      <c r="G216" s="20">
        <f t="shared" si="13"/>
        <v>2550</v>
      </c>
      <c r="H216" s="20">
        <f t="shared" si="14"/>
        <v>2200</v>
      </c>
      <c r="I216" s="20">
        <f t="shared" si="15"/>
        <v>350</v>
      </c>
      <c r="J216" t="s">
        <v>69</v>
      </c>
    </row>
    <row r="217" spans="1:10" x14ac:dyDescent="0.25">
      <c r="A217" s="6">
        <v>45861</v>
      </c>
      <c r="B217" t="s">
        <v>49</v>
      </c>
      <c r="C217" s="10">
        <v>2</v>
      </c>
      <c r="D217" s="16">
        <v>1850</v>
      </c>
      <c r="E217" s="20">
        <v>1800</v>
      </c>
      <c r="F217" s="20">
        <f t="shared" si="12"/>
        <v>50</v>
      </c>
      <c r="G217" s="20">
        <f t="shared" si="13"/>
        <v>3700</v>
      </c>
      <c r="H217" s="20">
        <f t="shared" si="14"/>
        <v>3600</v>
      </c>
      <c r="I217" s="20">
        <f t="shared" si="15"/>
        <v>100</v>
      </c>
      <c r="J217" t="s">
        <v>69</v>
      </c>
    </row>
    <row r="218" spans="1:10" x14ac:dyDescent="0.25">
      <c r="A218" s="6">
        <v>45861</v>
      </c>
      <c r="B218" t="s">
        <v>50</v>
      </c>
      <c r="C218" s="10">
        <v>2</v>
      </c>
      <c r="D218" s="16">
        <v>1950</v>
      </c>
      <c r="E218" s="20">
        <v>1850</v>
      </c>
      <c r="F218" s="20">
        <f t="shared" si="12"/>
        <v>100</v>
      </c>
      <c r="G218" s="20">
        <f t="shared" si="13"/>
        <v>3900</v>
      </c>
      <c r="H218" s="20">
        <f t="shared" si="14"/>
        <v>3700</v>
      </c>
      <c r="I218" s="20">
        <f t="shared" si="15"/>
        <v>200</v>
      </c>
      <c r="J218" t="s">
        <v>69</v>
      </c>
    </row>
    <row r="219" spans="1:10" x14ac:dyDescent="0.25">
      <c r="A219" s="6">
        <v>45863</v>
      </c>
      <c r="B219" t="s">
        <v>50</v>
      </c>
      <c r="C219" s="10">
        <v>4</v>
      </c>
      <c r="D219" s="16">
        <v>1950</v>
      </c>
      <c r="E219" s="20">
        <v>1850</v>
      </c>
      <c r="F219" s="20">
        <f t="shared" si="12"/>
        <v>100</v>
      </c>
      <c r="G219" s="20">
        <f t="shared" si="13"/>
        <v>7800</v>
      </c>
      <c r="H219" s="20">
        <f t="shared" si="14"/>
        <v>7400</v>
      </c>
      <c r="I219" s="20">
        <f t="shared" si="15"/>
        <v>400</v>
      </c>
      <c r="J219" t="s">
        <v>69</v>
      </c>
    </row>
    <row r="220" spans="1:10" x14ac:dyDescent="0.25">
      <c r="A220" s="6">
        <v>45863</v>
      </c>
      <c r="B220" t="s">
        <v>14</v>
      </c>
      <c r="C220" s="10">
        <v>10</v>
      </c>
      <c r="D220" s="16">
        <v>2700</v>
      </c>
      <c r="E220" s="20">
        <v>2580</v>
      </c>
      <c r="F220" s="20">
        <f t="shared" si="12"/>
        <v>120</v>
      </c>
      <c r="G220" s="20">
        <f t="shared" si="13"/>
        <v>27000</v>
      </c>
      <c r="H220" s="20">
        <f t="shared" si="14"/>
        <v>25800</v>
      </c>
      <c r="I220" s="20">
        <f t="shared" si="15"/>
        <v>1200</v>
      </c>
      <c r="J220" t="s">
        <v>69</v>
      </c>
    </row>
    <row r="221" spans="1:10" x14ac:dyDescent="0.25">
      <c r="A221" s="6">
        <v>45863</v>
      </c>
      <c r="B221" t="s">
        <v>14</v>
      </c>
      <c r="C221" s="10">
        <v>7</v>
      </c>
      <c r="D221" s="16">
        <v>2445</v>
      </c>
      <c r="E221" s="20">
        <v>2400</v>
      </c>
      <c r="F221" s="20">
        <f t="shared" si="12"/>
        <v>45</v>
      </c>
      <c r="G221" s="20">
        <f t="shared" si="13"/>
        <v>17115</v>
      </c>
      <c r="H221" s="20">
        <f t="shared" si="14"/>
        <v>16800</v>
      </c>
      <c r="I221" s="20">
        <f t="shared" si="15"/>
        <v>315</v>
      </c>
      <c r="J221" t="s">
        <v>69</v>
      </c>
    </row>
    <row r="222" spans="1:10" x14ac:dyDescent="0.25">
      <c r="A222" s="6">
        <v>45863</v>
      </c>
      <c r="B222" t="s">
        <v>14</v>
      </c>
      <c r="C222" s="10">
        <v>6</v>
      </c>
      <c r="D222" s="16">
        <v>2560</v>
      </c>
      <c r="E222" s="20">
        <v>2500</v>
      </c>
      <c r="F222" s="20">
        <f t="shared" si="12"/>
        <v>60</v>
      </c>
      <c r="G222" s="20">
        <f t="shared" si="13"/>
        <v>15360</v>
      </c>
      <c r="H222" s="20">
        <f t="shared" si="14"/>
        <v>15000</v>
      </c>
      <c r="I222" s="20">
        <f t="shared" si="15"/>
        <v>360</v>
      </c>
      <c r="J222" t="s">
        <v>69</v>
      </c>
    </row>
    <row r="223" spans="1:10" x14ac:dyDescent="0.25">
      <c r="A223" s="6">
        <v>45863</v>
      </c>
      <c r="B223" t="s">
        <v>24</v>
      </c>
      <c r="C223" s="10">
        <v>1</v>
      </c>
      <c r="D223" s="16">
        <v>2950</v>
      </c>
      <c r="E223" s="20">
        <v>2700</v>
      </c>
      <c r="F223" s="20">
        <f t="shared" si="12"/>
        <v>250</v>
      </c>
      <c r="G223" s="20">
        <f t="shared" si="13"/>
        <v>2950</v>
      </c>
      <c r="H223" s="20">
        <f t="shared" si="14"/>
        <v>2700</v>
      </c>
      <c r="I223" s="20">
        <f t="shared" si="15"/>
        <v>250</v>
      </c>
      <c r="J223" t="s">
        <v>69</v>
      </c>
    </row>
    <row r="224" spans="1:10" x14ac:dyDescent="0.25">
      <c r="A224" s="6">
        <v>45863</v>
      </c>
      <c r="B224" t="s">
        <v>24</v>
      </c>
      <c r="C224" s="10">
        <v>1</v>
      </c>
      <c r="D224" s="16">
        <v>2730</v>
      </c>
      <c r="E224" s="20">
        <v>2600</v>
      </c>
      <c r="F224" s="20">
        <f t="shared" si="12"/>
        <v>130</v>
      </c>
      <c r="G224" s="20">
        <f t="shared" si="13"/>
        <v>2730</v>
      </c>
      <c r="H224" s="20">
        <f t="shared" si="14"/>
        <v>2600</v>
      </c>
      <c r="I224" s="20">
        <f t="shared" si="15"/>
        <v>130</v>
      </c>
      <c r="J224" t="s">
        <v>69</v>
      </c>
    </row>
    <row r="225" spans="1:10" x14ac:dyDescent="0.25">
      <c r="A225" s="6">
        <v>45863</v>
      </c>
      <c r="B225" t="s">
        <v>23</v>
      </c>
      <c r="C225" s="10">
        <v>3</v>
      </c>
      <c r="D225" s="16">
        <v>3100</v>
      </c>
      <c r="E225" s="21">
        <v>2750</v>
      </c>
      <c r="F225" s="20">
        <f t="shared" si="12"/>
        <v>350</v>
      </c>
      <c r="G225" s="20">
        <f t="shared" si="13"/>
        <v>9300</v>
      </c>
      <c r="H225" s="20">
        <f t="shared" si="14"/>
        <v>8250</v>
      </c>
      <c r="I225" s="20">
        <f t="shared" si="15"/>
        <v>1050</v>
      </c>
      <c r="J225" t="s">
        <v>69</v>
      </c>
    </row>
    <row r="226" spans="1:10" x14ac:dyDescent="0.25">
      <c r="A226" s="6">
        <v>45863</v>
      </c>
      <c r="B226" t="s">
        <v>23</v>
      </c>
      <c r="C226" s="10">
        <v>1</v>
      </c>
      <c r="D226" s="16">
        <v>2950</v>
      </c>
      <c r="E226" s="20">
        <v>2700</v>
      </c>
      <c r="F226" s="20">
        <f t="shared" si="12"/>
        <v>250</v>
      </c>
      <c r="G226" s="20">
        <f t="shared" si="13"/>
        <v>2950</v>
      </c>
      <c r="H226" s="20">
        <f t="shared" si="14"/>
        <v>2700</v>
      </c>
      <c r="I226" s="20">
        <f t="shared" si="15"/>
        <v>250</v>
      </c>
      <c r="J226" t="s">
        <v>69</v>
      </c>
    </row>
    <row r="227" spans="1:10" x14ac:dyDescent="0.25">
      <c r="A227" s="6">
        <v>45863</v>
      </c>
      <c r="B227" t="s">
        <v>26</v>
      </c>
      <c r="C227" s="10">
        <v>2</v>
      </c>
      <c r="D227" s="16">
        <v>2550</v>
      </c>
      <c r="E227" s="20">
        <v>2200</v>
      </c>
      <c r="F227" s="20">
        <f t="shared" si="12"/>
        <v>350</v>
      </c>
      <c r="G227" s="20">
        <f t="shared" si="13"/>
        <v>5100</v>
      </c>
      <c r="H227" s="20">
        <f t="shared" si="14"/>
        <v>4400</v>
      </c>
      <c r="I227" s="20">
        <f t="shared" si="15"/>
        <v>700</v>
      </c>
      <c r="J227" t="s">
        <v>69</v>
      </c>
    </row>
    <row r="228" spans="1:10" x14ac:dyDescent="0.25">
      <c r="A228" s="6">
        <v>45863</v>
      </c>
      <c r="B228" t="s">
        <v>25</v>
      </c>
      <c r="C228" s="10">
        <v>1</v>
      </c>
      <c r="D228" s="16">
        <v>2350</v>
      </c>
      <c r="E228" s="20">
        <v>2050</v>
      </c>
      <c r="F228" s="20">
        <f t="shared" si="12"/>
        <v>300</v>
      </c>
      <c r="G228" s="20">
        <f t="shared" si="13"/>
        <v>2350</v>
      </c>
      <c r="H228" s="20">
        <f t="shared" si="14"/>
        <v>2050</v>
      </c>
      <c r="I228" s="20">
        <f t="shared" si="15"/>
        <v>300</v>
      </c>
      <c r="J228" t="s">
        <v>69</v>
      </c>
    </row>
    <row r="229" spans="1:10" x14ac:dyDescent="0.25">
      <c r="A229" s="6">
        <v>45863</v>
      </c>
      <c r="B229" t="s">
        <v>15</v>
      </c>
      <c r="C229" s="10">
        <v>2</v>
      </c>
      <c r="D229" s="16">
        <v>2170</v>
      </c>
      <c r="E229" s="20">
        <v>2070</v>
      </c>
      <c r="F229" s="20">
        <f t="shared" si="12"/>
        <v>100</v>
      </c>
      <c r="G229" s="20">
        <f t="shared" si="13"/>
        <v>4340</v>
      </c>
      <c r="H229" s="20">
        <f t="shared" si="14"/>
        <v>4140</v>
      </c>
      <c r="I229" s="20">
        <f t="shared" si="15"/>
        <v>200</v>
      </c>
      <c r="J229" t="s">
        <v>69</v>
      </c>
    </row>
    <row r="230" spans="1:10" x14ac:dyDescent="0.25">
      <c r="A230" s="6">
        <v>45863</v>
      </c>
      <c r="B230" t="s">
        <v>15</v>
      </c>
      <c r="C230" s="10">
        <v>1</v>
      </c>
      <c r="D230" s="16">
        <v>2020</v>
      </c>
      <c r="E230" s="20">
        <v>2020</v>
      </c>
      <c r="F230" s="20">
        <f t="shared" si="12"/>
        <v>0</v>
      </c>
      <c r="G230" s="20">
        <f t="shared" si="13"/>
        <v>2020</v>
      </c>
      <c r="H230" s="20">
        <f t="shared" si="14"/>
        <v>2020</v>
      </c>
      <c r="I230" s="20">
        <f t="shared" si="15"/>
        <v>0</v>
      </c>
      <c r="J230" t="s">
        <v>69</v>
      </c>
    </row>
    <row r="231" spans="1:10" x14ac:dyDescent="0.25">
      <c r="A231" s="6">
        <v>45863</v>
      </c>
      <c r="B231" t="s">
        <v>20</v>
      </c>
      <c r="C231" s="10">
        <v>1</v>
      </c>
      <c r="D231" s="16">
        <v>1550</v>
      </c>
      <c r="E231" s="20">
        <v>1400</v>
      </c>
      <c r="F231" s="20">
        <f t="shared" si="12"/>
        <v>150</v>
      </c>
      <c r="G231" s="20">
        <f t="shared" si="13"/>
        <v>1550</v>
      </c>
      <c r="H231" s="20">
        <f t="shared" si="14"/>
        <v>1400</v>
      </c>
      <c r="I231" s="20">
        <f t="shared" si="15"/>
        <v>150</v>
      </c>
      <c r="J231" t="s">
        <v>69</v>
      </c>
    </row>
    <row r="232" spans="1:10" x14ac:dyDescent="0.25">
      <c r="A232" s="6">
        <v>45863</v>
      </c>
      <c r="B232" t="s">
        <v>52</v>
      </c>
      <c r="C232" s="10">
        <v>3</v>
      </c>
      <c r="D232" s="16">
        <v>1400</v>
      </c>
      <c r="E232" s="20">
        <v>1230</v>
      </c>
      <c r="F232" s="20">
        <f t="shared" si="12"/>
        <v>170</v>
      </c>
      <c r="G232" s="20">
        <f t="shared" si="13"/>
        <v>4200</v>
      </c>
      <c r="H232" s="20">
        <f t="shared" si="14"/>
        <v>3690</v>
      </c>
      <c r="I232" s="20">
        <f t="shared" si="15"/>
        <v>510</v>
      </c>
      <c r="J232" t="s">
        <v>69</v>
      </c>
    </row>
    <row r="233" spans="1:10" x14ac:dyDescent="0.25">
      <c r="A233" s="6">
        <v>45863</v>
      </c>
      <c r="B233" t="s">
        <v>52</v>
      </c>
      <c r="C233" s="10">
        <v>1</v>
      </c>
      <c r="D233" s="16">
        <v>1400</v>
      </c>
      <c r="E233" s="20">
        <v>1230</v>
      </c>
      <c r="F233" s="20">
        <f t="shared" si="12"/>
        <v>170</v>
      </c>
      <c r="G233" s="20">
        <f t="shared" si="13"/>
        <v>1400</v>
      </c>
      <c r="H233" s="20">
        <f t="shared" si="14"/>
        <v>1230</v>
      </c>
      <c r="I233" s="20">
        <f t="shared" si="15"/>
        <v>170</v>
      </c>
      <c r="J233" t="s">
        <v>69</v>
      </c>
    </row>
    <row r="234" spans="1:10" x14ac:dyDescent="0.25">
      <c r="A234" s="6">
        <v>45863</v>
      </c>
      <c r="B234" t="s">
        <v>52</v>
      </c>
      <c r="C234" s="10">
        <v>1</v>
      </c>
      <c r="D234" s="16">
        <v>1300</v>
      </c>
      <c r="E234" s="20">
        <v>1200</v>
      </c>
      <c r="F234" s="20">
        <f t="shared" si="12"/>
        <v>100</v>
      </c>
      <c r="G234" s="20">
        <f t="shared" si="13"/>
        <v>1300</v>
      </c>
      <c r="H234" s="20">
        <f t="shared" si="14"/>
        <v>1200</v>
      </c>
      <c r="I234" s="20">
        <f t="shared" si="15"/>
        <v>100</v>
      </c>
      <c r="J234" t="s">
        <v>69</v>
      </c>
    </row>
    <row r="235" spans="1:10" x14ac:dyDescent="0.25">
      <c r="A235" s="6">
        <v>45863</v>
      </c>
      <c r="B235" t="s">
        <v>53</v>
      </c>
      <c r="C235" s="10">
        <v>1</v>
      </c>
      <c r="D235" s="16">
        <v>5100</v>
      </c>
      <c r="E235" s="20">
        <v>3550</v>
      </c>
      <c r="F235" s="20">
        <f t="shared" si="12"/>
        <v>1550</v>
      </c>
      <c r="G235" s="20">
        <f t="shared" si="13"/>
        <v>5100</v>
      </c>
      <c r="H235" s="20">
        <f t="shared" si="14"/>
        <v>3550</v>
      </c>
      <c r="I235" s="20">
        <f t="shared" si="15"/>
        <v>1550</v>
      </c>
      <c r="J235" t="s">
        <v>69</v>
      </c>
    </row>
    <row r="236" spans="1:10" x14ac:dyDescent="0.25">
      <c r="A236" s="6">
        <v>45863</v>
      </c>
      <c r="B236" t="s">
        <v>19</v>
      </c>
      <c r="C236" s="10">
        <v>2</v>
      </c>
      <c r="D236" s="16">
        <v>3930</v>
      </c>
      <c r="E236" s="20">
        <v>3600</v>
      </c>
      <c r="F236" s="20">
        <f t="shared" si="12"/>
        <v>330</v>
      </c>
      <c r="G236" s="20">
        <f t="shared" si="13"/>
        <v>7860</v>
      </c>
      <c r="H236" s="20">
        <f t="shared" si="14"/>
        <v>7200</v>
      </c>
      <c r="I236" s="20">
        <f t="shared" si="15"/>
        <v>660</v>
      </c>
      <c r="J236" t="s">
        <v>69</v>
      </c>
    </row>
    <row r="237" spans="1:10" x14ac:dyDescent="0.25">
      <c r="A237" s="6">
        <v>45863</v>
      </c>
      <c r="B237" t="s">
        <v>19</v>
      </c>
      <c r="C237" s="10">
        <v>2</v>
      </c>
      <c r="D237" s="16">
        <v>3700</v>
      </c>
      <c r="E237" s="20">
        <v>3600</v>
      </c>
      <c r="F237" s="20">
        <f t="shared" si="12"/>
        <v>100</v>
      </c>
      <c r="G237" s="20">
        <f t="shared" si="13"/>
        <v>7400</v>
      </c>
      <c r="H237" s="20">
        <f t="shared" si="14"/>
        <v>7200</v>
      </c>
      <c r="I237" s="20">
        <f t="shared" si="15"/>
        <v>200</v>
      </c>
      <c r="J237" t="s">
        <v>69</v>
      </c>
    </row>
    <row r="238" spans="1:10" x14ac:dyDescent="0.25">
      <c r="A238" s="27">
        <v>45863</v>
      </c>
      <c r="B238" s="23" t="s">
        <v>17</v>
      </c>
      <c r="C238" s="24">
        <v>1</v>
      </c>
      <c r="D238" s="25">
        <v>2000</v>
      </c>
      <c r="E238" s="26">
        <v>2390</v>
      </c>
      <c r="F238" s="26">
        <f t="shared" si="12"/>
        <v>-390</v>
      </c>
      <c r="G238" s="26">
        <f t="shared" si="13"/>
        <v>2000</v>
      </c>
      <c r="H238" s="26">
        <f t="shared" si="14"/>
        <v>2390</v>
      </c>
      <c r="I238" s="26">
        <f t="shared" si="15"/>
        <v>-390</v>
      </c>
      <c r="J238" t="s">
        <v>69</v>
      </c>
    </row>
    <row r="239" spans="1:10" x14ac:dyDescent="0.25">
      <c r="A239" s="6">
        <v>45864</v>
      </c>
      <c r="B239" t="s">
        <v>17</v>
      </c>
      <c r="C239" s="10">
        <v>1</v>
      </c>
      <c r="D239" s="16">
        <v>2410</v>
      </c>
      <c r="E239" s="20">
        <v>2410</v>
      </c>
      <c r="F239" s="20">
        <f t="shared" si="12"/>
        <v>0</v>
      </c>
      <c r="G239" s="20">
        <f t="shared" si="13"/>
        <v>2410</v>
      </c>
      <c r="H239" s="20">
        <f t="shared" si="14"/>
        <v>2410</v>
      </c>
      <c r="I239" s="20">
        <f t="shared" si="15"/>
        <v>0</v>
      </c>
      <c r="J239" t="s">
        <v>69</v>
      </c>
    </row>
    <row r="240" spans="1:10" x14ac:dyDescent="0.25">
      <c r="A240" s="6">
        <v>45866</v>
      </c>
      <c r="B240" t="s">
        <v>14</v>
      </c>
      <c r="C240" s="10">
        <v>1</v>
      </c>
      <c r="D240" s="16">
        <v>2650</v>
      </c>
      <c r="E240" s="20">
        <v>2500</v>
      </c>
      <c r="F240" s="20">
        <f t="shared" si="12"/>
        <v>150</v>
      </c>
      <c r="G240" s="20">
        <f t="shared" si="13"/>
        <v>2650</v>
      </c>
      <c r="H240" s="20">
        <f t="shared" si="14"/>
        <v>2500</v>
      </c>
      <c r="I240" s="20">
        <f t="shared" si="15"/>
        <v>150</v>
      </c>
      <c r="J240" t="s">
        <v>69</v>
      </c>
    </row>
    <row r="241" spans="1:10" x14ac:dyDescent="0.25">
      <c r="A241" s="6">
        <v>45866</v>
      </c>
      <c r="B241" t="s">
        <v>17</v>
      </c>
      <c r="C241" s="10">
        <v>4</v>
      </c>
      <c r="D241" s="16">
        <v>2400</v>
      </c>
      <c r="E241" s="20">
        <v>2390</v>
      </c>
      <c r="F241" s="20">
        <f t="shared" si="12"/>
        <v>10</v>
      </c>
      <c r="G241" s="20">
        <f t="shared" si="13"/>
        <v>9600</v>
      </c>
      <c r="H241" s="20">
        <f t="shared" si="14"/>
        <v>9560</v>
      </c>
      <c r="I241" s="20">
        <f t="shared" si="15"/>
        <v>40</v>
      </c>
      <c r="J241" t="s">
        <v>69</v>
      </c>
    </row>
    <row r="242" spans="1:10" x14ac:dyDescent="0.25">
      <c r="A242" s="6">
        <v>45866</v>
      </c>
      <c r="B242" t="s">
        <v>18</v>
      </c>
      <c r="C242" s="10">
        <v>4</v>
      </c>
      <c r="D242" s="16">
        <v>3770.22</v>
      </c>
      <c r="E242" s="20">
        <v>3550</v>
      </c>
      <c r="F242" s="20">
        <f t="shared" si="12"/>
        <v>220.2199999999998</v>
      </c>
      <c r="G242" s="20">
        <f t="shared" si="13"/>
        <v>15080.88</v>
      </c>
      <c r="H242" s="20">
        <f t="shared" si="14"/>
        <v>14200</v>
      </c>
      <c r="I242" s="20">
        <f t="shared" si="15"/>
        <v>880.8799999999992</v>
      </c>
      <c r="J242" t="s">
        <v>69</v>
      </c>
    </row>
    <row r="243" spans="1:10" x14ac:dyDescent="0.25">
      <c r="A243" s="6">
        <v>45866</v>
      </c>
      <c r="B243" s="40" t="s">
        <v>25</v>
      </c>
      <c r="C243" s="10">
        <v>3</v>
      </c>
      <c r="D243" s="16">
        <v>2318.9899999999998</v>
      </c>
      <c r="E243" s="20">
        <v>2150</v>
      </c>
      <c r="F243" s="20">
        <f t="shared" si="12"/>
        <v>168.98999999999978</v>
      </c>
      <c r="G243" s="20">
        <f t="shared" si="13"/>
        <v>6956.9699999999993</v>
      </c>
      <c r="H243" s="20">
        <f t="shared" si="14"/>
        <v>6450</v>
      </c>
      <c r="I243" s="20">
        <f t="shared" si="15"/>
        <v>506.96999999999935</v>
      </c>
      <c r="J243" t="s">
        <v>69</v>
      </c>
    </row>
    <row r="244" spans="1:10" x14ac:dyDescent="0.25">
      <c r="A244" s="6">
        <v>45866</v>
      </c>
      <c r="B244" s="38" t="s">
        <v>15</v>
      </c>
      <c r="C244" s="8">
        <v>2</v>
      </c>
      <c r="D244" s="17">
        <v>2080.1799999999998</v>
      </c>
      <c r="E244" s="20">
        <v>2070</v>
      </c>
      <c r="F244" s="20">
        <f t="shared" si="12"/>
        <v>10.179999999999836</v>
      </c>
      <c r="G244" s="20">
        <f t="shared" si="13"/>
        <v>4160.3599999999997</v>
      </c>
      <c r="H244" s="20">
        <f t="shared" si="14"/>
        <v>4140</v>
      </c>
      <c r="I244" s="20">
        <f t="shared" si="15"/>
        <v>20.359999999999673</v>
      </c>
      <c r="J244" t="s">
        <v>69</v>
      </c>
    </row>
    <row r="245" spans="1:10" x14ac:dyDescent="0.25">
      <c r="A245" s="6">
        <v>45866</v>
      </c>
      <c r="B245" s="38" t="s">
        <v>22</v>
      </c>
      <c r="C245" s="8">
        <v>1</v>
      </c>
      <c r="D245" s="17">
        <v>2465.9499999999998</v>
      </c>
      <c r="E245" s="20">
        <v>2200</v>
      </c>
      <c r="F245" s="20">
        <f t="shared" si="12"/>
        <v>265.94999999999982</v>
      </c>
      <c r="G245" s="20">
        <f t="shared" si="13"/>
        <v>2465.9499999999998</v>
      </c>
      <c r="H245" s="20">
        <f t="shared" si="14"/>
        <v>2200</v>
      </c>
      <c r="I245" s="20">
        <f t="shared" si="15"/>
        <v>265.94999999999982</v>
      </c>
      <c r="J245" t="s">
        <v>69</v>
      </c>
    </row>
    <row r="246" spans="1:10" x14ac:dyDescent="0.25">
      <c r="A246" s="6">
        <v>45866</v>
      </c>
      <c r="B246" s="38" t="s">
        <v>17</v>
      </c>
      <c r="C246" s="8">
        <v>3</v>
      </c>
      <c r="D246" s="17">
        <v>2410.84</v>
      </c>
      <c r="E246" s="20">
        <v>2410</v>
      </c>
      <c r="F246" s="20">
        <f t="shared" si="12"/>
        <v>0.84000000000014552</v>
      </c>
      <c r="G246" s="20">
        <f t="shared" si="13"/>
        <v>7232.52</v>
      </c>
      <c r="H246" s="20">
        <f t="shared" si="14"/>
        <v>7230</v>
      </c>
      <c r="I246" s="20">
        <f t="shared" si="15"/>
        <v>2.5200000000004366</v>
      </c>
      <c r="J246" t="s">
        <v>69</v>
      </c>
    </row>
    <row r="247" spans="1:10" x14ac:dyDescent="0.25">
      <c r="A247" s="27">
        <v>45866</v>
      </c>
      <c r="B247" s="42" t="s">
        <v>55</v>
      </c>
      <c r="C247" s="43">
        <v>3</v>
      </c>
      <c r="D247" s="44">
        <v>592.21</v>
      </c>
      <c r="E247" s="26">
        <v>600</v>
      </c>
      <c r="F247" s="26">
        <f t="shared" si="12"/>
        <v>-7.7899999999999636</v>
      </c>
      <c r="G247" s="26">
        <f t="shared" si="13"/>
        <v>1776.63</v>
      </c>
      <c r="H247" s="26">
        <f t="shared" si="14"/>
        <v>1800</v>
      </c>
      <c r="I247" s="26">
        <f t="shared" si="15"/>
        <v>-23.369999999999891</v>
      </c>
      <c r="J247" t="s">
        <v>69</v>
      </c>
    </row>
    <row r="248" spans="1:10" x14ac:dyDescent="0.25">
      <c r="A248" s="6">
        <v>45866</v>
      </c>
      <c r="B248" s="40" t="s">
        <v>26</v>
      </c>
      <c r="C248" s="10">
        <v>1</v>
      </c>
      <c r="D248" s="16">
        <v>2521.06</v>
      </c>
      <c r="E248" s="20">
        <v>2200</v>
      </c>
      <c r="F248" s="20">
        <f t="shared" si="12"/>
        <v>321.05999999999995</v>
      </c>
      <c r="G248" s="20">
        <f t="shared" si="13"/>
        <v>2521.06</v>
      </c>
      <c r="H248" s="20">
        <f t="shared" si="14"/>
        <v>2200</v>
      </c>
      <c r="I248" s="20">
        <f t="shared" si="15"/>
        <v>321.05999999999995</v>
      </c>
      <c r="J248" t="s">
        <v>69</v>
      </c>
    </row>
    <row r="249" spans="1:10" x14ac:dyDescent="0.25">
      <c r="A249" s="6">
        <v>45866</v>
      </c>
      <c r="B249" t="s">
        <v>14</v>
      </c>
      <c r="C249" s="10">
        <v>6</v>
      </c>
      <c r="D249" s="16">
        <v>2557.8000000000002</v>
      </c>
      <c r="E249" s="20">
        <v>2500</v>
      </c>
      <c r="F249" s="20">
        <f t="shared" si="12"/>
        <v>57.800000000000182</v>
      </c>
      <c r="G249" s="20">
        <f t="shared" si="13"/>
        <v>15346.800000000001</v>
      </c>
      <c r="H249" s="20">
        <f t="shared" si="14"/>
        <v>15000</v>
      </c>
      <c r="I249" s="20">
        <f t="shared" si="15"/>
        <v>346.80000000000109</v>
      </c>
      <c r="J249" t="s">
        <v>69</v>
      </c>
    </row>
    <row r="250" spans="1:10" x14ac:dyDescent="0.25">
      <c r="A250" s="6">
        <v>45866</v>
      </c>
      <c r="B250" t="s">
        <v>14</v>
      </c>
      <c r="C250" s="10">
        <v>5</v>
      </c>
      <c r="D250" s="16">
        <v>2410.84</v>
      </c>
      <c r="E250" s="20">
        <v>2400</v>
      </c>
      <c r="F250" s="20">
        <f t="shared" si="12"/>
        <v>10.840000000000146</v>
      </c>
      <c r="G250" s="20">
        <f t="shared" si="13"/>
        <v>12054.2</v>
      </c>
      <c r="H250" s="20">
        <f t="shared" si="14"/>
        <v>12000</v>
      </c>
      <c r="I250" s="20">
        <f t="shared" si="15"/>
        <v>54.200000000000728</v>
      </c>
      <c r="J250" t="s">
        <v>69</v>
      </c>
    </row>
    <row r="251" spans="1:10" x14ac:dyDescent="0.25">
      <c r="A251" s="6">
        <v>45866</v>
      </c>
      <c r="B251" t="s">
        <v>14</v>
      </c>
      <c r="C251" s="10">
        <v>1</v>
      </c>
      <c r="D251" s="16">
        <v>2484.3200000000002</v>
      </c>
      <c r="E251" s="20">
        <v>2400</v>
      </c>
      <c r="F251" s="20">
        <f t="shared" si="12"/>
        <v>84.320000000000164</v>
      </c>
      <c r="G251" s="20">
        <f t="shared" si="13"/>
        <v>2484.3200000000002</v>
      </c>
      <c r="H251" s="20">
        <f t="shared" si="14"/>
        <v>2400</v>
      </c>
      <c r="I251" s="20">
        <f t="shared" si="15"/>
        <v>84.320000000000164</v>
      </c>
      <c r="J251" t="s">
        <v>69</v>
      </c>
    </row>
    <row r="252" spans="1:10" x14ac:dyDescent="0.25">
      <c r="A252" s="6">
        <v>45866</v>
      </c>
      <c r="B252" t="s">
        <v>23</v>
      </c>
      <c r="C252" s="10">
        <v>1</v>
      </c>
      <c r="D252" s="16">
        <v>3108.9</v>
      </c>
      <c r="E252" s="20">
        <v>2750</v>
      </c>
      <c r="F252" s="20">
        <f t="shared" si="12"/>
        <v>358.90000000000009</v>
      </c>
      <c r="G252" s="20">
        <f t="shared" si="13"/>
        <v>3108.9</v>
      </c>
      <c r="H252" s="20">
        <f t="shared" si="14"/>
        <v>2750</v>
      </c>
      <c r="I252" s="20">
        <f t="shared" si="15"/>
        <v>358.90000000000009</v>
      </c>
      <c r="J252" t="s">
        <v>69</v>
      </c>
    </row>
    <row r="253" spans="1:10" x14ac:dyDescent="0.25">
      <c r="A253" s="6">
        <v>45866</v>
      </c>
      <c r="B253" t="s">
        <v>49</v>
      </c>
      <c r="C253" s="10">
        <v>1</v>
      </c>
      <c r="D253" s="16">
        <v>1800</v>
      </c>
      <c r="E253" s="20">
        <v>1800</v>
      </c>
      <c r="F253" s="20">
        <f t="shared" si="12"/>
        <v>0</v>
      </c>
      <c r="G253" s="20">
        <f t="shared" si="13"/>
        <v>1800</v>
      </c>
      <c r="H253" s="20">
        <f t="shared" si="14"/>
        <v>1800</v>
      </c>
      <c r="I253" s="20">
        <f t="shared" si="15"/>
        <v>0</v>
      </c>
      <c r="J253" t="s">
        <v>69</v>
      </c>
    </row>
    <row r="254" spans="1:10" x14ac:dyDescent="0.25">
      <c r="A254" s="6">
        <v>45866</v>
      </c>
      <c r="B254" t="s">
        <v>49</v>
      </c>
      <c r="C254" s="10">
        <v>1</v>
      </c>
      <c r="D254" s="16">
        <v>1800</v>
      </c>
      <c r="E254" s="20">
        <v>1800</v>
      </c>
      <c r="F254" s="20">
        <f t="shared" si="12"/>
        <v>0</v>
      </c>
      <c r="G254" s="20">
        <f t="shared" si="13"/>
        <v>1800</v>
      </c>
      <c r="H254" s="20">
        <f t="shared" si="14"/>
        <v>1800</v>
      </c>
      <c r="I254" s="20">
        <f t="shared" si="15"/>
        <v>0</v>
      </c>
      <c r="J254" t="s">
        <v>69</v>
      </c>
    </row>
    <row r="255" spans="1:10" x14ac:dyDescent="0.25">
      <c r="A255" s="6">
        <v>45866</v>
      </c>
      <c r="B255" s="39" t="s">
        <v>56</v>
      </c>
      <c r="C255" s="10">
        <v>15</v>
      </c>
      <c r="D255" s="20">
        <v>1710</v>
      </c>
      <c r="E255" s="20">
        <v>1534.25</v>
      </c>
      <c r="F255" s="20">
        <f t="shared" si="12"/>
        <v>175.75</v>
      </c>
      <c r="G255" s="20">
        <f t="shared" si="13"/>
        <v>25650</v>
      </c>
      <c r="H255" s="20">
        <f t="shared" si="14"/>
        <v>23013.75</v>
      </c>
      <c r="I255" s="20">
        <f t="shared" si="15"/>
        <v>2636.25</v>
      </c>
      <c r="J255" t="s">
        <v>69</v>
      </c>
    </row>
    <row r="256" spans="1:10" x14ac:dyDescent="0.25">
      <c r="A256" s="6">
        <v>45866</v>
      </c>
      <c r="B256" s="39" t="s">
        <v>32</v>
      </c>
      <c r="C256" s="10">
        <v>21</v>
      </c>
      <c r="D256" s="20">
        <v>2435</v>
      </c>
      <c r="E256" s="20">
        <v>2129.9</v>
      </c>
      <c r="F256" s="20">
        <f t="shared" si="12"/>
        <v>305.09999999999991</v>
      </c>
      <c r="G256" s="20">
        <f t="shared" si="13"/>
        <v>51135</v>
      </c>
      <c r="H256" s="20">
        <f t="shared" si="14"/>
        <v>44727.9</v>
      </c>
      <c r="I256" s="20">
        <f t="shared" si="15"/>
        <v>6407.0999999999985</v>
      </c>
      <c r="J256" t="s">
        <v>69</v>
      </c>
    </row>
    <row r="257" spans="1:10" x14ac:dyDescent="0.25">
      <c r="A257" s="6">
        <v>45866</v>
      </c>
      <c r="B257" s="39" t="s">
        <v>33</v>
      </c>
      <c r="C257" s="10">
        <v>3</v>
      </c>
      <c r="D257" s="20">
        <v>1690</v>
      </c>
      <c r="E257" s="20">
        <v>1407.8999999999999</v>
      </c>
      <c r="F257" s="20">
        <f t="shared" si="12"/>
        <v>282.10000000000014</v>
      </c>
      <c r="G257" s="20">
        <f t="shared" si="13"/>
        <v>5070</v>
      </c>
      <c r="H257" s="20">
        <f t="shared" si="14"/>
        <v>4223.7</v>
      </c>
      <c r="I257" s="20">
        <f t="shared" si="15"/>
        <v>846.30000000000018</v>
      </c>
      <c r="J257" t="s">
        <v>69</v>
      </c>
    </row>
    <row r="258" spans="1:10" x14ac:dyDescent="0.25">
      <c r="A258" s="6">
        <v>45866</v>
      </c>
      <c r="B258" s="39" t="s">
        <v>34</v>
      </c>
      <c r="C258" s="10">
        <v>6</v>
      </c>
      <c r="D258" s="20">
        <v>1430</v>
      </c>
      <c r="E258" s="20">
        <v>1227.3999999999999</v>
      </c>
      <c r="F258" s="20">
        <f t="shared" ref="F258:F293" si="16">D258-E258</f>
        <v>202.60000000000014</v>
      </c>
      <c r="G258" s="20">
        <f t="shared" ref="G258:G293" si="17">D258*C258</f>
        <v>8580</v>
      </c>
      <c r="H258" s="20">
        <f t="shared" ref="H258:H293" si="18">E258*C258</f>
        <v>7364.4</v>
      </c>
      <c r="I258" s="20">
        <f t="shared" ref="I258:I293" si="19">G258-H258</f>
        <v>1215.6000000000004</v>
      </c>
      <c r="J258" t="s">
        <v>69</v>
      </c>
    </row>
    <row r="259" spans="1:10" x14ac:dyDescent="0.25">
      <c r="A259" s="27">
        <v>45867</v>
      </c>
      <c r="B259" s="23" t="s">
        <v>27</v>
      </c>
      <c r="C259" s="24">
        <v>1</v>
      </c>
      <c r="D259" s="25">
        <v>1083.83</v>
      </c>
      <c r="E259" s="26">
        <v>1220</v>
      </c>
      <c r="F259" s="26">
        <f t="shared" si="16"/>
        <v>-136.17000000000007</v>
      </c>
      <c r="G259" s="26">
        <f t="shared" si="17"/>
        <v>1083.83</v>
      </c>
      <c r="H259" s="26">
        <f t="shared" si="18"/>
        <v>1220</v>
      </c>
      <c r="I259" s="26">
        <f t="shared" si="19"/>
        <v>-136.17000000000007</v>
      </c>
      <c r="J259" t="s">
        <v>69</v>
      </c>
    </row>
    <row r="260" spans="1:10" x14ac:dyDescent="0.25">
      <c r="A260" s="6">
        <v>45867</v>
      </c>
      <c r="B260" t="s">
        <v>28</v>
      </c>
      <c r="C260" s="10">
        <v>2</v>
      </c>
      <c r="D260" s="16">
        <v>1157.31</v>
      </c>
      <c r="E260" s="20">
        <v>1115</v>
      </c>
      <c r="F260" s="20">
        <f t="shared" si="16"/>
        <v>42.309999999999945</v>
      </c>
      <c r="G260" s="20">
        <f t="shared" si="17"/>
        <v>2314.62</v>
      </c>
      <c r="H260" s="20">
        <f t="shared" si="18"/>
        <v>2230</v>
      </c>
      <c r="I260" s="20">
        <f t="shared" si="19"/>
        <v>84.619999999999891</v>
      </c>
      <c r="J260" t="s">
        <v>69</v>
      </c>
    </row>
    <row r="261" spans="1:10" x14ac:dyDescent="0.25">
      <c r="A261" s="6">
        <v>45867</v>
      </c>
      <c r="B261" t="s">
        <v>17</v>
      </c>
      <c r="C261" s="10">
        <v>10</v>
      </c>
      <c r="D261" s="16">
        <v>2424.84</v>
      </c>
      <c r="E261" s="20">
        <v>2410</v>
      </c>
      <c r="F261" s="20">
        <f t="shared" si="16"/>
        <v>14.840000000000146</v>
      </c>
      <c r="G261" s="20">
        <f t="shared" si="17"/>
        <v>24248.400000000001</v>
      </c>
      <c r="H261" s="20">
        <f t="shared" si="18"/>
        <v>24100</v>
      </c>
      <c r="I261" s="20">
        <f t="shared" si="19"/>
        <v>148.40000000000146</v>
      </c>
      <c r="J261" t="s">
        <v>69</v>
      </c>
    </row>
    <row r="262" spans="1:10" x14ac:dyDescent="0.25">
      <c r="A262" s="6">
        <v>45867</v>
      </c>
      <c r="B262" t="s">
        <v>58</v>
      </c>
      <c r="C262" s="10">
        <v>1</v>
      </c>
      <c r="D262" s="16">
        <v>2388.1</v>
      </c>
      <c r="E262" s="20">
        <v>2200</v>
      </c>
      <c r="F262" s="20">
        <f t="shared" si="16"/>
        <v>188.09999999999991</v>
      </c>
      <c r="G262" s="20">
        <f t="shared" si="17"/>
        <v>2388.1</v>
      </c>
      <c r="H262" s="20">
        <f t="shared" si="18"/>
        <v>2200</v>
      </c>
      <c r="I262" s="20">
        <f t="shared" si="19"/>
        <v>188.09999999999991</v>
      </c>
      <c r="J262" t="s">
        <v>69</v>
      </c>
    </row>
    <row r="263" spans="1:10" x14ac:dyDescent="0.25">
      <c r="A263" s="6">
        <v>45867</v>
      </c>
      <c r="B263" t="s">
        <v>19</v>
      </c>
      <c r="C263" s="10">
        <v>5</v>
      </c>
      <c r="D263" s="16">
        <v>3857.7</v>
      </c>
      <c r="E263" s="20">
        <v>3600</v>
      </c>
      <c r="F263" s="20">
        <f t="shared" si="16"/>
        <v>257.69999999999982</v>
      </c>
      <c r="G263" s="20">
        <f t="shared" si="17"/>
        <v>19288.5</v>
      </c>
      <c r="H263" s="20">
        <f t="shared" si="18"/>
        <v>18000</v>
      </c>
      <c r="I263" s="20">
        <f t="shared" si="19"/>
        <v>1288.5</v>
      </c>
      <c r="J263" t="s">
        <v>69</v>
      </c>
    </row>
    <row r="264" spans="1:10" x14ac:dyDescent="0.25">
      <c r="A264" s="6">
        <v>45867</v>
      </c>
      <c r="B264" t="s">
        <v>46</v>
      </c>
      <c r="C264" s="10">
        <v>1</v>
      </c>
      <c r="D264" s="16">
        <v>5327.3</v>
      </c>
      <c r="E264" s="20">
        <v>3650</v>
      </c>
      <c r="F264" s="20">
        <f t="shared" si="16"/>
        <v>1677.3000000000002</v>
      </c>
      <c r="G264" s="20">
        <f t="shared" si="17"/>
        <v>5327.3</v>
      </c>
      <c r="H264" s="20">
        <f t="shared" si="18"/>
        <v>3650</v>
      </c>
      <c r="I264" s="20">
        <f t="shared" si="19"/>
        <v>1677.3000000000002</v>
      </c>
      <c r="J264" t="s">
        <v>69</v>
      </c>
    </row>
    <row r="265" spans="1:10" x14ac:dyDescent="0.25">
      <c r="A265" s="6">
        <v>45867</v>
      </c>
      <c r="B265" t="s">
        <v>14</v>
      </c>
      <c r="C265" s="10">
        <v>1</v>
      </c>
      <c r="D265" s="16">
        <v>2590.17</v>
      </c>
      <c r="E265" s="20">
        <v>2500</v>
      </c>
      <c r="F265" s="20">
        <f t="shared" si="16"/>
        <v>90.170000000000073</v>
      </c>
      <c r="G265" s="20">
        <f t="shared" si="17"/>
        <v>2590.17</v>
      </c>
      <c r="H265" s="20">
        <f t="shared" si="18"/>
        <v>2500</v>
      </c>
      <c r="I265" s="20">
        <f t="shared" si="19"/>
        <v>90.170000000000073</v>
      </c>
      <c r="J265" t="s">
        <v>69</v>
      </c>
    </row>
    <row r="266" spans="1:10" x14ac:dyDescent="0.25">
      <c r="A266" s="6">
        <v>45867</v>
      </c>
      <c r="B266" t="s">
        <v>14</v>
      </c>
      <c r="C266" s="10">
        <v>8</v>
      </c>
      <c r="D266" s="16">
        <v>2424.84</v>
      </c>
      <c r="E266" s="20">
        <v>2400</v>
      </c>
      <c r="F266" s="20">
        <f t="shared" si="16"/>
        <v>24.840000000000146</v>
      </c>
      <c r="G266" s="20">
        <f t="shared" si="17"/>
        <v>19398.72</v>
      </c>
      <c r="H266" s="20">
        <f t="shared" si="18"/>
        <v>19200</v>
      </c>
      <c r="I266" s="20">
        <f t="shared" si="19"/>
        <v>198.72000000000116</v>
      </c>
      <c r="J266" t="s">
        <v>69</v>
      </c>
    </row>
    <row r="267" spans="1:10" x14ac:dyDescent="0.25">
      <c r="A267" s="6">
        <v>45867</v>
      </c>
      <c r="B267" t="s">
        <v>24</v>
      </c>
      <c r="C267" s="10">
        <v>2</v>
      </c>
      <c r="D267" s="16">
        <v>2755.5</v>
      </c>
      <c r="E267" s="20">
        <v>2600</v>
      </c>
      <c r="F267" s="20">
        <f t="shared" si="16"/>
        <v>155.5</v>
      </c>
      <c r="G267" s="20">
        <f t="shared" si="17"/>
        <v>5511</v>
      </c>
      <c r="H267" s="20">
        <f t="shared" si="18"/>
        <v>5200</v>
      </c>
      <c r="I267" s="20">
        <f t="shared" si="19"/>
        <v>311</v>
      </c>
      <c r="J267" t="s">
        <v>69</v>
      </c>
    </row>
    <row r="268" spans="1:10" x14ac:dyDescent="0.25">
      <c r="A268" s="6">
        <v>45867</v>
      </c>
      <c r="B268" t="s">
        <v>14</v>
      </c>
      <c r="C268" s="10">
        <v>4</v>
      </c>
      <c r="D268" s="16">
        <v>2498.3200000000002</v>
      </c>
      <c r="E268" s="20">
        <v>2400</v>
      </c>
      <c r="F268" s="20">
        <f t="shared" si="16"/>
        <v>98.320000000000164</v>
      </c>
      <c r="G268" s="20">
        <f t="shared" si="17"/>
        <v>9993.2800000000007</v>
      </c>
      <c r="H268" s="20">
        <f t="shared" si="18"/>
        <v>9600</v>
      </c>
      <c r="I268" s="20">
        <f t="shared" si="19"/>
        <v>393.28000000000065</v>
      </c>
      <c r="J268" t="s">
        <v>69</v>
      </c>
    </row>
    <row r="269" spans="1:10" x14ac:dyDescent="0.25">
      <c r="A269" s="6">
        <v>45867</v>
      </c>
      <c r="B269" t="s">
        <v>14</v>
      </c>
      <c r="C269" s="10">
        <v>1</v>
      </c>
      <c r="D269" s="16">
        <v>2498.3200000000002</v>
      </c>
      <c r="E269" s="20">
        <v>2400</v>
      </c>
      <c r="F269" s="20">
        <f t="shared" si="16"/>
        <v>98.320000000000164</v>
      </c>
      <c r="G269" s="20">
        <f t="shared" si="17"/>
        <v>2498.3200000000002</v>
      </c>
      <c r="H269" s="20">
        <f t="shared" si="18"/>
        <v>2400</v>
      </c>
      <c r="I269" s="20">
        <f t="shared" si="19"/>
        <v>98.320000000000164</v>
      </c>
      <c r="J269" t="s">
        <v>69</v>
      </c>
    </row>
    <row r="270" spans="1:10" x14ac:dyDescent="0.25">
      <c r="A270" s="6">
        <v>45867</v>
      </c>
      <c r="B270" t="s">
        <v>25</v>
      </c>
      <c r="C270" s="10">
        <v>2</v>
      </c>
      <c r="D270" s="16">
        <v>2332.9899999999998</v>
      </c>
      <c r="E270" s="20">
        <v>2100</v>
      </c>
      <c r="F270" s="20">
        <f t="shared" si="16"/>
        <v>232.98999999999978</v>
      </c>
      <c r="G270" s="20">
        <f t="shared" si="17"/>
        <v>4665.9799999999996</v>
      </c>
      <c r="H270" s="20">
        <f t="shared" si="18"/>
        <v>4200</v>
      </c>
      <c r="I270" s="20">
        <f t="shared" si="19"/>
        <v>465.97999999999956</v>
      </c>
      <c r="J270" t="s">
        <v>69</v>
      </c>
    </row>
    <row r="271" spans="1:10" x14ac:dyDescent="0.25">
      <c r="A271" s="6">
        <v>45867</v>
      </c>
      <c r="B271" t="s">
        <v>15</v>
      </c>
      <c r="C271" s="10">
        <v>1</v>
      </c>
      <c r="D271" s="16">
        <v>2020.7</v>
      </c>
      <c r="E271" s="20">
        <v>1850</v>
      </c>
      <c r="F271" s="20">
        <f t="shared" si="16"/>
        <v>170.70000000000005</v>
      </c>
      <c r="G271" s="20">
        <f t="shared" si="17"/>
        <v>2020.7</v>
      </c>
      <c r="H271" s="20">
        <f t="shared" si="18"/>
        <v>1850</v>
      </c>
      <c r="I271" s="20">
        <f t="shared" si="19"/>
        <v>170.70000000000005</v>
      </c>
      <c r="J271" t="s">
        <v>69</v>
      </c>
    </row>
    <row r="272" spans="1:10" x14ac:dyDescent="0.25">
      <c r="A272" s="6">
        <v>45867</v>
      </c>
      <c r="B272" s="38" t="s">
        <v>26</v>
      </c>
      <c r="C272" s="10">
        <v>1</v>
      </c>
      <c r="D272" s="16">
        <v>2516.69</v>
      </c>
      <c r="E272" s="20">
        <v>2350</v>
      </c>
      <c r="F272" s="20">
        <f t="shared" si="16"/>
        <v>166.69000000000005</v>
      </c>
      <c r="G272" s="20">
        <f t="shared" si="17"/>
        <v>2516.69</v>
      </c>
      <c r="H272" s="20">
        <f t="shared" si="18"/>
        <v>2350</v>
      </c>
      <c r="I272" s="20">
        <f t="shared" si="19"/>
        <v>166.69000000000005</v>
      </c>
      <c r="J272" t="s">
        <v>69</v>
      </c>
    </row>
    <row r="273" spans="1:10" x14ac:dyDescent="0.25">
      <c r="A273" s="6">
        <v>45867</v>
      </c>
      <c r="B273" s="38" t="s">
        <v>25</v>
      </c>
      <c r="C273" s="10">
        <v>1</v>
      </c>
      <c r="D273" s="16">
        <v>2296.25</v>
      </c>
      <c r="E273" s="20">
        <v>2020</v>
      </c>
      <c r="F273" s="20">
        <f t="shared" si="16"/>
        <v>276.25</v>
      </c>
      <c r="G273" s="20">
        <f t="shared" si="17"/>
        <v>2296.25</v>
      </c>
      <c r="H273" s="20">
        <f t="shared" si="18"/>
        <v>2020</v>
      </c>
      <c r="I273" s="20">
        <f t="shared" si="19"/>
        <v>276.25</v>
      </c>
      <c r="J273" t="s">
        <v>69</v>
      </c>
    </row>
    <row r="274" spans="1:10" x14ac:dyDescent="0.25">
      <c r="A274" s="6">
        <v>45867</v>
      </c>
      <c r="B274" s="38" t="s">
        <v>19</v>
      </c>
      <c r="C274" s="10">
        <v>5</v>
      </c>
      <c r="D274" s="16">
        <v>3747.48</v>
      </c>
      <c r="E274" s="20">
        <v>3600</v>
      </c>
      <c r="F274" s="20">
        <f t="shared" si="16"/>
        <v>147.48000000000002</v>
      </c>
      <c r="G274" s="20">
        <f t="shared" si="17"/>
        <v>18737.400000000001</v>
      </c>
      <c r="H274" s="20">
        <f t="shared" si="18"/>
        <v>18000</v>
      </c>
      <c r="I274" s="20">
        <f t="shared" si="19"/>
        <v>737.40000000000146</v>
      </c>
      <c r="J274" t="s">
        <v>69</v>
      </c>
    </row>
    <row r="275" spans="1:10" x14ac:dyDescent="0.25">
      <c r="A275" s="6">
        <v>45868</v>
      </c>
      <c r="B275" s="14" t="s">
        <v>60</v>
      </c>
      <c r="C275" s="10">
        <v>11</v>
      </c>
      <c r="D275" s="16">
        <v>2450</v>
      </c>
      <c r="E275" s="20">
        <v>2400</v>
      </c>
      <c r="F275" s="20">
        <f t="shared" si="16"/>
        <v>50</v>
      </c>
      <c r="G275" s="20">
        <f t="shared" si="17"/>
        <v>26950</v>
      </c>
      <c r="H275" s="20">
        <f t="shared" si="18"/>
        <v>26400</v>
      </c>
      <c r="I275" s="20">
        <f t="shared" si="19"/>
        <v>550</v>
      </c>
      <c r="J275" t="s">
        <v>69</v>
      </c>
    </row>
    <row r="276" spans="1:10" x14ac:dyDescent="0.25">
      <c r="A276" s="27">
        <v>45868</v>
      </c>
      <c r="B276" s="41" t="s">
        <v>61</v>
      </c>
      <c r="C276" s="24">
        <v>2</v>
      </c>
      <c r="D276" s="25">
        <v>2400</v>
      </c>
      <c r="E276" s="26">
        <v>2410</v>
      </c>
      <c r="F276" s="26">
        <f t="shared" si="16"/>
        <v>-10</v>
      </c>
      <c r="G276" s="26">
        <f t="shared" si="17"/>
        <v>4800</v>
      </c>
      <c r="H276" s="26">
        <f t="shared" si="18"/>
        <v>4820</v>
      </c>
      <c r="I276" s="26">
        <f t="shared" si="19"/>
        <v>-20</v>
      </c>
      <c r="J276" t="s">
        <v>69</v>
      </c>
    </row>
    <row r="277" spans="1:10" x14ac:dyDescent="0.25">
      <c r="A277" s="6">
        <v>45868</v>
      </c>
      <c r="B277" s="37" t="s">
        <v>60</v>
      </c>
      <c r="C277" s="10">
        <v>7</v>
      </c>
      <c r="D277" s="16">
        <v>2710</v>
      </c>
      <c r="E277" s="20">
        <v>2580</v>
      </c>
      <c r="F277" s="20">
        <f t="shared" si="16"/>
        <v>130</v>
      </c>
      <c r="G277" s="20">
        <f t="shared" si="17"/>
        <v>18970</v>
      </c>
      <c r="H277" s="20">
        <f t="shared" si="18"/>
        <v>18060</v>
      </c>
      <c r="I277" s="20">
        <f t="shared" si="19"/>
        <v>910</v>
      </c>
      <c r="J277" t="s">
        <v>69</v>
      </c>
    </row>
    <row r="278" spans="1:10" x14ac:dyDescent="0.25">
      <c r="A278" s="6">
        <v>45868</v>
      </c>
      <c r="B278" s="37" t="s">
        <v>60</v>
      </c>
      <c r="C278" s="10">
        <v>3</v>
      </c>
      <c r="D278" s="16">
        <v>2550</v>
      </c>
      <c r="E278" s="20">
        <v>2500</v>
      </c>
      <c r="F278" s="20">
        <f t="shared" si="16"/>
        <v>50</v>
      </c>
      <c r="G278" s="20">
        <f t="shared" si="17"/>
        <v>7650</v>
      </c>
      <c r="H278" s="20">
        <f t="shared" si="18"/>
        <v>7500</v>
      </c>
      <c r="I278" s="20">
        <f t="shared" si="19"/>
        <v>150</v>
      </c>
      <c r="J278" t="s">
        <v>69</v>
      </c>
    </row>
    <row r="279" spans="1:10" x14ac:dyDescent="0.25">
      <c r="A279" s="6">
        <v>45869</v>
      </c>
      <c r="B279" s="14" t="s">
        <v>60</v>
      </c>
      <c r="C279" s="8">
        <v>4</v>
      </c>
      <c r="D279" s="16">
        <v>2715</v>
      </c>
      <c r="E279" s="20">
        <v>2580</v>
      </c>
      <c r="F279" s="20">
        <f t="shared" si="16"/>
        <v>135</v>
      </c>
      <c r="G279" s="20">
        <f t="shared" si="17"/>
        <v>10860</v>
      </c>
      <c r="H279" s="20">
        <f t="shared" si="18"/>
        <v>10320</v>
      </c>
      <c r="I279" s="20">
        <f t="shared" si="19"/>
        <v>540</v>
      </c>
      <c r="J279" t="s">
        <v>69</v>
      </c>
    </row>
    <row r="280" spans="1:10" x14ac:dyDescent="0.25">
      <c r="A280" s="6">
        <v>45869</v>
      </c>
      <c r="B280" s="14" t="s">
        <v>60</v>
      </c>
      <c r="C280" s="10">
        <v>2</v>
      </c>
      <c r="D280" s="16">
        <v>2650</v>
      </c>
      <c r="E280" s="20">
        <v>2500</v>
      </c>
      <c r="F280" s="20">
        <f t="shared" si="16"/>
        <v>150</v>
      </c>
      <c r="G280" s="20">
        <f t="shared" si="17"/>
        <v>5300</v>
      </c>
      <c r="H280" s="20">
        <f t="shared" si="18"/>
        <v>5000</v>
      </c>
      <c r="I280" s="20">
        <f t="shared" si="19"/>
        <v>300</v>
      </c>
      <c r="J280" t="s">
        <v>69</v>
      </c>
    </row>
    <row r="281" spans="1:10" x14ac:dyDescent="0.25">
      <c r="A281" s="6">
        <v>45869</v>
      </c>
      <c r="B281" s="14" t="s">
        <v>60</v>
      </c>
      <c r="C281" s="10">
        <v>1</v>
      </c>
      <c r="D281" s="16">
        <v>2500</v>
      </c>
      <c r="E281" s="20">
        <v>2400</v>
      </c>
      <c r="F281" s="20">
        <f t="shared" si="16"/>
        <v>100</v>
      </c>
      <c r="G281" s="20">
        <f t="shared" si="17"/>
        <v>2500</v>
      </c>
      <c r="H281" s="20">
        <f t="shared" si="18"/>
        <v>2400</v>
      </c>
      <c r="I281" s="20">
        <f t="shared" si="19"/>
        <v>100</v>
      </c>
      <c r="J281" t="s">
        <v>69</v>
      </c>
    </row>
    <row r="282" spans="1:10" x14ac:dyDescent="0.25">
      <c r="A282" s="6">
        <v>45869</v>
      </c>
      <c r="B282" s="14" t="s">
        <v>60</v>
      </c>
      <c r="C282" s="10">
        <v>1</v>
      </c>
      <c r="D282" s="16">
        <v>2550</v>
      </c>
      <c r="E282" s="20">
        <v>2400</v>
      </c>
      <c r="F282" s="20">
        <f t="shared" si="16"/>
        <v>150</v>
      </c>
      <c r="G282" s="20">
        <f t="shared" si="17"/>
        <v>2550</v>
      </c>
      <c r="H282" s="20">
        <f t="shared" si="18"/>
        <v>2400</v>
      </c>
      <c r="I282" s="20">
        <f t="shared" si="19"/>
        <v>150</v>
      </c>
      <c r="J282" t="s">
        <v>69</v>
      </c>
    </row>
    <row r="283" spans="1:10" x14ac:dyDescent="0.25">
      <c r="A283" s="6">
        <v>45869</v>
      </c>
      <c r="B283" s="14" t="s">
        <v>62</v>
      </c>
      <c r="C283" s="8">
        <v>2</v>
      </c>
      <c r="D283" s="16">
        <v>2650</v>
      </c>
      <c r="E283" s="20">
        <v>2350</v>
      </c>
      <c r="F283" s="20">
        <f t="shared" si="16"/>
        <v>300</v>
      </c>
      <c r="G283" s="20">
        <f t="shared" si="17"/>
        <v>5300</v>
      </c>
      <c r="H283" s="20">
        <f t="shared" si="18"/>
        <v>4700</v>
      </c>
      <c r="I283" s="20">
        <f t="shared" si="19"/>
        <v>600</v>
      </c>
      <c r="J283" t="s">
        <v>69</v>
      </c>
    </row>
    <row r="284" spans="1:10" x14ac:dyDescent="0.25">
      <c r="A284" s="6">
        <v>45869</v>
      </c>
      <c r="B284" s="7" t="s">
        <v>63</v>
      </c>
      <c r="C284" s="10">
        <v>3</v>
      </c>
      <c r="D284" s="16">
        <v>2380</v>
      </c>
      <c r="E284" s="20">
        <v>2200</v>
      </c>
      <c r="F284" s="20">
        <f t="shared" si="16"/>
        <v>180</v>
      </c>
      <c r="G284" s="20">
        <f t="shared" si="17"/>
        <v>7140</v>
      </c>
      <c r="H284" s="20">
        <f t="shared" si="18"/>
        <v>6600</v>
      </c>
      <c r="I284" s="20">
        <f t="shared" si="19"/>
        <v>540</v>
      </c>
      <c r="J284" t="s">
        <v>69</v>
      </c>
    </row>
    <row r="285" spans="1:10" x14ac:dyDescent="0.25">
      <c r="A285" s="6">
        <v>45869</v>
      </c>
      <c r="B285" s="7" t="s">
        <v>64</v>
      </c>
      <c r="C285" s="10">
        <v>2</v>
      </c>
      <c r="D285" s="16">
        <v>2140</v>
      </c>
      <c r="E285" s="20">
        <v>1900</v>
      </c>
      <c r="F285" s="20">
        <f t="shared" si="16"/>
        <v>240</v>
      </c>
      <c r="G285" s="20">
        <f t="shared" si="17"/>
        <v>4280</v>
      </c>
      <c r="H285" s="20">
        <f t="shared" si="18"/>
        <v>3800</v>
      </c>
      <c r="I285" s="20">
        <f t="shared" si="19"/>
        <v>480</v>
      </c>
      <c r="J285" t="s">
        <v>69</v>
      </c>
    </row>
    <row r="286" spans="1:10" x14ac:dyDescent="0.25">
      <c r="A286" s="6">
        <v>45869</v>
      </c>
      <c r="B286" s="7" t="s">
        <v>63</v>
      </c>
      <c r="C286" s="10">
        <v>1</v>
      </c>
      <c r="D286" s="16">
        <v>2280</v>
      </c>
      <c r="E286" s="20">
        <v>2050</v>
      </c>
      <c r="F286" s="20">
        <f t="shared" si="16"/>
        <v>230</v>
      </c>
      <c r="G286" s="20">
        <f t="shared" si="17"/>
        <v>2280</v>
      </c>
      <c r="H286" s="20">
        <f t="shared" si="18"/>
        <v>2050</v>
      </c>
      <c r="I286" s="20">
        <f t="shared" si="19"/>
        <v>230</v>
      </c>
      <c r="J286" t="s">
        <v>69</v>
      </c>
    </row>
    <row r="287" spans="1:10" x14ac:dyDescent="0.25">
      <c r="A287" s="6">
        <v>45869</v>
      </c>
      <c r="B287" s="7" t="s">
        <v>64</v>
      </c>
      <c r="C287" s="10">
        <v>2</v>
      </c>
      <c r="D287" s="16">
        <v>2025</v>
      </c>
      <c r="E287" s="20">
        <v>1950</v>
      </c>
      <c r="F287" s="20">
        <f t="shared" si="16"/>
        <v>75</v>
      </c>
      <c r="G287" s="20">
        <f t="shared" si="17"/>
        <v>4050</v>
      </c>
      <c r="H287" s="20">
        <f t="shared" si="18"/>
        <v>3900</v>
      </c>
      <c r="I287" s="20">
        <f t="shared" si="19"/>
        <v>150</v>
      </c>
      <c r="J287" t="s">
        <v>69</v>
      </c>
    </row>
    <row r="288" spans="1:10" x14ac:dyDescent="0.25">
      <c r="A288" s="6">
        <v>45869</v>
      </c>
      <c r="B288" s="14" t="s">
        <v>62</v>
      </c>
      <c r="C288" s="10">
        <v>2</v>
      </c>
      <c r="D288" s="16">
        <v>2550</v>
      </c>
      <c r="E288" s="20">
        <v>1900</v>
      </c>
      <c r="F288" s="20">
        <f t="shared" si="16"/>
        <v>650</v>
      </c>
      <c r="G288" s="20">
        <f t="shared" si="17"/>
        <v>5100</v>
      </c>
      <c r="H288" s="20">
        <f t="shared" si="18"/>
        <v>3800</v>
      </c>
      <c r="I288" s="20">
        <f t="shared" si="19"/>
        <v>1300</v>
      </c>
      <c r="J288" t="s">
        <v>69</v>
      </c>
    </row>
    <row r="289" spans="1:10" x14ac:dyDescent="0.25">
      <c r="A289" s="6">
        <v>45869</v>
      </c>
      <c r="B289" s="7" t="s">
        <v>63</v>
      </c>
      <c r="C289" s="10">
        <v>1</v>
      </c>
      <c r="D289" s="16">
        <v>2320</v>
      </c>
      <c r="E289" s="20">
        <v>2200</v>
      </c>
      <c r="F289" s="20">
        <f t="shared" si="16"/>
        <v>120</v>
      </c>
      <c r="G289" s="20">
        <f t="shared" si="17"/>
        <v>2320</v>
      </c>
      <c r="H289" s="20">
        <f t="shared" si="18"/>
        <v>2200</v>
      </c>
      <c r="I289" s="20">
        <f t="shared" si="19"/>
        <v>120</v>
      </c>
      <c r="J289" t="s">
        <v>69</v>
      </c>
    </row>
    <row r="290" spans="1:10" x14ac:dyDescent="0.25">
      <c r="A290" s="6">
        <v>45869</v>
      </c>
      <c r="B290" s="7" t="s">
        <v>64</v>
      </c>
      <c r="C290" s="10">
        <v>1</v>
      </c>
      <c r="D290" s="16">
        <v>2050</v>
      </c>
      <c r="E290" s="20">
        <v>1900</v>
      </c>
      <c r="F290" s="20">
        <f t="shared" si="16"/>
        <v>150</v>
      </c>
      <c r="G290" s="20">
        <f t="shared" si="17"/>
        <v>2050</v>
      </c>
      <c r="H290" s="20">
        <f t="shared" si="18"/>
        <v>1900</v>
      </c>
      <c r="I290" s="20">
        <f t="shared" si="19"/>
        <v>150</v>
      </c>
      <c r="J290" t="s">
        <v>69</v>
      </c>
    </row>
    <row r="291" spans="1:10" x14ac:dyDescent="0.25">
      <c r="A291" s="6">
        <v>45869</v>
      </c>
      <c r="B291" s="7" t="s">
        <v>67</v>
      </c>
      <c r="C291" s="8">
        <v>1</v>
      </c>
      <c r="D291" s="16">
        <v>2500</v>
      </c>
      <c r="E291" s="20">
        <v>2350</v>
      </c>
      <c r="F291" s="20">
        <f t="shared" si="16"/>
        <v>150</v>
      </c>
      <c r="G291" s="20">
        <f t="shared" si="17"/>
        <v>2500</v>
      </c>
      <c r="H291" s="20">
        <f t="shared" si="18"/>
        <v>2350</v>
      </c>
      <c r="I291" s="20">
        <f t="shared" si="19"/>
        <v>150</v>
      </c>
      <c r="J291" t="s">
        <v>69</v>
      </c>
    </row>
    <row r="292" spans="1:10" x14ac:dyDescent="0.25">
      <c r="A292" s="6">
        <v>45869</v>
      </c>
      <c r="B292" s="7" t="s">
        <v>65</v>
      </c>
      <c r="C292" s="8">
        <v>1</v>
      </c>
      <c r="D292" s="16">
        <v>1650</v>
      </c>
      <c r="E292" s="20">
        <v>1550</v>
      </c>
      <c r="F292" s="20">
        <f t="shared" si="16"/>
        <v>100</v>
      </c>
      <c r="G292" s="20">
        <f t="shared" si="17"/>
        <v>1650</v>
      </c>
      <c r="H292" s="20">
        <f t="shared" si="18"/>
        <v>1550</v>
      </c>
      <c r="I292" s="20">
        <f t="shared" si="19"/>
        <v>100</v>
      </c>
      <c r="J292" t="s">
        <v>69</v>
      </c>
    </row>
    <row r="293" spans="1:10" x14ac:dyDescent="0.25">
      <c r="A293" s="6">
        <v>45869</v>
      </c>
      <c r="B293" s="14" t="s">
        <v>66</v>
      </c>
      <c r="C293" s="8">
        <v>6</v>
      </c>
      <c r="D293" s="16">
        <v>3930</v>
      </c>
      <c r="E293" s="20">
        <v>3600</v>
      </c>
      <c r="F293" s="20">
        <f t="shared" si="16"/>
        <v>330</v>
      </c>
      <c r="G293" s="20">
        <f t="shared" si="17"/>
        <v>23580</v>
      </c>
      <c r="H293" s="20">
        <f t="shared" si="18"/>
        <v>21600</v>
      </c>
      <c r="I293" s="20">
        <f t="shared" si="19"/>
        <v>1980</v>
      </c>
      <c r="J293" t="s">
        <v>69</v>
      </c>
    </row>
    <row r="294" spans="1:10" ht="21" x14ac:dyDescent="0.35">
      <c r="B294" s="12"/>
      <c r="C294" s="13"/>
    </row>
    <row r="295" spans="1:10" ht="21" x14ac:dyDescent="0.35">
      <c r="B295" s="11"/>
      <c r="C295" s="13"/>
    </row>
    <row r="296" spans="1:10" ht="21" x14ac:dyDescent="0.35">
      <c r="G296" s="28">
        <f>SUM(G2:G295)</f>
        <v>3133155.7259999998</v>
      </c>
      <c r="H296" s="28">
        <f>SUM(H2:H295)</f>
        <v>2825955.1099999994</v>
      </c>
      <c r="I296" s="28">
        <f>SUM(I2:I295)</f>
        <v>307200.61599999998</v>
      </c>
    </row>
    <row r="297" spans="1:10" ht="21" x14ac:dyDescent="0.35">
      <c r="G297" s="29" t="s">
        <v>5</v>
      </c>
      <c r="H297" s="30" t="s">
        <v>6</v>
      </c>
      <c r="I297" s="31" t="s">
        <v>7</v>
      </c>
    </row>
  </sheetData>
  <sortState xmlns:xlrd2="http://schemas.microsoft.com/office/spreadsheetml/2017/richdata2" ref="A2:J293">
    <sortCondition ref="J2:J29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ADB10-B7AB-4F5C-8935-9C1A67DE8AC8}">
  <dimension ref="A1:J49"/>
  <sheetViews>
    <sheetView topLeftCell="A9" workbookViewId="0">
      <selection activeCell="H2" sqref="H2:H36"/>
    </sheetView>
  </sheetViews>
  <sheetFormatPr defaultRowHeight="15" x14ac:dyDescent="0.25"/>
  <cols>
    <col min="1" max="1" width="15" customWidth="1"/>
    <col min="2" max="2" width="36" customWidth="1"/>
    <col min="3" max="3" width="30" customWidth="1"/>
    <col min="4" max="4" width="18.42578125" customWidth="1"/>
    <col min="5" max="5" width="19.7109375" customWidth="1"/>
    <col min="6" max="6" width="18.7109375" customWidth="1"/>
    <col min="7" max="7" width="18.140625" customWidth="1"/>
    <col min="8" max="8" width="16.7109375" customWidth="1"/>
    <col min="9" max="9" width="15.85546875" customWidth="1"/>
    <col min="10" max="10" width="12.7109375" customWidth="1"/>
  </cols>
  <sheetData>
    <row r="1" spans="1:10" ht="18.75" x14ac:dyDescent="0.3">
      <c r="A1" s="1" t="s">
        <v>13</v>
      </c>
      <c r="B1" s="1" t="s">
        <v>0</v>
      </c>
      <c r="C1" s="2" t="s">
        <v>1</v>
      </c>
      <c r="D1" s="15" t="s">
        <v>2</v>
      </c>
      <c r="E1" s="15" t="s">
        <v>3</v>
      </c>
      <c r="F1" s="1" t="s">
        <v>4</v>
      </c>
      <c r="G1" s="1" t="s">
        <v>5</v>
      </c>
      <c r="H1" s="3" t="s">
        <v>6</v>
      </c>
      <c r="I1" s="4" t="s">
        <v>7</v>
      </c>
      <c r="J1" s="32" t="s">
        <v>68</v>
      </c>
    </row>
    <row r="2" spans="1:10" x14ac:dyDescent="0.25">
      <c r="A2" s="33">
        <v>45869</v>
      </c>
      <c r="B2" t="s">
        <v>8</v>
      </c>
      <c r="C2" s="10">
        <v>3</v>
      </c>
      <c r="D2" s="16">
        <v>850</v>
      </c>
      <c r="E2" s="20">
        <v>840</v>
      </c>
      <c r="F2" s="20">
        <f t="shared" ref="F2:F35" si="0">D2-E2</f>
        <v>10</v>
      </c>
      <c r="G2" s="20">
        <f t="shared" ref="G2:G35" si="1">D2*C2</f>
        <v>2550</v>
      </c>
      <c r="H2" s="20">
        <f t="shared" ref="H2:H35" si="2">E2*C2</f>
        <v>2520</v>
      </c>
      <c r="I2" s="20">
        <f t="shared" ref="I2:I35" si="3">G2-H2</f>
        <v>30</v>
      </c>
      <c r="J2" t="s">
        <v>72</v>
      </c>
    </row>
    <row r="3" spans="1:10" x14ac:dyDescent="0.25">
      <c r="A3" s="5">
        <v>45839</v>
      </c>
      <c r="B3" t="s">
        <v>9</v>
      </c>
      <c r="C3" s="10">
        <v>2</v>
      </c>
      <c r="D3" s="16">
        <v>1655</v>
      </c>
      <c r="E3" s="20">
        <v>1335.31</v>
      </c>
      <c r="F3" s="20">
        <f t="shared" si="0"/>
        <v>319.69000000000005</v>
      </c>
      <c r="G3" s="20">
        <f t="shared" si="1"/>
        <v>3310</v>
      </c>
      <c r="H3" s="20">
        <f t="shared" si="2"/>
        <v>2670.62</v>
      </c>
      <c r="I3" s="20">
        <f t="shared" si="3"/>
        <v>639.38000000000011</v>
      </c>
      <c r="J3" t="s">
        <v>72</v>
      </c>
    </row>
    <row r="4" spans="1:10" x14ac:dyDescent="0.25">
      <c r="A4" s="22">
        <v>45839</v>
      </c>
      <c r="B4" s="23" t="s">
        <v>10</v>
      </c>
      <c r="C4" s="24">
        <v>2</v>
      </c>
      <c r="D4" s="25">
        <v>4400</v>
      </c>
      <c r="E4" s="26">
        <v>5339.75</v>
      </c>
      <c r="F4" s="26">
        <f t="shared" si="0"/>
        <v>-939.75</v>
      </c>
      <c r="G4" s="26">
        <f t="shared" si="1"/>
        <v>8800</v>
      </c>
      <c r="H4" s="26">
        <f t="shared" si="2"/>
        <v>10679.5</v>
      </c>
      <c r="I4" s="26">
        <f t="shared" si="3"/>
        <v>-1879.5</v>
      </c>
      <c r="J4" t="s">
        <v>72</v>
      </c>
    </row>
    <row r="5" spans="1:10" x14ac:dyDescent="0.25">
      <c r="A5" s="5">
        <v>45839</v>
      </c>
      <c r="B5" t="s">
        <v>11</v>
      </c>
      <c r="C5" s="10">
        <v>8</v>
      </c>
      <c r="D5" s="16">
        <v>2450</v>
      </c>
      <c r="E5" s="20">
        <v>1424.41</v>
      </c>
      <c r="F5" s="20">
        <f t="shared" si="0"/>
        <v>1025.5899999999999</v>
      </c>
      <c r="G5" s="20">
        <f t="shared" si="1"/>
        <v>19600</v>
      </c>
      <c r="H5" s="20">
        <f t="shared" si="2"/>
        <v>11395.28</v>
      </c>
      <c r="I5" s="20">
        <f t="shared" si="3"/>
        <v>8204.7199999999993</v>
      </c>
      <c r="J5" t="s">
        <v>72</v>
      </c>
    </row>
    <row r="6" spans="1:10" x14ac:dyDescent="0.25">
      <c r="A6" s="22">
        <v>45839</v>
      </c>
      <c r="B6" s="23" t="s">
        <v>10</v>
      </c>
      <c r="C6" s="24">
        <v>2</v>
      </c>
      <c r="D6" s="25">
        <v>4400</v>
      </c>
      <c r="E6" s="26">
        <v>5339.75</v>
      </c>
      <c r="F6" s="26">
        <f t="shared" si="0"/>
        <v>-939.75</v>
      </c>
      <c r="G6" s="26">
        <f t="shared" si="1"/>
        <v>8800</v>
      </c>
      <c r="H6" s="26">
        <f t="shared" si="2"/>
        <v>10679.5</v>
      </c>
      <c r="I6" s="26">
        <f t="shared" si="3"/>
        <v>-1879.5</v>
      </c>
      <c r="J6" t="s">
        <v>72</v>
      </c>
    </row>
    <row r="7" spans="1:10" x14ac:dyDescent="0.25">
      <c r="A7" s="22">
        <v>45839</v>
      </c>
      <c r="B7" s="23" t="s">
        <v>10</v>
      </c>
      <c r="C7" s="24">
        <v>1</v>
      </c>
      <c r="D7" s="25">
        <v>4400</v>
      </c>
      <c r="E7" s="26">
        <v>5339.75</v>
      </c>
      <c r="F7" s="26">
        <f t="shared" si="0"/>
        <v>-939.75</v>
      </c>
      <c r="G7" s="26">
        <f t="shared" si="1"/>
        <v>4400</v>
      </c>
      <c r="H7" s="26">
        <f t="shared" si="2"/>
        <v>5339.75</v>
      </c>
      <c r="I7" s="26">
        <f t="shared" si="3"/>
        <v>-939.75</v>
      </c>
      <c r="J7" t="s">
        <v>72</v>
      </c>
    </row>
    <row r="8" spans="1:10" x14ac:dyDescent="0.25">
      <c r="A8" s="22">
        <v>45840</v>
      </c>
      <c r="B8" s="23" t="s">
        <v>10</v>
      </c>
      <c r="C8" s="24">
        <v>1</v>
      </c>
      <c r="D8" s="25">
        <v>4420</v>
      </c>
      <c r="E8" s="26">
        <v>5339.75</v>
      </c>
      <c r="F8" s="26">
        <f t="shared" si="0"/>
        <v>-919.75</v>
      </c>
      <c r="G8" s="26">
        <f t="shared" si="1"/>
        <v>4420</v>
      </c>
      <c r="H8" s="26">
        <f t="shared" si="2"/>
        <v>5339.75</v>
      </c>
      <c r="I8" s="26">
        <f t="shared" si="3"/>
        <v>-919.75</v>
      </c>
      <c r="J8" t="s">
        <v>72</v>
      </c>
    </row>
    <row r="9" spans="1:10" x14ac:dyDescent="0.25">
      <c r="A9" s="5">
        <v>45841</v>
      </c>
      <c r="B9" t="s">
        <v>16</v>
      </c>
      <c r="C9" s="10">
        <v>1</v>
      </c>
      <c r="D9" s="16">
        <v>6200</v>
      </c>
      <c r="E9" s="20">
        <v>3753.63</v>
      </c>
      <c r="F9" s="20">
        <f t="shared" si="0"/>
        <v>2446.37</v>
      </c>
      <c r="G9" s="20">
        <f t="shared" si="1"/>
        <v>6200</v>
      </c>
      <c r="H9" s="20">
        <f t="shared" si="2"/>
        <v>3753.63</v>
      </c>
      <c r="I9" s="20">
        <f t="shared" si="3"/>
        <v>2446.37</v>
      </c>
      <c r="J9" t="s">
        <v>72</v>
      </c>
    </row>
    <row r="10" spans="1:10" x14ac:dyDescent="0.25">
      <c r="A10" s="22">
        <v>45843</v>
      </c>
      <c r="B10" s="23" t="s">
        <v>10</v>
      </c>
      <c r="C10" s="24">
        <v>1</v>
      </c>
      <c r="D10" s="25">
        <v>4400</v>
      </c>
      <c r="E10" s="26">
        <v>5339.75</v>
      </c>
      <c r="F10" s="26">
        <f t="shared" si="0"/>
        <v>-939.75</v>
      </c>
      <c r="G10" s="26">
        <f t="shared" si="1"/>
        <v>4400</v>
      </c>
      <c r="H10" s="26">
        <f t="shared" si="2"/>
        <v>5339.75</v>
      </c>
      <c r="I10" s="26">
        <f t="shared" si="3"/>
        <v>-939.75</v>
      </c>
      <c r="J10" t="s">
        <v>72</v>
      </c>
    </row>
    <row r="11" spans="1:10" x14ac:dyDescent="0.25">
      <c r="A11" s="22">
        <v>45845</v>
      </c>
      <c r="B11" s="23" t="s">
        <v>10</v>
      </c>
      <c r="C11" s="24">
        <v>1</v>
      </c>
      <c r="D11" s="25">
        <v>4430</v>
      </c>
      <c r="E11" s="26">
        <v>5339.75</v>
      </c>
      <c r="F11" s="26">
        <f t="shared" si="0"/>
        <v>-909.75</v>
      </c>
      <c r="G11" s="26">
        <f t="shared" si="1"/>
        <v>4430</v>
      </c>
      <c r="H11" s="26">
        <f t="shared" si="2"/>
        <v>5339.75</v>
      </c>
      <c r="I11" s="26">
        <f t="shared" si="3"/>
        <v>-909.75</v>
      </c>
      <c r="J11" t="s">
        <v>72</v>
      </c>
    </row>
    <row r="12" spans="1:10" x14ac:dyDescent="0.25">
      <c r="A12" s="33">
        <v>45846</v>
      </c>
      <c r="B12" s="39" t="s">
        <v>35</v>
      </c>
      <c r="C12" s="10">
        <v>1</v>
      </c>
      <c r="D12" s="16">
        <v>6700</v>
      </c>
      <c r="E12" s="20">
        <v>6138.82</v>
      </c>
      <c r="F12" s="20">
        <f t="shared" si="0"/>
        <v>561.18000000000029</v>
      </c>
      <c r="G12" s="20">
        <f t="shared" si="1"/>
        <v>6700</v>
      </c>
      <c r="H12" s="20">
        <f t="shared" si="2"/>
        <v>6138.82</v>
      </c>
      <c r="I12" s="20">
        <f t="shared" si="3"/>
        <v>561.18000000000029</v>
      </c>
      <c r="J12" t="s">
        <v>72</v>
      </c>
    </row>
    <row r="13" spans="1:10" x14ac:dyDescent="0.25">
      <c r="A13" s="35">
        <v>45847</v>
      </c>
      <c r="B13" s="23" t="s">
        <v>10</v>
      </c>
      <c r="C13" s="24">
        <v>1</v>
      </c>
      <c r="D13" s="25">
        <v>4430</v>
      </c>
      <c r="E13" s="26">
        <v>5339.75</v>
      </c>
      <c r="F13" s="26">
        <f t="shared" si="0"/>
        <v>-909.75</v>
      </c>
      <c r="G13" s="26">
        <f t="shared" si="1"/>
        <v>4430</v>
      </c>
      <c r="H13" s="26">
        <f t="shared" si="2"/>
        <v>5339.75</v>
      </c>
      <c r="I13" s="26">
        <f t="shared" si="3"/>
        <v>-909.75</v>
      </c>
      <c r="J13" t="s">
        <v>72</v>
      </c>
    </row>
    <row r="14" spans="1:10" x14ac:dyDescent="0.25">
      <c r="A14" s="35">
        <v>45848</v>
      </c>
      <c r="B14" s="23" t="s">
        <v>10</v>
      </c>
      <c r="C14" s="24">
        <v>1</v>
      </c>
      <c r="D14" s="25">
        <v>4430</v>
      </c>
      <c r="E14" s="26">
        <v>5339.75</v>
      </c>
      <c r="F14" s="26">
        <f t="shared" si="0"/>
        <v>-909.75</v>
      </c>
      <c r="G14" s="26">
        <f t="shared" si="1"/>
        <v>4430</v>
      </c>
      <c r="H14" s="26">
        <f t="shared" si="2"/>
        <v>5339.75</v>
      </c>
      <c r="I14" s="26">
        <f t="shared" si="3"/>
        <v>-909.75</v>
      </c>
      <c r="J14" t="s">
        <v>72</v>
      </c>
    </row>
    <row r="15" spans="1:10" x14ac:dyDescent="0.25">
      <c r="A15" s="35">
        <v>45849</v>
      </c>
      <c r="B15" s="23" t="s">
        <v>10</v>
      </c>
      <c r="C15" s="24">
        <v>1</v>
      </c>
      <c r="D15" s="25">
        <v>4450</v>
      </c>
      <c r="E15" s="26">
        <v>5339.75</v>
      </c>
      <c r="F15" s="26">
        <f t="shared" si="0"/>
        <v>-889.75</v>
      </c>
      <c r="G15" s="26">
        <f t="shared" si="1"/>
        <v>4450</v>
      </c>
      <c r="H15" s="26">
        <f t="shared" si="2"/>
        <v>5339.75</v>
      </c>
      <c r="I15" s="26">
        <f t="shared" si="3"/>
        <v>-889.75</v>
      </c>
      <c r="J15" t="s">
        <v>72</v>
      </c>
    </row>
    <row r="16" spans="1:10" x14ac:dyDescent="0.25">
      <c r="A16" s="33">
        <v>45850</v>
      </c>
      <c r="B16" s="39" t="s">
        <v>35</v>
      </c>
      <c r="C16" s="10">
        <v>1</v>
      </c>
      <c r="D16" s="16">
        <v>6700</v>
      </c>
      <c r="E16" s="20">
        <v>6138.82</v>
      </c>
      <c r="F16" s="20">
        <f t="shared" si="0"/>
        <v>561.18000000000029</v>
      </c>
      <c r="G16" s="20">
        <f t="shared" si="1"/>
        <v>6700</v>
      </c>
      <c r="H16" s="20">
        <f t="shared" si="2"/>
        <v>6138.82</v>
      </c>
      <c r="I16" s="20">
        <f t="shared" si="3"/>
        <v>561.18000000000029</v>
      </c>
      <c r="J16" t="s">
        <v>72</v>
      </c>
    </row>
    <row r="17" spans="1:10" x14ac:dyDescent="0.25">
      <c r="A17" s="33">
        <v>45852</v>
      </c>
      <c r="B17" s="39" t="s">
        <v>35</v>
      </c>
      <c r="C17" s="10">
        <v>5</v>
      </c>
      <c r="D17" s="16">
        <v>6680</v>
      </c>
      <c r="E17" s="20">
        <v>6138.82</v>
      </c>
      <c r="F17" s="20">
        <f t="shared" si="0"/>
        <v>541.18000000000029</v>
      </c>
      <c r="G17" s="20">
        <f t="shared" si="1"/>
        <v>33400</v>
      </c>
      <c r="H17" s="20">
        <f t="shared" si="2"/>
        <v>30694.1</v>
      </c>
      <c r="I17" s="20">
        <f t="shared" si="3"/>
        <v>2705.9000000000015</v>
      </c>
      <c r="J17" t="s">
        <v>72</v>
      </c>
    </row>
    <row r="18" spans="1:10" x14ac:dyDescent="0.25">
      <c r="A18" s="33">
        <v>45853</v>
      </c>
      <c r="B18" t="s">
        <v>41</v>
      </c>
      <c r="C18" s="10">
        <v>1</v>
      </c>
      <c r="D18" s="16">
        <v>8000</v>
      </c>
      <c r="E18" s="20">
        <v>7466.63</v>
      </c>
      <c r="F18" s="20">
        <f t="shared" si="0"/>
        <v>533.36999999999989</v>
      </c>
      <c r="G18" s="20">
        <f t="shared" si="1"/>
        <v>8000</v>
      </c>
      <c r="H18" s="20">
        <f t="shared" si="2"/>
        <v>7466.63</v>
      </c>
      <c r="I18" s="20">
        <f t="shared" si="3"/>
        <v>533.36999999999989</v>
      </c>
      <c r="J18" t="s">
        <v>72</v>
      </c>
    </row>
    <row r="19" spans="1:10" x14ac:dyDescent="0.25">
      <c r="A19" s="33">
        <v>45853</v>
      </c>
      <c r="B19" s="39" t="s">
        <v>35</v>
      </c>
      <c r="C19" s="10">
        <v>1</v>
      </c>
      <c r="D19" s="16">
        <v>6680</v>
      </c>
      <c r="E19" s="20">
        <v>6138.82</v>
      </c>
      <c r="F19" s="20">
        <f t="shared" si="0"/>
        <v>541.18000000000029</v>
      </c>
      <c r="G19" s="20">
        <f t="shared" si="1"/>
        <v>6680</v>
      </c>
      <c r="H19" s="20">
        <f t="shared" si="2"/>
        <v>6138.82</v>
      </c>
      <c r="I19" s="20">
        <f t="shared" si="3"/>
        <v>541.18000000000029</v>
      </c>
      <c r="J19" t="s">
        <v>72</v>
      </c>
    </row>
    <row r="20" spans="1:10" x14ac:dyDescent="0.25">
      <c r="A20" s="33">
        <v>45855</v>
      </c>
      <c r="B20" t="s">
        <v>41</v>
      </c>
      <c r="C20" s="10">
        <v>3</v>
      </c>
      <c r="D20" s="16">
        <v>8000</v>
      </c>
      <c r="E20" s="20">
        <v>7466.63</v>
      </c>
      <c r="F20" s="20">
        <f t="shared" si="0"/>
        <v>533.36999999999989</v>
      </c>
      <c r="G20" s="20">
        <f t="shared" si="1"/>
        <v>24000</v>
      </c>
      <c r="H20" s="20">
        <f t="shared" si="2"/>
        <v>22399.89</v>
      </c>
      <c r="I20" s="20">
        <f t="shared" si="3"/>
        <v>1600.1100000000006</v>
      </c>
      <c r="J20" t="s">
        <v>72</v>
      </c>
    </row>
    <row r="21" spans="1:10" x14ac:dyDescent="0.25">
      <c r="A21" s="33">
        <v>45855</v>
      </c>
      <c r="B21" t="s">
        <v>44</v>
      </c>
      <c r="C21" s="10">
        <v>8</v>
      </c>
      <c r="D21" s="16">
        <v>185</v>
      </c>
      <c r="E21" s="20">
        <v>159.6</v>
      </c>
      <c r="F21" s="20">
        <f t="shared" si="0"/>
        <v>25.400000000000006</v>
      </c>
      <c r="G21" s="20">
        <f t="shared" si="1"/>
        <v>1480</v>
      </c>
      <c r="H21" s="20">
        <f t="shared" si="2"/>
        <v>1276.8</v>
      </c>
      <c r="I21" s="20">
        <f t="shared" si="3"/>
        <v>203.20000000000005</v>
      </c>
      <c r="J21" t="s">
        <v>72</v>
      </c>
    </row>
    <row r="22" spans="1:10" x14ac:dyDescent="0.25">
      <c r="A22" s="33">
        <v>45855</v>
      </c>
      <c r="B22" s="39" t="s">
        <v>35</v>
      </c>
      <c r="C22" s="10">
        <v>1</v>
      </c>
      <c r="D22" s="16">
        <v>6750</v>
      </c>
      <c r="E22" s="20">
        <v>6138.82</v>
      </c>
      <c r="F22" s="20">
        <f t="shared" si="0"/>
        <v>611.18000000000029</v>
      </c>
      <c r="G22" s="20">
        <f t="shared" si="1"/>
        <v>6750</v>
      </c>
      <c r="H22" s="20">
        <f t="shared" si="2"/>
        <v>6138.82</v>
      </c>
      <c r="I22" s="20">
        <f t="shared" si="3"/>
        <v>611.18000000000029</v>
      </c>
      <c r="J22" t="s">
        <v>72</v>
      </c>
    </row>
    <row r="23" spans="1:10" x14ac:dyDescent="0.25">
      <c r="A23" s="33">
        <v>45856</v>
      </c>
      <c r="B23" t="s">
        <v>16</v>
      </c>
      <c r="C23" s="10">
        <v>1</v>
      </c>
      <c r="D23" s="16">
        <v>5880</v>
      </c>
      <c r="E23" s="20">
        <v>3753.63</v>
      </c>
      <c r="F23" s="20">
        <f t="shared" si="0"/>
        <v>2126.37</v>
      </c>
      <c r="G23" s="20">
        <f t="shared" si="1"/>
        <v>5880</v>
      </c>
      <c r="H23" s="20">
        <f t="shared" si="2"/>
        <v>3753.63</v>
      </c>
      <c r="I23" s="20">
        <f t="shared" si="3"/>
        <v>2126.37</v>
      </c>
      <c r="J23" t="s">
        <v>72</v>
      </c>
    </row>
    <row r="24" spans="1:10" x14ac:dyDescent="0.25">
      <c r="A24" s="33">
        <v>45859</v>
      </c>
      <c r="B24" t="s">
        <v>41</v>
      </c>
      <c r="C24" s="10">
        <v>1</v>
      </c>
      <c r="D24" s="16">
        <v>8000</v>
      </c>
      <c r="E24" s="20">
        <v>7466.63</v>
      </c>
      <c r="F24" s="20">
        <f t="shared" si="0"/>
        <v>533.36999999999989</v>
      </c>
      <c r="G24" s="20">
        <f t="shared" si="1"/>
        <v>8000</v>
      </c>
      <c r="H24" s="20">
        <f t="shared" si="2"/>
        <v>7466.63</v>
      </c>
      <c r="I24" s="20">
        <f t="shared" si="3"/>
        <v>533.36999999999989</v>
      </c>
      <c r="J24" t="s">
        <v>72</v>
      </c>
    </row>
    <row r="25" spans="1:10" x14ac:dyDescent="0.25">
      <c r="A25" s="35">
        <v>45860</v>
      </c>
      <c r="B25" s="41" t="s">
        <v>48</v>
      </c>
      <c r="C25" s="24">
        <v>5</v>
      </c>
      <c r="D25" s="25">
        <v>2225</v>
      </c>
      <c r="E25" s="26">
        <v>2320.71</v>
      </c>
      <c r="F25" s="26">
        <f t="shared" si="0"/>
        <v>-95.710000000000036</v>
      </c>
      <c r="G25" s="26">
        <f t="shared" si="1"/>
        <v>11125</v>
      </c>
      <c r="H25" s="26">
        <f t="shared" si="2"/>
        <v>11603.55</v>
      </c>
      <c r="I25" s="26">
        <f t="shared" si="3"/>
        <v>-478.54999999999927</v>
      </c>
      <c r="J25" t="s">
        <v>72</v>
      </c>
    </row>
    <row r="26" spans="1:10" x14ac:dyDescent="0.25">
      <c r="A26" s="35">
        <v>45862</v>
      </c>
      <c r="B26" s="41" t="s">
        <v>48</v>
      </c>
      <c r="C26" s="24">
        <v>1</v>
      </c>
      <c r="D26" s="25">
        <v>2260</v>
      </c>
      <c r="E26" s="26">
        <v>2320.71</v>
      </c>
      <c r="F26" s="26">
        <f t="shared" si="0"/>
        <v>-60.710000000000036</v>
      </c>
      <c r="G26" s="26">
        <f t="shared" si="1"/>
        <v>2260</v>
      </c>
      <c r="H26" s="26">
        <f t="shared" si="2"/>
        <v>2320.71</v>
      </c>
      <c r="I26" s="26">
        <f t="shared" si="3"/>
        <v>-60.710000000000036</v>
      </c>
      <c r="J26" t="s">
        <v>72</v>
      </c>
    </row>
    <row r="27" spans="1:10" x14ac:dyDescent="0.25">
      <c r="A27" s="33">
        <v>45863</v>
      </c>
      <c r="B27" t="s">
        <v>51</v>
      </c>
      <c r="C27" s="10">
        <v>15</v>
      </c>
      <c r="D27" s="16">
        <v>735</v>
      </c>
      <c r="E27" s="20">
        <v>729.91</v>
      </c>
      <c r="F27" s="20">
        <f t="shared" si="0"/>
        <v>5.0900000000000318</v>
      </c>
      <c r="G27" s="20">
        <f t="shared" si="1"/>
        <v>11025</v>
      </c>
      <c r="H27" s="20">
        <f t="shared" si="2"/>
        <v>10948.65</v>
      </c>
      <c r="I27" s="20">
        <f t="shared" si="3"/>
        <v>76.350000000000364</v>
      </c>
      <c r="J27" t="s">
        <v>72</v>
      </c>
    </row>
    <row r="28" spans="1:10" x14ac:dyDescent="0.25">
      <c r="A28" s="33">
        <v>45863</v>
      </c>
      <c r="B28" t="s">
        <v>41</v>
      </c>
      <c r="C28" s="10">
        <v>1</v>
      </c>
      <c r="D28" s="16">
        <v>8000</v>
      </c>
      <c r="E28" s="20">
        <v>7466.63</v>
      </c>
      <c r="F28" s="20">
        <f t="shared" si="0"/>
        <v>533.36999999999989</v>
      </c>
      <c r="G28" s="20">
        <f t="shared" si="1"/>
        <v>8000</v>
      </c>
      <c r="H28" s="20">
        <f t="shared" si="2"/>
        <v>7466.63</v>
      </c>
      <c r="I28" s="20">
        <f t="shared" si="3"/>
        <v>533.36999999999989</v>
      </c>
      <c r="J28" t="s">
        <v>72</v>
      </c>
    </row>
    <row r="29" spans="1:10" x14ac:dyDescent="0.25">
      <c r="A29" s="33">
        <v>45863</v>
      </c>
      <c r="B29" t="s">
        <v>16</v>
      </c>
      <c r="C29" s="10">
        <v>1</v>
      </c>
      <c r="D29" s="16">
        <v>5750</v>
      </c>
      <c r="E29" s="20">
        <v>3753.63</v>
      </c>
      <c r="F29" s="20">
        <f t="shared" si="0"/>
        <v>1996.37</v>
      </c>
      <c r="G29" s="20">
        <f t="shared" si="1"/>
        <v>5750</v>
      </c>
      <c r="H29" s="20">
        <f t="shared" si="2"/>
        <v>3753.63</v>
      </c>
      <c r="I29" s="20">
        <f t="shared" si="3"/>
        <v>1996.37</v>
      </c>
      <c r="J29" t="s">
        <v>72</v>
      </c>
    </row>
    <row r="30" spans="1:10" x14ac:dyDescent="0.25">
      <c r="A30" s="33">
        <v>45864</v>
      </c>
      <c r="B30" t="s">
        <v>51</v>
      </c>
      <c r="C30" s="10">
        <v>18</v>
      </c>
      <c r="D30" s="16">
        <v>740</v>
      </c>
      <c r="E30" s="20">
        <v>729.91</v>
      </c>
      <c r="F30" s="20">
        <f t="shared" si="0"/>
        <v>10.090000000000032</v>
      </c>
      <c r="G30" s="20">
        <f t="shared" si="1"/>
        <v>13320</v>
      </c>
      <c r="H30" s="20">
        <f t="shared" si="2"/>
        <v>13138.38</v>
      </c>
      <c r="I30" s="20">
        <f t="shared" si="3"/>
        <v>181.6200000000008</v>
      </c>
      <c r="J30" t="s">
        <v>72</v>
      </c>
    </row>
    <row r="31" spans="1:10" x14ac:dyDescent="0.25">
      <c r="A31" s="33">
        <v>45864</v>
      </c>
      <c r="B31" t="s">
        <v>41</v>
      </c>
      <c r="C31" s="10">
        <v>1</v>
      </c>
      <c r="D31" s="16">
        <v>8200</v>
      </c>
      <c r="E31" s="20">
        <v>7466.63</v>
      </c>
      <c r="F31" s="20">
        <f t="shared" si="0"/>
        <v>733.36999999999989</v>
      </c>
      <c r="G31" s="20">
        <f t="shared" si="1"/>
        <v>8200</v>
      </c>
      <c r="H31" s="20">
        <f t="shared" si="2"/>
        <v>7466.63</v>
      </c>
      <c r="I31" s="20">
        <f t="shared" si="3"/>
        <v>733.36999999999989</v>
      </c>
      <c r="J31" t="s">
        <v>72</v>
      </c>
    </row>
    <row r="32" spans="1:10" x14ac:dyDescent="0.25">
      <c r="A32" s="33">
        <v>45864</v>
      </c>
      <c r="B32" t="s">
        <v>54</v>
      </c>
      <c r="C32" s="10">
        <v>1</v>
      </c>
      <c r="D32" s="16">
        <v>8600</v>
      </c>
      <c r="E32" s="20">
        <v>7990.45</v>
      </c>
      <c r="F32" s="20">
        <f t="shared" si="0"/>
        <v>609.55000000000018</v>
      </c>
      <c r="G32" s="20">
        <f t="shared" si="1"/>
        <v>8600</v>
      </c>
      <c r="H32" s="20">
        <f t="shared" si="2"/>
        <v>7990.45</v>
      </c>
      <c r="I32" s="20">
        <f t="shared" si="3"/>
        <v>609.55000000000018</v>
      </c>
      <c r="J32" t="s">
        <v>72</v>
      </c>
    </row>
    <row r="33" spans="1:10" x14ac:dyDescent="0.25">
      <c r="A33" s="33">
        <v>45866</v>
      </c>
      <c r="B33" s="39" t="s">
        <v>35</v>
      </c>
      <c r="C33" s="10">
        <v>2</v>
      </c>
      <c r="D33" s="16">
        <v>6630</v>
      </c>
      <c r="E33" s="20">
        <v>6138.82</v>
      </c>
      <c r="F33" s="20">
        <f t="shared" si="0"/>
        <v>491.18000000000029</v>
      </c>
      <c r="G33" s="20">
        <f t="shared" si="1"/>
        <v>13260</v>
      </c>
      <c r="H33" s="20">
        <f t="shared" si="2"/>
        <v>12277.64</v>
      </c>
      <c r="I33" s="20">
        <f t="shared" si="3"/>
        <v>982.36000000000058</v>
      </c>
      <c r="J33" t="s">
        <v>72</v>
      </c>
    </row>
    <row r="34" spans="1:10" x14ac:dyDescent="0.25">
      <c r="A34" s="33">
        <v>45866</v>
      </c>
      <c r="B34" s="39" t="s">
        <v>57</v>
      </c>
      <c r="C34" s="10">
        <v>12</v>
      </c>
      <c r="D34" s="16">
        <v>72</v>
      </c>
      <c r="E34" s="20">
        <v>36</v>
      </c>
      <c r="F34" s="20">
        <f t="shared" si="0"/>
        <v>36</v>
      </c>
      <c r="G34" s="20">
        <f t="shared" si="1"/>
        <v>864</v>
      </c>
      <c r="H34" s="20">
        <f t="shared" si="2"/>
        <v>432</v>
      </c>
      <c r="I34" s="20">
        <f t="shared" si="3"/>
        <v>432</v>
      </c>
      <c r="J34" t="s">
        <v>72</v>
      </c>
    </row>
    <row r="35" spans="1:10" x14ac:dyDescent="0.25">
      <c r="A35" s="35">
        <v>45867</v>
      </c>
      <c r="B35" s="23" t="s">
        <v>10</v>
      </c>
      <c r="C35" s="24">
        <v>1</v>
      </c>
      <c r="D35" s="25">
        <v>4400</v>
      </c>
      <c r="E35" s="26">
        <v>5339.75</v>
      </c>
      <c r="F35" s="26">
        <f t="shared" si="0"/>
        <v>-939.75</v>
      </c>
      <c r="G35" s="26">
        <f t="shared" si="1"/>
        <v>4400</v>
      </c>
      <c r="H35" s="26">
        <f t="shared" si="2"/>
        <v>5339.75</v>
      </c>
      <c r="I35" s="26">
        <f t="shared" si="3"/>
        <v>-939.75</v>
      </c>
      <c r="J35" t="s">
        <v>72</v>
      </c>
    </row>
    <row r="37" spans="1:10" x14ac:dyDescent="0.25">
      <c r="G37" s="20">
        <f>SUM(G2:G36)</f>
        <v>274614</v>
      </c>
      <c r="H37" s="20">
        <f>SUM(H2:H36)</f>
        <v>259427.76000000007</v>
      </c>
      <c r="I37" s="20">
        <f>SUM(I2:I36)</f>
        <v>15186.240000000005</v>
      </c>
    </row>
    <row r="38" spans="1:10" ht="18.75" x14ac:dyDescent="0.3">
      <c r="G38" s="1" t="s">
        <v>5</v>
      </c>
      <c r="H38" s="3" t="s">
        <v>6</v>
      </c>
      <c r="I38" s="4" t="s">
        <v>7</v>
      </c>
    </row>
    <row r="41" spans="1:10" x14ac:dyDescent="0.25">
      <c r="A41" s="45"/>
      <c r="B41" s="46" t="s">
        <v>72</v>
      </c>
      <c r="C41" s="47" t="s">
        <v>74</v>
      </c>
    </row>
    <row r="42" spans="1:10" x14ac:dyDescent="0.25">
      <c r="A42" s="5">
        <v>45852</v>
      </c>
      <c r="B42" t="s">
        <v>75</v>
      </c>
      <c r="C42" s="20">
        <v>23999</v>
      </c>
    </row>
    <row r="43" spans="1:10" x14ac:dyDescent="0.25">
      <c r="A43" s="5">
        <v>45867</v>
      </c>
      <c r="B43" t="s">
        <v>76</v>
      </c>
      <c r="C43" s="20">
        <v>11903</v>
      </c>
    </row>
    <row r="44" spans="1:10" x14ac:dyDescent="0.25">
      <c r="A44" s="5">
        <v>45869</v>
      </c>
      <c r="B44" t="s">
        <v>77</v>
      </c>
      <c r="C44" s="20">
        <v>9512</v>
      </c>
    </row>
    <row r="46" spans="1:10" x14ac:dyDescent="0.25">
      <c r="B46" s="48" t="s">
        <v>78</v>
      </c>
      <c r="C46" s="20">
        <f>SUM(C42:C45)</f>
        <v>45414</v>
      </c>
    </row>
    <row r="49" spans="2:3" ht="26.25" x14ac:dyDescent="0.4">
      <c r="B49" s="50" t="s">
        <v>79</v>
      </c>
      <c r="C49" s="49">
        <f>I37-C46</f>
        <v>-30227.759999999995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C796-C6EB-4B27-A96D-341BAB7DD245}">
  <dimension ref="A1:J47"/>
  <sheetViews>
    <sheetView topLeftCell="A7" workbookViewId="0">
      <selection activeCell="G50" sqref="G50"/>
    </sheetView>
  </sheetViews>
  <sheetFormatPr defaultRowHeight="15" x14ac:dyDescent="0.25"/>
  <cols>
    <col min="1" max="1" width="14.140625" customWidth="1"/>
    <col min="2" max="2" width="31.42578125" customWidth="1"/>
    <col min="3" max="3" width="25.28515625" customWidth="1"/>
    <col min="4" max="4" width="16.7109375" customWidth="1"/>
    <col min="5" max="5" width="19" customWidth="1"/>
    <col min="6" max="6" width="23.28515625" customWidth="1"/>
    <col min="7" max="7" width="17.42578125" customWidth="1"/>
    <col min="8" max="8" width="15.28515625" customWidth="1"/>
    <col min="9" max="9" width="16" customWidth="1"/>
    <col min="10" max="10" width="17.85546875" customWidth="1"/>
  </cols>
  <sheetData>
    <row r="1" spans="1:10" ht="18.75" x14ac:dyDescent="0.3">
      <c r="A1" s="1" t="s">
        <v>13</v>
      </c>
      <c r="B1" s="1" t="s">
        <v>0</v>
      </c>
      <c r="C1" s="2" t="s">
        <v>1</v>
      </c>
      <c r="D1" s="15" t="s">
        <v>2</v>
      </c>
      <c r="E1" s="15" t="s">
        <v>3</v>
      </c>
      <c r="F1" s="1" t="s">
        <v>4</v>
      </c>
      <c r="G1" s="1" t="s">
        <v>5</v>
      </c>
      <c r="H1" s="3" t="s">
        <v>6</v>
      </c>
      <c r="I1" s="4" t="s">
        <v>7</v>
      </c>
      <c r="J1" s="32" t="s">
        <v>68</v>
      </c>
    </row>
    <row r="2" spans="1:10" x14ac:dyDescent="0.25">
      <c r="A2" s="5">
        <v>45839</v>
      </c>
      <c r="B2" t="s">
        <v>8</v>
      </c>
      <c r="C2" s="10">
        <v>5</v>
      </c>
      <c r="D2" s="16">
        <v>860</v>
      </c>
      <c r="E2" s="20">
        <v>840</v>
      </c>
      <c r="F2" s="20">
        <f t="shared" ref="F2:F32" si="0">D2-E2</f>
        <v>20</v>
      </c>
      <c r="G2" s="20">
        <f t="shared" ref="G2:G32" si="1">D2*C2</f>
        <v>4300</v>
      </c>
      <c r="H2" s="20">
        <f t="shared" ref="H2:H32" si="2">E2*C2</f>
        <v>4200</v>
      </c>
      <c r="I2" s="20">
        <f t="shared" ref="I2:I32" si="3">G2-H2</f>
        <v>100</v>
      </c>
      <c r="J2" t="s">
        <v>70</v>
      </c>
    </row>
    <row r="3" spans="1:10" x14ac:dyDescent="0.25">
      <c r="A3" s="5">
        <v>45839</v>
      </c>
      <c r="B3" t="s">
        <v>12</v>
      </c>
      <c r="C3" s="10">
        <v>10</v>
      </c>
      <c r="D3" s="16">
        <v>1160</v>
      </c>
      <c r="E3" s="20">
        <v>1145</v>
      </c>
      <c r="F3" s="20">
        <f t="shared" si="0"/>
        <v>15</v>
      </c>
      <c r="G3" s="20">
        <f t="shared" si="1"/>
        <v>11600</v>
      </c>
      <c r="H3" s="20">
        <f t="shared" si="2"/>
        <v>11450</v>
      </c>
      <c r="I3" s="20">
        <f t="shared" si="3"/>
        <v>150</v>
      </c>
      <c r="J3" t="s">
        <v>70</v>
      </c>
    </row>
    <row r="4" spans="1:10" x14ac:dyDescent="0.25">
      <c r="A4" s="5">
        <v>45839</v>
      </c>
      <c r="B4" t="s">
        <v>12</v>
      </c>
      <c r="C4" s="10">
        <v>1</v>
      </c>
      <c r="D4" s="16">
        <v>1175</v>
      </c>
      <c r="E4" s="20">
        <v>1145</v>
      </c>
      <c r="F4" s="20">
        <f t="shared" si="0"/>
        <v>30</v>
      </c>
      <c r="G4" s="20">
        <f t="shared" si="1"/>
        <v>1175</v>
      </c>
      <c r="H4" s="20">
        <f t="shared" si="2"/>
        <v>1145</v>
      </c>
      <c r="I4" s="20">
        <f t="shared" si="3"/>
        <v>30</v>
      </c>
      <c r="J4" t="s">
        <v>70</v>
      </c>
    </row>
    <row r="5" spans="1:10" x14ac:dyDescent="0.25">
      <c r="A5" s="5">
        <v>45839</v>
      </c>
      <c r="B5" t="s">
        <v>12</v>
      </c>
      <c r="C5" s="10">
        <v>50</v>
      </c>
      <c r="D5" s="16">
        <v>1175</v>
      </c>
      <c r="E5" s="20">
        <v>1145</v>
      </c>
      <c r="F5" s="20">
        <f t="shared" si="0"/>
        <v>30</v>
      </c>
      <c r="G5" s="20">
        <f t="shared" si="1"/>
        <v>58750</v>
      </c>
      <c r="H5" s="20">
        <f t="shared" si="2"/>
        <v>57250</v>
      </c>
      <c r="I5" s="20">
        <f t="shared" si="3"/>
        <v>1500</v>
      </c>
      <c r="J5" t="s">
        <v>70</v>
      </c>
    </row>
    <row r="6" spans="1:10" x14ac:dyDescent="0.25">
      <c r="A6" s="5">
        <v>45840</v>
      </c>
      <c r="B6" t="s">
        <v>12</v>
      </c>
      <c r="C6" s="10">
        <v>6</v>
      </c>
      <c r="D6" s="16">
        <v>1170</v>
      </c>
      <c r="E6" s="20">
        <v>1145</v>
      </c>
      <c r="F6" s="20">
        <f t="shared" si="0"/>
        <v>25</v>
      </c>
      <c r="G6" s="20">
        <f t="shared" si="1"/>
        <v>7020</v>
      </c>
      <c r="H6" s="20">
        <f t="shared" si="2"/>
        <v>6870</v>
      </c>
      <c r="I6" s="20">
        <f t="shared" si="3"/>
        <v>150</v>
      </c>
      <c r="J6" t="s">
        <v>70</v>
      </c>
    </row>
    <row r="7" spans="1:10" x14ac:dyDescent="0.25">
      <c r="A7" s="5">
        <v>45840</v>
      </c>
      <c r="B7" t="s">
        <v>12</v>
      </c>
      <c r="C7" s="10">
        <v>2</v>
      </c>
      <c r="D7" s="16">
        <v>1165</v>
      </c>
      <c r="E7" s="20">
        <v>1145</v>
      </c>
      <c r="F7" s="20">
        <f t="shared" si="0"/>
        <v>20</v>
      </c>
      <c r="G7" s="20">
        <f t="shared" si="1"/>
        <v>2330</v>
      </c>
      <c r="H7" s="20">
        <f t="shared" si="2"/>
        <v>2290</v>
      </c>
      <c r="I7" s="20">
        <f t="shared" si="3"/>
        <v>40</v>
      </c>
      <c r="J7" t="s">
        <v>70</v>
      </c>
    </row>
    <row r="8" spans="1:10" x14ac:dyDescent="0.25">
      <c r="A8" s="5">
        <v>45840</v>
      </c>
      <c r="B8" t="s">
        <v>8</v>
      </c>
      <c r="C8" s="10">
        <v>3</v>
      </c>
      <c r="D8" s="16">
        <v>870</v>
      </c>
      <c r="E8" s="20">
        <v>840</v>
      </c>
      <c r="F8" s="20">
        <f t="shared" si="0"/>
        <v>30</v>
      </c>
      <c r="G8" s="20">
        <f t="shared" si="1"/>
        <v>2610</v>
      </c>
      <c r="H8" s="20">
        <f t="shared" si="2"/>
        <v>2520</v>
      </c>
      <c r="I8" s="20">
        <f t="shared" si="3"/>
        <v>90</v>
      </c>
      <c r="J8" t="s">
        <v>70</v>
      </c>
    </row>
    <row r="9" spans="1:10" x14ac:dyDescent="0.25">
      <c r="A9" s="5">
        <v>45840</v>
      </c>
      <c r="B9" t="s">
        <v>12</v>
      </c>
      <c r="C9" s="10">
        <v>15</v>
      </c>
      <c r="D9" s="16">
        <v>1164</v>
      </c>
      <c r="E9" s="20">
        <v>1145</v>
      </c>
      <c r="F9" s="20">
        <f t="shared" si="0"/>
        <v>19</v>
      </c>
      <c r="G9" s="20">
        <f t="shared" si="1"/>
        <v>17460</v>
      </c>
      <c r="H9" s="20">
        <f t="shared" si="2"/>
        <v>17175</v>
      </c>
      <c r="I9" s="20">
        <f t="shared" si="3"/>
        <v>285</v>
      </c>
      <c r="J9" t="s">
        <v>70</v>
      </c>
    </row>
    <row r="10" spans="1:10" x14ac:dyDescent="0.25">
      <c r="A10" s="5">
        <v>45840</v>
      </c>
      <c r="B10" t="s">
        <v>8</v>
      </c>
      <c r="C10" s="10">
        <v>72</v>
      </c>
      <c r="D10" s="16">
        <v>842</v>
      </c>
      <c r="E10" s="20">
        <v>840</v>
      </c>
      <c r="F10" s="20">
        <f t="shared" si="0"/>
        <v>2</v>
      </c>
      <c r="G10" s="20">
        <f t="shared" si="1"/>
        <v>60624</v>
      </c>
      <c r="H10" s="20">
        <f t="shared" si="2"/>
        <v>60480</v>
      </c>
      <c r="I10" s="20">
        <f t="shared" si="3"/>
        <v>144</v>
      </c>
      <c r="J10" t="s">
        <v>70</v>
      </c>
    </row>
    <row r="11" spans="1:10" x14ac:dyDescent="0.25">
      <c r="A11" s="5">
        <v>45840</v>
      </c>
      <c r="B11" t="s">
        <v>12</v>
      </c>
      <c r="C11" s="10">
        <v>15</v>
      </c>
      <c r="D11" s="16">
        <v>1160</v>
      </c>
      <c r="E11" s="20">
        <v>1145</v>
      </c>
      <c r="F11" s="20">
        <f t="shared" si="0"/>
        <v>15</v>
      </c>
      <c r="G11" s="20">
        <f t="shared" si="1"/>
        <v>17400</v>
      </c>
      <c r="H11" s="20">
        <f t="shared" si="2"/>
        <v>17175</v>
      </c>
      <c r="I11" s="20">
        <f t="shared" si="3"/>
        <v>225</v>
      </c>
      <c r="J11" t="s">
        <v>70</v>
      </c>
    </row>
    <row r="12" spans="1:10" x14ac:dyDescent="0.25">
      <c r="A12" s="5">
        <v>45841</v>
      </c>
      <c r="B12" t="s">
        <v>12</v>
      </c>
      <c r="C12" s="10">
        <v>2</v>
      </c>
      <c r="D12" s="16">
        <v>1170</v>
      </c>
      <c r="E12" s="20">
        <v>1145</v>
      </c>
      <c r="F12" s="20">
        <f t="shared" si="0"/>
        <v>25</v>
      </c>
      <c r="G12" s="20">
        <f t="shared" si="1"/>
        <v>2340</v>
      </c>
      <c r="H12" s="20">
        <f t="shared" si="2"/>
        <v>2290</v>
      </c>
      <c r="I12" s="20">
        <f t="shared" si="3"/>
        <v>50</v>
      </c>
      <c r="J12" t="s">
        <v>70</v>
      </c>
    </row>
    <row r="13" spans="1:10" x14ac:dyDescent="0.25">
      <c r="A13" s="5">
        <v>45842</v>
      </c>
      <c r="B13" t="s">
        <v>8</v>
      </c>
      <c r="C13" s="10">
        <v>128</v>
      </c>
      <c r="D13" s="16">
        <v>842</v>
      </c>
      <c r="E13" s="20">
        <v>838</v>
      </c>
      <c r="F13" s="20">
        <f t="shared" si="0"/>
        <v>4</v>
      </c>
      <c r="G13" s="20">
        <f t="shared" si="1"/>
        <v>107776</v>
      </c>
      <c r="H13" s="20">
        <f t="shared" si="2"/>
        <v>107264</v>
      </c>
      <c r="I13" s="20">
        <f t="shared" si="3"/>
        <v>512</v>
      </c>
      <c r="J13" t="s">
        <v>70</v>
      </c>
    </row>
    <row r="14" spans="1:10" x14ac:dyDescent="0.25">
      <c r="A14" s="5">
        <v>45845</v>
      </c>
      <c r="B14" t="s">
        <v>12</v>
      </c>
      <c r="C14" s="10">
        <v>5</v>
      </c>
      <c r="D14" s="16">
        <v>1150</v>
      </c>
      <c r="E14" s="20">
        <v>1145</v>
      </c>
      <c r="F14" s="20">
        <f t="shared" si="0"/>
        <v>5</v>
      </c>
      <c r="G14" s="20">
        <f t="shared" si="1"/>
        <v>5750</v>
      </c>
      <c r="H14" s="20">
        <f t="shared" si="2"/>
        <v>5725</v>
      </c>
      <c r="I14" s="20">
        <f t="shared" si="3"/>
        <v>25</v>
      </c>
      <c r="J14" t="s">
        <v>70</v>
      </c>
    </row>
    <row r="15" spans="1:10" x14ac:dyDescent="0.25">
      <c r="A15" s="5">
        <v>45845</v>
      </c>
      <c r="B15" t="s">
        <v>12</v>
      </c>
      <c r="C15" s="10">
        <v>4</v>
      </c>
      <c r="D15" s="16">
        <v>1160</v>
      </c>
      <c r="E15" s="20">
        <v>1145</v>
      </c>
      <c r="F15" s="20">
        <f t="shared" si="0"/>
        <v>15</v>
      </c>
      <c r="G15" s="20">
        <f t="shared" si="1"/>
        <v>4640</v>
      </c>
      <c r="H15" s="20">
        <f t="shared" si="2"/>
        <v>4580</v>
      </c>
      <c r="I15" s="20">
        <f t="shared" si="3"/>
        <v>60</v>
      </c>
      <c r="J15" t="s">
        <v>70</v>
      </c>
    </row>
    <row r="16" spans="1:10" x14ac:dyDescent="0.25">
      <c r="A16" s="5">
        <v>45845</v>
      </c>
      <c r="B16" t="s">
        <v>12</v>
      </c>
      <c r="C16" s="10">
        <v>5</v>
      </c>
      <c r="D16" s="16">
        <v>1160</v>
      </c>
      <c r="E16" s="20">
        <v>1145</v>
      </c>
      <c r="F16" s="20">
        <f t="shared" si="0"/>
        <v>15</v>
      </c>
      <c r="G16" s="20">
        <f t="shared" si="1"/>
        <v>5800</v>
      </c>
      <c r="H16" s="20">
        <f t="shared" si="2"/>
        <v>5725</v>
      </c>
      <c r="I16" s="20">
        <f t="shared" si="3"/>
        <v>75</v>
      </c>
      <c r="J16" t="s">
        <v>70</v>
      </c>
    </row>
    <row r="17" spans="1:10" x14ac:dyDescent="0.25">
      <c r="A17" s="33">
        <v>45846</v>
      </c>
      <c r="B17" t="s">
        <v>12</v>
      </c>
      <c r="C17" s="10">
        <v>1</v>
      </c>
      <c r="D17" s="16">
        <v>1160</v>
      </c>
      <c r="E17" s="20">
        <v>1145</v>
      </c>
      <c r="F17" s="20">
        <f t="shared" si="0"/>
        <v>15</v>
      </c>
      <c r="G17" s="20">
        <f t="shared" si="1"/>
        <v>1160</v>
      </c>
      <c r="H17" s="20">
        <f t="shared" si="2"/>
        <v>1145</v>
      </c>
      <c r="I17" s="20">
        <f t="shared" si="3"/>
        <v>15</v>
      </c>
      <c r="J17" t="s">
        <v>70</v>
      </c>
    </row>
    <row r="18" spans="1:10" x14ac:dyDescent="0.25">
      <c r="A18" s="33">
        <v>45848</v>
      </c>
      <c r="B18" t="s">
        <v>12</v>
      </c>
      <c r="C18" s="10">
        <v>1</v>
      </c>
      <c r="D18" s="16">
        <v>1160</v>
      </c>
      <c r="E18" s="20">
        <v>1145</v>
      </c>
      <c r="F18" s="20">
        <f t="shared" si="0"/>
        <v>15</v>
      </c>
      <c r="G18" s="20">
        <f t="shared" si="1"/>
        <v>1160</v>
      </c>
      <c r="H18" s="20">
        <f t="shared" si="2"/>
        <v>1145</v>
      </c>
      <c r="I18" s="20">
        <f t="shared" si="3"/>
        <v>15</v>
      </c>
      <c r="J18" t="s">
        <v>70</v>
      </c>
    </row>
    <row r="19" spans="1:10" x14ac:dyDescent="0.25">
      <c r="A19" s="33">
        <v>45848</v>
      </c>
      <c r="B19" t="s">
        <v>12</v>
      </c>
      <c r="C19" s="10">
        <v>5</v>
      </c>
      <c r="D19" s="16">
        <v>1155</v>
      </c>
      <c r="E19" s="20">
        <v>1140</v>
      </c>
      <c r="F19" s="20">
        <f t="shared" si="0"/>
        <v>15</v>
      </c>
      <c r="G19" s="20">
        <f t="shared" si="1"/>
        <v>5775</v>
      </c>
      <c r="H19" s="20">
        <f t="shared" si="2"/>
        <v>5700</v>
      </c>
      <c r="I19" s="20">
        <f t="shared" si="3"/>
        <v>75</v>
      </c>
      <c r="J19" t="s">
        <v>70</v>
      </c>
    </row>
    <row r="20" spans="1:10" x14ac:dyDescent="0.25">
      <c r="A20" s="33">
        <v>45848</v>
      </c>
      <c r="B20" t="s">
        <v>8</v>
      </c>
      <c r="C20" s="10">
        <v>50</v>
      </c>
      <c r="D20" s="16">
        <v>844</v>
      </c>
      <c r="E20" s="20">
        <v>838</v>
      </c>
      <c r="F20" s="20">
        <f t="shared" si="0"/>
        <v>6</v>
      </c>
      <c r="G20" s="20">
        <f t="shared" si="1"/>
        <v>42200</v>
      </c>
      <c r="H20" s="20">
        <f t="shared" si="2"/>
        <v>41900</v>
      </c>
      <c r="I20" s="20">
        <f t="shared" si="3"/>
        <v>300</v>
      </c>
      <c r="J20" t="s">
        <v>70</v>
      </c>
    </row>
    <row r="21" spans="1:10" x14ac:dyDescent="0.25">
      <c r="A21" s="33">
        <v>45848</v>
      </c>
      <c r="B21" t="s">
        <v>8</v>
      </c>
      <c r="C21" s="10">
        <v>1</v>
      </c>
      <c r="D21" s="16">
        <v>850</v>
      </c>
      <c r="E21" s="20">
        <v>840</v>
      </c>
      <c r="F21" s="20">
        <f t="shared" si="0"/>
        <v>10</v>
      </c>
      <c r="G21" s="20">
        <f t="shared" si="1"/>
        <v>850</v>
      </c>
      <c r="H21" s="20">
        <f t="shared" si="2"/>
        <v>840</v>
      </c>
      <c r="I21" s="20">
        <f t="shared" si="3"/>
        <v>10</v>
      </c>
      <c r="J21" t="s">
        <v>70</v>
      </c>
    </row>
    <row r="22" spans="1:10" x14ac:dyDescent="0.25">
      <c r="A22" s="33">
        <v>45850</v>
      </c>
      <c r="B22" t="s">
        <v>8</v>
      </c>
      <c r="C22" s="10">
        <v>5</v>
      </c>
      <c r="D22" s="16">
        <v>845</v>
      </c>
      <c r="E22" s="20">
        <v>840</v>
      </c>
      <c r="F22" s="20">
        <f t="shared" si="0"/>
        <v>5</v>
      </c>
      <c r="G22" s="20">
        <f t="shared" si="1"/>
        <v>4225</v>
      </c>
      <c r="H22" s="20">
        <f t="shared" si="2"/>
        <v>4200</v>
      </c>
      <c r="I22" s="20">
        <f t="shared" si="3"/>
        <v>25</v>
      </c>
      <c r="J22" t="s">
        <v>70</v>
      </c>
    </row>
    <row r="23" spans="1:10" x14ac:dyDescent="0.25">
      <c r="A23" s="33">
        <v>45852</v>
      </c>
      <c r="B23" t="s">
        <v>8</v>
      </c>
      <c r="C23" s="10">
        <v>3</v>
      </c>
      <c r="D23" s="16">
        <v>850</v>
      </c>
      <c r="E23" s="20">
        <v>840</v>
      </c>
      <c r="F23" s="20">
        <f t="shared" si="0"/>
        <v>10</v>
      </c>
      <c r="G23" s="20">
        <f t="shared" si="1"/>
        <v>2550</v>
      </c>
      <c r="H23" s="20">
        <f t="shared" si="2"/>
        <v>2520</v>
      </c>
      <c r="I23" s="20">
        <f t="shared" si="3"/>
        <v>30</v>
      </c>
      <c r="J23" t="s">
        <v>70</v>
      </c>
    </row>
    <row r="24" spans="1:10" x14ac:dyDescent="0.25">
      <c r="A24" s="33">
        <v>45852</v>
      </c>
      <c r="B24" t="s">
        <v>8</v>
      </c>
      <c r="C24" s="10">
        <v>1</v>
      </c>
      <c r="D24" s="16">
        <v>850</v>
      </c>
      <c r="E24" s="20">
        <v>840</v>
      </c>
      <c r="F24" s="20">
        <f t="shared" si="0"/>
        <v>10</v>
      </c>
      <c r="G24" s="20">
        <f t="shared" si="1"/>
        <v>850</v>
      </c>
      <c r="H24" s="20">
        <f t="shared" si="2"/>
        <v>840</v>
      </c>
      <c r="I24" s="20">
        <f t="shared" si="3"/>
        <v>10</v>
      </c>
      <c r="J24" t="s">
        <v>70</v>
      </c>
    </row>
    <row r="25" spans="1:10" x14ac:dyDescent="0.25">
      <c r="A25" s="33">
        <v>45853</v>
      </c>
      <c r="B25" t="s">
        <v>8</v>
      </c>
      <c r="C25" s="10">
        <v>20</v>
      </c>
      <c r="D25" s="16">
        <v>850</v>
      </c>
      <c r="E25" s="20">
        <v>840</v>
      </c>
      <c r="F25" s="20">
        <f t="shared" si="0"/>
        <v>10</v>
      </c>
      <c r="G25" s="20">
        <f t="shared" si="1"/>
        <v>17000</v>
      </c>
      <c r="H25" s="20">
        <f t="shared" si="2"/>
        <v>16800</v>
      </c>
      <c r="I25" s="20">
        <f t="shared" si="3"/>
        <v>200</v>
      </c>
      <c r="J25" t="s">
        <v>70</v>
      </c>
    </row>
    <row r="26" spans="1:10" x14ac:dyDescent="0.25">
      <c r="A26" s="33">
        <v>45853</v>
      </c>
      <c r="B26" t="s">
        <v>8</v>
      </c>
      <c r="C26" s="10">
        <v>1</v>
      </c>
      <c r="D26" s="16">
        <v>850</v>
      </c>
      <c r="E26" s="20">
        <v>840</v>
      </c>
      <c r="F26" s="20">
        <f t="shared" si="0"/>
        <v>10</v>
      </c>
      <c r="G26" s="20">
        <f t="shared" si="1"/>
        <v>850</v>
      </c>
      <c r="H26" s="20">
        <f t="shared" si="2"/>
        <v>840</v>
      </c>
      <c r="I26" s="20">
        <f t="shared" si="3"/>
        <v>10</v>
      </c>
      <c r="J26" t="s">
        <v>70</v>
      </c>
    </row>
    <row r="27" spans="1:10" x14ac:dyDescent="0.25">
      <c r="A27" s="33">
        <v>45853</v>
      </c>
      <c r="B27" t="s">
        <v>8</v>
      </c>
      <c r="C27" s="10">
        <v>40</v>
      </c>
      <c r="D27" s="16">
        <v>844</v>
      </c>
      <c r="E27" s="20">
        <v>840</v>
      </c>
      <c r="F27" s="20">
        <f t="shared" si="0"/>
        <v>4</v>
      </c>
      <c r="G27" s="20">
        <f t="shared" si="1"/>
        <v>33760</v>
      </c>
      <c r="H27" s="20">
        <f t="shared" si="2"/>
        <v>33600</v>
      </c>
      <c r="I27" s="20">
        <f t="shared" si="3"/>
        <v>160</v>
      </c>
      <c r="J27" t="s">
        <v>70</v>
      </c>
    </row>
    <row r="28" spans="1:10" x14ac:dyDescent="0.25">
      <c r="A28" s="33">
        <v>45853</v>
      </c>
      <c r="B28" t="s">
        <v>8</v>
      </c>
      <c r="C28" s="10">
        <v>5</v>
      </c>
      <c r="D28" s="16">
        <v>845</v>
      </c>
      <c r="E28" s="20">
        <v>840</v>
      </c>
      <c r="F28" s="20">
        <f t="shared" si="0"/>
        <v>5</v>
      </c>
      <c r="G28" s="20">
        <f t="shared" si="1"/>
        <v>4225</v>
      </c>
      <c r="H28" s="20">
        <f t="shared" si="2"/>
        <v>4200</v>
      </c>
      <c r="I28" s="20">
        <f t="shared" si="3"/>
        <v>25</v>
      </c>
      <c r="J28" t="s">
        <v>70</v>
      </c>
    </row>
    <row r="29" spans="1:10" x14ac:dyDescent="0.25">
      <c r="A29" s="33">
        <v>45853</v>
      </c>
      <c r="B29" t="s">
        <v>8</v>
      </c>
      <c r="C29" s="10">
        <v>11</v>
      </c>
      <c r="D29" s="16">
        <v>850</v>
      </c>
      <c r="E29" s="20">
        <v>840</v>
      </c>
      <c r="F29" s="20">
        <f t="shared" si="0"/>
        <v>10</v>
      </c>
      <c r="G29" s="20">
        <f t="shared" si="1"/>
        <v>9350</v>
      </c>
      <c r="H29" s="20">
        <f t="shared" si="2"/>
        <v>9240</v>
      </c>
      <c r="I29" s="20">
        <f t="shared" si="3"/>
        <v>110</v>
      </c>
      <c r="J29" t="s">
        <v>70</v>
      </c>
    </row>
    <row r="30" spans="1:10" x14ac:dyDescent="0.25">
      <c r="A30" s="33">
        <v>45855</v>
      </c>
      <c r="B30" t="s">
        <v>8</v>
      </c>
      <c r="C30" s="10">
        <v>10</v>
      </c>
      <c r="D30" s="16">
        <v>844</v>
      </c>
      <c r="E30" s="20">
        <v>840</v>
      </c>
      <c r="F30" s="20">
        <f t="shared" si="0"/>
        <v>4</v>
      </c>
      <c r="G30" s="20">
        <f t="shared" si="1"/>
        <v>8440</v>
      </c>
      <c r="H30" s="20">
        <f t="shared" si="2"/>
        <v>8400</v>
      </c>
      <c r="I30" s="20">
        <f t="shared" si="3"/>
        <v>40</v>
      </c>
      <c r="J30" t="s">
        <v>70</v>
      </c>
    </row>
    <row r="31" spans="1:10" x14ac:dyDescent="0.25">
      <c r="A31" s="33">
        <v>45855</v>
      </c>
      <c r="B31" t="s">
        <v>8</v>
      </c>
      <c r="C31" s="10">
        <v>3</v>
      </c>
      <c r="D31" s="16">
        <v>850</v>
      </c>
      <c r="E31" s="20">
        <v>840</v>
      </c>
      <c r="F31" s="20">
        <f t="shared" si="0"/>
        <v>10</v>
      </c>
      <c r="G31" s="20">
        <f t="shared" si="1"/>
        <v>2550</v>
      </c>
      <c r="H31" s="20">
        <f t="shared" si="2"/>
        <v>2520</v>
      </c>
      <c r="I31" s="20">
        <f t="shared" si="3"/>
        <v>30</v>
      </c>
      <c r="J31" t="s">
        <v>70</v>
      </c>
    </row>
    <row r="32" spans="1:10" x14ac:dyDescent="0.25">
      <c r="A32" s="33">
        <v>45862</v>
      </c>
      <c r="B32" t="s">
        <v>8</v>
      </c>
      <c r="C32" s="10">
        <v>1</v>
      </c>
      <c r="D32" s="16">
        <v>850</v>
      </c>
      <c r="E32" s="20">
        <v>840</v>
      </c>
      <c r="F32" s="20">
        <f t="shared" si="0"/>
        <v>10</v>
      </c>
      <c r="G32" s="20">
        <f t="shared" si="1"/>
        <v>850</v>
      </c>
      <c r="H32" s="20">
        <f t="shared" si="2"/>
        <v>840</v>
      </c>
      <c r="I32" s="20">
        <f t="shared" si="3"/>
        <v>10</v>
      </c>
      <c r="J32" t="s">
        <v>70</v>
      </c>
    </row>
    <row r="35" spans="1:9" x14ac:dyDescent="0.25">
      <c r="G35" s="20">
        <f>SUM(G2:G34)</f>
        <v>445370</v>
      </c>
      <c r="H35" s="20">
        <f>SUM(H2:H34)</f>
        <v>440869</v>
      </c>
      <c r="I35" s="20">
        <f>SUM(I2:I34)</f>
        <v>4501</v>
      </c>
    </row>
    <row r="36" spans="1:9" ht="18.75" x14ac:dyDescent="0.3">
      <c r="G36" s="1" t="s">
        <v>5</v>
      </c>
      <c r="H36" s="3" t="s">
        <v>6</v>
      </c>
      <c r="I36" s="4" t="s">
        <v>7</v>
      </c>
    </row>
    <row r="38" spans="1:9" x14ac:dyDescent="0.25">
      <c r="A38" s="45"/>
      <c r="B38" s="46" t="s">
        <v>80</v>
      </c>
      <c r="C38" s="47" t="s">
        <v>74</v>
      </c>
    </row>
    <row r="39" spans="1:9" x14ac:dyDescent="0.25">
      <c r="A39" s="5"/>
      <c r="B39" t="s">
        <v>81</v>
      </c>
      <c r="C39" s="20">
        <v>3571.95</v>
      </c>
    </row>
    <row r="40" spans="1:9" x14ac:dyDescent="0.25">
      <c r="A40" s="5"/>
      <c r="B40" t="s">
        <v>82</v>
      </c>
      <c r="C40" s="20">
        <v>163</v>
      </c>
    </row>
    <row r="41" spans="1:9" x14ac:dyDescent="0.25">
      <c r="A41" s="5"/>
      <c r="B41" t="s">
        <v>83</v>
      </c>
      <c r="C41" s="20">
        <v>13858</v>
      </c>
    </row>
    <row r="42" spans="1:9" x14ac:dyDescent="0.25">
      <c r="A42" s="5"/>
      <c r="B42" t="s">
        <v>84</v>
      </c>
      <c r="C42" s="20">
        <v>30000</v>
      </c>
    </row>
    <row r="44" spans="1:9" x14ac:dyDescent="0.25">
      <c r="B44" s="48" t="s">
        <v>78</v>
      </c>
      <c r="C44" s="20">
        <f>SUM(C39:C43)</f>
        <v>47592.95</v>
      </c>
    </row>
    <row r="47" spans="1:9" ht="26.25" x14ac:dyDescent="0.4">
      <c r="B47" s="50" t="s">
        <v>79</v>
      </c>
      <c r="C47" s="51">
        <f>I35-C44</f>
        <v>-43091.95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F34E-D801-4C8C-BFB8-9CA186668319}">
  <dimension ref="A1:J57"/>
  <sheetViews>
    <sheetView topLeftCell="A12" workbookViewId="0">
      <selection activeCell="C58" sqref="C58"/>
    </sheetView>
  </sheetViews>
  <sheetFormatPr defaultRowHeight="15" x14ac:dyDescent="0.25"/>
  <cols>
    <col min="1" max="1" width="14.5703125" customWidth="1"/>
    <col min="2" max="2" width="32.28515625" customWidth="1"/>
    <col min="3" max="3" width="22.28515625" customWidth="1"/>
    <col min="4" max="4" width="17.28515625" customWidth="1"/>
    <col min="5" max="5" width="22.7109375" customWidth="1"/>
    <col min="6" max="7" width="15.7109375" customWidth="1"/>
    <col min="8" max="8" width="17.28515625" customWidth="1"/>
    <col min="9" max="9" width="15.5703125" customWidth="1"/>
    <col min="10" max="10" width="16.28515625" customWidth="1"/>
  </cols>
  <sheetData>
    <row r="1" spans="1:10" ht="18.75" x14ac:dyDescent="0.3">
      <c r="A1" s="1" t="s">
        <v>13</v>
      </c>
      <c r="B1" s="1" t="s">
        <v>0</v>
      </c>
      <c r="C1" s="2" t="s">
        <v>1</v>
      </c>
      <c r="D1" s="15" t="s">
        <v>2</v>
      </c>
      <c r="E1" s="15" t="s">
        <v>3</v>
      </c>
      <c r="F1" s="1" t="s">
        <v>4</v>
      </c>
      <c r="G1" s="1" t="s">
        <v>5</v>
      </c>
      <c r="H1" s="3" t="s">
        <v>6</v>
      </c>
      <c r="I1" s="4" t="s">
        <v>7</v>
      </c>
      <c r="J1" s="32" t="s">
        <v>68</v>
      </c>
    </row>
    <row r="2" spans="1:10" x14ac:dyDescent="0.25">
      <c r="A2" s="5">
        <v>45839</v>
      </c>
      <c r="B2" t="s">
        <v>14</v>
      </c>
      <c r="C2" s="10">
        <v>2</v>
      </c>
      <c r="D2" s="16">
        <v>2912.5</v>
      </c>
      <c r="E2" s="20">
        <v>2580</v>
      </c>
      <c r="F2" s="20">
        <f t="shared" ref="F2:F32" si="0">D2-E2</f>
        <v>332.5</v>
      </c>
      <c r="G2" s="20">
        <f t="shared" ref="G2:G32" si="1">D2*C2</f>
        <v>5825</v>
      </c>
      <c r="H2" s="20">
        <f t="shared" ref="H2:H32" si="2">E2*C2</f>
        <v>5160</v>
      </c>
      <c r="I2" s="20">
        <f t="shared" ref="I2:I32" si="3">G2-H2</f>
        <v>665</v>
      </c>
      <c r="J2" t="s">
        <v>73</v>
      </c>
    </row>
    <row r="3" spans="1:10" x14ac:dyDescent="0.25">
      <c r="A3" s="5">
        <v>45839</v>
      </c>
      <c r="B3" t="s">
        <v>14</v>
      </c>
      <c r="C3" s="10">
        <v>1</v>
      </c>
      <c r="D3" s="16">
        <v>2906.25</v>
      </c>
      <c r="E3" s="20">
        <v>2580</v>
      </c>
      <c r="F3" s="20">
        <f t="shared" si="0"/>
        <v>326.25</v>
      </c>
      <c r="G3" s="20">
        <f t="shared" si="1"/>
        <v>2906.25</v>
      </c>
      <c r="H3" s="20">
        <f t="shared" si="2"/>
        <v>2580</v>
      </c>
      <c r="I3" s="20">
        <f t="shared" si="3"/>
        <v>326.25</v>
      </c>
      <c r="J3" t="s">
        <v>73</v>
      </c>
    </row>
    <row r="4" spans="1:10" x14ac:dyDescent="0.25">
      <c r="A4" s="34">
        <v>45840</v>
      </c>
      <c r="B4" s="38" t="s">
        <v>15</v>
      </c>
      <c r="C4" s="8">
        <v>1</v>
      </c>
      <c r="D4" s="17">
        <v>2475</v>
      </c>
      <c r="E4" s="19">
        <v>2070</v>
      </c>
      <c r="F4" s="20">
        <f t="shared" si="0"/>
        <v>405</v>
      </c>
      <c r="G4" s="20">
        <f t="shared" si="1"/>
        <v>2475</v>
      </c>
      <c r="H4" s="20">
        <f t="shared" si="2"/>
        <v>2070</v>
      </c>
      <c r="I4" s="20">
        <f t="shared" si="3"/>
        <v>405</v>
      </c>
      <c r="J4" t="s">
        <v>73</v>
      </c>
    </row>
    <row r="5" spans="1:10" x14ac:dyDescent="0.25">
      <c r="A5" s="34">
        <v>45841</v>
      </c>
      <c r="B5" s="38" t="s">
        <v>15</v>
      </c>
      <c r="C5" s="8">
        <v>1</v>
      </c>
      <c r="D5" s="17">
        <v>2475</v>
      </c>
      <c r="E5" s="19">
        <v>2070</v>
      </c>
      <c r="F5" s="20">
        <f t="shared" si="0"/>
        <v>405</v>
      </c>
      <c r="G5" s="20">
        <f t="shared" si="1"/>
        <v>2475</v>
      </c>
      <c r="H5" s="20">
        <f t="shared" si="2"/>
        <v>2070</v>
      </c>
      <c r="I5" s="20">
        <f t="shared" si="3"/>
        <v>405</v>
      </c>
      <c r="J5" t="s">
        <v>73</v>
      </c>
    </row>
    <row r="6" spans="1:10" x14ac:dyDescent="0.25">
      <c r="A6" s="34">
        <v>45841</v>
      </c>
      <c r="B6" s="38" t="s">
        <v>14</v>
      </c>
      <c r="C6" s="8">
        <v>1</v>
      </c>
      <c r="D6" s="17">
        <v>2906.25</v>
      </c>
      <c r="E6" s="19">
        <v>2580</v>
      </c>
      <c r="F6" s="20">
        <f t="shared" si="0"/>
        <v>326.25</v>
      </c>
      <c r="G6" s="20">
        <f t="shared" si="1"/>
        <v>2906.25</v>
      </c>
      <c r="H6" s="20">
        <f t="shared" si="2"/>
        <v>2580</v>
      </c>
      <c r="I6" s="20">
        <f t="shared" si="3"/>
        <v>326.25</v>
      </c>
      <c r="J6" t="s">
        <v>73</v>
      </c>
    </row>
    <row r="7" spans="1:10" x14ac:dyDescent="0.25">
      <c r="A7" s="34">
        <v>45843</v>
      </c>
      <c r="B7" s="38" t="s">
        <v>14</v>
      </c>
      <c r="C7" s="8">
        <v>1</v>
      </c>
      <c r="D7" s="17">
        <v>2912.5</v>
      </c>
      <c r="E7" s="19">
        <v>2580</v>
      </c>
      <c r="F7" s="20">
        <f t="shared" si="0"/>
        <v>332.5</v>
      </c>
      <c r="G7" s="20">
        <f t="shared" si="1"/>
        <v>2912.5</v>
      </c>
      <c r="H7" s="20">
        <f t="shared" si="2"/>
        <v>2580</v>
      </c>
      <c r="I7" s="20">
        <f t="shared" si="3"/>
        <v>332.5</v>
      </c>
      <c r="J7" t="s">
        <v>73</v>
      </c>
    </row>
    <row r="8" spans="1:10" x14ac:dyDescent="0.25">
      <c r="A8" s="34">
        <v>45843</v>
      </c>
      <c r="B8" s="38" t="s">
        <v>14</v>
      </c>
      <c r="C8" s="8">
        <v>1</v>
      </c>
      <c r="D8" s="17">
        <v>2925</v>
      </c>
      <c r="E8" s="19">
        <v>2580</v>
      </c>
      <c r="F8" s="20">
        <f t="shared" si="0"/>
        <v>345</v>
      </c>
      <c r="G8" s="20">
        <f t="shared" si="1"/>
        <v>2925</v>
      </c>
      <c r="H8" s="20">
        <f t="shared" si="2"/>
        <v>2580</v>
      </c>
      <c r="I8" s="20">
        <f t="shared" si="3"/>
        <v>345</v>
      </c>
      <c r="J8" t="s">
        <v>73</v>
      </c>
    </row>
    <row r="9" spans="1:10" x14ac:dyDescent="0.25">
      <c r="A9" s="6">
        <v>45848</v>
      </c>
      <c r="B9" t="s">
        <v>14</v>
      </c>
      <c r="C9" s="9">
        <v>1</v>
      </c>
      <c r="D9" s="18">
        <v>2900</v>
      </c>
      <c r="E9" s="20">
        <v>2580</v>
      </c>
      <c r="F9" s="20">
        <f t="shared" si="0"/>
        <v>320</v>
      </c>
      <c r="G9" s="20">
        <f t="shared" si="1"/>
        <v>2900</v>
      </c>
      <c r="H9" s="20">
        <f t="shared" si="2"/>
        <v>2580</v>
      </c>
      <c r="I9" s="20">
        <f t="shared" si="3"/>
        <v>320</v>
      </c>
      <c r="J9" t="s">
        <v>73</v>
      </c>
    </row>
    <row r="10" spans="1:10" x14ac:dyDescent="0.25">
      <c r="A10" s="6">
        <v>45849</v>
      </c>
      <c r="B10" s="40" t="s">
        <v>14</v>
      </c>
      <c r="C10" s="10">
        <v>1</v>
      </c>
      <c r="D10" s="16">
        <v>2900</v>
      </c>
      <c r="E10" s="21">
        <v>2580</v>
      </c>
      <c r="F10" s="20">
        <f t="shared" si="0"/>
        <v>320</v>
      </c>
      <c r="G10" s="20">
        <f t="shared" si="1"/>
        <v>2900</v>
      </c>
      <c r="H10" s="20">
        <f t="shared" si="2"/>
        <v>2580</v>
      </c>
      <c r="I10" s="20">
        <f t="shared" si="3"/>
        <v>320</v>
      </c>
      <c r="J10" t="s">
        <v>73</v>
      </c>
    </row>
    <row r="11" spans="1:10" x14ac:dyDescent="0.25">
      <c r="A11" s="6">
        <v>45850</v>
      </c>
      <c r="B11" t="s">
        <v>14</v>
      </c>
      <c r="C11" s="10">
        <v>1</v>
      </c>
      <c r="D11" s="16">
        <v>2900</v>
      </c>
      <c r="E11" s="20">
        <v>2580</v>
      </c>
      <c r="F11" s="20">
        <f t="shared" si="0"/>
        <v>320</v>
      </c>
      <c r="G11" s="20">
        <f t="shared" si="1"/>
        <v>2900</v>
      </c>
      <c r="H11" s="20">
        <f t="shared" si="2"/>
        <v>2580</v>
      </c>
      <c r="I11" s="20">
        <f t="shared" si="3"/>
        <v>320</v>
      </c>
      <c r="J11" t="s">
        <v>73</v>
      </c>
    </row>
    <row r="12" spans="1:10" x14ac:dyDescent="0.25">
      <c r="A12" s="6">
        <v>45850</v>
      </c>
      <c r="B12" t="s">
        <v>14</v>
      </c>
      <c r="C12" s="9">
        <v>1</v>
      </c>
      <c r="D12" s="18">
        <v>2687.5</v>
      </c>
      <c r="E12" s="20">
        <v>2550</v>
      </c>
      <c r="F12" s="20">
        <f t="shared" si="0"/>
        <v>137.5</v>
      </c>
      <c r="G12" s="20">
        <f t="shared" si="1"/>
        <v>2687.5</v>
      </c>
      <c r="H12" s="20">
        <f t="shared" si="2"/>
        <v>2550</v>
      </c>
      <c r="I12" s="20">
        <f t="shared" si="3"/>
        <v>137.5</v>
      </c>
      <c r="J12" t="s">
        <v>73</v>
      </c>
    </row>
    <row r="13" spans="1:10" x14ac:dyDescent="0.25">
      <c r="A13" s="6">
        <v>45852</v>
      </c>
      <c r="B13" t="s">
        <v>14</v>
      </c>
      <c r="C13" s="10">
        <v>1</v>
      </c>
      <c r="D13" s="16">
        <v>2700</v>
      </c>
      <c r="E13" s="20">
        <v>2580</v>
      </c>
      <c r="F13" s="20">
        <f t="shared" si="0"/>
        <v>120</v>
      </c>
      <c r="G13" s="20">
        <f t="shared" si="1"/>
        <v>2700</v>
      </c>
      <c r="H13" s="20">
        <f t="shared" si="2"/>
        <v>2580</v>
      </c>
      <c r="I13" s="20">
        <f t="shared" si="3"/>
        <v>120</v>
      </c>
      <c r="J13" t="s">
        <v>73</v>
      </c>
    </row>
    <row r="14" spans="1:10" x14ac:dyDescent="0.25">
      <c r="A14" s="6">
        <v>45854</v>
      </c>
      <c r="B14" t="s">
        <v>14</v>
      </c>
      <c r="C14" s="10">
        <v>1</v>
      </c>
      <c r="D14" s="16">
        <v>2860.759</v>
      </c>
      <c r="E14" s="20">
        <v>2580</v>
      </c>
      <c r="F14" s="20">
        <f t="shared" si="0"/>
        <v>280.75900000000001</v>
      </c>
      <c r="G14" s="20">
        <f t="shared" si="1"/>
        <v>2860.759</v>
      </c>
      <c r="H14" s="20">
        <f t="shared" si="2"/>
        <v>2580</v>
      </c>
      <c r="I14" s="20">
        <f t="shared" si="3"/>
        <v>280.75900000000001</v>
      </c>
      <c r="J14" t="s">
        <v>73</v>
      </c>
    </row>
    <row r="15" spans="1:10" x14ac:dyDescent="0.25">
      <c r="A15" s="6">
        <v>45855</v>
      </c>
      <c r="B15" t="s">
        <v>14</v>
      </c>
      <c r="C15" s="10">
        <v>1</v>
      </c>
      <c r="D15" s="16">
        <v>2841.77</v>
      </c>
      <c r="E15" s="20">
        <v>2580</v>
      </c>
      <c r="F15" s="20">
        <f t="shared" si="0"/>
        <v>261.77</v>
      </c>
      <c r="G15" s="20">
        <f t="shared" si="1"/>
        <v>2841.77</v>
      </c>
      <c r="H15" s="20">
        <f t="shared" si="2"/>
        <v>2580</v>
      </c>
      <c r="I15" s="20">
        <f t="shared" si="3"/>
        <v>261.77</v>
      </c>
      <c r="J15" t="s">
        <v>73</v>
      </c>
    </row>
    <row r="16" spans="1:10" x14ac:dyDescent="0.25">
      <c r="A16" s="6">
        <v>45855</v>
      </c>
      <c r="B16" t="s">
        <v>14</v>
      </c>
      <c r="C16" s="10">
        <v>1</v>
      </c>
      <c r="D16" s="16">
        <v>2962.02</v>
      </c>
      <c r="E16" s="20">
        <v>2580</v>
      </c>
      <c r="F16" s="20">
        <f t="shared" si="0"/>
        <v>382.02</v>
      </c>
      <c r="G16" s="20">
        <f t="shared" si="1"/>
        <v>2962.02</v>
      </c>
      <c r="H16" s="20">
        <f t="shared" si="2"/>
        <v>2580</v>
      </c>
      <c r="I16" s="20">
        <f t="shared" si="3"/>
        <v>382.02</v>
      </c>
      <c r="J16" t="s">
        <v>73</v>
      </c>
    </row>
    <row r="17" spans="1:10" x14ac:dyDescent="0.25">
      <c r="A17" s="6">
        <v>45857</v>
      </c>
      <c r="B17" t="s">
        <v>14</v>
      </c>
      <c r="C17" s="10">
        <v>1</v>
      </c>
      <c r="D17" s="16">
        <v>2974.68</v>
      </c>
      <c r="E17" s="20">
        <v>2580</v>
      </c>
      <c r="F17" s="20">
        <f t="shared" si="0"/>
        <v>394.67999999999984</v>
      </c>
      <c r="G17" s="20">
        <f t="shared" si="1"/>
        <v>2974.68</v>
      </c>
      <c r="H17" s="20">
        <f t="shared" si="2"/>
        <v>2580</v>
      </c>
      <c r="I17" s="20">
        <f t="shared" si="3"/>
        <v>394.67999999999984</v>
      </c>
      <c r="J17" t="s">
        <v>73</v>
      </c>
    </row>
    <row r="18" spans="1:10" x14ac:dyDescent="0.25">
      <c r="A18" s="6">
        <v>45858</v>
      </c>
      <c r="B18" t="s">
        <v>14</v>
      </c>
      <c r="C18" s="10">
        <v>1</v>
      </c>
      <c r="D18" s="16">
        <v>2974.68</v>
      </c>
      <c r="E18" s="20">
        <v>2580</v>
      </c>
      <c r="F18" s="20">
        <f t="shared" si="0"/>
        <v>394.67999999999984</v>
      </c>
      <c r="G18" s="20">
        <f t="shared" si="1"/>
        <v>2974.68</v>
      </c>
      <c r="H18" s="20">
        <f t="shared" si="2"/>
        <v>2580</v>
      </c>
      <c r="I18" s="20">
        <f t="shared" si="3"/>
        <v>394.67999999999984</v>
      </c>
      <c r="J18" t="s">
        <v>73</v>
      </c>
    </row>
    <row r="19" spans="1:10" x14ac:dyDescent="0.25">
      <c r="A19" s="6">
        <v>45858</v>
      </c>
      <c r="B19" t="s">
        <v>14</v>
      </c>
      <c r="C19" s="10">
        <v>1</v>
      </c>
      <c r="D19" s="16">
        <v>2974.68</v>
      </c>
      <c r="E19" s="20">
        <v>2580</v>
      </c>
      <c r="F19" s="20">
        <f t="shared" si="0"/>
        <v>394.67999999999984</v>
      </c>
      <c r="G19" s="20">
        <f t="shared" si="1"/>
        <v>2974.68</v>
      </c>
      <c r="H19" s="20">
        <f t="shared" si="2"/>
        <v>2580</v>
      </c>
      <c r="I19" s="20">
        <f t="shared" si="3"/>
        <v>394.67999999999984</v>
      </c>
      <c r="J19" t="s">
        <v>73</v>
      </c>
    </row>
    <row r="20" spans="1:10" x14ac:dyDescent="0.25">
      <c r="A20" s="6">
        <v>45859</v>
      </c>
      <c r="B20" t="s">
        <v>14</v>
      </c>
      <c r="C20" s="10">
        <v>1</v>
      </c>
      <c r="D20" s="16">
        <v>2974.68</v>
      </c>
      <c r="E20" s="20">
        <v>2580</v>
      </c>
      <c r="F20" s="20">
        <f t="shared" si="0"/>
        <v>394.67999999999984</v>
      </c>
      <c r="G20" s="20">
        <f t="shared" si="1"/>
        <v>2974.68</v>
      </c>
      <c r="H20" s="20">
        <f t="shared" si="2"/>
        <v>2580</v>
      </c>
      <c r="I20" s="20">
        <f t="shared" si="3"/>
        <v>394.67999999999984</v>
      </c>
      <c r="J20" t="s">
        <v>73</v>
      </c>
    </row>
    <row r="21" spans="1:10" x14ac:dyDescent="0.25">
      <c r="A21" s="6">
        <v>45859</v>
      </c>
      <c r="B21" t="s">
        <v>14</v>
      </c>
      <c r="C21" s="10">
        <v>1</v>
      </c>
      <c r="D21" s="16">
        <v>2974.68</v>
      </c>
      <c r="E21" s="20">
        <v>2580</v>
      </c>
      <c r="F21" s="20">
        <f t="shared" si="0"/>
        <v>394.67999999999984</v>
      </c>
      <c r="G21" s="20">
        <f t="shared" si="1"/>
        <v>2974.68</v>
      </c>
      <c r="H21" s="20">
        <f t="shared" si="2"/>
        <v>2580</v>
      </c>
      <c r="I21" s="20">
        <f t="shared" si="3"/>
        <v>394.67999999999984</v>
      </c>
      <c r="J21" t="s">
        <v>73</v>
      </c>
    </row>
    <row r="22" spans="1:10" x14ac:dyDescent="0.25">
      <c r="A22" s="6">
        <v>45859</v>
      </c>
      <c r="B22" t="s">
        <v>14</v>
      </c>
      <c r="C22" s="10">
        <v>1</v>
      </c>
      <c r="D22" s="16">
        <v>2708.86</v>
      </c>
      <c r="E22" s="20">
        <v>2580</v>
      </c>
      <c r="F22" s="20">
        <f t="shared" si="0"/>
        <v>128.86000000000013</v>
      </c>
      <c r="G22" s="20">
        <f t="shared" si="1"/>
        <v>2708.86</v>
      </c>
      <c r="H22" s="20">
        <f t="shared" si="2"/>
        <v>2580</v>
      </c>
      <c r="I22" s="20">
        <f t="shared" si="3"/>
        <v>128.86000000000013</v>
      </c>
      <c r="J22" t="s">
        <v>73</v>
      </c>
    </row>
    <row r="23" spans="1:10" x14ac:dyDescent="0.25">
      <c r="A23" s="6">
        <v>45859</v>
      </c>
      <c r="B23" t="s">
        <v>14</v>
      </c>
      <c r="C23" s="10">
        <v>1</v>
      </c>
      <c r="D23" s="16">
        <v>2848.1</v>
      </c>
      <c r="E23" s="20">
        <v>2580</v>
      </c>
      <c r="F23" s="20">
        <f t="shared" si="0"/>
        <v>268.09999999999991</v>
      </c>
      <c r="G23" s="20">
        <f t="shared" si="1"/>
        <v>2848.1</v>
      </c>
      <c r="H23" s="20">
        <f t="shared" si="2"/>
        <v>2580</v>
      </c>
      <c r="I23" s="20">
        <f t="shared" si="3"/>
        <v>268.09999999999991</v>
      </c>
      <c r="J23" t="s">
        <v>73</v>
      </c>
    </row>
    <row r="24" spans="1:10" x14ac:dyDescent="0.25">
      <c r="A24" s="6">
        <v>45859</v>
      </c>
      <c r="B24" t="s">
        <v>14</v>
      </c>
      <c r="C24" s="10">
        <v>3</v>
      </c>
      <c r="D24" s="16">
        <v>2708.86</v>
      </c>
      <c r="E24" s="20">
        <v>2580</v>
      </c>
      <c r="F24" s="20">
        <f t="shared" si="0"/>
        <v>128.86000000000013</v>
      </c>
      <c r="G24" s="20">
        <f t="shared" si="1"/>
        <v>8126.58</v>
      </c>
      <c r="H24" s="20">
        <f t="shared" si="2"/>
        <v>7740</v>
      </c>
      <c r="I24" s="20">
        <f t="shared" si="3"/>
        <v>386.57999999999993</v>
      </c>
      <c r="J24" t="s">
        <v>73</v>
      </c>
    </row>
    <row r="25" spans="1:10" x14ac:dyDescent="0.25">
      <c r="A25" s="6">
        <v>45859</v>
      </c>
      <c r="B25" t="s">
        <v>14</v>
      </c>
      <c r="C25" s="10">
        <v>1</v>
      </c>
      <c r="D25" s="16">
        <v>2974.68</v>
      </c>
      <c r="E25" s="20">
        <v>2580</v>
      </c>
      <c r="F25" s="20">
        <f t="shared" si="0"/>
        <v>394.67999999999984</v>
      </c>
      <c r="G25" s="20">
        <f t="shared" si="1"/>
        <v>2974.68</v>
      </c>
      <c r="H25" s="20">
        <f t="shared" si="2"/>
        <v>2580</v>
      </c>
      <c r="I25" s="20">
        <f t="shared" si="3"/>
        <v>394.67999999999984</v>
      </c>
      <c r="J25" t="s">
        <v>73</v>
      </c>
    </row>
    <row r="26" spans="1:10" x14ac:dyDescent="0.25">
      <c r="A26" s="6">
        <v>45862</v>
      </c>
      <c r="B26" t="s">
        <v>14</v>
      </c>
      <c r="C26" s="10">
        <v>1</v>
      </c>
      <c r="D26" s="16">
        <v>2848.1010000000001</v>
      </c>
      <c r="E26" s="20">
        <v>2580</v>
      </c>
      <c r="F26" s="20">
        <f t="shared" si="0"/>
        <v>268.10100000000011</v>
      </c>
      <c r="G26" s="20">
        <f t="shared" si="1"/>
        <v>2848.1010000000001</v>
      </c>
      <c r="H26" s="20">
        <f t="shared" si="2"/>
        <v>2580</v>
      </c>
      <c r="I26" s="20">
        <f t="shared" si="3"/>
        <v>268.10100000000011</v>
      </c>
      <c r="J26" t="s">
        <v>73</v>
      </c>
    </row>
    <row r="27" spans="1:10" x14ac:dyDescent="0.25">
      <c r="A27" s="6">
        <v>45864</v>
      </c>
      <c r="B27" t="s">
        <v>14</v>
      </c>
      <c r="C27" s="10">
        <v>3</v>
      </c>
      <c r="D27" s="16">
        <v>3012.6579999999999</v>
      </c>
      <c r="E27" s="20">
        <v>2580</v>
      </c>
      <c r="F27" s="20">
        <f t="shared" si="0"/>
        <v>432.6579999999999</v>
      </c>
      <c r="G27" s="20">
        <f t="shared" si="1"/>
        <v>9037.9740000000002</v>
      </c>
      <c r="H27" s="20">
        <f t="shared" si="2"/>
        <v>7740</v>
      </c>
      <c r="I27" s="20">
        <f t="shared" si="3"/>
        <v>1297.9740000000002</v>
      </c>
      <c r="J27" t="s">
        <v>73</v>
      </c>
    </row>
    <row r="28" spans="1:10" x14ac:dyDescent="0.25">
      <c r="A28" s="6">
        <v>45864</v>
      </c>
      <c r="B28" t="s">
        <v>14</v>
      </c>
      <c r="C28" s="10">
        <v>1</v>
      </c>
      <c r="D28" s="16">
        <v>2455.6959999999999</v>
      </c>
      <c r="E28" s="20">
        <v>2350</v>
      </c>
      <c r="F28" s="20">
        <f t="shared" si="0"/>
        <v>105.69599999999991</v>
      </c>
      <c r="G28" s="20">
        <f t="shared" si="1"/>
        <v>2455.6959999999999</v>
      </c>
      <c r="H28" s="20">
        <f t="shared" si="2"/>
        <v>2350</v>
      </c>
      <c r="I28" s="20">
        <f t="shared" si="3"/>
        <v>105.69599999999991</v>
      </c>
      <c r="J28" t="s">
        <v>73</v>
      </c>
    </row>
    <row r="29" spans="1:10" x14ac:dyDescent="0.25">
      <c r="A29" s="6">
        <v>45866</v>
      </c>
      <c r="B29" s="38" t="s">
        <v>14</v>
      </c>
      <c r="C29" s="8">
        <v>1</v>
      </c>
      <c r="D29" s="16">
        <v>3012.6579999999999</v>
      </c>
      <c r="E29" s="20">
        <v>2580</v>
      </c>
      <c r="F29" s="20">
        <f t="shared" si="0"/>
        <v>432.6579999999999</v>
      </c>
      <c r="G29" s="20">
        <f t="shared" si="1"/>
        <v>3012.6579999999999</v>
      </c>
      <c r="H29" s="20">
        <f t="shared" si="2"/>
        <v>2580</v>
      </c>
      <c r="I29" s="20">
        <f t="shared" si="3"/>
        <v>432.6579999999999</v>
      </c>
      <c r="J29" t="s">
        <v>73</v>
      </c>
    </row>
    <row r="30" spans="1:10" x14ac:dyDescent="0.25">
      <c r="A30" s="6">
        <v>45867</v>
      </c>
      <c r="B30" s="38" t="s">
        <v>14</v>
      </c>
      <c r="C30" s="8">
        <v>1</v>
      </c>
      <c r="D30" s="16">
        <v>3012.6579999999999</v>
      </c>
      <c r="E30" s="20">
        <v>2580</v>
      </c>
      <c r="F30" s="20">
        <f t="shared" si="0"/>
        <v>432.6579999999999</v>
      </c>
      <c r="G30" s="20">
        <f t="shared" si="1"/>
        <v>3012.6579999999999</v>
      </c>
      <c r="H30" s="20">
        <f t="shared" si="2"/>
        <v>2580</v>
      </c>
      <c r="I30" s="20">
        <f t="shared" si="3"/>
        <v>432.6579999999999</v>
      </c>
      <c r="J30" t="s">
        <v>73</v>
      </c>
    </row>
    <row r="31" spans="1:10" x14ac:dyDescent="0.25">
      <c r="A31" s="6">
        <v>45868</v>
      </c>
      <c r="B31" s="38" t="s">
        <v>14</v>
      </c>
      <c r="C31" s="8">
        <v>1</v>
      </c>
      <c r="D31" s="16">
        <v>3006.32</v>
      </c>
      <c r="E31" s="20">
        <v>2580</v>
      </c>
      <c r="F31" s="20">
        <f t="shared" si="0"/>
        <v>426.32000000000016</v>
      </c>
      <c r="G31" s="20">
        <f t="shared" si="1"/>
        <v>3006.32</v>
      </c>
      <c r="H31" s="20">
        <f t="shared" si="2"/>
        <v>2580</v>
      </c>
      <c r="I31" s="20">
        <f t="shared" si="3"/>
        <v>426.32000000000016</v>
      </c>
      <c r="J31" t="s">
        <v>73</v>
      </c>
    </row>
    <row r="32" spans="1:10" x14ac:dyDescent="0.25">
      <c r="A32" s="6">
        <v>45869</v>
      </c>
      <c r="B32" t="s">
        <v>14</v>
      </c>
      <c r="C32" s="10">
        <v>1</v>
      </c>
      <c r="D32" s="16">
        <v>3006.32</v>
      </c>
      <c r="E32" s="20">
        <v>2580</v>
      </c>
      <c r="F32" s="20">
        <f t="shared" si="0"/>
        <v>426.32000000000016</v>
      </c>
      <c r="G32" s="20">
        <f t="shared" si="1"/>
        <v>3006.32</v>
      </c>
      <c r="H32" s="20">
        <f t="shared" si="2"/>
        <v>2580</v>
      </c>
      <c r="I32" s="20">
        <f t="shared" si="3"/>
        <v>426.32000000000016</v>
      </c>
      <c r="J32" t="s">
        <v>73</v>
      </c>
    </row>
    <row r="35" spans="1:9" x14ac:dyDescent="0.25">
      <c r="G35" s="20">
        <f>SUM(G2:G34)</f>
        <v>103088.39599999999</v>
      </c>
      <c r="H35" s="20">
        <f>SUM(H2:H34)</f>
        <v>91600</v>
      </c>
      <c r="I35" s="20">
        <f>SUM(I2:I34)</f>
        <v>11488.396000000002</v>
      </c>
    </row>
    <row r="36" spans="1:9" ht="18.75" x14ac:dyDescent="0.3">
      <c r="G36" s="1" t="s">
        <v>5</v>
      </c>
      <c r="H36" s="3" t="s">
        <v>6</v>
      </c>
      <c r="I36" s="4" t="s">
        <v>7</v>
      </c>
    </row>
    <row r="40" spans="1:9" x14ac:dyDescent="0.25">
      <c r="A40" s="45"/>
      <c r="B40" s="46" t="s">
        <v>85</v>
      </c>
      <c r="C40" s="47" t="s">
        <v>74</v>
      </c>
    </row>
    <row r="41" spans="1:9" x14ac:dyDescent="0.25">
      <c r="A41" s="5">
        <v>45839</v>
      </c>
      <c r="B41" t="s">
        <v>86</v>
      </c>
      <c r="C41" s="20">
        <v>188</v>
      </c>
    </row>
    <row r="42" spans="1:9" x14ac:dyDescent="0.25">
      <c r="A42" s="5">
        <v>45839</v>
      </c>
      <c r="B42" t="s">
        <v>87</v>
      </c>
      <c r="C42" s="20">
        <v>350</v>
      </c>
    </row>
    <row r="43" spans="1:9" x14ac:dyDescent="0.25">
      <c r="A43" s="5">
        <v>45842</v>
      </c>
      <c r="B43" t="s">
        <v>88</v>
      </c>
      <c r="C43" s="20">
        <v>4</v>
      </c>
    </row>
    <row r="44" spans="1:9" x14ac:dyDescent="0.25">
      <c r="A44" s="5">
        <v>45845</v>
      </c>
      <c r="B44" t="s">
        <v>89</v>
      </c>
      <c r="C44" s="20">
        <v>1125</v>
      </c>
    </row>
    <row r="45" spans="1:9" x14ac:dyDescent="0.25">
      <c r="A45" s="5">
        <v>45858</v>
      </c>
      <c r="B45" t="s">
        <v>90</v>
      </c>
      <c r="C45" s="20">
        <v>354</v>
      </c>
    </row>
    <row r="46" spans="1:9" x14ac:dyDescent="0.25">
      <c r="A46" s="5">
        <v>45859</v>
      </c>
      <c r="B46" t="s">
        <v>91</v>
      </c>
      <c r="C46" s="20">
        <v>2063</v>
      </c>
    </row>
    <row r="47" spans="1:9" x14ac:dyDescent="0.25">
      <c r="A47" s="5">
        <v>45862</v>
      </c>
      <c r="B47" t="s">
        <v>92</v>
      </c>
      <c r="C47" s="20">
        <v>127</v>
      </c>
    </row>
    <row r="48" spans="1:9" x14ac:dyDescent="0.25">
      <c r="A48" s="5">
        <v>45864</v>
      </c>
      <c r="B48" t="s">
        <v>93</v>
      </c>
      <c r="C48" s="20">
        <v>4</v>
      </c>
    </row>
    <row r="49" spans="1:3" x14ac:dyDescent="0.25">
      <c r="A49" s="5">
        <v>45869</v>
      </c>
      <c r="B49" t="s">
        <v>94</v>
      </c>
      <c r="C49" s="20">
        <v>354</v>
      </c>
    </row>
    <row r="50" spans="1:3" x14ac:dyDescent="0.25">
      <c r="A50" s="5">
        <v>45869</v>
      </c>
      <c r="B50" t="s">
        <v>95</v>
      </c>
      <c r="C50" s="20">
        <v>1125</v>
      </c>
    </row>
    <row r="51" spans="1:3" x14ac:dyDescent="0.25">
      <c r="A51" s="5">
        <v>45869</v>
      </c>
      <c r="B51" t="s">
        <v>96</v>
      </c>
      <c r="C51" s="20">
        <v>380</v>
      </c>
    </row>
    <row r="54" spans="1:3" x14ac:dyDescent="0.25">
      <c r="B54" s="48" t="s">
        <v>78</v>
      </c>
      <c r="C54" s="20">
        <f>SUM(C41:C53)</f>
        <v>6074</v>
      </c>
    </row>
    <row r="57" spans="1:3" ht="26.25" x14ac:dyDescent="0.4">
      <c r="B57" s="50" t="s">
        <v>79</v>
      </c>
      <c r="C57" s="52">
        <f>I35-C54</f>
        <v>5414.3960000000025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D73D-148D-4B4C-A731-6269D6C06A8A}">
  <dimension ref="A1:J43"/>
  <sheetViews>
    <sheetView workbookViewId="0">
      <selection activeCell="H32" sqref="H32"/>
    </sheetView>
  </sheetViews>
  <sheetFormatPr defaultRowHeight="15" x14ac:dyDescent="0.25"/>
  <cols>
    <col min="1" max="1" width="13.42578125" customWidth="1"/>
    <col min="2" max="2" width="38.140625" customWidth="1"/>
    <col min="3" max="3" width="22.28515625" customWidth="1"/>
    <col min="4" max="4" width="14.140625" customWidth="1"/>
    <col min="5" max="5" width="18" customWidth="1"/>
    <col min="6" max="6" width="17.85546875" customWidth="1"/>
    <col min="7" max="7" width="16.28515625" customWidth="1"/>
    <col min="8" max="8" width="19.85546875" customWidth="1"/>
    <col min="9" max="9" width="17.42578125" customWidth="1"/>
    <col min="10" max="10" width="16.85546875" customWidth="1"/>
  </cols>
  <sheetData>
    <row r="1" spans="1:10" ht="18.75" x14ac:dyDescent="0.3">
      <c r="A1" s="1" t="s">
        <v>13</v>
      </c>
      <c r="B1" s="1" t="s">
        <v>0</v>
      </c>
      <c r="C1" s="2" t="s">
        <v>1</v>
      </c>
      <c r="D1" s="15" t="s">
        <v>2</v>
      </c>
      <c r="E1" s="15" t="s">
        <v>3</v>
      </c>
      <c r="F1" s="1" t="s">
        <v>4</v>
      </c>
      <c r="G1" s="1" t="s">
        <v>5</v>
      </c>
      <c r="H1" s="3" t="s">
        <v>6</v>
      </c>
      <c r="I1" s="4" t="s">
        <v>7</v>
      </c>
      <c r="J1" s="32" t="s">
        <v>68</v>
      </c>
    </row>
    <row r="2" spans="1:10" x14ac:dyDescent="0.25">
      <c r="A2" s="6">
        <v>45848</v>
      </c>
      <c r="B2" t="s">
        <v>12</v>
      </c>
      <c r="C2" s="10">
        <v>2</v>
      </c>
      <c r="D2" s="16">
        <v>1155</v>
      </c>
      <c r="E2" s="20">
        <v>1145</v>
      </c>
      <c r="F2" s="20">
        <f t="shared" ref="F2:F29" si="0">D2-E2</f>
        <v>10</v>
      </c>
      <c r="G2" s="20">
        <f t="shared" ref="G2:G29" si="1">D2*C2</f>
        <v>2310</v>
      </c>
      <c r="H2" s="20">
        <f t="shared" ref="H2:H29" si="2">E2*C2</f>
        <v>2290</v>
      </c>
      <c r="I2" s="20">
        <f t="shared" ref="I2:I29" si="3">G2-H2</f>
        <v>20</v>
      </c>
      <c r="J2" t="s">
        <v>71</v>
      </c>
    </row>
    <row r="3" spans="1:10" x14ac:dyDescent="0.25">
      <c r="A3" s="6">
        <v>45849</v>
      </c>
      <c r="B3" t="s">
        <v>36</v>
      </c>
      <c r="C3" s="10">
        <v>4</v>
      </c>
      <c r="D3" s="16">
        <v>3950</v>
      </c>
      <c r="E3" s="20">
        <v>2462.89</v>
      </c>
      <c r="F3" s="20">
        <f t="shared" si="0"/>
        <v>1487.1100000000001</v>
      </c>
      <c r="G3" s="20">
        <f t="shared" si="1"/>
        <v>15800</v>
      </c>
      <c r="H3" s="20">
        <f t="shared" si="2"/>
        <v>9851.56</v>
      </c>
      <c r="I3" s="20">
        <f t="shared" si="3"/>
        <v>5948.4400000000005</v>
      </c>
      <c r="J3" t="s">
        <v>71</v>
      </c>
    </row>
    <row r="4" spans="1:10" x14ac:dyDescent="0.25">
      <c r="A4" s="6">
        <v>45849</v>
      </c>
      <c r="B4" t="s">
        <v>12</v>
      </c>
      <c r="C4" s="10">
        <v>10</v>
      </c>
      <c r="D4" s="16">
        <v>1133</v>
      </c>
      <c r="E4" s="20">
        <v>949.37</v>
      </c>
      <c r="F4" s="20">
        <f t="shared" si="0"/>
        <v>183.63</v>
      </c>
      <c r="G4" s="20">
        <f t="shared" si="1"/>
        <v>11330</v>
      </c>
      <c r="H4" s="20">
        <f t="shared" si="2"/>
        <v>9493.7000000000007</v>
      </c>
      <c r="I4" s="20">
        <f t="shared" si="3"/>
        <v>1836.2999999999993</v>
      </c>
      <c r="J4" t="s">
        <v>71</v>
      </c>
    </row>
    <row r="5" spans="1:10" x14ac:dyDescent="0.25">
      <c r="A5" s="6">
        <v>45849</v>
      </c>
      <c r="B5" t="s">
        <v>12</v>
      </c>
      <c r="C5" s="10">
        <v>2</v>
      </c>
      <c r="D5" s="16">
        <v>1133</v>
      </c>
      <c r="E5" s="20">
        <v>949.37</v>
      </c>
      <c r="F5" s="20">
        <f t="shared" si="0"/>
        <v>183.63</v>
      </c>
      <c r="G5" s="20">
        <f t="shared" si="1"/>
        <v>2266</v>
      </c>
      <c r="H5" s="20">
        <f t="shared" si="2"/>
        <v>1898.74</v>
      </c>
      <c r="I5" s="20">
        <f t="shared" si="3"/>
        <v>367.26</v>
      </c>
      <c r="J5" t="s">
        <v>71</v>
      </c>
    </row>
    <row r="6" spans="1:10" x14ac:dyDescent="0.25">
      <c r="A6" s="6">
        <v>45850</v>
      </c>
      <c r="B6" t="s">
        <v>37</v>
      </c>
      <c r="C6" s="10">
        <v>1</v>
      </c>
      <c r="D6" s="16">
        <v>4500</v>
      </c>
      <c r="E6" s="20">
        <v>2613.66</v>
      </c>
      <c r="F6" s="20">
        <f t="shared" si="0"/>
        <v>1886.3400000000001</v>
      </c>
      <c r="G6" s="20">
        <f t="shared" si="1"/>
        <v>4500</v>
      </c>
      <c r="H6" s="20">
        <f t="shared" si="2"/>
        <v>2613.66</v>
      </c>
      <c r="I6" s="20">
        <f t="shared" si="3"/>
        <v>1886.3400000000001</v>
      </c>
      <c r="J6" t="s">
        <v>71</v>
      </c>
    </row>
    <row r="7" spans="1:10" x14ac:dyDescent="0.25">
      <c r="A7" s="6">
        <v>45850</v>
      </c>
      <c r="B7" s="40" t="s">
        <v>37</v>
      </c>
      <c r="C7" s="10">
        <v>2</v>
      </c>
      <c r="D7" s="16">
        <v>4475</v>
      </c>
      <c r="E7" s="21">
        <v>2613.66</v>
      </c>
      <c r="F7" s="20">
        <f t="shared" si="0"/>
        <v>1861.3400000000001</v>
      </c>
      <c r="G7" s="20">
        <f t="shared" si="1"/>
        <v>8950</v>
      </c>
      <c r="H7" s="20">
        <f t="shared" si="2"/>
        <v>5227.32</v>
      </c>
      <c r="I7" s="20">
        <f t="shared" si="3"/>
        <v>3722.6800000000003</v>
      </c>
      <c r="J7" t="s">
        <v>71</v>
      </c>
    </row>
    <row r="8" spans="1:10" x14ac:dyDescent="0.25">
      <c r="A8" s="6">
        <v>45850</v>
      </c>
      <c r="B8" t="s">
        <v>11</v>
      </c>
      <c r="C8" s="10">
        <v>10</v>
      </c>
      <c r="D8" s="16">
        <v>2460</v>
      </c>
      <c r="E8" s="20">
        <v>1426.8</v>
      </c>
      <c r="F8" s="20">
        <f t="shared" si="0"/>
        <v>1033.2</v>
      </c>
      <c r="G8" s="20">
        <f t="shared" si="1"/>
        <v>24600</v>
      </c>
      <c r="H8" s="20">
        <f t="shared" si="2"/>
        <v>14268</v>
      </c>
      <c r="I8" s="20">
        <f t="shared" si="3"/>
        <v>10332</v>
      </c>
      <c r="J8" t="s">
        <v>71</v>
      </c>
    </row>
    <row r="9" spans="1:10" x14ac:dyDescent="0.25">
      <c r="A9" s="6">
        <v>45850</v>
      </c>
      <c r="B9" t="s">
        <v>12</v>
      </c>
      <c r="C9" s="10">
        <v>12</v>
      </c>
      <c r="D9" s="16">
        <v>1125</v>
      </c>
      <c r="E9" s="20">
        <v>949.37</v>
      </c>
      <c r="F9" s="20">
        <f t="shared" si="0"/>
        <v>175.63</v>
      </c>
      <c r="G9" s="20">
        <f t="shared" si="1"/>
        <v>13500</v>
      </c>
      <c r="H9" s="20">
        <f t="shared" si="2"/>
        <v>11392.44</v>
      </c>
      <c r="I9" s="20">
        <f t="shared" si="3"/>
        <v>2107.5599999999995</v>
      </c>
      <c r="J9" t="s">
        <v>71</v>
      </c>
    </row>
    <row r="10" spans="1:10" x14ac:dyDescent="0.25">
      <c r="A10" s="6">
        <v>45850</v>
      </c>
      <c r="B10" t="s">
        <v>36</v>
      </c>
      <c r="C10" s="10">
        <v>5</v>
      </c>
      <c r="D10" s="16">
        <v>3930</v>
      </c>
      <c r="E10" s="20">
        <v>2462.89</v>
      </c>
      <c r="F10" s="20">
        <f t="shared" si="0"/>
        <v>1467.1100000000001</v>
      </c>
      <c r="G10" s="20">
        <f t="shared" si="1"/>
        <v>19650</v>
      </c>
      <c r="H10" s="20">
        <f t="shared" si="2"/>
        <v>12314.449999999999</v>
      </c>
      <c r="I10" s="20">
        <f t="shared" si="3"/>
        <v>7335.5500000000011</v>
      </c>
      <c r="J10" t="s">
        <v>71</v>
      </c>
    </row>
    <row r="11" spans="1:10" x14ac:dyDescent="0.25">
      <c r="A11" s="6">
        <v>45850</v>
      </c>
      <c r="B11" s="40" t="s">
        <v>12</v>
      </c>
      <c r="C11" s="10">
        <v>8</v>
      </c>
      <c r="D11" s="16">
        <v>1125</v>
      </c>
      <c r="E11" s="21">
        <v>949.37</v>
      </c>
      <c r="F11" s="20">
        <f t="shared" si="0"/>
        <v>175.63</v>
      </c>
      <c r="G11" s="20">
        <f t="shared" si="1"/>
        <v>9000</v>
      </c>
      <c r="H11" s="20">
        <f t="shared" si="2"/>
        <v>7594.96</v>
      </c>
      <c r="I11" s="20">
        <f t="shared" si="3"/>
        <v>1405.04</v>
      </c>
      <c r="J11" t="s">
        <v>71</v>
      </c>
    </row>
    <row r="12" spans="1:10" x14ac:dyDescent="0.25">
      <c r="A12" s="6">
        <v>45850</v>
      </c>
      <c r="B12" t="s">
        <v>12</v>
      </c>
      <c r="C12" s="10">
        <v>30</v>
      </c>
      <c r="D12" s="16">
        <v>1130</v>
      </c>
      <c r="E12" s="20">
        <v>949.37</v>
      </c>
      <c r="F12" s="20">
        <f t="shared" si="0"/>
        <v>180.63</v>
      </c>
      <c r="G12" s="20">
        <f t="shared" si="1"/>
        <v>33900</v>
      </c>
      <c r="H12" s="20">
        <f t="shared" si="2"/>
        <v>28481.1</v>
      </c>
      <c r="I12" s="20">
        <f t="shared" si="3"/>
        <v>5418.9000000000015</v>
      </c>
      <c r="J12" t="s">
        <v>71</v>
      </c>
    </row>
    <row r="13" spans="1:10" x14ac:dyDescent="0.25">
      <c r="A13" s="6">
        <v>45850</v>
      </c>
      <c r="B13" t="s">
        <v>12</v>
      </c>
      <c r="C13" s="10">
        <v>20</v>
      </c>
      <c r="D13" s="16">
        <v>1130</v>
      </c>
      <c r="E13" s="20">
        <v>949.37</v>
      </c>
      <c r="F13" s="20">
        <f t="shared" si="0"/>
        <v>180.63</v>
      </c>
      <c r="G13" s="20">
        <f t="shared" si="1"/>
        <v>22600</v>
      </c>
      <c r="H13" s="20">
        <f t="shared" si="2"/>
        <v>18987.400000000001</v>
      </c>
      <c r="I13" s="20">
        <f t="shared" si="3"/>
        <v>3612.5999999999985</v>
      </c>
      <c r="J13" t="s">
        <v>71</v>
      </c>
    </row>
    <row r="14" spans="1:10" x14ac:dyDescent="0.25">
      <c r="A14" s="6">
        <v>45850</v>
      </c>
      <c r="B14" t="s">
        <v>12</v>
      </c>
      <c r="C14" s="10">
        <v>5</v>
      </c>
      <c r="D14" s="16">
        <v>1130</v>
      </c>
      <c r="E14" s="20">
        <v>949.37</v>
      </c>
      <c r="F14" s="20">
        <f t="shared" si="0"/>
        <v>180.63</v>
      </c>
      <c r="G14" s="20">
        <f t="shared" si="1"/>
        <v>5650</v>
      </c>
      <c r="H14" s="20">
        <f t="shared" si="2"/>
        <v>4746.8500000000004</v>
      </c>
      <c r="I14" s="20">
        <f t="shared" si="3"/>
        <v>903.14999999999964</v>
      </c>
      <c r="J14" t="s">
        <v>71</v>
      </c>
    </row>
    <row r="15" spans="1:10" x14ac:dyDescent="0.25">
      <c r="A15" s="6">
        <v>45850</v>
      </c>
      <c r="B15" t="s">
        <v>12</v>
      </c>
      <c r="C15" s="10">
        <v>30</v>
      </c>
      <c r="D15" s="16">
        <v>1140</v>
      </c>
      <c r="E15" s="20">
        <v>949.37</v>
      </c>
      <c r="F15" s="20">
        <f t="shared" si="0"/>
        <v>190.63</v>
      </c>
      <c r="G15" s="20">
        <f t="shared" si="1"/>
        <v>34200</v>
      </c>
      <c r="H15" s="20">
        <f t="shared" si="2"/>
        <v>28481.1</v>
      </c>
      <c r="I15" s="20">
        <f t="shared" si="3"/>
        <v>5718.9000000000015</v>
      </c>
      <c r="J15" t="s">
        <v>71</v>
      </c>
    </row>
    <row r="16" spans="1:10" x14ac:dyDescent="0.25">
      <c r="A16" s="6">
        <v>45852</v>
      </c>
      <c r="B16" t="s">
        <v>12</v>
      </c>
      <c r="C16" s="10">
        <v>4</v>
      </c>
      <c r="D16" s="16">
        <v>1140</v>
      </c>
      <c r="E16" s="20">
        <v>949.37</v>
      </c>
      <c r="F16" s="20">
        <f t="shared" si="0"/>
        <v>190.63</v>
      </c>
      <c r="G16" s="20">
        <f t="shared" si="1"/>
        <v>4560</v>
      </c>
      <c r="H16" s="20">
        <f t="shared" si="2"/>
        <v>3797.48</v>
      </c>
      <c r="I16" s="20">
        <f t="shared" si="3"/>
        <v>762.52</v>
      </c>
      <c r="J16" t="s">
        <v>71</v>
      </c>
    </row>
    <row r="17" spans="1:10" x14ac:dyDescent="0.25">
      <c r="A17" s="6">
        <v>45852</v>
      </c>
      <c r="B17" t="s">
        <v>12</v>
      </c>
      <c r="C17" s="10">
        <v>5</v>
      </c>
      <c r="D17" s="16">
        <v>1130</v>
      </c>
      <c r="E17" s="20">
        <v>949.37</v>
      </c>
      <c r="F17" s="20">
        <f t="shared" si="0"/>
        <v>180.63</v>
      </c>
      <c r="G17" s="20">
        <f t="shared" si="1"/>
        <v>5650</v>
      </c>
      <c r="H17" s="20">
        <f t="shared" si="2"/>
        <v>4746.8500000000004</v>
      </c>
      <c r="I17" s="20">
        <f t="shared" si="3"/>
        <v>903.14999999999964</v>
      </c>
      <c r="J17" t="s">
        <v>71</v>
      </c>
    </row>
    <row r="18" spans="1:10" x14ac:dyDescent="0.25">
      <c r="A18" s="6">
        <v>45853</v>
      </c>
      <c r="B18" t="s">
        <v>12</v>
      </c>
      <c r="C18" s="10">
        <v>20</v>
      </c>
      <c r="D18" s="16">
        <v>1130</v>
      </c>
      <c r="E18" s="20">
        <v>949.37</v>
      </c>
      <c r="F18" s="20">
        <f t="shared" si="0"/>
        <v>180.63</v>
      </c>
      <c r="G18" s="20">
        <f t="shared" si="1"/>
        <v>22600</v>
      </c>
      <c r="H18" s="20">
        <f t="shared" si="2"/>
        <v>18987.400000000001</v>
      </c>
      <c r="I18" s="20">
        <f t="shared" si="3"/>
        <v>3612.5999999999985</v>
      </c>
      <c r="J18" t="s">
        <v>71</v>
      </c>
    </row>
    <row r="19" spans="1:10" x14ac:dyDescent="0.25">
      <c r="A19" s="6">
        <v>45853</v>
      </c>
      <c r="B19" t="s">
        <v>12</v>
      </c>
      <c r="C19" s="10">
        <v>5</v>
      </c>
      <c r="D19" s="16">
        <v>1130</v>
      </c>
      <c r="E19" s="20">
        <v>949.37</v>
      </c>
      <c r="F19" s="20">
        <f t="shared" si="0"/>
        <v>180.63</v>
      </c>
      <c r="G19" s="20">
        <f t="shared" si="1"/>
        <v>5650</v>
      </c>
      <c r="H19" s="20">
        <f t="shared" si="2"/>
        <v>4746.8500000000004</v>
      </c>
      <c r="I19" s="20">
        <f t="shared" si="3"/>
        <v>903.14999999999964</v>
      </c>
      <c r="J19" t="s">
        <v>71</v>
      </c>
    </row>
    <row r="20" spans="1:10" x14ac:dyDescent="0.25">
      <c r="A20" s="6">
        <v>45854</v>
      </c>
      <c r="B20" s="40" t="s">
        <v>11</v>
      </c>
      <c r="C20" s="10">
        <v>7</v>
      </c>
      <c r="D20" s="16">
        <v>2465</v>
      </c>
      <c r="E20" s="21">
        <v>1426.8</v>
      </c>
      <c r="F20" s="20">
        <f t="shared" si="0"/>
        <v>1038.2</v>
      </c>
      <c r="G20" s="20">
        <f t="shared" si="1"/>
        <v>17255</v>
      </c>
      <c r="H20" s="20">
        <f t="shared" si="2"/>
        <v>9987.6</v>
      </c>
      <c r="I20" s="20">
        <f t="shared" si="3"/>
        <v>7267.4</v>
      </c>
      <c r="J20" t="s">
        <v>71</v>
      </c>
    </row>
    <row r="21" spans="1:10" x14ac:dyDescent="0.25">
      <c r="A21" s="6">
        <v>45855</v>
      </c>
      <c r="B21" t="s">
        <v>43</v>
      </c>
      <c r="C21" s="10">
        <v>32</v>
      </c>
      <c r="D21" s="16">
        <v>510</v>
      </c>
      <c r="E21" s="20">
        <v>440</v>
      </c>
      <c r="F21" s="20">
        <f t="shared" si="0"/>
        <v>70</v>
      </c>
      <c r="G21" s="20">
        <f t="shared" si="1"/>
        <v>16320</v>
      </c>
      <c r="H21" s="20">
        <f t="shared" si="2"/>
        <v>14080</v>
      </c>
      <c r="I21" s="20">
        <f t="shared" si="3"/>
        <v>2240</v>
      </c>
      <c r="J21" t="s">
        <v>71</v>
      </c>
    </row>
    <row r="22" spans="1:10" x14ac:dyDescent="0.25">
      <c r="A22" s="6">
        <v>45855</v>
      </c>
      <c r="B22" t="s">
        <v>36</v>
      </c>
      <c r="C22" s="10">
        <v>4</v>
      </c>
      <c r="D22" s="16">
        <v>3975</v>
      </c>
      <c r="E22" s="20">
        <v>2462.89</v>
      </c>
      <c r="F22" s="20">
        <f t="shared" si="0"/>
        <v>1512.1100000000001</v>
      </c>
      <c r="G22" s="20">
        <f t="shared" si="1"/>
        <v>15900</v>
      </c>
      <c r="H22" s="20">
        <f t="shared" si="2"/>
        <v>9851.56</v>
      </c>
      <c r="I22" s="20">
        <f t="shared" si="3"/>
        <v>6048.4400000000005</v>
      </c>
      <c r="J22" t="s">
        <v>71</v>
      </c>
    </row>
    <row r="23" spans="1:10" x14ac:dyDescent="0.25">
      <c r="A23" s="6">
        <v>45855</v>
      </c>
      <c r="B23" t="s">
        <v>12</v>
      </c>
      <c r="C23" s="10">
        <v>10</v>
      </c>
      <c r="D23" s="16">
        <v>1135</v>
      </c>
      <c r="E23" s="20">
        <v>949.37</v>
      </c>
      <c r="F23" s="20">
        <f t="shared" si="0"/>
        <v>185.63</v>
      </c>
      <c r="G23" s="20">
        <f t="shared" si="1"/>
        <v>11350</v>
      </c>
      <c r="H23" s="20">
        <f t="shared" si="2"/>
        <v>9493.7000000000007</v>
      </c>
      <c r="I23" s="20">
        <f t="shared" si="3"/>
        <v>1856.2999999999993</v>
      </c>
      <c r="J23" t="s">
        <v>71</v>
      </c>
    </row>
    <row r="24" spans="1:10" x14ac:dyDescent="0.25">
      <c r="A24" s="6">
        <v>45856</v>
      </c>
      <c r="B24" t="s">
        <v>12</v>
      </c>
      <c r="C24" s="10">
        <v>10</v>
      </c>
      <c r="D24" s="16">
        <v>1130</v>
      </c>
      <c r="E24" s="20">
        <v>949.37</v>
      </c>
      <c r="F24" s="20">
        <f t="shared" si="0"/>
        <v>180.63</v>
      </c>
      <c r="G24" s="20">
        <f t="shared" si="1"/>
        <v>11300</v>
      </c>
      <c r="H24" s="20">
        <f t="shared" si="2"/>
        <v>9493.7000000000007</v>
      </c>
      <c r="I24" s="20">
        <f t="shared" si="3"/>
        <v>1806.2999999999993</v>
      </c>
      <c r="J24" t="s">
        <v>71</v>
      </c>
    </row>
    <row r="25" spans="1:10" x14ac:dyDescent="0.25">
      <c r="A25" s="6">
        <v>45858</v>
      </c>
      <c r="B25" t="s">
        <v>12</v>
      </c>
      <c r="C25" s="10">
        <v>78</v>
      </c>
      <c r="D25" s="16">
        <v>1120</v>
      </c>
      <c r="E25" s="20">
        <v>949.37</v>
      </c>
      <c r="F25" s="20">
        <f t="shared" si="0"/>
        <v>170.63</v>
      </c>
      <c r="G25" s="20">
        <f t="shared" si="1"/>
        <v>87360</v>
      </c>
      <c r="H25" s="20">
        <f t="shared" si="2"/>
        <v>74050.86</v>
      </c>
      <c r="I25" s="20">
        <f t="shared" si="3"/>
        <v>13309.14</v>
      </c>
      <c r="J25" t="s">
        <v>71</v>
      </c>
    </row>
    <row r="26" spans="1:10" x14ac:dyDescent="0.25">
      <c r="A26" s="6">
        <v>45867</v>
      </c>
      <c r="B26" t="s">
        <v>9</v>
      </c>
      <c r="C26" s="10">
        <v>200</v>
      </c>
      <c r="D26" s="16">
        <v>1680</v>
      </c>
      <c r="E26" s="20">
        <v>1411.75</v>
      </c>
      <c r="F26" s="20">
        <f t="shared" si="0"/>
        <v>268.25</v>
      </c>
      <c r="G26" s="20">
        <f t="shared" si="1"/>
        <v>336000</v>
      </c>
      <c r="H26" s="20">
        <f t="shared" si="2"/>
        <v>282350</v>
      </c>
      <c r="I26" s="20">
        <f t="shared" si="3"/>
        <v>53650</v>
      </c>
      <c r="J26" t="s">
        <v>71</v>
      </c>
    </row>
    <row r="27" spans="1:10" x14ac:dyDescent="0.25">
      <c r="A27" s="6">
        <v>45867</v>
      </c>
      <c r="B27" t="s">
        <v>59</v>
      </c>
      <c r="C27" s="10">
        <v>50</v>
      </c>
      <c r="D27" s="16">
        <v>197</v>
      </c>
      <c r="E27" s="20">
        <v>164.84</v>
      </c>
      <c r="F27" s="20">
        <f t="shared" si="0"/>
        <v>32.159999999999997</v>
      </c>
      <c r="G27" s="20">
        <f t="shared" si="1"/>
        <v>9850</v>
      </c>
      <c r="H27" s="20">
        <f t="shared" si="2"/>
        <v>8242</v>
      </c>
      <c r="I27" s="20">
        <f t="shared" si="3"/>
        <v>1608</v>
      </c>
      <c r="J27" t="s">
        <v>71</v>
      </c>
    </row>
    <row r="28" spans="1:10" x14ac:dyDescent="0.25">
      <c r="A28" s="6">
        <v>45867</v>
      </c>
      <c r="B28" t="s">
        <v>59</v>
      </c>
      <c r="C28" s="10">
        <v>30</v>
      </c>
      <c r="D28" s="16">
        <v>195</v>
      </c>
      <c r="E28" s="20">
        <v>164.84</v>
      </c>
      <c r="F28" s="20">
        <f t="shared" si="0"/>
        <v>30.159999999999997</v>
      </c>
      <c r="G28" s="20">
        <f t="shared" si="1"/>
        <v>5850</v>
      </c>
      <c r="H28" s="20">
        <f t="shared" si="2"/>
        <v>4945.2</v>
      </c>
      <c r="I28" s="20">
        <f t="shared" si="3"/>
        <v>904.80000000000018</v>
      </c>
      <c r="J28" t="s">
        <v>71</v>
      </c>
    </row>
    <row r="29" spans="1:10" x14ac:dyDescent="0.25">
      <c r="A29" s="6">
        <v>45869</v>
      </c>
      <c r="B29" t="s">
        <v>12</v>
      </c>
      <c r="C29" s="10">
        <v>1</v>
      </c>
      <c r="D29" s="16">
        <v>1100</v>
      </c>
      <c r="E29" s="20">
        <v>949.37</v>
      </c>
      <c r="F29" s="20">
        <f t="shared" si="0"/>
        <v>150.63</v>
      </c>
      <c r="G29" s="20">
        <f t="shared" si="1"/>
        <v>1100</v>
      </c>
      <c r="H29" s="20">
        <f t="shared" si="2"/>
        <v>949.37</v>
      </c>
      <c r="I29" s="20">
        <f t="shared" si="3"/>
        <v>150.63</v>
      </c>
      <c r="J29" t="s">
        <v>71</v>
      </c>
    </row>
    <row r="32" spans="1:10" x14ac:dyDescent="0.25">
      <c r="G32" s="20">
        <f>SUM(G2:G31)</f>
        <v>759001</v>
      </c>
      <c r="H32" s="20">
        <f>SUM(H2:H31)</f>
        <v>613363.85</v>
      </c>
      <c r="I32" s="20">
        <f>SUM(I2:I31)</f>
        <v>145637.15000000002</v>
      </c>
    </row>
    <row r="34" spans="1:3" x14ac:dyDescent="0.25">
      <c r="A34" s="45"/>
      <c r="B34" s="46" t="s">
        <v>97</v>
      </c>
      <c r="C34" s="47" t="s">
        <v>74</v>
      </c>
    </row>
    <row r="35" spans="1:3" x14ac:dyDescent="0.25">
      <c r="A35" s="5">
        <v>45852</v>
      </c>
      <c r="B35" t="s">
        <v>98</v>
      </c>
      <c r="C35" s="20">
        <v>393</v>
      </c>
    </row>
    <row r="36" spans="1:3" x14ac:dyDescent="0.25">
      <c r="A36" s="5">
        <v>45852</v>
      </c>
      <c r="B36" t="s">
        <v>99</v>
      </c>
      <c r="C36" s="20">
        <v>4199</v>
      </c>
    </row>
    <row r="37" spans="1:3" x14ac:dyDescent="0.25">
      <c r="A37" s="5">
        <v>45867</v>
      </c>
      <c r="B37" t="s">
        <v>100</v>
      </c>
      <c r="C37" s="20">
        <v>397</v>
      </c>
    </row>
    <row r="38" spans="1:3" x14ac:dyDescent="0.25">
      <c r="A38" s="5">
        <v>45868</v>
      </c>
      <c r="B38" t="s">
        <v>101</v>
      </c>
      <c r="C38" s="20">
        <v>41922</v>
      </c>
    </row>
    <row r="39" spans="1:3" x14ac:dyDescent="0.25">
      <c r="A39" s="5"/>
      <c r="C39" s="20"/>
    </row>
    <row r="40" spans="1:3" x14ac:dyDescent="0.25">
      <c r="B40" s="48" t="s">
        <v>78</v>
      </c>
      <c r="C40" s="20">
        <f>SUM(C35:C39)</f>
        <v>46911</v>
      </c>
    </row>
    <row r="43" spans="1:3" ht="26.25" x14ac:dyDescent="0.4">
      <c r="B43" s="50" t="s">
        <v>79</v>
      </c>
      <c r="C43" s="52">
        <f>I32-C40</f>
        <v>98726.150000000023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4C0D-93CB-4316-8D33-E3C48D6D82EF}">
  <dimension ref="A1:J191"/>
  <sheetViews>
    <sheetView tabSelected="1" topLeftCell="A149" workbookViewId="0">
      <selection activeCell="F176" sqref="F176"/>
    </sheetView>
  </sheetViews>
  <sheetFormatPr defaultRowHeight="15" x14ac:dyDescent="0.25"/>
  <cols>
    <col min="1" max="1" width="17.7109375" customWidth="1"/>
    <col min="2" max="2" width="46.7109375" customWidth="1"/>
    <col min="3" max="3" width="20.42578125" customWidth="1"/>
    <col min="4" max="4" width="18.28515625" customWidth="1"/>
    <col min="5" max="5" width="19.28515625" customWidth="1"/>
    <col min="6" max="6" width="19" customWidth="1"/>
    <col min="7" max="7" width="17.7109375" customWidth="1"/>
    <col min="8" max="8" width="18.140625" customWidth="1"/>
    <col min="9" max="9" width="18.28515625" customWidth="1"/>
  </cols>
  <sheetData>
    <row r="1" spans="1:10" ht="18.75" x14ac:dyDescent="0.3">
      <c r="A1" s="1" t="s">
        <v>13</v>
      </c>
      <c r="B1" s="1" t="s">
        <v>0</v>
      </c>
      <c r="C1" s="2" t="s">
        <v>1</v>
      </c>
      <c r="D1" s="15" t="s">
        <v>2</v>
      </c>
      <c r="E1" s="15" t="s">
        <v>3</v>
      </c>
      <c r="F1" s="1" t="s">
        <v>4</v>
      </c>
      <c r="G1" s="1" t="s">
        <v>5</v>
      </c>
      <c r="H1" s="3" t="s">
        <v>6</v>
      </c>
      <c r="I1" s="4" t="s">
        <v>7</v>
      </c>
      <c r="J1" s="32" t="s">
        <v>68</v>
      </c>
    </row>
    <row r="2" spans="1:10" x14ac:dyDescent="0.25">
      <c r="A2" s="34">
        <v>45843</v>
      </c>
      <c r="B2" t="s">
        <v>17</v>
      </c>
      <c r="C2" s="10">
        <v>7</v>
      </c>
      <c r="D2" s="16">
        <v>2532.3000000000002</v>
      </c>
      <c r="E2" s="20">
        <v>2410</v>
      </c>
      <c r="F2" s="20">
        <f t="shared" ref="F2:F33" si="0">D2-E2</f>
        <v>122.30000000000018</v>
      </c>
      <c r="G2" s="20">
        <f t="shared" ref="G2:G33" si="1">D2*C2</f>
        <v>17726.100000000002</v>
      </c>
      <c r="H2" s="20">
        <f t="shared" ref="H2:H33" si="2">E2*C2</f>
        <v>16870</v>
      </c>
      <c r="I2" s="20">
        <f t="shared" ref="I2:I33" si="3">G2-H2</f>
        <v>856.10000000000218</v>
      </c>
      <c r="J2" t="s">
        <v>69</v>
      </c>
    </row>
    <row r="3" spans="1:10" x14ac:dyDescent="0.25">
      <c r="A3" s="34">
        <v>45843</v>
      </c>
      <c r="B3" t="s">
        <v>18</v>
      </c>
      <c r="C3" s="10">
        <v>3</v>
      </c>
      <c r="D3" s="16">
        <v>3798.45</v>
      </c>
      <c r="E3" s="20">
        <v>3350</v>
      </c>
      <c r="F3" s="20">
        <f t="shared" si="0"/>
        <v>448.44999999999982</v>
      </c>
      <c r="G3" s="20">
        <f t="shared" si="1"/>
        <v>11395.349999999999</v>
      </c>
      <c r="H3" s="20">
        <f t="shared" si="2"/>
        <v>10050</v>
      </c>
      <c r="I3" s="20">
        <f t="shared" si="3"/>
        <v>1345.3499999999985</v>
      </c>
      <c r="J3" t="s">
        <v>69</v>
      </c>
    </row>
    <row r="4" spans="1:10" x14ac:dyDescent="0.25">
      <c r="A4" s="34">
        <v>45843</v>
      </c>
      <c r="B4" t="s">
        <v>19</v>
      </c>
      <c r="C4" s="10">
        <v>6</v>
      </c>
      <c r="D4" s="16">
        <v>3890.2</v>
      </c>
      <c r="E4" s="20">
        <v>3600</v>
      </c>
      <c r="F4" s="20">
        <f t="shared" si="0"/>
        <v>290.19999999999982</v>
      </c>
      <c r="G4" s="20">
        <f t="shared" si="1"/>
        <v>23341.199999999997</v>
      </c>
      <c r="H4" s="20">
        <f t="shared" si="2"/>
        <v>21600</v>
      </c>
      <c r="I4" s="20">
        <f t="shared" si="3"/>
        <v>1741.1999999999971</v>
      </c>
      <c r="J4" t="s">
        <v>69</v>
      </c>
    </row>
    <row r="5" spans="1:10" x14ac:dyDescent="0.25">
      <c r="A5" s="34">
        <v>45843</v>
      </c>
      <c r="B5" t="s">
        <v>20</v>
      </c>
      <c r="C5" s="10">
        <v>1</v>
      </c>
      <c r="D5" s="16">
        <v>1468</v>
      </c>
      <c r="E5" s="20">
        <v>1400</v>
      </c>
      <c r="F5" s="20">
        <f t="shared" si="0"/>
        <v>68</v>
      </c>
      <c r="G5" s="20">
        <f t="shared" si="1"/>
        <v>1468</v>
      </c>
      <c r="H5" s="20">
        <f t="shared" si="2"/>
        <v>1400</v>
      </c>
      <c r="I5" s="20">
        <f t="shared" si="3"/>
        <v>68</v>
      </c>
      <c r="J5" t="s">
        <v>69</v>
      </c>
    </row>
    <row r="6" spans="1:10" x14ac:dyDescent="0.25">
      <c r="A6" s="36">
        <v>45843</v>
      </c>
      <c r="B6" s="23" t="s">
        <v>21</v>
      </c>
      <c r="C6" s="24">
        <v>1</v>
      </c>
      <c r="D6" s="25">
        <v>1504.7</v>
      </c>
      <c r="E6" s="26">
        <v>1550</v>
      </c>
      <c r="F6" s="26">
        <f t="shared" si="0"/>
        <v>-45.299999999999955</v>
      </c>
      <c r="G6" s="26">
        <f t="shared" si="1"/>
        <v>1504.7</v>
      </c>
      <c r="H6" s="26">
        <f t="shared" si="2"/>
        <v>1550</v>
      </c>
      <c r="I6" s="26">
        <f t="shared" si="3"/>
        <v>-45.299999999999955</v>
      </c>
      <c r="J6" t="s">
        <v>69</v>
      </c>
    </row>
    <row r="7" spans="1:10" x14ac:dyDescent="0.25">
      <c r="A7" s="34">
        <v>45843</v>
      </c>
      <c r="B7" t="s">
        <v>15</v>
      </c>
      <c r="C7" s="10">
        <v>2</v>
      </c>
      <c r="D7" s="16">
        <v>2018.5</v>
      </c>
      <c r="E7" s="20">
        <v>1850</v>
      </c>
      <c r="F7" s="20">
        <f t="shared" si="0"/>
        <v>168.5</v>
      </c>
      <c r="G7" s="20">
        <f t="shared" si="1"/>
        <v>4037</v>
      </c>
      <c r="H7" s="20">
        <f t="shared" si="2"/>
        <v>3700</v>
      </c>
      <c r="I7" s="20">
        <f t="shared" si="3"/>
        <v>337</v>
      </c>
      <c r="J7" t="s">
        <v>69</v>
      </c>
    </row>
    <row r="8" spans="1:10" x14ac:dyDescent="0.25">
      <c r="A8" s="34">
        <v>45843</v>
      </c>
      <c r="B8" t="s">
        <v>15</v>
      </c>
      <c r="C8" s="10">
        <v>1</v>
      </c>
      <c r="D8" s="16">
        <v>2165.3000000000002</v>
      </c>
      <c r="E8" s="20">
        <v>1900</v>
      </c>
      <c r="F8" s="20">
        <f t="shared" si="0"/>
        <v>265.30000000000018</v>
      </c>
      <c r="G8" s="20">
        <f t="shared" si="1"/>
        <v>2165.3000000000002</v>
      </c>
      <c r="H8" s="20">
        <f t="shared" si="2"/>
        <v>1900</v>
      </c>
      <c r="I8" s="20">
        <f t="shared" si="3"/>
        <v>265.30000000000018</v>
      </c>
      <c r="J8" t="s">
        <v>69</v>
      </c>
    </row>
    <row r="9" spans="1:10" x14ac:dyDescent="0.25">
      <c r="A9" s="34">
        <v>45843</v>
      </c>
      <c r="B9" t="s">
        <v>22</v>
      </c>
      <c r="C9" s="10">
        <v>1</v>
      </c>
      <c r="D9" s="16">
        <v>2422.1999999999998</v>
      </c>
      <c r="E9" s="20">
        <v>1980</v>
      </c>
      <c r="F9" s="20">
        <f t="shared" si="0"/>
        <v>442.19999999999982</v>
      </c>
      <c r="G9" s="20">
        <f t="shared" si="1"/>
        <v>2422.1999999999998</v>
      </c>
      <c r="H9" s="20">
        <f t="shared" si="2"/>
        <v>1980</v>
      </c>
      <c r="I9" s="20">
        <f t="shared" si="3"/>
        <v>442.19999999999982</v>
      </c>
      <c r="J9" t="s">
        <v>69</v>
      </c>
    </row>
    <row r="10" spans="1:10" x14ac:dyDescent="0.25">
      <c r="A10" s="34">
        <v>45843</v>
      </c>
      <c r="B10" t="s">
        <v>14</v>
      </c>
      <c r="C10" s="10">
        <v>6</v>
      </c>
      <c r="D10" s="16">
        <v>2422.1999999999998</v>
      </c>
      <c r="E10" s="20">
        <v>2350</v>
      </c>
      <c r="F10" s="20">
        <f t="shared" si="0"/>
        <v>72.199999999999818</v>
      </c>
      <c r="G10" s="20">
        <f t="shared" si="1"/>
        <v>14533.199999999999</v>
      </c>
      <c r="H10" s="20">
        <f t="shared" si="2"/>
        <v>14100</v>
      </c>
      <c r="I10" s="20">
        <f t="shared" si="3"/>
        <v>433.19999999999891</v>
      </c>
      <c r="J10" t="s">
        <v>69</v>
      </c>
    </row>
    <row r="11" spans="1:10" x14ac:dyDescent="0.25">
      <c r="A11" s="34">
        <v>45843</v>
      </c>
      <c r="B11" t="s">
        <v>23</v>
      </c>
      <c r="C11" s="10">
        <v>1</v>
      </c>
      <c r="D11" s="16">
        <v>3082.8</v>
      </c>
      <c r="E11" s="20">
        <v>2780</v>
      </c>
      <c r="F11" s="20">
        <f t="shared" si="0"/>
        <v>302.80000000000018</v>
      </c>
      <c r="G11" s="20">
        <f t="shared" si="1"/>
        <v>3082.8</v>
      </c>
      <c r="H11" s="20">
        <f t="shared" si="2"/>
        <v>2780</v>
      </c>
      <c r="I11" s="20">
        <f t="shared" si="3"/>
        <v>302.80000000000018</v>
      </c>
      <c r="J11" t="s">
        <v>69</v>
      </c>
    </row>
    <row r="12" spans="1:10" x14ac:dyDescent="0.25">
      <c r="A12" s="34">
        <v>45843</v>
      </c>
      <c r="B12" s="40" t="s">
        <v>14</v>
      </c>
      <c r="C12" s="10">
        <v>4</v>
      </c>
      <c r="D12" s="16">
        <v>2605.6999999999998</v>
      </c>
      <c r="E12" s="21">
        <v>2550</v>
      </c>
      <c r="F12" s="20">
        <f t="shared" si="0"/>
        <v>55.699999999999818</v>
      </c>
      <c r="G12" s="20">
        <f t="shared" si="1"/>
        <v>10422.799999999999</v>
      </c>
      <c r="H12" s="20">
        <f t="shared" si="2"/>
        <v>10200</v>
      </c>
      <c r="I12" s="20">
        <f t="shared" si="3"/>
        <v>222.79999999999927</v>
      </c>
      <c r="J12" t="s">
        <v>69</v>
      </c>
    </row>
    <row r="13" spans="1:10" x14ac:dyDescent="0.25">
      <c r="A13" s="34">
        <v>45843</v>
      </c>
      <c r="B13" t="s">
        <v>24</v>
      </c>
      <c r="C13" s="10">
        <v>1</v>
      </c>
      <c r="D13" s="16">
        <v>2825.9</v>
      </c>
      <c r="E13" s="20">
        <v>2600</v>
      </c>
      <c r="F13" s="20">
        <f t="shared" si="0"/>
        <v>225.90000000000009</v>
      </c>
      <c r="G13" s="20">
        <f t="shared" si="1"/>
        <v>2825.9</v>
      </c>
      <c r="H13" s="20">
        <f t="shared" si="2"/>
        <v>2600</v>
      </c>
      <c r="I13" s="20">
        <f t="shared" si="3"/>
        <v>225.90000000000009</v>
      </c>
      <c r="J13" t="s">
        <v>69</v>
      </c>
    </row>
    <row r="14" spans="1:10" x14ac:dyDescent="0.25">
      <c r="A14" s="34">
        <v>45843</v>
      </c>
      <c r="B14" t="s">
        <v>14</v>
      </c>
      <c r="C14" s="10">
        <v>2</v>
      </c>
      <c r="D14" s="16">
        <v>2550.65</v>
      </c>
      <c r="E14" s="20">
        <v>2400</v>
      </c>
      <c r="F14" s="20">
        <f t="shared" si="0"/>
        <v>150.65000000000009</v>
      </c>
      <c r="G14" s="20">
        <f t="shared" si="1"/>
        <v>5101.3</v>
      </c>
      <c r="H14" s="20">
        <f t="shared" si="2"/>
        <v>4800</v>
      </c>
      <c r="I14" s="20">
        <f t="shared" si="3"/>
        <v>301.30000000000018</v>
      </c>
      <c r="J14" t="s">
        <v>69</v>
      </c>
    </row>
    <row r="15" spans="1:10" x14ac:dyDescent="0.25">
      <c r="A15" s="34">
        <v>45843</v>
      </c>
      <c r="B15" t="s">
        <v>24</v>
      </c>
      <c r="C15" s="10">
        <v>1</v>
      </c>
      <c r="D15" s="16">
        <v>2825.9</v>
      </c>
      <c r="E15" s="20">
        <v>2600</v>
      </c>
      <c r="F15" s="20">
        <f t="shared" si="0"/>
        <v>225.90000000000009</v>
      </c>
      <c r="G15" s="20">
        <f t="shared" si="1"/>
        <v>2825.9</v>
      </c>
      <c r="H15" s="20">
        <f t="shared" si="2"/>
        <v>2600</v>
      </c>
      <c r="I15" s="20">
        <f t="shared" si="3"/>
        <v>225.90000000000009</v>
      </c>
      <c r="J15" t="s">
        <v>69</v>
      </c>
    </row>
    <row r="16" spans="1:10" x14ac:dyDescent="0.25">
      <c r="A16" s="34">
        <v>45843</v>
      </c>
      <c r="B16" t="s">
        <v>15</v>
      </c>
      <c r="C16" s="10">
        <v>4</v>
      </c>
      <c r="D16" s="16">
        <v>2055.1999999999998</v>
      </c>
      <c r="E16" s="20">
        <v>1850</v>
      </c>
      <c r="F16" s="20">
        <f t="shared" si="0"/>
        <v>205.19999999999982</v>
      </c>
      <c r="G16" s="20">
        <f t="shared" si="1"/>
        <v>8220.7999999999993</v>
      </c>
      <c r="H16" s="20">
        <f t="shared" si="2"/>
        <v>7400</v>
      </c>
      <c r="I16" s="20">
        <f t="shared" si="3"/>
        <v>820.79999999999927</v>
      </c>
      <c r="J16" t="s">
        <v>69</v>
      </c>
    </row>
    <row r="17" spans="1:10" x14ac:dyDescent="0.25">
      <c r="A17" s="34">
        <v>45843</v>
      </c>
      <c r="B17" t="s">
        <v>14</v>
      </c>
      <c r="C17" s="10">
        <v>3</v>
      </c>
      <c r="D17" s="16">
        <v>2422.1999999999998</v>
      </c>
      <c r="E17" s="20">
        <v>2350</v>
      </c>
      <c r="F17" s="20">
        <f t="shared" si="0"/>
        <v>72.199999999999818</v>
      </c>
      <c r="G17" s="20">
        <f t="shared" si="1"/>
        <v>7266.5999999999995</v>
      </c>
      <c r="H17" s="20">
        <f t="shared" si="2"/>
        <v>7050</v>
      </c>
      <c r="I17" s="20">
        <f t="shared" si="3"/>
        <v>216.59999999999945</v>
      </c>
      <c r="J17" t="s">
        <v>69</v>
      </c>
    </row>
    <row r="18" spans="1:10" x14ac:dyDescent="0.25">
      <c r="A18" s="34">
        <v>45843</v>
      </c>
      <c r="B18" t="s">
        <v>23</v>
      </c>
      <c r="C18" s="10">
        <v>2</v>
      </c>
      <c r="D18" s="16">
        <v>3082.8</v>
      </c>
      <c r="E18" s="20">
        <v>2750</v>
      </c>
      <c r="F18" s="20">
        <f t="shared" si="0"/>
        <v>332.80000000000018</v>
      </c>
      <c r="G18" s="20">
        <f t="shared" si="1"/>
        <v>6165.6</v>
      </c>
      <c r="H18" s="20">
        <f t="shared" si="2"/>
        <v>5500</v>
      </c>
      <c r="I18" s="20">
        <f t="shared" si="3"/>
        <v>665.60000000000036</v>
      </c>
      <c r="J18" t="s">
        <v>69</v>
      </c>
    </row>
    <row r="19" spans="1:10" x14ac:dyDescent="0.25">
      <c r="A19" s="34">
        <v>45843</v>
      </c>
      <c r="B19" t="s">
        <v>14</v>
      </c>
      <c r="C19" s="10">
        <v>7</v>
      </c>
      <c r="D19" s="16">
        <v>2605.6999999999998</v>
      </c>
      <c r="E19" s="20">
        <v>2550</v>
      </c>
      <c r="F19" s="20">
        <f t="shared" si="0"/>
        <v>55.699999999999818</v>
      </c>
      <c r="G19" s="20">
        <f t="shared" si="1"/>
        <v>18239.899999999998</v>
      </c>
      <c r="H19" s="20">
        <f t="shared" si="2"/>
        <v>17850</v>
      </c>
      <c r="I19" s="20">
        <f t="shared" si="3"/>
        <v>389.89999999999782</v>
      </c>
      <c r="J19" t="s">
        <v>69</v>
      </c>
    </row>
    <row r="20" spans="1:10" x14ac:dyDescent="0.25">
      <c r="A20" s="34">
        <v>45843</v>
      </c>
      <c r="B20" t="s">
        <v>23</v>
      </c>
      <c r="C20" s="10">
        <v>2</v>
      </c>
      <c r="D20" s="16">
        <v>3027.75</v>
      </c>
      <c r="E20" s="20">
        <v>2750</v>
      </c>
      <c r="F20" s="20">
        <f t="shared" si="0"/>
        <v>277.75</v>
      </c>
      <c r="G20" s="20">
        <f t="shared" si="1"/>
        <v>6055.5</v>
      </c>
      <c r="H20" s="20">
        <f t="shared" si="2"/>
        <v>5500</v>
      </c>
      <c r="I20" s="20">
        <f t="shared" si="3"/>
        <v>555.5</v>
      </c>
      <c r="J20" t="s">
        <v>69</v>
      </c>
    </row>
    <row r="21" spans="1:10" x14ac:dyDescent="0.25">
      <c r="A21" s="34">
        <v>45843</v>
      </c>
      <c r="B21" t="s">
        <v>15</v>
      </c>
      <c r="C21" s="10">
        <v>1</v>
      </c>
      <c r="D21" s="16">
        <v>2165.3000000000002</v>
      </c>
      <c r="E21" s="20">
        <v>1900</v>
      </c>
      <c r="F21" s="20">
        <f t="shared" si="0"/>
        <v>265.30000000000018</v>
      </c>
      <c r="G21" s="20">
        <f t="shared" si="1"/>
        <v>2165.3000000000002</v>
      </c>
      <c r="H21" s="20">
        <f t="shared" si="2"/>
        <v>1900</v>
      </c>
      <c r="I21" s="20">
        <f t="shared" si="3"/>
        <v>265.30000000000018</v>
      </c>
      <c r="J21" t="s">
        <v>69</v>
      </c>
    </row>
    <row r="22" spans="1:10" x14ac:dyDescent="0.25">
      <c r="A22" s="34">
        <v>45843</v>
      </c>
      <c r="B22" t="s">
        <v>14</v>
      </c>
      <c r="C22" s="10">
        <v>10</v>
      </c>
      <c r="D22" s="16">
        <v>2424.8739999999998</v>
      </c>
      <c r="E22" s="20">
        <v>2350</v>
      </c>
      <c r="F22" s="20">
        <f t="shared" si="0"/>
        <v>74.873999999999796</v>
      </c>
      <c r="G22" s="20">
        <f t="shared" si="1"/>
        <v>24248.739999999998</v>
      </c>
      <c r="H22" s="20">
        <f t="shared" si="2"/>
        <v>23500</v>
      </c>
      <c r="I22" s="20">
        <f t="shared" si="3"/>
        <v>748.73999999999796</v>
      </c>
      <c r="J22" t="s">
        <v>69</v>
      </c>
    </row>
    <row r="23" spans="1:10" x14ac:dyDescent="0.25">
      <c r="A23" s="34">
        <v>45843</v>
      </c>
      <c r="B23" t="s">
        <v>14</v>
      </c>
      <c r="C23" s="10">
        <v>3</v>
      </c>
      <c r="D23" s="16">
        <v>2388.1</v>
      </c>
      <c r="E23" s="20">
        <v>2300</v>
      </c>
      <c r="F23" s="20">
        <f t="shared" si="0"/>
        <v>88.099999999999909</v>
      </c>
      <c r="G23" s="20">
        <f t="shared" si="1"/>
        <v>7164.2999999999993</v>
      </c>
      <c r="H23" s="20">
        <f t="shared" si="2"/>
        <v>6900</v>
      </c>
      <c r="I23" s="20">
        <f t="shared" si="3"/>
        <v>264.29999999999927</v>
      </c>
      <c r="J23" t="s">
        <v>69</v>
      </c>
    </row>
    <row r="24" spans="1:10" x14ac:dyDescent="0.25">
      <c r="A24" s="34">
        <v>45843</v>
      </c>
      <c r="B24" t="s">
        <v>14</v>
      </c>
      <c r="C24" s="10">
        <v>4</v>
      </c>
      <c r="D24" s="16">
        <v>2608.64</v>
      </c>
      <c r="E24" s="20">
        <v>2550</v>
      </c>
      <c r="F24" s="20">
        <f t="shared" si="0"/>
        <v>58.639999999999873</v>
      </c>
      <c r="G24" s="20">
        <f t="shared" si="1"/>
        <v>10434.56</v>
      </c>
      <c r="H24" s="20">
        <f t="shared" si="2"/>
        <v>10200</v>
      </c>
      <c r="I24" s="20">
        <f t="shared" si="3"/>
        <v>234.55999999999949</v>
      </c>
      <c r="J24" t="s">
        <v>69</v>
      </c>
    </row>
    <row r="25" spans="1:10" x14ac:dyDescent="0.25">
      <c r="A25" s="34">
        <v>45843</v>
      </c>
      <c r="B25" t="s">
        <v>14</v>
      </c>
      <c r="C25" s="10">
        <v>2</v>
      </c>
      <c r="D25" s="16">
        <v>2571.8000000000002</v>
      </c>
      <c r="E25" s="20">
        <v>2550</v>
      </c>
      <c r="F25" s="20">
        <f t="shared" si="0"/>
        <v>21.800000000000182</v>
      </c>
      <c r="G25" s="20">
        <f t="shared" si="1"/>
        <v>5143.6000000000004</v>
      </c>
      <c r="H25" s="20">
        <f t="shared" si="2"/>
        <v>5100</v>
      </c>
      <c r="I25" s="20">
        <f t="shared" si="3"/>
        <v>43.600000000000364</v>
      </c>
      <c r="J25" t="s">
        <v>69</v>
      </c>
    </row>
    <row r="26" spans="1:10" x14ac:dyDescent="0.25">
      <c r="A26" s="34">
        <v>45843</v>
      </c>
      <c r="B26" t="s">
        <v>14</v>
      </c>
      <c r="C26" s="10">
        <v>3</v>
      </c>
      <c r="D26" s="16">
        <v>2424.84</v>
      </c>
      <c r="E26" s="20">
        <v>2300</v>
      </c>
      <c r="F26" s="20">
        <f t="shared" si="0"/>
        <v>124.84000000000015</v>
      </c>
      <c r="G26" s="20">
        <f t="shared" si="1"/>
        <v>7274.52</v>
      </c>
      <c r="H26" s="20">
        <f t="shared" si="2"/>
        <v>6900</v>
      </c>
      <c r="I26" s="20">
        <f t="shared" si="3"/>
        <v>374.52000000000044</v>
      </c>
      <c r="J26" t="s">
        <v>69</v>
      </c>
    </row>
    <row r="27" spans="1:10" x14ac:dyDescent="0.25">
      <c r="A27" s="34">
        <v>45843</v>
      </c>
      <c r="B27" t="s">
        <v>14</v>
      </c>
      <c r="C27" s="10">
        <v>1</v>
      </c>
      <c r="D27" s="16">
        <v>2388.1</v>
      </c>
      <c r="E27" s="20">
        <v>2300</v>
      </c>
      <c r="F27" s="20">
        <f t="shared" si="0"/>
        <v>88.099999999999909</v>
      </c>
      <c r="G27" s="20">
        <f t="shared" si="1"/>
        <v>2388.1</v>
      </c>
      <c r="H27" s="20">
        <f t="shared" si="2"/>
        <v>2300</v>
      </c>
      <c r="I27" s="20">
        <f t="shared" si="3"/>
        <v>88.099999999999909</v>
      </c>
      <c r="J27" t="s">
        <v>69</v>
      </c>
    </row>
    <row r="28" spans="1:10" x14ac:dyDescent="0.25">
      <c r="A28" s="34">
        <v>45843</v>
      </c>
      <c r="B28" t="s">
        <v>25</v>
      </c>
      <c r="C28" s="10">
        <v>3</v>
      </c>
      <c r="D28" s="16">
        <v>2277.88</v>
      </c>
      <c r="E28" s="20">
        <v>1980</v>
      </c>
      <c r="F28" s="20">
        <f t="shared" si="0"/>
        <v>297.88000000000011</v>
      </c>
      <c r="G28" s="20">
        <f t="shared" si="1"/>
        <v>6833.64</v>
      </c>
      <c r="H28" s="20">
        <f t="shared" si="2"/>
        <v>5940</v>
      </c>
      <c r="I28" s="20">
        <f t="shared" si="3"/>
        <v>893.64000000000033</v>
      </c>
      <c r="J28" t="s">
        <v>69</v>
      </c>
    </row>
    <row r="29" spans="1:10" x14ac:dyDescent="0.25">
      <c r="A29" s="34">
        <v>45843</v>
      </c>
      <c r="B29" t="s">
        <v>25</v>
      </c>
      <c r="C29" s="10">
        <v>2</v>
      </c>
      <c r="D29" s="16">
        <v>2388.1</v>
      </c>
      <c r="E29" s="20">
        <v>1980</v>
      </c>
      <c r="F29" s="20">
        <f t="shared" si="0"/>
        <v>408.09999999999991</v>
      </c>
      <c r="G29" s="20">
        <f t="shared" si="1"/>
        <v>4776.2</v>
      </c>
      <c r="H29" s="20">
        <f t="shared" si="2"/>
        <v>3960</v>
      </c>
      <c r="I29" s="20">
        <f t="shared" si="3"/>
        <v>816.19999999999982</v>
      </c>
      <c r="J29" t="s">
        <v>69</v>
      </c>
    </row>
    <row r="30" spans="1:10" x14ac:dyDescent="0.25">
      <c r="A30" s="34">
        <v>45843</v>
      </c>
      <c r="B30" t="s">
        <v>15</v>
      </c>
      <c r="C30" s="10">
        <v>3</v>
      </c>
      <c r="D30" s="16">
        <v>2057.44</v>
      </c>
      <c r="E30" s="20">
        <v>1850</v>
      </c>
      <c r="F30" s="20">
        <f t="shared" si="0"/>
        <v>207.44000000000005</v>
      </c>
      <c r="G30" s="20">
        <f t="shared" si="1"/>
        <v>6172.32</v>
      </c>
      <c r="H30" s="20">
        <f t="shared" si="2"/>
        <v>5550</v>
      </c>
      <c r="I30" s="20">
        <f t="shared" si="3"/>
        <v>622.31999999999971</v>
      </c>
      <c r="J30" t="s">
        <v>69</v>
      </c>
    </row>
    <row r="31" spans="1:10" x14ac:dyDescent="0.25">
      <c r="A31" s="34">
        <v>45843</v>
      </c>
      <c r="B31" t="s">
        <v>26</v>
      </c>
      <c r="C31" s="10">
        <v>1</v>
      </c>
      <c r="D31" s="16">
        <v>2479.9499999999998</v>
      </c>
      <c r="E31" s="20">
        <v>2200</v>
      </c>
      <c r="F31" s="20">
        <f t="shared" si="0"/>
        <v>279.94999999999982</v>
      </c>
      <c r="G31" s="20">
        <f t="shared" si="1"/>
        <v>2479.9499999999998</v>
      </c>
      <c r="H31" s="20">
        <f t="shared" si="2"/>
        <v>2200</v>
      </c>
      <c r="I31" s="20">
        <f t="shared" si="3"/>
        <v>279.94999999999982</v>
      </c>
      <c r="J31" t="s">
        <v>69</v>
      </c>
    </row>
    <row r="32" spans="1:10" x14ac:dyDescent="0.25">
      <c r="A32" s="34">
        <v>45843</v>
      </c>
      <c r="B32" t="s">
        <v>17</v>
      </c>
      <c r="C32" s="10">
        <v>8</v>
      </c>
      <c r="D32" s="16">
        <v>2535.06</v>
      </c>
      <c r="E32" s="20">
        <v>2450</v>
      </c>
      <c r="F32" s="20">
        <f t="shared" si="0"/>
        <v>85.059999999999945</v>
      </c>
      <c r="G32" s="20">
        <f t="shared" si="1"/>
        <v>20280.48</v>
      </c>
      <c r="H32" s="20">
        <f t="shared" si="2"/>
        <v>19600</v>
      </c>
      <c r="I32" s="20">
        <f t="shared" si="3"/>
        <v>680.47999999999956</v>
      </c>
      <c r="J32" t="s">
        <v>69</v>
      </c>
    </row>
    <row r="33" spans="1:10" x14ac:dyDescent="0.25">
      <c r="A33" s="34">
        <v>45843</v>
      </c>
      <c r="B33" t="s">
        <v>27</v>
      </c>
      <c r="C33" s="10">
        <v>1</v>
      </c>
      <c r="D33" s="16">
        <v>1212.42</v>
      </c>
      <c r="E33" s="20">
        <v>1115</v>
      </c>
      <c r="F33" s="20">
        <f t="shared" si="0"/>
        <v>97.420000000000073</v>
      </c>
      <c r="G33" s="20">
        <f t="shared" si="1"/>
        <v>1212.42</v>
      </c>
      <c r="H33" s="20">
        <f t="shared" si="2"/>
        <v>1115</v>
      </c>
      <c r="I33" s="20">
        <f t="shared" si="3"/>
        <v>97.420000000000073</v>
      </c>
      <c r="J33" t="s">
        <v>69</v>
      </c>
    </row>
    <row r="34" spans="1:10" x14ac:dyDescent="0.25">
      <c r="A34" s="36">
        <v>45843</v>
      </c>
      <c r="B34" s="23" t="s">
        <v>28</v>
      </c>
      <c r="C34" s="24">
        <v>1</v>
      </c>
      <c r="D34" s="25">
        <v>1102.2</v>
      </c>
      <c r="E34" s="26">
        <v>1215</v>
      </c>
      <c r="F34" s="26">
        <f t="shared" ref="F34:F65" si="4">D34-E34</f>
        <v>-112.79999999999995</v>
      </c>
      <c r="G34" s="26">
        <f t="shared" ref="G34:G65" si="5">D34*C34</f>
        <v>1102.2</v>
      </c>
      <c r="H34" s="26">
        <f t="shared" ref="H34:H65" si="6">E34*C34</f>
        <v>1215</v>
      </c>
      <c r="I34" s="26">
        <f t="shared" ref="I34:I65" si="7">G34-H34</f>
        <v>-112.79999999999995</v>
      </c>
      <c r="J34" t="s">
        <v>69</v>
      </c>
    </row>
    <row r="35" spans="1:10" x14ac:dyDescent="0.25">
      <c r="A35" s="34">
        <v>45843</v>
      </c>
      <c r="B35" t="s">
        <v>19</v>
      </c>
      <c r="C35" s="10">
        <v>3</v>
      </c>
      <c r="D35" s="16">
        <v>3894.44</v>
      </c>
      <c r="E35" s="20">
        <v>3600</v>
      </c>
      <c r="F35" s="20">
        <f t="shared" si="4"/>
        <v>294.44000000000005</v>
      </c>
      <c r="G35" s="20">
        <f t="shared" si="5"/>
        <v>11683.32</v>
      </c>
      <c r="H35" s="20">
        <f t="shared" si="6"/>
        <v>10800</v>
      </c>
      <c r="I35" s="20">
        <f t="shared" si="7"/>
        <v>883.31999999999971</v>
      </c>
      <c r="J35" t="s">
        <v>69</v>
      </c>
    </row>
    <row r="36" spans="1:10" x14ac:dyDescent="0.25">
      <c r="A36" s="34">
        <v>45843</v>
      </c>
      <c r="B36" t="s">
        <v>19</v>
      </c>
      <c r="C36" s="10">
        <v>1</v>
      </c>
      <c r="D36" s="16">
        <v>3674</v>
      </c>
      <c r="E36" s="20">
        <v>3600</v>
      </c>
      <c r="F36" s="20">
        <f t="shared" si="4"/>
        <v>74</v>
      </c>
      <c r="G36" s="20">
        <f t="shared" si="5"/>
        <v>3674</v>
      </c>
      <c r="H36" s="20">
        <f t="shared" si="6"/>
        <v>3600</v>
      </c>
      <c r="I36" s="20">
        <f t="shared" si="7"/>
        <v>74</v>
      </c>
      <c r="J36" t="s">
        <v>69</v>
      </c>
    </row>
    <row r="37" spans="1:10" x14ac:dyDescent="0.25">
      <c r="A37" s="34">
        <v>45843</v>
      </c>
      <c r="B37" t="s">
        <v>29</v>
      </c>
      <c r="C37" s="10">
        <v>1</v>
      </c>
      <c r="D37" s="16">
        <v>4849.68</v>
      </c>
      <c r="E37" s="20">
        <v>3900</v>
      </c>
      <c r="F37" s="20">
        <f t="shared" si="4"/>
        <v>949.68000000000029</v>
      </c>
      <c r="G37" s="20">
        <f t="shared" si="5"/>
        <v>4849.68</v>
      </c>
      <c r="H37" s="20">
        <f t="shared" si="6"/>
        <v>3900</v>
      </c>
      <c r="I37" s="20">
        <f t="shared" si="7"/>
        <v>949.68000000000029</v>
      </c>
      <c r="J37" t="s">
        <v>69</v>
      </c>
    </row>
    <row r="38" spans="1:10" x14ac:dyDescent="0.25">
      <c r="A38" s="6">
        <v>45845</v>
      </c>
      <c r="B38" s="39" t="s">
        <v>30</v>
      </c>
      <c r="C38" s="10">
        <v>8</v>
      </c>
      <c r="D38" s="16">
        <v>1715</v>
      </c>
      <c r="E38" s="20">
        <v>1534.25</v>
      </c>
      <c r="F38" s="20">
        <f t="shared" si="4"/>
        <v>180.75</v>
      </c>
      <c r="G38" s="20">
        <f t="shared" si="5"/>
        <v>13720</v>
      </c>
      <c r="H38" s="20">
        <f t="shared" si="6"/>
        <v>12274</v>
      </c>
      <c r="I38" s="20">
        <f t="shared" si="7"/>
        <v>1446</v>
      </c>
      <c r="J38" t="s">
        <v>69</v>
      </c>
    </row>
    <row r="39" spans="1:10" x14ac:dyDescent="0.25">
      <c r="A39" s="6">
        <v>45845</v>
      </c>
      <c r="B39" s="39" t="s">
        <v>31</v>
      </c>
      <c r="C39" s="10">
        <v>2</v>
      </c>
      <c r="D39" s="16">
        <v>1190</v>
      </c>
      <c r="E39" s="20">
        <v>1155.2</v>
      </c>
      <c r="F39" s="20">
        <f t="shared" si="4"/>
        <v>34.799999999999955</v>
      </c>
      <c r="G39" s="20">
        <f t="shared" si="5"/>
        <v>2380</v>
      </c>
      <c r="H39" s="20">
        <f t="shared" si="6"/>
        <v>2310.4</v>
      </c>
      <c r="I39" s="20">
        <f t="shared" si="7"/>
        <v>69.599999999999909</v>
      </c>
      <c r="J39" t="s">
        <v>69</v>
      </c>
    </row>
    <row r="40" spans="1:10" x14ac:dyDescent="0.25">
      <c r="A40" s="6">
        <v>45845</v>
      </c>
      <c r="B40" s="39" t="s">
        <v>32</v>
      </c>
      <c r="C40" s="10">
        <v>23</v>
      </c>
      <c r="D40" s="16">
        <v>2440</v>
      </c>
      <c r="E40" s="20">
        <v>2129.9</v>
      </c>
      <c r="F40" s="20">
        <f t="shared" si="4"/>
        <v>310.09999999999991</v>
      </c>
      <c r="G40" s="20">
        <f t="shared" si="5"/>
        <v>56120</v>
      </c>
      <c r="H40" s="20">
        <f t="shared" si="6"/>
        <v>48987.700000000004</v>
      </c>
      <c r="I40" s="20">
        <f t="shared" si="7"/>
        <v>7132.2999999999956</v>
      </c>
      <c r="J40" t="s">
        <v>69</v>
      </c>
    </row>
    <row r="41" spans="1:10" x14ac:dyDescent="0.25">
      <c r="A41" s="6">
        <v>45845</v>
      </c>
      <c r="B41" s="39" t="s">
        <v>33</v>
      </c>
      <c r="C41" s="10">
        <v>8</v>
      </c>
      <c r="D41" s="16">
        <v>1690</v>
      </c>
      <c r="E41" s="20">
        <v>1407.8999999999999</v>
      </c>
      <c r="F41" s="20">
        <f t="shared" si="4"/>
        <v>282.10000000000014</v>
      </c>
      <c r="G41" s="20">
        <f t="shared" si="5"/>
        <v>13520</v>
      </c>
      <c r="H41" s="20">
        <f t="shared" si="6"/>
        <v>11263.199999999999</v>
      </c>
      <c r="I41" s="20">
        <f t="shared" si="7"/>
        <v>2256.8000000000011</v>
      </c>
      <c r="J41" t="s">
        <v>69</v>
      </c>
    </row>
    <row r="42" spans="1:10" x14ac:dyDescent="0.25">
      <c r="A42" s="6">
        <v>45845</v>
      </c>
      <c r="B42" s="39" t="s">
        <v>34</v>
      </c>
      <c r="C42" s="10">
        <v>1</v>
      </c>
      <c r="D42" s="16">
        <v>1415</v>
      </c>
      <c r="E42" s="20">
        <v>1227.3999999999999</v>
      </c>
      <c r="F42" s="20">
        <f t="shared" si="4"/>
        <v>187.60000000000014</v>
      </c>
      <c r="G42" s="20">
        <f t="shared" si="5"/>
        <v>1415</v>
      </c>
      <c r="H42" s="20">
        <f t="shared" si="6"/>
        <v>1227.3999999999999</v>
      </c>
      <c r="I42" s="20">
        <f t="shared" si="7"/>
        <v>187.60000000000014</v>
      </c>
      <c r="J42" t="s">
        <v>69</v>
      </c>
    </row>
    <row r="43" spans="1:10" x14ac:dyDescent="0.25">
      <c r="A43" s="6">
        <v>45850</v>
      </c>
      <c r="B43" s="39" t="s">
        <v>38</v>
      </c>
      <c r="C43" s="10">
        <v>112</v>
      </c>
      <c r="D43" s="16">
        <v>981</v>
      </c>
      <c r="E43" s="16">
        <v>794.19999999999993</v>
      </c>
      <c r="F43" s="20">
        <f t="shared" si="4"/>
        <v>186.80000000000007</v>
      </c>
      <c r="G43" s="20">
        <f t="shared" si="5"/>
        <v>109872</v>
      </c>
      <c r="H43" s="20">
        <f t="shared" si="6"/>
        <v>88950.399999999994</v>
      </c>
      <c r="I43" s="20">
        <f t="shared" si="7"/>
        <v>20921.600000000006</v>
      </c>
      <c r="J43" t="s">
        <v>69</v>
      </c>
    </row>
    <row r="44" spans="1:10" x14ac:dyDescent="0.25">
      <c r="A44" s="6">
        <v>45850</v>
      </c>
      <c r="B44" s="39" t="s">
        <v>39</v>
      </c>
      <c r="C44" s="10">
        <v>24</v>
      </c>
      <c r="D44" s="16">
        <v>2435</v>
      </c>
      <c r="E44" s="16">
        <v>2129.9</v>
      </c>
      <c r="F44" s="20">
        <f t="shared" si="4"/>
        <v>305.09999999999991</v>
      </c>
      <c r="G44" s="20">
        <f t="shared" si="5"/>
        <v>58440</v>
      </c>
      <c r="H44" s="20">
        <f t="shared" si="6"/>
        <v>51117.600000000006</v>
      </c>
      <c r="I44" s="20">
        <f t="shared" si="7"/>
        <v>7322.3999999999942</v>
      </c>
      <c r="J44" t="s">
        <v>69</v>
      </c>
    </row>
    <row r="45" spans="1:10" x14ac:dyDescent="0.25">
      <c r="A45" s="6">
        <v>45850</v>
      </c>
      <c r="B45" s="39" t="s">
        <v>40</v>
      </c>
      <c r="C45" s="10">
        <v>1</v>
      </c>
      <c r="D45" s="16">
        <v>1700</v>
      </c>
      <c r="E45" s="16">
        <v>1407.8999999999999</v>
      </c>
      <c r="F45" s="20">
        <f t="shared" si="4"/>
        <v>292.10000000000014</v>
      </c>
      <c r="G45" s="20">
        <f t="shared" si="5"/>
        <v>1700</v>
      </c>
      <c r="H45" s="20">
        <f t="shared" si="6"/>
        <v>1407.8999999999999</v>
      </c>
      <c r="I45" s="20">
        <f t="shared" si="7"/>
        <v>292.10000000000014</v>
      </c>
      <c r="J45" t="s">
        <v>69</v>
      </c>
    </row>
    <row r="46" spans="1:10" x14ac:dyDescent="0.25">
      <c r="A46" s="6">
        <v>45854</v>
      </c>
      <c r="B46" t="s">
        <v>14</v>
      </c>
      <c r="C46" s="10">
        <v>2</v>
      </c>
      <c r="D46" s="16">
        <v>2680</v>
      </c>
      <c r="E46" s="20">
        <v>2530</v>
      </c>
      <c r="F46" s="20">
        <f t="shared" si="4"/>
        <v>150</v>
      </c>
      <c r="G46" s="20">
        <f t="shared" si="5"/>
        <v>5360</v>
      </c>
      <c r="H46" s="20">
        <f t="shared" si="6"/>
        <v>5060</v>
      </c>
      <c r="I46" s="20">
        <f t="shared" si="7"/>
        <v>300</v>
      </c>
      <c r="J46" t="s">
        <v>69</v>
      </c>
    </row>
    <row r="47" spans="1:10" x14ac:dyDescent="0.25">
      <c r="A47" s="6">
        <v>45854</v>
      </c>
      <c r="B47" t="s">
        <v>14</v>
      </c>
      <c r="C47" s="10">
        <v>1</v>
      </c>
      <c r="D47" s="16">
        <v>2610</v>
      </c>
      <c r="E47" s="20">
        <v>2530</v>
      </c>
      <c r="F47" s="20">
        <f t="shared" si="4"/>
        <v>80</v>
      </c>
      <c r="G47" s="20">
        <f t="shared" si="5"/>
        <v>2610</v>
      </c>
      <c r="H47" s="20">
        <f t="shared" si="6"/>
        <v>2530</v>
      </c>
      <c r="I47" s="20">
        <f t="shared" si="7"/>
        <v>80</v>
      </c>
      <c r="J47" t="s">
        <v>69</v>
      </c>
    </row>
    <row r="48" spans="1:10" x14ac:dyDescent="0.25">
      <c r="A48" s="6">
        <v>45854</v>
      </c>
      <c r="B48" t="s">
        <v>14</v>
      </c>
      <c r="C48" s="10">
        <v>2</v>
      </c>
      <c r="D48" s="16">
        <v>2550</v>
      </c>
      <c r="E48" s="20">
        <v>2400</v>
      </c>
      <c r="F48" s="20">
        <f t="shared" si="4"/>
        <v>150</v>
      </c>
      <c r="G48" s="20">
        <f t="shared" si="5"/>
        <v>5100</v>
      </c>
      <c r="H48" s="20">
        <f t="shared" si="6"/>
        <v>4800</v>
      </c>
      <c r="I48" s="20">
        <f t="shared" si="7"/>
        <v>300</v>
      </c>
      <c r="J48" t="s">
        <v>69</v>
      </c>
    </row>
    <row r="49" spans="1:10" x14ac:dyDescent="0.25">
      <c r="A49" s="6">
        <v>45854</v>
      </c>
      <c r="B49" t="s">
        <v>14</v>
      </c>
      <c r="C49" s="10">
        <v>2</v>
      </c>
      <c r="D49" s="16">
        <v>2435</v>
      </c>
      <c r="E49" s="20">
        <v>2350</v>
      </c>
      <c r="F49" s="20">
        <f t="shared" si="4"/>
        <v>85</v>
      </c>
      <c r="G49" s="20">
        <f t="shared" si="5"/>
        <v>4870</v>
      </c>
      <c r="H49" s="20">
        <f t="shared" si="6"/>
        <v>4700</v>
      </c>
      <c r="I49" s="20">
        <f t="shared" si="7"/>
        <v>170</v>
      </c>
      <c r="J49" t="s">
        <v>69</v>
      </c>
    </row>
    <row r="50" spans="1:10" x14ac:dyDescent="0.25">
      <c r="A50" s="6">
        <v>45854</v>
      </c>
      <c r="B50" s="38" t="s">
        <v>14</v>
      </c>
      <c r="C50" s="8">
        <v>1</v>
      </c>
      <c r="D50" s="17">
        <v>2350</v>
      </c>
      <c r="E50" s="20">
        <v>2350</v>
      </c>
      <c r="F50" s="20">
        <f t="shared" si="4"/>
        <v>0</v>
      </c>
      <c r="G50" s="20">
        <f t="shared" si="5"/>
        <v>2350</v>
      </c>
      <c r="H50" s="20">
        <f t="shared" si="6"/>
        <v>2350</v>
      </c>
      <c r="I50" s="20">
        <f t="shared" si="7"/>
        <v>0</v>
      </c>
      <c r="J50" t="s">
        <v>69</v>
      </c>
    </row>
    <row r="51" spans="1:10" x14ac:dyDescent="0.25">
      <c r="A51" s="6">
        <v>45854</v>
      </c>
      <c r="B51" s="38" t="s">
        <v>20</v>
      </c>
      <c r="C51" s="8">
        <v>3</v>
      </c>
      <c r="D51" s="17">
        <v>1530</v>
      </c>
      <c r="E51" s="20">
        <v>1400</v>
      </c>
      <c r="F51" s="20">
        <f t="shared" si="4"/>
        <v>130</v>
      </c>
      <c r="G51" s="20">
        <f t="shared" si="5"/>
        <v>4590</v>
      </c>
      <c r="H51" s="20">
        <f t="shared" si="6"/>
        <v>4200</v>
      </c>
      <c r="I51" s="20">
        <f t="shared" si="7"/>
        <v>390</v>
      </c>
      <c r="J51" t="s">
        <v>69</v>
      </c>
    </row>
    <row r="52" spans="1:10" x14ac:dyDescent="0.25">
      <c r="A52" s="6">
        <v>45854</v>
      </c>
      <c r="B52" s="38" t="s">
        <v>42</v>
      </c>
      <c r="C52" s="8">
        <v>2</v>
      </c>
      <c r="D52" s="17">
        <v>865</v>
      </c>
      <c r="E52" s="20">
        <v>600</v>
      </c>
      <c r="F52" s="20">
        <f t="shared" si="4"/>
        <v>265</v>
      </c>
      <c r="G52" s="20">
        <f t="shared" si="5"/>
        <v>1730</v>
      </c>
      <c r="H52" s="20">
        <f t="shared" si="6"/>
        <v>1200</v>
      </c>
      <c r="I52" s="20">
        <f t="shared" si="7"/>
        <v>530</v>
      </c>
      <c r="J52" t="s">
        <v>69</v>
      </c>
    </row>
    <row r="53" spans="1:10" x14ac:dyDescent="0.25">
      <c r="A53" s="6">
        <v>45854</v>
      </c>
      <c r="B53" s="38" t="s">
        <v>24</v>
      </c>
      <c r="C53" s="8">
        <v>1</v>
      </c>
      <c r="D53" s="17">
        <v>2950</v>
      </c>
      <c r="E53" s="20">
        <v>2600</v>
      </c>
      <c r="F53" s="20">
        <f t="shared" si="4"/>
        <v>350</v>
      </c>
      <c r="G53" s="20">
        <f t="shared" si="5"/>
        <v>2950</v>
      </c>
      <c r="H53" s="20">
        <f t="shared" si="6"/>
        <v>2600</v>
      </c>
      <c r="I53" s="20">
        <f t="shared" si="7"/>
        <v>350</v>
      </c>
      <c r="J53" t="s">
        <v>69</v>
      </c>
    </row>
    <row r="54" spans="1:10" x14ac:dyDescent="0.25">
      <c r="A54" s="6">
        <v>45855</v>
      </c>
      <c r="B54" s="38" t="s">
        <v>19</v>
      </c>
      <c r="C54" s="8">
        <v>3</v>
      </c>
      <c r="D54" s="17">
        <v>3900</v>
      </c>
      <c r="E54" s="20">
        <v>3600</v>
      </c>
      <c r="F54" s="20">
        <f t="shared" si="4"/>
        <v>300</v>
      </c>
      <c r="G54" s="20">
        <f t="shared" si="5"/>
        <v>11700</v>
      </c>
      <c r="H54" s="20">
        <f t="shared" si="6"/>
        <v>10800</v>
      </c>
      <c r="I54" s="20">
        <f t="shared" si="7"/>
        <v>900</v>
      </c>
      <c r="J54" t="s">
        <v>69</v>
      </c>
    </row>
    <row r="55" spans="1:10" x14ac:dyDescent="0.25">
      <c r="A55" s="6">
        <v>45855</v>
      </c>
      <c r="B55" s="40" t="s">
        <v>17</v>
      </c>
      <c r="C55" s="10">
        <v>1</v>
      </c>
      <c r="D55" s="16">
        <v>2430</v>
      </c>
      <c r="E55" s="20">
        <v>2410</v>
      </c>
      <c r="F55" s="20">
        <f t="shared" si="4"/>
        <v>20</v>
      </c>
      <c r="G55" s="20">
        <f t="shared" si="5"/>
        <v>2430</v>
      </c>
      <c r="H55" s="20">
        <f t="shared" si="6"/>
        <v>2410</v>
      </c>
      <c r="I55" s="20">
        <f t="shared" si="7"/>
        <v>20</v>
      </c>
      <c r="J55" t="s">
        <v>69</v>
      </c>
    </row>
    <row r="56" spans="1:10" x14ac:dyDescent="0.25">
      <c r="A56" s="27">
        <v>45856</v>
      </c>
      <c r="B56" s="23" t="s">
        <v>14</v>
      </c>
      <c r="C56" s="24">
        <v>1</v>
      </c>
      <c r="D56" s="25">
        <v>2325</v>
      </c>
      <c r="E56" s="26">
        <v>2350</v>
      </c>
      <c r="F56" s="26">
        <f t="shared" si="4"/>
        <v>-25</v>
      </c>
      <c r="G56" s="26">
        <f t="shared" si="5"/>
        <v>2325</v>
      </c>
      <c r="H56" s="26">
        <f t="shared" si="6"/>
        <v>2350</v>
      </c>
      <c r="I56" s="26">
        <f t="shared" si="7"/>
        <v>-25</v>
      </c>
      <c r="J56" t="s">
        <v>69</v>
      </c>
    </row>
    <row r="57" spans="1:10" x14ac:dyDescent="0.25">
      <c r="A57" s="6">
        <v>45857</v>
      </c>
      <c r="B57" t="s">
        <v>14</v>
      </c>
      <c r="C57" s="10">
        <v>3</v>
      </c>
      <c r="D57" s="16">
        <v>2680</v>
      </c>
      <c r="E57" s="20">
        <v>2530</v>
      </c>
      <c r="F57" s="20">
        <f t="shared" si="4"/>
        <v>150</v>
      </c>
      <c r="G57" s="20">
        <f t="shared" si="5"/>
        <v>8040</v>
      </c>
      <c r="H57" s="20">
        <f t="shared" si="6"/>
        <v>7590</v>
      </c>
      <c r="I57" s="20">
        <f t="shared" si="7"/>
        <v>450</v>
      </c>
      <c r="J57" t="s">
        <v>69</v>
      </c>
    </row>
    <row r="58" spans="1:10" x14ac:dyDescent="0.25">
      <c r="A58" s="6">
        <v>45857</v>
      </c>
      <c r="B58" t="s">
        <v>24</v>
      </c>
      <c r="C58" s="10">
        <v>1</v>
      </c>
      <c r="D58" s="16">
        <v>2950</v>
      </c>
      <c r="E58" s="20">
        <v>2700</v>
      </c>
      <c r="F58" s="20">
        <f t="shared" si="4"/>
        <v>250</v>
      </c>
      <c r="G58" s="20">
        <f t="shared" si="5"/>
        <v>2950</v>
      </c>
      <c r="H58" s="20">
        <f t="shared" si="6"/>
        <v>2700</v>
      </c>
      <c r="I58" s="20">
        <f t="shared" si="7"/>
        <v>250</v>
      </c>
      <c r="J58" t="s">
        <v>69</v>
      </c>
    </row>
    <row r="59" spans="1:10" x14ac:dyDescent="0.25">
      <c r="A59" s="6">
        <v>45857</v>
      </c>
      <c r="B59" t="s">
        <v>24</v>
      </c>
      <c r="C59" s="10">
        <v>2</v>
      </c>
      <c r="D59" s="16">
        <v>2700</v>
      </c>
      <c r="E59" s="20">
        <v>2600</v>
      </c>
      <c r="F59" s="20">
        <f t="shared" si="4"/>
        <v>100</v>
      </c>
      <c r="G59" s="20">
        <f t="shared" si="5"/>
        <v>5400</v>
      </c>
      <c r="H59" s="20">
        <f t="shared" si="6"/>
        <v>5200</v>
      </c>
      <c r="I59" s="20">
        <f t="shared" si="7"/>
        <v>200</v>
      </c>
      <c r="J59" t="s">
        <v>69</v>
      </c>
    </row>
    <row r="60" spans="1:10" x14ac:dyDescent="0.25">
      <c r="A60" s="6">
        <v>45857</v>
      </c>
      <c r="B60" t="s">
        <v>14</v>
      </c>
      <c r="C60" s="10">
        <v>2</v>
      </c>
      <c r="D60" s="16">
        <v>2435</v>
      </c>
      <c r="E60" s="20">
        <v>2350</v>
      </c>
      <c r="F60" s="20">
        <f t="shared" si="4"/>
        <v>85</v>
      </c>
      <c r="G60" s="20">
        <f t="shared" si="5"/>
        <v>4870</v>
      </c>
      <c r="H60" s="20">
        <f t="shared" si="6"/>
        <v>4700</v>
      </c>
      <c r="I60" s="20">
        <f t="shared" si="7"/>
        <v>170</v>
      </c>
      <c r="J60" t="s">
        <v>69</v>
      </c>
    </row>
    <row r="61" spans="1:10" x14ac:dyDescent="0.25">
      <c r="A61" s="6">
        <v>45857</v>
      </c>
      <c r="B61" t="s">
        <v>45</v>
      </c>
      <c r="C61" s="10">
        <v>1</v>
      </c>
      <c r="D61" s="16">
        <v>1750</v>
      </c>
      <c r="E61" s="20">
        <v>1700</v>
      </c>
      <c r="F61" s="20">
        <f t="shared" si="4"/>
        <v>50</v>
      </c>
      <c r="G61" s="20">
        <f t="shared" si="5"/>
        <v>1750</v>
      </c>
      <c r="H61" s="20">
        <f t="shared" si="6"/>
        <v>1700</v>
      </c>
      <c r="I61" s="20">
        <f t="shared" si="7"/>
        <v>50</v>
      </c>
      <c r="J61" t="s">
        <v>69</v>
      </c>
    </row>
    <row r="62" spans="1:10" x14ac:dyDescent="0.25">
      <c r="A62" s="6">
        <v>45857</v>
      </c>
      <c r="B62" t="s">
        <v>21</v>
      </c>
      <c r="C62" s="10">
        <v>1</v>
      </c>
      <c r="D62" s="16">
        <v>1650</v>
      </c>
      <c r="E62" s="20">
        <v>1600</v>
      </c>
      <c r="F62" s="20">
        <f t="shared" si="4"/>
        <v>50</v>
      </c>
      <c r="G62" s="20">
        <f t="shared" si="5"/>
        <v>1650</v>
      </c>
      <c r="H62" s="20">
        <f t="shared" si="6"/>
        <v>1600</v>
      </c>
      <c r="I62" s="20">
        <f t="shared" si="7"/>
        <v>50</v>
      </c>
      <c r="J62" t="s">
        <v>69</v>
      </c>
    </row>
    <row r="63" spans="1:10" x14ac:dyDescent="0.25">
      <c r="A63" s="6">
        <v>45857</v>
      </c>
      <c r="B63" t="s">
        <v>21</v>
      </c>
      <c r="C63" s="10">
        <v>1</v>
      </c>
      <c r="D63" s="16">
        <v>1580</v>
      </c>
      <c r="E63" s="20">
        <v>1530</v>
      </c>
      <c r="F63" s="20">
        <f t="shared" si="4"/>
        <v>50</v>
      </c>
      <c r="G63" s="20">
        <f t="shared" si="5"/>
        <v>1580</v>
      </c>
      <c r="H63" s="20">
        <f t="shared" si="6"/>
        <v>1530</v>
      </c>
      <c r="I63" s="20">
        <f t="shared" si="7"/>
        <v>50</v>
      </c>
      <c r="J63" t="s">
        <v>69</v>
      </c>
    </row>
    <row r="64" spans="1:10" x14ac:dyDescent="0.25">
      <c r="A64" s="6">
        <v>45857</v>
      </c>
      <c r="B64" t="s">
        <v>20</v>
      </c>
      <c r="C64" s="10">
        <v>2</v>
      </c>
      <c r="D64" s="16">
        <v>1510</v>
      </c>
      <c r="E64" s="20">
        <v>1400</v>
      </c>
      <c r="F64" s="20">
        <f t="shared" si="4"/>
        <v>110</v>
      </c>
      <c r="G64" s="20">
        <f t="shared" si="5"/>
        <v>3020</v>
      </c>
      <c r="H64" s="20">
        <f t="shared" si="6"/>
        <v>2800</v>
      </c>
      <c r="I64" s="20">
        <f t="shared" si="7"/>
        <v>220</v>
      </c>
      <c r="J64" t="s">
        <v>69</v>
      </c>
    </row>
    <row r="65" spans="1:10" x14ac:dyDescent="0.25">
      <c r="A65" s="6">
        <v>45857</v>
      </c>
      <c r="B65" t="s">
        <v>25</v>
      </c>
      <c r="C65" s="10">
        <v>1</v>
      </c>
      <c r="D65" s="16">
        <v>2300</v>
      </c>
      <c r="E65" s="20">
        <v>2100</v>
      </c>
      <c r="F65" s="20">
        <f t="shared" si="4"/>
        <v>200</v>
      </c>
      <c r="G65" s="20">
        <f t="shared" si="5"/>
        <v>2300</v>
      </c>
      <c r="H65" s="20">
        <f t="shared" si="6"/>
        <v>2100</v>
      </c>
      <c r="I65" s="20">
        <f t="shared" si="7"/>
        <v>200</v>
      </c>
      <c r="J65" t="s">
        <v>69</v>
      </c>
    </row>
    <row r="66" spans="1:10" x14ac:dyDescent="0.25">
      <c r="A66" s="6">
        <v>45857</v>
      </c>
      <c r="B66" t="s">
        <v>15</v>
      </c>
      <c r="C66" s="10">
        <v>1</v>
      </c>
      <c r="D66" s="16">
        <v>2170</v>
      </c>
      <c r="E66" s="20">
        <v>2070</v>
      </c>
      <c r="F66" s="20">
        <f t="shared" ref="F66:F97" si="8">D66-E66</f>
        <v>100</v>
      </c>
      <c r="G66" s="20">
        <f t="shared" ref="G66:G97" si="9">D66*C66</f>
        <v>2170</v>
      </c>
      <c r="H66" s="20">
        <f t="shared" ref="H66:H97" si="10">E66*C66</f>
        <v>2070</v>
      </c>
      <c r="I66" s="20">
        <f t="shared" ref="I66:I97" si="11">G66-H66</f>
        <v>100</v>
      </c>
      <c r="J66" t="s">
        <v>69</v>
      </c>
    </row>
    <row r="67" spans="1:10" x14ac:dyDescent="0.25">
      <c r="A67" s="6">
        <v>45857</v>
      </c>
      <c r="B67" t="s">
        <v>26</v>
      </c>
      <c r="C67" s="10">
        <v>2</v>
      </c>
      <c r="D67" s="16">
        <v>2650</v>
      </c>
      <c r="E67" s="20">
        <v>2350</v>
      </c>
      <c r="F67" s="20">
        <f t="shared" si="8"/>
        <v>300</v>
      </c>
      <c r="G67" s="20">
        <f t="shared" si="9"/>
        <v>5300</v>
      </c>
      <c r="H67" s="20">
        <f t="shared" si="10"/>
        <v>4700</v>
      </c>
      <c r="I67" s="20">
        <f t="shared" si="11"/>
        <v>600</v>
      </c>
      <c r="J67" t="s">
        <v>69</v>
      </c>
    </row>
    <row r="68" spans="1:10" x14ac:dyDescent="0.25">
      <c r="A68" s="6">
        <v>45857</v>
      </c>
      <c r="B68" t="s">
        <v>14</v>
      </c>
      <c r="C68" s="10">
        <v>1</v>
      </c>
      <c r="D68" s="16">
        <v>2550</v>
      </c>
      <c r="E68" s="20">
        <v>2500</v>
      </c>
      <c r="F68" s="20">
        <f t="shared" si="8"/>
        <v>50</v>
      </c>
      <c r="G68" s="20">
        <f t="shared" si="9"/>
        <v>2550</v>
      </c>
      <c r="H68" s="20">
        <f t="shared" si="10"/>
        <v>2500</v>
      </c>
      <c r="I68" s="20">
        <f t="shared" si="11"/>
        <v>50</v>
      </c>
      <c r="J68" t="s">
        <v>69</v>
      </c>
    </row>
    <row r="69" spans="1:10" x14ac:dyDescent="0.25">
      <c r="A69" s="6">
        <v>45857</v>
      </c>
      <c r="B69" t="s">
        <v>14</v>
      </c>
      <c r="C69" s="10">
        <v>1</v>
      </c>
      <c r="D69" s="16">
        <v>2350</v>
      </c>
      <c r="E69" s="20">
        <v>2350</v>
      </c>
      <c r="F69" s="20">
        <f t="shared" si="8"/>
        <v>0</v>
      </c>
      <c r="G69" s="20">
        <f t="shared" si="9"/>
        <v>2350</v>
      </c>
      <c r="H69" s="20">
        <f t="shared" si="10"/>
        <v>2350</v>
      </c>
      <c r="I69" s="20">
        <f t="shared" si="11"/>
        <v>0</v>
      </c>
      <c r="J69" t="s">
        <v>69</v>
      </c>
    </row>
    <row r="70" spans="1:10" x14ac:dyDescent="0.25">
      <c r="A70" s="6">
        <v>45859</v>
      </c>
      <c r="B70" t="s">
        <v>17</v>
      </c>
      <c r="C70" s="10">
        <v>9</v>
      </c>
      <c r="D70" s="16">
        <v>2430</v>
      </c>
      <c r="E70" s="20">
        <v>2390</v>
      </c>
      <c r="F70" s="20">
        <f t="shared" si="8"/>
        <v>40</v>
      </c>
      <c r="G70" s="20">
        <f t="shared" si="9"/>
        <v>21870</v>
      </c>
      <c r="H70" s="20">
        <f t="shared" si="10"/>
        <v>21510</v>
      </c>
      <c r="I70" s="20">
        <f t="shared" si="11"/>
        <v>360</v>
      </c>
      <c r="J70" t="s">
        <v>69</v>
      </c>
    </row>
    <row r="71" spans="1:10" x14ac:dyDescent="0.25">
      <c r="A71" s="6">
        <v>45859</v>
      </c>
      <c r="B71" t="s">
        <v>17</v>
      </c>
      <c r="C71" s="10">
        <v>6</v>
      </c>
      <c r="D71" s="16">
        <v>2440</v>
      </c>
      <c r="E71" s="20">
        <v>2410</v>
      </c>
      <c r="F71" s="20">
        <f t="shared" si="8"/>
        <v>30</v>
      </c>
      <c r="G71" s="20">
        <f t="shared" si="9"/>
        <v>14640</v>
      </c>
      <c r="H71" s="20">
        <f t="shared" si="10"/>
        <v>14460</v>
      </c>
      <c r="I71" s="20">
        <f t="shared" si="11"/>
        <v>180</v>
      </c>
      <c r="J71" t="s">
        <v>69</v>
      </c>
    </row>
    <row r="72" spans="1:10" x14ac:dyDescent="0.25">
      <c r="A72" s="6">
        <v>45859</v>
      </c>
      <c r="B72" s="40" t="s">
        <v>46</v>
      </c>
      <c r="C72" s="10">
        <v>2</v>
      </c>
      <c r="D72" s="16">
        <v>5500</v>
      </c>
      <c r="E72" s="20">
        <v>3900</v>
      </c>
      <c r="F72" s="20">
        <f t="shared" si="8"/>
        <v>1600</v>
      </c>
      <c r="G72" s="20">
        <f t="shared" si="9"/>
        <v>11000</v>
      </c>
      <c r="H72" s="20">
        <f t="shared" si="10"/>
        <v>7800</v>
      </c>
      <c r="I72" s="20">
        <f t="shared" si="11"/>
        <v>3200</v>
      </c>
      <c r="J72" t="s">
        <v>69</v>
      </c>
    </row>
    <row r="73" spans="1:10" x14ac:dyDescent="0.25">
      <c r="A73" s="6">
        <v>45859</v>
      </c>
      <c r="B73" t="s">
        <v>19</v>
      </c>
      <c r="C73" s="10">
        <v>2</v>
      </c>
      <c r="D73" s="16">
        <v>3940</v>
      </c>
      <c r="E73" s="20">
        <v>3600</v>
      </c>
      <c r="F73" s="20">
        <f t="shared" si="8"/>
        <v>340</v>
      </c>
      <c r="G73" s="20">
        <f t="shared" si="9"/>
        <v>7880</v>
      </c>
      <c r="H73" s="20">
        <f t="shared" si="10"/>
        <v>7200</v>
      </c>
      <c r="I73" s="20">
        <f t="shared" si="11"/>
        <v>680</v>
      </c>
      <c r="J73" t="s">
        <v>69</v>
      </c>
    </row>
    <row r="74" spans="1:10" x14ac:dyDescent="0.25">
      <c r="A74" s="6">
        <v>45860</v>
      </c>
      <c r="B74" s="39" t="s">
        <v>38</v>
      </c>
      <c r="C74" s="10">
        <v>8</v>
      </c>
      <c r="D74" s="20">
        <v>973</v>
      </c>
      <c r="E74" s="20">
        <v>794.19999999999993</v>
      </c>
      <c r="F74" s="20">
        <f t="shared" si="8"/>
        <v>178.80000000000007</v>
      </c>
      <c r="G74" s="20">
        <f t="shared" si="9"/>
        <v>7784</v>
      </c>
      <c r="H74" s="20">
        <f t="shared" si="10"/>
        <v>6353.5999999999995</v>
      </c>
      <c r="I74" s="20">
        <f t="shared" si="11"/>
        <v>1430.4000000000005</v>
      </c>
      <c r="J74" t="s">
        <v>69</v>
      </c>
    </row>
    <row r="75" spans="1:10" x14ac:dyDescent="0.25">
      <c r="A75" s="6">
        <v>45860</v>
      </c>
      <c r="B75" s="39" t="s">
        <v>47</v>
      </c>
      <c r="C75" s="10">
        <v>39</v>
      </c>
      <c r="D75" s="20">
        <v>1710</v>
      </c>
      <c r="E75" s="20">
        <v>1534.25</v>
      </c>
      <c r="F75" s="20">
        <f t="shared" si="8"/>
        <v>175.75</v>
      </c>
      <c r="G75" s="20">
        <f t="shared" si="9"/>
        <v>66690</v>
      </c>
      <c r="H75" s="20">
        <f t="shared" si="10"/>
        <v>59835.75</v>
      </c>
      <c r="I75" s="20">
        <f t="shared" si="11"/>
        <v>6854.25</v>
      </c>
      <c r="J75" t="s">
        <v>69</v>
      </c>
    </row>
    <row r="76" spans="1:10" x14ac:dyDescent="0.25">
      <c r="A76" s="6">
        <v>45860</v>
      </c>
      <c r="B76" s="39" t="s">
        <v>32</v>
      </c>
      <c r="C76" s="10">
        <v>35</v>
      </c>
      <c r="D76" s="20">
        <v>2435</v>
      </c>
      <c r="E76" s="20">
        <v>2129.9</v>
      </c>
      <c r="F76" s="20">
        <f t="shared" si="8"/>
        <v>305.09999999999991</v>
      </c>
      <c r="G76" s="20">
        <f t="shared" si="9"/>
        <v>85225</v>
      </c>
      <c r="H76" s="20">
        <f t="shared" si="10"/>
        <v>74546.5</v>
      </c>
      <c r="I76" s="20">
        <f t="shared" si="11"/>
        <v>10678.5</v>
      </c>
      <c r="J76" t="s">
        <v>69</v>
      </c>
    </row>
    <row r="77" spans="1:10" x14ac:dyDescent="0.25">
      <c r="A77" s="6">
        <v>45860</v>
      </c>
      <c r="B77" s="39" t="s">
        <v>33</v>
      </c>
      <c r="C77" s="10">
        <v>15</v>
      </c>
      <c r="D77" s="20">
        <v>1700</v>
      </c>
      <c r="E77" s="20">
        <v>1407.8999999999999</v>
      </c>
      <c r="F77" s="20">
        <f t="shared" si="8"/>
        <v>292.10000000000014</v>
      </c>
      <c r="G77" s="20">
        <f t="shared" si="9"/>
        <v>25500</v>
      </c>
      <c r="H77" s="20">
        <f t="shared" si="10"/>
        <v>21118.499999999996</v>
      </c>
      <c r="I77" s="20">
        <f t="shared" si="11"/>
        <v>4381.5000000000036</v>
      </c>
      <c r="J77" t="s">
        <v>69</v>
      </c>
    </row>
    <row r="78" spans="1:10" x14ac:dyDescent="0.25">
      <c r="A78" s="6">
        <v>45860</v>
      </c>
      <c r="B78" s="39" t="s">
        <v>34</v>
      </c>
      <c r="C78" s="10">
        <v>7</v>
      </c>
      <c r="D78" s="20">
        <v>1440</v>
      </c>
      <c r="E78" s="20">
        <v>1227.3999999999999</v>
      </c>
      <c r="F78" s="20">
        <f t="shared" si="8"/>
        <v>212.60000000000014</v>
      </c>
      <c r="G78" s="20">
        <f t="shared" si="9"/>
        <v>10080</v>
      </c>
      <c r="H78" s="20">
        <f t="shared" si="10"/>
        <v>8591.7999999999993</v>
      </c>
      <c r="I78" s="20">
        <f t="shared" si="11"/>
        <v>1488.2000000000007</v>
      </c>
      <c r="J78" t="s">
        <v>69</v>
      </c>
    </row>
    <row r="79" spans="1:10" x14ac:dyDescent="0.25">
      <c r="A79" s="27">
        <v>45860</v>
      </c>
      <c r="B79" s="23" t="s">
        <v>17</v>
      </c>
      <c r="C79" s="24">
        <v>10</v>
      </c>
      <c r="D79" s="25">
        <v>2329.5</v>
      </c>
      <c r="E79" s="26">
        <v>2390</v>
      </c>
      <c r="F79" s="26">
        <f t="shared" si="8"/>
        <v>-60.5</v>
      </c>
      <c r="G79" s="26">
        <f t="shared" si="9"/>
        <v>23295</v>
      </c>
      <c r="H79" s="26">
        <f t="shared" si="10"/>
        <v>23900</v>
      </c>
      <c r="I79" s="26">
        <f t="shared" si="11"/>
        <v>-605</v>
      </c>
      <c r="J79" t="s">
        <v>69</v>
      </c>
    </row>
    <row r="80" spans="1:10" x14ac:dyDescent="0.25">
      <c r="A80" s="6">
        <v>45861</v>
      </c>
      <c r="B80" t="s">
        <v>14</v>
      </c>
      <c r="C80" s="10">
        <v>5</v>
      </c>
      <c r="D80" s="16">
        <v>2680</v>
      </c>
      <c r="E80" s="20">
        <v>2580</v>
      </c>
      <c r="F80" s="20">
        <f t="shared" si="8"/>
        <v>100</v>
      </c>
      <c r="G80" s="20">
        <f t="shared" si="9"/>
        <v>13400</v>
      </c>
      <c r="H80" s="20">
        <f t="shared" si="10"/>
        <v>12900</v>
      </c>
      <c r="I80" s="20">
        <f t="shared" si="11"/>
        <v>500</v>
      </c>
      <c r="J80" t="s">
        <v>69</v>
      </c>
    </row>
    <row r="81" spans="1:10" x14ac:dyDescent="0.25">
      <c r="A81" s="6">
        <v>45861</v>
      </c>
      <c r="B81" t="s">
        <v>14</v>
      </c>
      <c r="C81" s="10">
        <v>10</v>
      </c>
      <c r="D81" s="16">
        <v>2435</v>
      </c>
      <c r="E81" s="20">
        <v>2400</v>
      </c>
      <c r="F81" s="20">
        <f t="shared" si="8"/>
        <v>35</v>
      </c>
      <c r="G81" s="20">
        <f t="shared" si="9"/>
        <v>24350</v>
      </c>
      <c r="H81" s="20">
        <f t="shared" si="10"/>
        <v>24000</v>
      </c>
      <c r="I81" s="20">
        <f t="shared" si="11"/>
        <v>350</v>
      </c>
      <c r="J81" t="s">
        <v>69</v>
      </c>
    </row>
    <row r="82" spans="1:10" x14ac:dyDescent="0.25">
      <c r="A82" s="6">
        <v>45861</v>
      </c>
      <c r="B82" t="s">
        <v>14</v>
      </c>
      <c r="C82" s="10">
        <v>2</v>
      </c>
      <c r="D82" s="16">
        <v>2550</v>
      </c>
      <c r="E82" s="20">
        <v>2500</v>
      </c>
      <c r="F82" s="20">
        <f t="shared" si="8"/>
        <v>50</v>
      </c>
      <c r="G82" s="20">
        <f t="shared" si="9"/>
        <v>5100</v>
      </c>
      <c r="H82" s="20">
        <f t="shared" si="10"/>
        <v>5000</v>
      </c>
      <c r="I82" s="20">
        <f t="shared" si="11"/>
        <v>100</v>
      </c>
      <c r="J82" t="s">
        <v>69</v>
      </c>
    </row>
    <row r="83" spans="1:10" x14ac:dyDescent="0.25">
      <c r="A83" s="6">
        <v>45861</v>
      </c>
      <c r="B83" t="s">
        <v>24</v>
      </c>
      <c r="C83" s="10">
        <v>2</v>
      </c>
      <c r="D83" s="16">
        <v>2700</v>
      </c>
      <c r="E83" s="20">
        <v>2600</v>
      </c>
      <c r="F83" s="20">
        <f t="shared" si="8"/>
        <v>100</v>
      </c>
      <c r="G83" s="20">
        <f t="shared" si="9"/>
        <v>5400</v>
      </c>
      <c r="H83" s="20">
        <f t="shared" si="10"/>
        <v>5200</v>
      </c>
      <c r="I83" s="20">
        <f t="shared" si="11"/>
        <v>200</v>
      </c>
      <c r="J83" t="s">
        <v>69</v>
      </c>
    </row>
    <row r="84" spans="1:10" x14ac:dyDescent="0.25">
      <c r="A84" s="6">
        <v>45861</v>
      </c>
      <c r="B84" t="s">
        <v>24</v>
      </c>
      <c r="C84" s="10">
        <v>2</v>
      </c>
      <c r="D84" s="16">
        <v>2750</v>
      </c>
      <c r="E84" s="20">
        <v>2600</v>
      </c>
      <c r="F84" s="20">
        <f t="shared" si="8"/>
        <v>150</v>
      </c>
      <c r="G84" s="20">
        <f t="shared" si="9"/>
        <v>5500</v>
      </c>
      <c r="H84" s="20">
        <f t="shared" si="10"/>
        <v>5200</v>
      </c>
      <c r="I84" s="20">
        <f t="shared" si="11"/>
        <v>300</v>
      </c>
      <c r="J84" t="s">
        <v>69</v>
      </c>
    </row>
    <row r="85" spans="1:10" x14ac:dyDescent="0.25">
      <c r="A85" s="6">
        <v>45861</v>
      </c>
      <c r="B85" t="s">
        <v>23</v>
      </c>
      <c r="C85" s="10">
        <v>1</v>
      </c>
      <c r="D85" s="16">
        <v>2950</v>
      </c>
      <c r="E85" s="20">
        <v>2750</v>
      </c>
      <c r="F85" s="20">
        <f t="shared" si="8"/>
        <v>200</v>
      </c>
      <c r="G85" s="20">
        <f t="shared" si="9"/>
        <v>2950</v>
      </c>
      <c r="H85" s="20">
        <f t="shared" si="10"/>
        <v>2750</v>
      </c>
      <c r="I85" s="20">
        <f t="shared" si="11"/>
        <v>200</v>
      </c>
      <c r="J85" t="s">
        <v>69</v>
      </c>
    </row>
    <row r="86" spans="1:10" x14ac:dyDescent="0.25">
      <c r="A86" s="6">
        <v>45861</v>
      </c>
      <c r="B86" t="s">
        <v>26</v>
      </c>
      <c r="C86" s="10">
        <v>1</v>
      </c>
      <c r="D86" s="16">
        <v>2525</v>
      </c>
      <c r="E86" s="20">
        <v>2350</v>
      </c>
      <c r="F86" s="20">
        <f t="shared" si="8"/>
        <v>175</v>
      </c>
      <c r="G86" s="20">
        <f t="shared" si="9"/>
        <v>2525</v>
      </c>
      <c r="H86" s="20">
        <f t="shared" si="10"/>
        <v>2350</v>
      </c>
      <c r="I86" s="20">
        <f t="shared" si="11"/>
        <v>175</v>
      </c>
      <c r="J86" t="s">
        <v>69</v>
      </c>
    </row>
    <row r="87" spans="1:10" x14ac:dyDescent="0.25">
      <c r="A87" s="6">
        <v>45861</v>
      </c>
      <c r="B87" t="s">
        <v>26</v>
      </c>
      <c r="C87" s="10">
        <v>1</v>
      </c>
      <c r="D87" s="16">
        <v>2650</v>
      </c>
      <c r="E87" s="20">
        <v>2350</v>
      </c>
      <c r="F87" s="20">
        <f t="shared" si="8"/>
        <v>300</v>
      </c>
      <c r="G87" s="20">
        <f t="shared" si="9"/>
        <v>2650</v>
      </c>
      <c r="H87" s="20">
        <f t="shared" si="10"/>
        <v>2350</v>
      </c>
      <c r="I87" s="20">
        <f t="shared" si="11"/>
        <v>300</v>
      </c>
      <c r="J87" t="s">
        <v>69</v>
      </c>
    </row>
    <row r="88" spans="1:10" x14ac:dyDescent="0.25">
      <c r="A88" s="6">
        <v>45861</v>
      </c>
      <c r="B88" t="s">
        <v>15</v>
      </c>
      <c r="C88" s="10">
        <v>2</v>
      </c>
      <c r="D88" s="16">
        <v>2170</v>
      </c>
      <c r="E88" s="20">
        <v>2070</v>
      </c>
      <c r="F88" s="20">
        <f t="shared" si="8"/>
        <v>100</v>
      </c>
      <c r="G88" s="20">
        <f t="shared" si="9"/>
        <v>4340</v>
      </c>
      <c r="H88" s="20">
        <f t="shared" si="10"/>
        <v>4140</v>
      </c>
      <c r="I88" s="20">
        <f t="shared" si="11"/>
        <v>200</v>
      </c>
      <c r="J88" t="s">
        <v>69</v>
      </c>
    </row>
    <row r="89" spans="1:10" x14ac:dyDescent="0.25">
      <c r="A89" s="6">
        <v>45861</v>
      </c>
      <c r="B89" t="s">
        <v>15</v>
      </c>
      <c r="C89" s="10">
        <v>1</v>
      </c>
      <c r="D89" s="16">
        <v>2070</v>
      </c>
      <c r="E89" s="20">
        <v>2020</v>
      </c>
      <c r="F89" s="20">
        <f t="shared" si="8"/>
        <v>50</v>
      </c>
      <c r="G89" s="20">
        <f t="shared" si="9"/>
        <v>2070</v>
      </c>
      <c r="H89" s="20">
        <f t="shared" si="10"/>
        <v>2020</v>
      </c>
      <c r="I89" s="20">
        <f t="shared" si="11"/>
        <v>50</v>
      </c>
      <c r="J89" t="s">
        <v>69</v>
      </c>
    </row>
    <row r="90" spans="1:10" x14ac:dyDescent="0.25">
      <c r="A90" s="6">
        <v>45861</v>
      </c>
      <c r="B90" t="s">
        <v>15</v>
      </c>
      <c r="C90" s="10">
        <v>1</v>
      </c>
      <c r="D90" s="16">
        <v>2020</v>
      </c>
      <c r="E90" s="20">
        <v>2020</v>
      </c>
      <c r="F90" s="20">
        <f t="shared" si="8"/>
        <v>0</v>
      </c>
      <c r="G90" s="20">
        <f t="shared" si="9"/>
        <v>2020</v>
      </c>
      <c r="H90" s="20">
        <f t="shared" si="10"/>
        <v>2020</v>
      </c>
      <c r="I90" s="20">
        <f t="shared" si="11"/>
        <v>0</v>
      </c>
      <c r="J90" t="s">
        <v>69</v>
      </c>
    </row>
    <row r="91" spans="1:10" x14ac:dyDescent="0.25">
      <c r="A91" s="6">
        <v>45861</v>
      </c>
      <c r="B91" t="s">
        <v>22</v>
      </c>
      <c r="C91" s="10">
        <v>1</v>
      </c>
      <c r="D91" s="16">
        <v>2450</v>
      </c>
      <c r="E91" s="20">
        <v>2200</v>
      </c>
      <c r="F91" s="20">
        <f t="shared" si="8"/>
        <v>250</v>
      </c>
      <c r="G91" s="20">
        <f t="shared" si="9"/>
        <v>2450</v>
      </c>
      <c r="H91" s="20">
        <f t="shared" si="10"/>
        <v>2200</v>
      </c>
      <c r="I91" s="20">
        <f t="shared" si="11"/>
        <v>250</v>
      </c>
      <c r="J91" t="s">
        <v>69</v>
      </c>
    </row>
    <row r="92" spans="1:10" x14ac:dyDescent="0.25">
      <c r="A92" s="6">
        <v>45861</v>
      </c>
      <c r="B92" t="s">
        <v>22</v>
      </c>
      <c r="C92" s="10">
        <v>1</v>
      </c>
      <c r="D92" s="16">
        <v>2550</v>
      </c>
      <c r="E92" s="20">
        <v>2200</v>
      </c>
      <c r="F92" s="20">
        <f t="shared" si="8"/>
        <v>350</v>
      </c>
      <c r="G92" s="20">
        <f t="shared" si="9"/>
        <v>2550</v>
      </c>
      <c r="H92" s="20">
        <f t="shared" si="10"/>
        <v>2200</v>
      </c>
      <c r="I92" s="20">
        <f t="shared" si="11"/>
        <v>350</v>
      </c>
      <c r="J92" t="s">
        <v>69</v>
      </c>
    </row>
    <row r="93" spans="1:10" x14ac:dyDescent="0.25">
      <c r="A93" s="6">
        <v>45861</v>
      </c>
      <c r="B93" t="s">
        <v>49</v>
      </c>
      <c r="C93" s="10">
        <v>2</v>
      </c>
      <c r="D93" s="16">
        <v>1850</v>
      </c>
      <c r="E93" s="20">
        <v>1800</v>
      </c>
      <c r="F93" s="20">
        <f t="shared" si="8"/>
        <v>50</v>
      </c>
      <c r="G93" s="20">
        <f t="shared" si="9"/>
        <v>3700</v>
      </c>
      <c r="H93" s="20">
        <f t="shared" si="10"/>
        <v>3600</v>
      </c>
      <c r="I93" s="20">
        <f t="shared" si="11"/>
        <v>100</v>
      </c>
      <c r="J93" t="s">
        <v>69</v>
      </c>
    </row>
    <row r="94" spans="1:10" x14ac:dyDescent="0.25">
      <c r="A94" s="6">
        <v>45861</v>
      </c>
      <c r="B94" t="s">
        <v>50</v>
      </c>
      <c r="C94" s="10">
        <v>2</v>
      </c>
      <c r="D94" s="16">
        <v>1950</v>
      </c>
      <c r="E94" s="20">
        <v>1850</v>
      </c>
      <c r="F94" s="20">
        <f t="shared" si="8"/>
        <v>100</v>
      </c>
      <c r="G94" s="20">
        <f t="shared" si="9"/>
        <v>3900</v>
      </c>
      <c r="H94" s="20">
        <f t="shared" si="10"/>
        <v>3700</v>
      </c>
      <c r="I94" s="20">
        <f t="shared" si="11"/>
        <v>200</v>
      </c>
      <c r="J94" t="s">
        <v>69</v>
      </c>
    </row>
    <row r="95" spans="1:10" x14ac:dyDescent="0.25">
      <c r="A95" s="6">
        <v>45863</v>
      </c>
      <c r="B95" t="s">
        <v>50</v>
      </c>
      <c r="C95" s="10">
        <v>4</v>
      </c>
      <c r="D95" s="16">
        <v>1950</v>
      </c>
      <c r="E95" s="20">
        <v>1850</v>
      </c>
      <c r="F95" s="20">
        <f t="shared" si="8"/>
        <v>100</v>
      </c>
      <c r="G95" s="20">
        <f t="shared" si="9"/>
        <v>7800</v>
      </c>
      <c r="H95" s="20">
        <f t="shared" si="10"/>
        <v>7400</v>
      </c>
      <c r="I95" s="20">
        <f t="shared" si="11"/>
        <v>400</v>
      </c>
      <c r="J95" t="s">
        <v>69</v>
      </c>
    </row>
    <row r="96" spans="1:10" x14ac:dyDescent="0.25">
      <c r="A96" s="6">
        <v>45863</v>
      </c>
      <c r="B96" t="s">
        <v>14</v>
      </c>
      <c r="C96" s="10">
        <v>10</v>
      </c>
      <c r="D96" s="16">
        <v>2700</v>
      </c>
      <c r="E96" s="20">
        <v>2580</v>
      </c>
      <c r="F96" s="20">
        <f t="shared" si="8"/>
        <v>120</v>
      </c>
      <c r="G96" s="20">
        <f t="shared" si="9"/>
        <v>27000</v>
      </c>
      <c r="H96" s="20">
        <f t="shared" si="10"/>
        <v>25800</v>
      </c>
      <c r="I96" s="20">
        <f t="shared" si="11"/>
        <v>1200</v>
      </c>
      <c r="J96" t="s">
        <v>69</v>
      </c>
    </row>
    <row r="97" spans="1:10" x14ac:dyDescent="0.25">
      <c r="A97" s="6">
        <v>45863</v>
      </c>
      <c r="B97" t="s">
        <v>14</v>
      </c>
      <c r="C97" s="10">
        <v>7</v>
      </c>
      <c r="D97" s="16">
        <v>2445</v>
      </c>
      <c r="E97" s="20">
        <v>2400</v>
      </c>
      <c r="F97" s="20">
        <f t="shared" si="8"/>
        <v>45</v>
      </c>
      <c r="G97" s="20">
        <f t="shared" si="9"/>
        <v>17115</v>
      </c>
      <c r="H97" s="20">
        <f t="shared" si="10"/>
        <v>16800</v>
      </c>
      <c r="I97" s="20">
        <f t="shared" si="11"/>
        <v>315</v>
      </c>
      <c r="J97" t="s">
        <v>69</v>
      </c>
    </row>
    <row r="98" spans="1:10" x14ac:dyDescent="0.25">
      <c r="A98" s="6">
        <v>45863</v>
      </c>
      <c r="B98" t="s">
        <v>14</v>
      </c>
      <c r="C98" s="10">
        <v>6</v>
      </c>
      <c r="D98" s="16">
        <v>2560</v>
      </c>
      <c r="E98" s="20">
        <v>2500</v>
      </c>
      <c r="F98" s="20">
        <f t="shared" ref="F98:F129" si="12">D98-E98</f>
        <v>60</v>
      </c>
      <c r="G98" s="20">
        <f t="shared" ref="G98:G129" si="13">D98*C98</f>
        <v>15360</v>
      </c>
      <c r="H98" s="20">
        <f t="shared" ref="H98:H129" si="14">E98*C98</f>
        <v>15000</v>
      </c>
      <c r="I98" s="20">
        <f t="shared" ref="I98:I129" si="15">G98-H98</f>
        <v>360</v>
      </c>
      <c r="J98" t="s">
        <v>69</v>
      </c>
    </row>
    <row r="99" spans="1:10" x14ac:dyDescent="0.25">
      <c r="A99" s="6">
        <v>45863</v>
      </c>
      <c r="B99" t="s">
        <v>24</v>
      </c>
      <c r="C99" s="10">
        <v>1</v>
      </c>
      <c r="D99" s="16">
        <v>2950</v>
      </c>
      <c r="E99" s="20">
        <v>2700</v>
      </c>
      <c r="F99" s="20">
        <f t="shared" si="12"/>
        <v>250</v>
      </c>
      <c r="G99" s="20">
        <f t="shared" si="13"/>
        <v>2950</v>
      </c>
      <c r="H99" s="20">
        <f t="shared" si="14"/>
        <v>2700</v>
      </c>
      <c r="I99" s="20">
        <f t="shared" si="15"/>
        <v>250</v>
      </c>
      <c r="J99" t="s">
        <v>69</v>
      </c>
    </row>
    <row r="100" spans="1:10" x14ac:dyDescent="0.25">
      <c r="A100" s="6">
        <v>45863</v>
      </c>
      <c r="B100" t="s">
        <v>24</v>
      </c>
      <c r="C100" s="10">
        <v>1</v>
      </c>
      <c r="D100" s="16">
        <v>2730</v>
      </c>
      <c r="E100" s="20">
        <v>2600</v>
      </c>
      <c r="F100" s="20">
        <f t="shared" si="12"/>
        <v>130</v>
      </c>
      <c r="G100" s="20">
        <f t="shared" si="13"/>
        <v>2730</v>
      </c>
      <c r="H100" s="20">
        <f t="shared" si="14"/>
        <v>2600</v>
      </c>
      <c r="I100" s="20">
        <f t="shared" si="15"/>
        <v>130</v>
      </c>
      <c r="J100" t="s">
        <v>69</v>
      </c>
    </row>
    <row r="101" spans="1:10" x14ac:dyDescent="0.25">
      <c r="A101" s="6">
        <v>45863</v>
      </c>
      <c r="B101" t="s">
        <v>23</v>
      </c>
      <c r="C101" s="10">
        <v>3</v>
      </c>
      <c r="D101" s="16">
        <v>3100</v>
      </c>
      <c r="E101" s="21">
        <v>2750</v>
      </c>
      <c r="F101" s="20">
        <f t="shared" si="12"/>
        <v>350</v>
      </c>
      <c r="G101" s="20">
        <f t="shared" si="13"/>
        <v>9300</v>
      </c>
      <c r="H101" s="20">
        <f t="shared" si="14"/>
        <v>8250</v>
      </c>
      <c r="I101" s="20">
        <f t="shared" si="15"/>
        <v>1050</v>
      </c>
      <c r="J101" t="s">
        <v>69</v>
      </c>
    </row>
    <row r="102" spans="1:10" x14ac:dyDescent="0.25">
      <c r="A102" s="6">
        <v>45863</v>
      </c>
      <c r="B102" t="s">
        <v>23</v>
      </c>
      <c r="C102" s="10">
        <v>1</v>
      </c>
      <c r="D102" s="16">
        <v>2950</v>
      </c>
      <c r="E102" s="20">
        <v>2700</v>
      </c>
      <c r="F102" s="20">
        <f t="shared" si="12"/>
        <v>250</v>
      </c>
      <c r="G102" s="20">
        <f t="shared" si="13"/>
        <v>2950</v>
      </c>
      <c r="H102" s="20">
        <f t="shared" si="14"/>
        <v>2700</v>
      </c>
      <c r="I102" s="20">
        <f t="shared" si="15"/>
        <v>250</v>
      </c>
      <c r="J102" t="s">
        <v>69</v>
      </c>
    </row>
    <row r="103" spans="1:10" x14ac:dyDescent="0.25">
      <c r="A103" s="6">
        <v>45863</v>
      </c>
      <c r="B103" t="s">
        <v>26</v>
      </c>
      <c r="C103" s="10">
        <v>2</v>
      </c>
      <c r="D103" s="16">
        <v>2550</v>
      </c>
      <c r="E103" s="20">
        <v>2200</v>
      </c>
      <c r="F103" s="20">
        <f t="shared" si="12"/>
        <v>350</v>
      </c>
      <c r="G103" s="20">
        <f t="shared" si="13"/>
        <v>5100</v>
      </c>
      <c r="H103" s="20">
        <f t="shared" si="14"/>
        <v>4400</v>
      </c>
      <c r="I103" s="20">
        <f t="shared" si="15"/>
        <v>700</v>
      </c>
      <c r="J103" t="s">
        <v>69</v>
      </c>
    </row>
    <row r="104" spans="1:10" x14ac:dyDescent="0.25">
      <c r="A104" s="6">
        <v>45863</v>
      </c>
      <c r="B104" t="s">
        <v>25</v>
      </c>
      <c r="C104" s="10">
        <v>1</v>
      </c>
      <c r="D104" s="16">
        <v>2350</v>
      </c>
      <c r="E104" s="20">
        <v>2050</v>
      </c>
      <c r="F104" s="20">
        <f t="shared" si="12"/>
        <v>300</v>
      </c>
      <c r="G104" s="20">
        <f t="shared" si="13"/>
        <v>2350</v>
      </c>
      <c r="H104" s="20">
        <f t="shared" si="14"/>
        <v>2050</v>
      </c>
      <c r="I104" s="20">
        <f t="shared" si="15"/>
        <v>300</v>
      </c>
      <c r="J104" t="s">
        <v>69</v>
      </c>
    </row>
    <row r="105" spans="1:10" x14ac:dyDescent="0.25">
      <c r="A105" s="6">
        <v>45863</v>
      </c>
      <c r="B105" t="s">
        <v>15</v>
      </c>
      <c r="C105" s="10">
        <v>2</v>
      </c>
      <c r="D105" s="16">
        <v>2170</v>
      </c>
      <c r="E105" s="20">
        <v>2070</v>
      </c>
      <c r="F105" s="20">
        <f t="shared" si="12"/>
        <v>100</v>
      </c>
      <c r="G105" s="20">
        <f t="shared" si="13"/>
        <v>4340</v>
      </c>
      <c r="H105" s="20">
        <f t="shared" si="14"/>
        <v>4140</v>
      </c>
      <c r="I105" s="20">
        <f t="shared" si="15"/>
        <v>200</v>
      </c>
      <c r="J105" t="s">
        <v>69</v>
      </c>
    </row>
    <row r="106" spans="1:10" x14ac:dyDescent="0.25">
      <c r="A106" s="6">
        <v>45863</v>
      </c>
      <c r="B106" t="s">
        <v>15</v>
      </c>
      <c r="C106" s="10">
        <v>1</v>
      </c>
      <c r="D106" s="16">
        <v>2020</v>
      </c>
      <c r="E106" s="20">
        <v>2020</v>
      </c>
      <c r="F106" s="20">
        <f t="shared" si="12"/>
        <v>0</v>
      </c>
      <c r="G106" s="20">
        <f t="shared" si="13"/>
        <v>2020</v>
      </c>
      <c r="H106" s="20">
        <f t="shared" si="14"/>
        <v>2020</v>
      </c>
      <c r="I106" s="20">
        <f t="shared" si="15"/>
        <v>0</v>
      </c>
      <c r="J106" t="s">
        <v>69</v>
      </c>
    </row>
    <row r="107" spans="1:10" x14ac:dyDescent="0.25">
      <c r="A107" s="6">
        <v>45863</v>
      </c>
      <c r="B107" t="s">
        <v>20</v>
      </c>
      <c r="C107" s="10">
        <v>1</v>
      </c>
      <c r="D107" s="16">
        <v>1550</v>
      </c>
      <c r="E107" s="20">
        <v>1400</v>
      </c>
      <c r="F107" s="20">
        <f t="shared" si="12"/>
        <v>150</v>
      </c>
      <c r="G107" s="20">
        <f t="shared" si="13"/>
        <v>1550</v>
      </c>
      <c r="H107" s="20">
        <f t="shared" si="14"/>
        <v>1400</v>
      </c>
      <c r="I107" s="20">
        <f t="shared" si="15"/>
        <v>150</v>
      </c>
      <c r="J107" t="s">
        <v>69</v>
      </c>
    </row>
    <row r="108" spans="1:10" x14ac:dyDescent="0.25">
      <c r="A108" s="6">
        <v>45863</v>
      </c>
      <c r="B108" t="s">
        <v>52</v>
      </c>
      <c r="C108" s="10">
        <v>3</v>
      </c>
      <c r="D108" s="16">
        <v>1400</v>
      </c>
      <c r="E108" s="20">
        <v>1230</v>
      </c>
      <c r="F108" s="20">
        <f t="shared" si="12"/>
        <v>170</v>
      </c>
      <c r="G108" s="20">
        <f t="shared" si="13"/>
        <v>4200</v>
      </c>
      <c r="H108" s="20">
        <f t="shared" si="14"/>
        <v>3690</v>
      </c>
      <c r="I108" s="20">
        <f t="shared" si="15"/>
        <v>510</v>
      </c>
      <c r="J108" t="s">
        <v>69</v>
      </c>
    </row>
    <row r="109" spans="1:10" x14ac:dyDescent="0.25">
      <c r="A109" s="6">
        <v>45863</v>
      </c>
      <c r="B109" t="s">
        <v>52</v>
      </c>
      <c r="C109" s="10">
        <v>1</v>
      </c>
      <c r="D109" s="16">
        <v>1400</v>
      </c>
      <c r="E109" s="20">
        <v>1230</v>
      </c>
      <c r="F109" s="20">
        <f t="shared" si="12"/>
        <v>170</v>
      </c>
      <c r="G109" s="20">
        <f t="shared" si="13"/>
        <v>1400</v>
      </c>
      <c r="H109" s="20">
        <f t="shared" si="14"/>
        <v>1230</v>
      </c>
      <c r="I109" s="20">
        <f t="shared" si="15"/>
        <v>170</v>
      </c>
      <c r="J109" t="s">
        <v>69</v>
      </c>
    </row>
    <row r="110" spans="1:10" x14ac:dyDescent="0.25">
      <c r="A110" s="6">
        <v>45863</v>
      </c>
      <c r="B110" t="s">
        <v>52</v>
      </c>
      <c r="C110" s="10">
        <v>1</v>
      </c>
      <c r="D110" s="16">
        <v>1300</v>
      </c>
      <c r="E110" s="20">
        <v>1200</v>
      </c>
      <c r="F110" s="20">
        <f t="shared" si="12"/>
        <v>100</v>
      </c>
      <c r="G110" s="20">
        <f t="shared" si="13"/>
        <v>1300</v>
      </c>
      <c r="H110" s="20">
        <f t="shared" si="14"/>
        <v>1200</v>
      </c>
      <c r="I110" s="20">
        <f t="shared" si="15"/>
        <v>100</v>
      </c>
      <c r="J110" t="s">
        <v>69</v>
      </c>
    </row>
    <row r="111" spans="1:10" x14ac:dyDescent="0.25">
      <c r="A111" s="6">
        <v>45863</v>
      </c>
      <c r="B111" t="s">
        <v>53</v>
      </c>
      <c r="C111" s="10">
        <v>1</v>
      </c>
      <c r="D111" s="16">
        <v>5100</v>
      </c>
      <c r="E111" s="20">
        <v>3550</v>
      </c>
      <c r="F111" s="20">
        <f t="shared" si="12"/>
        <v>1550</v>
      </c>
      <c r="G111" s="20">
        <f t="shared" si="13"/>
        <v>5100</v>
      </c>
      <c r="H111" s="20">
        <f t="shared" si="14"/>
        <v>3550</v>
      </c>
      <c r="I111" s="20">
        <f t="shared" si="15"/>
        <v>1550</v>
      </c>
      <c r="J111" t="s">
        <v>69</v>
      </c>
    </row>
    <row r="112" spans="1:10" x14ac:dyDescent="0.25">
      <c r="A112" s="6">
        <v>45863</v>
      </c>
      <c r="B112" t="s">
        <v>19</v>
      </c>
      <c r="C112" s="10">
        <v>2</v>
      </c>
      <c r="D112" s="16">
        <v>3930</v>
      </c>
      <c r="E112" s="20">
        <v>3600</v>
      </c>
      <c r="F112" s="20">
        <f t="shared" si="12"/>
        <v>330</v>
      </c>
      <c r="G112" s="20">
        <f t="shared" si="13"/>
        <v>7860</v>
      </c>
      <c r="H112" s="20">
        <f t="shared" si="14"/>
        <v>7200</v>
      </c>
      <c r="I112" s="20">
        <f t="shared" si="15"/>
        <v>660</v>
      </c>
      <c r="J112" t="s">
        <v>69</v>
      </c>
    </row>
    <row r="113" spans="1:10" x14ac:dyDescent="0.25">
      <c r="A113" s="6">
        <v>45863</v>
      </c>
      <c r="B113" t="s">
        <v>19</v>
      </c>
      <c r="C113" s="10">
        <v>2</v>
      </c>
      <c r="D113" s="16">
        <v>3700</v>
      </c>
      <c r="E113" s="20">
        <v>3600</v>
      </c>
      <c r="F113" s="20">
        <f t="shared" si="12"/>
        <v>100</v>
      </c>
      <c r="G113" s="20">
        <f t="shared" si="13"/>
        <v>7400</v>
      </c>
      <c r="H113" s="20">
        <f t="shared" si="14"/>
        <v>7200</v>
      </c>
      <c r="I113" s="20">
        <f t="shared" si="15"/>
        <v>200</v>
      </c>
      <c r="J113" t="s">
        <v>69</v>
      </c>
    </row>
    <row r="114" spans="1:10" x14ac:dyDescent="0.25">
      <c r="A114" s="27">
        <v>45863</v>
      </c>
      <c r="B114" s="23" t="s">
        <v>17</v>
      </c>
      <c r="C114" s="24">
        <v>1</v>
      </c>
      <c r="D114" s="25">
        <v>2000</v>
      </c>
      <c r="E114" s="26">
        <v>2390</v>
      </c>
      <c r="F114" s="26">
        <f t="shared" si="12"/>
        <v>-390</v>
      </c>
      <c r="G114" s="26">
        <f t="shared" si="13"/>
        <v>2000</v>
      </c>
      <c r="H114" s="26">
        <f t="shared" si="14"/>
        <v>2390</v>
      </c>
      <c r="I114" s="26">
        <f t="shared" si="15"/>
        <v>-390</v>
      </c>
      <c r="J114" t="s">
        <v>69</v>
      </c>
    </row>
    <row r="115" spans="1:10" x14ac:dyDescent="0.25">
      <c r="A115" s="6">
        <v>45864</v>
      </c>
      <c r="B115" t="s">
        <v>17</v>
      </c>
      <c r="C115" s="10">
        <v>1</v>
      </c>
      <c r="D115" s="16">
        <v>2410</v>
      </c>
      <c r="E115" s="20">
        <v>2410</v>
      </c>
      <c r="F115" s="20">
        <f t="shared" si="12"/>
        <v>0</v>
      </c>
      <c r="G115" s="20">
        <f t="shared" si="13"/>
        <v>2410</v>
      </c>
      <c r="H115" s="20">
        <f t="shared" si="14"/>
        <v>2410</v>
      </c>
      <c r="I115" s="20">
        <f t="shared" si="15"/>
        <v>0</v>
      </c>
      <c r="J115" t="s">
        <v>69</v>
      </c>
    </row>
    <row r="116" spans="1:10" x14ac:dyDescent="0.25">
      <c r="A116" s="6">
        <v>45866</v>
      </c>
      <c r="B116" t="s">
        <v>14</v>
      </c>
      <c r="C116" s="10">
        <v>1</v>
      </c>
      <c r="D116" s="16">
        <v>2650</v>
      </c>
      <c r="E116" s="20">
        <v>2500</v>
      </c>
      <c r="F116" s="20">
        <f t="shared" si="12"/>
        <v>150</v>
      </c>
      <c r="G116" s="20">
        <f t="shared" si="13"/>
        <v>2650</v>
      </c>
      <c r="H116" s="20">
        <f t="shared" si="14"/>
        <v>2500</v>
      </c>
      <c r="I116" s="20">
        <f t="shared" si="15"/>
        <v>150</v>
      </c>
      <c r="J116" t="s">
        <v>69</v>
      </c>
    </row>
    <row r="117" spans="1:10" x14ac:dyDescent="0.25">
      <c r="A117" s="6">
        <v>45866</v>
      </c>
      <c r="B117" t="s">
        <v>17</v>
      </c>
      <c r="C117" s="10">
        <v>4</v>
      </c>
      <c r="D117" s="16">
        <v>2400</v>
      </c>
      <c r="E117" s="20">
        <v>2390</v>
      </c>
      <c r="F117" s="20">
        <f t="shared" si="12"/>
        <v>10</v>
      </c>
      <c r="G117" s="20">
        <f t="shared" si="13"/>
        <v>9600</v>
      </c>
      <c r="H117" s="20">
        <f t="shared" si="14"/>
        <v>9560</v>
      </c>
      <c r="I117" s="20">
        <f t="shared" si="15"/>
        <v>40</v>
      </c>
      <c r="J117" t="s">
        <v>69</v>
      </c>
    </row>
    <row r="118" spans="1:10" x14ac:dyDescent="0.25">
      <c r="A118" s="6">
        <v>45866</v>
      </c>
      <c r="B118" t="s">
        <v>18</v>
      </c>
      <c r="C118" s="10">
        <v>4</v>
      </c>
      <c r="D118" s="16">
        <v>3770.22</v>
      </c>
      <c r="E118" s="20">
        <v>3550</v>
      </c>
      <c r="F118" s="20">
        <f t="shared" si="12"/>
        <v>220.2199999999998</v>
      </c>
      <c r="G118" s="20">
        <f t="shared" si="13"/>
        <v>15080.88</v>
      </c>
      <c r="H118" s="20">
        <f t="shared" si="14"/>
        <v>14200</v>
      </c>
      <c r="I118" s="20">
        <f t="shared" si="15"/>
        <v>880.8799999999992</v>
      </c>
      <c r="J118" t="s">
        <v>69</v>
      </c>
    </row>
    <row r="119" spans="1:10" x14ac:dyDescent="0.25">
      <c r="A119" s="6">
        <v>45866</v>
      </c>
      <c r="B119" s="40" t="s">
        <v>25</v>
      </c>
      <c r="C119" s="10">
        <v>3</v>
      </c>
      <c r="D119" s="16">
        <v>2318.9899999999998</v>
      </c>
      <c r="E119" s="20">
        <v>2150</v>
      </c>
      <c r="F119" s="20">
        <f t="shared" si="12"/>
        <v>168.98999999999978</v>
      </c>
      <c r="G119" s="20">
        <f t="shared" si="13"/>
        <v>6956.9699999999993</v>
      </c>
      <c r="H119" s="20">
        <f t="shared" si="14"/>
        <v>6450</v>
      </c>
      <c r="I119" s="20">
        <f t="shared" si="15"/>
        <v>506.96999999999935</v>
      </c>
      <c r="J119" t="s">
        <v>69</v>
      </c>
    </row>
    <row r="120" spans="1:10" x14ac:dyDescent="0.25">
      <c r="A120" s="6">
        <v>45866</v>
      </c>
      <c r="B120" s="38" t="s">
        <v>15</v>
      </c>
      <c r="C120" s="8">
        <v>2</v>
      </c>
      <c r="D120" s="17">
        <v>2080.1799999999998</v>
      </c>
      <c r="E120" s="20">
        <v>2070</v>
      </c>
      <c r="F120" s="20">
        <f t="shared" si="12"/>
        <v>10.179999999999836</v>
      </c>
      <c r="G120" s="20">
        <f t="shared" si="13"/>
        <v>4160.3599999999997</v>
      </c>
      <c r="H120" s="20">
        <f t="shared" si="14"/>
        <v>4140</v>
      </c>
      <c r="I120" s="20">
        <f t="shared" si="15"/>
        <v>20.359999999999673</v>
      </c>
      <c r="J120" t="s">
        <v>69</v>
      </c>
    </row>
    <row r="121" spans="1:10" x14ac:dyDescent="0.25">
      <c r="A121" s="6">
        <v>45866</v>
      </c>
      <c r="B121" s="38" t="s">
        <v>22</v>
      </c>
      <c r="C121" s="8">
        <v>1</v>
      </c>
      <c r="D121" s="17">
        <v>2465.9499999999998</v>
      </c>
      <c r="E121" s="20">
        <v>2200</v>
      </c>
      <c r="F121" s="20">
        <f t="shared" si="12"/>
        <v>265.94999999999982</v>
      </c>
      <c r="G121" s="20">
        <f t="shared" si="13"/>
        <v>2465.9499999999998</v>
      </c>
      <c r="H121" s="20">
        <f t="shared" si="14"/>
        <v>2200</v>
      </c>
      <c r="I121" s="20">
        <f t="shared" si="15"/>
        <v>265.94999999999982</v>
      </c>
      <c r="J121" t="s">
        <v>69</v>
      </c>
    </row>
    <row r="122" spans="1:10" x14ac:dyDescent="0.25">
      <c r="A122" s="6">
        <v>45866</v>
      </c>
      <c r="B122" s="38" t="s">
        <v>17</v>
      </c>
      <c r="C122" s="8">
        <v>3</v>
      </c>
      <c r="D122" s="17">
        <v>2410.84</v>
      </c>
      <c r="E122" s="20">
        <v>2410</v>
      </c>
      <c r="F122" s="20">
        <f t="shared" si="12"/>
        <v>0.84000000000014552</v>
      </c>
      <c r="G122" s="20">
        <f t="shared" si="13"/>
        <v>7232.52</v>
      </c>
      <c r="H122" s="20">
        <f t="shared" si="14"/>
        <v>7230</v>
      </c>
      <c r="I122" s="20">
        <f t="shared" si="15"/>
        <v>2.5200000000004366</v>
      </c>
      <c r="J122" t="s">
        <v>69</v>
      </c>
    </row>
    <row r="123" spans="1:10" x14ac:dyDescent="0.25">
      <c r="A123" s="27">
        <v>45866</v>
      </c>
      <c r="B123" s="42" t="s">
        <v>55</v>
      </c>
      <c r="C123" s="43">
        <v>3</v>
      </c>
      <c r="D123" s="44">
        <v>592.21</v>
      </c>
      <c r="E123" s="26">
        <v>600</v>
      </c>
      <c r="F123" s="26">
        <f t="shared" si="12"/>
        <v>-7.7899999999999636</v>
      </c>
      <c r="G123" s="26">
        <f t="shared" si="13"/>
        <v>1776.63</v>
      </c>
      <c r="H123" s="26">
        <f t="shared" si="14"/>
        <v>1800</v>
      </c>
      <c r="I123" s="26">
        <f t="shared" si="15"/>
        <v>-23.369999999999891</v>
      </c>
      <c r="J123" t="s">
        <v>69</v>
      </c>
    </row>
    <row r="124" spans="1:10" x14ac:dyDescent="0.25">
      <c r="A124" s="6">
        <v>45866</v>
      </c>
      <c r="B124" s="40" t="s">
        <v>26</v>
      </c>
      <c r="C124" s="10">
        <v>1</v>
      </c>
      <c r="D124" s="16">
        <v>2521.06</v>
      </c>
      <c r="E124" s="20">
        <v>2200</v>
      </c>
      <c r="F124" s="20">
        <f t="shared" si="12"/>
        <v>321.05999999999995</v>
      </c>
      <c r="G124" s="20">
        <f t="shared" si="13"/>
        <v>2521.06</v>
      </c>
      <c r="H124" s="20">
        <f t="shared" si="14"/>
        <v>2200</v>
      </c>
      <c r="I124" s="20">
        <f t="shared" si="15"/>
        <v>321.05999999999995</v>
      </c>
      <c r="J124" t="s">
        <v>69</v>
      </c>
    </row>
    <row r="125" spans="1:10" x14ac:dyDescent="0.25">
      <c r="A125" s="6">
        <v>45866</v>
      </c>
      <c r="B125" t="s">
        <v>14</v>
      </c>
      <c r="C125" s="10">
        <v>6</v>
      </c>
      <c r="D125" s="16">
        <v>2557.8000000000002</v>
      </c>
      <c r="E125" s="20">
        <v>2500</v>
      </c>
      <c r="F125" s="20">
        <f t="shared" si="12"/>
        <v>57.800000000000182</v>
      </c>
      <c r="G125" s="20">
        <f t="shared" si="13"/>
        <v>15346.800000000001</v>
      </c>
      <c r="H125" s="20">
        <f t="shared" si="14"/>
        <v>15000</v>
      </c>
      <c r="I125" s="20">
        <f t="shared" si="15"/>
        <v>346.80000000000109</v>
      </c>
      <c r="J125" t="s">
        <v>69</v>
      </c>
    </row>
    <row r="126" spans="1:10" x14ac:dyDescent="0.25">
      <c r="A126" s="6">
        <v>45866</v>
      </c>
      <c r="B126" t="s">
        <v>14</v>
      </c>
      <c r="C126" s="10">
        <v>5</v>
      </c>
      <c r="D126" s="16">
        <v>2410.84</v>
      </c>
      <c r="E126" s="20">
        <v>2400</v>
      </c>
      <c r="F126" s="20">
        <f t="shared" si="12"/>
        <v>10.840000000000146</v>
      </c>
      <c r="G126" s="20">
        <f t="shared" si="13"/>
        <v>12054.2</v>
      </c>
      <c r="H126" s="20">
        <f t="shared" si="14"/>
        <v>12000</v>
      </c>
      <c r="I126" s="20">
        <f t="shared" si="15"/>
        <v>54.200000000000728</v>
      </c>
      <c r="J126" t="s">
        <v>69</v>
      </c>
    </row>
    <row r="127" spans="1:10" x14ac:dyDescent="0.25">
      <c r="A127" s="6">
        <v>45866</v>
      </c>
      <c r="B127" t="s">
        <v>14</v>
      </c>
      <c r="C127" s="10">
        <v>1</v>
      </c>
      <c r="D127" s="16">
        <v>2484.3200000000002</v>
      </c>
      <c r="E127" s="20">
        <v>2400</v>
      </c>
      <c r="F127" s="20">
        <f t="shared" si="12"/>
        <v>84.320000000000164</v>
      </c>
      <c r="G127" s="20">
        <f t="shared" si="13"/>
        <v>2484.3200000000002</v>
      </c>
      <c r="H127" s="20">
        <f t="shared" si="14"/>
        <v>2400</v>
      </c>
      <c r="I127" s="20">
        <f t="shared" si="15"/>
        <v>84.320000000000164</v>
      </c>
      <c r="J127" t="s">
        <v>69</v>
      </c>
    </row>
    <row r="128" spans="1:10" x14ac:dyDescent="0.25">
      <c r="A128" s="6">
        <v>45866</v>
      </c>
      <c r="B128" t="s">
        <v>23</v>
      </c>
      <c r="C128" s="10">
        <v>1</v>
      </c>
      <c r="D128" s="16">
        <v>3108.9</v>
      </c>
      <c r="E128" s="20">
        <v>2750</v>
      </c>
      <c r="F128" s="20">
        <f t="shared" si="12"/>
        <v>358.90000000000009</v>
      </c>
      <c r="G128" s="20">
        <f t="shared" si="13"/>
        <v>3108.9</v>
      </c>
      <c r="H128" s="20">
        <f t="shared" si="14"/>
        <v>2750</v>
      </c>
      <c r="I128" s="20">
        <f t="shared" si="15"/>
        <v>358.90000000000009</v>
      </c>
      <c r="J128" t="s">
        <v>69</v>
      </c>
    </row>
    <row r="129" spans="1:10" x14ac:dyDescent="0.25">
      <c r="A129" s="6">
        <v>45866</v>
      </c>
      <c r="B129" t="s">
        <v>49</v>
      </c>
      <c r="C129" s="10">
        <v>1</v>
      </c>
      <c r="D129" s="16">
        <v>1800</v>
      </c>
      <c r="E129" s="20">
        <v>1800</v>
      </c>
      <c r="F129" s="20">
        <f t="shared" si="12"/>
        <v>0</v>
      </c>
      <c r="G129" s="20">
        <f t="shared" si="13"/>
        <v>1800</v>
      </c>
      <c r="H129" s="20">
        <f t="shared" si="14"/>
        <v>1800</v>
      </c>
      <c r="I129" s="20">
        <f t="shared" si="15"/>
        <v>0</v>
      </c>
      <c r="J129" t="s">
        <v>69</v>
      </c>
    </row>
    <row r="130" spans="1:10" x14ac:dyDescent="0.25">
      <c r="A130" s="6">
        <v>45866</v>
      </c>
      <c r="B130" t="s">
        <v>49</v>
      </c>
      <c r="C130" s="10">
        <v>1</v>
      </c>
      <c r="D130" s="16">
        <v>1800</v>
      </c>
      <c r="E130" s="20">
        <v>1800</v>
      </c>
      <c r="F130" s="20">
        <f t="shared" ref="F130:F161" si="16">D130-E130</f>
        <v>0</v>
      </c>
      <c r="G130" s="20">
        <f t="shared" ref="G130:G161" si="17">D130*C130</f>
        <v>1800</v>
      </c>
      <c r="H130" s="20">
        <f t="shared" ref="H130:H161" si="18">E130*C130</f>
        <v>1800</v>
      </c>
      <c r="I130" s="20">
        <f t="shared" ref="I130:I161" si="19">G130-H130</f>
        <v>0</v>
      </c>
      <c r="J130" t="s">
        <v>69</v>
      </c>
    </row>
    <row r="131" spans="1:10" x14ac:dyDescent="0.25">
      <c r="A131" s="6">
        <v>45866</v>
      </c>
      <c r="B131" s="39" t="s">
        <v>56</v>
      </c>
      <c r="C131" s="10">
        <v>15</v>
      </c>
      <c r="D131" s="20">
        <v>1710</v>
      </c>
      <c r="E131" s="20">
        <v>1534.25</v>
      </c>
      <c r="F131" s="20">
        <f t="shared" si="16"/>
        <v>175.75</v>
      </c>
      <c r="G131" s="20">
        <f t="shared" si="17"/>
        <v>25650</v>
      </c>
      <c r="H131" s="20">
        <f t="shared" si="18"/>
        <v>23013.75</v>
      </c>
      <c r="I131" s="20">
        <f t="shared" si="19"/>
        <v>2636.25</v>
      </c>
      <c r="J131" t="s">
        <v>69</v>
      </c>
    </row>
    <row r="132" spans="1:10" x14ac:dyDescent="0.25">
      <c r="A132" s="6">
        <v>45866</v>
      </c>
      <c r="B132" s="39" t="s">
        <v>32</v>
      </c>
      <c r="C132" s="10">
        <v>21</v>
      </c>
      <c r="D132" s="20">
        <v>2435</v>
      </c>
      <c r="E132" s="20">
        <v>2129.9</v>
      </c>
      <c r="F132" s="20">
        <f t="shared" si="16"/>
        <v>305.09999999999991</v>
      </c>
      <c r="G132" s="20">
        <f t="shared" si="17"/>
        <v>51135</v>
      </c>
      <c r="H132" s="20">
        <f t="shared" si="18"/>
        <v>44727.9</v>
      </c>
      <c r="I132" s="20">
        <f t="shared" si="19"/>
        <v>6407.0999999999985</v>
      </c>
      <c r="J132" t="s">
        <v>69</v>
      </c>
    </row>
    <row r="133" spans="1:10" x14ac:dyDescent="0.25">
      <c r="A133" s="6">
        <v>45866</v>
      </c>
      <c r="B133" s="39" t="s">
        <v>33</v>
      </c>
      <c r="C133" s="10">
        <v>3</v>
      </c>
      <c r="D133" s="20">
        <v>1690</v>
      </c>
      <c r="E133" s="20">
        <v>1407.8999999999999</v>
      </c>
      <c r="F133" s="20">
        <f t="shared" si="16"/>
        <v>282.10000000000014</v>
      </c>
      <c r="G133" s="20">
        <f t="shared" si="17"/>
        <v>5070</v>
      </c>
      <c r="H133" s="20">
        <f t="shared" si="18"/>
        <v>4223.7</v>
      </c>
      <c r="I133" s="20">
        <f t="shared" si="19"/>
        <v>846.30000000000018</v>
      </c>
      <c r="J133" t="s">
        <v>69</v>
      </c>
    </row>
    <row r="134" spans="1:10" x14ac:dyDescent="0.25">
      <c r="A134" s="6">
        <v>45866</v>
      </c>
      <c r="B134" s="39" t="s">
        <v>34</v>
      </c>
      <c r="C134" s="10">
        <v>6</v>
      </c>
      <c r="D134" s="20">
        <v>1430</v>
      </c>
      <c r="E134" s="20">
        <v>1227.3999999999999</v>
      </c>
      <c r="F134" s="20">
        <f t="shared" si="16"/>
        <v>202.60000000000014</v>
      </c>
      <c r="G134" s="20">
        <f t="shared" si="17"/>
        <v>8580</v>
      </c>
      <c r="H134" s="20">
        <f t="shared" si="18"/>
        <v>7364.4</v>
      </c>
      <c r="I134" s="20">
        <f t="shared" si="19"/>
        <v>1215.6000000000004</v>
      </c>
      <c r="J134" t="s">
        <v>69</v>
      </c>
    </row>
    <row r="135" spans="1:10" x14ac:dyDescent="0.25">
      <c r="A135" s="27">
        <v>45867</v>
      </c>
      <c r="B135" s="23" t="s">
        <v>27</v>
      </c>
      <c r="C135" s="24">
        <v>1</v>
      </c>
      <c r="D135" s="25">
        <v>1083.83</v>
      </c>
      <c r="E135" s="26">
        <v>1220</v>
      </c>
      <c r="F135" s="26">
        <f t="shared" si="16"/>
        <v>-136.17000000000007</v>
      </c>
      <c r="G135" s="26">
        <f t="shared" si="17"/>
        <v>1083.83</v>
      </c>
      <c r="H135" s="26">
        <f t="shared" si="18"/>
        <v>1220</v>
      </c>
      <c r="I135" s="26">
        <f t="shared" si="19"/>
        <v>-136.17000000000007</v>
      </c>
      <c r="J135" t="s">
        <v>69</v>
      </c>
    </row>
    <row r="136" spans="1:10" x14ac:dyDescent="0.25">
      <c r="A136" s="6">
        <v>45867</v>
      </c>
      <c r="B136" t="s">
        <v>28</v>
      </c>
      <c r="C136" s="10">
        <v>2</v>
      </c>
      <c r="D136" s="16">
        <v>1157.31</v>
      </c>
      <c r="E136" s="20">
        <v>1115</v>
      </c>
      <c r="F136" s="20">
        <f t="shared" si="16"/>
        <v>42.309999999999945</v>
      </c>
      <c r="G136" s="20">
        <f t="shared" si="17"/>
        <v>2314.62</v>
      </c>
      <c r="H136" s="20">
        <f t="shared" si="18"/>
        <v>2230</v>
      </c>
      <c r="I136" s="20">
        <f t="shared" si="19"/>
        <v>84.619999999999891</v>
      </c>
      <c r="J136" t="s">
        <v>69</v>
      </c>
    </row>
    <row r="137" spans="1:10" x14ac:dyDescent="0.25">
      <c r="A137" s="6">
        <v>45867</v>
      </c>
      <c r="B137" t="s">
        <v>17</v>
      </c>
      <c r="C137" s="10">
        <v>10</v>
      </c>
      <c r="D137" s="16">
        <v>2424.84</v>
      </c>
      <c r="E137" s="20">
        <v>2410</v>
      </c>
      <c r="F137" s="20">
        <f t="shared" si="16"/>
        <v>14.840000000000146</v>
      </c>
      <c r="G137" s="20">
        <f t="shared" si="17"/>
        <v>24248.400000000001</v>
      </c>
      <c r="H137" s="20">
        <f t="shared" si="18"/>
        <v>24100</v>
      </c>
      <c r="I137" s="20">
        <f t="shared" si="19"/>
        <v>148.40000000000146</v>
      </c>
      <c r="J137" t="s">
        <v>69</v>
      </c>
    </row>
    <row r="138" spans="1:10" x14ac:dyDescent="0.25">
      <c r="A138" s="6">
        <v>45867</v>
      </c>
      <c r="B138" t="s">
        <v>58</v>
      </c>
      <c r="C138" s="10">
        <v>1</v>
      </c>
      <c r="D138" s="16">
        <v>2388.1</v>
      </c>
      <c r="E138" s="20">
        <v>2200</v>
      </c>
      <c r="F138" s="20">
        <f t="shared" si="16"/>
        <v>188.09999999999991</v>
      </c>
      <c r="G138" s="20">
        <f t="shared" si="17"/>
        <v>2388.1</v>
      </c>
      <c r="H138" s="20">
        <f t="shared" si="18"/>
        <v>2200</v>
      </c>
      <c r="I138" s="20">
        <f t="shared" si="19"/>
        <v>188.09999999999991</v>
      </c>
      <c r="J138" t="s">
        <v>69</v>
      </c>
    </row>
    <row r="139" spans="1:10" x14ac:dyDescent="0.25">
      <c r="A139" s="6">
        <v>45867</v>
      </c>
      <c r="B139" t="s">
        <v>19</v>
      </c>
      <c r="C139" s="10">
        <v>5</v>
      </c>
      <c r="D139" s="16">
        <v>3857.7</v>
      </c>
      <c r="E139" s="20">
        <v>3600</v>
      </c>
      <c r="F139" s="20">
        <f t="shared" si="16"/>
        <v>257.69999999999982</v>
      </c>
      <c r="G139" s="20">
        <f t="shared" si="17"/>
        <v>19288.5</v>
      </c>
      <c r="H139" s="20">
        <f t="shared" si="18"/>
        <v>18000</v>
      </c>
      <c r="I139" s="20">
        <f t="shared" si="19"/>
        <v>1288.5</v>
      </c>
      <c r="J139" t="s">
        <v>69</v>
      </c>
    </row>
    <row r="140" spans="1:10" x14ac:dyDescent="0.25">
      <c r="A140" s="6">
        <v>45867</v>
      </c>
      <c r="B140" t="s">
        <v>46</v>
      </c>
      <c r="C140" s="10">
        <v>1</v>
      </c>
      <c r="D140" s="16">
        <v>5327.3</v>
      </c>
      <c r="E140" s="20">
        <v>3650</v>
      </c>
      <c r="F140" s="20">
        <f t="shared" si="16"/>
        <v>1677.3000000000002</v>
      </c>
      <c r="G140" s="20">
        <f t="shared" si="17"/>
        <v>5327.3</v>
      </c>
      <c r="H140" s="20">
        <f t="shared" si="18"/>
        <v>3650</v>
      </c>
      <c r="I140" s="20">
        <f t="shared" si="19"/>
        <v>1677.3000000000002</v>
      </c>
      <c r="J140" t="s">
        <v>69</v>
      </c>
    </row>
    <row r="141" spans="1:10" x14ac:dyDescent="0.25">
      <c r="A141" s="6">
        <v>45867</v>
      </c>
      <c r="B141" t="s">
        <v>14</v>
      </c>
      <c r="C141" s="10">
        <v>1</v>
      </c>
      <c r="D141" s="16">
        <v>2590.17</v>
      </c>
      <c r="E141" s="20">
        <v>2500</v>
      </c>
      <c r="F141" s="20">
        <f t="shared" si="16"/>
        <v>90.170000000000073</v>
      </c>
      <c r="G141" s="20">
        <f t="shared" si="17"/>
        <v>2590.17</v>
      </c>
      <c r="H141" s="20">
        <f t="shared" si="18"/>
        <v>2500</v>
      </c>
      <c r="I141" s="20">
        <f t="shared" si="19"/>
        <v>90.170000000000073</v>
      </c>
      <c r="J141" t="s">
        <v>69</v>
      </c>
    </row>
    <row r="142" spans="1:10" x14ac:dyDescent="0.25">
      <c r="A142" s="6">
        <v>45867</v>
      </c>
      <c r="B142" t="s">
        <v>14</v>
      </c>
      <c r="C142" s="10">
        <v>8</v>
      </c>
      <c r="D142" s="16">
        <v>2424.84</v>
      </c>
      <c r="E142" s="20">
        <v>2400</v>
      </c>
      <c r="F142" s="20">
        <f t="shared" si="16"/>
        <v>24.840000000000146</v>
      </c>
      <c r="G142" s="20">
        <f t="shared" si="17"/>
        <v>19398.72</v>
      </c>
      <c r="H142" s="20">
        <f t="shared" si="18"/>
        <v>19200</v>
      </c>
      <c r="I142" s="20">
        <f t="shared" si="19"/>
        <v>198.72000000000116</v>
      </c>
      <c r="J142" t="s">
        <v>69</v>
      </c>
    </row>
    <row r="143" spans="1:10" x14ac:dyDescent="0.25">
      <c r="A143" s="6">
        <v>45867</v>
      </c>
      <c r="B143" t="s">
        <v>24</v>
      </c>
      <c r="C143" s="10">
        <v>2</v>
      </c>
      <c r="D143" s="16">
        <v>2755.5</v>
      </c>
      <c r="E143" s="20">
        <v>2600</v>
      </c>
      <c r="F143" s="20">
        <f t="shared" si="16"/>
        <v>155.5</v>
      </c>
      <c r="G143" s="20">
        <f t="shared" si="17"/>
        <v>5511</v>
      </c>
      <c r="H143" s="20">
        <f t="shared" si="18"/>
        <v>5200</v>
      </c>
      <c r="I143" s="20">
        <f t="shared" si="19"/>
        <v>311</v>
      </c>
      <c r="J143" t="s">
        <v>69</v>
      </c>
    </row>
    <row r="144" spans="1:10" x14ac:dyDescent="0.25">
      <c r="A144" s="6">
        <v>45867</v>
      </c>
      <c r="B144" t="s">
        <v>14</v>
      </c>
      <c r="C144" s="10">
        <v>4</v>
      </c>
      <c r="D144" s="16">
        <v>2498.3200000000002</v>
      </c>
      <c r="E144" s="20">
        <v>2400</v>
      </c>
      <c r="F144" s="20">
        <f t="shared" si="16"/>
        <v>98.320000000000164</v>
      </c>
      <c r="G144" s="20">
        <f t="shared" si="17"/>
        <v>9993.2800000000007</v>
      </c>
      <c r="H144" s="20">
        <f t="shared" si="18"/>
        <v>9600</v>
      </c>
      <c r="I144" s="20">
        <f t="shared" si="19"/>
        <v>393.28000000000065</v>
      </c>
      <c r="J144" t="s">
        <v>69</v>
      </c>
    </row>
    <row r="145" spans="1:10" x14ac:dyDescent="0.25">
      <c r="A145" s="6">
        <v>45867</v>
      </c>
      <c r="B145" t="s">
        <v>14</v>
      </c>
      <c r="C145" s="10">
        <v>1</v>
      </c>
      <c r="D145" s="16">
        <v>2498.3200000000002</v>
      </c>
      <c r="E145" s="20">
        <v>2400</v>
      </c>
      <c r="F145" s="20">
        <f t="shared" si="16"/>
        <v>98.320000000000164</v>
      </c>
      <c r="G145" s="20">
        <f t="shared" si="17"/>
        <v>2498.3200000000002</v>
      </c>
      <c r="H145" s="20">
        <f t="shared" si="18"/>
        <v>2400</v>
      </c>
      <c r="I145" s="20">
        <f t="shared" si="19"/>
        <v>98.320000000000164</v>
      </c>
      <c r="J145" t="s">
        <v>69</v>
      </c>
    </row>
    <row r="146" spans="1:10" x14ac:dyDescent="0.25">
      <c r="A146" s="6">
        <v>45867</v>
      </c>
      <c r="B146" t="s">
        <v>25</v>
      </c>
      <c r="C146" s="10">
        <v>2</v>
      </c>
      <c r="D146" s="16">
        <v>2332.9899999999998</v>
      </c>
      <c r="E146" s="20">
        <v>2100</v>
      </c>
      <c r="F146" s="20">
        <f t="shared" si="16"/>
        <v>232.98999999999978</v>
      </c>
      <c r="G146" s="20">
        <f t="shared" si="17"/>
        <v>4665.9799999999996</v>
      </c>
      <c r="H146" s="20">
        <f t="shared" si="18"/>
        <v>4200</v>
      </c>
      <c r="I146" s="20">
        <f t="shared" si="19"/>
        <v>465.97999999999956</v>
      </c>
      <c r="J146" t="s">
        <v>69</v>
      </c>
    </row>
    <row r="147" spans="1:10" x14ac:dyDescent="0.25">
      <c r="A147" s="6">
        <v>45867</v>
      </c>
      <c r="B147" t="s">
        <v>15</v>
      </c>
      <c r="C147" s="10">
        <v>1</v>
      </c>
      <c r="D147" s="16">
        <v>2020.7</v>
      </c>
      <c r="E147" s="20">
        <v>1850</v>
      </c>
      <c r="F147" s="20">
        <f t="shared" si="16"/>
        <v>170.70000000000005</v>
      </c>
      <c r="G147" s="20">
        <f t="shared" si="17"/>
        <v>2020.7</v>
      </c>
      <c r="H147" s="20">
        <f t="shared" si="18"/>
        <v>1850</v>
      </c>
      <c r="I147" s="20">
        <f t="shared" si="19"/>
        <v>170.70000000000005</v>
      </c>
      <c r="J147" t="s">
        <v>69</v>
      </c>
    </row>
    <row r="148" spans="1:10" x14ac:dyDescent="0.25">
      <c r="A148" s="6">
        <v>45867</v>
      </c>
      <c r="B148" s="38" t="s">
        <v>26</v>
      </c>
      <c r="C148" s="10">
        <v>1</v>
      </c>
      <c r="D148" s="16">
        <v>2516.69</v>
      </c>
      <c r="E148" s="20">
        <v>2350</v>
      </c>
      <c r="F148" s="20">
        <f t="shared" si="16"/>
        <v>166.69000000000005</v>
      </c>
      <c r="G148" s="20">
        <f t="shared" si="17"/>
        <v>2516.69</v>
      </c>
      <c r="H148" s="20">
        <f t="shared" si="18"/>
        <v>2350</v>
      </c>
      <c r="I148" s="20">
        <f t="shared" si="19"/>
        <v>166.69000000000005</v>
      </c>
      <c r="J148" t="s">
        <v>69</v>
      </c>
    </row>
    <row r="149" spans="1:10" x14ac:dyDescent="0.25">
      <c r="A149" s="6">
        <v>45867</v>
      </c>
      <c r="B149" s="38" t="s">
        <v>25</v>
      </c>
      <c r="C149" s="10">
        <v>1</v>
      </c>
      <c r="D149" s="16">
        <v>2296.25</v>
      </c>
      <c r="E149" s="20">
        <v>2020</v>
      </c>
      <c r="F149" s="20">
        <f t="shared" si="16"/>
        <v>276.25</v>
      </c>
      <c r="G149" s="20">
        <f t="shared" si="17"/>
        <v>2296.25</v>
      </c>
      <c r="H149" s="20">
        <f t="shared" si="18"/>
        <v>2020</v>
      </c>
      <c r="I149" s="20">
        <f t="shared" si="19"/>
        <v>276.25</v>
      </c>
      <c r="J149" t="s">
        <v>69</v>
      </c>
    </row>
    <row r="150" spans="1:10" x14ac:dyDescent="0.25">
      <c r="A150" s="6">
        <v>45867</v>
      </c>
      <c r="B150" s="38" t="s">
        <v>19</v>
      </c>
      <c r="C150" s="10">
        <v>5</v>
      </c>
      <c r="D150" s="16">
        <v>3747.48</v>
      </c>
      <c r="E150" s="20">
        <v>3600</v>
      </c>
      <c r="F150" s="20">
        <f t="shared" si="16"/>
        <v>147.48000000000002</v>
      </c>
      <c r="G150" s="20">
        <f t="shared" si="17"/>
        <v>18737.400000000001</v>
      </c>
      <c r="H150" s="20">
        <f t="shared" si="18"/>
        <v>18000</v>
      </c>
      <c r="I150" s="20">
        <f t="shared" si="19"/>
        <v>737.40000000000146</v>
      </c>
      <c r="J150" t="s">
        <v>69</v>
      </c>
    </row>
    <row r="151" spans="1:10" x14ac:dyDescent="0.25">
      <c r="A151" s="6">
        <v>45868</v>
      </c>
      <c r="B151" s="14" t="s">
        <v>60</v>
      </c>
      <c r="C151" s="10">
        <v>11</v>
      </c>
      <c r="D151" s="16">
        <v>2450</v>
      </c>
      <c r="E151" s="20">
        <v>2400</v>
      </c>
      <c r="F151" s="20">
        <f t="shared" si="16"/>
        <v>50</v>
      </c>
      <c r="G151" s="20">
        <f t="shared" si="17"/>
        <v>26950</v>
      </c>
      <c r="H151" s="20">
        <f t="shared" si="18"/>
        <v>26400</v>
      </c>
      <c r="I151" s="20">
        <f t="shared" si="19"/>
        <v>550</v>
      </c>
      <c r="J151" t="s">
        <v>69</v>
      </c>
    </row>
    <row r="152" spans="1:10" x14ac:dyDescent="0.25">
      <c r="A152" s="27">
        <v>45868</v>
      </c>
      <c r="B152" s="41" t="s">
        <v>61</v>
      </c>
      <c r="C152" s="24">
        <v>2</v>
      </c>
      <c r="D152" s="25">
        <v>2400</v>
      </c>
      <c r="E152" s="26">
        <v>2410</v>
      </c>
      <c r="F152" s="26">
        <f t="shared" si="16"/>
        <v>-10</v>
      </c>
      <c r="G152" s="26">
        <f t="shared" si="17"/>
        <v>4800</v>
      </c>
      <c r="H152" s="26">
        <f t="shared" si="18"/>
        <v>4820</v>
      </c>
      <c r="I152" s="26">
        <f t="shared" si="19"/>
        <v>-20</v>
      </c>
      <c r="J152" t="s">
        <v>69</v>
      </c>
    </row>
    <row r="153" spans="1:10" x14ac:dyDescent="0.25">
      <c r="A153" s="6">
        <v>45868</v>
      </c>
      <c r="B153" s="37" t="s">
        <v>60</v>
      </c>
      <c r="C153" s="10">
        <v>7</v>
      </c>
      <c r="D153" s="16">
        <v>2710</v>
      </c>
      <c r="E153" s="20">
        <v>2580</v>
      </c>
      <c r="F153" s="20">
        <f t="shared" si="16"/>
        <v>130</v>
      </c>
      <c r="G153" s="20">
        <f t="shared" si="17"/>
        <v>18970</v>
      </c>
      <c r="H153" s="20">
        <f t="shared" si="18"/>
        <v>18060</v>
      </c>
      <c r="I153" s="20">
        <f t="shared" si="19"/>
        <v>910</v>
      </c>
      <c r="J153" t="s">
        <v>69</v>
      </c>
    </row>
    <row r="154" spans="1:10" x14ac:dyDescent="0.25">
      <c r="A154" s="6">
        <v>45868</v>
      </c>
      <c r="B154" s="37" t="s">
        <v>60</v>
      </c>
      <c r="C154" s="10">
        <v>3</v>
      </c>
      <c r="D154" s="16">
        <v>2550</v>
      </c>
      <c r="E154" s="20">
        <v>2500</v>
      </c>
      <c r="F154" s="20">
        <f t="shared" si="16"/>
        <v>50</v>
      </c>
      <c r="G154" s="20">
        <f t="shared" si="17"/>
        <v>7650</v>
      </c>
      <c r="H154" s="20">
        <f t="shared" si="18"/>
        <v>7500</v>
      </c>
      <c r="I154" s="20">
        <f t="shared" si="19"/>
        <v>150</v>
      </c>
      <c r="J154" t="s">
        <v>69</v>
      </c>
    </row>
    <row r="155" spans="1:10" x14ac:dyDescent="0.25">
      <c r="A155" s="6">
        <v>45869</v>
      </c>
      <c r="B155" s="14" t="s">
        <v>60</v>
      </c>
      <c r="C155" s="8">
        <v>4</v>
      </c>
      <c r="D155" s="16">
        <v>2715</v>
      </c>
      <c r="E155" s="20">
        <v>2580</v>
      </c>
      <c r="F155" s="20">
        <f t="shared" si="16"/>
        <v>135</v>
      </c>
      <c r="G155" s="20">
        <f t="shared" si="17"/>
        <v>10860</v>
      </c>
      <c r="H155" s="20">
        <f t="shared" si="18"/>
        <v>10320</v>
      </c>
      <c r="I155" s="20">
        <f t="shared" si="19"/>
        <v>540</v>
      </c>
      <c r="J155" t="s">
        <v>69</v>
      </c>
    </row>
    <row r="156" spans="1:10" x14ac:dyDescent="0.25">
      <c r="A156" s="6">
        <v>45869</v>
      </c>
      <c r="B156" s="14" t="s">
        <v>60</v>
      </c>
      <c r="C156" s="10">
        <v>2</v>
      </c>
      <c r="D156" s="16">
        <v>2650</v>
      </c>
      <c r="E156" s="20">
        <v>2500</v>
      </c>
      <c r="F156" s="20">
        <f t="shared" si="16"/>
        <v>150</v>
      </c>
      <c r="G156" s="20">
        <f t="shared" si="17"/>
        <v>5300</v>
      </c>
      <c r="H156" s="20">
        <f t="shared" si="18"/>
        <v>5000</v>
      </c>
      <c r="I156" s="20">
        <f t="shared" si="19"/>
        <v>300</v>
      </c>
      <c r="J156" t="s">
        <v>69</v>
      </c>
    </row>
    <row r="157" spans="1:10" x14ac:dyDescent="0.25">
      <c r="A157" s="6">
        <v>45869</v>
      </c>
      <c r="B157" s="14" t="s">
        <v>60</v>
      </c>
      <c r="C157" s="10">
        <v>1</v>
      </c>
      <c r="D157" s="16">
        <v>2500</v>
      </c>
      <c r="E157" s="20">
        <v>2400</v>
      </c>
      <c r="F157" s="20">
        <f t="shared" si="16"/>
        <v>100</v>
      </c>
      <c r="G157" s="20">
        <f t="shared" si="17"/>
        <v>2500</v>
      </c>
      <c r="H157" s="20">
        <f t="shared" si="18"/>
        <v>2400</v>
      </c>
      <c r="I157" s="20">
        <f t="shared" si="19"/>
        <v>100</v>
      </c>
      <c r="J157" t="s">
        <v>69</v>
      </c>
    </row>
    <row r="158" spans="1:10" x14ac:dyDescent="0.25">
      <c r="A158" s="6">
        <v>45869</v>
      </c>
      <c r="B158" s="14" t="s">
        <v>60</v>
      </c>
      <c r="C158" s="10">
        <v>1</v>
      </c>
      <c r="D158" s="16">
        <v>2550</v>
      </c>
      <c r="E158" s="20">
        <v>2400</v>
      </c>
      <c r="F158" s="20">
        <f t="shared" si="16"/>
        <v>150</v>
      </c>
      <c r="G158" s="20">
        <f t="shared" si="17"/>
        <v>2550</v>
      </c>
      <c r="H158" s="20">
        <f t="shared" si="18"/>
        <v>2400</v>
      </c>
      <c r="I158" s="20">
        <f t="shared" si="19"/>
        <v>150</v>
      </c>
      <c r="J158" t="s">
        <v>69</v>
      </c>
    </row>
    <row r="159" spans="1:10" x14ac:dyDescent="0.25">
      <c r="A159" s="6">
        <v>45869</v>
      </c>
      <c r="B159" s="14" t="s">
        <v>62</v>
      </c>
      <c r="C159" s="8">
        <v>2</v>
      </c>
      <c r="D159" s="16">
        <v>2650</v>
      </c>
      <c r="E159" s="20">
        <v>2350</v>
      </c>
      <c r="F159" s="20">
        <f t="shared" si="16"/>
        <v>300</v>
      </c>
      <c r="G159" s="20">
        <f t="shared" si="17"/>
        <v>5300</v>
      </c>
      <c r="H159" s="20">
        <f t="shared" si="18"/>
        <v>4700</v>
      </c>
      <c r="I159" s="20">
        <f t="shared" si="19"/>
        <v>600</v>
      </c>
      <c r="J159" t="s">
        <v>69</v>
      </c>
    </row>
    <row r="160" spans="1:10" x14ac:dyDescent="0.25">
      <c r="A160" s="6">
        <v>45869</v>
      </c>
      <c r="B160" s="7" t="s">
        <v>63</v>
      </c>
      <c r="C160" s="10">
        <v>3</v>
      </c>
      <c r="D160" s="16">
        <v>2380</v>
      </c>
      <c r="E160" s="20">
        <v>2200</v>
      </c>
      <c r="F160" s="20">
        <f t="shared" si="16"/>
        <v>180</v>
      </c>
      <c r="G160" s="20">
        <f t="shared" si="17"/>
        <v>7140</v>
      </c>
      <c r="H160" s="20">
        <f t="shared" si="18"/>
        <v>6600</v>
      </c>
      <c r="I160" s="20">
        <f t="shared" si="19"/>
        <v>540</v>
      </c>
      <c r="J160" t="s">
        <v>69</v>
      </c>
    </row>
    <row r="161" spans="1:10" x14ac:dyDescent="0.25">
      <c r="A161" s="6">
        <v>45869</v>
      </c>
      <c r="B161" s="7" t="s">
        <v>64</v>
      </c>
      <c r="C161" s="10">
        <v>2</v>
      </c>
      <c r="D161" s="16">
        <v>2140</v>
      </c>
      <c r="E161" s="20">
        <v>1900</v>
      </c>
      <c r="F161" s="20">
        <f t="shared" si="16"/>
        <v>240</v>
      </c>
      <c r="G161" s="20">
        <f t="shared" si="17"/>
        <v>4280</v>
      </c>
      <c r="H161" s="20">
        <f t="shared" si="18"/>
        <v>3800</v>
      </c>
      <c r="I161" s="20">
        <f t="shared" si="19"/>
        <v>480</v>
      </c>
      <c r="J161" t="s">
        <v>69</v>
      </c>
    </row>
    <row r="162" spans="1:10" x14ac:dyDescent="0.25">
      <c r="A162" s="6">
        <v>45869</v>
      </c>
      <c r="B162" s="7" t="s">
        <v>63</v>
      </c>
      <c r="C162" s="10">
        <v>1</v>
      </c>
      <c r="D162" s="16">
        <v>2280</v>
      </c>
      <c r="E162" s="20">
        <v>2050</v>
      </c>
      <c r="F162" s="20">
        <f t="shared" ref="F162:F169" si="20">D162-E162</f>
        <v>230</v>
      </c>
      <c r="G162" s="20">
        <f t="shared" ref="G162:G169" si="21">D162*C162</f>
        <v>2280</v>
      </c>
      <c r="H162" s="20">
        <f t="shared" ref="H162:H169" si="22">E162*C162</f>
        <v>2050</v>
      </c>
      <c r="I162" s="20">
        <f t="shared" ref="I162:I169" si="23">G162-H162</f>
        <v>230</v>
      </c>
      <c r="J162" t="s">
        <v>69</v>
      </c>
    </row>
    <row r="163" spans="1:10" x14ac:dyDescent="0.25">
      <c r="A163" s="6">
        <v>45869</v>
      </c>
      <c r="B163" s="7" t="s">
        <v>64</v>
      </c>
      <c r="C163" s="10">
        <v>2</v>
      </c>
      <c r="D163" s="16">
        <v>2025</v>
      </c>
      <c r="E163" s="20">
        <v>1950</v>
      </c>
      <c r="F163" s="20">
        <f t="shared" si="20"/>
        <v>75</v>
      </c>
      <c r="G163" s="20">
        <f t="shared" si="21"/>
        <v>4050</v>
      </c>
      <c r="H163" s="20">
        <f t="shared" si="22"/>
        <v>3900</v>
      </c>
      <c r="I163" s="20">
        <f t="shared" si="23"/>
        <v>150</v>
      </c>
      <c r="J163" t="s">
        <v>69</v>
      </c>
    </row>
    <row r="164" spans="1:10" x14ac:dyDescent="0.25">
      <c r="A164" s="6">
        <v>45869</v>
      </c>
      <c r="B164" s="14" t="s">
        <v>62</v>
      </c>
      <c r="C164" s="10">
        <v>2</v>
      </c>
      <c r="D164" s="16">
        <v>2550</v>
      </c>
      <c r="E164" s="20">
        <v>1900</v>
      </c>
      <c r="F164" s="20">
        <f t="shared" si="20"/>
        <v>650</v>
      </c>
      <c r="G164" s="20">
        <f t="shared" si="21"/>
        <v>5100</v>
      </c>
      <c r="H164" s="20">
        <f t="shared" si="22"/>
        <v>3800</v>
      </c>
      <c r="I164" s="20">
        <f t="shared" si="23"/>
        <v>1300</v>
      </c>
      <c r="J164" t="s">
        <v>69</v>
      </c>
    </row>
    <row r="165" spans="1:10" x14ac:dyDescent="0.25">
      <c r="A165" s="6">
        <v>45869</v>
      </c>
      <c r="B165" s="7" t="s">
        <v>63</v>
      </c>
      <c r="C165" s="10">
        <v>1</v>
      </c>
      <c r="D165" s="16">
        <v>2320</v>
      </c>
      <c r="E165" s="20">
        <v>2200</v>
      </c>
      <c r="F165" s="20">
        <f t="shared" si="20"/>
        <v>120</v>
      </c>
      <c r="G165" s="20">
        <f t="shared" si="21"/>
        <v>2320</v>
      </c>
      <c r="H165" s="20">
        <f t="shared" si="22"/>
        <v>2200</v>
      </c>
      <c r="I165" s="20">
        <f t="shared" si="23"/>
        <v>120</v>
      </c>
      <c r="J165" t="s">
        <v>69</v>
      </c>
    </row>
    <row r="166" spans="1:10" x14ac:dyDescent="0.25">
      <c r="A166" s="6">
        <v>45869</v>
      </c>
      <c r="B166" s="7" t="s">
        <v>64</v>
      </c>
      <c r="C166" s="10">
        <v>1</v>
      </c>
      <c r="D166" s="16">
        <v>2050</v>
      </c>
      <c r="E166" s="20">
        <v>1900</v>
      </c>
      <c r="F166" s="20">
        <f t="shared" si="20"/>
        <v>150</v>
      </c>
      <c r="G166" s="20">
        <f t="shared" si="21"/>
        <v>2050</v>
      </c>
      <c r="H166" s="20">
        <f t="shared" si="22"/>
        <v>1900</v>
      </c>
      <c r="I166" s="20">
        <f t="shared" si="23"/>
        <v>150</v>
      </c>
      <c r="J166" t="s">
        <v>69</v>
      </c>
    </row>
    <row r="167" spans="1:10" x14ac:dyDescent="0.25">
      <c r="A167" s="6">
        <v>45869</v>
      </c>
      <c r="B167" s="7" t="s">
        <v>67</v>
      </c>
      <c r="C167" s="8">
        <v>1</v>
      </c>
      <c r="D167" s="16">
        <v>2500</v>
      </c>
      <c r="E167" s="20">
        <v>2350</v>
      </c>
      <c r="F167" s="20">
        <f t="shared" si="20"/>
        <v>150</v>
      </c>
      <c r="G167" s="20">
        <f t="shared" si="21"/>
        <v>2500</v>
      </c>
      <c r="H167" s="20">
        <f t="shared" si="22"/>
        <v>2350</v>
      </c>
      <c r="I167" s="20">
        <f t="shared" si="23"/>
        <v>150</v>
      </c>
      <c r="J167" t="s">
        <v>69</v>
      </c>
    </row>
    <row r="168" spans="1:10" x14ac:dyDescent="0.25">
      <c r="A168" s="6">
        <v>45869</v>
      </c>
      <c r="B168" s="7" t="s">
        <v>65</v>
      </c>
      <c r="C168" s="8">
        <v>1</v>
      </c>
      <c r="D168" s="16">
        <v>1650</v>
      </c>
      <c r="E168" s="20">
        <v>1550</v>
      </c>
      <c r="F168" s="20">
        <f t="shared" si="20"/>
        <v>100</v>
      </c>
      <c r="G168" s="20">
        <f t="shared" si="21"/>
        <v>1650</v>
      </c>
      <c r="H168" s="20">
        <f t="shared" si="22"/>
        <v>1550</v>
      </c>
      <c r="I168" s="20">
        <f t="shared" si="23"/>
        <v>100</v>
      </c>
      <c r="J168" t="s">
        <v>69</v>
      </c>
    </row>
    <row r="169" spans="1:10" x14ac:dyDescent="0.25">
      <c r="A169" s="6">
        <v>45869</v>
      </c>
      <c r="B169" s="14" t="s">
        <v>66</v>
      </c>
      <c r="C169" s="8">
        <v>6</v>
      </c>
      <c r="D169" s="16">
        <v>3930</v>
      </c>
      <c r="E169" s="20">
        <v>3600</v>
      </c>
      <c r="F169" s="20">
        <f t="shared" si="20"/>
        <v>330</v>
      </c>
      <c r="G169" s="20">
        <f t="shared" si="21"/>
        <v>23580</v>
      </c>
      <c r="H169" s="20">
        <f t="shared" si="22"/>
        <v>21600</v>
      </c>
      <c r="I169" s="20">
        <f t="shared" si="23"/>
        <v>1980</v>
      </c>
      <c r="J169" t="s">
        <v>69</v>
      </c>
    </row>
    <row r="172" spans="1:10" x14ac:dyDescent="0.25">
      <c r="G172" s="20">
        <f>SUM(G2:G171)</f>
        <v>1551082.3299999998</v>
      </c>
      <c r="H172" s="20">
        <f>SUM(H2:H171)</f>
        <v>1420694.4999999998</v>
      </c>
      <c r="I172" s="20">
        <f>SUM(I2:I171)</f>
        <v>130387.82999999999</v>
      </c>
    </row>
    <row r="175" spans="1:10" x14ac:dyDescent="0.25">
      <c r="A175" s="45"/>
      <c r="B175" s="46" t="s">
        <v>69</v>
      </c>
      <c r="C175" s="47" t="s">
        <v>74</v>
      </c>
    </row>
    <row r="176" spans="1:10" x14ac:dyDescent="0.25">
      <c r="A176" s="5">
        <v>45857</v>
      </c>
      <c r="B176" t="s">
        <v>102</v>
      </c>
      <c r="C176" s="20">
        <v>650</v>
      </c>
    </row>
    <row r="177" spans="1:3" x14ac:dyDescent="0.25">
      <c r="A177" s="5">
        <v>45850</v>
      </c>
      <c r="B177" t="s">
        <v>103</v>
      </c>
      <c r="C177" s="20">
        <v>1100</v>
      </c>
    </row>
    <row r="178" spans="1:3" x14ac:dyDescent="0.25">
      <c r="A178" s="5">
        <v>45859</v>
      </c>
      <c r="B178" t="s">
        <v>104</v>
      </c>
      <c r="C178" s="20">
        <v>1150</v>
      </c>
    </row>
    <row r="179" spans="1:3" x14ac:dyDescent="0.25">
      <c r="A179" s="5">
        <v>45863</v>
      </c>
      <c r="B179" t="s">
        <v>105</v>
      </c>
      <c r="C179" s="20">
        <v>850</v>
      </c>
    </row>
    <row r="180" spans="1:3" x14ac:dyDescent="0.25">
      <c r="A180" s="5">
        <v>45869</v>
      </c>
      <c r="B180" t="s">
        <v>106</v>
      </c>
      <c r="C180" s="20">
        <v>8365</v>
      </c>
    </row>
    <row r="181" spans="1:3" x14ac:dyDescent="0.25">
      <c r="A181" s="5">
        <v>45869</v>
      </c>
      <c r="B181" t="s">
        <v>107</v>
      </c>
      <c r="C181" s="20">
        <v>8078</v>
      </c>
    </row>
    <row r="182" spans="1:3" x14ac:dyDescent="0.25">
      <c r="A182" s="5">
        <v>45869</v>
      </c>
      <c r="B182" t="s">
        <v>108</v>
      </c>
      <c r="C182" s="20">
        <v>4317</v>
      </c>
    </row>
    <row r="183" spans="1:3" x14ac:dyDescent="0.25">
      <c r="A183" s="5">
        <v>45869</v>
      </c>
      <c r="B183" t="s">
        <v>109</v>
      </c>
      <c r="C183" s="20">
        <v>4931</v>
      </c>
    </row>
    <row r="184" spans="1:3" x14ac:dyDescent="0.25">
      <c r="A184" s="5">
        <v>45869</v>
      </c>
      <c r="B184" t="s">
        <v>110</v>
      </c>
      <c r="C184" s="20">
        <v>5948</v>
      </c>
    </row>
    <row r="185" spans="1:3" x14ac:dyDescent="0.25">
      <c r="A185" s="5">
        <v>45869</v>
      </c>
      <c r="B185" t="s">
        <v>111</v>
      </c>
      <c r="C185" s="20">
        <v>3424</v>
      </c>
    </row>
    <row r="188" spans="1:3" x14ac:dyDescent="0.25">
      <c r="B188" s="48" t="s">
        <v>78</v>
      </c>
      <c r="C188" s="20">
        <f>SUM(C176:C187)</f>
        <v>38813</v>
      </c>
    </row>
    <row r="191" spans="1:3" ht="26.25" x14ac:dyDescent="0.4">
      <c r="B191" s="50" t="s">
        <v>79</v>
      </c>
      <c r="C191" s="53">
        <f>I172-C188</f>
        <v>91574.829999999987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A810-041C-4937-8472-90488106B326}">
  <dimension ref="A6:A7"/>
  <sheetViews>
    <sheetView workbookViewId="0">
      <selection activeCell="K19" sqref="K19"/>
    </sheetView>
  </sheetViews>
  <sheetFormatPr defaultRowHeight="15" x14ac:dyDescent="0.25"/>
  <cols>
    <col min="1" max="1" width="43.28515625" customWidth="1"/>
  </cols>
  <sheetData>
    <row r="6" spans="1:1" x14ac:dyDescent="0.25">
      <c r="A6" t="s">
        <v>113</v>
      </c>
    </row>
    <row r="7" spans="1:1" x14ac:dyDescent="0.25">
      <c r="A7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481C-E11A-4F46-96BF-98552B83FA0E}">
  <dimension ref="A2:B9"/>
  <sheetViews>
    <sheetView workbookViewId="0">
      <selection activeCell="A5" activeCellId="1" sqref="A3:B3 A5:B7"/>
    </sheetView>
  </sheetViews>
  <sheetFormatPr defaultRowHeight="15" x14ac:dyDescent="0.25"/>
  <cols>
    <col min="1" max="1" width="26" customWidth="1"/>
    <col min="2" max="2" width="23" style="20" customWidth="1"/>
  </cols>
  <sheetData>
    <row r="2" spans="1:2" ht="23.25" x14ac:dyDescent="0.35">
      <c r="A2" s="54" t="s">
        <v>112</v>
      </c>
      <c r="B2" s="55" t="s">
        <v>79</v>
      </c>
    </row>
    <row r="3" spans="1:2" x14ac:dyDescent="0.25">
      <c r="A3" s="38" t="s">
        <v>72</v>
      </c>
      <c r="B3" s="19">
        <v>-30227.759999999995</v>
      </c>
    </row>
    <row r="4" spans="1:2" x14ac:dyDescent="0.25">
      <c r="A4" s="38" t="s">
        <v>70</v>
      </c>
      <c r="B4" s="19">
        <v>-43091.95</v>
      </c>
    </row>
    <row r="5" spans="1:2" x14ac:dyDescent="0.25">
      <c r="A5" s="38" t="s">
        <v>73</v>
      </c>
      <c r="B5" s="19">
        <v>5414.3960000000025</v>
      </c>
    </row>
    <row r="6" spans="1:2" x14ac:dyDescent="0.25">
      <c r="A6" s="38" t="s">
        <v>71</v>
      </c>
      <c r="B6" s="19">
        <v>98726.150000000023</v>
      </c>
    </row>
    <row r="7" spans="1:2" x14ac:dyDescent="0.25">
      <c r="A7" s="38" t="s">
        <v>69</v>
      </c>
      <c r="B7" s="19">
        <v>91574.829999999987</v>
      </c>
    </row>
    <row r="9" spans="1:2" ht="21" x14ac:dyDescent="0.35">
      <c r="A9" s="56" t="s">
        <v>7</v>
      </c>
      <c r="B9" s="57">
        <f>SUM(B3:B8)</f>
        <v>122395.66600000003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Australia</vt:lpstr>
      <vt:lpstr>Dubai</vt:lpstr>
      <vt:lpstr>Karachi</vt:lpstr>
      <vt:lpstr>Newzealand</vt:lpstr>
      <vt:lpstr>USA</vt:lpstr>
      <vt:lpstr>Sheet2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Swiss Tech</cp:lastModifiedBy>
  <dcterms:created xsi:type="dcterms:W3CDTF">2025-08-01T16:12:08Z</dcterms:created>
  <dcterms:modified xsi:type="dcterms:W3CDTF">2026-05-09T15:35:44Z</dcterms:modified>
</cp:coreProperties>
</file>