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ales Reports 2025\"/>
    </mc:Choice>
  </mc:AlternateContent>
  <xr:revisionPtr revIDLastSave="0" documentId="13_ncr:1_{B4770AC8-11E2-40C4-990C-528F1D1CA19F}" xr6:coauthVersionLast="47" xr6:coauthVersionMax="47" xr10:uidLastSave="{00000000-0000-0000-0000-000000000000}"/>
  <bookViews>
    <workbookView xWindow="-23148" yWindow="-108" windowWidth="23256" windowHeight="13896" activeTab="1" xr2:uid="{3E47A455-00A9-4A83-9D37-A77DEDE7449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2" l="1"/>
  <c r="D28" i="2" s="1"/>
  <c r="I58" i="1"/>
  <c r="H58" i="1"/>
  <c r="D9" i="2"/>
  <c r="D14" i="2" s="1"/>
  <c r="J58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3" i="1"/>
  <c r="U25" i="1"/>
  <c r="U26" i="1"/>
  <c r="U27" i="1"/>
  <c r="U28" i="1"/>
  <c r="U24" i="1"/>
  <c r="T25" i="1"/>
  <c r="T26" i="1"/>
  <c r="T27" i="1"/>
  <c r="T28" i="1"/>
  <c r="T24" i="1"/>
  <c r="S25" i="1"/>
  <c r="S26" i="1"/>
  <c r="S27" i="1"/>
  <c r="S28" i="1"/>
  <c r="S24" i="1"/>
  <c r="S20" i="1"/>
  <c r="S19" i="1"/>
  <c r="S12" i="1"/>
  <c r="S13" i="1"/>
  <c r="S11" i="1"/>
  <c r="T19" i="1" l="1"/>
  <c r="U19" i="1" s="1"/>
  <c r="T20" i="1"/>
  <c r="U20" i="1" s="1"/>
</calcChain>
</file>

<file path=xl/sharedStrings.xml><?xml version="1.0" encoding="utf-8"?>
<sst xmlns="http://schemas.openxmlformats.org/spreadsheetml/2006/main" count="85" uniqueCount="46">
  <si>
    <t>Date</t>
  </si>
  <si>
    <t>Product Name</t>
  </si>
  <si>
    <t>Qty</t>
  </si>
  <si>
    <t>Per Unit Sale</t>
  </si>
  <si>
    <t>Per unit Purchase</t>
  </si>
  <si>
    <t>Per Unit Profit</t>
  </si>
  <si>
    <t>Total Sale</t>
  </si>
  <si>
    <t>Total Purhcase</t>
  </si>
  <si>
    <t>Total Profit</t>
  </si>
  <si>
    <t>STARLINK MINI</t>
  </si>
  <si>
    <t>STARLINK V4</t>
  </si>
  <si>
    <t>CHARGE 5</t>
  </si>
  <si>
    <t>GOOGLE STREAMER 4K</t>
  </si>
  <si>
    <t>ESSENTIAL FLIP</t>
  </si>
  <si>
    <t>IPHONE 16 PRO MAX 256 GB</t>
  </si>
  <si>
    <t>IPHONE 16 PLUS 512 JV</t>
  </si>
  <si>
    <t>IPHONE 16 128 GB JV</t>
  </si>
  <si>
    <t>IPHONE 13 PRO MAX 128 GB</t>
  </si>
  <si>
    <t>PS5</t>
  </si>
  <si>
    <t>DJI MAVIC PRO 3</t>
  </si>
  <si>
    <t>IPHONE 16 PLUS 128 GB JV</t>
  </si>
  <si>
    <t>IPHONE 15 PRO MAX 512 JV</t>
  </si>
  <si>
    <t>IPHONE 15 PRO MAX 256 JV</t>
  </si>
  <si>
    <t>IPHONE 15 PRO 128 JV</t>
  </si>
  <si>
    <t>Charge 5 calculation</t>
  </si>
  <si>
    <t>Mini Calculation</t>
  </si>
  <si>
    <t>V4 calculation</t>
  </si>
  <si>
    <t>Revenues</t>
  </si>
  <si>
    <t>Sales Income</t>
  </si>
  <si>
    <t>Sales Discount</t>
  </si>
  <si>
    <t>Total Revenues</t>
  </si>
  <si>
    <t>Cost of Sales</t>
  </si>
  <si>
    <t>Cost of Goods Sold</t>
  </si>
  <si>
    <t>Profit</t>
  </si>
  <si>
    <t>Expenses</t>
  </si>
  <si>
    <t>Australia Office Exp</t>
  </si>
  <si>
    <t>Mis. Exp</t>
  </si>
  <si>
    <t>Salaries Exp</t>
  </si>
  <si>
    <t>Shipping and Clearence</t>
  </si>
  <si>
    <t>Commision Charges</t>
  </si>
  <si>
    <t>Carray Charges</t>
  </si>
  <si>
    <t>Net Income</t>
  </si>
  <si>
    <t>Office Exp</t>
  </si>
  <si>
    <t>Party Discount</t>
  </si>
  <si>
    <t>Total Exp</t>
  </si>
  <si>
    <t>Income Statement For January-2025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</si>
</sst>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AED&quot;* #,##0.00_-;\-&quot;AED&quot;* #,##0.00_-;_-&quot;AED&quot;* &quot;-&quot;??_-;_-@_-"/>
    <numFmt numFmtId="164" formatCode="0_ ;\-0\ "/>
  </numFmts>
  <fonts count="6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1" tint="0.34998626667073579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 tint="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14" fontId="0" fillId="0" borderId="0" xfId="0" applyNumberFormat="1"/>
    <xf numFmtId="0" fontId="0" fillId="3" borderId="0" xfId="0" applyFill="1"/>
    <xf numFmtId="44" fontId="1" fillId="2" borderId="0" xfId="0" applyNumberFormat="1" applyFont="1" applyFill="1" applyAlignment="1">
      <alignment horizontal="center"/>
    </xf>
    <xf numFmtId="44" fontId="0" fillId="0" borderId="0" xfId="0" applyNumberFormat="1"/>
    <xf numFmtId="0" fontId="3" fillId="0" borderId="1" xfId="0" applyFont="1" applyBorder="1"/>
    <xf numFmtId="44" fontId="4" fillId="0" borderId="1" xfId="0" applyNumberFormat="1" applyFont="1" applyBorder="1"/>
    <xf numFmtId="0" fontId="4" fillId="0" borderId="0" xfId="0" applyFont="1"/>
    <xf numFmtId="0" fontId="3" fillId="0" borderId="0" xfId="0" applyFont="1"/>
    <xf numFmtId="44" fontId="4" fillId="0" borderId="0" xfId="0" applyNumberFormat="1" applyFont="1"/>
    <xf numFmtId="0" fontId="2" fillId="4" borderId="0" xfId="0" applyFont="1" applyFill="1"/>
    <xf numFmtId="44" fontId="5" fillId="4" borderId="0" xfId="0" applyNumberFormat="1" applyFont="1" applyFill="1"/>
    <xf numFmtId="0" fontId="2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7873-E204-442A-865B-08C816DA1D16}">
  <dimension ref="B2:U58"/>
  <sheetViews>
    <sheetView topLeftCell="A31" workbookViewId="0">
      <selection activeCell="F46" sqref="F46"/>
    </sheetView>
  </sheetViews>
  <sheetFormatPr defaultRowHeight="14.5" x14ac:dyDescent="0.35"/>
  <cols>
    <col min="1" max="1" width="2.81640625" customWidth="1"/>
    <col min="2" max="2" width="11.453125" customWidth="1"/>
    <col min="3" max="3" width="44" customWidth="1"/>
    <col min="4" max="4" width="5.36328125" customWidth="1"/>
    <col min="5" max="5" width="18.453125" customWidth="1"/>
    <col min="6" max="6" width="19.453125" customWidth="1"/>
    <col min="7" max="7" width="18.6328125" customWidth="1"/>
    <col min="8" max="8" width="22.453125" customWidth="1"/>
    <col min="9" max="9" width="19.90625" customWidth="1"/>
    <col min="10" max="10" width="23.54296875" style="7" customWidth="1"/>
  </cols>
  <sheetData>
    <row r="2" spans="2:19" ht="18.5" x14ac:dyDescent="0.45">
      <c r="B2" s="1" t="s">
        <v>0</v>
      </c>
      <c r="C2" s="1" t="s">
        <v>1</v>
      </c>
      <c r="D2" s="2" t="s">
        <v>2</v>
      </c>
      <c r="E2" s="3" t="s">
        <v>3</v>
      </c>
      <c r="F2" s="1" t="s">
        <v>4</v>
      </c>
      <c r="G2" s="1" t="s">
        <v>5</v>
      </c>
      <c r="H2" s="1" t="s">
        <v>6</v>
      </c>
      <c r="I2" s="3" t="s">
        <v>7</v>
      </c>
      <c r="J2" s="6" t="s">
        <v>8</v>
      </c>
    </row>
    <row r="3" spans="2:19" x14ac:dyDescent="0.35">
      <c r="B3" s="4">
        <v>45660</v>
      </c>
      <c r="C3" t="s">
        <v>11</v>
      </c>
      <c r="D3">
        <v>100</v>
      </c>
      <c r="E3">
        <v>345</v>
      </c>
      <c r="F3">
        <v>299.27999999999997</v>
      </c>
      <c r="G3">
        <f>E3-F3</f>
        <v>45.720000000000027</v>
      </c>
      <c r="H3" s="7">
        <f>E3*D3</f>
        <v>34500</v>
      </c>
      <c r="I3" s="7">
        <f>F3*D3</f>
        <v>29927.999999999996</v>
      </c>
      <c r="J3" s="7">
        <f>H3-I3</f>
        <v>4572.0000000000036</v>
      </c>
    </row>
    <row r="4" spans="2:19" x14ac:dyDescent="0.35">
      <c r="B4" s="4">
        <v>45663</v>
      </c>
      <c r="C4" t="s">
        <v>11</v>
      </c>
      <c r="D4">
        <v>91</v>
      </c>
      <c r="E4">
        <v>345</v>
      </c>
      <c r="F4">
        <v>299.27999999999997</v>
      </c>
      <c r="G4">
        <f t="shared" ref="G4:G56" si="0">E4-F4</f>
        <v>45.720000000000027</v>
      </c>
      <c r="H4" s="7">
        <f t="shared" ref="H4:H56" si="1">E4*D4</f>
        <v>31395</v>
      </c>
      <c r="I4" s="7">
        <f t="shared" ref="I4:I56" si="2">F4*D4</f>
        <v>27234.479999999996</v>
      </c>
      <c r="J4" s="7">
        <f t="shared" ref="J4:J56" si="3">H4-I4</f>
        <v>4160.5200000000041</v>
      </c>
    </row>
    <row r="5" spans="2:19" x14ac:dyDescent="0.35">
      <c r="B5" s="4">
        <v>45663</v>
      </c>
      <c r="C5" t="s">
        <v>11</v>
      </c>
      <c r="D5">
        <v>52</v>
      </c>
      <c r="E5">
        <v>345</v>
      </c>
      <c r="F5">
        <v>299.27999999999997</v>
      </c>
      <c r="G5">
        <f t="shared" si="0"/>
        <v>45.720000000000027</v>
      </c>
      <c r="H5" s="7">
        <f t="shared" si="1"/>
        <v>17940</v>
      </c>
      <c r="I5" s="7">
        <f t="shared" si="2"/>
        <v>15562.559999999998</v>
      </c>
      <c r="J5" s="7">
        <f t="shared" si="3"/>
        <v>2377.4400000000023</v>
      </c>
    </row>
    <row r="6" spans="2:19" x14ac:dyDescent="0.35">
      <c r="B6" s="4">
        <v>45665</v>
      </c>
      <c r="C6" t="s">
        <v>11</v>
      </c>
      <c r="D6">
        <v>165</v>
      </c>
      <c r="E6">
        <v>345</v>
      </c>
      <c r="F6">
        <v>332.37</v>
      </c>
      <c r="G6">
        <f t="shared" si="0"/>
        <v>12.629999999999995</v>
      </c>
      <c r="H6" s="7">
        <f t="shared" si="1"/>
        <v>56925</v>
      </c>
      <c r="I6" s="7">
        <f t="shared" si="2"/>
        <v>54841.05</v>
      </c>
      <c r="J6" s="7">
        <f t="shared" si="3"/>
        <v>2083.9499999999971</v>
      </c>
    </row>
    <row r="7" spans="2:19" x14ac:dyDescent="0.35">
      <c r="B7" s="4">
        <v>45680</v>
      </c>
      <c r="C7" t="s">
        <v>19</v>
      </c>
      <c r="D7">
        <v>2</v>
      </c>
      <c r="E7">
        <v>6200</v>
      </c>
      <c r="F7">
        <v>5591</v>
      </c>
      <c r="G7">
        <f t="shared" si="0"/>
        <v>609</v>
      </c>
      <c r="H7" s="7">
        <f t="shared" si="1"/>
        <v>12400</v>
      </c>
      <c r="I7" s="7">
        <f t="shared" si="2"/>
        <v>11182</v>
      </c>
      <c r="J7" s="7">
        <f t="shared" si="3"/>
        <v>1218</v>
      </c>
    </row>
    <row r="8" spans="2:19" x14ac:dyDescent="0.35">
      <c r="B8" s="4">
        <v>45681</v>
      </c>
      <c r="C8" t="s">
        <v>19</v>
      </c>
      <c r="D8">
        <v>3</v>
      </c>
      <c r="E8">
        <v>6050</v>
      </c>
      <c r="F8">
        <v>5522.73</v>
      </c>
      <c r="G8">
        <f t="shared" si="0"/>
        <v>527.27000000000044</v>
      </c>
      <c r="H8" s="7">
        <f t="shared" si="1"/>
        <v>18150</v>
      </c>
      <c r="I8" s="7">
        <f t="shared" si="2"/>
        <v>16568.189999999999</v>
      </c>
      <c r="J8" s="7">
        <f t="shared" si="3"/>
        <v>1581.8100000000013</v>
      </c>
    </row>
    <row r="9" spans="2:19" x14ac:dyDescent="0.35">
      <c r="B9" s="4">
        <v>45663</v>
      </c>
      <c r="C9" t="s">
        <v>13</v>
      </c>
      <c r="D9">
        <v>30</v>
      </c>
      <c r="E9">
        <v>184</v>
      </c>
      <c r="F9">
        <v>164</v>
      </c>
      <c r="G9">
        <f t="shared" si="0"/>
        <v>20</v>
      </c>
      <c r="H9" s="7">
        <f t="shared" si="1"/>
        <v>5520</v>
      </c>
      <c r="I9" s="7">
        <f t="shared" si="2"/>
        <v>4920</v>
      </c>
      <c r="J9" s="7">
        <f t="shared" si="3"/>
        <v>600</v>
      </c>
    </row>
    <row r="10" spans="2:19" x14ac:dyDescent="0.35">
      <c r="B10" s="4">
        <v>45663</v>
      </c>
      <c r="C10" t="s">
        <v>12</v>
      </c>
      <c r="D10">
        <v>10</v>
      </c>
      <c r="E10">
        <v>325</v>
      </c>
      <c r="F10">
        <v>295</v>
      </c>
      <c r="G10">
        <f t="shared" si="0"/>
        <v>30</v>
      </c>
      <c r="H10" s="7">
        <f t="shared" si="1"/>
        <v>3250</v>
      </c>
      <c r="I10" s="7">
        <f t="shared" si="2"/>
        <v>2950</v>
      </c>
      <c r="J10" s="7">
        <f t="shared" si="3"/>
        <v>300</v>
      </c>
      <c r="Q10" t="s">
        <v>24</v>
      </c>
    </row>
    <row r="11" spans="2:19" x14ac:dyDescent="0.35">
      <c r="B11" s="4">
        <v>45667</v>
      </c>
      <c r="C11" t="s">
        <v>17</v>
      </c>
      <c r="D11">
        <v>3</v>
      </c>
      <c r="E11">
        <v>1830.56</v>
      </c>
      <c r="F11">
        <v>1830.56</v>
      </c>
      <c r="G11">
        <f t="shared" si="0"/>
        <v>0</v>
      </c>
      <c r="H11" s="7">
        <f t="shared" si="1"/>
        <v>5491.68</v>
      </c>
      <c r="I11" s="7">
        <f t="shared" si="2"/>
        <v>5491.68</v>
      </c>
      <c r="J11" s="7">
        <f t="shared" si="3"/>
        <v>0</v>
      </c>
      <c r="Q11">
        <v>128</v>
      </c>
      <c r="R11">
        <v>2.19</v>
      </c>
      <c r="S11">
        <f>Q11*R11</f>
        <v>280.32</v>
      </c>
    </row>
    <row r="12" spans="2:19" x14ac:dyDescent="0.35">
      <c r="B12" s="4">
        <v>45684</v>
      </c>
      <c r="C12" t="s">
        <v>23</v>
      </c>
      <c r="D12">
        <v>1</v>
      </c>
      <c r="E12">
        <v>2450</v>
      </c>
      <c r="F12">
        <v>2450</v>
      </c>
      <c r="G12">
        <f t="shared" si="0"/>
        <v>0</v>
      </c>
      <c r="H12" s="7">
        <f t="shared" si="1"/>
        <v>2450</v>
      </c>
      <c r="I12" s="7">
        <f t="shared" si="2"/>
        <v>2450</v>
      </c>
      <c r="J12" s="7">
        <f t="shared" si="3"/>
        <v>0</v>
      </c>
      <c r="Q12">
        <v>133</v>
      </c>
      <c r="R12">
        <v>2.375</v>
      </c>
      <c r="S12">
        <f t="shared" ref="S12:S13" si="4">Q12*R12</f>
        <v>315.875</v>
      </c>
    </row>
    <row r="13" spans="2:19" x14ac:dyDescent="0.35">
      <c r="B13" s="4">
        <v>45684</v>
      </c>
      <c r="C13" t="s">
        <v>22</v>
      </c>
      <c r="D13">
        <v>1</v>
      </c>
      <c r="E13">
        <v>2850</v>
      </c>
      <c r="F13">
        <v>2850</v>
      </c>
      <c r="G13">
        <f t="shared" si="0"/>
        <v>0</v>
      </c>
      <c r="H13" s="7">
        <f t="shared" si="1"/>
        <v>2850</v>
      </c>
      <c r="I13" s="7">
        <f t="shared" si="2"/>
        <v>2850</v>
      </c>
      <c r="J13" s="7">
        <f t="shared" si="3"/>
        <v>0</v>
      </c>
      <c r="Q13">
        <v>128</v>
      </c>
      <c r="R13">
        <v>2.375</v>
      </c>
      <c r="S13">
        <f t="shared" si="4"/>
        <v>304</v>
      </c>
    </row>
    <row r="14" spans="2:19" x14ac:dyDescent="0.35">
      <c r="B14" s="4">
        <v>45684</v>
      </c>
      <c r="C14" t="s">
        <v>21</v>
      </c>
      <c r="D14">
        <v>1</v>
      </c>
      <c r="E14">
        <v>3350</v>
      </c>
      <c r="F14">
        <v>3350</v>
      </c>
      <c r="G14">
        <f t="shared" si="0"/>
        <v>0</v>
      </c>
      <c r="H14" s="7">
        <f t="shared" si="1"/>
        <v>3350</v>
      </c>
      <c r="I14" s="7">
        <f t="shared" si="2"/>
        <v>3350</v>
      </c>
      <c r="J14" s="7">
        <f t="shared" si="3"/>
        <v>0</v>
      </c>
      <c r="S14">
        <v>297</v>
      </c>
    </row>
    <row r="15" spans="2:19" x14ac:dyDescent="0.35">
      <c r="B15" s="4">
        <v>45664</v>
      </c>
      <c r="C15" t="s">
        <v>16</v>
      </c>
      <c r="D15">
        <v>1</v>
      </c>
      <c r="E15">
        <v>2051.2800000000002</v>
      </c>
      <c r="F15">
        <v>1677</v>
      </c>
      <c r="G15">
        <f t="shared" si="0"/>
        <v>374.2800000000002</v>
      </c>
      <c r="H15" s="7">
        <f t="shared" si="1"/>
        <v>2051.2800000000002</v>
      </c>
      <c r="I15" s="7">
        <f t="shared" si="2"/>
        <v>1677</v>
      </c>
      <c r="J15" s="7">
        <f t="shared" si="3"/>
        <v>374.2800000000002</v>
      </c>
    </row>
    <row r="16" spans="2:19" x14ac:dyDescent="0.35">
      <c r="B16" s="4">
        <v>45680</v>
      </c>
      <c r="C16" t="s">
        <v>20</v>
      </c>
      <c r="D16">
        <v>1</v>
      </c>
      <c r="E16">
        <v>2215.19</v>
      </c>
      <c r="F16">
        <v>1935</v>
      </c>
      <c r="G16">
        <f t="shared" si="0"/>
        <v>280.19000000000005</v>
      </c>
      <c r="H16" s="7">
        <f t="shared" si="1"/>
        <v>2215.19</v>
      </c>
      <c r="I16" s="7">
        <f t="shared" si="2"/>
        <v>1935</v>
      </c>
      <c r="J16" s="7">
        <f t="shared" si="3"/>
        <v>280.19000000000005</v>
      </c>
    </row>
    <row r="17" spans="2:21" x14ac:dyDescent="0.35">
      <c r="B17" s="4">
        <v>45664</v>
      </c>
      <c r="C17" t="s">
        <v>15</v>
      </c>
      <c r="D17">
        <v>1</v>
      </c>
      <c r="E17">
        <v>2538.46</v>
      </c>
      <c r="F17">
        <v>1935</v>
      </c>
      <c r="G17">
        <f t="shared" si="0"/>
        <v>603.46</v>
      </c>
      <c r="H17" s="7">
        <f t="shared" si="1"/>
        <v>2538.46</v>
      </c>
      <c r="I17" s="7">
        <f t="shared" si="2"/>
        <v>1935</v>
      </c>
      <c r="J17" s="7">
        <f t="shared" si="3"/>
        <v>603.46</v>
      </c>
    </row>
    <row r="18" spans="2:21" x14ac:dyDescent="0.35">
      <c r="B18" s="4">
        <v>45664</v>
      </c>
      <c r="C18" t="s">
        <v>14</v>
      </c>
      <c r="D18">
        <v>4</v>
      </c>
      <c r="E18">
        <v>4794.87</v>
      </c>
      <c r="F18">
        <v>4535</v>
      </c>
      <c r="G18">
        <f t="shared" si="0"/>
        <v>259.86999999999989</v>
      </c>
      <c r="H18" s="7">
        <f t="shared" si="1"/>
        <v>19179.48</v>
      </c>
      <c r="I18" s="7">
        <f t="shared" si="2"/>
        <v>18140</v>
      </c>
      <c r="J18" s="7">
        <f t="shared" si="3"/>
        <v>1039.4799999999996</v>
      </c>
      <c r="Q18" t="s">
        <v>25</v>
      </c>
    </row>
    <row r="19" spans="2:21" x14ac:dyDescent="0.35">
      <c r="B19" s="4">
        <v>45667</v>
      </c>
      <c r="C19" t="s">
        <v>14</v>
      </c>
      <c r="D19">
        <v>4</v>
      </c>
      <c r="E19">
        <v>4846.1499999999996</v>
      </c>
      <c r="F19">
        <v>4480</v>
      </c>
      <c r="G19">
        <f t="shared" si="0"/>
        <v>366.14999999999964</v>
      </c>
      <c r="H19" s="7">
        <f t="shared" si="1"/>
        <v>19384.599999999999</v>
      </c>
      <c r="I19" s="7">
        <f t="shared" si="2"/>
        <v>17920</v>
      </c>
      <c r="J19" s="7">
        <f t="shared" si="3"/>
        <v>1464.5999999999985</v>
      </c>
      <c r="Q19">
        <v>620</v>
      </c>
      <c r="R19">
        <v>2.19</v>
      </c>
      <c r="S19">
        <f>Q19*R19</f>
        <v>1357.8</v>
      </c>
      <c r="T19">
        <f>S19*0.13</f>
        <v>176.51400000000001</v>
      </c>
      <c r="U19">
        <f>S19-T19</f>
        <v>1181.2860000000001</v>
      </c>
    </row>
    <row r="20" spans="2:21" x14ac:dyDescent="0.35">
      <c r="B20" s="4">
        <v>45680</v>
      </c>
      <c r="C20" t="s">
        <v>14</v>
      </c>
      <c r="D20">
        <v>1</v>
      </c>
      <c r="E20">
        <v>4784.8100000000004</v>
      </c>
      <c r="F20">
        <v>4500</v>
      </c>
      <c r="G20">
        <f t="shared" si="0"/>
        <v>284.8100000000004</v>
      </c>
      <c r="H20" s="7">
        <f t="shared" si="1"/>
        <v>4784.8100000000004</v>
      </c>
      <c r="I20" s="7">
        <f t="shared" si="2"/>
        <v>4500</v>
      </c>
      <c r="J20" s="7">
        <f t="shared" si="3"/>
        <v>284.8100000000004</v>
      </c>
      <c r="Q20">
        <v>649</v>
      </c>
      <c r="R20">
        <v>2.19</v>
      </c>
      <c r="S20">
        <f>Q20*R20</f>
        <v>1421.31</v>
      </c>
      <c r="T20">
        <f>S20*0.13</f>
        <v>184.77029999999999</v>
      </c>
      <c r="U20">
        <f>S20-T20</f>
        <v>1236.5397</v>
      </c>
    </row>
    <row r="21" spans="2:21" x14ac:dyDescent="0.35">
      <c r="B21" s="4">
        <v>45685</v>
      </c>
      <c r="C21" t="s">
        <v>14</v>
      </c>
      <c r="D21">
        <v>1</v>
      </c>
      <c r="E21">
        <v>4742.1400000000003</v>
      </c>
      <c r="F21">
        <v>4500</v>
      </c>
      <c r="G21">
        <f t="shared" si="0"/>
        <v>242.14000000000033</v>
      </c>
      <c r="H21" s="7">
        <f t="shared" si="1"/>
        <v>4742.1400000000003</v>
      </c>
      <c r="I21" s="7">
        <f t="shared" si="2"/>
        <v>4500</v>
      </c>
      <c r="J21" s="7">
        <f t="shared" si="3"/>
        <v>242.14000000000033</v>
      </c>
    </row>
    <row r="22" spans="2:21" x14ac:dyDescent="0.35">
      <c r="B22" s="4">
        <v>45680</v>
      </c>
      <c r="C22" t="s">
        <v>18</v>
      </c>
      <c r="D22">
        <v>1</v>
      </c>
      <c r="E22">
        <v>1550</v>
      </c>
      <c r="F22">
        <v>1377.5</v>
      </c>
      <c r="G22">
        <f t="shared" si="0"/>
        <v>172.5</v>
      </c>
      <c r="H22" s="7">
        <f t="shared" si="1"/>
        <v>1550</v>
      </c>
      <c r="I22" s="7">
        <f t="shared" si="2"/>
        <v>1377.5</v>
      </c>
      <c r="J22" s="7">
        <f t="shared" si="3"/>
        <v>172.5</v>
      </c>
    </row>
    <row r="23" spans="2:21" x14ac:dyDescent="0.35">
      <c r="B23" s="4">
        <v>45658</v>
      </c>
      <c r="C23" t="s">
        <v>9</v>
      </c>
      <c r="D23">
        <v>35</v>
      </c>
      <c r="E23">
        <v>1400</v>
      </c>
      <c r="F23">
        <v>1208.9100000000001</v>
      </c>
      <c r="G23">
        <f t="shared" si="0"/>
        <v>191.08999999999992</v>
      </c>
      <c r="H23" s="7">
        <f t="shared" si="1"/>
        <v>49000</v>
      </c>
      <c r="I23" s="7">
        <f t="shared" si="2"/>
        <v>42311.850000000006</v>
      </c>
      <c r="J23" s="7">
        <f t="shared" si="3"/>
        <v>6688.1499999999942</v>
      </c>
      <c r="Q23" t="s">
        <v>26</v>
      </c>
    </row>
    <row r="24" spans="2:21" x14ac:dyDescent="0.35">
      <c r="B24" s="4">
        <v>45658</v>
      </c>
      <c r="C24" t="s">
        <v>9</v>
      </c>
      <c r="D24">
        <v>100</v>
      </c>
      <c r="E24">
        <v>1390</v>
      </c>
      <c r="F24">
        <v>1208.9100000000001</v>
      </c>
      <c r="G24">
        <f t="shared" si="0"/>
        <v>181.08999999999992</v>
      </c>
      <c r="H24" s="7">
        <f t="shared" si="1"/>
        <v>139000</v>
      </c>
      <c r="I24" s="7">
        <f t="shared" si="2"/>
        <v>120891.00000000001</v>
      </c>
      <c r="J24" s="7">
        <f t="shared" si="3"/>
        <v>18108.999999999985</v>
      </c>
      <c r="Q24">
        <v>569</v>
      </c>
      <c r="R24">
        <v>2.33</v>
      </c>
      <c r="S24">
        <f>Q24*R24</f>
        <v>1325.77</v>
      </c>
      <c r="T24">
        <f>S24/11</f>
        <v>120.52454545454545</v>
      </c>
      <c r="U24">
        <f>S24-T24</f>
        <v>1205.2454545454545</v>
      </c>
    </row>
    <row r="25" spans="2:21" x14ac:dyDescent="0.35">
      <c r="B25" s="4">
        <v>45659</v>
      </c>
      <c r="C25" t="s">
        <v>9</v>
      </c>
      <c r="D25">
        <v>3</v>
      </c>
      <c r="E25">
        <v>1400</v>
      </c>
      <c r="F25">
        <v>1208.9100000000001</v>
      </c>
      <c r="G25">
        <f t="shared" si="0"/>
        <v>191.08999999999992</v>
      </c>
      <c r="H25" s="7">
        <f t="shared" si="1"/>
        <v>4200</v>
      </c>
      <c r="I25" s="7">
        <f t="shared" si="2"/>
        <v>3626.7300000000005</v>
      </c>
      <c r="J25" s="7">
        <f t="shared" si="3"/>
        <v>573.26999999999953</v>
      </c>
      <c r="Q25">
        <v>478.4</v>
      </c>
      <c r="R25">
        <v>2.33</v>
      </c>
      <c r="S25">
        <f t="shared" ref="S25:S28" si="5">Q25*R25</f>
        <v>1114.672</v>
      </c>
      <c r="T25">
        <f t="shared" ref="T25:T28" si="6">S25/11</f>
        <v>101.33381818181819</v>
      </c>
      <c r="U25">
        <f t="shared" ref="U25:U28" si="7">S25-T25</f>
        <v>1013.3381818181819</v>
      </c>
    </row>
    <row r="26" spans="2:21" x14ac:dyDescent="0.35">
      <c r="B26" s="4">
        <v>45659</v>
      </c>
      <c r="C26" t="s">
        <v>9</v>
      </c>
      <c r="D26">
        <v>10</v>
      </c>
      <c r="E26">
        <v>1410</v>
      </c>
      <c r="F26">
        <v>1208.9100000000001</v>
      </c>
      <c r="G26">
        <f t="shared" si="0"/>
        <v>201.08999999999992</v>
      </c>
      <c r="H26" s="7">
        <f t="shared" si="1"/>
        <v>14100</v>
      </c>
      <c r="I26" s="7">
        <f t="shared" si="2"/>
        <v>12089.1</v>
      </c>
      <c r="J26" s="7">
        <f t="shared" si="3"/>
        <v>2010.8999999999996</v>
      </c>
      <c r="Q26">
        <v>549</v>
      </c>
      <c r="R26">
        <v>2.375</v>
      </c>
      <c r="S26">
        <f t="shared" si="5"/>
        <v>1303.875</v>
      </c>
      <c r="T26">
        <f t="shared" si="6"/>
        <v>118.53409090909091</v>
      </c>
      <c r="U26">
        <f t="shared" si="7"/>
        <v>1185.340909090909</v>
      </c>
    </row>
    <row r="27" spans="2:21" x14ac:dyDescent="0.35">
      <c r="B27" s="4">
        <v>45659</v>
      </c>
      <c r="C27" t="s">
        <v>9</v>
      </c>
      <c r="D27">
        <v>3</v>
      </c>
      <c r="E27">
        <v>1410</v>
      </c>
      <c r="F27">
        <v>1208.9100000000001</v>
      </c>
      <c r="G27">
        <f t="shared" si="0"/>
        <v>201.08999999999992</v>
      </c>
      <c r="H27" s="7">
        <f t="shared" si="1"/>
        <v>4230</v>
      </c>
      <c r="I27" s="7">
        <f t="shared" si="2"/>
        <v>3626.7300000000005</v>
      </c>
      <c r="J27" s="7">
        <f t="shared" si="3"/>
        <v>603.26999999999953</v>
      </c>
      <c r="Q27">
        <v>490</v>
      </c>
      <c r="R27">
        <v>2.375</v>
      </c>
      <c r="S27">
        <f t="shared" si="5"/>
        <v>1163.75</v>
      </c>
      <c r="T27">
        <f t="shared" si="6"/>
        <v>105.79545454545455</v>
      </c>
      <c r="U27">
        <f t="shared" si="7"/>
        <v>1057.9545454545455</v>
      </c>
    </row>
    <row r="28" spans="2:21" x14ac:dyDescent="0.35">
      <c r="B28" s="4">
        <v>45660</v>
      </c>
      <c r="C28" t="s">
        <v>9</v>
      </c>
      <c r="D28">
        <v>11</v>
      </c>
      <c r="E28">
        <v>1410</v>
      </c>
      <c r="F28">
        <v>1208.9100000000001</v>
      </c>
      <c r="G28">
        <f t="shared" si="0"/>
        <v>201.08999999999992</v>
      </c>
      <c r="H28" s="7">
        <f t="shared" si="1"/>
        <v>15510</v>
      </c>
      <c r="I28" s="7">
        <f t="shared" si="2"/>
        <v>13298.01</v>
      </c>
      <c r="J28" s="7">
        <f t="shared" si="3"/>
        <v>2211.9899999999998</v>
      </c>
      <c r="Q28">
        <v>569</v>
      </c>
      <c r="R28">
        <v>2.33</v>
      </c>
      <c r="S28">
        <f t="shared" si="5"/>
        <v>1325.77</v>
      </c>
      <c r="T28">
        <f t="shared" si="6"/>
        <v>120.52454545454545</v>
      </c>
      <c r="U28">
        <f t="shared" si="7"/>
        <v>1205.2454545454545</v>
      </c>
    </row>
    <row r="29" spans="2:21" x14ac:dyDescent="0.35">
      <c r="B29" s="4">
        <v>45660</v>
      </c>
      <c r="C29" t="s">
        <v>9</v>
      </c>
      <c r="D29">
        <v>100</v>
      </c>
      <c r="E29">
        <v>1390</v>
      </c>
      <c r="F29">
        <v>1208.9100000000001</v>
      </c>
      <c r="G29">
        <f t="shared" si="0"/>
        <v>181.08999999999992</v>
      </c>
      <c r="H29" s="7">
        <f t="shared" si="1"/>
        <v>139000</v>
      </c>
      <c r="I29" s="7">
        <f t="shared" si="2"/>
        <v>120891.00000000001</v>
      </c>
      <c r="J29" s="7">
        <f t="shared" si="3"/>
        <v>18108.999999999985</v>
      </c>
    </row>
    <row r="30" spans="2:21" x14ac:dyDescent="0.35">
      <c r="B30" s="4">
        <v>45661</v>
      </c>
      <c r="C30" t="s">
        <v>9</v>
      </c>
      <c r="D30" s="5">
        <v>10</v>
      </c>
      <c r="E30">
        <v>1400</v>
      </c>
      <c r="F30">
        <v>1338.84</v>
      </c>
      <c r="G30">
        <f t="shared" si="0"/>
        <v>61.160000000000082</v>
      </c>
      <c r="H30" s="7">
        <f t="shared" si="1"/>
        <v>14000</v>
      </c>
      <c r="I30" s="7">
        <f t="shared" si="2"/>
        <v>13388.4</v>
      </c>
      <c r="J30" s="7">
        <f t="shared" si="3"/>
        <v>611.60000000000036</v>
      </c>
    </row>
    <row r="31" spans="2:21" x14ac:dyDescent="0.35">
      <c r="B31" s="4">
        <v>45663</v>
      </c>
      <c r="C31" t="s">
        <v>9</v>
      </c>
      <c r="D31" s="5">
        <v>6</v>
      </c>
      <c r="E31">
        <v>1400</v>
      </c>
      <c r="F31">
        <v>1338.84</v>
      </c>
      <c r="G31">
        <f t="shared" si="0"/>
        <v>61.160000000000082</v>
      </c>
      <c r="H31" s="7">
        <f t="shared" si="1"/>
        <v>8400</v>
      </c>
      <c r="I31" s="7">
        <f t="shared" si="2"/>
        <v>8033.0399999999991</v>
      </c>
      <c r="J31" s="7">
        <f t="shared" si="3"/>
        <v>366.96000000000095</v>
      </c>
    </row>
    <row r="32" spans="2:21" x14ac:dyDescent="0.35">
      <c r="B32" s="4">
        <v>45663</v>
      </c>
      <c r="C32" t="s">
        <v>9</v>
      </c>
      <c r="D32" s="5">
        <v>10</v>
      </c>
      <c r="E32">
        <v>1390</v>
      </c>
      <c r="F32">
        <v>1338.84</v>
      </c>
      <c r="G32">
        <f t="shared" si="0"/>
        <v>51.160000000000082</v>
      </c>
      <c r="H32" s="7">
        <f t="shared" si="1"/>
        <v>13900</v>
      </c>
      <c r="I32" s="7">
        <f t="shared" si="2"/>
        <v>13388.4</v>
      </c>
      <c r="J32" s="7">
        <f t="shared" si="3"/>
        <v>511.60000000000036</v>
      </c>
    </row>
    <row r="33" spans="2:10" x14ac:dyDescent="0.35">
      <c r="B33" s="4">
        <v>45663</v>
      </c>
      <c r="C33" t="s">
        <v>9</v>
      </c>
      <c r="D33" s="5">
        <v>50</v>
      </c>
      <c r="E33">
        <v>1380</v>
      </c>
      <c r="F33">
        <v>1338.84</v>
      </c>
      <c r="G33">
        <f t="shared" si="0"/>
        <v>41.160000000000082</v>
      </c>
      <c r="H33" s="7">
        <f t="shared" si="1"/>
        <v>69000</v>
      </c>
      <c r="I33" s="7">
        <f t="shared" si="2"/>
        <v>66942</v>
      </c>
      <c r="J33" s="7">
        <f t="shared" si="3"/>
        <v>2058</v>
      </c>
    </row>
    <row r="34" spans="2:10" x14ac:dyDescent="0.35">
      <c r="B34" s="4">
        <v>45663</v>
      </c>
      <c r="C34" t="s">
        <v>9</v>
      </c>
      <c r="D34" s="5">
        <v>30</v>
      </c>
      <c r="E34">
        <v>1380</v>
      </c>
      <c r="F34">
        <v>1338.84</v>
      </c>
      <c r="G34">
        <f t="shared" si="0"/>
        <v>41.160000000000082</v>
      </c>
      <c r="H34" s="7">
        <f t="shared" si="1"/>
        <v>41400</v>
      </c>
      <c r="I34" s="7">
        <f t="shared" si="2"/>
        <v>40165.199999999997</v>
      </c>
      <c r="J34" s="7">
        <f t="shared" si="3"/>
        <v>1234.8000000000029</v>
      </c>
    </row>
    <row r="35" spans="2:10" x14ac:dyDescent="0.35">
      <c r="B35" s="4">
        <v>45663</v>
      </c>
      <c r="C35" t="s">
        <v>9</v>
      </c>
      <c r="D35" s="5">
        <v>1</v>
      </c>
      <c r="E35">
        <v>1380</v>
      </c>
      <c r="F35">
        <v>1338.84</v>
      </c>
      <c r="G35">
        <f t="shared" si="0"/>
        <v>41.160000000000082</v>
      </c>
      <c r="H35" s="7">
        <f t="shared" si="1"/>
        <v>1380</v>
      </c>
      <c r="I35" s="7">
        <f t="shared" si="2"/>
        <v>1338.84</v>
      </c>
      <c r="J35" s="7">
        <f t="shared" si="3"/>
        <v>41.160000000000082</v>
      </c>
    </row>
    <row r="36" spans="2:10" x14ac:dyDescent="0.35">
      <c r="B36" s="4">
        <v>45663</v>
      </c>
      <c r="C36" t="s">
        <v>9</v>
      </c>
      <c r="D36" s="5">
        <v>10</v>
      </c>
      <c r="E36">
        <v>1380</v>
      </c>
      <c r="F36">
        <v>1338.84</v>
      </c>
      <c r="G36">
        <f t="shared" si="0"/>
        <v>41.160000000000082</v>
      </c>
      <c r="H36" s="7">
        <f t="shared" si="1"/>
        <v>13800</v>
      </c>
      <c r="I36" s="7">
        <f t="shared" si="2"/>
        <v>13388.4</v>
      </c>
      <c r="J36" s="7">
        <f t="shared" si="3"/>
        <v>411.60000000000036</v>
      </c>
    </row>
    <row r="37" spans="2:10" x14ac:dyDescent="0.35">
      <c r="B37" s="4">
        <v>45663</v>
      </c>
      <c r="C37" t="s">
        <v>9</v>
      </c>
      <c r="D37" s="5">
        <v>5</v>
      </c>
      <c r="E37">
        <v>1380</v>
      </c>
      <c r="F37">
        <v>1338.84</v>
      </c>
      <c r="G37">
        <f t="shared" si="0"/>
        <v>41.160000000000082</v>
      </c>
      <c r="H37" s="7">
        <f t="shared" si="1"/>
        <v>6900</v>
      </c>
      <c r="I37" s="7">
        <f t="shared" si="2"/>
        <v>6694.2</v>
      </c>
      <c r="J37" s="7">
        <f t="shared" si="3"/>
        <v>205.80000000000018</v>
      </c>
    </row>
    <row r="38" spans="2:10" x14ac:dyDescent="0.35">
      <c r="B38" s="4">
        <v>45663</v>
      </c>
      <c r="C38" t="s">
        <v>9</v>
      </c>
      <c r="D38" s="5">
        <v>20</v>
      </c>
      <c r="E38">
        <v>1390</v>
      </c>
      <c r="F38">
        <v>1338.84</v>
      </c>
      <c r="G38">
        <f t="shared" si="0"/>
        <v>51.160000000000082</v>
      </c>
      <c r="H38" s="7">
        <f t="shared" si="1"/>
        <v>27800</v>
      </c>
      <c r="I38" s="7">
        <f t="shared" si="2"/>
        <v>26776.799999999999</v>
      </c>
      <c r="J38" s="7">
        <f t="shared" si="3"/>
        <v>1023.2000000000007</v>
      </c>
    </row>
    <row r="39" spans="2:10" x14ac:dyDescent="0.35">
      <c r="B39" s="4">
        <v>45663</v>
      </c>
      <c r="C39" t="s">
        <v>9</v>
      </c>
      <c r="D39" s="5">
        <v>7</v>
      </c>
      <c r="E39">
        <v>1380</v>
      </c>
      <c r="F39">
        <v>1338.84</v>
      </c>
      <c r="G39">
        <f t="shared" si="0"/>
        <v>41.160000000000082</v>
      </c>
      <c r="H39" s="7">
        <f t="shared" si="1"/>
        <v>9660</v>
      </c>
      <c r="I39" s="7">
        <f t="shared" si="2"/>
        <v>9371.8799999999992</v>
      </c>
      <c r="J39" s="7">
        <f t="shared" si="3"/>
        <v>288.1200000000008</v>
      </c>
    </row>
    <row r="40" spans="2:10" x14ac:dyDescent="0.35">
      <c r="B40" s="4">
        <v>45664</v>
      </c>
      <c r="C40" t="s">
        <v>9</v>
      </c>
      <c r="D40" s="5">
        <v>13</v>
      </c>
      <c r="E40">
        <v>1390</v>
      </c>
      <c r="F40">
        <v>1338.84</v>
      </c>
      <c r="G40">
        <f t="shared" si="0"/>
        <v>51.160000000000082</v>
      </c>
      <c r="H40" s="7">
        <f t="shared" si="1"/>
        <v>18070</v>
      </c>
      <c r="I40" s="7">
        <f t="shared" si="2"/>
        <v>17404.919999999998</v>
      </c>
      <c r="J40" s="7">
        <f t="shared" si="3"/>
        <v>665.08000000000175</v>
      </c>
    </row>
    <row r="41" spans="2:10" x14ac:dyDescent="0.35">
      <c r="B41" s="4">
        <v>45664</v>
      </c>
      <c r="C41" t="s">
        <v>9</v>
      </c>
      <c r="D41" s="5">
        <v>10</v>
      </c>
      <c r="E41">
        <v>1390</v>
      </c>
      <c r="F41">
        <v>1338.84</v>
      </c>
      <c r="G41">
        <f t="shared" si="0"/>
        <v>51.160000000000082</v>
      </c>
      <c r="H41" s="7">
        <f t="shared" si="1"/>
        <v>13900</v>
      </c>
      <c r="I41" s="7">
        <f t="shared" si="2"/>
        <v>13388.4</v>
      </c>
      <c r="J41" s="7">
        <f t="shared" si="3"/>
        <v>511.60000000000036</v>
      </c>
    </row>
    <row r="42" spans="2:10" x14ac:dyDescent="0.35">
      <c r="B42" s="4">
        <v>45665</v>
      </c>
      <c r="C42" t="s">
        <v>9</v>
      </c>
      <c r="D42" s="5">
        <v>5</v>
      </c>
      <c r="E42">
        <v>1390</v>
      </c>
      <c r="F42">
        <v>1338.84</v>
      </c>
      <c r="G42">
        <f t="shared" si="0"/>
        <v>51.160000000000082</v>
      </c>
      <c r="H42" s="7">
        <f t="shared" si="1"/>
        <v>6950</v>
      </c>
      <c r="I42" s="7">
        <f t="shared" si="2"/>
        <v>6694.2</v>
      </c>
      <c r="J42" s="7">
        <f t="shared" si="3"/>
        <v>255.80000000000018</v>
      </c>
    </row>
    <row r="43" spans="2:10" x14ac:dyDescent="0.35">
      <c r="B43" s="4">
        <v>45665</v>
      </c>
      <c r="C43" t="s">
        <v>9</v>
      </c>
      <c r="D43" s="5">
        <v>25</v>
      </c>
      <c r="E43">
        <v>1390</v>
      </c>
      <c r="F43">
        <v>1338.84</v>
      </c>
      <c r="G43">
        <f t="shared" si="0"/>
        <v>51.160000000000082</v>
      </c>
      <c r="H43" s="7">
        <f t="shared" si="1"/>
        <v>34750</v>
      </c>
      <c r="I43" s="7">
        <f t="shared" si="2"/>
        <v>33471</v>
      </c>
      <c r="J43" s="7">
        <f t="shared" si="3"/>
        <v>1279</v>
      </c>
    </row>
    <row r="44" spans="2:10" x14ac:dyDescent="0.35">
      <c r="B44" s="4">
        <v>45665</v>
      </c>
      <c r="C44" t="s">
        <v>9</v>
      </c>
      <c r="D44" s="5">
        <v>5</v>
      </c>
      <c r="E44">
        <v>1390</v>
      </c>
      <c r="F44">
        <v>1338.84</v>
      </c>
      <c r="G44">
        <f t="shared" si="0"/>
        <v>51.160000000000082</v>
      </c>
      <c r="H44" s="7">
        <f t="shared" si="1"/>
        <v>6950</v>
      </c>
      <c r="I44" s="7">
        <f t="shared" si="2"/>
        <v>6694.2</v>
      </c>
      <c r="J44" s="7">
        <f t="shared" si="3"/>
        <v>255.80000000000018</v>
      </c>
    </row>
    <row r="45" spans="2:10" x14ac:dyDescent="0.35">
      <c r="B45" s="4">
        <v>45678</v>
      </c>
      <c r="C45" t="s">
        <v>9</v>
      </c>
      <c r="D45" s="5">
        <v>50</v>
      </c>
      <c r="E45">
        <v>1415</v>
      </c>
      <c r="F45">
        <v>1338.84</v>
      </c>
      <c r="G45">
        <f t="shared" si="0"/>
        <v>76.160000000000082</v>
      </c>
      <c r="H45" s="7">
        <f t="shared" si="1"/>
        <v>70750</v>
      </c>
      <c r="I45" s="7">
        <f t="shared" si="2"/>
        <v>66942</v>
      </c>
      <c r="J45" s="7">
        <f t="shared" si="3"/>
        <v>3808</v>
      </c>
    </row>
    <row r="46" spans="2:10" x14ac:dyDescent="0.35">
      <c r="B46" s="4">
        <v>45679</v>
      </c>
      <c r="C46" t="s">
        <v>9</v>
      </c>
      <c r="D46">
        <v>10</v>
      </c>
      <c r="E46">
        <v>1415</v>
      </c>
      <c r="F46">
        <v>1324.35</v>
      </c>
      <c r="G46">
        <f t="shared" si="0"/>
        <v>90.650000000000091</v>
      </c>
      <c r="H46" s="7">
        <f t="shared" si="1"/>
        <v>14150</v>
      </c>
      <c r="I46" s="7">
        <f t="shared" si="2"/>
        <v>13243.5</v>
      </c>
      <c r="J46" s="7">
        <f t="shared" si="3"/>
        <v>906.5</v>
      </c>
    </row>
    <row r="47" spans="2:10" x14ac:dyDescent="0.35">
      <c r="B47" s="4">
        <v>45680</v>
      </c>
      <c r="C47" t="s">
        <v>9</v>
      </c>
      <c r="D47">
        <v>3</v>
      </c>
      <c r="E47">
        <v>1415</v>
      </c>
      <c r="F47">
        <v>1208.9100000000001</v>
      </c>
      <c r="G47">
        <f t="shared" si="0"/>
        <v>206.08999999999992</v>
      </c>
      <c r="H47" s="7">
        <f t="shared" si="1"/>
        <v>4245</v>
      </c>
      <c r="I47" s="7">
        <f t="shared" si="2"/>
        <v>3626.7300000000005</v>
      </c>
      <c r="J47" s="7">
        <f t="shared" si="3"/>
        <v>618.26999999999953</v>
      </c>
    </row>
    <row r="48" spans="2:10" x14ac:dyDescent="0.35">
      <c r="B48" s="4">
        <v>45680</v>
      </c>
      <c r="C48" t="s">
        <v>9</v>
      </c>
      <c r="D48">
        <v>50</v>
      </c>
      <c r="E48">
        <v>1415</v>
      </c>
      <c r="F48">
        <v>1324.35</v>
      </c>
      <c r="G48">
        <f t="shared" si="0"/>
        <v>90.650000000000091</v>
      </c>
      <c r="H48" s="7">
        <f t="shared" si="1"/>
        <v>70750</v>
      </c>
      <c r="I48" s="7">
        <f t="shared" si="2"/>
        <v>66217.5</v>
      </c>
      <c r="J48" s="7">
        <f t="shared" si="3"/>
        <v>4532.5</v>
      </c>
    </row>
    <row r="49" spans="2:10" x14ac:dyDescent="0.35">
      <c r="B49" s="4">
        <v>45659</v>
      </c>
      <c r="C49" t="s">
        <v>10</v>
      </c>
      <c r="D49">
        <v>10</v>
      </c>
      <c r="E49">
        <v>1370</v>
      </c>
      <c r="F49">
        <v>1133.4100000000001</v>
      </c>
      <c r="G49">
        <f t="shared" si="0"/>
        <v>236.58999999999992</v>
      </c>
      <c r="H49" s="7">
        <f t="shared" si="1"/>
        <v>13700</v>
      </c>
      <c r="I49" s="7">
        <f t="shared" si="2"/>
        <v>11334.1</v>
      </c>
      <c r="J49" s="7">
        <f t="shared" si="3"/>
        <v>2365.8999999999996</v>
      </c>
    </row>
    <row r="50" spans="2:10" x14ac:dyDescent="0.35">
      <c r="B50" s="4">
        <v>45660</v>
      </c>
      <c r="C50" t="s">
        <v>10</v>
      </c>
      <c r="D50">
        <v>5</v>
      </c>
      <c r="E50">
        <v>1365</v>
      </c>
      <c r="F50">
        <v>1133.4100000000001</v>
      </c>
      <c r="G50">
        <f t="shared" si="0"/>
        <v>231.58999999999992</v>
      </c>
      <c r="H50" s="7">
        <f t="shared" si="1"/>
        <v>6825</v>
      </c>
      <c r="I50" s="7">
        <f t="shared" si="2"/>
        <v>5667.05</v>
      </c>
      <c r="J50" s="7">
        <f t="shared" si="3"/>
        <v>1157.9499999999998</v>
      </c>
    </row>
    <row r="51" spans="2:10" x14ac:dyDescent="0.35">
      <c r="B51" s="4">
        <v>45663</v>
      </c>
      <c r="C51" t="s">
        <v>10</v>
      </c>
      <c r="D51">
        <v>20</v>
      </c>
      <c r="E51">
        <v>1360</v>
      </c>
      <c r="F51">
        <v>1133.4100000000001</v>
      </c>
      <c r="G51">
        <f t="shared" si="0"/>
        <v>226.58999999999992</v>
      </c>
      <c r="H51" s="7">
        <f t="shared" si="1"/>
        <v>27200</v>
      </c>
      <c r="I51" s="7">
        <f t="shared" si="2"/>
        <v>22668.2</v>
      </c>
      <c r="J51" s="7">
        <f t="shared" si="3"/>
        <v>4531.7999999999993</v>
      </c>
    </row>
    <row r="52" spans="2:10" x14ac:dyDescent="0.35">
      <c r="B52" s="4">
        <v>45663</v>
      </c>
      <c r="C52" t="s">
        <v>10</v>
      </c>
      <c r="D52">
        <v>5</v>
      </c>
      <c r="E52">
        <v>1360</v>
      </c>
      <c r="F52">
        <v>1133.4100000000001</v>
      </c>
      <c r="G52">
        <f t="shared" si="0"/>
        <v>226.58999999999992</v>
      </c>
      <c r="H52" s="7">
        <f t="shared" si="1"/>
        <v>6800</v>
      </c>
      <c r="I52" s="7">
        <f t="shared" si="2"/>
        <v>5667.05</v>
      </c>
      <c r="J52" s="7">
        <f t="shared" si="3"/>
        <v>1132.9499999999998</v>
      </c>
    </row>
    <row r="53" spans="2:10" x14ac:dyDescent="0.35">
      <c r="B53" s="4">
        <v>45664</v>
      </c>
      <c r="C53" t="s">
        <v>10</v>
      </c>
      <c r="D53">
        <v>11</v>
      </c>
      <c r="E53">
        <v>1360</v>
      </c>
      <c r="F53">
        <v>1133.4100000000001</v>
      </c>
      <c r="G53">
        <f t="shared" si="0"/>
        <v>226.58999999999992</v>
      </c>
      <c r="H53" s="7">
        <f t="shared" si="1"/>
        <v>14960</v>
      </c>
      <c r="I53" s="7">
        <f t="shared" si="2"/>
        <v>12467.51</v>
      </c>
      <c r="J53" s="7">
        <f t="shared" si="3"/>
        <v>2492.4899999999998</v>
      </c>
    </row>
    <row r="54" spans="2:10" x14ac:dyDescent="0.35">
      <c r="B54" s="4">
        <v>45664</v>
      </c>
      <c r="C54" t="s">
        <v>10</v>
      </c>
      <c r="D54">
        <v>1</v>
      </c>
      <c r="E54">
        <v>1365</v>
      </c>
      <c r="F54">
        <v>1303</v>
      </c>
      <c r="G54">
        <f t="shared" si="0"/>
        <v>62</v>
      </c>
      <c r="H54" s="7">
        <f t="shared" si="1"/>
        <v>1365</v>
      </c>
      <c r="I54" s="7">
        <f t="shared" si="2"/>
        <v>1303</v>
      </c>
      <c r="J54" s="7">
        <f t="shared" si="3"/>
        <v>62</v>
      </c>
    </row>
    <row r="55" spans="2:10" x14ac:dyDescent="0.35">
      <c r="B55" s="4">
        <v>45678</v>
      </c>
      <c r="C55" t="s">
        <v>10</v>
      </c>
      <c r="D55">
        <v>25</v>
      </c>
      <c r="E55">
        <v>1275</v>
      </c>
      <c r="F55">
        <v>1133.4100000000001</v>
      </c>
      <c r="G55">
        <f t="shared" si="0"/>
        <v>141.58999999999992</v>
      </c>
      <c r="H55" s="7">
        <f t="shared" si="1"/>
        <v>31875</v>
      </c>
      <c r="I55" s="7">
        <f t="shared" si="2"/>
        <v>28335.250000000004</v>
      </c>
      <c r="J55" s="7">
        <f t="shared" si="3"/>
        <v>3539.7499999999964</v>
      </c>
    </row>
    <row r="56" spans="2:10" x14ac:dyDescent="0.35">
      <c r="B56" s="4">
        <v>45678</v>
      </c>
      <c r="C56" t="s">
        <v>10</v>
      </c>
      <c r="D56">
        <v>36</v>
      </c>
      <c r="E56">
        <v>1275</v>
      </c>
      <c r="F56">
        <v>1133.4100000000001</v>
      </c>
      <c r="G56">
        <f t="shared" si="0"/>
        <v>141.58999999999992</v>
      </c>
      <c r="H56" s="7">
        <f t="shared" si="1"/>
        <v>45900</v>
      </c>
      <c r="I56" s="7">
        <f t="shared" si="2"/>
        <v>40802.76</v>
      </c>
      <c r="J56" s="7">
        <f t="shared" si="3"/>
        <v>5097.239999999998</v>
      </c>
    </row>
    <row r="57" spans="2:10" x14ac:dyDescent="0.35">
      <c r="H57" s="7"/>
      <c r="I57" s="7"/>
    </row>
    <row r="58" spans="2:10" x14ac:dyDescent="0.35">
      <c r="H58" s="7">
        <f>SUM(H3:H57)</f>
        <v>1211087.6400000001</v>
      </c>
      <c r="I58" s="7">
        <f>SUM(I3:I57)</f>
        <v>1101461.4100000001</v>
      </c>
      <c r="J58" s="7">
        <f>SUM(J3:J57)</f>
        <v>109626.23000000001</v>
      </c>
    </row>
  </sheetData>
  <sortState xmlns:xlrd2="http://schemas.microsoft.com/office/spreadsheetml/2017/richdata2" ref="B3:F56">
    <sortCondition ref="C3:C5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02D6-57BF-4545-8497-EA9761DA05D7}">
  <dimension ref="C3:D28"/>
  <sheetViews>
    <sheetView tabSelected="1" zoomScale="85" zoomScaleNormal="85" workbookViewId="0">
      <selection activeCell="I13" sqref="I13"/>
    </sheetView>
  </sheetViews>
  <sheetFormatPr defaultRowHeight="14.5" x14ac:dyDescent="0.35"/>
  <cols>
    <col min="3" max="3" width="32.08984375" customWidth="1"/>
    <col min="4" max="4" width="35.08984375" customWidth="1"/>
    <col min="5" max="5" width="12.453125" customWidth="1"/>
  </cols>
  <sheetData>
    <row r="3" spans="3:4" ht="26" x14ac:dyDescent="0.6">
      <c r="C3" s="15" t="s">
        <v>45</v>
      </c>
      <c r="D3" s="15"/>
    </row>
    <row r="6" spans="3:4" ht="18.5" x14ac:dyDescent="0.45">
      <c r="C6" s="16" t="s">
        <v>27</v>
      </c>
      <c r="D6" s="16"/>
    </row>
    <row r="7" spans="3:4" ht="18.5" x14ac:dyDescent="0.45">
      <c r="C7" s="8" t="s">
        <v>28</v>
      </c>
      <c r="D7" s="9">
        <v>1211087</v>
      </c>
    </row>
    <row r="8" spans="3:4" ht="18.5" x14ac:dyDescent="0.45">
      <c r="C8" s="8" t="s">
        <v>29</v>
      </c>
      <c r="D8" s="9">
        <v>0</v>
      </c>
    </row>
    <row r="9" spans="3:4" ht="18.5" x14ac:dyDescent="0.45">
      <c r="C9" s="8" t="s">
        <v>30</v>
      </c>
      <c r="D9" s="9">
        <f>D7-D8</f>
        <v>1211087</v>
      </c>
    </row>
    <row r="10" spans="3:4" ht="18.5" x14ac:dyDescent="0.45">
      <c r="C10" s="10"/>
      <c r="D10" s="10"/>
    </row>
    <row r="11" spans="3:4" ht="18.5" x14ac:dyDescent="0.45">
      <c r="C11" s="16" t="s">
        <v>31</v>
      </c>
      <c r="D11" s="16"/>
    </row>
    <row r="12" spans="3:4" ht="18.5" x14ac:dyDescent="0.45">
      <c r="C12" s="8" t="s">
        <v>32</v>
      </c>
      <c r="D12" s="9">
        <v>1101461</v>
      </c>
    </row>
    <row r="13" spans="3:4" ht="18.5" x14ac:dyDescent="0.45">
      <c r="C13" s="11"/>
      <c r="D13" s="10"/>
    </row>
    <row r="14" spans="3:4" ht="18.5" x14ac:dyDescent="0.45">
      <c r="C14" s="8" t="s">
        <v>33</v>
      </c>
      <c r="D14" s="9">
        <f>D9-D12</f>
        <v>109626</v>
      </c>
    </row>
    <row r="15" spans="3:4" ht="18.5" x14ac:dyDescent="0.45">
      <c r="C15" s="10"/>
      <c r="D15" s="10"/>
    </row>
    <row r="16" spans="3:4" ht="18.5" x14ac:dyDescent="0.45">
      <c r="C16" s="16" t="s">
        <v>34</v>
      </c>
      <c r="D16" s="16"/>
    </row>
    <row r="17" spans="3:4" ht="18.5" x14ac:dyDescent="0.45">
      <c r="C17" s="8" t="s">
        <v>35</v>
      </c>
      <c r="D17" s="9">
        <v>8050</v>
      </c>
    </row>
    <row r="18" spans="3:4" ht="18.5" x14ac:dyDescent="0.45">
      <c r="C18" s="8"/>
      <c r="D18" s="9">
        <v>0</v>
      </c>
    </row>
    <row r="19" spans="3:4" ht="18.5" x14ac:dyDescent="0.45">
      <c r="C19" s="8" t="s">
        <v>36</v>
      </c>
      <c r="D19" s="9">
        <v>880</v>
      </c>
    </row>
    <row r="20" spans="3:4" ht="18.5" x14ac:dyDescent="0.45">
      <c r="C20" s="8" t="s">
        <v>37</v>
      </c>
      <c r="D20" s="9">
        <v>16208</v>
      </c>
    </row>
    <row r="21" spans="3:4" ht="18.5" x14ac:dyDescent="0.45">
      <c r="C21" s="8" t="s">
        <v>38</v>
      </c>
      <c r="D21" s="9">
        <v>7500</v>
      </c>
    </row>
    <row r="22" spans="3:4" ht="18.5" x14ac:dyDescent="0.45">
      <c r="C22" s="8" t="s">
        <v>39</v>
      </c>
      <c r="D22" s="9">
        <v>200</v>
      </c>
    </row>
    <row r="23" spans="3:4" ht="18.5" x14ac:dyDescent="0.45">
      <c r="C23" s="8" t="s">
        <v>40</v>
      </c>
      <c r="D23" s="9">
        <v>4490</v>
      </c>
    </row>
    <row r="24" spans="3:4" ht="18.5" x14ac:dyDescent="0.45">
      <c r="C24" s="8" t="s">
        <v>42</v>
      </c>
      <c r="D24" s="12">
        <v>740</v>
      </c>
    </row>
    <row r="25" spans="3:4" ht="18.5" x14ac:dyDescent="0.45">
      <c r="C25" s="8" t="s">
        <v>43</v>
      </c>
      <c r="D25" s="9">
        <v>33</v>
      </c>
    </row>
    <row r="26" spans="3:4" ht="18.5" x14ac:dyDescent="0.45">
      <c r="C26" s="11" t="s">
        <v>44</v>
      </c>
      <c r="D26" s="12">
        <f>SUM(D17:D25)</f>
        <v>38101</v>
      </c>
    </row>
    <row r="27" spans="3:4" ht="18.5" x14ac:dyDescent="0.45">
      <c r="C27" s="11"/>
      <c r="D27" s="12"/>
    </row>
    <row r="28" spans="3:4" ht="26" x14ac:dyDescent="0.6">
      <c r="C28" s="13" t="s">
        <v>41</v>
      </c>
      <c r="D28" s="14">
        <f>D14-D26</f>
        <v>71525</v>
      </c>
    </row>
  </sheetData>
  <mergeCells count="4">
    <mergeCell ref="C3:D3"/>
    <mergeCell ref="C6:D6"/>
    <mergeCell ref="C11:D11"/>
    <mergeCell ref="C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dell5300</cp:lastModifiedBy>
  <dcterms:created xsi:type="dcterms:W3CDTF">2025-05-05T17:26:14Z</dcterms:created>
  <dcterms:modified xsi:type="dcterms:W3CDTF">2025-05-11T17:03:10Z</dcterms:modified>
</cp:coreProperties>
</file>