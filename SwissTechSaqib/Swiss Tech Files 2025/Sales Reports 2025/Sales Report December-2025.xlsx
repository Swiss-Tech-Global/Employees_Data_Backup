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418F3D65-EF44-4516-80AC-ECDB552A34D2}" xr6:coauthVersionLast="47" xr6:coauthVersionMax="47" xr10:uidLastSave="{00000000-0000-0000-0000-000000000000}"/>
  <bookViews>
    <workbookView xWindow="-120" yWindow="-120" windowWidth="29040" windowHeight="15720" activeTab="3" xr2:uid="{7456EC64-47DB-466C-BFE7-FB1C06B32674}"/>
  </bookViews>
  <sheets>
    <sheet name="Sheet1" sheetId="1" r:id="rId1"/>
    <sheet name="Australia" sheetId="2" r:id="rId2"/>
    <sheet name="Usa" sheetId="3" r:id="rId3"/>
    <sheet name="Karachi &amp; Dxb" sheetId="4" r:id="rId4"/>
    <sheet name="Newzealan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37" i="1" l="1"/>
  <c r="C20" i="5"/>
  <c r="C103" i="2"/>
  <c r="C44" i="4"/>
  <c r="C42" i="4"/>
  <c r="C419" i="3" l="1"/>
  <c r="C417" i="3"/>
  <c r="K32" i="4"/>
  <c r="K10" i="5"/>
  <c r="H10" i="5"/>
  <c r="I10" i="5"/>
  <c r="J10" i="5"/>
  <c r="H32" i="4"/>
  <c r="H405" i="3"/>
  <c r="K403" i="3"/>
  <c r="I403" i="3"/>
  <c r="H403" i="3"/>
  <c r="J403" i="3" s="1"/>
  <c r="G403" i="3"/>
  <c r="K402" i="3"/>
  <c r="I402" i="3"/>
  <c r="J402" i="3" s="1"/>
  <c r="H402" i="3"/>
  <c r="G402" i="3"/>
  <c r="K401" i="3"/>
  <c r="J401" i="3"/>
  <c r="I401" i="3"/>
  <c r="H401" i="3"/>
  <c r="G401" i="3"/>
  <c r="K400" i="3"/>
  <c r="I400" i="3"/>
  <c r="J400" i="3" s="1"/>
  <c r="H400" i="3"/>
  <c r="G400" i="3"/>
  <c r="K399" i="3"/>
  <c r="I399" i="3"/>
  <c r="H399" i="3"/>
  <c r="J399" i="3" s="1"/>
  <c r="G399" i="3"/>
  <c r="K398" i="3"/>
  <c r="I398" i="3"/>
  <c r="H398" i="3"/>
  <c r="J398" i="3" s="1"/>
  <c r="G398" i="3"/>
  <c r="K397" i="3"/>
  <c r="J397" i="3"/>
  <c r="I397" i="3"/>
  <c r="H397" i="3"/>
  <c r="G397" i="3"/>
  <c r="K396" i="3"/>
  <c r="I396" i="3"/>
  <c r="H396" i="3"/>
  <c r="J396" i="3" s="1"/>
  <c r="G396" i="3"/>
  <c r="K395" i="3"/>
  <c r="I395" i="3"/>
  <c r="H395" i="3"/>
  <c r="J395" i="3" s="1"/>
  <c r="G395" i="3"/>
  <c r="K394" i="3"/>
  <c r="I394" i="3"/>
  <c r="J394" i="3" s="1"/>
  <c r="H394" i="3"/>
  <c r="G394" i="3"/>
  <c r="K393" i="3"/>
  <c r="J393" i="3"/>
  <c r="I393" i="3"/>
  <c r="H393" i="3"/>
  <c r="G393" i="3"/>
  <c r="K392" i="3"/>
  <c r="I392" i="3"/>
  <c r="J392" i="3" s="1"/>
  <c r="H392" i="3"/>
  <c r="G392" i="3"/>
  <c r="K391" i="3"/>
  <c r="I391" i="3"/>
  <c r="H391" i="3"/>
  <c r="J391" i="3" s="1"/>
  <c r="G391" i="3"/>
  <c r="K390" i="3"/>
  <c r="I390" i="3"/>
  <c r="H390" i="3"/>
  <c r="J390" i="3" s="1"/>
  <c r="G390" i="3"/>
  <c r="K389" i="3"/>
  <c r="J389" i="3"/>
  <c r="I389" i="3"/>
  <c r="H389" i="3"/>
  <c r="G389" i="3"/>
  <c r="K388" i="3"/>
  <c r="I388" i="3"/>
  <c r="H388" i="3"/>
  <c r="J388" i="3" s="1"/>
  <c r="G388" i="3"/>
  <c r="K387" i="3"/>
  <c r="I387" i="3"/>
  <c r="H387" i="3"/>
  <c r="J387" i="3" s="1"/>
  <c r="G387" i="3"/>
  <c r="K386" i="3"/>
  <c r="I386" i="3"/>
  <c r="J386" i="3" s="1"/>
  <c r="H386" i="3"/>
  <c r="G386" i="3"/>
  <c r="K385" i="3"/>
  <c r="J385" i="3"/>
  <c r="I385" i="3"/>
  <c r="H385" i="3"/>
  <c r="G385" i="3"/>
  <c r="K384" i="3"/>
  <c r="I384" i="3"/>
  <c r="H384" i="3"/>
  <c r="J384" i="3" s="1"/>
  <c r="G384" i="3"/>
  <c r="K383" i="3"/>
  <c r="I383" i="3"/>
  <c r="H383" i="3"/>
  <c r="J383" i="3" s="1"/>
  <c r="G383" i="3"/>
  <c r="K382" i="3"/>
  <c r="I382" i="3"/>
  <c r="H382" i="3"/>
  <c r="J382" i="3" s="1"/>
  <c r="G382" i="3"/>
  <c r="K381" i="3"/>
  <c r="J381" i="3"/>
  <c r="I381" i="3"/>
  <c r="H381" i="3"/>
  <c r="G381" i="3"/>
  <c r="K380" i="3"/>
  <c r="I380" i="3"/>
  <c r="H380" i="3"/>
  <c r="J380" i="3" s="1"/>
  <c r="G380" i="3"/>
  <c r="K379" i="3"/>
  <c r="I379" i="3"/>
  <c r="H379" i="3"/>
  <c r="J379" i="3" s="1"/>
  <c r="G379" i="3"/>
  <c r="K378" i="3"/>
  <c r="I378" i="3"/>
  <c r="J378" i="3" s="1"/>
  <c r="H378" i="3"/>
  <c r="G378" i="3"/>
  <c r="K377" i="3"/>
  <c r="J377" i="3"/>
  <c r="I377" i="3"/>
  <c r="H377" i="3"/>
  <c r="G377" i="3"/>
  <c r="K376" i="3"/>
  <c r="I376" i="3"/>
  <c r="H376" i="3"/>
  <c r="J376" i="3" s="1"/>
  <c r="G376" i="3"/>
  <c r="K375" i="3"/>
  <c r="I375" i="3"/>
  <c r="H375" i="3"/>
  <c r="J375" i="3" s="1"/>
  <c r="G375" i="3"/>
  <c r="K374" i="3"/>
  <c r="I374" i="3"/>
  <c r="H374" i="3"/>
  <c r="J374" i="3" s="1"/>
  <c r="G374" i="3"/>
  <c r="K373" i="3"/>
  <c r="J373" i="3"/>
  <c r="I373" i="3"/>
  <c r="H373" i="3"/>
  <c r="G373" i="3"/>
  <c r="K372" i="3"/>
  <c r="I372" i="3"/>
  <c r="H372" i="3"/>
  <c r="J372" i="3" s="1"/>
  <c r="G372" i="3"/>
  <c r="K371" i="3"/>
  <c r="I371" i="3"/>
  <c r="H371" i="3"/>
  <c r="J371" i="3" s="1"/>
  <c r="G371" i="3"/>
  <c r="K370" i="3"/>
  <c r="I370" i="3"/>
  <c r="J370" i="3" s="1"/>
  <c r="H370" i="3"/>
  <c r="G370" i="3"/>
  <c r="K369" i="3"/>
  <c r="J369" i="3"/>
  <c r="I369" i="3"/>
  <c r="H369" i="3"/>
  <c r="G369" i="3"/>
  <c r="K368" i="3"/>
  <c r="I368" i="3"/>
  <c r="H368" i="3"/>
  <c r="J368" i="3" s="1"/>
  <c r="G368" i="3"/>
  <c r="K367" i="3"/>
  <c r="I367" i="3"/>
  <c r="H367" i="3"/>
  <c r="J367" i="3" s="1"/>
  <c r="G367" i="3"/>
  <c r="K366" i="3"/>
  <c r="I366" i="3"/>
  <c r="J366" i="3" s="1"/>
  <c r="H366" i="3"/>
  <c r="G366" i="3"/>
  <c r="K365" i="3"/>
  <c r="J365" i="3"/>
  <c r="I365" i="3"/>
  <c r="H365" i="3"/>
  <c r="G365" i="3"/>
  <c r="K364" i="3"/>
  <c r="I364" i="3"/>
  <c r="H364" i="3"/>
  <c r="J364" i="3" s="1"/>
  <c r="G364" i="3"/>
  <c r="K363" i="3"/>
  <c r="I363" i="3"/>
  <c r="H363" i="3"/>
  <c r="J363" i="3" s="1"/>
  <c r="G363" i="3"/>
  <c r="K362" i="3"/>
  <c r="I362" i="3"/>
  <c r="J362" i="3" s="1"/>
  <c r="H362" i="3"/>
  <c r="G362" i="3"/>
  <c r="K361" i="3"/>
  <c r="J361" i="3"/>
  <c r="I361" i="3"/>
  <c r="H361" i="3"/>
  <c r="G361" i="3"/>
  <c r="K360" i="3"/>
  <c r="I360" i="3"/>
  <c r="H360" i="3"/>
  <c r="J360" i="3" s="1"/>
  <c r="G360" i="3"/>
  <c r="K359" i="3"/>
  <c r="I359" i="3"/>
  <c r="H359" i="3"/>
  <c r="J359" i="3" s="1"/>
  <c r="G359" i="3"/>
  <c r="K358" i="3"/>
  <c r="I358" i="3"/>
  <c r="H358" i="3"/>
  <c r="J358" i="3" s="1"/>
  <c r="G358" i="3"/>
  <c r="K357" i="3"/>
  <c r="J357" i="3"/>
  <c r="I357" i="3"/>
  <c r="H357" i="3"/>
  <c r="G357" i="3"/>
  <c r="K356" i="3"/>
  <c r="I356" i="3"/>
  <c r="H356" i="3"/>
  <c r="J356" i="3" s="1"/>
  <c r="G356" i="3"/>
  <c r="K355" i="3"/>
  <c r="I355" i="3"/>
  <c r="H355" i="3"/>
  <c r="J355" i="3" s="1"/>
  <c r="G355" i="3"/>
  <c r="K354" i="3"/>
  <c r="I354" i="3"/>
  <c r="J354" i="3" s="1"/>
  <c r="H354" i="3"/>
  <c r="G354" i="3"/>
  <c r="K353" i="3"/>
  <c r="J353" i="3"/>
  <c r="I353" i="3"/>
  <c r="H353" i="3"/>
  <c r="G353" i="3"/>
  <c r="K352" i="3"/>
  <c r="I352" i="3"/>
  <c r="H352" i="3"/>
  <c r="J352" i="3" s="1"/>
  <c r="G352" i="3"/>
  <c r="K351" i="3"/>
  <c r="I351" i="3"/>
  <c r="H351" i="3"/>
  <c r="J351" i="3" s="1"/>
  <c r="G351" i="3"/>
  <c r="K350" i="3"/>
  <c r="I350" i="3"/>
  <c r="H350" i="3"/>
  <c r="J350" i="3" s="1"/>
  <c r="G350" i="3"/>
  <c r="K349" i="3"/>
  <c r="J349" i="3"/>
  <c r="I349" i="3"/>
  <c r="H349" i="3"/>
  <c r="G349" i="3"/>
  <c r="K348" i="3"/>
  <c r="I348" i="3"/>
  <c r="H348" i="3"/>
  <c r="J348" i="3" s="1"/>
  <c r="G348" i="3"/>
  <c r="K347" i="3"/>
  <c r="I347" i="3"/>
  <c r="H347" i="3"/>
  <c r="J347" i="3" s="1"/>
  <c r="G347" i="3"/>
  <c r="K346" i="3"/>
  <c r="I346" i="3"/>
  <c r="J346" i="3" s="1"/>
  <c r="H346" i="3"/>
  <c r="G346" i="3"/>
  <c r="K345" i="3"/>
  <c r="J345" i="3"/>
  <c r="I345" i="3"/>
  <c r="H345" i="3"/>
  <c r="G345" i="3"/>
  <c r="K344" i="3"/>
  <c r="I344" i="3"/>
  <c r="H344" i="3"/>
  <c r="J344" i="3" s="1"/>
  <c r="G344" i="3"/>
  <c r="K343" i="3"/>
  <c r="I343" i="3"/>
  <c r="H343" i="3"/>
  <c r="J343" i="3" s="1"/>
  <c r="G343" i="3"/>
  <c r="K342" i="3"/>
  <c r="I342" i="3"/>
  <c r="H342" i="3"/>
  <c r="J342" i="3" s="1"/>
  <c r="G342" i="3"/>
  <c r="K341" i="3"/>
  <c r="J341" i="3"/>
  <c r="I341" i="3"/>
  <c r="H341" i="3"/>
  <c r="G341" i="3"/>
  <c r="K340" i="3"/>
  <c r="I340" i="3"/>
  <c r="H340" i="3"/>
  <c r="J340" i="3" s="1"/>
  <c r="G340" i="3"/>
  <c r="K339" i="3"/>
  <c r="I339" i="3"/>
  <c r="H339" i="3"/>
  <c r="J339" i="3" s="1"/>
  <c r="G339" i="3"/>
  <c r="K338" i="3"/>
  <c r="I338" i="3"/>
  <c r="J338" i="3" s="1"/>
  <c r="H338" i="3"/>
  <c r="G338" i="3"/>
  <c r="K337" i="3"/>
  <c r="J337" i="3"/>
  <c r="I337" i="3"/>
  <c r="H337" i="3"/>
  <c r="G337" i="3"/>
  <c r="K336" i="3"/>
  <c r="I336" i="3"/>
  <c r="H336" i="3"/>
  <c r="J336" i="3" s="1"/>
  <c r="G336" i="3"/>
  <c r="K335" i="3"/>
  <c r="I335" i="3"/>
  <c r="H335" i="3"/>
  <c r="J335" i="3" s="1"/>
  <c r="G335" i="3"/>
  <c r="K334" i="3"/>
  <c r="I334" i="3"/>
  <c r="H334" i="3"/>
  <c r="J334" i="3" s="1"/>
  <c r="G334" i="3"/>
  <c r="K333" i="3"/>
  <c r="J333" i="3"/>
  <c r="I333" i="3"/>
  <c r="H333" i="3"/>
  <c r="G333" i="3"/>
  <c r="K332" i="3"/>
  <c r="I332" i="3"/>
  <c r="H332" i="3"/>
  <c r="J332" i="3" s="1"/>
  <c r="G332" i="3"/>
  <c r="K331" i="3"/>
  <c r="I331" i="3"/>
  <c r="H331" i="3"/>
  <c r="J331" i="3" s="1"/>
  <c r="G331" i="3"/>
  <c r="K330" i="3"/>
  <c r="I330" i="3"/>
  <c r="J330" i="3" s="1"/>
  <c r="H330" i="3"/>
  <c r="G330" i="3"/>
  <c r="K329" i="3"/>
  <c r="J329" i="3"/>
  <c r="I329" i="3"/>
  <c r="H329" i="3"/>
  <c r="G329" i="3"/>
  <c r="K328" i="3"/>
  <c r="I328" i="3"/>
  <c r="H328" i="3"/>
  <c r="J328" i="3" s="1"/>
  <c r="G328" i="3"/>
  <c r="K327" i="3"/>
  <c r="I327" i="3"/>
  <c r="H327" i="3"/>
  <c r="J327" i="3" s="1"/>
  <c r="G327" i="3"/>
  <c r="K326" i="3"/>
  <c r="I326" i="3"/>
  <c r="J326" i="3" s="1"/>
  <c r="H326" i="3"/>
  <c r="G326" i="3"/>
  <c r="K325" i="3"/>
  <c r="J325" i="3"/>
  <c r="I325" i="3"/>
  <c r="H325" i="3"/>
  <c r="G325" i="3"/>
  <c r="K324" i="3"/>
  <c r="I324" i="3"/>
  <c r="H324" i="3"/>
  <c r="J324" i="3" s="1"/>
  <c r="G324" i="3"/>
  <c r="K323" i="3"/>
  <c r="I323" i="3"/>
  <c r="H323" i="3"/>
  <c r="J323" i="3" s="1"/>
  <c r="G323" i="3"/>
  <c r="K322" i="3"/>
  <c r="I322" i="3"/>
  <c r="J322" i="3" s="1"/>
  <c r="H322" i="3"/>
  <c r="G322" i="3"/>
  <c r="K321" i="3"/>
  <c r="J321" i="3"/>
  <c r="I321" i="3"/>
  <c r="H321" i="3"/>
  <c r="G321" i="3"/>
  <c r="K320" i="3"/>
  <c r="I320" i="3"/>
  <c r="H320" i="3"/>
  <c r="J320" i="3" s="1"/>
  <c r="G320" i="3"/>
  <c r="K319" i="3"/>
  <c r="I319" i="3"/>
  <c r="H319" i="3"/>
  <c r="J319" i="3" s="1"/>
  <c r="G319" i="3"/>
  <c r="K318" i="3"/>
  <c r="I318" i="3"/>
  <c r="H318" i="3"/>
  <c r="J318" i="3" s="1"/>
  <c r="G318" i="3"/>
  <c r="K317" i="3"/>
  <c r="J317" i="3"/>
  <c r="I317" i="3"/>
  <c r="H317" i="3"/>
  <c r="G317" i="3"/>
  <c r="K316" i="3"/>
  <c r="I316" i="3"/>
  <c r="H316" i="3"/>
  <c r="J316" i="3" s="1"/>
  <c r="G316" i="3"/>
  <c r="K315" i="3"/>
  <c r="I315" i="3"/>
  <c r="H315" i="3"/>
  <c r="J315" i="3" s="1"/>
  <c r="G315" i="3"/>
  <c r="K314" i="3"/>
  <c r="I314" i="3"/>
  <c r="J314" i="3" s="1"/>
  <c r="H314" i="3"/>
  <c r="G314" i="3"/>
  <c r="K313" i="3"/>
  <c r="J313" i="3"/>
  <c r="I313" i="3"/>
  <c r="H313" i="3"/>
  <c r="G313" i="3"/>
  <c r="K312" i="3"/>
  <c r="I312" i="3"/>
  <c r="H312" i="3"/>
  <c r="J312" i="3" s="1"/>
  <c r="G312" i="3"/>
  <c r="K311" i="3"/>
  <c r="I311" i="3"/>
  <c r="H311" i="3"/>
  <c r="J311" i="3" s="1"/>
  <c r="G311" i="3"/>
  <c r="K310" i="3"/>
  <c r="I310" i="3"/>
  <c r="H310" i="3"/>
  <c r="J310" i="3" s="1"/>
  <c r="G310" i="3"/>
  <c r="K309" i="3"/>
  <c r="J309" i="3"/>
  <c r="I309" i="3"/>
  <c r="H309" i="3"/>
  <c r="G309" i="3"/>
  <c r="K308" i="3"/>
  <c r="I308" i="3"/>
  <c r="H308" i="3"/>
  <c r="J308" i="3" s="1"/>
  <c r="G308" i="3"/>
  <c r="K307" i="3"/>
  <c r="I307" i="3"/>
  <c r="H307" i="3"/>
  <c r="J307" i="3" s="1"/>
  <c r="G307" i="3"/>
  <c r="K306" i="3"/>
  <c r="I306" i="3"/>
  <c r="J306" i="3" s="1"/>
  <c r="H306" i="3"/>
  <c r="G306" i="3"/>
  <c r="K305" i="3"/>
  <c r="J305" i="3"/>
  <c r="I305" i="3"/>
  <c r="H305" i="3"/>
  <c r="G305" i="3"/>
  <c r="K304" i="3"/>
  <c r="I304" i="3"/>
  <c r="H304" i="3"/>
  <c r="J304" i="3" s="1"/>
  <c r="G304" i="3"/>
  <c r="K303" i="3"/>
  <c r="I303" i="3"/>
  <c r="H303" i="3"/>
  <c r="J303" i="3" s="1"/>
  <c r="G303" i="3"/>
  <c r="K302" i="3"/>
  <c r="I302" i="3"/>
  <c r="H302" i="3"/>
  <c r="J302" i="3" s="1"/>
  <c r="G302" i="3"/>
  <c r="K301" i="3"/>
  <c r="J301" i="3"/>
  <c r="I301" i="3"/>
  <c r="H301" i="3"/>
  <c r="G301" i="3"/>
  <c r="K300" i="3"/>
  <c r="I300" i="3"/>
  <c r="H300" i="3"/>
  <c r="J300" i="3" s="1"/>
  <c r="G300" i="3"/>
  <c r="K299" i="3"/>
  <c r="I299" i="3"/>
  <c r="H299" i="3"/>
  <c r="J299" i="3" s="1"/>
  <c r="G299" i="3"/>
  <c r="K298" i="3"/>
  <c r="I298" i="3"/>
  <c r="J298" i="3" s="1"/>
  <c r="H298" i="3"/>
  <c r="G298" i="3"/>
  <c r="K297" i="3"/>
  <c r="J297" i="3"/>
  <c r="I297" i="3"/>
  <c r="H297" i="3"/>
  <c r="G297" i="3"/>
  <c r="K296" i="3"/>
  <c r="I296" i="3"/>
  <c r="H296" i="3"/>
  <c r="J296" i="3" s="1"/>
  <c r="G296" i="3"/>
  <c r="K295" i="3"/>
  <c r="I295" i="3"/>
  <c r="H295" i="3"/>
  <c r="J295" i="3" s="1"/>
  <c r="G295" i="3"/>
  <c r="K294" i="3"/>
  <c r="I294" i="3"/>
  <c r="H294" i="3"/>
  <c r="J294" i="3" s="1"/>
  <c r="G294" i="3"/>
  <c r="K293" i="3"/>
  <c r="J293" i="3"/>
  <c r="I293" i="3"/>
  <c r="H293" i="3"/>
  <c r="G293" i="3"/>
  <c r="K292" i="3"/>
  <c r="I292" i="3"/>
  <c r="H292" i="3"/>
  <c r="J292" i="3" s="1"/>
  <c r="G292" i="3"/>
  <c r="K291" i="3"/>
  <c r="I291" i="3"/>
  <c r="H291" i="3"/>
  <c r="J291" i="3" s="1"/>
  <c r="G291" i="3"/>
  <c r="K290" i="3"/>
  <c r="I290" i="3"/>
  <c r="J290" i="3" s="1"/>
  <c r="H290" i="3"/>
  <c r="G290" i="3"/>
  <c r="K289" i="3"/>
  <c r="J289" i="3"/>
  <c r="I289" i="3"/>
  <c r="H289" i="3"/>
  <c r="G289" i="3"/>
  <c r="K288" i="3"/>
  <c r="I288" i="3"/>
  <c r="H288" i="3"/>
  <c r="J288" i="3" s="1"/>
  <c r="G288" i="3"/>
  <c r="K287" i="3"/>
  <c r="I287" i="3"/>
  <c r="H287" i="3"/>
  <c r="J287" i="3" s="1"/>
  <c r="G287" i="3"/>
  <c r="K286" i="3"/>
  <c r="I286" i="3"/>
  <c r="H286" i="3"/>
  <c r="J286" i="3" s="1"/>
  <c r="G286" i="3"/>
  <c r="K285" i="3"/>
  <c r="J285" i="3"/>
  <c r="I285" i="3"/>
  <c r="H285" i="3"/>
  <c r="G285" i="3"/>
  <c r="K284" i="3"/>
  <c r="I284" i="3"/>
  <c r="H284" i="3"/>
  <c r="J284" i="3" s="1"/>
  <c r="G284" i="3"/>
  <c r="K283" i="3"/>
  <c r="I283" i="3"/>
  <c r="H283" i="3"/>
  <c r="J283" i="3" s="1"/>
  <c r="G283" i="3"/>
  <c r="K282" i="3"/>
  <c r="I282" i="3"/>
  <c r="J282" i="3" s="1"/>
  <c r="H282" i="3"/>
  <c r="G282" i="3"/>
  <c r="K281" i="3"/>
  <c r="J281" i="3"/>
  <c r="I281" i="3"/>
  <c r="H281" i="3"/>
  <c r="G281" i="3"/>
  <c r="K280" i="3"/>
  <c r="I280" i="3"/>
  <c r="H280" i="3"/>
  <c r="J280" i="3" s="1"/>
  <c r="G280" i="3"/>
  <c r="K279" i="3"/>
  <c r="I279" i="3"/>
  <c r="H279" i="3"/>
  <c r="J279" i="3" s="1"/>
  <c r="G279" i="3"/>
  <c r="K278" i="3"/>
  <c r="I278" i="3"/>
  <c r="H278" i="3"/>
  <c r="J278" i="3" s="1"/>
  <c r="G278" i="3"/>
  <c r="K277" i="3"/>
  <c r="J277" i="3"/>
  <c r="I277" i="3"/>
  <c r="H277" i="3"/>
  <c r="G277" i="3"/>
  <c r="K276" i="3"/>
  <c r="I276" i="3"/>
  <c r="H276" i="3"/>
  <c r="J276" i="3" s="1"/>
  <c r="G276" i="3"/>
  <c r="K275" i="3"/>
  <c r="I275" i="3"/>
  <c r="H275" i="3"/>
  <c r="J275" i="3" s="1"/>
  <c r="G275" i="3"/>
  <c r="K274" i="3"/>
  <c r="I274" i="3"/>
  <c r="J274" i="3" s="1"/>
  <c r="H274" i="3"/>
  <c r="G274" i="3"/>
  <c r="K273" i="3"/>
  <c r="J273" i="3"/>
  <c r="I273" i="3"/>
  <c r="H273" i="3"/>
  <c r="G273" i="3"/>
  <c r="K272" i="3"/>
  <c r="I272" i="3"/>
  <c r="H272" i="3"/>
  <c r="J272" i="3" s="1"/>
  <c r="G272" i="3"/>
  <c r="K271" i="3"/>
  <c r="I271" i="3"/>
  <c r="H271" i="3"/>
  <c r="J271" i="3" s="1"/>
  <c r="G271" i="3"/>
  <c r="K270" i="3"/>
  <c r="I270" i="3"/>
  <c r="H270" i="3"/>
  <c r="J270" i="3" s="1"/>
  <c r="G270" i="3"/>
  <c r="K269" i="3"/>
  <c r="J269" i="3"/>
  <c r="I269" i="3"/>
  <c r="H269" i="3"/>
  <c r="G269" i="3"/>
  <c r="K268" i="3"/>
  <c r="I268" i="3"/>
  <c r="H268" i="3"/>
  <c r="J268" i="3" s="1"/>
  <c r="G268" i="3"/>
  <c r="K267" i="3"/>
  <c r="I267" i="3"/>
  <c r="H267" i="3"/>
  <c r="J267" i="3" s="1"/>
  <c r="G267" i="3"/>
  <c r="K266" i="3"/>
  <c r="I266" i="3"/>
  <c r="J266" i="3" s="1"/>
  <c r="H266" i="3"/>
  <c r="G266" i="3"/>
  <c r="K265" i="3"/>
  <c r="J265" i="3"/>
  <c r="I265" i="3"/>
  <c r="H265" i="3"/>
  <c r="G265" i="3"/>
  <c r="K264" i="3"/>
  <c r="I264" i="3"/>
  <c r="J264" i="3" s="1"/>
  <c r="H264" i="3"/>
  <c r="G264" i="3"/>
  <c r="K263" i="3"/>
  <c r="I263" i="3"/>
  <c r="H263" i="3"/>
  <c r="J263" i="3" s="1"/>
  <c r="G263" i="3"/>
  <c r="K262" i="3"/>
  <c r="I262" i="3"/>
  <c r="H262" i="3"/>
  <c r="J262" i="3" s="1"/>
  <c r="G262" i="3"/>
  <c r="K261" i="3"/>
  <c r="J261" i="3"/>
  <c r="I261" i="3"/>
  <c r="H261" i="3"/>
  <c r="G261" i="3"/>
  <c r="K260" i="3"/>
  <c r="I260" i="3"/>
  <c r="H260" i="3"/>
  <c r="J260" i="3" s="1"/>
  <c r="G260" i="3"/>
  <c r="K259" i="3"/>
  <c r="I259" i="3"/>
  <c r="H259" i="3"/>
  <c r="J259" i="3" s="1"/>
  <c r="G259" i="3"/>
  <c r="K258" i="3"/>
  <c r="I258" i="3"/>
  <c r="J258" i="3" s="1"/>
  <c r="H258" i="3"/>
  <c r="G258" i="3"/>
  <c r="K257" i="3"/>
  <c r="J257" i="3"/>
  <c r="I257" i="3"/>
  <c r="H257" i="3"/>
  <c r="G257" i="3"/>
  <c r="K256" i="3"/>
  <c r="I256" i="3"/>
  <c r="J256" i="3" s="1"/>
  <c r="H256" i="3"/>
  <c r="G256" i="3"/>
  <c r="K255" i="3"/>
  <c r="I255" i="3"/>
  <c r="H255" i="3"/>
  <c r="J255" i="3" s="1"/>
  <c r="G255" i="3"/>
  <c r="K254" i="3"/>
  <c r="I254" i="3"/>
  <c r="H254" i="3"/>
  <c r="J254" i="3" s="1"/>
  <c r="G254" i="3"/>
  <c r="K253" i="3"/>
  <c r="J253" i="3"/>
  <c r="I253" i="3"/>
  <c r="H253" i="3"/>
  <c r="G253" i="3"/>
  <c r="K252" i="3"/>
  <c r="I252" i="3"/>
  <c r="H252" i="3"/>
  <c r="J252" i="3" s="1"/>
  <c r="G252" i="3"/>
  <c r="K251" i="3"/>
  <c r="I251" i="3"/>
  <c r="H251" i="3"/>
  <c r="J251" i="3" s="1"/>
  <c r="G251" i="3"/>
  <c r="K250" i="3"/>
  <c r="I250" i="3"/>
  <c r="J250" i="3" s="1"/>
  <c r="H250" i="3"/>
  <c r="G250" i="3"/>
  <c r="K249" i="3"/>
  <c r="J249" i="3"/>
  <c r="I249" i="3"/>
  <c r="H249" i="3"/>
  <c r="G249" i="3"/>
  <c r="K248" i="3"/>
  <c r="I248" i="3"/>
  <c r="H248" i="3"/>
  <c r="J248" i="3" s="1"/>
  <c r="G248" i="3"/>
  <c r="K247" i="3"/>
  <c r="I247" i="3"/>
  <c r="H247" i="3"/>
  <c r="J247" i="3" s="1"/>
  <c r="G247" i="3"/>
  <c r="K246" i="3"/>
  <c r="I246" i="3"/>
  <c r="H246" i="3"/>
  <c r="J246" i="3" s="1"/>
  <c r="G246" i="3"/>
  <c r="K245" i="3"/>
  <c r="J245" i="3"/>
  <c r="I245" i="3"/>
  <c r="H245" i="3"/>
  <c r="G245" i="3"/>
  <c r="K244" i="3"/>
  <c r="I244" i="3"/>
  <c r="H244" i="3"/>
  <c r="J244" i="3" s="1"/>
  <c r="G244" i="3"/>
  <c r="K243" i="3"/>
  <c r="I243" i="3"/>
  <c r="H243" i="3"/>
  <c r="J243" i="3" s="1"/>
  <c r="G243" i="3"/>
  <c r="K242" i="3"/>
  <c r="I242" i="3"/>
  <c r="J242" i="3" s="1"/>
  <c r="H242" i="3"/>
  <c r="G242" i="3"/>
  <c r="K241" i="3"/>
  <c r="J241" i="3"/>
  <c r="I241" i="3"/>
  <c r="H241" i="3"/>
  <c r="G241" i="3"/>
  <c r="K240" i="3"/>
  <c r="I240" i="3"/>
  <c r="J240" i="3" s="1"/>
  <c r="H240" i="3"/>
  <c r="G240" i="3"/>
  <c r="K239" i="3"/>
  <c r="I239" i="3"/>
  <c r="H239" i="3"/>
  <c r="J239" i="3" s="1"/>
  <c r="G239" i="3"/>
  <c r="K238" i="3"/>
  <c r="I238" i="3"/>
  <c r="H238" i="3"/>
  <c r="J238" i="3" s="1"/>
  <c r="G238" i="3"/>
  <c r="K237" i="3"/>
  <c r="J237" i="3"/>
  <c r="I237" i="3"/>
  <c r="H237" i="3"/>
  <c r="G237" i="3"/>
  <c r="K236" i="3"/>
  <c r="I236" i="3"/>
  <c r="H236" i="3"/>
  <c r="J236" i="3" s="1"/>
  <c r="G236" i="3"/>
  <c r="K235" i="3"/>
  <c r="I235" i="3"/>
  <c r="H235" i="3"/>
  <c r="J235" i="3" s="1"/>
  <c r="G235" i="3"/>
  <c r="K234" i="3"/>
  <c r="I234" i="3"/>
  <c r="J234" i="3" s="1"/>
  <c r="H234" i="3"/>
  <c r="G234" i="3"/>
  <c r="K233" i="3"/>
  <c r="J233" i="3"/>
  <c r="I233" i="3"/>
  <c r="H233" i="3"/>
  <c r="G233" i="3"/>
  <c r="K232" i="3"/>
  <c r="I232" i="3"/>
  <c r="H232" i="3"/>
  <c r="J232" i="3" s="1"/>
  <c r="G232" i="3"/>
  <c r="K231" i="3"/>
  <c r="I231" i="3"/>
  <c r="H231" i="3"/>
  <c r="J231" i="3" s="1"/>
  <c r="G231" i="3"/>
  <c r="K230" i="3"/>
  <c r="I230" i="3"/>
  <c r="H230" i="3"/>
  <c r="J230" i="3" s="1"/>
  <c r="G230" i="3"/>
  <c r="K229" i="3"/>
  <c r="J229" i="3"/>
  <c r="I229" i="3"/>
  <c r="H229" i="3"/>
  <c r="G229" i="3"/>
  <c r="K228" i="3"/>
  <c r="I228" i="3"/>
  <c r="H228" i="3"/>
  <c r="J228" i="3" s="1"/>
  <c r="G228" i="3"/>
  <c r="K227" i="3"/>
  <c r="I227" i="3"/>
  <c r="H227" i="3"/>
  <c r="J227" i="3" s="1"/>
  <c r="G227" i="3"/>
  <c r="K226" i="3"/>
  <c r="I226" i="3"/>
  <c r="J226" i="3" s="1"/>
  <c r="H226" i="3"/>
  <c r="G226" i="3"/>
  <c r="K225" i="3"/>
  <c r="J225" i="3"/>
  <c r="I225" i="3"/>
  <c r="H225" i="3"/>
  <c r="G225" i="3"/>
  <c r="K224" i="3"/>
  <c r="I224" i="3"/>
  <c r="H224" i="3"/>
  <c r="J224" i="3" s="1"/>
  <c r="G224" i="3"/>
  <c r="K223" i="3"/>
  <c r="I223" i="3"/>
  <c r="H223" i="3"/>
  <c r="J223" i="3" s="1"/>
  <c r="G223" i="3"/>
  <c r="K222" i="3"/>
  <c r="I222" i="3"/>
  <c r="H222" i="3"/>
  <c r="J222" i="3" s="1"/>
  <c r="G222" i="3"/>
  <c r="K221" i="3"/>
  <c r="J221" i="3"/>
  <c r="I221" i="3"/>
  <c r="H221" i="3"/>
  <c r="G221" i="3"/>
  <c r="K220" i="3"/>
  <c r="I220" i="3"/>
  <c r="H220" i="3"/>
  <c r="J220" i="3" s="1"/>
  <c r="G220" i="3"/>
  <c r="K219" i="3"/>
  <c r="I219" i="3"/>
  <c r="H219" i="3"/>
  <c r="J219" i="3" s="1"/>
  <c r="G219" i="3"/>
  <c r="K218" i="3"/>
  <c r="I218" i="3"/>
  <c r="J218" i="3" s="1"/>
  <c r="H218" i="3"/>
  <c r="G218" i="3"/>
  <c r="K217" i="3"/>
  <c r="I217" i="3"/>
  <c r="H217" i="3"/>
  <c r="J217" i="3" s="1"/>
  <c r="G217" i="3"/>
  <c r="K216" i="3"/>
  <c r="I216" i="3"/>
  <c r="J216" i="3" s="1"/>
  <c r="H216" i="3"/>
  <c r="G216" i="3"/>
  <c r="K215" i="3"/>
  <c r="I215" i="3"/>
  <c r="H215" i="3"/>
  <c r="J215" i="3" s="1"/>
  <c r="G215" i="3"/>
  <c r="K214" i="3"/>
  <c r="I214" i="3"/>
  <c r="H214" i="3"/>
  <c r="J214" i="3" s="1"/>
  <c r="G214" i="3"/>
  <c r="K213" i="3"/>
  <c r="J213" i="3"/>
  <c r="I213" i="3"/>
  <c r="H213" i="3"/>
  <c r="G213" i="3"/>
  <c r="K212" i="3"/>
  <c r="I212" i="3"/>
  <c r="H212" i="3"/>
  <c r="J212" i="3" s="1"/>
  <c r="G212" i="3"/>
  <c r="K211" i="3"/>
  <c r="I211" i="3"/>
  <c r="H211" i="3"/>
  <c r="J211" i="3" s="1"/>
  <c r="G211" i="3"/>
  <c r="K210" i="3"/>
  <c r="I210" i="3"/>
  <c r="J210" i="3" s="1"/>
  <c r="H210" i="3"/>
  <c r="G210" i="3"/>
  <c r="K209" i="3"/>
  <c r="I209" i="3"/>
  <c r="H209" i="3"/>
  <c r="J209" i="3" s="1"/>
  <c r="G209" i="3"/>
  <c r="K208" i="3"/>
  <c r="I208" i="3"/>
  <c r="H208" i="3"/>
  <c r="J208" i="3" s="1"/>
  <c r="G208" i="3"/>
  <c r="K207" i="3"/>
  <c r="I207" i="3"/>
  <c r="H207" i="3"/>
  <c r="J207" i="3" s="1"/>
  <c r="G207" i="3"/>
  <c r="K206" i="3"/>
  <c r="I206" i="3"/>
  <c r="H206" i="3"/>
  <c r="J206" i="3" s="1"/>
  <c r="G206" i="3"/>
  <c r="K205" i="3"/>
  <c r="J205" i="3"/>
  <c r="I205" i="3"/>
  <c r="H205" i="3"/>
  <c r="G205" i="3"/>
  <c r="K204" i="3"/>
  <c r="I204" i="3"/>
  <c r="H204" i="3"/>
  <c r="J204" i="3" s="1"/>
  <c r="G204" i="3"/>
  <c r="K203" i="3"/>
  <c r="I203" i="3"/>
  <c r="H203" i="3"/>
  <c r="J203" i="3" s="1"/>
  <c r="G203" i="3"/>
  <c r="K202" i="3"/>
  <c r="I202" i="3"/>
  <c r="J202" i="3" s="1"/>
  <c r="H202" i="3"/>
  <c r="G202" i="3"/>
  <c r="K201" i="3"/>
  <c r="I201" i="3"/>
  <c r="H201" i="3"/>
  <c r="J201" i="3" s="1"/>
  <c r="G201" i="3"/>
  <c r="K200" i="3"/>
  <c r="I200" i="3"/>
  <c r="H200" i="3"/>
  <c r="J200" i="3" s="1"/>
  <c r="G200" i="3"/>
  <c r="K199" i="3"/>
  <c r="I199" i="3"/>
  <c r="H199" i="3"/>
  <c r="J199" i="3" s="1"/>
  <c r="G199" i="3"/>
  <c r="K198" i="3"/>
  <c r="I198" i="3"/>
  <c r="H198" i="3"/>
  <c r="J198" i="3" s="1"/>
  <c r="G198" i="3"/>
  <c r="K197" i="3"/>
  <c r="J197" i="3"/>
  <c r="I197" i="3"/>
  <c r="H197" i="3"/>
  <c r="G197" i="3"/>
  <c r="K196" i="3"/>
  <c r="I196" i="3"/>
  <c r="H196" i="3"/>
  <c r="J196" i="3" s="1"/>
  <c r="G196" i="3"/>
  <c r="K195" i="3"/>
  <c r="I195" i="3"/>
  <c r="H195" i="3"/>
  <c r="J195" i="3" s="1"/>
  <c r="G195" i="3"/>
  <c r="K194" i="3"/>
  <c r="I194" i="3"/>
  <c r="J194" i="3" s="1"/>
  <c r="H194" i="3"/>
  <c r="G194" i="3"/>
  <c r="K193" i="3"/>
  <c r="I193" i="3"/>
  <c r="H193" i="3"/>
  <c r="J193" i="3" s="1"/>
  <c r="G193" i="3"/>
  <c r="K192" i="3"/>
  <c r="I192" i="3"/>
  <c r="H192" i="3"/>
  <c r="J192" i="3" s="1"/>
  <c r="G192" i="3"/>
  <c r="K191" i="3"/>
  <c r="I191" i="3"/>
  <c r="H191" i="3"/>
  <c r="J191" i="3" s="1"/>
  <c r="G191" i="3"/>
  <c r="K190" i="3"/>
  <c r="I190" i="3"/>
  <c r="H190" i="3"/>
  <c r="J190" i="3" s="1"/>
  <c r="G190" i="3"/>
  <c r="K189" i="3"/>
  <c r="J189" i="3"/>
  <c r="I189" i="3"/>
  <c r="H189" i="3"/>
  <c r="G189" i="3"/>
  <c r="K188" i="3"/>
  <c r="I188" i="3"/>
  <c r="H188" i="3"/>
  <c r="J188" i="3" s="1"/>
  <c r="G188" i="3"/>
  <c r="K187" i="3"/>
  <c r="I187" i="3"/>
  <c r="H187" i="3"/>
  <c r="J187" i="3" s="1"/>
  <c r="G187" i="3"/>
  <c r="K186" i="3"/>
  <c r="I186" i="3"/>
  <c r="J186" i="3" s="1"/>
  <c r="H186" i="3"/>
  <c r="G186" i="3"/>
  <c r="K185" i="3"/>
  <c r="I185" i="3"/>
  <c r="H185" i="3"/>
  <c r="J185" i="3" s="1"/>
  <c r="G185" i="3"/>
  <c r="K184" i="3"/>
  <c r="I184" i="3"/>
  <c r="H184" i="3"/>
  <c r="J184" i="3" s="1"/>
  <c r="G184" i="3"/>
  <c r="K183" i="3"/>
  <c r="I183" i="3"/>
  <c r="H183" i="3"/>
  <c r="J183" i="3" s="1"/>
  <c r="G183" i="3"/>
  <c r="K182" i="3"/>
  <c r="I182" i="3"/>
  <c r="H182" i="3"/>
  <c r="J182" i="3" s="1"/>
  <c r="G182" i="3"/>
  <c r="K181" i="3"/>
  <c r="J181" i="3"/>
  <c r="I181" i="3"/>
  <c r="H181" i="3"/>
  <c r="G181" i="3"/>
  <c r="K180" i="3"/>
  <c r="I180" i="3"/>
  <c r="H180" i="3"/>
  <c r="J180" i="3" s="1"/>
  <c r="G180" i="3"/>
  <c r="K179" i="3"/>
  <c r="I179" i="3"/>
  <c r="H179" i="3"/>
  <c r="J179" i="3" s="1"/>
  <c r="G179" i="3"/>
  <c r="K178" i="3"/>
  <c r="I178" i="3"/>
  <c r="J178" i="3" s="1"/>
  <c r="H178" i="3"/>
  <c r="G178" i="3"/>
  <c r="K177" i="3"/>
  <c r="I177" i="3"/>
  <c r="H177" i="3"/>
  <c r="J177" i="3" s="1"/>
  <c r="G177" i="3"/>
  <c r="K176" i="3"/>
  <c r="I176" i="3"/>
  <c r="H176" i="3"/>
  <c r="J176" i="3" s="1"/>
  <c r="G176" i="3"/>
  <c r="K175" i="3"/>
  <c r="I175" i="3"/>
  <c r="H175" i="3"/>
  <c r="J175" i="3" s="1"/>
  <c r="G175" i="3"/>
  <c r="K174" i="3"/>
  <c r="I174" i="3"/>
  <c r="H174" i="3"/>
  <c r="J174" i="3" s="1"/>
  <c r="G174" i="3"/>
  <c r="K173" i="3"/>
  <c r="J173" i="3"/>
  <c r="I173" i="3"/>
  <c r="H173" i="3"/>
  <c r="G173" i="3"/>
  <c r="K172" i="3"/>
  <c r="I172" i="3"/>
  <c r="H172" i="3"/>
  <c r="J172" i="3" s="1"/>
  <c r="G172" i="3"/>
  <c r="K171" i="3"/>
  <c r="I171" i="3"/>
  <c r="H171" i="3"/>
  <c r="J171" i="3" s="1"/>
  <c r="G171" i="3"/>
  <c r="K170" i="3"/>
  <c r="I170" i="3"/>
  <c r="J170" i="3" s="1"/>
  <c r="H170" i="3"/>
  <c r="G170" i="3"/>
  <c r="K169" i="3"/>
  <c r="I169" i="3"/>
  <c r="H169" i="3"/>
  <c r="J169" i="3" s="1"/>
  <c r="G169" i="3"/>
  <c r="K168" i="3"/>
  <c r="I168" i="3"/>
  <c r="H168" i="3"/>
  <c r="J168" i="3" s="1"/>
  <c r="G168" i="3"/>
  <c r="K167" i="3"/>
  <c r="I167" i="3"/>
  <c r="H167" i="3"/>
  <c r="J167" i="3" s="1"/>
  <c r="G167" i="3"/>
  <c r="K166" i="3"/>
  <c r="I166" i="3"/>
  <c r="H166" i="3"/>
  <c r="J166" i="3" s="1"/>
  <c r="G166" i="3"/>
  <c r="K165" i="3"/>
  <c r="J165" i="3"/>
  <c r="I165" i="3"/>
  <c r="H165" i="3"/>
  <c r="G165" i="3"/>
  <c r="K164" i="3"/>
  <c r="I164" i="3"/>
  <c r="H164" i="3"/>
  <c r="J164" i="3" s="1"/>
  <c r="G164" i="3"/>
  <c r="K163" i="3"/>
  <c r="I163" i="3"/>
  <c r="H163" i="3"/>
  <c r="J163" i="3" s="1"/>
  <c r="G163" i="3"/>
  <c r="K162" i="3"/>
  <c r="I162" i="3"/>
  <c r="J162" i="3" s="1"/>
  <c r="H162" i="3"/>
  <c r="G162" i="3"/>
  <c r="K161" i="3"/>
  <c r="I161" i="3"/>
  <c r="H161" i="3"/>
  <c r="J161" i="3" s="1"/>
  <c r="G161" i="3"/>
  <c r="K160" i="3"/>
  <c r="I160" i="3"/>
  <c r="J160" i="3" s="1"/>
  <c r="H160" i="3"/>
  <c r="G160" i="3"/>
  <c r="K159" i="3"/>
  <c r="I159" i="3"/>
  <c r="H159" i="3"/>
  <c r="J159" i="3" s="1"/>
  <c r="G159" i="3"/>
  <c r="K158" i="3"/>
  <c r="I158" i="3"/>
  <c r="H158" i="3"/>
  <c r="J158" i="3" s="1"/>
  <c r="G158" i="3"/>
  <c r="K157" i="3"/>
  <c r="J157" i="3"/>
  <c r="I157" i="3"/>
  <c r="H157" i="3"/>
  <c r="G157" i="3"/>
  <c r="K156" i="3"/>
  <c r="I156" i="3"/>
  <c r="H156" i="3"/>
  <c r="J156" i="3" s="1"/>
  <c r="G156" i="3"/>
  <c r="K155" i="3"/>
  <c r="J155" i="3"/>
  <c r="I155" i="3"/>
  <c r="H155" i="3"/>
  <c r="G155" i="3"/>
  <c r="K154" i="3"/>
  <c r="I154" i="3"/>
  <c r="J154" i="3" s="1"/>
  <c r="H154" i="3"/>
  <c r="G154" i="3"/>
  <c r="K153" i="3"/>
  <c r="I153" i="3"/>
  <c r="H153" i="3"/>
  <c r="J153" i="3" s="1"/>
  <c r="G153" i="3"/>
  <c r="K152" i="3"/>
  <c r="I152" i="3"/>
  <c r="H152" i="3"/>
  <c r="J152" i="3" s="1"/>
  <c r="G152" i="3"/>
  <c r="K151" i="3"/>
  <c r="I151" i="3"/>
  <c r="H151" i="3"/>
  <c r="J151" i="3" s="1"/>
  <c r="G151" i="3"/>
  <c r="K150" i="3"/>
  <c r="I150" i="3"/>
  <c r="H150" i="3"/>
  <c r="J150" i="3" s="1"/>
  <c r="G150" i="3"/>
  <c r="K149" i="3"/>
  <c r="J149" i="3"/>
  <c r="I149" i="3"/>
  <c r="H149" i="3"/>
  <c r="G149" i="3"/>
  <c r="K148" i="3"/>
  <c r="I148" i="3"/>
  <c r="H148" i="3"/>
  <c r="J148" i="3" s="1"/>
  <c r="G148" i="3"/>
  <c r="K147" i="3"/>
  <c r="J147" i="3"/>
  <c r="I147" i="3"/>
  <c r="H147" i="3"/>
  <c r="G147" i="3"/>
  <c r="K146" i="3"/>
  <c r="I146" i="3"/>
  <c r="J146" i="3" s="1"/>
  <c r="H146" i="3"/>
  <c r="G146" i="3"/>
  <c r="K145" i="3"/>
  <c r="I145" i="3"/>
  <c r="H145" i="3"/>
  <c r="J145" i="3" s="1"/>
  <c r="G145" i="3"/>
  <c r="K144" i="3"/>
  <c r="I144" i="3"/>
  <c r="H144" i="3"/>
  <c r="J144" i="3" s="1"/>
  <c r="G144" i="3"/>
  <c r="K143" i="3"/>
  <c r="I143" i="3"/>
  <c r="H143" i="3"/>
  <c r="J143" i="3" s="1"/>
  <c r="G143" i="3"/>
  <c r="K142" i="3"/>
  <c r="I142" i="3"/>
  <c r="H142" i="3"/>
  <c r="J142" i="3" s="1"/>
  <c r="G142" i="3"/>
  <c r="K141" i="3"/>
  <c r="J141" i="3"/>
  <c r="I141" i="3"/>
  <c r="H141" i="3"/>
  <c r="G141" i="3"/>
  <c r="K140" i="3"/>
  <c r="I140" i="3"/>
  <c r="H140" i="3"/>
  <c r="J140" i="3" s="1"/>
  <c r="G140" i="3"/>
  <c r="K139" i="3"/>
  <c r="I139" i="3"/>
  <c r="H139" i="3"/>
  <c r="J139" i="3" s="1"/>
  <c r="G139" i="3"/>
  <c r="K138" i="3"/>
  <c r="I138" i="3"/>
  <c r="J138" i="3" s="1"/>
  <c r="H138" i="3"/>
  <c r="G138" i="3"/>
  <c r="K137" i="3"/>
  <c r="I137" i="3"/>
  <c r="H137" i="3"/>
  <c r="J137" i="3" s="1"/>
  <c r="G137" i="3"/>
  <c r="K136" i="3"/>
  <c r="I136" i="3"/>
  <c r="H136" i="3"/>
  <c r="J136" i="3" s="1"/>
  <c r="G136" i="3"/>
  <c r="K135" i="3"/>
  <c r="I135" i="3"/>
  <c r="H135" i="3"/>
  <c r="J135" i="3" s="1"/>
  <c r="G135" i="3"/>
  <c r="K134" i="3"/>
  <c r="I134" i="3"/>
  <c r="H134" i="3"/>
  <c r="J134" i="3" s="1"/>
  <c r="G134" i="3"/>
  <c r="K133" i="3"/>
  <c r="J133" i="3"/>
  <c r="I133" i="3"/>
  <c r="H133" i="3"/>
  <c r="G133" i="3"/>
  <c r="K132" i="3"/>
  <c r="I132" i="3"/>
  <c r="H132" i="3"/>
  <c r="J132" i="3" s="1"/>
  <c r="G132" i="3"/>
  <c r="K131" i="3"/>
  <c r="I131" i="3"/>
  <c r="H131" i="3"/>
  <c r="J131" i="3" s="1"/>
  <c r="G131" i="3"/>
  <c r="K130" i="3"/>
  <c r="I130" i="3"/>
  <c r="J130" i="3" s="1"/>
  <c r="H130" i="3"/>
  <c r="G130" i="3"/>
  <c r="K129" i="3"/>
  <c r="I129" i="3"/>
  <c r="H129" i="3"/>
  <c r="J129" i="3" s="1"/>
  <c r="G129" i="3"/>
  <c r="K128" i="3"/>
  <c r="I128" i="3"/>
  <c r="H128" i="3"/>
  <c r="J128" i="3" s="1"/>
  <c r="G128" i="3"/>
  <c r="K127" i="3"/>
  <c r="I127" i="3"/>
  <c r="H127" i="3"/>
  <c r="J127" i="3" s="1"/>
  <c r="G127" i="3"/>
  <c r="K126" i="3"/>
  <c r="I126" i="3"/>
  <c r="H126" i="3"/>
  <c r="J126" i="3" s="1"/>
  <c r="G126" i="3"/>
  <c r="K125" i="3"/>
  <c r="J125" i="3"/>
  <c r="I125" i="3"/>
  <c r="H125" i="3"/>
  <c r="G125" i="3"/>
  <c r="K124" i="3"/>
  <c r="I124" i="3"/>
  <c r="H124" i="3"/>
  <c r="J124" i="3" s="1"/>
  <c r="G124" i="3"/>
  <c r="K123" i="3"/>
  <c r="I123" i="3"/>
  <c r="H123" i="3"/>
  <c r="J123" i="3" s="1"/>
  <c r="G123" i="3"/>
  <c r="K122" i="3"/>
  <c r="I122" i="3"/>
  <c r="J122" i="3" s="1"/>
  <c r="H122" i="3"/>
  <c r="G122" i="3"/>
  <c r="K121" i="3"/>
  <c r="I121" i="3"/>
  <c r="H121" i="3"/>
  <c r="J121" i="3" s="1"/>
  <c r="G121" i="3"/>
  <c r="K120" i="3"/>
  <c r="I120" i="3"/>
  <c r="H120" i="3"/>
  <c r="J120" i="3" s="1"/>
  <c r="G120" i="3"/>
  <c r="K119" i="3"/>
  <c r="I119" i="3"/>
  <c r="H119" i="3"/>
  <c r="J119" i="3" s="1"/>
  <c r="G119" i="3"/>
  <c r="K118" i="3"/>
  <c r="I118" i="3"/>
  <c r="H118" i="3"/>
  <c r="J118" i="3" s="1"/>
  <c r="G118" i="3"/>
  <c r="K117" i="3"/>
  <c r="J117" i="3"/>
  <c r="I117" i="3"/>
  <c r="H117" i="3"/>
  <c r="G117" i="3"/>
  <c r="K116" i="3"/>
  <c r="I116" i="3"/>
  <c r="H116" i="3"/>
  <c r="J116" i="3" s="1"/>
  <c r="G116" i="3"/>
  <c r="K115" i="3"/>
  <c r="J115" i="3"/>
  <c r="I115" i="3"/>
  <c r="H115" i="3"/>
  <c r="G115" i="3"/>
  <c r="K114" i="3"/>
  <c r="I114" i="3"/>
  <c r="J114" i="3" s="1"/>
  <c r="H114" i="3"/>
  <c r="G114" i="3"/>
  <c r="K113" i="3"/>
  <c r="I113" i="3"/>
  <c r="H113" i="3"/>
  <c r="J113" i="3" s="1"/>
  <c r="G113" i="3"/>
  <c r="K112" i="3"/>
  <c r="J112" i="3"/>
  <c r="I112" i="3"/>
  <c r="H112" i="3"/>
  <c r="G112" i="3"/>
  <c r="K111" i="3"/>
  <c r="I111" i="3"/>
  <c r="H111" i="3"/>
  <c r="J111" i="3" s="1"/>
  <c r="G111" i="3"/>
  <c r="K110" i="3"/>
  <c r="I110" i="3"/>
  <c r="H110" i="3"/>
  <c r="J110" i="3" s="1"/>
  <c r="G110" i="3"/>
  <c r="K109" i="3"/>
  <c r="K405" i="3" s="1"/>
  <c r="J109" i="3"/>
  <c r="J405" i="3" s="1"/>
  <c r="I109" i="3"/>
  <c r="I405" i="3" s="1"/>
  <c r="H109" i="3"/>
  <c r="G109" i="3"/>
  <c r="K108" i="3"/>
  <c r="I108" i="3"/>
  <c r="H108" i="3"/>
  <c r="J108" i="3" s="1"/>
  <c r="G108" i="3"/>
  <c r="K107" i="3"/>
  <c r="I107" i="3"/>
  <c r="H107" i="3"/>
  <c r="J107" i="3" s="1"/>
  <c r="G107" i="3"/>
  <c r="K106" i="3"/>
  <c r="I106" i="3"/>
  <c r="J106" i="3" s="1"/>
  <c r="H106" i="3"/>
  <c r="G106" i="3"/>
  <c r="K105" i="3"/>
  <c r="I105" i="3"/>
  <c r="H105" i="3"/>
  <c r="J105" i="3" s="1"/>
  <c r="G105" i="3"/>
  <c r="K104" i="3"/>
  <c r="I104" i="3"/>
  <c r="H104" i="3"/>
  <c r="J104" i="3" s="1"/>
  <c r="G104" i="3"/>
  <c r="K103" i="3"/>
  <c r="I103" i="3"/>
  <c r="H103" i="3"/>
  <c r="J103" i="3" s="1"/>
  <c r="G103" i="3"/>
  <c r="K102" i="3"/>
  <c r="I102" i="3"/>
  <c r="H102" i="3"/>
  <c r="J102" i="3" s="1"/>
  <c r="G102" i="3"/>
  <c r="K101" i="3"/>
  <c r="J101" i="3"/>
  <c r="I101" i="3"/>
  <c r="H101" i="3"/>
  <c r="G101" i="3"/>
  <c r="K100" i="3"/>
  <c r="I100" i="3"/>
  <c r="H100" i="3"/>
  <c r="J100" i="3" s="1"/>
  <c r="G100" i="3"/>
  <c r="K99" i="3"/>
  <c r="I99" i="3"/>
  <c r="H99" i="3"/>
  <c r="J99" i="3" s="1"/>
  <c r="G99" i="3"/>
  <c r="K98" i="3"/>
  <c r="I98" i="3"/>
  <c r="J98" i="3" s="1"/>
  <c r="H98" i="3"/>
  <c r="G98" i="3"/>
  <c r="K97" i="3"/>
  <c r="I97" i="3"/>
  <c r="H97" i="3"/>
  <c r="J97" i="3" s="1"/>
  <c r="G97" i="3"/>
  <c r="K96" i="3"/>
  <c r="I96" i="3"/>
  <c r="H96" i="3"/>
  <c r="J96" i="3" s="1"/>
  <c r="G96" i="3"/>
  <c r="K95" i="3"/>
  <c r="I95" i="3"/>
  <c r="H95" i="3"/>
  <c r="J95" i="3" s="1"/>
  <c r="G95" i="3"/>
  <c r="K94" i="3"/>
  <c r="I94" i="3"/>
  <c r="H94" i="3"/>
  <c r="J94" i="3" s="1"/>
  <c r="G94" i="3"/>
  <c r="K93" i="3"/>
  <c r="J93" i="3"/>
  <c r="I93" i="3"/>
  <c r="H93" i="3"/>
  <c r="G93" i="3"/>
  <c r="K92" i="3"/>
  <c r="I92" i="3"/>
  <c r="H92" i="3"/>
  <c r="J92" i="3" s="1"/>
  <c r="G92" i="3"/>
  <c r="K91" i="3"/>
  <c r="I91" i="3"/>
  <c r="J91" i="3" s="1"/>
  <c r="H91" i="3"/>
  <c r="G91" i="3"/>
  <c r="K90" i="3"/>
  <c r="I90" i="3"/>
  <c r="J90" i="3" s="1"/>
  <c r="H90" i="3"/>
  <c r="G90" i="3"/>
  <c r="K89" i="3"/>
  <c r="I89" i="3"/>
  <c r="H89" i="3"/>
  <c r="J89" i="3" s="1"/>
  <c r="G89" i="3"/>
  <c r="K88" i="3"/>
  <c r="I88" i="3"/>
  <c r="H88" i="3"/>
  <c r="J88" i="3" s="1"/>
  <c r="G88" i="3"/>
  <c r="K87" i="3"/>
  <c r="I87" i="3"/>
  <c r="H87" i="3"/>
  <c r="J87" i="3" s="1"/>
  <c r="G87" i="3"/>
  <c r="K86" i="3"/>
  <c r="I86" i="3"/>
  <c r="H86" i="3"/>
  <c r="J86" i="3" s="1"/>
  <c r="G86" i="3"/>
  <c r="K85" i="3"/>
  <c r="J85" i="3"/>
  <c r="I85" i="3"/>
  <c r="H85" i="3"/>
  <c r="G85" i="3"/>
  <c r="K84" i="3"/>
  <c r="I84" i="3"/>
  <c r="H84" i="3"/>
  <c r="J84" i="3" s="1"/>
  <c r="G84" i="3"/>
  <c r="K83" i="3"/>
  <c r="I83" i="3"/>
  <c r="H83" i="3"/>
  <c r="J83" i="3" s="1"/>
  <c r="G83" i="3"/>
  <c r="K82" i="3"/>
  <c r="I82" i="3"/>
  <c r="J82" i="3" s="1"/>
  <c r="H82" i="3"/>
  <c r="G82" i="3"/>
  <c r="K81" i="3"/>
  <c r="I81" i="3"/>
  <c r="H81" i="3"/>
  <c r="J81" i="3" s="1"/>
  <c r="G81" i="3"/>
  <c r="K80" i="3"/>
  <c r="I80" i="3"/>
  <c r="H80" i="3"/>
  <c r="J80" i="3" s="1"/>
  <c r="G80" i="3"/>
  <c r="K79" i="3"/>
  <c r="I79" i="3"/>
  <c r="H79" i="3"/>
  <c r="J79" i="3" s="1"/>
  <c r="G79" i="3"/>
  <c r="K78" i="3"/>
  <c r="I78" i="3"/>
  <c r="H78" i="3"/>
  <c r="J78" i="3" s="1"/>
  <c r="G78" i="3"/>
  <c r="K77" i="3"/>
  <c r="J77" i="3"/>
  <c r="I77" i="3"/>
  <c r="H77" i="3"/>
  <c r="G77" i="3"/>
  <c r="K76" i="3"/>
  <c r="I76" i="3"/>
  <c r="H76" i="3"/>
  <c r="J76" i="3" s="1"/>
  <c r="G76" i="3"/>
  <c r="K75" i="3"/>
  <c r="I75" i="3"/>
  <c r="H75" i="3"/>
  <c r="J75" i="3" s="1"/>
  <c r="G75" i="3"/>
  <c r="K74" i="3"/>
  <c r="I74" i="3"/>
  <c r="J74" i="3" s="1"/>
  <c r="H74" i="3"/>
  <c r="G74" i="3"/>
  <c r="K73" i="3"/>
  <c r="I73" i="3"/>
  <c r="H73" i="3"/>
  <c r="J73" i="3" s="1"/>
  <c r="G73" i="3"/>
  <c r="K72" i="3"/>
  <c r="I72" i="3"/>
  <c r="H72" i="3"/>
  <c r="J72" i="3" s="1"/>
  <c r="G72" i="3"/>
  <c r="K71" i="3"/>
  <c r="I71" i="3"/>
  <c r="H71" i="3"/>
  <c r="J71" i="3" s="1"/>
  <c r="G71" i="3"/>
  <c r="K70" i="3"/>
  <c r="I70" i="3"/>
  <c r="H70" i="3"/>
  <c r="J70" i="3" s="1"/>
  <c r="G70" i="3"/>
  <c r="K69" i="3"/>
  <c r="J69" i="3"/>
  <c r="I69" i="3"/>
  <c r="H69" i="3"/>
  <c r="G69" i="3"/>
  <c r="K68" i="3"/>
  <c r="I68" i="3"/>
  <c r="H68" i="3"/>
  <c r="J68" i="3" s="1"/>
  <c r="G68" i="3"/>
  <c r="K67" i="3"/>
  <c r="I67" i="3"/>
  <c r="H67" i="3"/>
  <c r="J67" i="3" s="1"/>
  <c r="G67" i="3"/>
  <c r="K66" i="3"/>
  <c r="I66" i="3"/>
  <c r="J66" i="3" s="1"/>
  <c r="H66" i="3"/>
  <c r="G66" i="3"/>
  <c r="K65" i="3"/>
  <c r="I65" i="3"/>
  <c r="H65" i="3"/>
  <c r="J65" i="3" s="1"/>
  <c r="G65" i="3"/>
  <c r="K64" i="3"/>
  <c r="I64" i="3"/>
  <c r="H64" i="3"/>
  <c r="J64" i="3" s="1"/>
  <c r="G64" i="3"/>
  <c r="K63" i="3"/>
  <c r="I63" i="3"/>
  <c r="H63" i="3"/>
  <c r="J63" i="3" s="1"/>
  <c r="G63" i="3"/>
  <c r="K62" i="3"/>
  <c r="I62" i="3"/>
  <c r="H62" i="3"/>
  <c r="J62" i="3" s="1"/>
  <c r="G62" i="3"/>
  <c r="K61" i="3"/>
  <c r="J61" i="3"/>
  <c r="I61" i="3"/>
  <c r="H61" i="3"/>
  <c r="G61" i="3"/>
  <c r="K60" i="3"/>
  <c r="I60" i="3"/>
  <c r="H60" i="3"/>
  <c r="J60" i="3" s="1"/>
  <c r="G60" i="3"/>
  <c r="K59" i="3"/>
  <c r="I59" i="3"/>
  <c r="H59" i="3"/>
  <c r="J59" i="3" s="1"/>
  <c r="G59" i="3"/>
  <c r="K58" i="3"/>
  <c r="I58" i="3"/>
  <c r="J58" i="3" s="1"/>
  <c r="H58" i="3"/>
  <c r="G58" i="3"/>
  <c r="K57" i="3"/>
  <c r="I57" i="3"/>
  <c r="H57" i="3"/>
  <c r="J57" i="3" s="1"/>
  <c r="G57" i="3"/>
  <c r="K56" i="3"/>
  <c r="J56" i="3"/>
  <c r="I56" i="3"/>
  <c r="H56" i="3"/>
  <c r="G56" i="3"/>
  <c r="K55" i="3"/>
  <c r="I55" i="3"/>
  <c r="H55" i="3"/>
  <c r="J55" i="3" s="1"/>
  <c r="G55" i="3"/>
  <c r="K54" i="3"/>
  <c r="I54" i="3"/>
  <c r="H54" i="3"/>
  <c r="J54" i="3" s="1"/>
  <c r="G54" i="3"/>
  <c r="K53" i="3"/>
  <c r="J53" i="3"/>
  <c r="I53" i="3"/>
  <c r="H53" i="3"/>
  <c r="G53" i="3"/>
  <c r="K52" i="3"/>
  <c r="I52" i="3"/>
  <c r="H52" i="3"/>
  <c r="J52" i="3" s="1"/>
  <c r="G52" i="3"/>
  <c r="K51" i="3"/>
  <c r="I51" i="3"/>
  <c r="H51" i="3"/>
  <c r="J51" i="3" s="1"/>
  <c r="G51" i="3"/>
  <c r="K50" i="3"/>
  <c r="I50" i="3"/>
  <c r="J50" i="3" s="1"/>
  <c r="H50" i="3"/>
  <c r="G50" i="3"/>
  <c r="K49" i="3"/>
  <c r="I49" i="3"/>
  <c r="H49" i="3"/>
  <c r="J49" i="3" s="1"/>
  <c r="G49" i="3"/>
  <c r="K48" i="3"/>
  <c r="J48" i="3"/>
  <c r="I48" i="3"/>
  <c r="H48" i="3"/>
  <c r="G48" i="3"/>
  <c r="K47" i="3"/>
  <c r="I47" i="3"/>
  <c r="H47" i="3"/>
  <c r="J47" i="3" s="1"/>
  <c r="G47" i="3"/>
  <c r="K46" i="3"/>
  <c r="I46" i="3"/>
  <c r="H46" i="3"/>
  <c r="J46" i="3" s="1"/>
  <c r="G46" i="3"/>
  <c r="K45" i="3"/>
  <c r="J45" i="3"/>
  <c r="I45" i="3"/>
  <c r="H45" i="3"/>
  <c r="G45" i="3"/>
  <c r="K44" i="3"/>
  <c r="I44" i="3"/>
  <c r="H44" i="3"/>
  <c r="J44" i="3" s="1"/>
  <c r="G44" i="3"/>
  <c r="K43" i="3"/>
  <c r="I43" i="3"/>
  <c r="H43" i="3"/>
  <c r="J43" i="3" s="1"/>
  <c r="G43" i="3"/>
  <c r="K42" i="3"/>
  <c r="I42" i="3"/>
  <c r="J42" i="3" s="1"/>
  <c r="H42" i="3"/>
  <c r="G42" i="3"/>
  <c r="K41" i="3"/>
  <c r="I41" i="3"/>
  <c r="H41" i="3"/>
  <c r="J41" i="3" s="1"/>
  <c r="G41" i="3"/>
  <c r="K40" i="3"/>
  <c r="J40" i="3"/>
  <c r="I40" i="3"/>
  <c r="H40" i="3"/>
  <c r="G40" i="3"/>
  <c r="K39" i="3"/>
  <c r="I39" i="3"/>
  <c r="H39" i="3"/>
  <c r="J39" i="3" s="1"/>
  <c r="G39" i="3"/>
  <c r="K38" i="3"/>
  <c r="I38" i="3"/>
  <c r="H38" i="3"/>
  <c r="J38" i="3" s="1"/>
  <c r="G38" i="3"/>
  <c r="K37" i="3"/>
  <c r="J37" i="3"/>
  <c r="I37" i="3"/>
  <c r="H37" i="3"/>
  <c r="G37" i="3"/>
  <c r="K36" i="3"/>
  <c r="I36" i="3"/>
  <c r="H36" i="3"/>
  <c r="J36" i="3" s="1"/>
  <c r="G36" i="3"/>
  <c r="K35" i="3"/>
  <c r="I35" i="3"/>
  <c r="H35" i="3"/>
  <c r="J35" i="3" s="1"/>
  <c r="G35" i="3"/>
  <c r="K34" i="3"/>
  <c r="I34" i="3"/>
  <c r="J34" i="3" s="1"/>
  <c r="H34" i="3"/>
  <c r="G34" i="3"/>
  <c r="K33" i="3"/>
  <c r="I33" i="3"/>
  <c r="H33" i="3"/>
  <c r="J33" i="3" s="1"/>
  <c r="G33" i="3"/>
  <c r="K32" i="3"/>
  <c r="J32" i="3"/>
  <c r="I32" i="3"/>
  <c r="H32" i="3"/>
  <c r="G32" i="3"/>
  <c r="K31" i="3"/>
  <c r="I31" i="3"/>
  <c r="H31" i="3"/>
  <c r="J31" i="3" s="1"/>
  <c r="G31" i="3"/>
  <c r="K30" i="3"/>
  <c r="I30" i="3"/>
  <c r="H30" i="3"/>
  <c r="J30" i="3" s="1"/>
  <c r="G30" i="3"/>
  <c r="K29" i="3"/>
  <c r="J29" i="3"/>
  <c r="I29" i="3"/>
  <c r="H29" i="3"/>
  <c r="G29" i="3"/>
  <c r="K28" i="3"/>
  <c r="I28" i="3"/>
  <c r="H28" i="3"/>
  <c r="J28" i="3" s="1"/>
  <c r="G28" i="3"/>
  <c r="K27" i="3"/>
  <c r="I27" i="3"/>
  <c r="H27" i="3"/>
  <c r="J27" i="3" s="1"/>
  <c r="G27" i="3"/>
  <c r="K26" i="3"/>
  <c r="I26" i="3"/>
  <c r="J26" i="3" s="1"/>
  <c r="H26" i="3"/>
  <c r="G26" i="3"/>
  <c r="K25" i="3"/>
  <c r="I25" i="3"/>
  <c r="H25" i="3"/>
  <c r="J25" i="3" s="1"/>
  <c r="G25" i="3"/>
  <c r="K24" i="3"/>
  <c r="J24" i="3"/>
  <c r="I24" i="3"/>
  <c r="H24" i="3"/>
  <c r="G24" i="3"/>
  <c r="K23" i="3"/>
  <c r="I23" i="3"/>
  <c r="H23" i="3"/>
  <c r="J23" i="3" s="1"/>
  <c r="G23" i="3"/>
  <c r="K22" i="3"/>
  <c r="I22" i="3"/>
  <c r="H22" i="3"/>
  <c r="J22" i="3" s="1"/>
  <c r="G22" i="3"/>
  <c r="K21" i="3"/>
  <c r="J21" i="3"/>
  <c r="I21" i="3"/>
  <c r="H21" i="3"/>
  <c r="G21" i="3"/>
  <c r="K20" i="3"/>
  <c r="I20" i="3"/>
  <c r="H20" i="3"/>
  <c r="J20" i="3" s="1"/>
  <c r="G20" i="3"/>
  <c r="K19" i="3"/>
  <c r="I19" i="3"/>
  <c r="H19" i="3"/>
  <c r="J19" i="3" s="1"/>
  <c r="G19" i="3"/>
  <c r="K18" i="3"/>
  <c r="I18" i="3"/>
  <c r="J18" i="3" s="1"/>
  <c r="H18" i="3"/>
  <c r="G18" i="3"/>
  <c r="K17" i="3"/>
  <c r="I17" i="3"/>
  <c r="H17" i="3"/>
  <c r="J17" i="3" s="1"/>
  <c r="G17" i="3"/>
  <c r="K16" i="3"/>
  <c r="J16" i="3"/>
  <c r="I16" i="3"/>
  <c r="H16" i="3"/>
  <c r="G16" i="3"/>
  <c r="K15" i="3"/>
  <c r="I15" i="3"/>
  <c r="H15" i="3"/>
  <c r="J15" i="3" s="1"/>
  <c r="G15" i="3"/>
  <c r="K14" i="3"/>
  <c r="I14" i="3"/>
  <c r="H14" i="3"/>
  <c r="J14" i="3" s="1"/>
  <c r="G14" i="3"/>
  <c r="K13" i="3"/>
  <c r="J13" i="3"/>
  <c r="I13" i="3"/>
  <c r="H13" i="3"/>
  <c r="G13" i="3"/>
  <c r="K12" i="3"/>
  <c r="I12" i="3"/>
  <c r="H12" i="3"/>
  <c r="J12" i="3" s="1"/>
  <c r="G12" i="3"/>
  <c r="K11" i="3"/>
  <c r="I11" i="3"/>
  <c r="J11" i="3" s="1"/>
  <c r="H11" i="3"/>
  <c r="G11" i="3"/>
  <c r="K10" i="3"/>
  <c r="I10" i="3"/>
  <c r="J10" i="3" s="1"/>
  <c r="H10" i="3"/>
  <c r="G10" i="3"/>
  <c r="K9" i="3"/>
  <c r="I9" i="3"/>
  <c r="H9" i="3"/>
  <c r="J9" i="3" s="1"/>
  <c r="G9" i="3"/>
  <c r="K8" i="3"/>
  <c r="J8" i="3"/>
  <c r="I8" i="3"/>
  <c r="H8" i="3"/>
  <c r="G8" i="3"/>
  <c r="K7" i="3"/>
  <c r="I7" i="3"/>
  <c r="H7" i="3"/>
  <c r="J7" i="3" s="1"/>
  <c r="G7" i="3"/>
  <c r="K6" i="3"/>
  <c r="I6" i="3"/>
  <c r="H6" i="3"/>
  <c r="J6" i="3" s="1"/>
  <c r="G6" i="3"/>
  <c r="K5" i="3"/>
  <c r="J5" i="3"/>
  <c r="I5" i="3"/>
  <c r="H5" i="3"/>
  <c r="G5" i="3"/>
  <c r="K4" i="3"/>
  <c r="I4" i="3"/>
  <c r="H4" i="3"/>
  <c r="J4" i="3" s="1"/>
  <c r="G4" i="3"/>
  <c r="K3" i="3"/>
  <c r="I3" i="3"/>
  <c r="H3" i="3"/>
  <c r="J3" i="3" s="1"/>
  <c r="G3" i="3"/>
  <c r="K2" i="3"/>
  <c r="I2" i="3"/>
  <c r="J2" i="3" s="1"/>
  <c r="H2" i="3"/>
  <c r="G2" i="3"/>
  <c r="K8" i="5"/>
  <c r="I8" i="5"/>
  <c r="H8" i="5"/>
  <c r="J8" i="5" s="1"/>
  <c r="G8" i="5"/>
  <c r="K7" i="5"/>
  <c r="I7" i="5"/>
  <c r="J7" i="5" s="1"/>
  <c r="H7" i="5"/>
  <c r="G7" i="5"/>
  <c r="K6" i="5"/>
  <c r="I6" i="5"/>
  <c r="H6" i="5"/>
  <c r="J6" i="5" s="1"/>
  <c r="G6" i="5"/>
  <c r="K5" i="5"/>
  <c r="I5" i="5"/>
  <c r="H5" i="5"/>
  <c r="G5" i="5"/>
  <c r="K4" i="5"/>
  <c r="I4" i="5"/>
  <c r="H4" i="5"/>
  <c r="J4" i="5" s="1"/>
  <c r="G4" i="5"/>
  <c r="K3" i="5"/>
  <c r="I3" i="5"/>
  <c r="H3" i="5"/>
  <c r="J3" i="5" s="1"/>
  <c r="G3" i="5"/>
  <c r="K2" i="5"/>
  <c r="I2" i="5"/>
  <c r="H2" i="5"/>
  <c r="J2" i="5" s="1"/>
  <c r="G2" i="5"/>
  <c r="K30" i="4"/>
  <c r="I30" i="4"/>
  <c r="H30" i="4"/>
  <c r="G30" i="4"/>
  <c r="K29" i="4"/>
  <c r="I29" i="4"/>
  <c r="H29" i="4"/>
  <c r="J29" i="4" s="1"/>
  <c r="G29" i="4"/>
  <c r="K28" i="4"/>
  <c r="I28" i="4"/>
  <c r="H28" i="4"/>
  <c r="J28" i="4" s="1"/>
  <c r="G28" i="4"/>
  <c r="K27" i="4"/>
  <c r="J27" i="4"/>
  <c r="I27" i="4"/>
  <c r="H27" i="4"/>
  <c r="G27" i="4"/>
  <c r="K26" i="4"/>
  <c r="I26" i="4"/>
  <c r="H26" i="4"/>
  <c r="J26" i="4" s="1"/>
  <c r="G26" i="4"/>
  <c r="K25" i="4"/>
  <c r="J25" i="4"/>
  <c r="I25" i="4"/>
  <c r="H25" i="4"/>
  <c r="G25" i="4"/>
  <c r="K24" i="4"/>
  <c r="I24" i="4"/>
  <c r="J24" i="4" s="1"/>
  <c r="H24" i="4"/>
  <c r="G24" i="4"/>
  <c r="K23" i="4"/>
  <c r="J23" i="4"/>
  <c r="I23" i="4"/>
  <c r="H23" i="4"/>
  <c r="G23" i="4"/>
  <c r="K22" i="4"/>
  <c r="I22" i="4"/>
  <c r="H22" i="4"/>
  <c r="J22" i="4" s="1"/>
  <c r="G22" i="4"/>
  <c r="K21" i="4"/>
  <c r="I21" i="4"/>
  <c r="H21" i="4"/>
  <c r="J21" i="4" s="1"/>
  <c r="G21" i="4"/>
  <c r="K20" i="4"/>
  <c r="J20" i="4"/>
  <c r="I20" i="4"/>
  <c r="H20" i="4"/>
  <c r="G20" i="4"/>
  <c r="K19" i="4"/>
  <c r="J19" i="4"/>
  <c r="I19" i="4"/>
  <c r="H19" i="4"/>
  <c r="G19" i="4"/>
  <c r="K18" i="4"/>
  <c r="I18" i="4"/>
  <c r="H18" i="4"/>
  <c r="J18" i="4" s="1"/>
  <c r="G18" i="4"/>
  <c r="K17" i="4"/>
  <c r="J17" i="4"/>
  <c r="I17" i="4"/>
  <c r="H17" i="4"/>
  <c r="G17" i="4"/>
  <c r="K16" i="4"/>
  <c r="I16" i="4"/>
  <c r="J16" i="4" s="1"/>
  <c r="H16" i="4"/>
  <c r="G16" i="4"/>
  <c r="K15" i="4"/>
  <c r="I15" i="4"/>
  <c r="H15" i="4"/>
  <c r="J15" i="4" s="1"/>
  <c r="G15" i="4"/>
  <c r="K14" i="4"/>
  <c r="I14" i="4"/>
  <c r="H14" i="4"/>
  <c r="J14" i="4" s="1"/>
  <c r="G14" i="4"/>
  <c r="K13" i="4"/>
  <c r="I13" i="4"/>
  <c r="H13" i="4"/>
  <c r="J13" i="4" s="1"/>
  <c r="G13" i="4"/>
  <c r="K12" i="4"/>
  <c r="I12" i="4"/>
  <c r="H12" i="4"/>
  <c r="J12" i="4" s="1"/>
  <c r="G12" i="4"/>
  <c r="K11" i="4"/>
  <c r="J11" i="4"/>
  <c r="I11" i="4"/>
  <c r="H11" i="4"/>
  <c r="G11" i="4"/>
  <c r="K10" i="4"/>
  <c r="I10" i="4"/>
  <c r="H10" i="4"/>
  <c r="J10" i="4" s="1"/>
  <c r="G10" i="4"/>
  <c r="K9" i="4"/>
  <c r="I9" i="4"/>
  <c r="J9" i="4" s="1"/>
  <c r="H9" i="4"/>
  <c r="G9" i="4"/>
  <c r="K8" i="4"/>
  <c r="I8" i="4"/>
  <c r="J8" i="4" s="1"/>
  <c r="H8" i="4"/>
  <c r="G8" i="4"/>
  <c r="K7" i="4"/>
  <c r="I7" i="4"/>
  <c r="H7" i="4"/>
  <c r="J7" i="4" s="1"/>
  <c r="G7" i="4"/>
  <c r="K6" i="4"/>
  <c r="I6" i="4"/>
  <c r="H6" i="4"/>
  <c r="J6" i="4" s="1"/>
  <c r="G6" i="4"/>
  <c r="K5" i="4"/>
  <c r="I5" i="4"/>
  <c r="H5" i="4"/>
  <c r="J5" i="4" s="1"/>
  <c r="G5" i="4"/>
  <c r="K4" i="4"/>
  <c r="I4" i="4"/>
  <c r="H4" i="4"/>
  <c r="J4" i="4" s="1"/>
  <c r="G4" i="4"/>
  <c r="K3" i="4"/>
  <c r="J3" i="4"/>
  <c r="I3" i="4"/>
  <c r="H3" i="4"/>
  <c r="G3" i="4"/>
  <c r="K2" i="4"/>
  <c r="I2" i="4"/>
  <c r="H2" i="4"/>
  <c r="J2" i="4" s="1"/>
  <c r="G2" i="4"/>
  <c r="J30" i="4" l="1"/>
  <c r="J32" i="4" s="1"/>
  <c r="I32" i="4"/>
  <c r="J5" i="5"/>
  <c r="K81" i="2"/>
  <c r="I81" i="2"/>
  <c r="H81" i="2"/>
  <c r="G81" i="2"/>
  <c r="K80" i="2"/>
  <c r="I80" i="2"/>
  <c r="H80" i="2"/>
  <c r="J80" i="2" s="1"/>
  <c r="G80" i="2"/>
  <c r="K79" i="2"/>
  <c r="I79" i="2"/>
  <c r="H79" i="2"/>
  <c r="J79" i="2" s="1"/>
  <c r="G79" i="2"/>
  <c r="K78" i="2"/>
  <c r="I78" i="2"/>
  <c r="H78" i="2"/>
  <c r="J78" i="2" s="1"/>
  <c r="G78" i="2"/>
  <c r="K77" i="2"/>
  <c r="I77" i="2"/>
  <c r="H77" i="2"/>
  <c r="J77" i="2" s="1"/>
  <c r="G77" i="2"/>
  <c r="K76" i="2"/>
  <c r="I76" i="2"/>
  <c r="H76" i="2"/>
  <c r="J76" i="2" s="1"/>
  <c r="G76" i="2"/>
  <c r="K75" i="2"/>
  <c r="I75" i="2"/>
  <c r="H75" i="2"/>
  <c r="J75" i="2" s="1"/>
  <c r="G75" i="2"/>
  <c r="K74" i="2"/>
  <c r="I74" i="2"/>
  <c r="H74" i="2"/>
  <c r="J74" i="2" s="1"/>
  <c r="G74" i="2"/>
  <c r="K73" i="2"/>
  <c r="I73" i="2"/>
  <c r="H73" i="2"/>
  <c r="G73" i="2"/>
  <c r="K72" i="2"/>
  <c r="I72" i="2"/>
  <c r="H72" i="2"/>
  <c r="J72" i="2" s="1"/>
  <c r="G72" i="2"/>
  <c r="K71" i="2"/>
  <c r="I71" i="2"/>
  <c r="H71" i="2"/>
  <c r="J71" i="2" s="1"/>
  <c r="G71" i="2"/>
  <c r="K70" i="2"/>
  <c r="I70" i="2"/>
  <c r="H70" i="2"/>
  <c r="J70" i="2" s="1"/>
  <c r="G70" i="2"/>
  <c r="K69" i="2"/>
  <c r="I69" i="2"/>
  <c r="H69" i="2"/>
  <c r="J69" i="2" s="1"/>
  <c r="G69" i="2"/>
  <c r="K68" i="2"/>
  <c r="I68" i="2"/>
  <c r="H68" i="2"/>
  <c r="G68" i="2"/>
  <c r="K67" i="2"/>
  <c r="I67" i="2"/>
  <c r="H67" i="2"/>
  <c r="J67" i="2" s="1"/>
  <c r="G67" i="2"/>
  <c r="K66" i="2"/>
  <c r="I66" i="2"/>
  <c r="H66" i="2"/>
  <c r="J66" i="2" s="1"/>
  <c r="G66" i="2"/>
  <c r="K65" i="2"/>
  <c r="I65" i="2"/>
  <c r="H65" i="2"/>
  <c r="G65" i="2"/>
  <c r="K64" i="2"/>
  <c r="I64" i="2"/>
  <c r="H64" i="2"/>
  <c r="J64" i="2" s="1"/>
  <c r="G64" i="2"/>
  <c r="K63" i="2"/>
  <c r="I63" i="2"/>
  <c r="H63" i="2"/>
  <c r="G63" i="2"/>
  <c r="K62" i="2"/>
  <c r="I62" i="2"/>
  <c r="H62" i="2"/>
  <c r="J62" i="2" s="1"/>
  <c r="G62" i="2"/>
  <c r="K61" i="2"/>
  <c r="I61" i="2"/>
  <c r="H61" i="2"/>
  <c r="G61" i="2"/>
  <c r="K60" i="2"/>
  <c r="I60" i="2"/>
  <c r="H60" i="2"/>
  <c r="J60" i="2" s="1"/>
  <c r="G60" i="2"/>
  <c r="K59" i="2"/>
  <c r="I59" i="2"/>
  <c r="H59" i="2"/>
  <c r="J59" i="2" s="1"/>
  <c r="G59" i="2"/>
  <c r="K58" i="2"/>
  <c r="I58" i="2"/>
  <c r="H58" i="2"/>
  <c r="J58" i="2" s="1"/>
  <c r="G58" i="2"/>
  <c r="K57" i="2"/>
  <c r="I57" i="2"/>
  <c r="H57" i="2"/>
  <c r="G57" i="2"/>
  <c r="K56" i="2"/>
  <c r="I56" i="2"/>
  <c r="H56" i="2"/>
  <c r="J56" i="2" s="1"/>
  <c r="G56" i="2"/>
  <c r="K55" i="2"/>
  <c r="I55" i="2"/>
  <c r="H55" i="2"/>
  <c r="J55" i="2" s="1"/>
  <c r="G55" i="2"/>
  <c r="K54" i="2"/>
  <c r="I54" i="2"/>
  <c r="H54" i="2"/>
  <c r="J54" i="2" s="1"/>
  <c r="G54" i="2"/>
  <c r="K53" i="2"/>
  <c r="I53" i="2"/>
  <c r="H53" i="2"/>
  <c r="J53" i="2" s="1"/>
  <c r="G53" i="2"/>
  <c r="K52" i="2"/>
  <c r="I52" i="2"/>
  <c r="H52" i="2"/>
  <c r="G52" i="2"/>
  <c r="K51" i="2"/>
  <c r="I51" i="2"/>
  <c r="H51" i="2"/>
  <c r="J51" i="2" s="1"/>
  <c r="G51" i="2"/>
  <c r="K50" i="2"/>
  <c r="I50" i="2"/>
  <c r="H50" i="2"/>
  <c r="G50" i="2"/>
  <c r="K49" i="2"/>
  <c r="I49" i="2"/>
  <c r="H49" i="2"/>
  <c r="G49" i="2"/>
  <c r="K48" i="2"/>
  <c r="I48" i="2"/>
  <c r="H48" i="2"/>
  <c r="G48" i="2"/>
  <c r="K47" i="2"/>
  <c r="I47" i="2"/>
  <c r="H47" i="2"/>
  <c r="J47" i="2" s="1"/>
  <c r="G47" i="2"/>
  <c r="K46" i="2"/>
  <c r="I46" i="2"/>
  <c r="H46" i="2"/>
  <c r="G46" i="2"/>
  <c r="K45" i="2"/>
  <c r="I45" i="2"/>
  <c r="H45" i="2"/>
  <c r="J45" i="2" s="1"/>
  <c r="G45" i="2"/>
  <c r="K44" i="2"/>
  <c r="I44" i="2"/>
  <c r="H44" i="2"/>
  <c r="G44" i="2"/>
  <c r="K43" i="2"/>
  <c r="I43" i="2"/>
  <c r="H43" i="2"/>
  <c r="G43" i="2"/>
  <c r="K42" i="2"/>
  <c r="I42" i="2"/>
  <c r="H42" i="2"/>
  <c r="G42" i="2"/>
  <c r="K41" i="2"/>
  <c r="I41" i="2"/>
  <c r="H41" i="2"/>
  <c r="G41" i="2"/>
  <c r="K40" i="2"/>
  <c r="I40" i="2"/>
  <c r="H40" i="2"/>
  <c r="G40" i="2"/>
  <c r="K39" i="2"/>
  <c r="I39" i="2"/>
  <c r="H39" i="2"/>
  <c r="G39" i="2"/>
  <c r="K38" i="2"/>
  <c r="I38" i="2"/>
  <c r="H38" i="2"/>
  <c r="G38" i="2"/>
  <c r="K37" i="2"/>
  <c r="I37" i="2"/>
  <c r="H37" i="2"/>
  <c r="G37" i="2"/>
  <c r="K36" i="2"/>
  <c r="I36" i="2"/>
  <c r="H36" i="2"/>
  <c r="G36" i="2"/>
  <c r="K35" i="2"/>
  <c r="I35" i="2"/>
  <c r="H35" i="2"/>
  <c r="G35" i="2"/>
  <c r="K34" i="2"/>
  <c r="I34" i="2"/>
  <c r="H34" i="2"/>
  <c r="J34" i="2" s="1"/>
  <c r="G34" i="2"/>
  <c r="K33" i="2"/>
  <c r="I33" i="2"/>
  <c r="H33" i="2"/>
  <c r="G33" i="2"/>
  <c r="K32" i="2"/>
  <c r="I32" i="2"/>
  <c r="H32" i="2"/>
  <c r="J32" i="2" s="1"/>
  <c r="G32" i="2"/>
  <c r="K31" i="2"/>
  <c r="I31" i="2"/>
  <c r="H31" i="2"/>
  <c r="G31" i="2"/>
  <c r="K30" i="2"/>
  <c r="I30" i="2"/>
  <c r="H30" i="2"/>
  <c r="J30" i="2" s="1"/>
  <c r="G30" i="2"/>
  <c r="K29" i="2"/>
  <c r="I29" i="2"/>
  <c r="H29" i="2"/>
  <c r="G29" i="2"/>
  <c r="K28" i="2"/>
  <c r="I28" i="2"/>
  <c r="H28" i="2"/>
  <c r="J28" i="2" s="1"/>
  <c r="G28" i="2"/>
  <c r="K27" i="2"/>
  <c r="I27" i="2"/>
  <c r="H27" i="2"/>
  <c r="G27" i="2"/>
  <c r="K26" i="2"/>
  <c r="I26" i="2"/>
  <c r="H26" i="2"/>
  <c r="J26" i="2" s="1"/>
  <c r="G26" i="2"/>
  <c r="K25" i="2"/>
  <c r="I25" i="2"/>
  <c r="H25" i="2"/>
  <c r="G25" i="2"/>
  <c r="K24" i="2"/>
  <c r="I24" i="2"/>
  <c r="H24" i="2"/>
  <c r="J24" i="2" s="1"/>
  <c r="G24" i="2"/>
  <c r="K23" i="2"/>
  <c r="I23" i="2"/>
  <c r="H23" i="2"/>
  <c r="G23" i="2"/>
  <c r="K22" i="2"/>
  <c r="I22" i="2"/>
  <c r="H22" i="2"/>
  <c r="J22" i="2" s="1"/>
  <c r="G22" i="2"/>
  <c r="K21" i="2"/>
  <c r="I21" i="2"/>
  <c r="H21" i="2"/>
  <c r="G21" i="2"/>
  <c r="K20" i="2"/>
  <c r="I20" i="2"/>
  <c r="H20" i="2"/>
  <c r="G20" i="2"/>
  <c r="K19" i="2"/>
  <c r="I19" i="2"/>
  <c r="H19" i="2"/>
  <c r="G19" i="2"/>
  <c r="K18" i="2"/>
  <c r="I18" i="2"/>
  <c r="H18" i="2"/>
  <c r="J18" i="2" s="1"/>
  <c r="G18" i="2"/>
  <c r="K17" i="2"/>
  <c r="I17" i="2"/>
  <c r="H17" i="2"/>
  <c r="G17" i="2"/>
  <c r="K16" i="2"/>
  <c r="I16" i="2"/>
  <c r="H16" i="2"/>
  <c r="J16" i="2" s="1"/>
  <c r="G16" i="2"/>
  <c r="K15" i="2"/>
  <c r="I15" i="2"/>
  <c r="H15" i="2"/>
  <c r="G15" i="2"/>
  <c r="K14" i="2"/>
  <c r="I14" i="2"/>
  <c r="H14" i="2"/>
  <c r="J14" i="2" s="1"/>
  <c r="G14" i="2"/>
  <c r="K13" i="2"/>
  <c r="I13" i="2"/>
  <c r="H13" i="2"/>
  <c r="G13" i="2"/>
  <c r="K12" i="2"/>
  <c r="I12" i="2"/>
  <c r="H12" i="2"/>
  <c r="G12" i="2"/>
  <c r="K11" i="2"/>
  <c r="I11" i="2"/>
  <c r="H11" i="2"/>
  <c r="G11" i="2"/>
  <c r="K10" i="2"/>
  <c r="I10" i="2"/>
  <c r="H10" i="2"/>
  <c r="J10" i="2" s="1"/>
  <c r="G10" i="2"/>
  <c r="K9" i="2"/>
  <c r="I9" i="2"/>
  <c r="H9" i="2"/>
  <c r="G9" i="2"/>
  <c r="K8" i="2"/>
  <c r="I8" i="2"/>
  <c r="H8" i="2"/>
  <c r="J8" i="2" s="1"/>
  <c r="G8" i="2"/>
  <c r="K7" i="2"/>
  <c r="I7" i="2"/>
  <c r="H7" i="2"/>
  <c r="G7" i="2"/>
  <c r="K6" i="2"/>
  <c r="I6" i="2"/>
  <c r="H6" i="2"/>
  <c r="J6" i="2" s="1"/>
  <c r="G6" i="2"/>
  <c r="K5" i="2"/>
  <c r="I5" i="2"/>
  <c r="H5" i="2"/>
  <c r="G5" i="2"/>
  <c r="K4" i="2"/>
  <c r="I4" i="2"/>
  <c r="H4" i="2"/>
  <c r="J4" i="2" s="1"/>
  <c r="G4" i="2"/>
  <c r="K3" i="2"/>
  <c r="I3" i="2"/>
  <c r="H3" i="2"/>
  <c r="G3" i="2"/>
  <c r="K2" i="2"/>
  <c r="I2" i="2"/>
  <c r="H2" i="2"/>
  <c r="G2" i="2"/>
  <c r="G16" i="1"/>
  <c r="H16" i="1"/>
  <c r="J16" i="1" s="1"/>
  <c r="I16" i="1"/>
  <c r="K16" i="1"/>
  <c r="G299" i="1"/>
  <c r="H299" i="1"/>
  <c r="I299" i="1"/>
  <c r="K299" i="1"/>
  <c r="G300" i="1"/>
  <c r="H300" i="1"/>
  <c r="J300" i="1" s="1"/>
  <c r="I300" i="1"/>
  <c r="K300" i="1"/>
  <c r="G17" i="1"/>
  <c r="H17" i="1"/>
  <c r="J17" i="1" s="1"/>
  <c r="I17" i="1"/>
  <c r="K17" i="1"/>
  <c r="G301" i="1"/>
  <c r="H301" i="1"/>
  <c r="I301" i="1"/>
  <c r="J301" i="1"/>
  <c r="K301" i="1"/>
  <c r="G302" i="1"/>
  <c r="H302" i="1"/>
  <c r="I302" i="1"/>
  <c r="K302" i="1"/>
  <c r="G355" i="1"/>
  <c r="H355" i="1"/>
  <c r="J355" i="1" s="1"/>
  <c r="I355" i="1"/>
  <c r="K355" i="1"/>
  <c r="G320" i="1"/>
  <c r="H320" i="1"/>
  <c r="I320" i="1"/>
  <c r="K320" i="1"/>
  <c r="G321" i="1"/>
  <c r="H321" i="1"/>
  <c r="I321" i="1"/>
  <c r="J321" i="1"/>
  <c r="K321" i="1"/>
  <c r="G438" i="1"/>
  <c r="H438" i="1"/>
  <c r="J438" i="1" s="1"/>
  <c r="I438" i="1"/>
  <c r="K438" i="1"/>
  <c r="G439" i="1"/>
  <c r="H439" i="1"/>
  <c r="I439" i="1"/>
  <c r="K439" i="1"/>
  <c r="G440" i="1"/>
  <c r="H440" i="1"/>
  <c r="J440" i="1" s="1"/>
  <c r="I440" i="1"/>
  <c r="K440" i="1"/>
  <c r="G441" i="1"/>
  <c r="H441" i="1"/>
  <c r="I441" i="1"/>
  <c r="J441" i="1"/>
  <c r="K441" i="1"/>
  <c r="G273" i="1"/>
  <c r="H273" i="1"/>
  <c r="I273" i="1"/>
  <c r="K273" i="1"/>
  <c r="G274" i="1"/>
  <c r="H274" i="1"/>
  <c r="I274" i="1"/>
  <c r="K274" i="1"/>
  <c r="G275" i="1"/>
  <c r="H275" i="1"/>
  <c r="I275" i="1"/>
  <c r="J275" i="1"/>
  <c r="K275" i="1"/>
  <c r="G276" i="1"/>
  <c r="H276" i="1"/>
  <c r="J276" i="1" s="1"/>
  <c r="I276" i="1"/>
  <c r="K276" i="1"/>
  <c r="G277" i="1"/>
  <c r="H277" i="1"/>
  <c r="I277" i="1"/>
  <c r="K277" i="1"/>
  <c r="G322" i="1"/>
  <c r="H322" i="1"/>
  <c r="J322" i="1" s="1"/>
  <c r="I322" i="1"/>
  <c r="K322" i="1"/>
  <c r="G323" i="1"/>
  <c r="H323" i="1"/>
  <c r="J323" i="1" s="1"/>
  <c r="I323" i="1"/>
  <c r="K323" i="1"/>
  <c r="G324" i="1"/>
  <c r="H324" i="1"/>
  <c r="I324" i="1"/>
  <c r="K324" i="1"/>
  <c r="G325" i="1"/>
  <c r="H325" i="1"/>
  <c r="I325" i="1"/>
  <c r="K325" i="1"/>
  <c r="G235" i="1"/>
  <c r="H235" i="1"/>
  <c r="I235" i="1"/>
  <c r="K235" i="1"/>
  <c r="G233" i="1"/>
  <c r="H233" i="1"/>
  <c r="J233" i="1" s="1"/>
  <c r="I233" i="1"/>
  <c r="K233" i="1"/>
  <c r="G232" i="1"/>
  <c r="H232" i="1"/>
  <c r="J232" i="1" s="1"/>
  <c r="I232" i="1"/>
  <c r="K232" i="1"/>
  <c r="G356" i="1"/>
  <c r="H356" i="1"/>
  <c r="I356" i="1"/>
  <c r="K356" i="1"/>
  <c r="G357" i="1"/>
  <c r="H357" i="1"/>
  <c r="I357" i="1"/>
  <c r="K357" i="1"/>
  <c r="G236" i="1"/>
  <c r="H236" i="1"/>
  <c r="I236" i="1"/>
  <c r="J236" i="1" s="1"/>
  <c r="K236" i="1"/>
  <c r="G234" i="1"/>
  <c r="H234" i="1"/>
  <c r="J234" i="1" s="1"/>
  <c r="I234" i="1"/>
  <c r="K234" i="1"/>
  <c r="G10" i="1"/>
  <c r="H10" i="1"/>
  <c r="I10" i="1"/>
  <c r="J10" i="1" s="1"/>
  <c r="K10" i="1"/>
  <c r="G237" i="1"/>
  <c r="H237" i="1"/>
  <c r="I237" i="1"/>
  <c r="K237" i="1"/>
  <c r="G370" i="1"/>
  <c r="H370" i="1"/>
  <c r="I370" i="1"/>
  <c r="K370" i="1"/>
  <c r="G219" i="1"/>
  <c r="H219" i="1"/>
  <c r="J219" i="1" s="1"/>
  <c r="I219" i="1"/>
  <c r="K219" i="1"/>
  <c r="G220" i="1"/>
  <c r="H220" i="1"/>
  <c r="I220" i="1"/>
  <c r="K220" i="1"/>
  <c r="G442" i="1"/>
  <c r="H442" i="1"/>
  <c r="J442" i="1" s="1"/>
  <c r="I442" i="1"/>
  <c r="K442" i="1"/>
  <c r="G303" i="1"/>
  <c r="H303" i="1"/>
  <c r="I303" i="1"/>
  <c r="J303" i="1" s="1"/>
  <c r="K303" i="1"/>
  <c r="G304" i="1"/>
  <c r="H304" i="1"/>
  <c r="J304" i="1" s="1"/>
  <c r="I304" i="1"/>
  <c r="K304" i="1"/>
  <c r="G305" i="1"/>
  <c r="H305" i="1"/>
  <c r="I305" i="1"/>
  <c r="J305" i="1" s="1"/>
  <c r="K305" i="1"/>
  <c r="G306" i="1"/>
  <c r="H306" i="1"/>
  <c r="J306" i="1" s="1"/>
  <c r="I306" i="1"/>
  <c r="K306" i="1"/>
  <c r="G307" i="1"/>
  <c r="H307" i="1"/>
  <c r="J307" i="1" s="1"/>
  <c r="I307" i="1"/>
  <c r="K307" i="1"/>
  <c r="G308" i="1"/>
  <c r="H308" i="1"/>
  <c r="I308" i="1"/>
  <c r="K308" i="1"/>
  <c r="G18" i="1"/>
  <c r="H18" i="1"/>
  <c r="I18" i="1"/>
  <c r="K18" i="1"/>
  <c r="G211" i="1"/>
  <c r="H211" i="1"/>
  <c r="I211" i="1"/>
  <c r="K211" i="1"/>
  <c r="G212" i="1"/>
  <c r="H212" i="1"/>
  <c r="J212" i="1" s="1"/>
  <c r="I212" i="1"/>
  <c r="K212" i="1"/>
  <c r="G213" i="1"/>
  <c r="H213" i="1"/>
  <c r="J213" i="1" s="1"/>
  <c r="I213" i="1"/>
  <c r="K213" i="1"/>
  <c r="G214" i="1"/>
  <c r="H214" i="1"/>
  <c r="I214" i="1"/>
  <c r="J214" i="1" s="1"/>
  <c r="K214" i="1"/>
  <c r="G215" i="1"/>
  <c r="H215" i="1"/>
  <c r="I215" i="1"/>
  <c r="K215" i="1"/>
  <c r="G216" i="1"/>
  <c r="H216" i="1"/>
  <c r="I216" i="1"/>
  <c r="J216" i="1" s="1"/>
  <c r="K216" i="1"/>
  <c r="G217" i="1"/>
  <c r="H217" i="1"/>
  <c r="I217" i="1"/>
  <c r="J217" i="1"/>
  <c r="K217" i="1"/>
  <c r="G103" i="1"/>
  <c r="H103" i="1"/>
  <c r="I103" i="1"/>
  <c r="K103" i="1"/>
  <c r="G104" i="1"/>
  <c r="H104" i="1"/>
  <c r="I104" i="1"/>
  <c r="K104" i="1"/>
  <c r="G105" i="1"/>
  <c r="H105" i="1"/>
  <c r="I105" i="1"/>
  <c r="K105" i="1"/>
  <c r="G106" i="1"/>
  <c r="H106" i="1"/>
  <c r="I106" i="1"/>
  <c r="K106" i="1"/>
  <c r="G107" i="1"/>
  <c r="H107" i="1"/>
  <c r="I107" i="1"/>
  <c r="K107" i="1"/>
  <c r="G108" i="1"/>
  <c r="H108" i="1"/>
  <c r="I108" i="1"/>
  <c r="K108" i="1"/>
  <c r="G109" i="1"/>
  <c r="H109" i="1"/>
  <c r="J109" i="1" s="1"/>
  <c r="I109" i="1"/>
  <c r="K109" i="1"/>
  <c r="G110" i="1"/>
  <c r="H110" i="1"/>
  <c r="I110" i="1"/>
  <c r="K110" i="1"/>
  <c r="G111" i="1"/>
  <c r="H111" i="1"/>
  <c r="I111" i="1"/>
  <c r="K111" i="1"/>
  <c r="G112" i="1"/>
  <c r="H112" i="1"/>
  <c r="I112" i="1"/>
  <c r="K112" i="1"/>
  <c r="G113" i="1"/>
  <c r="H113" i="1"/>
  <c r="I113" i="1"/>
  <c r="K113" i="1"/>
  <c r="G114" i="1"/>
  <c r="H114" i="1"/>
  <c r="I114" i="1"/>
  <c r="K114" i="1"/>
  <c r="G115" i="1"/>
  <c r="H115" i="1"/>
  <c r="I115" i="1"/>
  <c r="K115" i="1"/>
  <c r="G116" i="1"/>
  <c r="H116" i="1"/>
  <c r="I116" i="1"/>
  <c r="K116" i="1"/>
  <c r="G117" i="1"/>
  <c r="H117" i="1"/>
  <c r="J117" i="1" s="1"/>
  <c r="I117" i="1"/>
  <c r="K117" i="1"/>
  <c r="G118" i="1"/>
  <c r="H118" i="1"/>
  <c r="J118" i="1" s="1"/>
  <c r="I118" i="1"/>
  <c r="K118" i="1"/>
  <c r="G183" i="1"/>
  <c r="H183" i="1"/>
  <c r="J183" i="1" s="1"/>
  <c r="I183" i="1"/>
  <c r="K183" i="1"/>
  <c r="G119" i="1"/>
  <c r="H119" i="1"/>
  <c r="I119" i="1"/>
  <c r="K119" i="1"/>
  <c r="G120" i="1"/>
  <c r="H120" i="1"/>
  <c r="J120" i="1" s="1"/>
  <c r="I120" i="1"/>
  <c r="K120" i="1"/>
  <c r="G121" i="1"/>
  <c r="H121" i="1"/>
  <c r="J121" i="1" s="1"/>
  <c r="I121" i="1"/>
  <c r="K121" i="1"/>
  <c r="G122" i="1"/>
  <c r="H122" i="1"/>
  <c r="I122" i="1"/>
  <c r="J122" i="1" s="1"/>
  <c r="K122" i="1"/>
  <c r="G123" i="1"/>
  <c r="H123" i="1"/>
  <c r="I123" i="1"/>
  <c r="K123" i="1"/>
  <c r="G124" i="1"/>
  <c r="H124" i="1"/>
  <c r="I124" i="1"/>
  <c r="K124" i="1"/>
  <c r="G125" i="1"/>
  <c r="H125" i="1"/>
  <c r="I125" i="1"/>
  <c r="K125" i="1"/>
  <c r="G126" i="1"/>
  <c r="H126" i="1"/>
  <c r="I126" i="1"/>
  <c r="K126" i="1"/>
  <c r="G127" i="1"/>
  <c r="H127" i="1"/>
  <c r="I127" i="1"/>
  <c r="K127" i="1"/>
  <c r="G128" i="1"/>
  <c r="H128" i="1"/>
  <c r="I128" i="1"/>
  <c r="K128" i="1"/>
  <c r="G129" i="1"/>
  <c r="H129" i="1"/>
  <c r="I129" i="1"/>
  <c r="K129" i="1"/>
  <c r="G130" i="1"/>
  <c r="H130" i="1"/>
  <c r="I130" i="1"/>
  <c r="J130" i="1" s="1"/>
  <c r="K130" i="1"/>
  <c r="G131" i="1"/>
  <c r="H131" i="1"/>
  <c r="I131" i="1"/>
  <c r="K131" i="1"/>
  <c r="G132" i="1"/>
  <c r="H132" i="1"/>
  <c r="I132" i="1"/>
  <c r="J132" i="1"/>
  <c r="K132" i="1"/>
  <c r="G133" i="1"/>
  <c r="H133" i="1"/>
  <c r="J133" i="1" s="1"/>
  <c r="I133" i="1"/>
  <c r="K133" i="1"/>
  <c r="G134" i="1"/>
  <c r="H134" i="1"/>
  <c r="I134" i="1"/>
  <c r="K134" i="1"/>
  <c r="G135" i="1"/>
  <c r="H135" i="1"/>
  <c r="J135" i="1" s="1"/>
  <c r="I135" i="1"/>
  <c r="K135" i="1"/>
  <c r="G136" i="1"/>
  <c r="H136" i="1"/>
  <c r="I136" i="1"/>
  <c r="K136" i="1"/>
  <c r="G137" i="1"/>
  <c r="H137" i="1"/>
  <c r="J137" i="1" s="1"/>
  <c r="I137" i="1"/>
  <c r="K137" i="1"/>
  <c r="G138" i="1"/>
  <c r="H138" i="1"/>
  <c r="I138" i="1"/>
  <c r="K138" i="1"/>
  <c r="G139" i="1"/>
  <c r="H139" i="1"/>
  <c r="J139" i="1" s="1"/>
  <c r="I139" i="1"/>
  <c r="K139" i="1"/>
  <c r="G140" i="1"/>
  <c r="H140" i="1"/>
  <c r="I140" i="1"/>
  <c r="K140" i="1"/>
  <c r="G141" i="1"/>
  <c r="H141" i="1"/>
  <c r="J141" i="1" s="1"/>
  <c r="I141" i="1"/>
  <c r="K141" i="1"/>
  <c r="G142" i="1"/>
  <c r="H142" i="1"/>
  <c r="J142" i="1" s="1"/>
  <c r="I142" i="1"/>
  <c r="K142" i="1"/>
  <c r="G143" i="1"/>
  <c r="H143" i="1"/>
  <c r="I143" i="1"/>
  <c r="K143" i="1"/>
  <c r="G144" i="1"/>
  <c r="H144" i="1"/>
  <c r="J144" i="1" s="1"/>
  <c r="I144" i="1"/>
  <c r="K144" i="1"/>
  <c r="G145" i="1"/>
  <c r="H145" i="1"/>
  <c r="I145" i="1"/>
  <c r="J145" i="1"/>
  <c r="K145" i="1"/>
  <c r="G146" i="1"/>
  <c r="H146" i="1"/>
  <c r="I146" i="1"/>
  <c r="J146" i="1" s="1"/>
  <c r="K146" i="1"/>
  <c r="G221" i="1"/>
  <c r="H221" i="1"/>
  <c r="I221" i="1"/>
  <c r="K221" i="1"/>
  <c r="G222" i="1"/>
  <c r="H222" i="1"/>
  <c r="I222" i="1"/>
  <c r="J222" i="1" s="1"/>
  <c r="K222" i="1"/>
  <c r="G5" i="1"/>
  <c r="H5" i="1"/>
  <c r="I5" i="1"/>
  <c r="K5" i="1"/>
  <c r="G6" i="1"/>
  <c r="H6" i="1"/>
  <c r="I6" i="1"/>
  <c r="K6" i="1"/>
  <c r="G238" i="1"/>
  <c r="H238" i="1"/>
  <c r="I238" i="1"/>
  <c r="K238" i="1"/>
  <c r="G223" i="1"/>
  <c r="H223" i="1"/>
  <c r="I223" i="1"/>
  <c r="K223" i="1"/>
  <c r="G239" i="1"/>
  <c r="H239" i="1"/>
  <c r="I239" i="1"/>
  <c r="J239" i="1"/>
  <c r="K239" i="1"/>
  <c r="G224" i="1"/>
  <c r="H224" i="1"/>
  <c r="I224" i="1"/>
  <c r="K224" i="1"/>
  <c r="G225" i="1"/>
  <c r="H225" i="1"/>
  <c r="I225" i="1"/>
  <c r="K225" i="1"/>
  <c r="G326" i="1"/>
  <c r="H326" i="1"/>
  <c r="J326" i="1" s="1"/>
  <c r="I326" i="1"/>
  <c r="K326" i="1"/>
  <c r="G226" i="1"/>
  <c r="H226" i="1"/>
  <c r="J226" i="1" s="1"/>
  <c r="I226" i="1"/>
  <c r="K226" i="1"/>
  <c r="G227" i="1"/>
  <c r="H227" i="1"/>
  <c r="I227" i="1"/>
  <c r="K227" i="1"/>
  <c r="G278" i="1"/>
  <c r="H278" i="1"/>
  <c r="I278" i="1"/>
  <c r="K278" i="1"/>
  <c r="G279" i="1"/>
  <c r="H279" i="1"/>
  <c r="I279" i="1"/>
  <c r="K279" i="1"/>
  <c r="G280" i="1"/>
  <c r="H280" i="1"/>
  <c r="I280" i="1"/>
  <c r="J280" i="1" s="1"/>
  <c r="K280" i="1"/>
  <c r="G309" i="1"/>
  <c r="H309" i="1"/>
  <c r="I309" i="1"/>
  <c r="J309" i="1" s="1"/>
  <c r="K309" i="1"/>
  <c r="G228" i="1"/>
  <c r="H228" i="1"/>
  <c r="I228" i="1"/>
  <c r="K228" i="1"/>
  <c r="G229" i="1"/>
  <c r="H229" i="1"/>
  <c r="I229" i="1"/>
  <c r="K229" i="1"/>
  <c r="G3" i="1"/>
  <c r="H3" i="1"/>
  <c r="J3" i="1" s="1"/>
  <c r="I3" i="1"/>
  <c r="K3" i="1"/>
  <c r="G509" i="1"/>
  <c r="H509" i="1"/>
  <c r="I509" i="1"/>
  <c r="K509" i="1"/>
  <c r="G371" i="1"/>
  <c r="H371" i="1"/>
  <c r="I371" i="1"/>
  <c r="K371" i="1"/>
  <c r="G372" i="1"/>
  <c r="H372" i="1"/>
  <c r="I372" i="1"/>
  <c r="K372" i="1"/>
  <c r="G373" i="1"/>
  <c r="H373" i="1"/>
  <c r="J373" i="1" s="1"/>
  <c r="I373" i="1"/>
  <c r="K373" i="1"/>
  <c r="G443" i="1"/>
  <c r="H443" i="1"/>
  <c r="I443" i="1"/>
  <c r="J443" i="1" s="1"/>
  <c r="K443" i="1"/>
  <c r="G444" i="1"/>
  <c r="H444" i="1"/>
  <c r="J444" i="1" s="1"/>
  <c r="I444" i="1"/>
  <c r="K444" i="1"/>
  <c r="G445" i="1"/>
  <c r="H445" i="1"/>
  <c r="J445" i="1" s="1"/>
  <c r="I445" i="1"/>
  <c r="K445" i="1"/>
  <c r="G374" i="1"/>
  <c r="H374" i="1"/>
  <c r="I374" i="1"/>
  <c r="J374" i="1" s="1"/>
  <c r="K374" i="1"/>
  <c r="G446" i="1"/>
  <c r="H446" i="1"/>
  <c r="I446" i="1"/>
  <c r="K446" i="1"/>
  <c r="G447" i="1"/>
  <c r="H447" i="1"/>
  <c r="J447" i="1" s="1"/>
  <c r="I447" i="1"/>
  <c r="K447" i="1"/>
  <c r="G375" i="1"/>
  <c r="H375" i="1"/>
  <c r="I375" i="1"/>
  <c r="K375" i="1"/>
  <c r="G376" i="1"/>
  <c r="H376" i="1"/>
  <c r="I376" i="1"/>
  <c r="J376" i="1"/>
  <c r="K376" i="1"/>
  <c r="G448" i="1"/>
  <c r="H448" i="1"/>
  <c r="I448" i="1"/>
  <c r="J448" i="1" s="1"/>
  <c r="K448" i="1"/>
  <c r="G449" i="1"/>
  <c r="H449" i="1"/>
  <c r="I449" i="1"/>
  <c r="K449" i="1"/>
  <c r="G450" i="1"/>
  <c r="H450" i="1"/>
  <c r="I450" i="1"/>
  <c r="K450" i="1"/>
  <c r="G451" i="1"/>
  <c r="H451" i="1"/>
  <c r="I451" i="1"/>
  <c r="J451" i="1"/>
  <c r="K451" i="1"/>
  <c r="G452" i="1"/>
  <c r="H452" i="1"/>
  <c r="J452" i="1" s="1"/>
  <c r="I452" i="1"/>
  <c r="K452" i="1"/>
  <c r="G453" i="1"/>
  <c r="H453" i="1"/>
  <c r="I453" i="1"/>
  <c r="K453" i="1"/>
  <c r="G454" i="1"/>
  <c r="H454" i="1"/>
  <c r="J454" i="1" s="1"/>
  <c r="I454" i="1"/>
  <c r="K454" i="1"/>
  <c r="G455" i="1"/>
  <c r="H455" i="1"/>
  <c r="I455" i="1"/>
  <c r="J455" i="1"/>
  <c r="K455" i="1"/>
  <c r="G59" i="1"/>
  <c r="H59" i="1"/>
  <c r="I59" i="1"/>
  <c r="K59" i="1"/>
  <c r="G60" i="1"/>
  <c r="H60" i="1"/>
  <c r="I60" i="1"/>
  <c r="K60" i="1"/>
  <c r="G61" i="1"/>
  <c r="H61" i="1"/>
  <c r="I61" i="1"/>
  <c r="K61" i="1"/>
  <c r="G62" i="1"/>
  <c r="H62" i="1"/>
  <c r="I62" i="1"/>
  <c r="K62" i="1"/>
  <c r="G63" i="1"/>
  <c r="H63" i="1"/>
  <c r="J63" i="1" s="1"/>
  <c r="I63" i="1"/>
  <c r="K63" i="1"/>
  <c r="G96" i="1"/>
  <c r="H96" i="1"/>
  <c r="I96" i="1"/>
  <c r="K96" i="1"/>
  <c r="G377" i="1"/>
  <c r="H377" i="1"/>
  <c r="J377" i="1" s="1"/>
  <c r="I377" i="1"/>
  <c r="K377" i="1"/>
  <c r="G378" i="1"/>
  <c r="H378" i="1"/>
  <c r="I378" i="1"/>
  <c r="K378" i="1"/>
  <c r="G379" i="1"/>
  <c r="H379" i="1"/>
  <c r="I379" i="1"/>
  <c r="K379" i="1"/>
  <c r="G380" i="1"/>
  <c r="H380" i="1"/>
  <c r="I380" i="1"/>
  <c r="K380" i="1"/>
  <c r="G510" i="1"/>
  <c r="H510" i="1"/>
  <c r="J510" i="1" s="1"/>
  <c r="I510" i="1"/>
  <c r="K510" i="1"/>
  <c r="G511" i="1"/>
  <c r="H511" i="1"/>
  <c r="J511" i="1" s="1"/>
  <c r="I511" i="1"/>
  <c r="K511" i="1"/>
  <c r="G381" i="1"/>
  <c r="H381" i="1"/>
  <c r="I381" i="1"/>
  <c r="K381" i="1"/>
  <c r="G382" i="1"/>
  <c r="H382" i="1"/>
  <c r="J382" i="1" s="1"/>
  <c r="I382" i="1"/>
  <c r="K382" i="1"/>
  <c r="G383" i="1"/>
  <c r="H383" i="1"/>
  <c r="I383" i="1"/>
  <c r="K383" i="1"/>
  <c r="G327" i="1"/>
  <c r="H327" i="1"/>
  <c r="J327" i="1" s="1"/>
  <c r="I327" i="1"/>
  <c r="K327" i="1"/>
  <c r="G358" i="1"/>
  <c r="H358" i="1"/>
  <c r="I358" i="1"/>
  <c r="K358" i="1"/>
  <c r="G101" i="1"/>
  <c r="H101" i="1"/>
  <c r="I101" i="1"/>
  <c r="K101" i="1"/>
  <c r="G11" i="1"/>
  <c r="H11" i="1"/>
  <c r="I11" i="1"/>
  <c r="K11" i="1"/>
  <c r="G359" i="1"/>
  <c r="H359" i="1"/>
  <c r="I359" i="1"/>
  <c r="J359" i="1" s="1"/>
  <c r="K359" i="1"/>
  <c r="G512" i="1"/>
  <c r="H512" i="1"/>
  <c r="I512" i="1"/>
  <c r="K512" i="1"/>
  <c r="G23" i="1"/>
  <c r="H23" i="1"/>
  <c r="I23" i="1"/>
  <c r="K23" i="1"/>
  <c r="G24" i="1"/>
  <c r="H24" i="1"/>
  <c r="I24" i="1"/>
  <c r="K24" i="1"/>
  <c r="G360" i="1"/>
  <c r="H360" i="1"/>
  <c r="J360" i="1" s="1"/>
  <c r="I360" i="1"/>
  <c r="K360" i="1"/>
  <c r="G328" i="1"/>
  <c r="H328" i="1"/>
  <c r="I328" i="1"/>
  <c r="J328" i="1" s="1"/>
  <c r="K328" i="1"/>
  <c r="G64" i="1"/>
  <c r="H64" i="1"/>
  <c r="I64" i="1"/>
  <c r="K64" i="1"/>
  <c r="G513" i="1"/>
  <c r="H513" i="1"/>
  <c r="J513" i="1" s="1"/>
  <c r="I513" i="1"/>
  <c r="K513" i="1"/>
  <c r="G514" i="1"/>
  <c r="H514" i="1"/>
  <c r="J514" i="1" s="1"/>
  <c r="I514" i="1"/>
  <c r="K514" i="1"/>
  <c r="G515" i="1"/>
  <c r="H515" i="1"/>
  <c r="I515" i="1"/>
  <c r="K515" i="1"/>
  <c r="G516" i="1"/>
  <c r="H516" i="1"/>
  <c r="J516" i="1" s="1"/>
  <c r="I516" i="1"/>
  <c r="K516" i="1"/>
  <c r="G12" i="1"/>
  <c r="H12" i="1"/>
  <c r="I12" i="1"/>
  <c r="K12" i="1"/>
  <c r="G13" i="1"/>
  <c r="H13" i="1"/>
  <c r="J13" i="1" s="1"/>
  <c r="I13" i="1"/>
  <c r="K13" i="1"/>
  <c r="G329" i="1"/>
  <c r="H329" i="1"/>
  <c r="I329" i="1"/>
  <c r="K329" i="1"/>
  <c r="G330" i="1"/>
  <c r="H330" i="1"/>
  <c r="J330" i="1" s="1"/>
  <c r="I330" i="1"/>
  <c r="K330" i="1"/>
  <c r="G65" i="1"/>
  <c r="H65" i="1"/>
  <c r="J65" i="1" s="1"/>
  <c r="I65" i="1"/>
  <c r="K65" i="1"/>
  <c r="G331" i="1"/>
  <c r="H331" i="1"/>
  <c r="I331" i="1"/>
  <c r="K331" i="1"/>
  <c r="G332" i="1"/>
  <c r="H332" i="1"/>
  <c r="I332" i="1"/>
  <c r="K332" i="1"/>
  <c r="G333" i="1"/>
  <c r="H333" i="1"/>
  <c r="I333" i="1"/>
  <c r="K333" i="1"/>
  <c r="G361" i="1"/>
  <c r="H361" i="1"/>
  <c r="I361" i="1"/>
  <c r="K361" i="1"/>
  <c r="G362" i="1"/>
  <c r="H362" i="1"/>
  <c r="I362" i="1"/>
  <c r="J362" i="1"/>
  <c r="K362" i="1"/>
  <c r="G363" i="1"/>
  <c r="H363" i="1"/>
  <c r="I363" i="1"/>
  <c r="K363" i="1"/>
  <c r="G334" i="1"/>
  <c r="H334" i="1"/>
  <c r="I334" i="1"/>
  <c r="K334" i="1"/>
  <c r="G517" i="1"/>
  <c r="H517" i="1"/>
  <c r="J517" i="1" s="1"/>
  <c r="I517" i="1"/>
  <c r="K517" i="1"/>
  <c r="G384" i="1"/>
  <c r="H384" i="1"/>
  <c r="I384" i="1"/>
  <c r="J384" i="1"/>
  <c r="K384" i="1"/>
  <c r="G385" i="1"/>
  <c r="H385" i="1"/>
  <c r="I385" i="1"/>
  <c r="K385" i="1"/>
  <c r="G518" i="1"/>
  <c r="H518" i="1"/>
  <c r="I518" i="1"/>
  <c r="K518" i="1"/>
  <c r="G66" i="1"/>
  <c r="H66" i="1"/>
  <c r="I66" i="1"/>
  <c r="K66" i="1"/>
  <c r="G386" i="1"/>
  <c r="H386" i="1"/>
  <c r="I386" i="1"/>
  <c r="K386" i="1"/>
  <c r="G387" i="1"/>
  <c r="H387" i="1"/>
  <c r="I387" i="1"/>
  <c r="K387" i="1"/>
  <c r="G388" i="1"/>
  <c r="H388" i="1"/>
  <c r="I388" i="1"/>
  <c r="K388" i="1"/>
  <c r="G389" i="1"/>
  <c r="H389" i="1"/>
  <c r="I389" i="1"/>
  <c r="J389" i="1"/>
  <c r="K389" i="1"/>
  <c r="G390" i="1"/>
  <c r="H390" i="1"/>
  <c r="J390" i="1" s="1"/>
  <c r="I390" i="1"/>
  <c r="K390" i="1"/>
  <c r="G391" i="1"/>
  <c r="H391" i="1"/>
  <c r="I391" i="1"/>
  <c r="K391" i="1"/>
  <c r="G392" i="1"/>
  <c r="H392" i="1"/>
  <c r="J392" i="1" s="1"/>
  <c r="I392" i="1"/>
  <c r="K392" i="1"/>
  <c r="G393" i="1"/>
  <c r="H393" i="1"/>
  <c r="I393" i="1"/>
  <c r="K393" i="1"/>
  <c r="G394" i="1"/>
  <c r="H394" i="1"/>
  <c r="J394" i="1" s="1"/>
  <c r="I394" i="1"/>
  <c r="K394" i="1"/>
  <c r="G395" i="1"/>
  <c r="H395" i="1"/>
  <c r="I395" i="1"/>
  <c r="J395" i="1" s="1"/>
  <c r="K395" i="1"/>
  <c r="G396" i="1"/>
  <c r="H396" i="1"/>
  <c r="I396" i="1"/>
  <c r="K396" i="1"/>
  <c r="G397" i="1"/>
  <c r="H397" i="1"/>
  <c r="J397" i="1" s="1"/>
  <c r="I397" i="1"/>
  <c r="K397" i="1"/>
  <c r="G398" i="1"/>
  <c r="H398" i="1"/>
  <c r="J398" i="1" s="1"/>
  <c r="I398" i="1"/>
  <c r="K398" i="1"/>
  <c r="G399" i="1"/>
  <c r="H399" i="1"/>
  <c r="I399" i="1"/>
  <c r="K399" i="1"/>
  <c r="G400" i="1"/>
  <c r="H400" i="1"/>
  <c r="I400" i="1"/>
  <c r="K400" i="1"/>
  <c r="G14" i="1"/>
  <c r="H14" i="1"/>
  <c r="I14" i="1"/>
  <c r="K14" i="1"/>
  <c r="G92" i="1"/>
  <c r="H92" i="1"/>
  <c r="I92" i="1"/>
  <c r="K92" i="1"/>
  <c r="G93" i="1"/>
  <c r="H93" i="1"/>
  <c r="I93" i="1"/>
  <c r="J93" i="1" s="1"/>
  <c r="K93" i="1"/>
  <c r="G401" i="1"/>
  <c r="H401" i="1"/>
  <c r="I401" i="1"/>
  <c r="K401" i="1"/>
  <c r="G402" i="1"/>
  <c r="H402" i="1"/>
  <c r="I402" i="1"/>
  <c r="J402" i="1"/>
  <c r="K402" i="1"/>
  <c r="G316" i="1"/>
  <c r="H316" i="1"/>
  <c r="I316" i="1"/>
  <c r="K316" i="1"/>
  <c r="G317" i="1"/>
  <c r="H317" i="1"/>
  <c r="I317" i="1"/>
  <c r="K317" i="1"/>
  <c r="G318" i="1"/>
  <c r="H318" i="1"/>
  <c r="J318" i="1" s="1"/>
  <c r="I318" i="1"/>
  <c r="K318" i="1"/>
  <c r="G364" i="1"/>
  <c r="H364" i="1"/>
  <c r="I364" i="1"/>
  <c r="K364" i="1"/>
  <c r="G365" i="1"/>
  <c r="H365" i="1"/>
  <c r="J365" i="1" s="1"/>
  <c r="I365" i="1"/>
  <c r="K365" i="1"/>
  <c r="G366" i="1"/>
  <c r="H366" i="1"/>
  <c r="I366" i="1"/>
  <c r="J366" i="1" s="1"/>
  <c r="K366" i="1"/>
  <c r="G184" i="1"/>
  <c r="H184" i="1"/>
  <c r="J184" i="1" s="1"/>
  <c r="I184" i="1"/>
  <c r="K184" i="1"/>
  <c r="G335" i="1"/>
  <c r="H335" i="1"/>
  <c r="J335" i="1" s="1"/>
  <c r="I335" i="1"/>
  <c r="K335" i="1"/>
  <c r="G336" i="1"/>
  <c r="H336" i="1"/>
  <c r="I336" i="1"/>
  <c r="J336" i="1"/>
  <c r="K336" i="1"/>
  <c r="G337" i="1"/>
  <c r="H337" i="1"/>
  <c r="I337" i="1"/>
  <c r="K337" i="1"/>
  <c r="G338" i="1"/>
  <c r="H338" i="1"/>
  <c r="I338" i="1"/>
  <c r="K338" i="1"/>
  <c r="G339" i="1"/>
  <c r="H339" i="1"/>
  <c r="I339" i="1"/>
  <c r="K339" i="1"/>
  <c r="G340" i="1"/>
  <c r="H340" i="1"/>
  <c r="I340" i="1"/>
  <c r="J340" i="1"/>
  <c r="K340" i="1"/>
  <c r="G341" i="1"/>
  <c r="H341" i="1"/>
  <c r="I341" i="1"/>
  <c r="K341" i="1"/>
  <c r="G342" i="1"/>
  <c r="H342" i="1"/>
  <c r="I342" i="1"/>
  <c r="K342" i="1"/>
  <c r="G67" i="1"/>
  <c r="H67" i="1"/>
  <c r="I67" i="1"/>
  <c r="K67" i="1"/>
  <c r="G94" i="1"/>
  <c r="H94" i="1"/>
  <c r="I94" i="1"/>
  <c r="J94" i="1" s="1"/>
  <c r="K94" i="1"/>
  <c r="G95" i="1"/>
  <c r="H95" i="1"/>
  <c r="I95" i="1"/>
  <c r="K95" i="1"/>
  <c r="G185" i="1"/>
  <c r="H185" i="1"/>
  <c r="I185" i="1"/>
  <c r="K185" i="1"/>
  <c r="G403" i="1"/>
  <c r="H403" i="1"/>
  <c r="J403" i="1" s="1"/>
  <c r="I403" i="1"/>
  <c r="K403" i="1"/>
  <c r="G186" i="1"/>
  <c r="H186" i="1"/>
  <c r="J186" i="1" s="1"/>
  <c r="I186" i="1"/>
  <c r="K186" i="1"/>
  <c r="G187" i="1"/>
  <c r="H187" i="1"/>
  <c r="I187" i="1"/>
  <c r="J187" i="1" s="1"/>
  <c r="K187" i="1"/>
  <c r="G210" i="1"/>
  <c r="H210" i="1"/>
  <c r="I210" i="1"/>
  <c r="K210" i="1"/>
  <c r="G456" i="1"/>
  <c r="H456" i="1"/>
  <c r="I456" i="1"/>
  <c r="K456" i="1"/>
  <c r="G188" i="1"/>
  <c r="H188" i="1"/>
  <c r="J188" i="1" s="1"/>
  <c r="I188" i="1"/>
  <c r="K188" i="1"/>
  <c r="G519" i="1"/>
  <c r="H519" i="1"/>
  <c r="I519" i="1"/>
  <c r="K519" i="1"/>
  <c r="G189" i="1"/>
  <c r="H189" i="1"/>
  <c r="J189" i="1" s="1"/>
  <c r="I189" i="1"/>
  <c r="K189" i="1"/>
  <c r="G190" i="1"/>
  <c r="H190" i="1"/>
  <c r="I190" i="1"/>
  <c r="K190" i="1"/>
  <c r="G191" i="1"/>
  <c r="H191" i="1"/>
  <c r="J191" i="1" s="1"/>
  <c r="I191" i="1"/>
  <c r="K191" i="1"/>
  <c r="G343" i="1"/>
  <c r="H343" i="1"/>
  <c r="I343" i="1"/>
  <c r="J343" i="1" s="1"/>
  <c r="K343" i="1"/>
  <c r="G344" i="1"/>
  <c r="H344" i="1"/>
  <c r="I344" i="1"/>
  <c r="K344" i="1"/>
  <c r="G21" i="1"/>
  <c r="H21" i="1"/>
  <c r="J21" i="1" s="1"/>
  <c r="I21" i="1"/>
  <c r="K21" i="1"/>
  <c r="G22" i="1"/>
  <c r="H22" i="1"/>
  <c r="I22" i="1"/>
  <c r="K22" i="1"/>
  <c r="G231" i="1"/>
  <c r="H231" i="1"/>
  <c r="I231" i="1"/>
  <c r="K231" i="1"/>
  <c r="G319" i="1"/>
  <c r="H319" i="1"/>
  <c r="I319" i="1"/>
  <c r="K319" i="1"/>
  <c r="G192" i="1"/>
  <c r="H192" i="1"/>
  <c r="I192" i="1"/>
  <c r="K192" i="1"/>
  <c r="G193" i="1"/>
  <c r="H193" i="1"/>
  <c r="J193" i="1" s="1"/>
  <c r="I193" i="1"/>
  <c r="K193" i="1"/>
  <c r="G194" i="1"/>
  <c r="H194" i="1"/>
  <c r="I194" i="1"/>
  <c r="J194" i="1" s="1"/>
  <c r="K194" i="1"/>
  <c r="G195" i="1"/>
  <c r="H195" i="1"/>
  <c r="I195" i="1"/>
  <c r="K195" i="1"/>
  <c r="G196" i="1"/>
  <c r="H196" i="1"/>
  <c r="I196" i="1"/>
  <c r="K196" i="1"/>
  <c r="G404" i="1"/>
  <c r="H404" i="1"/>
  <c r="I404" i="1"/>
  <c r="J404" i="1"/>
  <c r="K404" i="1"/>
  <c r="G405" i="1"/>
  <c r="H405" i="1"/>
  <c r="I405" i="1"/>
  <c r="K405" i="1"/>
  <c r="G281" i="1"/>
  <c r="H281" i="1"/>
  <c r="I281" i="1"/>
  <c r="K281" i="1"/>
  <c r="G282" i="1"/>
  <c r="H282" i="1"/>
  <c r="J282" i="1" s="1"/>
  <c r="I282" i="1"/>
  <c r="K282" i="1"/>
  <c r="G283" i="1"/>
  <c r="H283" i="1"/>
  <c r="I283" i="1"/>
  <c r="K283" i="1"/>
  <c r="G284" i="1"/>
  <c r="H284" i="1"/>
  <c r="I284" i="1"/>
  <c r="K284" i="1"/>
  <c r="G285" i="1"/>
  <c r="H285" i="1"/>
  <c r="I285" i="1"/>
  <c r="K285" i="1"/>
  <c r="G457" i="1"/>
  <c r="H457" i="1"/>
  <c r="J457" i="1" s="1"/>
  <c r="I457" i="1"/>
  <c r="K457" i="1"/>
  <c r="G458" i="1"/>
  <c r="H458" i="1"/>
  <c r="I458" i="1"/>
  <c r="J458" i="1" s="1"/>
  <c r="K458" i="1"/>
  <c r="G97" i="1"/>
  <c r="H97" i="1"/>
  <c r="I97" i="1"/>
  <c r="K97" i="1"/>
  <c r="G102" i="1"/>
  <c r="H102" i="1"/>
  <c r="I102" i="1"/>
  <c r="K102" i="1"/>
  <c r="G286" i="1"/>
  <c r="H286" i="1"/>
  <c r="I286" i="1"/>
  <c r="K286" i="1"/>
  <c r="G287" i="1"/>
  <c r="H287" i="1"/>
  <c r="I287" i="1"/>
  <c r="K287" i="1"/>
  <c r="G288" i="1"/>
  <c r="H288" i="1"/>
  <c r="I288" i="1"/>
  <c r="J288" i="1" s="1"/>
  <c r="K288" i="1"/>
  <c r="G197" i="1"/>
  <c r="H197" i="1"/>
  <c r="I197" i="1"/>
  <c r="K197" i="1"/>
  <c r="G240" i="1"/>
  <c r="H240" i="1"/>
  <c r="I240" i="1"/>
  <c r="K240" i="1"/>
  <c r="G241" i="1"/>
  <c r="H241" i="1"/>
  <c r="I241" i="1"/>
  <c r="J241" i="1"/>
  <c r="K241" i="1"/>
  <c r="G242" i="1"/>
  <c r="H242" i="1"/>
  <c r="I242" i="1"/>
  <c r="K242" i="1"/>
  <c r="G25" i="1"/>
  <c r="H25" i="1"/>
  <c r="I25" i="1"/>
  <c r="K25" i="1"/>
  <c r="G68" i="1"/>
  <c r="H68" i="1"/>
  <c r="I68" i="1"/>
  <c r="K68" i="1"/>
  <c r="G26" i="1"/>
  <c r="H26" i="1"/>
  <c r="I26" i="1"/>
  <c r="J26" i="1"/>
  <c r="K26" i="1"/>
  <c r="G27" i="1"/>
  <c r="H27" i="1"/>
  <c r="I27" i="1"/>
  <c r="K27" i="1"/>
  <c r="G69" i="1"/>
  <c r="H69" i="1"/>
  <c r="I69" i="1"/>
  <c r="K69" i="1"/>
  <c r="G28" i="1"/>
  <c r="H28" i="1"/>
  <c r="I28" i="1"/>
  <c r="K28" i="1"/>
  <c r="G70" i="1"/>
  <c r="H70" i="1"/>
  <c r="I70" i="1"/>
  <c r="K70" i="1"/>
  <c r="G71" i="1"/>
  <c r="H71" i="1"/>
  <c r="J71" i="1" s="1"/>
  <c r="I71" i="1"/>
  <c r="K71" i="1"/>
  <c r="G243" i="1"/>
  <c r="H243" i="1"/>
  <c r="I243" i="1"/>
  <c r="K243" i="1"/>
  <c r="G244" i="1"/>
  <c r="H244" i="1"/>
  <c r="I244" i="1"/>
  <c r="K244" i="1"/>
  <c r="G245" i="1"/>
  <c r="H245" i="1"/>
  <c r="I245" i="1"/>
  <c r="K245" i="1"/>
  <c r="G367" i="1"/>
  <c r="H367" i="1"/>
  <c r="I367" i="1"/>
  <c r="K367" i="1"/>
  <c r="G246" i="1"/>
  <c r="H246" i="1"/>
  <c r="I246" i="1"/>
  <c r="K246" i="1"/>
  <c r="G406" i="1"/>
  <c r="H406" i="1"/>
  <c r="J406" i="1" s="1"/>
  <c r="I406" i="1"/>
  <c r="K406" i="1"/>
  <c r="G247" i="1"/>
  <c r="H247" i="1"/>
  <c r="I247" i="1"/>
  <c r="K247" i="1"/>
  <c r="G257" i="1"/>
  <c r="H257" i="1"/>
  <c r="I257" i="1"/>
  <c r="K257" i="1"/>
  <c r="G258" i="1"/>
  <c r="H258" i="1"/>
  <c r="J258" i="1" s="1"/>
  <c r="I258" i="1"/>
  <c r="K258" i="1"/>
  <c r="G259" i="1"/>
  <c r="H259" i="1"/>
  <c r="I259" i="1"/>
  <c r="K259" i="1"/>
  <c r="G260" i="1"/>
  <c r="H260" i="1"/>
  <c r="J260" i="1" s="1"/>
  <c r="I260" i="1"/>
  <c r="K260" i="1"/>
  <c r="G261" i="1"/>
  <c r="H261" i="1"/>
  <c r="I261" i="1"/>
  <c r="K261" i="1"/>
  <c r="G198" i="1"/>
  <c r="H198" i="1"/>
  <c r="I198" i="1"/>
  <c r="K198" i="1"/>
  <c r="G199" i="1"/>
  <c r="H199" i="1"/>
  <c r="I199" i="1"/>
  <c r="K199" i="1"/>
  <c r="G200" i="1"/>
  <c r="H200" i="1"/>
  <c r="I200" i="1"/>
  <c r="J200" i="1" s="1"/>
  <c r="K200" i="1"/>
  <c r="G507" i="1"/>
  <c r="H507" i="1"/>
  <c r="I507" i="1"/>
  <c r="K507" i="1"/>
  <c r="G72" i="1"/>
  <c r="H72" i="1"/>
  <c r="I72" i="1"/>
  <c r="K72" i="1"/>
  <c r="G73" i="1"/>
  <c r="H73" i="1"/>
  <c r="I73" i="1"/>
  <c r="K73" i="1"/>
  <c r="G508" i="1"/>
  <c r="H508" i="1"/>
  <c r="J508" i="1" s="1"/>
  <c r="I508" i="1"/>
  <c r="K508" i="1"/>
  <c r="G368" i="1"/>
  <c r="H368" i="1"/>
  <c r="I368" i="1"/>
  <c r="J368" i="1" s="1"/>
  <c r="K368" i="1"/>
  <c r="G29" i="1"/>
  <c r="H29" i="1"/>
  <c r="I29" i="1"/>
  <c r="K29" i="1"/>
  <c r="G262" i="1"/>
  <c r="H262" i="1"/>
  <c r="J262" i="1" s="1"/>
  <c r="I262" i="1"/>
  <c r="K262" i="1"/>
  <c r="G459" i="1"/>
  <c r="H459" i="1"/>
  <c r="J459" i="1" s="1"/>
  <c r="I459" i="1"/>
  <c r="K459" i="1"/>
  <c r="G460" i="1"/>
  <c r="H460" i="1"/>
  <c r="I460" i="1"/>
  <c r="K460" i="1"/>
  <c r="G461" i="1"/>
  <c r="H461" i="1"/>
  <c r="J461" i="1" s="1"/>
  <c r="I461" i="1"/>
  <c r="K461" i="1"/>
  <c r="G462" i="1"/>
  <c r="H462" i="1"/>
  <c r="I462" i="1"/>
  <c r="K462" i="1"/>
  <c r="G463" i="1"/>
  <c r="H463" i="1"/>
  <c r="J463" i="1" s="1"/>
  <c r="I463" i="1"/>
  <c r="K463" i="1"/>
  <c r="G147" i="1"/>
  <c r="H147" i="1"/>
  <c r="I147" i="1"/>
  <c r="K147" i="1"/>
  <c r="G148" i="1"/>
  <c r="H148" i="1"/>
  <c r="J148" i="1" s="1"/>
  <c r="I148" i="1"/>
  <c r="K148" i="1"/>
  <c r="G464" i="1"/>
  <c r="H464" i="1"/>
  <c r="J464" i="1" s="1"/>
  <c r="I464" i="1"/>
  <c r="K464" i="1"/>
  <c r="G465" i="1"/>
  <c r="H465" i="1"/>
  <c r="I465" i="1"/>
  <c r="J465" i="1"/>
  <c r="K465" i="1"/>
  <c r="G466" i="1"/>
  <c r="H466" i="1"/>
  <c r="J466" i="1" s="1"/>
  <c r="I466" i="1"/>
  <c r="K466" i="1"/>
  <c r="G467" i="1"/>
  <c r="H467" i="1"/>
  <c r="I467" i="1"/>
  <c r="K467" i="1"/>
  <c r="G149" i="1"/>
  <c r="H149" i="1"/>
  <c r="J149" i="1" s="1"/>
  <c r="I149" i="1"/>
  <c r="K149" i="1"/>
  <c r="G150" i="1"/>
  <c r="H150" i="1"/>
  <c r="I150" i="1"/>
  <c r="J150" i="1"/>
  <c r="K150" i="1"/>
  <c r="G468" i="1"/>
  <c r="H468" i="1"/>
  <c r="I468" i="1"/>
  <c r="J468" i="1" s="1"/>
  <c r="K468" i="1"/>
  <c r="G30" i="1"/>
  <c r="H30" i="1"/>
  <c r="I30" i="1"/>
  <c r="K30" i="1"/>
  <c r="G469" i="1"/>
  <c r="H469" i="1"/>
  <c r="J469" i="1" s="1"/>
  <c r="I469" i="1"/>
  <c r="K469" i="1"/>
  <c r="G74" i="1"/>
  <c r="H74" i="1"/>
  <c r="J74" i="1" s="1"/>
  <c r="I74" i="1"/>
  <c r="K74" i="1"/>
  <c r="G345" i="1"/>
  <c r="H345" i="1"/>
  <c r="I345" i="1"/>
  <c r="K345" i="1"/>
  <c r="G75" i="1"/>
  <c r="H75" i="1"/>
  <c r="I75" i="1"/>
  <c r="K75" i="1"/>
  <c r="G470" i="1"/>
  <c r="H470" i="1"/>
  <c r="I470" i="1"/>
  <c r="K470" i="1"/>
  <c r="G471" i="1"/>
  <c r="H471" i="1"/>
  <c r="I471" i="1"/>
  <c r="K471" i="1"/>
  <c r="G472" i="1"/>
  <c r="H472" i="1"/>
  <c r="I472" i="1"/>
  <c r="K472" i="1"/>
  <c r="G473" i="1"/>
  <c r="H473" i="1"/>
  <c r="I473" i="1"/>
  <c r="K473" i="1"/>
  <c r="G474" i="1"/>
  <c r="H474" i="1"/>
  <c r="I474" i="1"/>
  <c r="J474" i="1"/>
  <c r="K474" i="1"/>
  <c r="G475" i="1"/>
  <c r="H475" i="1"/>
  <c r="J475" i="1" s="1"/>
  <c r="I475" i="1"/>
  <c r="K475" i="1"/>
  <c r="G476" i="1"/>
  <c r="H476" i="1"/>
  <c r="I476" i="1"/>
  <c r="K476" i="1"/>
  <c r="G477" i="1"/>
  <c r="H477" i="1"/>
  <c r="J477" i="1" s="1"/>
  <c r="I477" i="1"/>
  <c r="K477" i="1"/>
  <c r="G478" i="1"/>
  <c r="H478" i="1"/>
  <c r="I478" i="1"/>
  <c r="J478" i="1" s="1"/>
  <c r="K478" i="1"/>
  <c r="G479" i="1"/>
  <c r="H479" i="1"/>
  <c r="J479" i="1" s="1"/>
  <c r="I479" i="1"/>
  <c r="K479" i="1"/>
  <c r="G480" i="1"/>
  <c r="H480" i="1"/>
  <c r="I480" i="1"/>
  <c r="J480" i="1" s="1"/>
  <c r="K480" i="1"/>
  <c r="G481" i="1"/>
  <c r="H481" i="1"/>
  <c r="J481" i="1" s="1"/>
  <c r="I481" i="1"/>
  <c r="K481" i="1"/>
  <c r="G482" i="1"/>
  <c r="H482" i="1"/>
  <c r="I482" i="1"/>
  <c r="K482" i="1"/>
  <c r="G31" i="1"/>
  <c r="H31" i="1"/>
  <c r="I31" i="1"/>
  <c r="K31" i="1"/>
  <c r="G201" i="1"/>
  <c r="H201" i="1"/>
  <c r="I201" i="1"/>
  <c r="K201" i="1"/>
  <c r="G202" i="1"/>
  <c r="H202" i="1"/>
  <c r="I202" i="1"/>
  <c r="K202" i="1"/>
  <c r="G346" i="1"/>
  <c r="H346" i="1"/>
  <c r="I346" i="1"/>
  <c r="K346" i="1"/>
  <c r="G289" i="1"/>
  <c r="H289" i="1"/>
  <c r="J289" i="1" s="1"/>
  <c r="I289" i="1"/>
  <c r="K289" i="1"/>
  <c r="G290" i="1"/>
  <c r="H290" i="1"/>
  <c r="I290" i="1"/>
  <c r="K290" i="1"/>
  <c r="G291" i="1"/>
  <c r="H291" i="1"/>
  <c r="I291" i="1"/>
  <c r="K291" i="1"/>
  <c r="G292" i="1"/>
  <c r="H292" i="1"/>
  <c r="I292" i="1"/>
  <c r="K292" i="1"/>
  <c r="G293" i="1"/>
  <c r="H293" i="1"/>
  <c r="J293" i="1" s="1"/>
  <c r="I293" i="1"/>
  <c r="K293" i="1"/>
  <c r="G294" i="1"/>
  <c r="H294" i="1"/>
  <c r="J294" i="1" s="1"/>
  <c r="I294" i="1"/>
  <c r="K294" i="1"/>
  <c r="G295" i="1"/>
  <c r="H295" i="1"/>
  <c r="J295" i="1" s="1"/>
  <c r="I295" i="1"/>
  <c r="K295" i="1"/>
  <c r="G296" i="1"/>
  <c r="H296" i="1"/>
  <c r="I296" i="1"/>
  <c r="K296" i="1"/>
  <c r="G297" i="1"/>
  <c r="H297" i="1"/>
  <c r="J297" i="1" s="1"/>
  <c r="I297" i="1"/>
  <c r="K297" i="1"/>
  <c r="G298" i="1"/>
  <c r="H298" i="1"/>
  <c r="I298" i="1"/>
  <c r="K298" i="1"/>
  <c r="G15" i="1"/>
  <c r="H15" i="1"/>
  <c r="J15" i="1" s="1"/>
  <c r="I15" i="1"/>
  <c r="K15" i="1"/>
  <c r="G203" i="1"/>
  <c r="H203" i="1"/>
  <c r="J203" i="1" s="1"/>
  <c r="I203" i="1"/>
  <c r="K203" i="1"/>
  <c r="G204" i="1"/>
  <c r="H204" i="1"/>
  <c r="I204" i="1"/>
  <c r="J204" i="1"/>
  <c r="K204" i="1"/>
  <c r="G32" i="1"/>
  <c r="H32" i="1"/>
  <c r="I32" i="1"/>
  <c r="K32" i="1"/>
  <c r="G33" i="1"/>
  <c r="H33" i="1"/>
  <c r="I33" i="1"/>
  <c r="K33" i="1"/>
  <c r="G4" i="1"/>
  <c r="H4" i="1"/>
  <c r="I4" i="1"/>
  <c r="K4" i="1"/>
  <c r="G347" i="1"/>
  <c r="H347" i="1"/>
  <c r="I347" i="1"/>
  <c r="K347" i="1"/>
  <c r="G348" i="1"/>
  <c r="H348" i="1"/>
  <c r="I348" i="1"/>
  <c r="K348" i="1"/>
  <c r="G248" i="1"/>
  <c r="H248" i="1"/>
  <c r="I248" i="1"/>
  <c r="K248" i="1"/>
  <c r="G349" i="1"/>
  <c r="H349" i="1"/>
  <c r="J349" i="1" s="1"/>
  <c r="I349" i="1"/>
  <c r="K349" i="1"/>
  <c r="G369" i="1"/>
  <c r="H369" i="1"/>
  <c r="I369" i="1"/>
  <c r="J369" i="1"/>
  <c r="K369" i="1"/>
  <c r="G34" i="1"/>
  <c r="H34" i="1"/>
  <c r="I34" i="1"/>
  <c r="K34" i="1"/>
  <c r="G35" i="1"/>
  <c r="H35" i="1"/>
  <c r="I35" i="1"/>
  <c r="K35" i="1"/>
  <c r="G19" i="1"/>
  <c r="H19" i="1"/>
  <c r="I19" i="1"/>
  <c r="K19" i="1"/>
  <c r="G76" i="1"/>
  <c r="H76" i="1"/>
  <c r="J76" i="1" s="1"/>
  <c r="I76" i="1"/>
  <c r="K76" i="1"/>
  <c r="G36" i="1"/>
  <c r="H36" i="1"/>
  <c r="I36" i="1"/>
  <c r="K36" i="1"/>
  <c r="G77" i="1"/>
  <c r="H77" i="1"/>
  <c r="I77" i="1"/>
  <c r="K77" i="1"/>
  <c r="G78" i="1"/>
  <c r="H78" i="1"/>
  <c r="I78" i="1"/>
  <c r="K78" i="1"/>
  <c r="G504" i="1"/>
  <c r="H504" i="1"/>
  <c r="J504" i="1" s="1"/>
  <c r="I504" i="1"/>
  <c r="K504" i="1"/>
  <c r="G98" i="1"/>
  <c r="H98" i="1"/>
  <c r="I98" i="1"/>
  <c r="K98" i="1"/>
  <c r="G79" i="1"/>
  <c r="H79" i="1"/>
  <c r="I79" i="1"/>
  <c r="K79" i="1"/>
  <c r="G37" i="1"/>
  <c r="H37" i="1"/>
  <c r="I37" i="1"/>
  <c r="K37" i="1"/>
  <c r="G38" i="1"/>
  <c r="H38" i="1"/>
  <c r="J38" i="1" s="1"/>
  <c r="I38" i="1"/>
  <c r="K38" i="1"/>
  <c r="G80" i="1"/>
  <c r="H80" i="1"/>
  <c r="I80" i="1"/>
  <c r="K80" i="1"/>
  <c r="G505" i="1"/>
  <c r="H505" i="1"/>
  <c r="J505" i="1" s="1"/>
  <c r="I505" i="1"/>
  <c r="K505" i="1"/>
  <c r="G39" i="1"/>
  <c r="H39" i="1"/>
  <c r="J39" i="1" s="1"/>
  <c r="I39" i="1"/>
  <c r="K39" i="1"/>
  <c r="G40" i="1"/>
  <c r="H40" i="1"/>
  <c r="I40" i="1"/>
  <c r="J40" i="1" s="1"/>
  <c r="K40" i="1"/>
  <c r="G41" i="1"/>
  <c r="H41" i="1"/>
  <c r="I41" i="1"/>
  <c r="K41" i="1"/>
  <c r="G42" i="1"/>
  <c r="H42" i="1"/>
  <c r="J42" i="1" s="1"/>
  <c r="I42" i="1"/>
  <c r="K42" i="1"/>
  <c r="G43" i="1"/>
  <c r="H43" i="1"/>
  <c r="I43" i="1"/>
  <c r="K43" i="1"/>
  <c r="G81" i="1"/>
  <c r="H81" i="1"/>
  <c r="J81" i="1" s="1"/>
  <c r="I81" i="1"/>
  <c r="K81" i="1"/>
  <c r="G82" i="1"/>
  <c r="H82" i="1"/>
  <c r="I82" i="1"/>
  <c r="J82" i="1" s="1"/>
  <c r="K82" i="1"/>
  <c r="G44" i="1"/>
  <c r="H44" i="1"/>
  <c r="I44" i="1"/>
  <c r="K44" i="1"/>
  <c r="G45" i="1"/>
  <c r="H45" i="1"/>
  <c r="I45" i="1"/>
  <c r="J45" i="1" s="1"/>
  <c r="K45" i="1"/>
  <c r="G350" i="1"/>
  <c r="H350" i="1"/>
  <c r="J350" i="1" s="1"/>
  <c r="I350" i="1"/>
  <c r="K350" i="1"/>
  <c r="G351" i="1"/>
  <c r="H351" i="1"/>
  <c r="I351" i="1"/>
  <c r="K351" i="1"/>
  <c r="G352" i="1"/>
  <c r="H352" i="1"/>
  <c r="I352" i="1"/>
  <c r="K352" i="1"/>
  <c r="G99" i="1"/>
  <c r="H99" i="1"/>
  <c r="I99" i="1"/>
  <c r="K99" i="1"/>
  <c r="G407" i="1"/>
  <c r="H407" i="1"/>
  <c r="J407" i="1" s="1"/>
  <c r="I407" i="1"/>
  <c r="K407" i="1"/>
  <c r="G408" i="1"/>
  <c r="H408" i="1"/>
  <c r="I408" i="1"/>
  <c r="K408" i="1"/>
  <c r="G409" i="1"/>
  <c r="H409" i="1"/>
  <c r="J409" i="1" s="1"/>
  <c r="I409" i="1"/>
  <c r="K409" i="1"/>
  <c r="G410" i="1"/>
  <c r="H410" i="1"/>
  <c r="J410" i="1" s="1"/>
  <c r="I410" i="1"/>
  <c r="K410" i="1"/>
  <c r="G411" i="1"/>
  <c r="H411" i="1"/>
  <c r="I411" i="1"/>
  <c r="K411" i="1"/>
  <c r="G412" i="1"/>
  <c r="H412" i="1"/>
  <c r="I412" i="1"/>
  <c r="K412" i="1"/>
  <c r="G413" i="1"/>
  <c r="H413" i="1"/>
  <c r="I413" i="1"/>
  <c r="K413" i="1"/>
  <c r="G83" i="1"/>
  <c r="H83" i="1"/>
  <c r="I83" i="1"/>
  <c r="K83" i="1"/>
  <c r="G353" i="1"/>
  <c r="H353" i="1"/>
  <c r="I353" i="1"/>
  <c r="K353" i="1"/>
  <c r="G84" i="1"/>
  <c r="H84" i="1"/>
  <c r="I84" i="1"/>
  <c r="J84" i="1" s="1"/>
  <c r="K84" i="1"/>
  <c r="G46" i="1"/>
  <c r="H46" i="1"/>
  <c r="I46" i="1"/>
  <c r="K46" i="1"/>
  <c r="G47" i="1"/>
  <c r="H47" i="1"/>
  <c r="I47" i="1"/>
  <c r="K47" i="1"/>
  <c r="G414" i="1"/>
  <c r="H414" i="1"/>
  <c r="I414" i="1"/>
  <c r="J414" i="1"/>
  <c r="K414" i="1"/>
  <c r="G415" i="1"/>
  <c r="H415" i="1"/>
  <c r="J415" i="1" s="1"/>
  <c r="I415" i="1"/>
  <c r="K415" i="1"/>
  <c r="G416" i="1"/>
  <c r="H416" i="1"/>
  <c r="I416" i="1"/>
  <c r="K416" i="1"/>
  <c r="G417" i="1"/>
  <c r="H417" i="1"/>
  <c r="J417" i="1" s="1"/>
  <c r="I417" i="1"/>
  <c r="K417" i="1"/>
  <c r="G263" i="1"/>
  <c r="H263" i="1"/>
  <c r="I263" i="1"/>
  <c r="J263" i="1"/>
  <c r="K263" i="1"/>
  <c r="G264" i="1"/>
  <c r="H264" i="1"/>
  <c r="I264" i="1"/>
  <c r="J264" i="1" s="1"/>
  <c r="K264" i="1"/>
  <c r="G265" i="1"/>
  <c r="H265" i="1"/>
  <c r="I265" i="1"/>
  <c r="K265" i="1"/>
  <c r="G266" i="1"/>
  <c r="H266" i="1"/>
  <c r="I266" i="1"/>
  <c r="K266" i="1"/>
  <c r="G267" i="1"/>
  <c r="H267" i="1"/>
  <c r="I267" i="1"/>
  <c r="K267" i="1"/>
  <c r="G268" i="1"/>
  <c r="H268" i="1"/>
  <c r="J268" i="1" s="1"/>
  <c r="I268" i="1"/>
  <c r="K268" i="1"/>
  <c r="G269" i="1"/>
  <c r="H269" i="1"/>
  <c r="I269" i="1"/>
  <c r="K269" i="1"/>
  <c r="G270" i="1"/>
  <c r="H270" i="1"/>
  <c r="J270" i="1" s="1"/>
  <c r="I270" i="1"/>
  <c r="K270" i="1"/>
  <c r="G205" i="1"/>
  <c r="H205" i="1"/>
  <c r="I205" i="1"/>
  <c r="K205" i="1"/>
  <c r="G418" i="1"/>
  <c r="H418" i="1"/>
  <c r="I418" i="1"/>
  <c r="K418" i="1"/>
  <c r="G48" i="1"/>
  <c r="H48" i="1"/>
  <c r="I48" i="1"/>
  <c r="K48" i="1"/>
  <c r="G85" i="1"/>
  <c r="H85" i="1"/>
  <c r="J85" i="1" s="1"/>
  <c r="I85" i="1"/>
  <c r="K85" i="1"/>
  <c r="G419" i="1"/>
  <c r="H419" i="1"/>
  <c r="J419" i="1" s="1"/>
  <c r="I419" i="1"/>
  <c r="K419" i="1"/>
  <c r="G86" i="1"/>
  <c r="H86" i="1"/>
  <c r="I86" i="1"/>
  <c r="K86" i="1"/>
  <c r="G49" i="1"/>
  <c r="H49" i="1"/>
  <c r="I49" i="1"/>
  <c r="K49" i="1"/>
  <c r="G87" i="1"/>
  <c r="H87" i="1"/>
  <c r="I87" i="1"/>
  <c r="K87" i="1"/>
  <c r="G420" i="1"/>
  <c r="H420" i="1"/>
  <c r="I420" i="1"/>
  <c r="K420" i="1"/>
  <c r="G88" i="1"/>
  <c r="H88" i="1"/>
  <c r="I88" i="1"/>
  <c r="K88" i="1"/>
  <c r="G89" i="1"/>
  <c r="H89" i="1"/>
  <c r="I89" i="1"/>
  <c r="K89" i="1"/>
  <c r="G421" i="1"/>
  <c r="H421" i="1"/>
  <c r="J421" i="1" s="1"/>
  <c r="I421" i="1"/>
  <c r="K421" i="1"/>
  <c r="G422" i="1"/>
  <c r="H422" i="1"/>
  <c r="J422" i="1" s="1"/>
  <c r="I422" i="1"/>
  <c r="K422" i="1"/>
  <c r="G90" i="1"/>
  <c r="H90" i="1"/>
  <c r="I90" i="1"/>
  <c r="K90" i="1"/>
  <c r="G423" i="1"/>
  <c r="H423" i="1"/>
  <c r="I423" i="1"/>
  <c r="K423" i="1"/>
  <c r="G483" i="1"/>
  <c r="H483" i="1"/>
  <c r="I483" i="1"/>
  <c r="K483" i="1"/>
  <c r="G484" i="1"/>
  <c r="H484" i="1"/>
  <c r="I484" i="1"/>
  <c r="J484" i="1" s="1"/>
  <c r="K484" i="1"/>
  <c r="G206" i="1"/>
  <c r="H206" i="1"/>
  <c r="I206" i="1"/>
  <c r="K206" i="1"/>
  <c r="G207" i="1"/>
  <c r="H207" i="1"/>
  <c r="I207" i="1"/>
  <c r="K207" i="1"/>
  <c r="G208" i="1"/>
  <c r="H208" i="1"/>
  <c r="I208" i="1"/>
  <c r="K208" i="1"/>
  <c r="G151" i="1"/>
  <c r="H151" i="1"/>
  <c r="J151" i="1" s="1"/>
  <c r="I151" i="1"/>
  <c r="K151" i="1"/>
  <c r="G485" i="1"/>
  <c r="H485" i="1"/>
  <c r="I485" i="1"/>
  <c r="K485" i="1"/>
  <c r="G486" i="1"/>
  <c r="H486" i="1"/>
  <c r="J486" i="1" s="1"/>
  <c r="I486" i="1"/>
  <c r="K486" i="1"/>
  <c r="G487" i="1"/>
  <c r="H487" i="1"/>
  <c r="I487" i="1"/>
  <c r="J487" i="1" s="1"/>
  <c r="K487" i="1"/>
  <c r="G424" i="1"/>
  <c r="H424" i="1"/>
  <c r="J424" i="1" s="1"/>
  <c r="I424" i="1"/>
  <c r="K424" i="1"/>
  <c r="G488" i="1"/>
  <c r="H488" i="1"/>
  <c r="I488" i="1"/>
  <c r="K488" i="1"/>
  <c r="G100" i="1"/>
  <c r="H100" i="1"/>
  <c r="I100" i="1"/>
  <c r="K100" i="1"/>
  <c r="G50" i="1"/>
  <c r="H50" i="1"/>
  <c r="I50" i="1"/>
  <c r="J50" i="1" s="1"/>
  <c r="K50" i="1"/>
  <c r="G91" i="1"/>
  <c r="H91" i="1"/>
  <c r="I91" i="1"/>
  <c r="K91" i="1"/>
  <c r="G354" i="1"/>
  <c r="H354" i="1"/>
  <c r="I354" i="1"/>
  <c r="K354" i="1"/>
  <c r="G51" i="1"/>
  <c r="H51" i="1"/>
  <c r="I51" i="1"/>
  <c r="K51" i="1"/>
  <c r="G52" i="1"/>
  <c r="H52" i="1"/>
  <c r="I52" i="1"/>
  <c r="K52" i="1"/>
  <c r="G249" i="1"/>
  <c r="H249" i="1"/>
  <c r="J249" i="1" s="1"/>
  <c r="I249" i="1"/>
  <c r="K249" i="1"/>
  <c r="G209" i="1"/>
  <c r="H209" i="1"/>
  <c r="J209" i="1" s="1"/>
  <c r="I209" i="1"/>
  <c r="K209" i="1"/>
  <c r="G250" i="1"/>
  <c r="H250" i="1"/>
  <c r="I250" i="1"/>
  <c r="K250" i="1"/>
  <c r="G251" i="1"/>
  <c r="H251" i="1"/>
  <c r="J251" i="1" s="1"/>
  <c r="I251" i="1"/>
  <c r="K251" i="1"/>
  <c r="G252" i="1"/>
  <c r="H252" i="1"/>
  <c r="J252" i="1" s="1"/>
  <c r="I252" i="1"/>
  <c r="K252" i="1"/>
  <c r="G253" i="1"/>
  <c r="H253" i="1"/>
  <c r="I253" i="1"/>
  <c r="K253" i="1"/>
  <c r="G254" i="1"/>
  <c r="H254" i="1"/>
  <c r="I254" i="1"/>
  <c r="K254" i="1"/>
  <c r="G271" i="1"/>
  <c r="H271" i="1"/>
  <c r="I271" i="1"/>
  <c r="J271" i="1" s="1"/>
  <c r="K271" i="1"/>
  <c r="G218" i="1"/>
  <c r="H218" i="1"/>
  <c r="I218" i="1"/>
  <c r="K218" i="1"/>
  <c r="G152" i="1"/>
  <c r="H152" i="1"/>
  <c r="I152" i="1"/>
  <c r="K152" i="1"/>
  <c r="G153" i="1"/>
  <c r="H153" i="1"/>
  <c r="I153" i="1"/>
  <c r="K153" i="1"/>
  <c r="G154" i="1"/>
  <c r="H154" i="1"/>
  <c r="I154" i="1"/>
  <c r="J154" i="1" s="1"/>
  <c r="K154" i="1"/>
  <c r="G155" i="1"/>
  <c r="H155" i="1"/>
  <c r="I155" i="1"/>
  <c r="J155" i="1" s="1"/>
  <c r="K155" i="1"/>
  <c r="G156" i="1"/>
  <c r="H156" i="1"/>
  <c r="I156" i="1"/>
  <c r="K156" i="1"/>
  <c r="G157" i="1"/>
  <c r="H157" i="1"/>
  <c r="I157" i="1"/>
  <c r="K157" i="1"/>
  <c r="G425" i="1"/>
  <c r="H425" i="1"/>
  <c r="I425" i="1"/>
  <c r="K425" i="1"/>
  <c r="G489" i="1"/>
  <c r="H489" i="1"/>
  <c r="I489" i="1"/>
  <c r="J489" i="1"/>
  <c r="K489" i="1"/>
  <c r="G53" i="1"/>
  <c r="H53" i="1"/>
  <c r="I53" i="1"/>
  <c r="K53" i="1"/>
  <c r="G54" i="1"/>
  <c r="H54" i="1"/>
  <c r="I54" i="1"/>
  <c r="K54" i="1"/>
  <c r="G55" i="1"/>
  <c r="H55" i="1"/>
  <c r="I55" i="1"/>
  <c r="K55" i="1"/>
  <c r="G56" i="1"/>
  <c r="H56" i="1"/>
  <c r="I56" i="1"/>
  <c r="K56" i="1"/>
  <c r="G506" i="1"/>
  <c r="H506" i="1"/>
  <c r="I506" i="1"/>
  <c r="K506" i="1"/>
  <c r="G490" i="1"/>
  <c r="H490" i="1"/>
  <c r="I490" i="1"/>
  <c r="K490" i="1"/>
  <c r="G230" i="1"/>
  <c r="H230" i="1"/>
  <c r="I230" i="1"/>
  <c r="K230" i="1"/>
  <c r="G426" i="1"/>
  <c r="H426" i="1"/>
  <c r="J426" i="1" s="1"/>
  <c r="I426" i="1"/>
  <c r="K426" i="1"/>
  <c r="G427" i="1"/>
  <c r="H427" i="1"/>
  <c r="I427" i="1"/>
  <c r="K427" i="1"/>
  <c r="G491" i="1"/>
  <c r="H491" i="1"/>
  <c r="I491" i="1"/>
  <c r="K491" i="1"/>
  <c r="G492" i="1"/>
  <c r="H492" i="1"/>
  <c r="I492" i="1"/>
  <c r="J492" i="1"/>
  <c r="K492" i="1"/>
  <c r="G493" i="1"/>
  <c r="H493" i="1"/>
  <c r="J493" i="1" s="1"/>
  <c r="I493" i="1"/>
  <c r="K493" i="1"/>
  <c r="G494" i="1"/>
  <c r="H494" i="1"/>
  <c r="I494" i="1"/>
  <c r="K494" i="1"/>
  <c r="G495" i="1"/>
  <c r="H495" i="1"/>
  <c r="J495" i="1" s="1"/>
  <c r="I495" i="1"/>
  <c r="K495" i="1"/>
  <c r="G496" i="1"/>
  <c r="H496" i="1"/>
  <c r="I496" i="1"/>
  <c r="K496" i="1"/>
  <c r="G428" i="1"/>
  <c r="H428" i="1"/>
  <c r="J428" i="1" s="1"/>
  <c r="I428" i="1"/>
  <c r="K428" i="1"/>
  <c r="G497" i="1"/>
  <c r="H497" i="1"/>
  <c r="I497" i="1"/>
  <c r="K497" i="1"/>
  <c r="G498" i="1"/>
  <c r="H498" i="1"/>
  <c r="I498" i="1"/>
  <c r="K498" i="1"/>
  <c r="G499" i="1"/>
  <c r="H499" i="1"/>
  <c r="I499" i="1"/>
  <c r="J499" i="1"/>
  <c r="K499" i="1"/>
  <c r="G500" i="1"/>
  <c r="H500" i="1"/>
  <c r="I500" i="1"/>
  <c r="K500" i="1"/>
  <c r="G501" i="1"/>
  <c r="H501" i="1"/>
  <c r="I501" i="1"/>
  <c r="K501" i="1"/>
  <c r="G57" i="1"/>
  <c r="H57" i="1"/>
  <c r="I57" i="1"/>
  <c r="K57" i="1"/>
  <c r="G429" i="1"/>
  <c r="H429" i="1"/>
  <c r="I429" i="1"/>
  <c r="K429" i="1"/>
  <c r="G430" i="1"/>
  <c r="H430" i="1"/>
  <c r="J430" i="1" s="1"/>
  <c r="I430" i="1"/>
  <c r="K430" i="1"/>
  <c r="G431" i="1"/>
  <c r="H431" i="1"/>
  <c r="J431" i="1" s="1"/>
  <c r="I431" i="1"/>
  <c r="K431" i="1"/>
  <c r="G432" i="1"/>
  <c r="H432" i="1"/>
  <c r="I432" i="1"/>
  <c r="K432" i="1"/>
  <c r="G502" i="1"/>
  <c r="H502" i="1"/>
  <c r="J502" i="1" s="1"/>
  <c r="I502" i="1"/>
  <c r="K502" i="1"/>
  <c r="G433" i="1"/>
  <c r="H433" i="1"/>
  <c r="J433" i="1" s="1"/>
  <c r="I433" i="1"/>
  <c r="K433" i="1"/>
  <c r="G434" i="1"/>
  <c r="H434" i="1"/>
  <c r="I434" i="1"/>
  <c r="K434" i="1"/>
  <c r="G503" i="1"/>
  <c r="H503" i="1"/>
  <c r="I503" i="1"/>
  <c r="K503" i="1"/>
  <c r="G435" i="1"/>
  <c r="H435" i="1"/>
  <c r="I435" i="1"/>
  <c r="K435" i="1"/>
  <c r="G310" i="1"/>
  <c r="H310" i="1"/>
  <c r="I310" i="1"/>
  <c r="J310" i="1"/>
  <c r="K310" i="1"/>
  <c r="G158" i="1"/>
  <c r="H158" i="1"/>
  <c r="I158" i="1"/>
  <c r="K158" i="1"/>
  <c r="G311" i="1"/>
  <c r="H311" i="1"/>
  <c r="I311" i="1"/>
  <c r="K311" i="1"/>
  <c r="G312" i="1"/>
  <c r="H312" i="1"/>
  <c r="J312" i="1" s="1"/>
  <c r="I312" i="1"/>
  <c r="K312" i="1"/>
  <c r="G313" i="1"/>
  <c r="H313" i="1"/>
  <c r="I313" i="1"/>
  <c r="K313" i="1"/>
  <c r="G159" i="1"/>
  <c r="H159" i="1"/>
  <c r="I159" i="1"/>
  <c r="K159" i="1"/>
  <c r="G20" i="1"/>
  <c r="H20" i="1"/>
  <c r="I20" i="1"/>
  <c r="K20" i="1"/>
  <c r="G436" i="1"/>
  <c r="H436" i="1"/>
  <c r="I436" i="1"/>
  <c r="K436" i="1"/>
  <c r="G437" i="1"/>
  <c r="H437" i="1"/>
  <c r="I437" i="1"/>
  <c r="K437" i="1"/>
  <c r="G255" i="1"/>
  <c r="H255" i="1"/>
  <c r="I255" i="1"/>
  <c r="K255" i="1"/>
  <c r="G256" i="1"/>
  <c r="H256" i="1"/>
  <c r="I256" i="1"/>
  <c r="K256" i="1"/>
  <c r="G272" i="1"/>
  <c r="H272" i="1"/>
  <c r="J272" i="1" s="1"/>
  <c r="I272" i="1"/>
  <c r="K272" i="1"/>
  <c r="G7" i="1"/>
  <c r="H7" i="1"/>
  <c r="J7" i="1" s="1"/>
  <c r="I7" i="1"/>
  <c r="K7" i="1"/>
  <c r="G8" i="1"/>
  <c r="H8" i="1"/>
  <c r="I8" i="1"/>
  <c r="K8" i="1"/>
  <c r="G9" i="1"/>
  <c r="H9" i="1"/>
  <c r="I9" i="1"/>
  <c r="K9" i="1"/>
  <c r="G160" i="1"/>
  <c r="H160" i="1"/>
  <c r="I160" i="1"/>
  <c r="K160" i="1"/>
  <c r="G161" i="1"/>
  <c r="H161" i="1"/>
  <c r="I161" i="1"/>
  <c r="J161" i="1" s="1"/>
  <c r="K161" i="1"/>
  <c r="G162" i="1"/>
  <c r="H162" i="1"/>
  <c r="I162" i="1"/>
  <c r="K162" i="1"/>
  <c r="G163" i="1"/>
  <c r="H163" i="1"/>
  <c r="I163" i="1"/>
  <c r="K163" i="1"/>
  <c r="G164" i="1"/>
  <c r="H164" i="1"/>
  <c r="I164" i="1"/>
  <c r="K164" i="1"/>
  <c r="G165" i="1"/>
  <c r="H165" i="1"/>
  <c r="J165" i="1" s="1"/>
  <c r="I165" i="1"/>
  <c r="K165" i="1"/>
  <c r="G166" i="1"/>
  <c r="H166" i="1"/>
  <c r="I166" i="1"/>
  <c r="K166" i="1"/>
  <c r="G167" i="1"/>
  <c r="H167" i="1"/>
  <c r="I167" i="1"/>
  <c r="K167" i="1"/>
  <c r="G168" i="1"/>
  <c r="H168" i="1"/>
  <c r="I168" i="1"/>
  <c r="K168" i="1"/>
  <c r="G169" i="1"/>
  <c r="H169" i="1"/>
  <c r="J169" i="1" s="1"/>
  <c r="I169" i="1"/>
  <c r="K169" i="1"/>
  <c r="G170" i="1"/>
  <c r="H170" i="1"/>
  <c r="I170" i="1"/>
  <c r="K170" i="1"/>
  <c r="G171" i="1"/>
  <c r="H171" i="1"/>
  <c r="J171" i="1" s="1"/>
  <c r="I171" i="1"/>
  <c r="K171" i="1"/>
  <c r="G172" i="1"/>
  <c r="H172" i="1"/>
  <c r="J172" i="1" s="1"/>
  <c r="I172" i="1"/>
  <c r="K172" i="1"/>
  <c r="G173" i="1"/>
  <c r="H173" i="1"/>
  <c r="J173" i="1" s="1"/>
  <c r="I173" i="1"/>
  <c r="K173" i="1"/>
  <c r="G174" i="1"/>
  <c r="H174" i="1"/>
  <c r="I174" i="1"/>
  <c r="K174" i="1"/>
  <c r="G175" i="1"/>
  <c r="H175" i="1"/>
  <c r="J175" i="1" s="1"/>
  <c r="I175" i="1"/>
  <c r="K175" i="1"/>
  <c r="G176" i="1"/>
  <c r="H176" i="1"/>
  <c r="I176" i="1"/>
  <c r="K176" i="1"/>
  <c r="G177" i="1"/>
  <c r="H177" i="1"/>
  <c r="J177" i="1" s="1"/>
  <c r="I177" i="1"/>
  <c r="K177" i="1"/>
  <c r="G178" i="1"/>
  <c r="H178" i="1"/>
  <c r="I178" i="1"/>
  <c r="K178" i="1"/>
  <c r="G179" i="1"/>
  <c r="H179" i="1"/>
  <c r="J179" i="1" s="1"/>
  <c r="I179" i="1"/>
  <c r="K179" i="1"/>
  <c r="G2" i="1"/>
  <c r="H2" i="1"/>
  <c r="I2" i="1"/>
  <c r="K2" i="1"/>
  <c r="G180" i="1"/>
  <c r="H180" i="1"/>
  <c r="J180" i="1" s="1"/>
  <c r="I180" i="1"/>
  <c r="K180" i="1"/>
  <c r="G181" i="1"/>
  <c r="H181" i="1"/>
  <c r="I181" i="1"/>
  <c r="K181" i="1"/>
  <c r="G182" i="1"/>
  <c r="H182" i="1"/>
  <c r="I182" i="1"/>
  <c r="K182" i="1"/>
  <c r="G314" i="1"/>
  <c r="H314" i="1"/>
  <c r="I314" i="1"/>
  <c r="K314" i="1"/>
  <c r="G315" i="1"/>
  <c r="H315" i="1"/>
  <c r="I315" i="1"/>
  <c r="J315" i="1"/>
  <c r="K315" i="1"/>
  <c r="K58" i="1"/>
  <c r="I58" i="1"/>
  <c r="H58" i="1"/>
  <c r="G58" i="1"/>
  <c r="J35" i="2" l="1"/>
  <c r="J3" i="2"/>
  <c r="J5" i="2"/>
  <c r="J7" i="2"/>
  <c r="J11" i="2"/>
  <c r="J13" i="2"/>
  <c r="J15" i="2"/>
  <c r="J19" i="2"/>
  <c r="J21" i="2"/>
  <c r="J23" i="2"/>
  <c r="J27" i="2"/>
  <c r="J29" i="2"/>
  <c r="J31" i="2"/>
  <c r="J44" i="2"/>
  <c r="J12" i="2"/>
  <c r="J20" i="2"/>
  <c r="J65" i="2"/>
  <c r="J36" i="2"/>
  <c r="J38" i="2"/>
  <c r="J40" i="2"/>
  <c r="J42" i="2"/>
  <c r="J50" i="2"/>
  <c r="J52" i="2"/>
  <c r="J37" i="2"/>
  <c r="J39" i="2"/>
  <c r="J43" i="2"/>
  <c r="J68" i="2"/>
  <c r="J9" i="2"/>
  <c r="J73" i="2"/>
  <c r="J2" i="2"/>
  <c r="H83" i="2"/>
  <c r="J41" i="2"/>
  <c r="I83" i="2"/>
  <c r="J17" i="2"/>
  <c r="J49" i="2"/>
  <c r="J81" i="2"/>
  <c r="K83" i="2"/>
  <c r="J25" i="2"/>
  <c r="J57" i="2"/>
  <c r="J46" i="2"/>
  <c r="J48" i="2"/>
  <c r="J61" i="2"/>
  <c r="J63" i="2"/>
  <c r="J33" i="2"/>
  <c r="J67" i="1"/>
  <c r="J92" i="1"/>
  <c r="J22" i="1"/>
  <c r="J89" i="1"/>
  <c r="J95" i="1"/>
  <c r="J28" i="1"/>
  <c r="J31" i="1"/>
  <c r="J100" i="1"/>
  <c r="J56" i="1"/>
  <c r="J24" i="1"/>
  <c r="K521" i="1"/>
  <c r="J314" i="1"/>
  <c r="J181" i="1"/>
  <c r="J9" i="1"/>
  <c r="J435" i="1"/>
  <c r="J434" i="1"/>
  <c r="J152" i="1"/>
  <c r="J420" i="1"/>
  <c r="J47" i="1"/>
  <c r="J408" i="1"/>
  <c r="J298" i="1"/>
  <c r="J292" i="1"/>
  <c r="J290" i="1"/>
  <c r="J473" i="1"/>
  <c r="J471" i="1"/>
  <c r="J147" i="1"/>
  <c r="J247" i="1"/>
  <c r="J240" i="1"/>
  <c r="J284" i="1"/>
  <c r="J332" i="1"/>
  <c r="J329" i="1"/>
  <c r="J450" i="1"/>
  <c r="J278" i="1"/>
  <c r="J131" i="1"/>
  <c r="J129" i="1"/>
  <c r="J127" i="1"/>
  <c r="J125" i="1"/>
  <c r="J324" i="1"/>
  <c r="J170" i="1"/>
  <c r="J437" i="1"/>
  <c r="J269" i="1"/>
  <c r="J243" i="1"/>
  <c r="J196" i="1"/>
  <c r="J317" i="1"/>
  <c r="J378" i="1"/>
  <c r="J372" i="1"/>
  <c r="J110" i="1"/>
  <c r="J164" i="1"/>
  <c r="J496" i="1"/>
  <c r="J494" i="1"/>
  <c r="J157" i="1"/>
  <c r="J208" i="1"/>
  <c r="J206" i="1"/>
  <c r="J43" i="1"/>
  <c r="J41" i="1"/>
  <c r="J248" i="1"/>
  <c r="J347" i="1"/>
  <c r="J33" i="1"/>
  <c r="J482" i="1"/>
  <c r="J73" i="1"/>
  <c r="J192" i="1"/>
  <c r="J231" i="1"/>
  <c r="J342" i="1"/>
  <c r="J512" i="1"/>
  <c r="J229" i="1"/>
  <c r="J238" i="1"/>
  <c r="J5" i="1"/>
  <c r="J108" i="1"/>
  <c r="J106" i="1"/>
  <c r="J356" i="1"/>
  <c r="J325" i="1"/>
  <c r="J166" i="1"/>
  <c r="J256" i="1"/>
  <c r="J267" i="1"/>
  <c r="J364" i="1"/>
  <c r="J62" i="1"/>
  <c r="J225" i="1"/>
  <c r="J116" i="1"/>
  <c r="J220" i="1"/>
  <c r="J182" i="1"/>
  <c r="J160" i="1"/>
  <c r="J8" i="1"/>
  <c r="J427" i="1"/>
  <c r="J230" i="1"/>
  <c r="J153" i="1"/>
  <c r="J218" i="1"/>
  <c r="J90" i="1"/>
  <c r="J46" i="1"/>
  <c r="J353" i="1"/>
  <c r="J413" i="1"/>
  <c r="J411" i="1"/>
  <c r="J80" i="1"/>
  <c r="J78" i="1"/>
  <c r="J36" i="1"/>
  <c r="J470" i="1"/>
  <c r="J345" i="1"/>
  <c r="J199" i="1"/>
  <c r="J259" i="1"/>
  <c r="J197" i="1"/>
  <c r="J287" i="1"/>
  <c r="J102" i="1"/>
  <c r="J333" i="1"/>
  <c r="J331" i="1"/>
  <c r="J11" i="1"/>
  <c r="J227" i="1"/>
  <c r="J128" i="1"/>
  <c r="J124" i="1"/>
  <c r="J2" i="1"/>
  <c r="H521" i="1"/>
  <c r="J168" i="1"/>
  <c r="J20" i="1"/>
  <c r="J354" i="1"/>
  <c r="J48" i="1"/>
  <c r="J245" i="1"/>
  <c r="J388" i="1"/>
  <c r="J380" i="1"/>
  <c r="J112" i="1"/>
  <c r="J370" i="1"/>
  <c r="J418" i="1"/>
  <c r="J367" i="1"/>
  <c r="J27" i="1"/>
  <c r="J285" i="1"/>
  <c r="J283" i="1"/>
  <c r="J456" i="1"/>
  <c r="J379" i="1"/>
  <c r="J61" i="1"/>
  <c r="J59" i="1"/>
  <c r="J224" i="1"/>
  <c r="J115" i="1"/>
  <c r="J211" i="1"/>
  <c r="J308" i="1"/>
  <c r="J273" i="1"/>
  <c r="J313" i="1"/>
  <c r="J205" i="1"/>
  <c r="J70" i="1"/>
  <c r="J386" i="1"/>
  <c r="J96" i="1"/>
  <c r="J509" i="1"/>
  <c r="J140" i="1"/>
  <c r="J114" i="1"/>
  <c r="J58" i="1"/>
  <c r="J500" i="1"/>
  <c r="J55" i="1"/>
  <c r="J425" i="1"/>
  <c r="J51" i="1"/>
  <c r="J91" i="1"/>
  <c r="J266" i="1"/>
  <c r="J19" i="1"/>
  <c r="J34" i="1"/>
  <c r="J68" i="1"/>
  <c r="J316" i="1"/>
  <c r="J385" i="1"/>
  <c r="J363" i="1"/>
  <c r="J223" i="1"/>
  <c r="J107" i="1"/>
  <c r="J105" i="1"/>
  <c r="I521" i="1"/>
  <c r="J178" i="1"/>
  <c r="J167" i="1"/>
  <c r="J86" i="1"/>
  <c r="J77" i="1"/>
  <c r="J29" i="1"/>
  <c r="J210" i="1"/>
  <c r="J221" i="1"/>
  <c r="J18" i="1"/>
  <c r="J176" i="1"/>
  <c r="J174" i="1"/>
  <c r="J255" i="1"/>
  <c r="J503" i="1"/>
  <c r="J491" i="1"/>
  <c r="J156" i="1"/>
  <c r="J488" i="1"/>
  <c r="J423" i="1"/>
  <c r="J265" i="1"/>
  <c r="J83" i="1"/>
  <c r="J412" i="1"/>
  <c r="J35" i="1"/>
  <c r="J291" i="1"/>
  <c r="J476" i="1"/>
  <c r="J72" i="1"/>
  <c r="J69" i="1"/>
  <c r="J286" i="1"/>
  <c r="J97" i="1"/>
  <c r="J185" i="1"/>
  <c r="J401" i="1"/>
  <c r="J393" i="1"/>
  <c r="J391" i="1"/>
  <c r="J23" i="1"/>
  <c r="J60" i="1"/>
  <c r="J375" i="1"/>
  <c r="J446" i="1"/>
  <c r="J143" i="1"/>
  <c r="J123" i="1"/>
  <c r="J113" i="1"/>
  <c r="J111" i="1"/>
  <c r="J237" i="1"/>
  <c r="J299" i="1"/>
  <c r="J87" i="1"/>
  <c r="J281" i="1"/>
  <c r="J64" i="1"/>
  <c r="J104" i="1"/>
  <c r="J274" i="1"/>
  <c r="J163" i="1"/>
  <c r="J436" i="1"/>
  <c r="J159" i="1"/>
  <c r="J497" i="1"/>
  <c r="J490" i="1"/>
  <c r="J250" i="1"/>
  <c r="J485" i="1"/>
  <c r="J416" i="1"/>
  <c r="J44" i="1"/>
  <c r="J37" i="1"/>
  <c r="J98" i="1"/>
  <c r="J296" i="1"/>
  <c r="J202" i="1"/>
  <c r="J472" i="1"/>
  <c r="J30" i="1"/>
  <c r="J462" i="1"/>
  <c r="J460" i="1"/>
  <c r="J244" i="1"/>
  <c r="J25" i="1"/>
  <c r="J195" i="1"/>
  <c r="J190" i="1"/>
  <c r="J519" i="1"/>
  <c r="J400" i="1"/>
  <c r="J387" i="1"/>
  <c r="J334" i="1"/>
  <c r="J12" i="1"/>
  <c r="J515" i="1"/>
  <c r="J453" i="1"/>
  <c r="J228" i="1"/>
  <c r="J6" i="1"/>
  <c r="J119" i="1"/>
  <c r="J215" i="1"/>
  <c r="J357" i="1"/>
  <c r="J277" i="1"/>
  <c r="J439" i="1"/>
  <c r="J311" i="1"/>
  <c r="J53" i="1"/>
  <c r="J254" i="1"/>
  <c r="J257" i="1"/>
  <c r="J136" i="1"/>
  <c r="J432" i="1"/>
  <c r="J467" i="1"/>
  <c r="J198" i="1"/>
  <c r="J319" i="1"/>
  <c r="J101" i="1"/>
  <c r="J126" i="1"/>
  <c r="J501" i="1"/>
  <c r="J339" i="1"/>
  <c r="J383" i="1"/>
  <c r="J134" i="1"/>
  <c r="J158" i="1"/>
  <c r="J57" i="1"/>
  <c r="J54" i="1"/>
  <c r="J253" i="1"/>
  <c r="J483" i="1"/>
  <c r="J49" i="1"/>
  <c r="J99" i="1"/>
  <c r="J351" i="1"/>
  <c r="J405" i="1"/>
  <c r="J338" i="1"/>
  <c r="J396" i="1"/>
  <c r="J66" i="1"/>
  <c r="J449" i="1"/>
  <c r="J103" i="1"/>
  <c r="J235" i="1"/>
  <c r="J429" i="1"/>
  <c r="J352" i="1"/>
  <c r="J32" i="1"/>
  <c r="J518" i="1"/>
  <c r="J507" i="1"/>
  <c r="J344" i="1"/>
  <c r="J207" i="1"/>
  <c r="J4" i="1"/>
  <c r="J75" i="1"/>
  <c r="J337" i="1"/>
  <c r="J381" i="1"/>
  <c r="J371" i="1"/>
  <c r="J162" i="1"/>
  <c r="J498" i="1"/>
  <c r="J506" i="1"/>
  <c r="J52" i="1"/>
  <c r="J88" i="1"/>
  <c r="J79" i="1"/>
  <c r="J348" i="1"/>
  <c r="J346" i="1"/>
  <c r="J201" i="1"/>
  <c r="J261" i="1"/>
  <c r="J246" i="1"/>
  <c r="J242" i="1"/>
  <c r="J341" i="1"/>
  <c r="J14" i="1"/>
  <c r="J399" i="1"/>
  <c r="J361" i="1"/>
  <c r="J358" i="1"/>
  <c r="J279" i="1"/>
  <c r="J138" i="1"/>
  <c r="J320" i="1"/>
  <c r="J302" i="1"/>
  <c r="J83" i="2" l="1"/>
  <c r="C105" i="2" s="1"/>
  <c r="J521" i="1"/>
</calcChain>
</file>

<file path=xl/sharedStrings.xml><?xml version="1.0" encoding="utf-8"?>
<sst xmlns="http://schemas.openxmlformats.org/spreadsheetml/2006/main" count="2396" uniqueCount="296">
  <si>
    <t>DATE</t>
  </si>
  <si>
    <t>Product Name</t>
  </si>
  <si>
    <t>Per Unit Sale</t>
  </si>
  <si>
    <t>Per unit Purchase</t>
  </si>
  <si>
    <t>Per Unit Profit</t>
  </si>
  <si>
    <t>Total Sale</t>
  </si>
  <si>
    <t>Total Purhcase</t>
  </si>
  <si>
    <t>Total Profit</t>
  </si>
  <si>
    <t>Percentage</t>
  </si>
  <si>
    <t>Country</t>
  </si>
  <si>
    <t>Imei/S:no</t>
  </si>
  <si>
    <t xml:space="preserve">Dji Mavic 4 pro </t>
  </si>
  <si>
    <t>QTY</t>
  </si>
  <si>
    <t>Dji Mavic 4 Combo</t>
  </si>
  <si>
    <t>iphone 17 pro max 256gb</t>
  </si>
  <si>
    <t>Karachi</t>
  </si>
  <si>
    <t>Dji Mic 3</t>
  </si>
  <si>
    <t>Ipad Pro 11 M5 256gb W+C</t>
  </si>
  <si>
    <t>Ipad pro 13 M4 256gb W+C</t>
  </si>
  <si>
    <t>Ipad pro 13 M4 256gb wifi</t>
  </si>
  <si>
    <t>SC2NGV66W4P</t>
  </si>
  <si>
    <t>SGYXQ49370V</t>
  </si>
  <si>
    <t>SH760CRWPVX</t>
  </si>
  <si>
    <t>iPad Air M3 13" (W) 128gb</t>
  </si>
  <si>
    <t>SJM24LFW9P5</t>
  </si>
  <si>
    <t>iPad Air M3 11" (W+C) 256gb</t>
  </si>
  <si>
    <t>iPad A16 (W) 128gb</t>
  </si>
  <si>
    <t>SFJY39LNXCV</t>
  </si>
  <si>
    <t>iPad Pro M4 11" (W) 256gb</t>
  </si>
  <si>
    <t>SLRL2KY2J9C</t>
  </si>
  <si>
    <t>iPad Pro M4 11" (W) 512gb</t>
  </si>
  <si>
    <t>SC4117X1JXL</t>
  </si>
  <si>
    <t>Galaxy Tab S10+ (5G) 256gb</t>
  </si>
  <si>
    <t>Canon G7X Mark III</t>
  </si>
  <si>
    <t>Dji Mini 4 pro 34min</t>
  </si>
  <si>
    <t>Starlink V4</t>
  </si>
  <si>
    <t>JBL Charge 6</t>
  </si>
  <si>
    <t>Meta Quest 3s 256gb</t>
  </si>
  <si>
    <t xml:space="preserve">Nintendo Switch 2 </t>
  </si>
  <si>
    <t>Dji Mini 5 pro FMC 52min</t>
  </si>
  <si>
    <t>Dji Mic Mini</t>
  </si>
  <si>
    <t>Dji Mini 4k FMC</t>
  </si>
  <si>
    <t>Canon SX740</t>
  </si>
  <si>
    <t>Iphone Air 17 256gb</t>
  </si>
  <si>
    <t>Iphone 16 pro max 256gb</t>
  </si>
  <si>
    <t>Iphone 16 pro max 512gb</t>
  </si>
  <si>
    <t>Dji Mini 4 pro FMC 45min</t>
  </si>
  <si>
    <t>Iphone 17 256gb</t>
  </si>
  <si>
    <t>iphone 17 pro 256gb</t>
  </si>
  <si>
    <t>Dji Osmo Pocket 3 Combo</t>
  </si>
  <si>
    <t>Ipad pro 13'' M5 256gb W+C</t>
  </si>
  <si>
    <t>Ipad pro 13'' M5 512gb W+C</t>
  </si>
  <si>
    <t>ipad pro 13'' M5 256gb wifi</t>
  </si>
  <si>
    <t>SKQK96KXWNQ</t>
  </si>
  <si>
    <t>SF99TTH7N25</t>
  </si>
  <si>
    <t>ipad pro 13'' M5 512gb wifi</t>
  </si>
  <si>
    <t>SH72MDY7H2W</t>
  </si>
  <si>
    <t>iPad Pro M4 13" (W+C) 512gb</t>
  </si>
  <si>
    <t>iphonr 16 pro 128gb</t>
  </si>
  <si>
    <t>not in google sheets</t>
  </si>
  <si>
    <t>ipad pro 11'' M5 256gb wifi</t>
  </si>
  <si>
    <t>SLN90443LKH</t>
  </si>
  <si>
    <t>SGGXK69H40C</t>
  </si>
  <si>
    <t>ipad pro 11'' M5 512gb wifi</t>
  </si>
  <si>
    <t>SDWD2Y5JT4X</t>
  </si>
  <si>
    <t>ipad pro 11'' M4 256gb W+C</t>
  </si>
  <si>
    <t>ipad pro 11'' M4 256gb wifi</t>
  </si>
  <si>
    <t>SJ9G96TMWGX</t>
  </si>
  <si>
    <t>ipad A16 128gb W+C</t>
  </si>
  <si>
    <t>Dji Mini 4 pro</t>
  </si>
  <si>
    <t>Ps5 Digital</t>
  </si>
  <si>
    <t>Airpods 4</t>
  </si>
  <si>
    <t>Airpods pro 3</t>
  </si>
  <si>
    <t>Airpods pro 2</t>
  </si>
  <si>
    <t>iphne 17 pro 1TB</t>
  </si>
  <si>
    <t>iphone 17 pro 512gb</t>
  </si>
  <si>
    <t>iphone 16 pro 512gb</t>
  </si>
  <si>
    <t>iphone 15 128gb</t>
  </si>
  <si>
    <t>iphone 14 128gb</t>
  </si>
  <si>
    <t>iphone 17 pro max 512gb</t>
  </si>
  <si>
    <t>Samsung S25 ultra 256gb</t>
  </si>
  <si>
    <t>Apple Watch Ultra 3 49mm</t>
  </si>
  <si>
    <t>Apple Watch Series 11 42mm</t>
  </si>
  <si>
    <t>Apple Watch SE 3 44mm</t>
  </si>
  <si>
    <t>Apple Watch SE 3 40mm</t>
  </si>
  <si>
    <t>Meta Quest 3 512gb</t>
  </si>
  <si>
    <t>Ps5 Pulse Explore Buds</t>
  </si>
  <si>
    <t>iphone 17 pro max 2TB</t>
  </si>
  <si>
    <t>MacBook Air MW123LL/A</t>
  </si>
  <si>
    <t>SDHPK9YF5WT</t>
  </si>
  <si>
    <t>SHPW4HGHJGV</t>
  </si>
  <si>
    <t>SGHCRQ2PMWP</t>
  </si>
  <si>
    <t>SCWYXDC7P6P</t>
  </si>
  <si>
    <t>Dji Mic mini</t>
  </si>
  <si>
    <t>iphone 17 pro max 1TB</t>
  </si>
  <si>
    <t>iphone 17 pro 1TB</t>
  </si>
  <si>
    <t>MacBook Pro M5 14" MDE04LL/A</t>
  </si>
  <si>
    <t>SHL9C57WTWR</t>
  </si>
  <si>
    <t>iphone 16 128gb</t>
  </si>
  <si>
    <t>iphone 16 pro 128gb</t>
  </si>
  <si>
    <t>Rayban Glasses</t>
  </si>
  <si>
    <t>iphone 15 pro max 256gb</t>
  </si>
  <si>
    <t>Airpods 4 ANC</t>
  </si>
  <si>
    <t>ST4NJL927LK</t>
  </si>
  <si>
    <t>SCKQ0XF2VFQ</t>
  </si>
  <si>
    <t>SDYX93X7DCG</t>
  </si>
  <si>
    <t>iPad Air M3 11" (W) 256gb</t>
  </si>
  <si>
    <t>SCXHP4JR2R6</t>
  </si>
  <si>
    <t>SDP293JK3WD</t>
  </si>
  <si>
    <t>iPad mini A17 pro 128gb</t>
  </si>
  <si>
    <t>SCJDG7VY3KM</t>
  </si>
  <si>
    <t>iPad A16 (W+C) 128gb</t>
  </si>
  <si>
    <t>SD4X1T0L6JX</t>
  </si>
  <si>
    <t>SCJ70V44HHM</t>
  </si>
  <si>
    <t>SLH4JDX2QV6</t>
  </si>
  <si>
    <t>iPad Pro M5 13" (W+C) 256gb</t>
  </si>
  <si>
    <t>iPad Pro M5 13" (W+C) 512gb</t>
  </si>
  <si>
    <t>iPad Pro M5 13" (W) 512gb</t>
  </si>
  <si>
    <t>SK1H7CJCG2F</t>
  </si>
  <si>
    <t>SJ7NGWJD2TX</t>
  </si>
  <si>
    <t>SMD9H67V0M0</t>
  </si>
  <si>
    <t>SD3PQV0T91J</t>
  </si>
  <si>
    <t>iPad Pro M5 11" (W+C) 256gb</t>
  </si>
  <si>
    <t>iPad Air M3 13" (W) 512gb</t>
  </si>
  <si>
    <t>SH9VD9QWCXX</t>
  </si>
  <si>
    <t>iPad Air M3 11" (W) 128gb</t>
  </si>
  <si>
    <t>SJLHJ9HT42P</t>
  </si>
  <si>
    <t>SD9QKK446R0</t>
  </si>
  <si>
    <t>MacBook Pro M4 Pro 14" MX2H3LL/A</t>
  </si>
  <si>
    <t>SFJK2XJ7MK4</t>
  </si>
  <si>
    <t>SMQVQXN62TG</t>
  </si>
  <si>
    <t>Xbox X Series 1TB</t>
  </si>
  <si>
    <t>MacBook Air M4 13" MW123LL/A</t>
  </si>
  <si>
    <t>SK3RFQ5PJH0</t>
  </si>
  <si>
    <t>iphone 16 plus 128gb</t>
  </si>
  <si>
    <t>SFQTY2K4124</t>
  </si>
  <si>
    <t>Airpods Max</t>
  </si>
  <si>
    <t>Bose Noise Cencelling Earbuds</t>
  </si>
  <si>
    <t>Samsung Z flip 5 512 GB</t>
  </si>
  <si>
    <t>Samsung S25 ultra 512gb</t>
  </si>
  <si>
    <t>Samsung Z Flip 7 256 Gb</t>
  </si>
  <si>
    <t>iPhone 17 Pro Max 256 gb</t>
  </si>
  <si>
    <t>DJI mini 4 pro FCM 35 min</t>
  </si>
  <si>
    <t>SDJ0WDHD67R</t>
  </si>
  <si>
    <t>SLDW2Q22QW5</t>
  </si>
  <si>
    <t>SJ4MWG2W49F</t>
  </si>
  <si>
    <t>SDTQ66QL6JN</t>
  </si>
  <si>
    <t>SH6PQYVHTF7</t>
  </si>
  <si>
    <t>SFTJRMWHGW9</t>
  </si>
  <si>
    <t>iPad A16 (W) 256gb</t>
  </si>
  <si>
    <t>iPad Air M3 11" (W) 128 gb</t>
  </si>
  <si>
    <t>SL0Q7K1HXQG</t>
  </si>
  <si>
    <t>Apple Watch Series 11 46 mm</t>
  </si>
  <si>
    <t>Apple Watch Ultra 3</t>
  </si>
  <si>
    <t>MacBook Pro M5 14" 16/512  MDE04LL/A</t>
  </si>
  <si>
    <t>SGH00TM6VH4</t>
  </si>
  <si>
    <t>SD761HG406X</t>
  </si>
  <si>
    <t>SG1V7T9FN99</t>
  </si>
  <si>
    <t>SKFX2P269PT</t>
  </si>
  <si>
    <t>SD4CRW41QP5</t>
  </si>
  <si>
    <t>SJH0J2GJ34N</t>
  </si>
  <si>
    <t>MacBook Pro M5 14" 16/1TB  MDE14LL/A</t>
  </si>
  <si>
    <t>SFL97RJFM4W</t>
  </si>
  <si>
    <t>SLCXLPQMMQX</t>
  </si>
  <si>
    <t>SHKWNWTRQLC</t>
  </si>
  <si>
    <t>SLJNF6777MG</t>
  </si>
  <si>
    <t>SHTKFFH37ND</t>
  </si>
  <si>
    <t>SH2R0QC2X5W</t>
  </si>
  <si>
    <t>SDHQ6R9YDC2</t>
  </si>
  <si>
    <t>SFDVX4506X9</t>
  </si>
  <si>
    <t>SGG74NLXX93</t>
  </si>
  <si>
    <t>MacBook Pro M5 14" 24/1 TB MDE34LL/A</t>
  </si>
  <si>
    <t>SC4M7YWF2R9</t>
  </si>
  <si>
    <t>MacBook Pro M5 14" 16/512 MDE44LL/A</t>
  </si>
  <si>
    <t>MacBook Pro M4 14" 16/512 MW2W3LL/A</t>
  </si>
  <si>
    <t>SF7R4QMGVY3</t>
  </si>
  <si>
    <t>SHQHF7HNWK4</t>
  </si>
  <si>
    <t>SL9NVHF0C73</t>
  </si>
  <si>
    <t>iPhone 17 Pro Max (FU) 256 GB</t>
  </si>
  <si>
    <t>iPhone 16 128 GB</t>
  </si>
  <si>
    <t>iPhone 17 Air (FU) 1 TB</t>
  </si>
  <si>
    <t>iPhone 17 Pro (FU) 512 GB</t>
  </si>
  <si>
    <t>iPhone 16 Pro (FU) 128 GB</t>
  </si>
  <si>
    <t>MacBook Pro M4 Pro 16" 24/512 MX2X3LL/A</t>
  </si>
  <si>
    <t>SC00C62GKN1</t>
  </si>
  <si>
    <t>iPhone 17 Pro Max 256 GB</t>
  </si>
  <si>
    <t>iPhone 17 Pro 256 GB</t>
  </si>
  <si>
    <t>iphone 14 pro max 128 gb</t>
  </si>
  <si>
    <t>SCQ26Q0276G</t>
  </si>
  <si>
    <t>SM962CLYYDJ</t>
  </si>
  <si>
    <t>MacBook Air M4 15" 16/256 MW1L3LL/A</t>
  </si>
  <si>
    <t>MacBook Air M4 13" 16/512 MC6U4LL/A</t>
  </si>
  <si>
    <t>SDXW0J4FR2D</t>
  </si>
  <si>
    <t>SJP7YNP0RT2</t>
  </si>
  <si>
    <t>Galaxy Tab S10 Fe</t>
  </si>
  <si>
    <t>Galaxy S25 Ultra 256 GB</t>
  </si>
  <si>
    <t>Galaxy S25 128 GB</t>
  </si>
  <si>
    <t>Galaxy S25 FE 128 GB</t>
  </si>
  <si>
    <t>Galaxy Z Flip 6 256 GB</t>
  </si>
  <si>
    <t>Galaxy S24 Ultra 256 GB</t>
  </si>
  <si>
    <t>iPhone 16 pro Max 256 gb</t>
  </si>
  <si>
    <t>iPhone 17 Pro 256</t>
  </si>
  <si>
    <t>iPhone 17 Air 256 GB</t>
  </si>
  <si>
    <t>Asus ROG Strix Laptop G614JV 16/512 GB</t>
  </si>
  <si>
    <t>RANRKD023038416</t>
  </si>
  <si>
    <t>RANRKD022120418</t>
  </si>
  <si>
    <t>RANRKD023587410</t>
  </si>
  <si>
    <t>RANRKD023034413</t>
  </si>
  <si>
    <t>RANRKD022883417</t>
  </si>
  <si>
    <t>RANRKD024089419</t>
  </si>
  <si>
    <t>MacBook Pro M4 14" MW2V3LL/A</t>
  </si>
  <si>
    <t>Apple iPad Pro Magic Keyboard 13"</t>
  </si>
  <si>
    <t>SD6M94W14PR</t>
  </si>
  <si>
    <t>SHFXWVVM2M6</t>
  </si>
  <si>
    <t>DJI Osmo Pocket 3 Creator Combo</t>
  </si>
  <si>
    <t>Galaxy S25+ 512 GB</t>
  </si>
  <si>
    <t>Usa O</t>
  </si>
  <si>
    <t>Australia</t>
  </si>
  <si>
    <t>NewZealand</t>
  </si>
  <si>
    <t>Dubai</t>
  </si>
  <si>
    <t>4V37W32H9H009L</t>
  </si>
  <si>
    <t>4V0ZW26H9K07F0</t>
  </si>
  <si>
    <t>Usa O inv 23</t>
  </si>
  <si>
    <t>Usa O inv 22</t>
  </si>
  <si>
    <t>Usa O inv 25</t>
  </si>
  <si>
    <t>Usa M inv 44</t>
  </si>
  <si>
    <t>Usa M inv 42</t>
  </si>
  <si>
    <t>Usa M inv 40</t>
  </si>
  <si>
    <t>Usa M inv 41</t>
  </si>
  <si>
    <t>Usa M inv 35</t>
  </si>
  <si>
    <t>not purchased</t>
  </si>
  <si>
    <t>Usa O inv 24</t>
  </si>
  <si>
    <t>Usa M</t>
  </si>
  <si>
    <t>inv not found</t>
  </si>
  <si>
    <t xml:space="preserve">sample price </t>
  </si>
  <si>
    <t>Usa M inv 33</t>
  </si>
  <si>
    <t>extra item with AR25</t>
  </si>
  <si>
    <t>Usa O NY2</t>
  </si>
  <si>
    <t>Usa M inv 39</t>
  </si>
  <si>
    <t>Usa M inv 43</t>
  </si>
  <si>
    <t>Usa O inv 20</t>
  </si>
  <si>
    <t>Karachi O 21</t>
  </si>
  <si>
    <t>extra item with AR23</t>
  </si>
  <si>
    <t>Usa M inv 36</t>
  </si>
  <si>
    <t>Usa O NY1</t>
  </si>
  <si>
    <t>Usa O NY 2</t>
  </si>
  <si>
    <t>Usa</t>
  </si>
  <si>
    <t>Comments</t>
  </si>
  <si>
    <t>Usa Expanse</t>
  </si>
  <si>
    <t>label 3809</t>
  </si>
  <si>
    <t>label 0975</t>
  </si>
  <si>
    <t>ship 1 charges 546.41 US$ @3.60 (07 march)</t>
  </si>
  <si>
    <t>ship charges 399.43 US$ @3.60 (12 march)</t>
  </si>
  <si>
    <t>36.11 US$ @3.59 bank tax 11 nov wire</t>
  </si>
  <si>
    <t>{ 31.11 US$ @3.59 bank tax 17 nov wire</t>
  </si>
  <si>
    <t>25US$ @3.595 bank charges 3-dec-25 wire</t>
  </si>
  <si>
    <t>Amount</t>
  </si>
  <si>
    <t>Total Profit in Usa</t>
  </si>
  <si>
    <t>Van Hire + Petrol Anis Rental 221$ @2.3955</t>
  </si>
  <si>
    <t>Collection Commision Adil Bhai 1020$ @2.3955</t>
  </si>
  <si>
    <t>Van Hire + Petrol Anis Rental 90$ @2.3955</t>
  </si>
  <si>
    <t>{ 110$ @2.4102 delivery Bunnings East Pakenham</t>
  </si>
  <si>
    <t>450$ @2.3940 commission adil 30 starlink</t>
  </si>
  <si>
    <t>110$ @2.3940 delivery Bunnings Epping</t>
  </si>
  <si>
    <t>550 NZ$ @2.12 commission abdul khan</t>
  </si>
  <si>
    <t>melbourne trip exp 1500$ @2.394</t>
  </si>
  <si>
    <t>Sydney van hire 160$ @2.394</t>
  </si>
  <si>
    <t>4000 AU$ @2.4060</t>
  </si>
  <si>
    <t>Australia Expanse</t>
  </si>
  <si>
    <t>Total Profit in Australia</t>
  </si>
  <si>
    <t>Dubai Office Exp</t>
  </si>
  <si>
    <t>Misp Exp</t>
  </si>
  <si>
    <t>Loss AC</t>
  </si>
  <si>
    <t>Salary Exp</t>
  </si>
  <si>
    <t>Commission Charges</t>
  </si>
  <si>
    <t>Discount</t>
  </si>
  <si>
    <t>Karachi Office Exp</t>
  </si>
  <si>
    <t>Karachi Office Exp &amp; Dubai</t>
  </si>
  <si>
    <t>Total Profit in Dxb &amp; Khi</t>
  </si>
  <si>
    <t xml:space="preserve">Australia </t>
  </si>
  <si>
    <t>USA</t>
  </si>
  <si>
    <t xml:space="preserve">Karachi  &amp; Dubai </t>
  </si>
  <si>
    <t xml:space="preserve">Newzealand </t>
  </si>
  <si>
    <t xml:space="preserve">Total Profit </t>
  </si>
  <si>
    <t>Profit or Loss</t>
  </si>
  <si>
    <t>INVOICE S00026516  $ 5,337.99  @2.4060</t>
  </si>
  <si>
    <t>INVOICE S00026512  $ 2,056.33  @2.4060</t>
  </si>
  <si>
    <t>INVOICE S00026529  $ 6,346.35  @2.4060</t>
  </si>
  <si>
    <t>INVOICE S00026530  $ 2,896.94  @2.4060</t>
  </si>
  <si>
    <t>INVOICE S00026580  $ 4,259.58  @2.4060</t>
  </si>
  <si>
    <t>INVOICE S00026612  $ 4,580.37  @2.4060</t>
  </si>
  <si>
    <t>INVOICE 00847198  $ 7,980.00  @2.4060</t>
  </si>
  <si>
    <t>Expanse</t>
  </si>
  <si>
    <t>INV 00088221  $ 2,458.14 @2.12</t>
  </si>
  <si>
    <t>Total Profit in NewZealand</t>
  </si>
  <si>
    <t>Total Expanses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</si>
</sst>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AED&quot;* #,##0.00_-;\-&quot;AED&quot;* #,##0.00_-;_-&quot;AED&quot;* &quot;-&quot;??_-;_-@_-"/>
  </numFmts>
  <fonts count="11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434343"/>
      <name val="Roboto"/>
    </font>
    <font>
      <sz val="10"/>
      <color rgb="FF43434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/>
    </xf>
    <xf numFmtId="44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0" fontId="0" fillId="0" borderId="0" xfId="0" applyNumberFormat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1" fontId="0" fillId="4" borderId="1" xfId="0" applyNumberFormat="1" applyFill="1" applyBorder="1" applyAlignment="1">
      <alignment horizontal="center"/>
    </xf>
    <xf numFmtId="10" fontId="0" fillId="4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0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1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1" fontId="2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1" fontId="0" fillId="0" borderId="1" xfId="0" applyNumberFormat="1" applyBorder="1"/>
    <xf numFmtId="1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0" fontId="0" fillId="5" borderId="1" xfId="0" applyFill="1" applyBorder="1"/>
    <xf numFmtId="44" fontId="5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10" fontId="4" fillId="0" borderId="1" xfId="0" applyNumberFormat="1" applyFont="1" applyBorder="1"/>
    <xf numFmtId="0" fontId="6" fillId="0" borderId="1" xfId="0" applyFont="1" applyBorder="1"/>
    <xf numFmtId="10" fontId="1" fillId="5" borderId="2" xfId="0" applyNumberFormat="1" applyFont="1" applyFill="1" applyBorder="1" applyAlignment="1"/>
    <xf numFmtId="10" fontId="1" fillId="5" borderId="6" xfId="0" applyNumberFormat="1" applyFont="1" applyFill="1" applyBorder="1" applyAlignment="1"/>
    <xf numFmtId="10" fontId="1" fillId="5" borderId="3" xfId="0" applyNumberFormat="1" applyFont="1" applyFill="1" applyBorder="1" applyAlignment="1"/>
    <xf numFmtId="10" fontId="1" fillId="5" borderId="4" xfId="0" applyNumberFormat="1" applyFont="1" applyFill="1" applyBorder="1" applyAlignment="1"/>
    <xf numFmtId="10" fontId="1" fillId="5" borderId="7" xfId="0" applyNumberFormat="1" applyFont="1" applyFill="1" applyBorder="1" applyAlignment="1"/>
    <xf numFmtId="10" fontId="1" fillId="5" borderId="5" xfId="0" applyNumberFormat="1" applyFont="1" applyFill="1" applyBorder="1" applyAlignment="1"/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1" xfId="0" applyFont="1" applyFill="1" applyBorder="1"/>
    <xf numFmtId="0" fontId="4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3" fillId="2" borderId="0" xfId="0" applyFont="1" applyFill="1"/>
    <xf numFmtId="1" fontId="8" fillId="6" borderId="1" xfId="0" applyNumberFormat="1" applyFont="1" applyFill="1" applyBorder="1" applyAlignment="1">
      <alignment horizontal="center"/>
    </xf>
    <xf numFmtId="44" fontId="0" fillId="0" borderId="1" xfId="0" applyNumberFormat="1" applyBorder="1"/>
    <xf numFmtId="44" fontId="8" fillId="6" borderId="1" xfId="0" applyNumberFormat="1" applyFont="1" applyFill="1" applyBorder="1"/>
    <xf numFmtId="0" fontId="9" fillId="5" borderId="1" xfId="0" applyFont="1" applyFill="1" applyBorder="1" applyAlignment="1">
      <alignment vertical="center" wrapText="1"/>
    </xf>
    <xf numFmtId="0" fontId="0" fillId="0" borderId="1" xfId="0" applyFont="1" applyBorder="1"/>
    <xf numFmtId="0" fontId="10" fillId="0" borderId="1" xfId="0" applyFont="1" applyBorder="1"/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5BF2-4ED3-4845-A3D6-FCDBAF10391B}">
  <dimension ref="A1:M537"/>
  <sheetViews>
    <sheetView topLeftCell="A502" zoomScale="70" zoomScaleNormal="70" workbookViewId="0">
      <selection activeCell="H531" sqref="H531"/>
    </sheetView>
  </sheetViews>
  <sheetFormatPr defaultRowHeight="15" x14ac:dyDescent="0.25"/>
  <cols>
    <col min="1" max="1" width="13.7109375" customWidth="1"/>
    <col min="2" max="2" width="43.140625" style="5" customWidth="1"/>
    <col min="3" max="3" width="10.28515625" customWidth="1"/>
    <col min="4" max="4" width="20.42578125" style="6" customWidth="1"/>
    <col min="5" max="5" width="20.7109375" customWidth="1"/>
    <col min="6" max="6" width="21.42578125" customWidth="1"/>
    <col min="7" max="7" width="20.28515625" customWidth="1"/>
    <col min="8" max="8" width="31" customWidth="1"/>
    <col min="9" max="9" width="25.28515625" customWidth="1"/>
    <col min="10" max="10" width="27.42578125" customWidth="1"/>
    <col min="11" max="11" width="16.7109375" style="7" customWidth="1"/>
    <col min="12" max="12" width="12.7109375" customWidth="1"/>
    <col min="13" max="13" width="26.7109375" customWidth="1"/>
  </cols>
  <sheetData>
    <row r="1" spans="1:13" ht="18.75" x14ac:dyDescent="0.3">
      <c r="A1" s="1" t="s">
        <v>0</v>
      </c>
      <c r="B1" s="8" t="s">
        <v>1</v>
      </c>
      <c r="C1" s="1" t="s">
        <v>12</v>
      </c>
      <c r="D1" s="9" t="s">
        <v>10</v>
      </c>
      <c r="E1" s="2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4" t="s">
        <v>9</v>
      </c>
      <c r="M1" s="2" t="s">
        <v>247</v>
      </c>
    </row>
    <row r="2" spans="1:13" x14ac:dyDescent="0.25">
      <c r="A2" s="10">
        <v>46009</v>
      </c>
      <c r="B2" s="26" t="s">
        <v>35</v>
      </c>
      <c r="C2" s="12">
        <v>5</v>
      </c>
      <c r="D2" s="13"/>
      <c r="E2" s="12">
        <v>1280</v>
      </c>
      <c r="F2" s="12">
        <v>1300</v>
      </c>
      <c r="G2" s="12">
        <f t="shared" ref="G2:G65" si="0">E2-F2</f>
        <v>-20</v>
      </c>
      <c r="H2" s="12">
        <f t="shared" ref="H2:H65" si="1">E2*C2</f>
        <v>6400</v>
      </c>
      <c r="I2" s="12">
        <f t="shared" ref="I2:I65" si="2">F2*C2</f>
        <v>6500</v>
      </c>
      <c r="J2" s="12">
        <f t="shared" ref="J2:J65" si="3">H2-I2</f>
        <v>-100</v>
      </c>
      <c r="K2" s="14">
        <f t="shared" ref="K2:K65" si="4">(E2-F2)/F2</f>
        <v>-1.5384615384615385E-2</v>
      </c>
      <c r="L2" s="12" t="s">
        <v>219</v>
      </c>
      <c r="M2" s="15"/>
    </row>
    <row r="3" spans="1:13" x14ac:dyDescent="0.25">
      <c r="A3" s="10">
        <v>46020</v>
      </c>
      <c r="B3" s="26" t="s">
        <v>198</v>
      </c>
      <c r="C3" s="12">
        <v>1</v>
      </c>
      <c r="D3" s="31">
        <v>351250615706591</v>
      </c>
      <c r="E3" s="12">
        <v>1200</v>
      </c>
      <c r="F3" s="12">
        <v>1400</v>
      </c>
      <c r="G3" s="12">
        <f t="shared" si="0"/>
        <v>-200</v>
      </c>
      <c r="H3" s="12">
        <f t="shared" si="1"/>
        <v>1200</v>
      </c>
      <c r="I3" s="12">
        <f t="shared" si="2"/>
        <v>1400</v>
      </c>
      <c r="J3" s="12">
        <f t="shared" si="3"/>
        <v>-200</v>
      </c>
      <c r="K3" s="14">
        <f t="shared" si="4"/>
        <v>-0.14285714285714285</v>
      </c>
      <c r="L3" s="12" t="s">
        <v>232</v>
      </c>
      <c r="M3" s="15"/>
    </row>
    <row r="4" spans="1:13" x14ac:dyDescent="0.25">
      <c r="A4" s="10">
        <v>46001</v>
      </c>
      <c r="B4" s="11" t="s">
        <v>14</v>
      </c>
      <c r="C4" s="12">
        <v>1</v>
      </c>
      <c r="D4" s="27">
        <v>357826995308308</v>
      </c>
      <c r="E4" s="12">
        <v>3380</v>
      </c>
      <c r="F4" s="12">
        <v>3417.72</v>
      </c>
      <c r="G4" s="12">
        <f t="shared" si="0"/>
        <v>-37.7199999999998</v>
      </c>
      <c r="H4" s="12">
        <f t="shared" si="1"/>
        <v>3380</v>
      </c>
      <c r="I4" s="12">
        <f t="shared" si="2"/>
        <v>3417.72</v>
      </c>
      <c r="J4" s="12">
        <f t="shared" si="3"/>
        <v>-37.7199999999998</v>
      </c>
      <c r="K4" s="14">
        <f t="shared" si="4"/>
        <v>-1.1036597497746978E-2</v>
      </c>
      <c r="L4" s="12" t="s">
        <v>232</v>
      </c>
      <c r="M4" s="15"/>
    </row>
    <row r="5" spans="1:13" x14ac:dyDescent="0.25">
      <c r="A5" s="10">
        <v>46020</v>
      </c>
      <c r="B5" s="26" t="s">
        <v>197</v>
      </c>
      <c r="C5" s="12">
        <v>1</v>
      </c>
      <c r="D5" s="27">
        <v>358625373128448</v>
      </c>
      <c r="E5" s="12">
        <v>600</v>
      </c>
      <c r="F5" s="12">
        <v>1250</v>
      </c>
      <c r="G5" s="12">
        <f t="shared" si="0"/>
        <v>-650</v>
      </c>
      <c r="H5" s="12">
        <f t="shared" si="1"/>
        <v>600</v>
      </c>
      <c r="I5" s="12">
        <f t="shared" si="2"/>
        <v>1250</v>
      </c>
      <c r="J5" s="12">
        <f t="shared" si="3"/>
        <v>-650</v>
      </c>
      <c r="K5" s="14">
        <f t="shared" si="4"/>
        <v>-0.52</v>
      </c>
      <c r="L5" s="12" t="s">
        <v>235</v>
      </c>
      <c r="M5" s="15"/>
    </row>
    <row r="6" spans="1:13" x14ac:dyDescent="0.25">
      <c r="A6" s="10">
        <v>46020</v>
      </c>
      <c r="B6" s="26" t="s">
        <v>197</v>
      </c>
      <c r="C6" s="12">
        <v>1</v>
      </c>
      <c r="D6" s="27">
        <v>358625373099649</v>
      </c>
      <c r="E6" s="12">
        <v>600</v>
      </c>
      <c r="F6" s="12">
        <v>1250</v>
      </c>
      <c r="G6" s="12">
        <f t="shared" si="0"/>
        <v>-650</v>
      </c>
      <c r="H6" s="12">
        <f t="shared" si="1"/>
        <v>600</v>
      </c>
      <c r="I6" s="12">
        <f t="shared" si="2"/>
        <v>1250</v>
      </c>
      <c r="J6" s="12">
        <f t="shared" si="3"/>
        <v>-650</v>
      </c>
      <c r="K6" s="14">
        <f t="shared" si="4"/>
        <v>-0.52</v>
      </c>
      <c r="L6" s="12" t="s">
        <v>235</v>
      </c>
      <c r="M6" s="15"/>
    </row>
    <row r="7" spans="1:13" x14ac:dyDescent="0.25">
      <c r="A7" s="10">
        <v>46016</v>
      </c>
      <c r="B7" s="11" t="s">
        <v>138</v>
      </c>
      <c r="C7" s="12">
        <v>1</v>
      </c>
      <c r="D7" s="31">
        <v>357120484073445</v>
      </c>
      <c r="E7" s="12">
        <v>470</v>
      </c>
      <c r="F7" s="12">
        <v>780</v>
      </c>
      <c r="G7" s="12">
        <f t="shared" si="0"/>
        <v>-310</v>
      </c>
      <c r="H7" s="12">
        <f t="shared" si="1"/>
        <v>470</v>
      </c>
      <c r="I7" s="12">
        <f t="shared" si="2"/>
        <v>780</v>
      </c>
      <c r="J7" s="12">
        <f t="shared" si="3"/>
        <v>-310</v>
      </c>
      <c r="K7" s="14">
        <f t="shared" si="4"/>
        <v>-0.39743589743589741</v>
      </c>
      <c r="L7" s="12" t="s">
        <v>235</v>
      </c>
      <c r="M7" s="15"/>
    </row>
    <row r="8" spans="1:13" x14ac:dyDescent="0.25">
      <c r="A8" s="10">
        <v>46016</v>
      </c>
      <c r="B8" s="11" t="s">
        <v>140</v>
      </c>
      <c r="C8" s="12">
        <v>1</v>
      </c>
      <c r="D8" s="31">
        <v>354820171099073</v>
      </c>
      <c r="E8" s="12">
        <v>980</v>
      </c>
      <c r="F8" s="12">
        <v>1450</v>
      </c>
      <c r="G8" s="12">
        <f t="shared" si="0"/>
        <v>-470</v>
      </c>
      <c r="H8" s="12">
        <f t="shared" si="1"/>
        <v>980</v>
      </c>
      <c r="I8" s="12">
        <f t="shared" si="2"/>
        <v>1450</v>
      </c>
      <c r="J8" s="12">
        <f t="shared" si="3"/>
        <v>-470</v>
      </c>
      <c r="K8" s="14">
        <f t="shared" si="4"/>
        <v>-0.32413793103448274</v>
      </c>
      <c r="L8" s="12" t="s">
        <v>235</v>
      </c>
      <c r="M8" s="15"/>
    </row>
    <row r="9" spans="1:13" x14ac:dyDescent="0.25">
      <c r="A9" s="10">
        <v>46020</v>
      </c>
      <c r="B9" s="34" t="s">
        <v>140</v>
      </c>
      <c r="C9" s="12">
        <v>1</v>
      </c>
      <c r="D9" s="31">
        <v>359800200442127</v>
      </c>
      <c r="E9" s="12">
        <v>1000</v>
      </c>
      <c r="F9" s="12">
        <v>1450</v>
      </c>
      <c r="G9" s="12">
        <f t="shared" si="0"/>
        <v>-450</v>
      </c>
      <c r="H9" s="12">
        <f t="shared" si="1"/>
        <v>1000</v>
      </c>
      <c r="I9" s="12">
        <f t="shared" si="2"/>
        <v>1450</v>
      </c>
      <c r="J9" s="12">
        <f t="shared" si="3"/>
        <v>-450</v>
      </c>
      <c r="K9" s="14">
        <f t="shared" si="4"/>
        <v>-0.31034482758620691</v>
      </c>
      <c r="L9" s="12" t="s">
        <v>235</v>
      </c>
      <c r="M9" s="15"/>
    </row>
    <row r="10" spans="1:13" x14ac:dyDescent="0.25">
      <c r="A10" s="10">
        <v>46003</v>
      </c>
      <c r="B10" s="26" t="s">
        <v>81</v>
      </c>
      <c r="C10" s="12">
        <v>1</v>
      </c>
      <c r="D10" s="27">
        <v>353938640498576</v>
      </c>
      <c r="E10" s="12">
        <v>2200</v>
      </c>
      <c r="F10" s="12">
        <v>2600</v>
      </c>
      <c r="G10" s="12">
        <f t="shared" si="0"/>
        <v>-400</v>
      </c>
      <c r="H10" s="12">
        <f t="shared" si="1"/>
        <v>2200</v>
      </c>
      <c r="I10" s="12">
        <f t="shared" si="2"/>
        <v>2600</v>
      </c>
      <c r="J10" s="12">
        <f t="shared" si="3"/>
        <v>-400</v>
      </c>
      <c r="K10" s="14">
        <f t="shared" si="4"/>
        <v>-0.15384615384615385</v>
      </c>
      <c r="L10" s="12" t="s">
        <v>229</v>
      </c>
      <c r="M10" s="15"/>
    </row>
    <row r="11" spans="1:13" x14ac:dyDescent="0.25">
      <c r="A11" s="10">
        <v>45995</v>
      </c>
      <c r="B11" s="11" t="s">
        <v>17</v>
      </c>
      <c r="C11" s="12">
        <v>1</v>
      </c>
      <c r="D11" s="31">
        <v>358112931587746</v>
      </c>
      <c r="E11" s="12">
        <v>3900</v>
      </c>
      <c r="F11" s="12">
        <v>4100</v>
      </c>
      <c r="G11" s="12">
        <f t="shared" si="0"/>
        <v>-200</v>
      </c>
      <c r="H11" s="12">
        <f t="shared" si="1"/>
        <v>3900</v>
      </c>
      <c r="I11" s="12">
        <f t="shared" si="2"/>
        <v>4100</v>
      </c>
      <c r="J11" s="12">
        <f t="shared" si="3"/>
        <v>-200</v>
      </c>
      <c r="K11" s="14">
        <f t="shared" si="4"/>
        <v>-4.878048780487805E-2</v>
      </c>
      <c r="L11" s="12" t="s">
        <v>238</v>
      </c>
      <c r="M11" s="15"/>
    </row>
    <row r="12" spans="1:13" x14ac:dyDescent="0.25">
      <c r="A12" s="10">
        <v>46001</v>
      </c>
      <c r="B12" s="11" t="s">
        <v>50</v>
      </c>
      <c r="C12" s="12">
        <v>1</v>
      </c>
      <c r="D12" s="27">
        <v>352355702680986</v>
      </c>
      <c r="E12" s="12">
        <v>4000</v>
      </c>
      <c r="F12" s="12">
        <v>4100</v>
      </c>
      <c r="G12" s="12">
        <f t="shared" si="0"/>
        <v>-100</v>
      </c>
      <c r="H12" s="12">
        <f t="shared" si="1"/>
        <v>4000</v>
      </c>
      <c r="I12" s="12">
        <f t="shared" si="2"/>
        <v>4100</v>
      </c>
      <c r="J12" s="12">
        <f t="shared" si="3"/>
        <v>-100</v>
      </c>
      <c r="K12" s="14">
        <f t="shared" si="4"/>
        <v>-2.4390243902439025E-2</v>
      </c>
      <c r="L12" s="12" t="s">
        <v>226</v>
      </c>
      <c r="M12" s="15"/>
    </row>
    <row r="13" spans="1:13" x14ac:dyDescent="0.25">
      <c r="A13" s="10">
        <v>46001</v>
      </c>
      <c r="B13" s="11" t="s">
        <v>50</v>
      </c>
      <c r="C13" s="12">
        <v>1</v>
      </c>
      <c r="D13" s="27">
        <v>352355700093919</v>
      </c>
      <c r="E13" s="12">
        <v>4000</v>
      </c>
      <c r="F13" s="12">
        <v>4100</v>
      </c>
      <c r="G13" s="12">
        <f t="shared" si="0"/>
        <v>-100</v>
      </c>
      <c r="H13" s="12">
        <f t="shared" si="1"/>
        <v>4000</v>
      </c>
      <c r="I13" s="12">
        <f t="shared" si="2"/>
        <v>4100</v>
      </c>
      <c r="J13" s="12">
        <f t="shared" si="3"/>
        <v>-100</v>
      </c>
      <c r="K13" s="14">
        <f t="shared" si="4"/>
        <v>-2.4390243902439025E-2</v>
      </c>
      <c r="L13" s="12" t="s">
        <v>226</v>
      </c>
      <c r="M13" s="15"/>
    </row>
    <row r="14" spans="1:13" x14ac:dyDescent="0.25">
      <c r="A14" s="10">
        <v>46010</v>
      </c>
      <c r="B14" s="26" t="s">
        <v>115</v>
      </c>
      <c r="C14" s="12">
        <v>1</v>
      </c>
      <c r="D14" s="27">
        <v>352355709039319</v>
      </c>
      <c r="E14" s="12">
        <v>4030</v>
      </c>
      <c r="F14" s="12">
        <v>4100</v>
      </c>
      <c r="G14" s="12">
        <f t="shared" si="0"/>
        <v>-70</v>
      </c>
      <c r="H14" s="12">
        <f t="shared" si="1"/>
        <v>4030</v>
      </c>
      <c r="I14" s="12">
        <f t="shared" si="2"/>
        <v>4100</v>
      </c>
      <c r="J14" s="12">
        <f t="shared" si="3"/>
        <v>-70</v>
      </c>
      <c r="K14" s="14">
        <f t="shared" si="4"/>
        <v>-1.7073170731707318E-2</v>
      </c>
      <c r="L14" s="12" t="s">
        <v>239</v>
      </c>
      <c r="M14" s="15"/>
    </row>
    <row r="15" spans="1:13" x14ac:dyDescent="0.25">
      <c r="A15" s="10">
        <v>46022</v>
      </c>
      <c r="B15" s="34" t="s">
        <v>185</v>
      </c>
      <c r="C15" s="12">
        <v>1</v>
      </c>
      <c r="D15" s="27">
        <v>359614541867763</v>
      </c>
      <c r="E15" s="12">
        <v>3130</v>
      </c>
      <c r="F15" s="12">
        <v>3350</v>
      </c>
      <c r="G15" s="12">
        <f t="shared" si="0"/>
        <v>-220</v>
      </c>
      <c r="H15" s="12">
        <f t="shared" si="1"/>
        <v>3130</v>
      </c>
      <c r="I15" s="12">
        <f t="shared" si="2"/>
        <v>3350</v>
      </c>
      <c r="J15" s="12">
        <f t="shared" si="3"/>
        <v>-220</v>
      </c>
      <c r="K15" s="14">
        <f t="shared" si="4"/>
        <v>-6.5671641791044774E-2</v>
      </c>
      <c r="L15" s="12" t="s">
        <v>225</v>
      </c>
      <c r="M15" s="15"/>
    </row>
    <row r="16" spans="1:13" x14ac:dyDescent="0.25">
      <c r="A16" s="10">
        <v>46010</v>
      </c>
      <c r="B16" s="11" t="s">
        <v>102</v>
      </c>
      <c r="C16" s="12">
        <v>1</v>
      </c>
      <c r="D16" s="13"/>
      <c r="E16" s="12">
        <v>250</v>
      </c>
      <c r="F16" s="12">
        <v>457.5</v>
      </c>
      <c r="G16" s="12">
        <f t="shared" si="0"/>
        <v>-207.5</v>
      </c>
      <c r="H16" s="12">
        <f t="shared" si="1"/>
        <v>250</v>
      </c>
      <c r="I16" s="12">
        <f t="shared" si="2"/>
        <v>457.5</v>
      </c>
      <c r="J16" s="12">
        <f t="shared" si="3"/>
        <v>-207.5</v>
      </c>
      <c r="K16" s="14">
        <f t="shared" si="4"/>
        <v>-0.45355191256830601</v>
      </c>
      <c r="L16" s="12" t="s">
        <v>216</v>
      </c>
      <c r="M16" s="15"/>
    </row>
    <row r="17" spans="1:13" x14ac:dyDescent="0.25">
      <c r="A17" s="10">
        <v>46002</v>
      </c>
      <c r="B17" s="11" t="s">
        <v>73</v>
      </c>
      <c r="C17" s="12">
        <v>1</v>
      </c>
      <c r="D17" s="13"/>
      <c r="E17" s="12">
        <v>530</v>
      </c>
      <c r="F17" s="12">
        <v>575</v>
      </c>
      <c r="G17" s="12">
        <f t="shared" si="0"/>
        <v>-45</v>
      </c>
      <c r="H17" s="12">
        <f t="shared" si="1"/>
        <v>530</v>
      </c>
      <c r="I17" s="12">
        <f t="shared" si="2"/>
        <v>575</v>
      </c>
      <c r="J17" s="12">
        <f t="shared" si="3"/>
        <v>-45</v>
      </c>
      <c r="K17" s="14">
        <f t="shared" si="4"/>
        <v>-7.8260869565217397E-2</v>
      </c>
      <c r="L17" s="12" t="s">
        <v>216</v>
      </c>
      <c r="M17" s="15"/>
    </row>
    <row r="18" spans="1:13" x14ac:dyDescent="0.25">
      <c r="A18" s="10">
        <v>46015</v>
      </c>
      <c r="B18" s="11" t="s">
        <v>137</v>
      </c>
      <c r="C18" s="12">
        <v>1</v>
      </c>
      <c r="D18" s="13"/>
      <c r="E18" s="12">
        <v>370</v>
      </c>
      <c r="F18" s="12">
        <v>467</v>
      </c>
      <c r="G18" s="12">
        <f t="shared" si="0"/>
        <v>-97</v>
      </c>
      <c r="H18" s="12">
        <f t="shared" si="1"/>
        <v>370</v>
      </c>
      <c r="I18" s="12">
        <f t="shared" si="2"/>
        <v>467</v>
      </c>
      <c r="J18" s="12">
        <f t="shared" si="3"/>
        <v>-97</v>
      </c>
      <c r="K18" s="14">
        <f t="shared" si="4"/>
        <v>-0.20770877944325483</v>
      </c>
      <c r="L18" s="12" t="s">
        <v>216</v>
      </c>
      <c r="M18" s="15"/>
    </row>
    <row r="19" spans="1:13" x14ac:dyDescent="0.25">
      <c r="A19" s="10">
        <v>46001</v>
      </c>
      <c r="B19" s="11" t="s">
        <v>14</v>
      </c>
      <c r="C19" s="12">
        <v>8</v>
      </c>
      <c r="D19" s="13" t="s">
        <v>59</v>
      </c>
      <c r="E19" s="12">
        <v>3380</v>
      </c>
      <c r="F19" s="12">
        <v>3469</v>
      </c>
      <c r="G19" s="12">
        <f t="shared" si="0"/>
        <v>-89</v>
      </c>
      <c r="H19" s="12">
        <f t="shared" si="1"/>
        <v>27040</v>
      </c>
      <c r="I19" s="12">
        <f t="shared" si="2"/>
        <v>27752</v>
      </c>
      <c r="J19" s="12">
        <f t="shared" si="3"/>
        <v>-712</v>
      </c>
      <c r="K19" s="14">
        <f t="shared" si="4"/>
        <v>-2.5655808590371865E-2</v>
      </c>
      <c r="L19" s="12" t="s">
        <v>216</v>
      </c>
      <c r="M19" s="15"/>
    </row>
    <row r="20" spans="1:13" x14ac:dyDescent="0.25">
      <c r="A20" s="10">
        <v>46006</v>
      </c>
      <c r="B20" s="26" t="s">
        <v>86</v>
      </c>
      <c r="C20" s="12">
        <v>3</v>
      </c>
      <c r="D20" s="13"/>
      <c r="E20" s="12">
        <v>422</v>
      </c>
      <c r="F20" s="12">
        <v>503.33</v>
      </c>
      <c r="G20" s="12">
        <f t="shared" si="0"/>
        <v>-81.329999999999984</v>
      </c>
      <c r="H20" s="12">
        <f t="shared" si="1"/>
        <v>1266</v>
      </c>
      <c r="I20" s="12">
        <f t="shared" si="2"/>
        <v>1509.99</v>
      </c>
      <c r="J20" s="12">
        <f t="shared" si="3"/>
        <v>-243.99</v>
      </c>
      <c r="K20" s="14">
        <f t="shared" si="4"/>
        <v>-0.16158385154868574</v>
      </c>
      <c r="L20" s="12" t="s">
        <v>216</v>
      </c>
      <c r="M20" s="15"/>
    </row>
    <row r="21" spans="1:13" x14ac:dyDescent="0.25">
      <c r="A21" s="10">
        <v>46002</v>
      </c>
      <c r="B21" s="26" t="s">
        <v>44</v>
      </c>
      <c r="C21" s="12">
        <v>1</v>
      </c>
      <c r="D21" s="27">
        <v>355469924573247</v>
      </c>
      <c r="E21" s="12">
        <v>2650</v>
      </c>
      <c r="F21" s="12">
        <v>3625.9</v>
      </c>
      <c r="G21" s="12">
        <f t="shared" si="0"/>
        <v>-975.90000000000009</v>
      </c>
      <c r="H21" s="12">
        <f t="shared" si="1"/>
        <v>2650</v>
      </c>
      <c r="I21" s="12">
        <f t="shared" si="2"/>
        <v>3625.9</v>
      </c>
      <c r="J21" s="12">
        <f t="shared" si="3"/>
        <v>-975.90000000000009</v>
      </c>
      <c r="K21" s="14">
        <f t="shared" si="4"/>
        <v>-0.26914697040734714</v>
      </c>
      <c r="L21" s="12" t="s">
        <v>240</v>
      </c>
      <c r="M21" s="15"/>
    </row>
    <row r="22" spans="1:13" x14ac:dyDescent="0.25">
      <c r="A22" s="10">
        <v>46002</v>
      </c>
      <c r="B22" s="26" t="s">
        <v>44</v>
      </c>
      <c r="C22" s="12">
        <v>1</v>
      </c>
      <c r="D22" s="27">
        <v>351614404999834</v>
      </c>
      <c r="E22" s="12">
        <v>2650</v>
      </c>
      <c r="F22" s="12">
        <v>3625.9</v>
      </c>
      <c r="G22" s="12">
        <f t="shared" si="0"/>
        <v>-975.90000000000009</v>
      </c>
      <c r="H22" s="12">
        <f t="shared" si="1"/>
        <v>2650</v>
      </c>
      <c r="I22" s="12">
        <f t="shared" si="2"/>
        <v>3625.9</v>
      </c>
      <c r="J22" s="12">
        <f t="shared" si="3"/>
        <v>-975.90000000000009</v>
      </c>
      <c r="K22" s="14">
        <f t="shared" si="4"/>
        <v>-0.26914697040734714</v>
      </c>
      <c r="L22" s="12" t="s">
        <v>240</v>
      </c>
      <c r="M22" s="15"/>
    </row>
    <row r="23" spans="1:13" x14ac:dyDescent="0.25">
      <c r="A23" s="10">
        <v>46001</v>
      </c>
      <c r="B23" s="11" t="s">
        <v>17</v>
      </c>
      <c r="C23" s="12">
        <v>1</v>
      </c>
      <c r="D23" s="27">
        <v>358112930805859</v>
      </c>
      <c r="E23" s="12">
        <v>3100</v>
      </c>
      <c r="F23" s="12">
        <v>3954.5</v>
      </c>
      <c r="G23" s="12">
        <f t="shared" si="0"/>
        <v>-854.5</v>
      </c>
      <c r="H23" s="12">
        <f t="shared" si="1"/>
        <v>3100</v>
      </c>
      <c r="I23" s="12">
        <f t="shared" si="2"/>
        <v>3954.5</v>
      </c>
      <c r="J23" s="12">
        <f t="shared" si="3"/>
        <v>-854.5</v>
      </c>
      <c r="K23" s="14">
        <f t="shared" si="4"/>
        <v>-0.21608294348210899</v>
      </c>
      <c r="L23" s="12" t="s">
        <v>223</v>
      </c>
      <c r="M23" s="15"/>
    </row>
    <row r="24" spans="1:13" x14ac:dyDescent="0.25">
      <c r="A24" s="10">
        <v>46001</v>
      </c>
      <c r="B24" s="11" t="s">
        <v>17</v>
      </c>
      <c r="C24" s="12">
        <v>1</v>
      </c>
      <c r="D24" s="27">
        <v>358112931678883</v>
      </c>
      <c r="E24" s="12">
        <v>3100</v>
      </c>
      <c r="F24" s="12">
        <v>3954.5</v>
      </c>
      <c r="G24" s="12">
        <f t="shared" si="0"/>
        <v>-854.5</v>
      </c>
      <c r="H24" s="12">
        <f t="shared" si="1"/>
        <v>3100</v>
      </c>
      <c r="I24" s="12">
        <f t="shared" si="2"/>
        <v>3954.5</v>
      </c>
      <c r="J24" s="12">
        <f t="shared" si="3"/>
        <v>-854.5</v>
      </c>
      <c r="K24" s="14">
        <f t="shared" si="4"/>
        <v>-0.21608294348210899</v>
      </c>
      <c r="L24" s="12" t="s">
        <v>223</v>
      </c>
      <c r="M24" s="15"/>
    </row>
    <row r="25" spans="1:13" x14ac:dyDescent="0.25">
      <c r="A25" s="10">
        <v>46000</v>
      </c>
      <c r="B25" s="26" t="s">
        <v>48</v>
      </c>
      <c r="C25" s="12">
        <v>1</v>
      </c>
      <c r="D25" s="27">
        <v>355122366631896</v>
      </c>
      <c r="E25" s="12">
        <v>2650</v>
      </c>
      <c r="F25" s="12">
        <v>2678.27</v>
      </c>
      <c r="G25" s="12">
        <f t="shared" si="0"/>
        <v>-28.269999999999982</v>
      </c>
      <c r="H25" s="12">
        <f t="shared" si="1"/>
        <v>2650</v>
      </c>
      <c r="I25" s="12">
        <f t="shared" si="2"/>
        <v>2678.27</v>
      </c>
      <c r="J25" s="12">
        <f t="shared" si="3"/>
        <v>-28.269999999999982</v>
      </c>
      <c r="K25" s="14">
        <f t="shared" si="4"/>
        <v>-1.055532115880773E-2</v>
      </c>
      <c r="L25" s="12" t="s">
        <v>223</v>
      </c>
      <c r="M25" s="15"/>
    </row>
    <row r="26" spans="1:13" x14ac:dyDescent="0.25">
      <c r="A26" s="10">
        <v>46000</v>
      </c>
      <c r="B26" s="26" t="s">
        <v>48</v>
      </c>
      <c r="C26" s="12">
        <v>1</v>
      </c>
      <c r="D26" s="27">
        <v>356839672689537</v>
      </c>
      <c r="E26" s="12">
        <v>2650</v>
      </c>
      <c r="F26" s="12">
        <v>2678.27</v>
      </c>
      <c r="G26" s="12">
        <f t="shared" si="0"/>
        <v>-28.269999999999982</v>
      </c>
      <c r="H26" s="12">
        <f t="shared" si="1"/>
        <v>2650</v>
      </c>
      <c r="I26" s="12">
        <f t="shared" si="2"/>
        <v>2678.27</v>
      </c>
      <c r="J26" s="12">
        <f t="shared" si="3"/>
        <v>-28.269999999999982</v>
      </c>
      <c r="K26" s="14">
        <f t="shared" si="4"/>
        <v>-1.055532115880773E-2</v>
      </c>
      <c r="L26" s="12" t="s">
        <v>223</v>
      </c>
      <c r="M26" s="15"/>
    </row>
    <row r="27" spans="1:13" x14ac:dyDescent="0.25">
      <c r="A27" s="10">
        <v>46000</v>
      </c>
      <c r="B27" s="26" t="s">
        <v>48</v>
      </c>
      <c r="C27" s="12">
        <v>1</v>
      </c>
      <c r="D27" s="27">
        <v>352294446106216</v>
      </c>
      <c r="E27" s="12">
        <v>2650</v>
      </c>
      <c r="F27" s="12">
        <v>2678.27</v>
      </c>
      <c r="G27" s="12">
        <f t="shared" si="0"/>
        <v>-28.269999999999982</v>
      </c>
      <c r="H27" s="12">
        <f t="shared" si="1"/>
        <v>2650</v>
      </c>
      <c r="I27" s="12">
        <f t="shared" si="2"/>
        <v>2678.27</v>
      </c>
      <c r="J27" s="12">
        <f t="shared" si="3"/>
        <v>-28.269999999999982</v>
      </c>
      <c r="K27" s="14">
        <f t="shared" si="4"/>
        <v>-1.055532115880773E-2</v>
      </c>
      <c r="L27" s="12" t="s">
        <v>223</v>
      </c>
      <c r="M27" s="15"/>
    </row>
    <row r="28" spans="1:13" x14ac:dyDescent="0.25">
      <c r="A28" s="10">
        <v>46000</v>
      </c>
      <c r="B28" s="26" t="s">
        <v>48</v>
      </c>
      <c r="C28" s="12">
        <v>1</v>
      </c>
      <c r="D28" s="27">
        <v>352294447671135</v>
      </c>
      <c r="E28" s="12">
        <v>2650</v>
      </c>
      <c r="F28" s="12">
        <v>2678.27</v>
      </c>
      <c r="G28" s="12">
        <f t="shared" si="0"/>
        <v>-28.269999999999982</v>
      </c>
      <c r="H28" s="12">
        <f t="shared" si="1"/>
        <v>2650</v>
      </c>
      <c r="I28" s="12">
        <f t="shared" si="2"/>
        <v>2678.27</v>
      </c>
      <c r="J28" s="12">
        <f t="shared" si="3"/>
        <v>-28.269999999999982</v>
      </c>
      <c r="K28" s="14">
        <f t="shared" si="4"/>
        <v>-1.055532115880773E-2</v>
      </c>
      <c r="L28" s="12" t="s">
        <v>223</v>
      </c>
      <c r="M28" s="15"/>
    </row>
    <row r="29" spans="1:13" x14ac:dyDescent="0.25">
      <c r="A29" s="10">
        <v>46007</v>
      </c>
      <c r="B29" s="11" t="s">
        <v>75</v>
      </c>
      <c r="C29" s="12">
        <v>1</v>
      </c>
      <c r="D29" s="31">
        <v>354996269483815</v>
      </c>
      <c r="E29" s="12">
        <v>2770</v>
      </c>
      <c r="F29" s="12">
        <v>2876</v>
      </c>
      <c r="G29" s="12">
        <f t="shared" si="0"/>
        <v>-106</v>
      </c>
      <c r="H29" s="12">
        <f t="shared" si="1"/>
        <v>2770</v>
      </c>
      <c r="I29" s="12">
        <f t="shared" si="2"/>
        <v>2876</v>
      </c>
      <c r="J29" s="12">
        <f t="shared" si="3"/>
        <v>-106</v>
      </c>
      <c r="K29" s="14">
        <f t="shared" si="4"/>
        <v>-3.68567454798331E-2</v>
      </c>
      <c r="L29" s="12" t="s">
        <v>223</v>
      </c>
      <c r="M29" s="15"/>
    </row>
    <row r="30" spans="1:13" x14ac:dyDescent="0.25">
      <c r="A30" s="10">
        <v>46017</v>
      </c>
      <c r="B30" s="34" t="s">
        <v>178</v>
      </c>
      <c r="C30" s="12">
        <v>1</v>
      </c>
      <c r="D30" s="27">
        <v>356764171533632</v>
      </c>
      <c r="E30" s="12">
        <v>3244</v>
      </c>
      <c r="F30" s="12">
        <v>3451.2</v>
      </c>
      <c r="G30" s="12">
        <f t="shared" si="0"/>
        <v>-207.19999999999982</v>
      </c>
      <c r="H30" s="12">
        <f t="shared" si="1"/>
        <v>3244</v>
      </c>
      <c r="I30" s="12">
        <f t="shared" si="2"/>
        <v>3451.2</v>
      </c>
      <c r="J30" s="12">
        <f t="shared" si="3"/>
        <v>-207.19999999999982</v>
      </c>
      <c r="K30" s="14">
        <f t="shared" si="4"/>
        <v>-6.0037088548910475E-2</v>
      </c>
      <c r="L30" s="12" t="s">
        <v>223</v>
      </c>
      <c r="M30" s="15"/>
    </row>
    <row r="31" spans="1:13" x14ac:dyDescent="0.25">
      <c r="A31" s="10">
        <v>46016</v>
      </c>
      <c r="B31" s="34" t="s">
        <v>141</v>
      </c>
      <c r="C31" s="12">
        <v>1</v>
      </c>
      <c r="D31" s="31">
        <v>356364245022033</v>
      </c>
      <c r="E31" s="12">
        <v>3250</v>
      </c>
      <c r="F31" s="12">
        <v>3451.2</v>
      </c>
      <c r="G31" s="12">
        <f t="shared" si="0"/>
        <v>-201.19999999999982</v>
      </c>
      <c r="H31" s="12">
        <f t="shared" si="1"/>
        <v>3250</v>
      </c>
      <c r="I31" s="12">
        <f t="shared" si="2"/>
        <v>3451.2</v>
      </c>
      <c r="J31" s="12">
        <f t="shared" si="3"/>
        <v>-201.19999999999982</v>
      </c>
      <c r="K31" s="14">
        <f t="shared" si="4"/>
        <v>-5.8298562818729666E-2</v>
      </c>
      <c r="L31" s="12" t="s">
        <v>223</v>
      </c>
      <c r="M31" s="15"/>
    </row>
    <row r="32" spans="1:13" x14ac:dyDescent="0.25">
      <c r="A32" s="10">
        <v>46000</v>
      </c>
      <c r="B32" s="11" t="s">
        <v>14</v>
      </c>
      <c r="C32" s="12">
        <v>1</v>
      </c>
      <c r="D32" s="31">
        <v>357063605115994</v>
      </c>
      <c r="E32" s="12">
        <v>3440</v>
      </c>
      <c r="F32" s="12">
        <v>3451.2</v>
      </c>
      <c r="G32" s="12">
        <f t="shared" si="0"/>
        <v>-11.199999999999818</v>
      </c>
      <c r="H32" s="12">
        <f t="shared" si="1"/>
        <v>3440</v>
      </c>
      <c r="I32" s="12">
        <f t="shared" si="2"/>
        <v>3451.2</v>
      </c>
      <c r="J32" s="12">
        <f t="shared" si="3"/>
        <v>-11.199999999999818</v>
      </c>
      <c r="K32" s="14">
        <f t="shared" si="4"/>
        <v>-3.2452480296707867E-3</v>
      </c>
      <c r="L32" s="12" t="s">
        <v>223</v>
      </c>
      <c r="M32" s="15"/>
    </row>
    <row r="33" spans="1:13" x14ac:dyDescent="0.25">
      <c r="A33" s="10">
        <v>46001</v>
      </c>
      <c r="B33" s="11" t="s">
        <v>14</v>
      </c>
      <c r="C33" s="12">
        <v>1</v>
      </c>
      <c r="D33" s="27">
        <v>356364242289726</v>
      </c>
      <c r="E33" s="12">
        <v>3380</v>
      </c>
      <c r="F33" s="12">
        <v>3451.2</v>
      </c>
      <c r="G33" s="12">
        <f t="shared" si="0"/>
        <v>-71.199999999999818</v>
      </c>
      <c r="H33" s="12">
        <f t="shared" si="1"/>
        <v>3380</v>
      </c>
      <c r="I33" s="12">
        <f t="shared" si="2"/>
        <v>3451.2</v>
      </c>
      <c r="J33" s="12">
        <f t="shared" si="3"/>
        <v>-71.199999999999818</v>
      </c>
      <c r="K33" s="14">
        <f t="shared" si="4"/>
        <v>-2.0630505331478855E-2</v>
      </c>
      <c r="L33" s="12" t="s">
        <v>223</v>
      </c>
      <c r="M33" s="15"/>
    </row>
    <row r="34" spans="1:13" x14ac:dyDescent="0.25">
      <c r="A34" s="10">
        <v>46001</v>
      </c>
      <c r="B34" s="11" t="s">
        <v>14</v>
      </c>
      <c r="C34" s="12">
        <v>1</v>
      </c>
      <c r="D34" s="27">
        <v>355478875508847</v>
      </c>
      <c r="E34" s="12">
        <v>3225</v>
      </c>
      <c r="F34" s="12">
        <v>3451.2</v>
      </c>
      <c r="G34" s="12">
        <f t="shared" si="0"/>
        <v>-226.19999999999982</v>
      </c>
      <c r="H34" s="12">
        <f t="shared" si="1"/>
        <v>3225</v>
      </c>
      <c r="I34" s="12">
        <f t="shared" si="2"/>
        <v>3451.2</v>
      </c>
      <c r="J34" s="12">
        <f t="shared" si="3"/>
        <v>-226.19999999999982</v>
      </c>
      <c r="K34" s="14">
        <f t="shared" si="4"/>
        <v>-6.5542420027816364E-2</v>
      </c>
      <c r="L34" s="12" t="s">
        <v>223</v>
      </c>
      <c r="M34" s="15"/>
    </row>
    <row r="35" spans="1:13" x14ac:dyDescent="0.25">
      <c r="A35" s="10">
        <v>46001</v>
      </c>
      <c r="B35" s="11" t="s">
        <v>14</v>
      </c>
      <c r="C35" s="12">
        <v>1</v>
      </c>
      <c r="D35" s="27">
        <v>359426267059073</v>
      </c>
      <c r="E35" s="12">
        <v>3225</v>
      </c>
      <c r="F35" s="12">
        <v>3451.2</v>
      </c>
      <c r="G35" s="12">
        <f t="shared" si="0"/>
        <v>-226.19999999999982</v>
      </c>
      <c r="H35" s="12">
        <f t="shared" si="1"/>
        <v>3225</v>
      </c>
      <c r="I35" s="12">
        <f t="shared" si="2"/>
        <v>3451.2</v>
      </c>
      <c r="J35" s="12">
        <f t="shared" si="3"/>
        <v>-226.19999999999982</v>
      </c>
      <c r="K35" s="14">
        <f t="shared" si="4"/>
        <v>-6.5542420027816364E-2</v>
      </c>
      <c r="L35" s="12" t="s">
        <v>223</v>
      </c>
      <c r="M35" s="15"/>
    </row>
    <row r="36" spans="1:13" x14ac:dyDescent="0.25">
      <c r="A36" s="10">
        <v>46001</v>
      </c>
      <c r="B36" s="11" t="s">
        <v>14</v>
      </c>
      <c r="C36" s="12">
        <v>1</v>
      </c>
      <c r="D36" s="27">
        <v>353837412146753</v>
      </c>
      <c r="E36" s="12">
        <v>3400</v>
      </c>
      <c r="F36" s="12">
        <v>3451.2</v>
      </c>
      <c r="G36" s="12">
        <f t="shared" si="0"/>
        <v>-51.199999999999818</v>
      </c>
      <c r="H36" s="12">
        <f t="shared" si="1"/>
        <v>3400</v>
      </c>
      <c r="I36" s="12">
        <f t="shared" si="2"/>
        <v>3451.2</v>
      </c>
      <c r="J36" s="12">
        <f t="shared" si="3"/>
        <v>-51.199999999999818</v>
      </c>
      <c r="K36" s="14">
        <f t="shared" si="4"/>
        <v>-1.4835419564209498E-2</v>
      </c>
      <c r="L36" s="12" t="s">
        <v>223</v>
      </c>
      <c r="M36" s="15"/>
    </row>
    <row r="37" spans="1:13" x14ac:dyDescent="0.25">
      <c r="A37" s="10">
        <v>46002</v>
      </c>
      <c r="B37" s="11" t="s">
        <v>14</v>
      </c>
      <c r="C37" s="12">
        <v>1</v>
      </c>
      <c r="D37" s="27">
        <v>357826990715200</v>
      </c>
      <c r="E37" s="12">
        <v>3380</v>
      </c>
      <c r="F37" s="12">
        <v>3451.2</v>
      </c>
      <c r="G37" s="12">
        <f t="shared" si="0"/>
        <v>-71.199999999999818</v>
      </c>
      <c r="H37" s="12">
        <f t="shared" si="1"/>
        <v>3380</v>
      </c>
      <c r="I37" s="12">
        <f t="shared" si="2"/>
        <v>3451.2</v>
      </c>
      <c r="J37" s="12">
        <f t="shared" si="3"/>
        <v>-71.199999999999818</v>
      </c>
      <c r="K37" s="14">
        <f t="shared" si="4"/>
        <v>-2.0630505331478855E-2</v>
      </c>
      <c r="L37" s="12" t="s">
        <v>223</v>
      </c>
      <c r="M37" s="15"/>
    </row>
    <row r="38" spans="1:13" x14ac:dyDescent="0.25">
      <c r="A38" s="10">
        <v>46002</v>
      </c>
      <c r="B38" s="11" t="s">
        <v>14</v>
      </c>
      <c r="C38" s="12">
        <v>1</v>
      </c>
      <c r="D38" s="27">
        <v>357431265020145</v>
      </c>
      <c r="E38" s="12">
        <v>3380</v>
      </c>
      <c r="F38" s="12">
        <v>3451.2</v>
      </c>
      <c r="G38" s="12">
        <f t="shared" si="0"/>
        <v>-71.199999999999818</v>
      </c>
      <c r="H38" s="12">
        <f t="shared" si="1"/>
        <v>3380</v>
      </c>
      <c r="I38" s="12">
        <f t="shared" si="2"/>
        <v>3451.2</v>
      </c>
      <c r="J38" s="12">
        <f t="shared" si="3"/>
        <v>-71.199999999999818</v>
      </c>
      <c r="K38" s="14">
        <f t="shared" si="4"/>
        <v>-2.0630505331478855E-2</v>
      </c>
      <c r="L38" s="12" t="s">
        <v>223</v>
      </c>
      <c r="M38" s="15"/>
    </row>
    <row r="39" spans="1:13" x14ac:dyDescent="0.25">
      <c r="A39" s="10">
        <v>46002</v>
      </c>
      <c r="B39" s="11" t="s">
        <v>14</v>
      </c>
      <c r="C39" s="12">
        <v>1</v>
      </c>
      <c r="D39" s="27">
        <v>353837410619777</v>
      </c>
      <c r="E39" s="12">
        <v>3380</v>
      </c>
      <c r="F39" s="12">
        <v>3451.2</v>
      </c>
      <c r="G39" s="12">
        <f t="shared" si="0"/>
        <v>-71.199999999999818</v>
      </c>
      <c r="H39" s="12">
        <f t="shared" si="1"/>
        <v>3380</v>
      </c>
      <c r="I39" s="12">
        <f t="shared" si="2"/>
        <v>3451.2</v>
      </c>
      <c r="J39" s="12">
        <f t="shared" si="3"/>
        <v>-71.199999999999818</v>
      </c>
      <c r="K39" s="14">
        <f t="shared" si="4"/>
        <v>-2.0630505331478855E-2</v>
      </c>
      <c r="L39" s="12" t="s">
        <v>223</v>
      </c>
      <c r="M39" s="15"/>
    </row>
    <row r="40" spans="1:13" x14ac:dyDescent="0.25">
      <c r="A40" s="10">
        <v>46002</v>
      </c>
      <c r="B40" s="11" t="s">
        <v>14</v>
      </c>
      <c r="C40" s="12">
        <v>1</v>
      </c>
      <c r="D40" s="27">
        <v>359426266433568</v>
      </c>
      <c r="E40" s="12">
        <v>3380</v>
      </c>
      <c r="F40" s="12">
        <v>3451.2</v>
      </c>
      <c r="G40" s="12">
        <f t="shared" si="0"/>
        <v>-71.199999999999818</v>
      </c>
      <c r="H40" s="12">
        <f t="shared" si="1"/>
        <v>3380</v>
      </c>
      <c r="I40" s="12">
        <f t="shared" si="2"/>
        <v>3451.2</v>
      </c>
      <c r="J40" s="12">
        <f t="shared" si="3"/>
        <v>-71.199999999999818</v>
      </c>
      <c r="K40" s="14">
        <f t="shared" si="4"/>
        <v>-2.0630505331478855E-2</v>
      </c>
      <c r="L40" s="12" t="s">
        <v>223</v>
      </c>
      <c r="M40" s="15"/>
    </row>
    <row r="41" spans="1:13" x14ac:dyDescent="0.25">
      <c r="A41" s="10">
        <v>46002</v>
      </c>
      <c r="B41" s="11" t="s">
        <v>14</v>
      </c>
      <c r="C41" s="12">
        <v>1</v>
      </c>
      <c r="D41" s="27">
        <v>359426266831415</v>
      </c>
      <c r="E41" s="12">
        <v>3380</v>
      </c>
      <c r="F41" s="12">
        <v>3451.2</v>
      </c>
      <c r="G41" s="12">
        <f t="shared" si="0"/>
        <v>-71.199999999999818</v>
      </c>
      <c r="H41" s="12">
        <f t="shared" si="1"/>
        <v>3380</v>
      </c>
      <c r="I41" s="12">
        <f t="shared" si="2"/>
        <v>3451.2</v>
      </c>
      <c r="J41" s="12">
        <f t="shared" si="3"/>
        <v>-71.199999999999818</v>
      </c>
      <c r="K41" s="14">
        <f t="shared" si="4"/>
        <v>-2.0630505331478855E-2</v>
      </c>
      <c r="L41" s="12" t="s">
        <v>223</v>
      </c>
      <c r="M41" s="15"/>
    </row>
    <row r="42" spans="1:13" x14ac:dyDescent="0.25">
      <c r="A42" s="10">
        <v>46002</v>
      </c>
      <c r="B42" s="11" t="s">
        <v>14</v>
      </c>
      <c r="C42" s="12">
        <v>1</v>
      </c>
      <c r="D42" s="27">
        <v>357063605387353</v>
      </c>
      <c r="E42" s="12">
        <v>3380</v>
      </c>
      <c r="F42" s="12">
        <v>3451.2</v>
      </c>
      <c r="G42" s="12">
        <f t="shared" si="0"/>
        <v>-71.199999999999818</v>
      </c>
      <c r="H42" s="12">
        <f t="shared" si="1"/>
        <v>3380</v>
      </c>
      <c r="I42" s="12">
        <f t="shared" si="2"/>
        <v>3451.2</v>
      </c>
      <c r="J42" s="12">
        <f t="shared" si="3"/>
        <v>-71.199999999999818</v>
      </c>
      <c r="K42" s="14">
        <f t="shared" si="4"/>
        <v>-2.0630505331478855E-2</v>
      </c>
      <c r="L42" s="12" t="s">
        <v>223</v>
      </c>
      <c r="M42" s="15"/>
    </row>
    <row r="43" spans="1:13" x14ac:dyDescent="0.25">
      <c r="A43" s="10">
        <v>46002</v>
      </c>
      <c r="B43" s="11" t="s">
        <v>14</v>
      </c>
      <c r="C43" s="12">
        <v>1</v>
      </c>
      <c r="D43" s="27">
        <v>357826990397041</v>
      </c>
      <c r="E43" s="12">
        <v>3380</v>
      </c>
      <c r="F43" s="12">
        <v>3451.2</v>
      </c>
      <c r="G43" s="12">
        <f t="shared" si="0"/>
        <v>-71.199999999999818</v>
      </c>
      <c r="H43" s="12">
        <f t="shared" si="1"/>
        <v>3380</v>
      </c>
      <c r="I43" s="12">
        <f t="shared" si="2"/>
        <v>3451.2</v>
      </c>
      <c r="J43" s="12">
        <f t="shared" si="3"/>
        <v>-71.199999999999818</v>
      </c>
      <c r="K43" s="14">
        <f t="shared" si="4"/>
        <v>-2.0630505331478855E-2</v>
      </c>
      <c r="L43" s="12" t="s">
        <v>223</v>
      </c>
      <c r="M43" s="15"/>
    </row>
    <row r="44" spans="1:13" x14ac:dyDescent="0.25">
      <c r="A44" s="10">
        <v>46002</v>
      </c>
      <c r="B44" s="11" t="s">
        <v>14</v>
      </c>
      <c r="C44" s="12">
        <v>1</v>
      </c>
      <c r="D44" s="27">
        <v>358105436699255</v>
      </c>
      <c r="E44" s="12">
        <v>3380</v>
      </c>
      <c r="F44" s="12">
        <v>3451.2</v>
      </c>
      <c r="G44" s="12">
        <f t="shared" si="0"/>
        <v>-71.199999999999818</v>
      </c>
      <c r="H44" s="12">
        <f t="shared" si="1"/>
        <v>3380</v>
      </c>
      <c r="I44" s="12">
        <f t="shared" si="2"/>
        <v>3451.2</v>
      </c>
      <c r="J44" s="12">
        <f t="shared" si="3"/>
        <v>-71.199999999999818</v>
      </c>
      <c r="K44" s="14">
        <f t="shared" si="4"/>
        <v>-2.0630505331478855E-2</v>
      </c>
      <c r="L44" s="12" t="s">
        <v>223</v>
      </c>
      <c r="M44" s="15"/>
    </row>
    <row r="45" spans="1:13" x14ac:dyDescent="0.25">
      <c r="A45" s="10">
        <v>46002</v>
      </c>
      <c r="B45" s="11" t="s">
        <v>14</v>
      </c>
      <c r="C45" s="12">
        <v>1</v>
      </c>
      <c r="D45" s="27">
        <v>359426268884545</v>
      </c>
      <c r="E45" s="12">
        <v>3380</v>
      </c>
      <c r="F45" s="12">
        <v>3451.2</v>
      </c>
      <c r="G45" s="12">
        <f t="shared" si="0"/>
        <v>-71.199999999999818</v>
      </c>
      <c r="H45" s="12">
        <f t="shared" si="1"/>
        <v>3380</v>
      </c>
      <c r="I45" s="12">
        <f t="shared" si="2"/>
        <v>3451.2</v>
      </c>
      <c r="J45" s="12">
        <f t="shared" si="3"/>
        <v>-71.199999999999818</v>
      </c>
      <c r="K45" s="14">
        <f t="shared" si="4"/>
        <v>-2.0630505331478855E-2</v>
      </c>
      <c r="L45" s="12" t="s">
        <v>223</v>
      </c>
      <c r="M45" s="15"/>
    </row>
    <row r="46" spans="1:13" x14ac:dyDescent="0.25">
      <c r="A46" s="10">
        <v>46007</v>
      </c>
      <c r="B46" s="11" t="s">
        <v>14</v>
      </c>
      <c r="C46" s="12">
        <v>1</v>
      </c>
      <c r="D46" s="31">
        <v>356364245300447</v>
      </c>
      <c r="E46" s="12">
        <v>3375</v>
      </c>
      <c r="F46" s="12">
        <v>3451.2</v>
      </c>
      <c r="G46" s="12">
        <f t="shared" si="0"/>
        <v>-76.199999999999818</v>
      </c>
      <c r="H46" s="12">
        <f t="shared" si="1"/>
        <v>3375</v>
      </c>
      <c r="I46" s="12">
        <f t="shared" si="2"/>
        <v>3451.2</v>
      </c>
      <c r="J46" s="12">
        <f t="shared" si="3"/>
        <v>-76.199999999999818</v>
      </c>
      <c r="K46" s="14">
        <f t="shared" si="4"/>
        <v>-2.2079276773296193E-2</v>
      </c>
      <c r="L46" s="12" t="s">
        <v>223</v>
      </c>
      <c r="M46" s="15"/>
    </row>
    <row r="47" spans="1:13" x14ac:dyDescent="0.25">
      <c r="A47" s="10">
        <v>46008</v>
      </c>
      <c r="B47" s="11" t="s">
        <v>14</v>
      </c>
      <c r="C47" s="12">
        <v>1</v>
      </c>
      <c r="D47" s="27">
        <v>359912580081688</v>
      </c>
      <c r="E47" s="12">
        <v>3420</v>
      </c>
      <c r="F47" s="12">
        <v>3451.2</v>
      </c>
      <c r="G47" s="12">
        <f t="shared" si="0"/>
        <v>-31.199999999999818</v>
      </c>
      <c r="H47" s="12">
        <f t="shared" si="1"/>
        <v>3420</v>
      </c>
      <c r="I47" s="12">
        <f t="shared" si="2"/>
        <v>3451.2</v>
      </c>
      <c r="J47" s="12">
        <f t="shared" si="3"/>
        <v>-31.199999999999818</v>
      </c>
      <c r="K47" s="14">
        <f t="shared" si="4"/>
        <v>-9.0403337969401417E-3</v>
      </c>
      <c r="L47" s="12" t="s">
        <v>223</v>
      </c>
      <c r="M47" s="15"/>
    </row>
    <row r="48" spans="1:13" x14ac:dyDescent="0.25">
      <c r="A48" s="10">
        <v>46011</v>
      </c>
      <c r="B48" s="11" t="s">
        <v>14</v>
      </c>
      <c r="C48" s="12">
        <v>1</v>
      </c>
      <c r="D48" s="27">
        <v>359426262425188</v>
      </c>
      <c r="E48" s="12">
        <v>3260</v>
      </c>
      <c r="F48" s="12">
        <v>3451.2</v>
      </c>
      <c r="G48" s="12">
        <f t="shared" si="0"/>
        <v>-191.19999999999982</v>
      </c>
      <c r="H48" s="12">
        <f t="shared" si="1"/>
        <v>3260</v>
      </c>
      <c r="I48" s="12">
        <f t="shared" si="2"/>
        <v>3451.2</v>
      </c>
      <c r="J48" s="12">
        <f t="shared" si="3"/>
        <v>-191.19999999999982</v>
      </c>
      <c r="K48" s="14">
        <f t="shared" si="4"/>
        <v>-5.540101993509499E-2</v>
      </c>
      <c r="L48" s="12" t="s">
        <v>223</v>
      </c>
      <c r="M48" s="15"/>
    </row>
    <row r="49" spans="1:13" x14ac:dyDescent="0.25">
      <c r="A49" s="10">
        <v>46011</v>
      </c>
      <c r="B49" s="11" t="s">
        <v>14</v>
      </c>
      <c r="C49" s="12">
        <v>1</v>
      </c>
      <c r="D49" s="27">
        <v>351046979125349</v>
      </c>
      <c r="E49" s="12">
        <v>3260</v>
      </c>
      <c r="F49" s="12">
        <v>3451.2</v>
      </c>
      <c r="G49" s="12">
        <f t="shared" si="0"/>
        <v>-191.19999999999982</v>
      </c>
      <c r="H49" s="12">
        <f t="shared" si="1"/>
        <v>3260</v>
      </c>
      <c r="I49" s="12">
        <f t="shared" si="2"/>
        <v>3451.2</v>
      </c>
      <c r="J49" s="12">
        <f t="shared" si="3"/>
        <v>-191.19999999999982</v>
      </c>
      <c r="K49" s="14">
        <f t="shared" si="4"/>
        <v>-5.540101993509499E-2</v>
      </c>
      <c r="L49" s="12" t="s">
        <v>223</v>
      </c>
      <c r="M49" s="15"/>
    </row>
    <row r="50" spans="1:13" x14ac:dyDescent="0.25">
      <c r="A50" s="10">
        <v>46008</v>
      </c>
      <c r="B50" s="26" t="s">
        <v>87</v>
      </c>
      <c r="C50" s="12">
        <v>1</v>
      </c>
      <c r="D50" s="31">
        <v>353837411143785</v>
      </c>
      <c r="E50" s="12">
        <v>4050</v>
      </c>
      <c r="F50" s="12">
        <v>4493.75</v>
      </c>
      <c r="G50" s="12">
        <f t="shared" si="0"/>
        <v>-443.75</v>
      </c>
      <c r="H50" s="12">
        <f t="shared" si="1"/>
        <v>4050</v>
      </c>
      <c r="I50" s="12">
        <f t="shared" si="2"/>
        <v>4493.75</v>
      </c>
      <c r="J50" s="12">
        <f t="shared" si="3"/>
        <v>-443.75</v>
      </c>
      <c r="K50" s="14">
        <f t="shared" si="4"/>
        <v>-9.8748261474269822E-2</v>
      </c>
      <c r="L50" s="12" t="s">
        <v>223</v>
      </c>
      <c r="M50" s="15"/>
    </row>
    <row r="51" spans="1:13" x14ac:dyDescent="0.25">
      <c r="A51" s="10">
        <v>46003</v>
      </c>
      <c r="B51" s="11" t="s">
        <v>79</v>
      </c>
      <c r="C51" s="12">
        <v>1</v>
      </c>
      <c r="D51" s="27">
        <v>359426261726941</v>
      </c>
      <c r="E51" s="12">
        <v>3570</v>
      </c>
      <c r="F51" s="12">
        <v>3666.9</v>
      </c>
      <c r="G51" s="12">
        <f t="shared" si="0"/>
        <v>-96.900000000000091</v>
      </c>
      <c r="H51" s="12">
        <f t="shared" si="1"/>
        <v>3570</v>
      </c>
      <c r="I51" s="12">
        <f t="shared" si="2"/>
        <v>3666.9</v>
      </c>
      <c r="J51" s="12">
        <f t="shared" si="3"/>
        <v>-96.900000000000091</v>
      </c>
      <c r="K51" s="14">
        <f t="shared" si="4"/>
        <v>-2.6425591098748286E-2</v>
      </c>
      <c r="L51" s="12" t="s">
        <v>223</v>
      </c>
      <c r="M51" s="15"/>
    </row>
    <row r="52" spans="1:13" x14ac:dyDescent="0.25">
      <c r="A52" s="10">
        <v>46004</v>
      </c>
      <c r="B52" s="11" t="s">
        <v>79</v>
      </c>
      <c r="C52" s="12">
        <v>1</v>
      </c>
      <c r="D52" s="27">
        <v>351687747975943</v>
      </c>
      <c r="E52" s="12">
        <v>3600</v>
      </c>
      <c r="F52" s="12">
        <v>3666.9</v>
      </c>
      <c r="G52" s="12">
        <f t="shared" si="0"/>
        <v>-66.900000000000091</v>
      </c>
      <c r="H52" s="12">
        <f t="shared" si="1"/>
        <v>3600</v>
      </c>
      <c r="I52" s="12">
        <f t="shared" si="2"/>
        <v>3666.9</v>
      </c>
      <c r="J52" s="12">
        <f t="shared" si="3"/>
        <v>-66.900000000000091</v>
      </c>
      <c r="K52" s="14">
        <f t="shared" si="4"/>
        <v>-1.8244293544956255E-2</v>
      </c>
      <c r="L52" s="12" t="s">
        <v>223</v>
      </c>
      <c r="M52" s="15"/>
    </row>
    <row r="53" spans="1:13" x14ac:dyDescent="0.25">
      <c r="A53" s="10">
        <v>46017</v>
      </c>
      <c r="B53" s="34" t="s">
        <v>190</v>
      </c>
      <c r="C53" s="12">
        <v>1</v>
      </c>
      <c r="D53" s="27" t="s">
        <v>192</v>
      </c>
      <c r="E53" s="12">
        <v>3520</v>
      </c>
      <c r="F53" s="12">
        <v>3595</v>
      </c>
      <c r="G53" s="12">
        <f t="shared" si="0"/>
        <v>-75</v>
      </c>
      <c r="H53" s="12">
        <f t="shared" si="1"/>
        <v>3520</v>
      </c>
      <c r="I53" s="12">
        <f t="shared" si="2"/>
        <v>3595</v>
      </c>
      <c r="J53" s="12">
        <f t="shared" si="3"/>
        <v>-75</v>
      </c>
      <c r="K53" s="14">
        <f t="shared" si="4"/>
        <v>-2.0862308762169681E-2</v>
      </c>
      <c r="L53" s="12" t="s">
        <v>223</v>
      </c>
      <c r="M53" s="15"/>
    </row>
    <row r="54" spans="1:13" x14ac:dyDescent="0.25">
      <c r="A54" s="10">
        <v>46008</v>
      </c>
      <c r="B54" s="26" t="s">
        <v>88</v>
      </c>
      <c r="C54" s="12">
        <v>1</v>
      </c>
      <c r="D54" s="27" t="s">
        <v>89</v>
      </c>
      <c r="E54" s="12">
        <v>2800</v>
      </c>
      <c r="F54" s="12">
        <v>2804.1</v>
      </c>
      <c r="G54" s="12">
        <f t="shared" si="0"/>
        <v>-4.0999999999999091</v>
      </c>
      <c r="H54" s="12">
        <f t="shared" si="1"/>
        <v>2800</v>
      </c>
      <c r="I54" s="12">
        <f t="shared" si="2"/>
        <v>2804.1</v>
      </c>
      <c r="J54" s="12">
        <f t="shared" si="3"/>
        <v>-4.0999999999999091</v>
      </c>
      <c r="K54" s="14">
        <f t="shared" si="4"/>
        <v>-1.4621447166648512E-3</v>
      </c>
      <c r="L54" s="12" t="s">
        <v>223</v>
      </c>
      <c r="M54" s="15"/>
    </row>
    <row r="55" spans="1:13" x14ac:dyDescent="0.25">
      <c r="A55" s="10">
        <v>46008</v>
      </c>
      <c r="B55" s="26" t="s">
        <v>88</v>
      </c>
      <c r="C55" s="12">
        <v>1</v>
      </c>
      <c r="D55" s="27" t="s">
        <v>90</v>
      </c>
      <c r="E55" s="12">
        <v>2800</v>
      </c>
      <c r="F55" s="12">
        <v>2804.1</v>
      </c>
      <c r="G55" s="12">
        <f t="shared" si="0"/>
        <v>-4.0999999999999091</v>
      </c>
      <c r="H55" s="12">
        <f t="shared" si="1"/>
        <v>2800</v>
      </c>
      <c r="I55" s="12">
        <f t="shared" si="2"/>
        <v>2804.1</v>
      </c>
      <c r="J55" s="12">
        <f t="shared" si="3"/>
        <v>-4.0999999999999091</v>
      </c>
      <c r="K55" s="14">
        <f t="shared" si="4"/>
        <v>-1.4621447166648512E-3</v>
      </c>
      <c r="L55" s="12" t="s">
        <v>223</v>
      </c>
      <c r="M55" s="15"/>
    </row>
    <row r="56" spans="1:13" x14ac:dyDescent="0.25">
      <c r="A56" s="10">
        <v>46008</v>
      </c>
      <c r="B56" s="26" t="s">
        <v>88</v>
      </c>
      <c r="C56" s="12">
        <v>1</v>
      </c>
      <c r="D56" s="27" t="s">
        <v>91</v>
      </c>
      <c r="E56" s="12">
        <v>2800</v>
      </c>
      <c r="F56" s="12">
        <v>2804.1</v>
      </c>
      <c r="G56" s="12">
        <f t="shared" si="0"/>
        <v>-4.0999999999999091</v>
      </c>
      <c r="H56" s="12">
        <f t="shared" si="1"/>
        <v>2800</v>
      </c>
      <c r="I56" s="12">
        <f t="shared" si="2"/>
        <v>2804.1</v>
      </c>
      <c r="J56" s="12">
        <f t="shared" si="3"/>
        <v>-4.0999999999999091</v>
      </c>
      <c r="K56" s="14">
        <f t="shared" si="4"/>
        <v>-1.4621447166648512E-3</v>
      </c>
      <c r="L56" s="12" t="s">
        <v>223</v>
      </c>
      <c r="M56" s="15"/>
    </row>
    <row r="57" spans="1:13" x14ac:dyDescent="0.25">
      <c r="A57" s="10">
        <v>46016</v>
      </c>
      <c r="B57" s="34" t="s">
        <v>154</v>
      </c>
      <c r="C57" s="12">
        <v>1</v>
      </c>
      <c r="D57" s="27" t="s">
        <v>155</v>
      </c>
      <c r="E57" s="12">
        <v>5150</v>
      </c>
      <c r="F57" s="12">
        <v>5212.75</v>
      </c>
      <c r="G57" s="12">
        <f t="shared" si="0"/>
        <v>-62.75</v>
      </c>
      <c r="H57" s="12">
        <f t="shared" si="1"/>
        <v>5150</v>
      </c>
      <c r="I57" s="12">
        <f t="shared" si="2"/>
        <v>5212.75</v>
      </c>
      <c r="J57" s="12">
        <f t="shared" si="3"/>
        <v>-62.75</v>
      </c>
      <c r="K57" s="14">
        <f t="shared" si="4"/>
        <v>-1.2037791952424343E-2</v>
      </c>
      <c r="L57" s="12" t="s">
        <v>223</v>
      </c>
      <c r="M57" s="15"/>
    </row>
    <row r="58" spans="1:13" x14ac:dyDescent="0.25">
      <c r="A58" s="10">
        <v>46002</v>
      </c>
      <c r="B58" s="11" t="s">
        <v>71</v>
      </c>
      <c r="C58" s="12">
        <v>78</v>
      </c>
      <c r="D58" s="13"/>
      <c r="E58" s="12">
        <v>319</v>
      </c>
      <c r="F58" s="12">
        <v>323.55</v>
      </c>
      <c r="G58" s="12">
        <f t="shared" si="0"/>
        <v>-4.5500000000000114</v>
      </c>
      <c r="H58" s="12">
        <f t="shared" si="1"/>
        <v>24882</v>
      </c>
      <c r="I58" s="12">
        <f t="shared" si="2"/>
        <v>25236.9</v>
      </c>
      <c r="J58" s="12">
        <f t="shared" si="3"/>
        <v>-354.90000000000146</v>
      </c>
      <c r="K58" s="14">
        <f t="shared" si="4"/>
        <v>-1.4062741461907004E-2</v>
      </c>
      <c r="L58" s="12" t="s">
        <v>222</v>
      </c>
      <c r="M58" s="15"/>
    </row>
    <row r="59" spans="1:13" x14ac:dyDescent="0.25">
      <c r="A59" s="10">
        <v>46001</v>
      </c>
      <c r="B59" s="11" t="s">
        <v>68</v>
      </c>
      <c r="C59" s="12">
        <v>1</v>
      </c>
      <c r="D59" s="27">
        <v>351159276364022</v>
      </c>
      <c r="E59" s="12">
        <v>1130</v>
      </c>
      <c r="F59" s="12">
        <v>1294.2</v>
      </c>
      <c r="G59" s="12">
        <f t="shared" si="0"/>
        <v>-164.20000000000005</v>
      </c>
      <c r="H59" s="12">
        <f t="shared" si="1"/>
        <v>1130</v>
      </c>
      <c r="I59" s="12">
        <f t="shared" si="2"/>
        <v>1294.2</v>
      </c>
      <c r="J59" s="12">
        <f t="shared" si="3"/>
        <v>-164.20000000000005</v>
      </c>
      <c r="K59" s="14">
        <f t="shared" si="4"/>
        <v>-0.1268737443980838</v>
      </c>
      <c r="L59" s="12" t="s">
        <v>222</v>
      </c>
      <c r="M59" s="15"/>
    </row>
    <row r="60" spans="1:13" x14ac:dyDescent="0.25">
      <c r="A60" s="10">
        <v>46001</v>
      </c>
      <c r="B60" s="11" t="s">
        <v>68</v>
      </c>
      <c r="C60" s="12">
        <v>1</v>
      </c>
      <c r="D60" s="27">
        <v>355205568480582</v>
      </c>
      <c r="E60" s="12">
        <v>1130</v>
      </c>
      <c r="F60" s="12">
        <v>1294.2</v>
      </c>
      <c r="G60" s="12">
        <f t="shared" si="0"/>
        <v>-164.20000000000005</v>
      </c>
      <c r="H60" s="12">
        <f t="shared" si="1"/>
        <v>1130</v>
      </c>
      <c r="I60" s="12">
        <f t="shared" si="2"/>
        <v>1294.2</v>
      </c>
      <c r="J60" s="12">
        <f t="shared" si="3"/>
        <v>-164.20000000000005</v>
      </c>
      <c r="K60" s="14">
        <f t="shared" si="4"/>
        <v>-0.1268737443980838</v>
      </c>
      <c r="L60" s="12" t="s">
        <v>222</v>
      </c>
      <c r="M60" s="15"/>
    </row>
    <row r="61" spans="1:13" x14ac:dyDescent="0.25">
      <c r="A61" s="10">
        <v>46001</v>
      </c>
      <c r="B61" s="11" t="s">
        <v>68</v>
      </c>
      <c r="C61" s="12">
        <v>1</v>
      </c>
      <c r="D61" s="27">
        <v>351159278028948</v>
      </c>
      <c r="E61" s="12">
        <v>1130</v>
      </c>
      <c r="F61" s="12">
        <v>1294.2</v>
      </c>
      <c r="G61" s="12">
        <f t="shared" si="0"/>
        <v>-164.20000000000005</v>
      </c>
      <c r="H61" s="12">
        <f t="shared" si="1"/>
        <v>1130</v>
      </c>
      <c r="I61" s="12">
        <f t="shared" si="2"/>
        <v>1294.2</v>
      </c>
      <c r="J61" s="12">
        <f t="shared" si="3"/>
        <v>-164.20000000000005</v>
      </c>
      <c r="K61" s="14">
        <f t="shared" si="4"/>
        <v>-0.1268737443980838</v>
      </c>
      <c r="L61" s="12" t="s">
        <v>222</v>
      </c>
      <c r="M61" s="15"/>
    </row>
    <row r="62" spans="1:13" x14ac:dyDescent="0.25">
      <c r="A62" s="10">
        <v>46001</v>
      </c>
      <c r="B62" s="11" t="s">
        <v>68</v>
      </c>
      <c r="C62" s="12">
        <v>1</v>
      </c>
      <c r="D62" s="27">
        <v>351159273475003</v>
      </c>
      <c r="E62" s="12">
        <v>1130</v>
      </c>
      <c r="F62" s="12">
        <v>1294.2</v>
      </c>
      <c r="G62" s="12">
        <f t="shared" si="0"/>
        <v>-164.20000000000005</v>
      </c>
      <c r="H62" s="12">
        <f t="shared" si="1"/>
        <v>1130</v>
      </c>
      <c r="I62" s="12">
        <f t="shared" si="2"/>
        <v>1294.2</v>
      </c>
      <c r="J62" s="12">
        <f t="shared" si="3"/>
        <v>-164.20000000000005</v>
      </c>
      <c r="K62" s="14">
        <f t="shared" si="4"/>
        <v>-0.1268737443980838</v>
      </c>
      <c r="L62" s="12" t="s">
        <v>222</v>
      </c>
      <c r="M62" s="15"/>
    </row>
    <row r="63" spans="1:13" x14ac:dyDescent="0.25">
      <c r="A63" s="10">
        <v>46001</v>
      </c>
      <c r="B63" s="11" t="s">
        <v>68</v>
      </c>
      <c r="C63" s="12">
        <v>1</v>
      </c>
      <c r="D63" s="27">
        <v>356196188572180</v>
      </c>
      <c r="E63" s="12">
        <v>1110</v>
      </c>
      <c r="F63" s="12">
        <v>1294.2</v>
      </c>
      <c r="G63" s="12">
        <f t="shared" si="0"/>
        <v>-184.20000000000005</v>
      </c>
      <c r="H63" s="12">
        <f t="shared" si="1"/>
        <v>1110</v>
      </c>
      <c r="I63" s="12">
        <f t="shared" si="2"/>
        <v>1294.2</v>
      </c>
      <c r="J63" s="12">
        <f t="shared" si="3"/>
        <v>-184.20000000000005</v>
      </c>
      <c r="K63" s="14">
        <f t="shared" si="4"/>
        <v>-0.14232730644413541</v>
      </c>
      <c r="L63" s="12" t="s">
        <v>222</v>
      </c>
      <c r="M63" s="15"/>
    </row>
    <row r="64" spans="1:13" x14ac:dyDescent="0.25">
      <c r="A64" s="10">
        <v>46001</v>
      </c>
      <c r="B64" s="11" t="s">
        <v>63</v>
      </c>
      <c r="C64" s="12">
        <v>1</v>
      </c>
      <c r="D64" s="33" t="s">
        <v>64</v>
      </c>
      <c r="E64" s="12">
        <v>4050</v>
      </c>
      <c r="F64" s="12">
        <v>4673.5</v>
      </c>
      <c r="G64" s="12">
        <f t="shared" si="0"/>
        <v>-623.5</v>
      </c>
      <c r="H64" s="12">
        <f t="shared" si="1"/>
        <v>4050</v>
      </c>
      <c r="I64" s="12">
        <f t="shared" si="2"/>
        <v>4673.5</v>
      </c>
      <c r="J64" s="12">
        <f t="shared" si="3"/>
        <v>-623.5</v>
      </c>
      <c r="K64" s="14">
        <f t="shared" si="4"/>
        <v>-0.1334117898791056</v>
      </c>
      <c r="L64" s="12" t="s">
        <v>222</v>
      </c>
      <c r="M64" s="15"/>
    </row>
    <row r="65" spans="1:13" x14ac:dyDescent="0.25">
      <c r="A65" s="10">
        <v>46001</v>
      </c>
      <c r="B65" s="11" t="s">
        <v>50</v>
      </c>
      <c r="C65" s="12">
        <v>1</v>
      </c>
      <c r="D65" s="27">
        <v>352355707895431</v>
      </c>
      <c r="E65" s="12">
        <v>4000</v>
      </c>
      <c r="F65" s="12">
        <v>4134.25</v>
      </c>
      <c r="G65" s="12">
        <f t="shared" si="0"/>
        <v>-134.25</v>
      </c>
      <c r="H65" s="12">
        <f t="shared" si="1"/>
        <v>4000</v>
      </c>
      <c r="I65" s="12">
        <f t="shared" si="2"/>
        <v>4134.25</v>
      </c>
      <c r="J65" s="12">
        <f t="shared" si="3"/>
        <v>-134.25</v>
      </c>
      <c r="K65" s="14">
        <f t="shared" si="4"/>
        <v>-3.2472637116768462E-2</v>
      </c>
      <c r="L65" s="12" t="s">
        <v>222</v>
      </c>
      <c r="M65" s="15"/>
    </row>
    <row r="66" spans="1:13" x14ac:dyDescent="0.25">
      <c r="A66" s="10">
        <v>46016</v>
      </c>
      <c r="B66" s="26" t="s">
        <v>57</v>
      </c>
      <c r="C66" s="12">
        <v>1</v>
      </c>
      <c r="D66" s="31">
        <v>352066341954183</v>
      </c>
      <c r="E66" s="12">
        <v>4080</v>
      </c>
      <c r="F66" s="12">
        <v>4170.2</v>
      </c>
      <c r="G66" s="12">
        <f t="shared" ref="G66:G129" si="5">E66-F66</f>
        <v>-90.199999999999818</v>
      </c>
      <c r="H66" s="12">
        <f t="shared" ref="H66:H129" si="6">E66*C66</f>
        <v>4080</v>
      </c>
      <c r="I66" s="12">
        <f t="shared" ref="I66:I129" si="7">F66*C66</f>
        <v>4170.2</v>
      </c>
      <c r="J66" s="12">
        <f t="shared" ref="J66:J129" si="8">H66-I66</f>
        <v>-90.199999999999818</v>
      </c>
      <c r="K66" s="14">
        <f t="shared" ref="K66:K129" si="9">(E66-F66)/F66</f>
        <v>-2.162965804997358E-2</v>
      </c>
      <c r="L66" s="12" t="s">
        <v>222</v>
      </c>
      <c r="M66" s="15"/>
    </row>
    <row r="67" spans="1:13" x14ac:dyDescent="0.25">
      <c r="A67" s="10">
        <v>46009</v>
      </c>
      <c r="B67" s="11" t="s">
        <v>101</v>
      </c>
      <c r="C67" s="12">
        <v>1</v>
      </c>
      <c r="D67" s="27">
        <v>351016865103346</v>
      </c>
      <c r="E67" s="12">
        <v>1680</v>
      </c>
      <c r="F67" s="12">
        <v>1833.45</v>
      </c>
      <c r="G67" s="12">
        <f t="shared" si="5"/>
        <v>-153.45000000000005</v>
      </c>
      <c r="H67" s="12">
        <f t="shared" si="6"/>
        <v>1680</v>
      </c>
      <c r="I67" s="12">
        <f t="shared" si="7"/>
        <v>1833.45</v>
      </c>
      <c r="J67" s="12">
        <f t="shared" si="8"/>
        <v>-153.45000000000005</v>
      </c>
      <c r="K67" s="14">
        <f t="shared" si="9"/>
        <v>-8.3694673975292511E-2</v>
      </c>
      <c r="L67" s="12" t="s">
        <v>222</v>
      </c>
      <c r="M67" s="15"/>
    </row>
    <row r="68" spans="1:13" x14ac:dyDescent="0.25">
      <c r="A68" s="10">
        <v>46000</v>
      </c>
      <c r="B68" s="26" t="s">
        <v>48</v>
      </c>
      <c r="C68" s="12">
        <v>1</v>
      </c>
      <c r="D68" s="27">
        <v>352440632579340</v>
      </c>
      <c r="E68" s="12">
        <v>2650</v>
      </c>
      <c r="F68" s="12">
        <v>2678.27</v>
      </c>
      <c r="G68" s="12">
        <f t="shared" si="5"/>
        <v>-28.269999999999982</v>
      </c>
      <c r="H68" s="12">
        <f t="shared" si="6"/>
        <v>2650</v>
      </c>
      <c r="I68" s="12">
        <f t="shared" si="7"/>
        <v>2678.27</v>
      </c>
      <c r="J68" s="12">
        <f t="shared" si="8"/>
        <v>-28.269999999999982</v>
      </c>
      <c r="K68" s="14">
        <f t="shared" si="9"/>
        <v>-1.055532115880773E-2</v>
      </c>
      <c r="L68" s="12" t="s">
        <v>222</v>
      </c>
      <c r="M68" s="15"/>
    </row>
    <row r="69" spans="1:13" x14ac:dyDescent="0.25">
      <c r="A69" s="10">
        <v>46000</v>
      </c>
      <c r="B69" s="26" t="s">
        <v>48</v>
      </c>
      <c r="C69" s="12">
        <v>1</v>
      </c>
      <c r="D69" s="27">
        <v>355122369796605</v>
      </c>
      <c r="E69" s="12">
        <v>2650</v>
      </c>
      <c r="F69" s="12">
        <v>2678.27</v>
      </c>
      <c r="G69" s="12">
        <f t="shared" si="5"/>
        <v>-28.269999999999982</v>
      </c>
      <c r="H69" s="12">
        <f t="shared" si="6"/>
        <v>2650</v>
      </c>
      <c r="I69" s="12">
        <f t="shared" si="7"/>
        <v>2678.27</v>
      </c>
      <c r="J69" s="12">
        <f t="shared" si="8"/>
        <v>-28.269999999999982</v>
      </c>
      <c r="K69" s="14">
        <f t="shared" si="9"/>
        <v>-1.055532115880773E-2</v>
      </c>
      <c r="L69" s="12" t="s">
        <v>222</v>
      </c>
      <c r="M69" s="15"/>
    </row>
    <row r="70" spans="1:13" x14ac:dyDescent="0.25">
      <c r="A70" s="10">
        <v>46000</v>
      </c>
      <c r="B70" s="26" t="s">
        <v>48</v>
      </c>
      <c r="C70" s="12">
        <v>1</v>
      </c>
      <c r="D70" s="27">
        <v>352440632151728</v>
      </c>
      <c r="E70" s="12">
        <v>2650</v>
      </c>
      <c r="F70" s="12">
        <v>2678.27</v>
      </c>
      <c r="G70" s="12">
        <f t="shared" si="5"/>
        <v>-28.269999999999982</v>
      </c>
      <c r="H70" s="12">
        <f t="shared" si="6"/>
        <v>2650</v>
      </c>
      <c r="I70" s="12">
        <f t="shared" si="7"/>
        <v>2678.27</v>
      </c>
      <c r="J70" s="12">
        <f t="shared" si="8"/>
        <v>-28.269999999999982</v>
      </c>
      <c r="K70" s="14">
        <f t="shared" si="9"/>
        <v>-1.055532115880773E-2</v>
      </c>
      <c r="L70" s="12" t="s">
        <v>222</v>
      </c>
      <c r="M70" s="15"/>
    </row>
    <row r="71" spans="1:13" x14ac:dyDescent="0.25">
      <c r="A71" s="10">
        <v>46000</v>
      </c>
      <c r="B71" s="26" t="s">
        <v>48</v>
      </c>
      <c r="C71" s="12">
        <v>1</v>
      </c>
      <c r="D71" s="27">
        <v>352440632449874</v>
      </c>
      <c r="E71" s="12">
        <v>2500</v>
      </c>
      <c r="F71" s="12">
        <v>2552.4499999999998</v>
      </c>
      <c r="G71" s="12">
        <f t="shared" si="5"/>
        <v>-52.449999999999818</v>
      </c>
      <c r="H71" s="12">
        <f t="shared" si="6"/>
        <v>2500</v>
      </c>
      <c r="I71" s="12">
        <f t="shared" si="7"/>
        <v>2552.4499999999998</v>
      </c>
      <c r="J71" s="12">
        <f t="shared" si="8"/>
        <v>-52.449999999999818</v>
      </c>
      <c r="K71" s="14">
        <f t="shared" si="9"/>
        <v>-2.0548884405179269E-2</v>
      </c>
      <c r="L71" s="12" t="s">
        <v>222</v>
      </c>
      <c r="M71" s="15"/>
    </row>
    <row r="72" spans="1:13" x14ac:dyDescent="0.25">
      <c r="A72" s="10">
        <v>46002</v>
      </c>
      <c r="B72" s="11" t="s">
        <v>75</v>
      </c>
      <c r="C72" s="12">
        <v>1</v>
      </c>
      <c r="D72" s="27">
        <v>355122368907583</v>
      </c>
      <c r="E72" s="12">
        <v>4350</v>
      </c>
      <c r="F72" s="12">
        <v>4385.8999999999996</v>
      </c>
      <c r="G72" s="12">
        <f t="shared" si="5"/>
        <v>-35.899999999999636</v>
      </c>
      <c r="H72" s="12">
        <f t="shared" si="6"/>
        <v>4350</v>
      </c>
      <c r="I72" s="12">
        <f t="shared" si="7"/>
        <v>4385.8999999999996</v>
      </c>
      <c r="J72" s="12">
        <f t="shared" si="8"/>
        <v>-35.899999999999636</v>
      </c>
      <c r="K72" s="14">
        <f t="shared" si="9"/>
        <v>-8.185321142752831E-3</v>
      </c>
      <c r="L72" s="12" t="s">
        <v>222</v>
      </c>
      <c r="M72" s="15"/>
    </row>
    <row r="73" spans="1:13" x14ac:dyDescent="0.25">
      <c r="A73" s="10">
        <v>46002</v>
      </c>
      <c r="B73" s="11" t="s">
        <v>75</v>
      </c>
      <c r="C73" s="12">
        <v>1</v>
      </c>
      <c r="D73" s="27">
        <v>352294449966848</v>
      </c>
      <c r="E73" s="12">
        <v>4350</v>
      </c>
      <c r="F73" s="12">
        <v>4385.8999999999996</v>
      </c>
      <c r="G73" s="12">
        <f t="shared" si="5"/>
        <v>-35.899999999999636</v>
      </c>
      <c r="H73" s="12">
        <f t="shared" si="6"/>
        <v>4350</v>
      </c>
      <c r="I73" s="12">
        <f t="shared" si="7"/>
        <v>4385.8999999999996</v>
      </c>
      <c r="J73" s="12">
        <f t="shared" si="8"/>
        <v>-35.899999999999636</v>
      </c>
      <c r="K73" s="14">
        <f t="shared" si="9"/>
        <v>-8.185321142752831E-3</v>
      </c>
      <c r="L73" s="12" t="s">
        <v>222</v>
      </c>
      <c r="M73" s="15"/>
    </row>
    <row r="74" spans="1:13" x14ac:dyDescent="0.25">
      <c r="A74" s="10">
        <v>46017</v>
      </c>
      <c r="B74" s="34" t="s">
        <v>178</v>
      </c>
      <c r="C74" s="12">
        <v>1</v>
      </c>
      <c r="D74" s="27">
        <v>356364245633508</v>
      </c>
      <c r="E74" s="12">
        <v>3244</v>
      </c>
      <c r="F74" s="12">
        <v>3487.15</v>
      </c>
      <c r="G74" s="12">
        <f t="shared" si="5"/>
        <v>-243.15000000000009</v>
      </c>
      <c r="H74" s="12">
        <f t="shared" si="6"/>
        <v>3244</v>
      </c>
      <c r="I74" s="12">
        <f t="shared" si="7"/>
        <v>3487.15</v>
      </c>
      <c r="J74" s="12">
        <f t="shared" si="8"/>
        <v>-243.15000000000009</v>
      </c>
      <c r="K74" s="14">
        <f t="shared" si="9"/>
        <v>-6.9727427842220746E-2</v>
      </c>
      <c r="L74" s="12" t="s">
        <v>222</v>
      </c>
      <c r="M74" s="15"/>
    </row>
    <row r="75" spans="1:13" x14ac:dyDescent="0.25">
      <c r="A75" s="10">
        <v>46008</v>
      </c>
      <c r="B75" s="26" t="s">
        <v>94</v>
      </c>
      <c r="C75" s="12">
        <v>1</v>
      </c>
      <c r="D75" s="27">
        <v>351687749365200</v>
      </c>
      <c r="E75" s="12">
        <v>3770</v>
      </c>
      <c r="F75" s="12">
        <v>3882.6</v>
      </c>
      <c r="G75" s="12">
        <f t="shared" si="5"/>
        <v>-112.59999999999991</v>
      </c>
      <c r="H75" s="12">
        <f t="shared" si="6"/>
        <v>3770</v>
      </c>
      <c r="I75" s="12">
        <f t="shared" si="7"/>
        <v>3882.6</v>
      </c>
      <c r="J75" s="12">
        <f t="shared" si="8"/>
        <v>-112.59999999999991</v>
      </c>
      <c r="K75" s="14">
        <f t="shared" si="9"/>
        <v>-2.9001184773090175E-2</v>
      </c>
      <c r="L75" s="12" t="s">
        <v>222</v>
      </c>
      <c r="M75" s="15"/>
    </row>
    <row r="76" spans="1:13" x14ac:dyDescent="0.25">
      <c r="A76" s="10">
        <v>46001</v>
      </c>
      <c r="B76" s="11" t="s">
        <v>14</v>
      </c>
      <c r="C76" s="12">
        <v>1</v>
      </c>
      <c r="D76" s="27">
        <v>359802893569216</v>
      </c>
      <c r="E76" s="12">
        <v>3400</v>
      </c>
      <c r="F76" s="12">
        <v>3487.14</v>
      </c>
      <c r="G76" s="12">
        <f t="shared" si="5"/>
        <v>-87.139999999999873</v>
      </c>
      <c r="H76" s="12">
        <f t="shared" si="6"/>
        <v>3400</v>
      </c>
      <c r="I76" s="12">
        <f t="shared" si="7"/>
        <v>3487.14</v>
      </c>
      <c r="J76" s="12">
        <f t="shared" si="8"/>
        <v>-87.139999999999873</v>
      </c>
      <c r="K76" s="14">
        <f t="shared" si="9"/>
        <v>-2.4988959433805316E-2</v>
      </c>
      <c r="L76" s="12" t="s">
        <v>222</v>
      </c>
      <c r="M76" s="15"/>
    </row>
    <row r="77" spans="1:13" x14ac:dyDescent="0.25">
      <c r="A77" s="10">
        <v>46001</v>
      </c>
      <c r="B77" s="11" t="s">
        <v>14</v>
      </c>
      <c r="C77" s="12">
        <v>1</v>
      </c>
      <c r="D77" s="27">
        <v>357063604677408</v>
      </c>
      <c r="E77" s="12">
        <v>3400</v>
      </c>
      <c r="F77" s="12">
        <v>3487.14</v>
      </c>
      <c r="G77" s="12">
        <f t="shared" si="5"/>
        <v>-87.139999999999873</v>
      </c>
      <c r="H77" s="12">
        <f t="shared" si="6"/>
        <v>3400</v>
      </c>
      <c r="I77" s="12">
        <f t="shared" si="7"/>
        <v>3487.14</v>
      </c>
      <c r="J77" s="12">
        <f t="shared" si="8"/>
        <v>-87.139999999999873</v>
      </c>
      <c r="K77" s="14">
        <f t="shared" si="9"/>
        <v>-2.4988959433805316E-2</v>
      </c>
      <c r="L77" s="12" t="s">
        <v>222</v>
      </c>
      <c r="M77" s="15"/>
    </row>
    <row r="78" spans="1:13" x14ac:dyDescent="0.25">
      <c r="A78" s="10">
        <v>46001</v>
      </c>
      <c r="B78" s="11" t="s">
        <v>14</v>
      </c>
      <c r="C78" s="12">
        <v>1</v>
      </c>
      <c r="D78" s="27">
        <v>356764175315853</v>
      </c>
      <c r="E78" s="12">
        <v>3400</v>
      </c>
      <c r="F78" s="12">
        <v>3487.14</v>
      </c>
      <c r="G78" s="12">
        <f t="shared" si="5"/>
        <v>-87.139999999999873</v>
      </c>
      <c r="H78" s="12">
        <f t="shared" si="6"/>
        <v>3400</v>
      </c>
      <c r="I78" s="12">
        <f t="shared" si="7"/>
        <v>3487.14</v>
      </c>
      <c r="J78" s="12">
        <f t="shared" si="8"/>
        <v>-87.139999999999873</v>
      </c>
      <c r="K78" s="14">
        <f t="shared" si="9"/>
        <v>-2.4988959433805316E-2</v>
      </c>
      <c r="L78" s="12" t="s">
        <v>222</v>
      </c>
      <c r="M78" s="15"/>
    </row>
    <row r="79" spans="1:13" x14ac:dyDescent="0.25">
      <c r="A79" s="10">
        <v>46001</v>
      </c>
      <c r="B79" s="11" t="s">
        <v>14</v>
      </c>
      <c r="C79" s="12">
        <v>1</v>
      </c>
      <c r="D79" s="27">
        <v>359426265632582</v>
      </c>
      <c r="E79" s="12">
        <v>3400</v>
      </c>
      <c r="F79" s="12">
        <v>3487.14</v>
      </c>
      <c r="G79" s="12">
        <f t="shared" si="5"/>
        <v>-87.139999999999873</v>
      </c>
      <c r="H79" s="12">
        <f t="shared" si="6"/>
        <v>3400</v>
      </c>
      <c r="I79" s="12">
        <f t="shared" si="7"/>
        <v>3487.14</v>
      </c>
      <c r="J79" s="12">
        <f t="shared" si="8"/>
        <v>-87.139999999999873</v>
      </c>
      <c r="K79" s="14">
        <f t="shared" si="9"/>
        <v>-2.4988959433805316E-2</v>
      </c>
      <c r="L79" s="12" t="s">
        <v>222</v>
      </c>
      <c r="M79" s="15"/>
    </row>
    <row r="80" spans="1:13" x14ac:dyDescent="0.25">
      <c r="A80" s="10">
        <v>46002</v>
      </c>
      <c r="B80" s="11" t="s">
        <v>14</v>
      </c>
      <c r="C80" s="12">
        <v>1</v>
      </c>
      <c r="D80" s="27">
        <v>356364244968392</v>
      </c>
      <c r="E80" s="12">
        <v>3380</v>
      </c>
      <c r="F80" s="12">
        <v>3487.14</v>
      </c>
      <c r="G80" s="12">
        <f t="shared" si="5"/>
        <v>-107.13999999999987</v>
      </c>
      <c r="H80" s="12">
        <f t="shared" si="6"/>
        <v>3380</v>
      </c>
      <c r="I80" s="12">
        <f t="shared" si="7"/>
        <v>3487.14</v>
      </c>
      <c r="J80" s="12">
        <f t="shared" si="8"/>
        <v>-107.13999999999987</v>
      </c>
      <c r="K80" s="14">
        <f t="shared" si="9"/>
        <v>-3.0724318495959402E-2</v>
      </c>
      <c r="L80" s="12" t="s">
        <v>222</v>
      </c>
      <c r="M80" s="15"/>
    </row>
    <row r="81" spans="1:13" x14ac:dyDescent="0.25">
      <c r="A81" s="10">
        <v>46002</v>
      </c>
      <c r="B81" s="11" t="s">
        <v>14</v>
      </c>
      <c r="C81" s="12">
        <v>1</v>
      </c>
      <c r="D81" s="27">
        <v>356764171146146</v>
      </c>
      <c r="E81" s="12">
        <v>3380</v>
      </c>
      <c r="F81" s="12">
        <v>3487.14</v>
      </c>
      <c r="G81" s="12">
        <f t="shared" si="5"/>
        <v>-107.13999999999987</v>
      </c>
      <c r="H81" s="12">
        <f t="shared" si="6"/>
        <v>3380</v>
      </c>
      <c r="I81" s="12">
        <f t="shared" si="7"/>
        <v>3487.14</v>
      </c>
      <c r="J81" s="12">
        <f t="shared" si="8"/>
        <v>-107.13999999999987</v>
      </c>
      <c r="K81" s="14">
        <f t="shared" si="9"/>
        <v>-3.0724318495959402E-2</v>
      </c>
      <c r="L81" s="12" t="s">
        <v>222</v>
      </c>
      <c r="M81" s="15"/>
    </row>
    <row r="82" spans="1:13" x14ac:dyDescent="0.25">
      <c r="A82" s="10">
        <v>46002</v>
      </c>
      <c r="B82" s="11" t="s">
        <v>14</v>
      </c>
      <c r="C82" s="12">
        <v>1</v>
      </c>
      <c r="D82" s="27">
        <v>357063601850297</v>
      </c>
      <c r="E82" s="12">
        <v>3380</v>
      </c>
      <c r="F82" s="12">
        <v>3487.14</v>
      </c>
      <c r="G82" s="12">
        <f t="shared" si="5"/>
        <v>-107.13999999999987</v>
      </c>
      <c r="H82" s="12">
        <f t="shared" si="6"/>
        <v>3380</v>
      </c>
      <c r="I82" s="12">
        <f t="shared" si="7"/>
        <v>3487.14</v>
      </c>
      <c r="J82" s="12">
        <f t="shared" si="8"/>
        <v>-107.13999999999987</v>
      </c>
      <c r="K82" s="14">
        <f t="shared" si="9"/>
        <v>-3.0724318495959402E-2</v>
      </c>
      <c r="L82" s="12" t="s">
        <v>222</v>
      </c>
      <c r="M82" s="15"/>
    </row>
    <row r="83" spans="1:13" x14ac:dyDescent="0.25">
      <c r="A83" s="10">
        <v>46007</v>
      </c>
      <c r="B83" s="11" t="s">
        <v>14</v>
      </c>
      <c r="C83" s="12">
        <v>1</v>
      </c>
      <c r="D83" s="27">
        <v>359912581996223</v>
      </c>
      <c r="E83" s="12">
        <v>3475</v>
      </c>
      <c r="F83" s="12">
        <v>3487.15</v>
      </c>
      <c r="G83" s="12">
        <f t="shared" si="5"/>
        <v>-12.150000000000091</v>
      </c>
      <c r="H83" s="12">
        <f t="shared" si="6"/>
        <v>3475</v>
      </c>
      <c r="I83" s="12">
        <f t="shared" si="7"/>
        <v>3487.15</v>
      </c>
      <c r="J83" s="12">
        <f t="shared" si="8"/>
        <v>-12.150000000000091</v>
      </c>
      <c r="K83" s="14">
        <f t="shared" si="9"/>
        <v>-3.484220638630426E-3</v>
      </c>
      <c r="L83" s="12" t="s">
        <v>222</v>
      </c>
      <c r="M83" s="15"/>
    </row>
    <row r="84" spans="1:13" x14ac:dyDescent="0.25">
      <c r="A84" s="10">
        <v>46007</v>
      </c>
      <c r="B84" s="11" t="s">
        <v>14</v>
      </c>
      <c r="C84" s="12">
        <v>1</v>
      </c>
      <c r="D84" s="27">
        <v>357063608837784</v>
      </c>
      <c r="E84" s="12">
        <v>3475</v>
      </c>
      <c r="F84" s="12">
        <v>3487.15</v>
      </c>
      <c r="G84" s="12">
        <f t="shared" si="5"/>
        <v>-12.150000000000091</v>
      </c>
      <c r="H84" s="12">
        <f t="shared" si="6"/>
        <v>3475</v>
      </c>
      <c r="I84" s="12">
        <f t="shared" si="7"/>
        <v>3487.15</v>
      </c>
      <c r="J84" s="12">
        <f t="shared" si="8"/>
        <v>-12.150000000000091</v>
      </c>
      <c r="K84" s="14">
        <f t="shared" si="9"/>
        <v>-3.484220638630426E-3</v>
      </c>
      <c r="L84" s="12" t="s">
        <v>222</v>
      </c>
      <c r="M84" s="15"/>
    </row>
    <row r="85" spans="1:13" x14ac:dyDescent="0.25">
      <c r="A85" s="10">
        <v>46011</v>
      </c>
      <c r="B85" s="11" t="s">
        <v>14</v>
      </c>
      <c r="C85" s="12">
        <v>1</v>
      </c>
      <c r="D85" s="27">
        <v>353837410842189</v>
      </c>
      <c r="E85" s="12">
        <v>3260</v>
      </c>
      <c r="F85" s="12">
        <v>3487.15</v>
      </c>
      <c r="G85" s="12">
        <f t="shared" si="5"/>
        <v>-227.15000000000009</v>
      </c>
      <c r="H85" s="12">
        <f t="shared" si="6"/>
        <v>3260</v>
      </c>
      <c r="I85" s="12">
        <f t="shared" si="7"/>
        <v>3487.15</v>
      </c>
      <c r="J85" s="12">
        <f t="shared" si="8"/>
        <v>-227.15000000000009</v>
      </c>
      <c r="K85" s="14">
        <f t="shared" si="9"/>
        <v>-6.5139153750197173E-2</v>
      </c>
      <c r="L85" s="12" t="s">
        <v>222</v>
      </c>
      <c r="M85" s="15"/>
    </row>
    <row r="86" spans="1:13" x14ac:dyDescent="0.25">
      <c r="A86" s="10">
        <v>46011</v>
      </c>
      <c r="B86" s="11" t="s">
        <v>14</v>
      </c>
      <c r="C86" s="12">
        <v>1</v>
      </c>
      <c r="D86" s="27">
        <v>356764171257612</v>
      </c>
      <c r="E86" s="12">
        <v>3260</v>
      </c>
      <c r="F86" s="12">
        <v>3487.15</v>
      </c>
      <c r="G86" s="12">
        <f t="shared" si="5"/>
        <v>-227.15000000000009</v>
      </c>
      <c r="H86" s="12">
        <f t="shared" si="6"/>
        <v>3260</v>
      </c>
      <c r="I86" s="12">
        <f t="shared" si="7"/>
        <v>3487.15</v>
      </c>
      <c r="J86" s="12">
        <f t="shared" si="8"/>
        <v>-227.15000000000009</v>
      </c>
      <c r="K86" s="14">
        <f t="shared" si="9"/>
        <v>-6.5139153750197173E-2</v>
      </c>
      <c r="L86" s="12" t="s">
        <v>222</v>
      </c>
      <c r="M86" s="15"/>
    </row>
    <row r="87" spans="1:13" x14ac:dyDescent="0.25">
      <c r="A87" s="10">
        <v>46011</v>
      </c>
      <c r="B87" s="11" t="s">
        <v>14</v>
      </c>
      <c r="C87" s="12">
        <v>1</v>
      </c>
      <c r="D87" s="27">
        <v>356764176732619</v>
      </c>
      <c r="E87" s="12">
        <v>3260</v>
      </c>
      <c r="F87" s="12">
        <v>3487.15</v>
      </c>
      <c r="G87" s="12">
        <f t="shared" si="5"/>
        <v>-227.15000000000009</v>
      </c>
      <c r="H87" s="12">
        <f t="shared" si="6"/>
        <v>3260</v>
      </c>
      <c r="I87" s="12">
        <f t="shared" si="7"/>
        <v>3487.15</v>
      </c>
      <c r="J87" s="12">
        <f t="shared" si="8"/>
        <v>-227.15000000000009</v>
      </c>
      <c r="K87" s="14">
        <f t="shared" si="9"/>
        <v>-6.5139153750197173E-2</v>
      </c>
      <c r="L87" s="12" t="s">
        <v>222</v>
      </c>
      <c r="M87" s="15"/>
    </row>
    <row r="88" spans="1:13" x14ac:dyDescent="0.25">
      <c r="A88" s="10">
        <v>46011</v>
      </c>
      <c r="B88" s="11" t="s">
        <v>14</v>
      </c>
      <c r="C88" s="12">
        <v>1</v>
      </c>
      <c r="D88" s="27">
        <v>357063604391745</v>
      </c>
      <c r="E88" s="12">
        <v>3260</v>
      </c>
      <c r="F88" s="12">
        <v>3487.15</v>
      </c>
      <c r="G88" s="12">
        <f t="shared" si="5"/>
        <v>-227.15000000000009</v>
      </c>
      <c r="H88" s="12">
        <f t="shared" si="6"/>
        <v>3260</v>
      </c>
      <c r="I88" s="12">
        <f t="shared" si="7"/>
        <v>3487.15</v>
      </c>
      <c r="J88" s="12">
        <f t="shared" si="8"/>
        <v>-227.15000000000009</v>
      </c>
      <c r="K88" s="14">
        <f t="shared" si="9"/>
        <v>-6.5139153750197173E-2</v>
      </c>
      <c r="L88" s="12" t="s">
        <v>222</v>
      </c>
      <c r="M88" s="15"/>
    </row>
    <row r="89" spans="1:13" x14ac:dyDescent="0.25">
      <c r="A89" s="10">
        <v>46011</v>
      </c>
      <c r="B89" s="11" t="s">
        <v>14</v>
      </c>
      <c r="C89" s="12">
        <v>1</v>
      </c>
      <c r="D89" s="27">
        <v>356364243640117</v>
      </c>
      <c r="E89" s="12">
        <v>3260</v>
      </c>
      <c r="F89" s="12">
        <v>3487.15</v>
      </c>
      <c r="G89" s="12">
        <f t="shared" si="5"/>
        <v>-227.15000000000009</v>
      </c>
      <c r="H89" s="12">
        <f t="shared" si="6"/>
        <v>3260</v>
      </c>
      <c r="I89" s="12">
        <f t="shared" si="7"/>
        <v>3487.15</v>
      </c>
      <c r="J89" s="12">
        <f t="shared" si="8"/>
        <v>-227.15000000000009</v>
      </c>
      <c r="K89" s="14">
        <f t="shared" si="9"/>
        <v>-6.5139153750197173E-2</v>
      </c>
      <c r="L89" s="12" t="s">
        <v>222</v>
      </c>
      <c r="M89" s="15" t="s">
        <v>242</v>
      </c>
    </row>
    <row r="90" spans="1:13" x14ac:dyDescent="0.25">
      <c r="A90" s="10">
        <v>46011</v>
      </c>
      <c r="B90" s="11" t="s">
        <v>14</v>
      </c>
      <c r="C90" s="12">
        <v>1</v>
      </c>
      <c r="D90" s="27">
        <v>356364244916425</v>
      </c>
      <c r="E90" s="12">
        <v>3260</v>
      </c>
      <c r="F90" s="12">
        <v>3487.15</v>
      </c>
      <c r="G90" s="12">
        <f t="shared" si="5"/>
        <v>-227.15000000000009</v>
      </c>
      <c r="H90" s="12">
        <f t="shared" si="6"/>
        <v>3260</v>
      </c>
      <c r="I90" s="12">
        <f t="shared" si="7"/>
        <v>3487.15</v>
      </c>
      <c r="J90" s="12">
        <f t="shared" si="8"/>
        <v>-227.15000000000009</v>
      </c>
      <c r="K90" s="14">
        <f t="shared" si="9"/>
        <v>-6.5139153750197173E-2</v>
      </c>
      <c r="L90" s="12" t="s">
        <v>222</v>
      </c>
      <c r="M90" s="15"/>
    </row>
    <row r="91" spans="1:13" x14ac:dyDescent="0.25">
      <c r="A91" s="10">
        <v>46015</v>
      </c>
      <c r="B91" s="11" t="s">
        <v>87</v>
      </c>
      <c r="C91" s="12">
        <v>1</v>
      </c>
      <c r="D91" s="31">
        <v>357063607396063</v>
      </c>
      <c r="E91" s="12">
        <v>4160</v>
      </c>
      <c r="F91" s="12">
        <v>4385.8999999999996</v>
      </c>
      <c r="G91" s="12">
        <f t="shared" si="5"/>
        <v>-225.89999999999964</v>
      </c>
      <c r="H91" s="12">
        <f t="shared" si="6"/>
        <v>4160</v>
      </c>
      <c r="I91" s="12">
        <f t="shared" si="7"/>
        <v>4385.8999999999996</v>
      </c>
      <c r="J91" s="12">
        <f t="shared" si="8"/>
        <v>-225.89999999999964</v>
      </c>
      <c r="K91" s="14">
        <f t="shared" si="9"/>
        <v>-5.1505962288241787E-2</v>
      </c>
      <c r="L91" s="12" t="s">
        <v>222</v>
      </c>
      <c r="M91" s="15"/>
    </row>
    <row r="92" spans="1:13" x14ac:dyDescent="0.25">
      <c r="A92" s="10">
        <v>46010</v>
      </c>
      <c r="B92" s="26" t="s">
        <v>115</v>
      </c>
      <c r="C92" s="12">
        <v>1</v>
      </c>
      <c r="D92" s="27">
        <v>352355704704099</v>
      </c>
      <c r="E92" s="12">
        <v>4100</v>
      </c>
      <c r="F92" s="12">
        <v>4170.2</v>
      </c>
      <c r="G92" s="12">
        <f t="shared" si="5"/>
        <v>-70.199999999999818</v>
      </c>
      <c r="H92" s="12">
        <f t="shared" si="6"/>
        <v>4100</v>
      </c>
      <c r="I92" s="12">
        <f t="shared" si="7"/>
        <v>4170.2</v>
      </c>
      <c r="J92" s="12">
        <f t="shared" si="8"/>
        <v>-70.199999999999818</v>
      </c>
      <c r="K92" s="14">
        <f t="shared" si="9"/>
        <v>-1.6833725001198941E-2</v>
      </c>
      <c r="L92" s="12" t="s">
        <v>231</v>
      </c>
      <c r="M92" s="15"/>
    </row>
    <row r="93" spans="1:13" x14ac:dyDescent="0.25">
      <c r="A93" s="10">
        <v>46010</v>
      </c>
      <c r="B93" s="26" t="s">
        <v>115</v>
      </c>
      <c r="C93" s="12">
        <v>1</v>
      </c>
      <c r="D93" s="27">
        <v>352355703332264</v>
      </c>
      <c r="E93" s="12">
        <v>4100</v>
      </c>
      <c r="F93" s="12">
        <v>4170.2</v>
      </c>
      <c r="G93" s="12">
        <f t="shared" si="5"/>
        <v>-70.199999999999818</v>
      </c>
      <c r="H93" s="12">
        <f t="shared" si="6"/>
        <v>4100</v>
      </c>
      <c r="I93" s="12">
        <f t="shared" si="7"/>
        <v>4170.2</v>
      </c>
      <c r="J93" s="12">
        <f t="shared" si="8"/>
        <v>-70.199999999999818</v>
      </c>
      <c r="K93" s="14">
        <f t="shared" si="9"/>
        <v>-1.6833725001198941E-2</v>
      </c>
      <c r="L93" s="12" t="s">
        <v>231</v>
      </c>
      <c r="M93" s="15"/>
    </row>
    <row r="94" spans="1:13" x14ac:dyDescent="0.25">
      <c r="A94" s="10">
        <v>46009</v>
      </c>
      <c r="B94" s="11" t="s">
        <v>101</v>
      </c>
      <c r="C94" s="12">
        <v>1</v>
      </c>
      <c r="D94" s="27">
        <v>352676529052194</v>
      </c>
      <c r="E94" s="12">
        <v>1680</v>
      </c>
      <c r="F94" s="12">
        <v>1779.52</v>
      </c>
      <c r="G94" s="12">
        <f t="shared" si="5"/>
        <v>-99.519999999999982</v>
      </c>
      <c r="H94" s="12">
        <f t="shared" si="6"/>
        <v>1680</v>
      </c>
      <c r="I94" s="12">
        <f t="shared" si="7"/>
        <v>1779.52</v>
      </c>
      <c r="J94" s="12">
        <f t="shared" si="8"/>
        <v>-99.519999999999982</v>
      </c>
      <c r="K94" s="14">
        <f t="shared" si="9"/>
        <v>-5.5925193310555649E-2</v>
      </c>
      <c r="L94" s="12" t="s">
        <v>231</v>
      </c>
      <c r="M94" s="15"/>
    </row>
    <row r="95" spans="1:13" x14ac:dyDescent="0.25">
      <c r="A95" s="10">
        <v>46009</v>
      </c>
      <c r="B95" s="11" t="s">
        <v>101</v>
      </c>
      <c r="C95" s="12">
        <v>1</v>
      </c>
      <c r="D95" s="27">
        <v>354379774644850</v>
      </c>
      <c r="E95" s="12">
        <v>1680</v>
      </c>
      <c r="F95" s="12">
        <v>1779.52</v>
      </c>
      <c r="G95" s="12">
        <f t="shared" si="5"/>
        <v>-99.519999999999982</v>
      </c>
      <c r="H95" s="12">
        <f t="shared" si="6"/>
        <v>1680</v>
      </c>
      <c r="I95" s="12">
        <f t="shared" si="7"/>
        <v>1779.52</v>
      </c>
      <c r="J95" s="12">
        <f t="shared" si="8"/>
        <v>-99.519999999999982</v>
      </c>
      <c r="K95" s="14">
        <f t="shared" si="9"/>
        <v>-5.5925193310555649E-2</v>
      </c>
      <c r="L95" s="12" t="s">
        <v>231</v>
      </c>
      <c r="M95" s="15"/>
    </row>
    <row r="96" spans="1:13" x14ac:dyDescent="0.25">
      <c r="A96" s="10">
        <v>46016</v>
      </c>
      <c r="B96" s="26" t="s">
        <v>150</v>
      </c>
      <c r="C96" s="12">
        <v>1</v>
      </c>
      <c r="D96" s="31" t="s">
        <v>151</v>
      </c>
      <c r="E96" s="12">
        <v>1730</v>
      </c>
      <c r="F96" s="12">
        <v>1869.4</v>
      </c>
      <c r="G96" s="12">
        <f t="shared" si="5"/>
        <v>-139.40000000000009</v>
      </c>
      <c r="H96" s="12">
        <f t="shared" si="6"/>
        <v>1730</v>
      </c>
      <c r="I96" s="12">
        <f t="shared" si="7"/>
        <v>1869.4</v>
      </c>
      <c r="J96" s="12">
        <f t="shared" si="8"/>
        <v>-139.40000000000009</v>
      </c>
      <c r="K96" s="14">
        <f t="shared" si="9"/>
        <v>-7.4569380549909109E-2</v>
      </c>
      <c r="L96" s="12" t="s">
        <v>224</v>
      </c>
      <c r="M96" s="15"/>
    </row>
    <row r="97" spans="1:13" x14ac:dyDescent="0.25">
      <c r="A97" s="10">
        <v>46016</v>
      </c>
      <c r="B97" s="26" t="s">
        <v>181</v>
      </c>
      <c r="C97" s="12">
        <v>1</v>
      </c>
      <c r="D97" s="27">
        <v>352190321797592</v>
      </c>
      <c r="E97" s="12">
        <v>4300</v>
      </c>
      <c r="F97" s="12">
        <v>4314</v>
      </c>
      <c r="G97" s="12">
        <f t="shared" si="5"/>
        <v>-14</v>
      </c>
      <c r="H97" s="12">
        <f t="shared" si="6"/>
        <v>4300</v>
      </c>
      <c r="I97" s="12">
        <f t="shared" si="7"/>
        <v>4314</v>
      </c>
      <c r="J97" s="12">
        <f t="shared" si="8"/>
        <v>-14</v>
      </c>
      <c r="K97" s="14">
        <f t="shared" si="9"/>
        <v>-3.2452480296708392E-3</v>
      </c>
      <c r="L97" s="12" t="s">
        <v>224</v>
      </c>
      <c r="M97" s="15"/>
    </row>
    <row r="98" spans="1:13" x14ac:dyDescent="0.25">
      <c r="A98" s="10">
        <v>46001</v>
      </c>
      <c r="B98" s="11" t="s">
        <v>14</v>
      </c>
      <c r="C98" s="12">
        <v>1</v>
      </c>
      <c r="D98" s="27">
        <v>357063600515933</v>
      </c>
      <c r="E98" s="12">
        <v>3400</v>
      </c>
      <c r="F98" s="12">
        <v>3487.14</v>
      </c>
      <c r="G98" s="12">
        <f t="shared" si="5"/>
        <v>-87.139999999999873</v>
      </c>
      <c r="H98" s="12">
        <f t="shared" si="6"/>
        <v>3400</v>
      </c>
      <c r="I98" s="12">
        <f t="shared" si="7"/>
        <v>3487.14</v>
      </c>
      <c r="J98" s="12">
        <f t="shared" si="8"/>
        <v>-87.139999999999873</v>
      </c>
      <c r="K98" s="14">
        <f t="shared" si="9"/>
        <v>-2.4988959433805316E-2</v>
      </c>
      <c r="L98" s="12" t="s">
        <v>245</v>
      </c>
      <c r="M98" s="15"/>
    </row>
    <row r="99" spans="1:13" x14ac:dyDescent="0.25">
      <c r="A99" s="10">
        <v>46003</v>
      </c>
      <c r="B99" s="11" t="s">
        <v>14</v>
      </c>
      <c r="C99" s="12">
        <v>1</v>
      </c>
      <c r="D99" s="31">
        <v>358419944245901</v>
      </c>
      <c r="E99" s="12">
        <v>3100</v>
      </c>
      <c r="F99" s="12">
        <v>3271.45</v>
      </c>
      <c r="G99" s="12">
        <f t="shared" si="5"/>
        <v>-171.44999999999982</v>
      </c>
      <c r="H99" s="12">
        <f t="shared" si="6"/>
        <v>3100</v>
      </c>
      <c r="I99" s="12">
        <f t="shared" si="7"/>
        <v>3271.45</v>
      </c>
      <c r="J99" s="12">
        <f t="shared" si="8"/>
        <v>-171.44999999999982</v>
      </c>
      <c r="K99" s="14">
        <f t="shared" si="9"/>
        <v>-5.2407953659692134E-2</v>
      </c>
      <c r="L99" s="12" t="s">
        <v>245</v>
      </c>
      <c r="M99" s="15"/>
    </row>
    <row r="100" spans="1:13" x14ac:dyDescent="0.25">
      <c r="A100" s="10">
        <v>46007</v>
      </c>
      <c r="B100" s="11" t="s">
        <v>87</v>
      </c>
      <c r="C100" s="12">
        <v>1</v>
      </c>
      <c r="D100" s="31">
        <v>351046972571721</v>
      </c>
      <c r="E100" s="12">
        <v>4090</v>
      </c>
      <c r="F100" s="12">
        <v>4313</v>
      </c>
      <c r="G100" s="12">
        <f t="shared" si="5"/>
        <v>-223</v>
      </c>
      <c r="H100" s="12">
        <f t="shared" si="6"/>
        <v>4090</v>
      </c>
      <c r="I100" s="12">
        <f t="shared" si="7"/>
        <v>4313</v>
      </c>
      <c r="J100" s="12">
        <f t="shared" si="8"/>
        <v>-223</v>
      </c>
      <c r="K100" s="14">
        <f t="shared" si="9"/>
        <v>-5.1704150243450035E-2</v>
      </c>
      <c r="L100" s="12" t="s">
        <v>245</v>
      </c>
      <c r="M100" s="15"/>
    </row>
    <row r="101" spans="1:13" x14ac:dyDescent="0.25">
      <c r="A101" s="10">
        <v>45994</v>
      </c>
      <c r="B101" s="11" t="s">
        <v>17</v>
      </c>
      <c r="C101" s="12">
        <v>1</v>
      </c>
      <c r="D101" s="31">
        <v>358112931600960</v>
      </c>
      <c r="E101" s="12">
        <v>3550</v>
      </c>
      <c r="F101" s="12">
        <v>3595</v>
      </c>
      <c r="G101" s="12">
        <f t="shared" si="5"/>
        <v>-45</v>
      </c>
      <c r="H101" s="12">
        <f t="shared" si="6"/>
        <v>3550</v>
      </c>
      <c r="I101" s="12">
        <f t="shared" si="7"/>
        <v>3595</v>
      </c>
      <c r="J101" s="12">
        <f t="shared" si="8"/>
        <v>-45</v>
      </c>
      <c r="K101" s="14">
        <f t="shared" si="9"/>
        <v>-1.2517385257301807E-2</v>
      </c>
      <c r="L101" s="12" t="s">
        <v>237</v>
      </c>
      <c r="M101" s="15"/>
    </row>
    <row r="102" spans="1:13" x14ac:dyDescent="0.25">
      <c r="A102" s="10">
        <v>46008</v>
      </c>
      <c r="B102" s="26" t="s">
        <v>95</v>
      </c>
      <c r="C102" s="12">
        <v>1</v>
      </c>
      <c r="D102" s="31">
        <v>356250540549210</v>
      </c>
      <c r="E102" s="12">
        <v>2900</v>
      </c>
      <c r="F102" s="12">
        <v>3235.5</v>
      </c>
      <c r="G102" s="12">
        <f t="shared" si="5"/>
        <v>-335.5</v>
      </c>
      <c r="H102" s="12">
        <f t="shared" si="6"/>
        <v>2900</v>
      </c>
      <c r="I102" s="12">
        <f t="shared" si="7"/>
        <v>3235.5</v>
      </c>
      <c r="J102" s="12">
        <f t="shared" si="8"/>
        <v>-335.5</v>
      </c>
      <c r="K102" s="14">
        <f t="shared" si="9"/>
        <v>-0.10369340132900634</v>
      </c>
      <c r="L102" s="12" t="s">
        <v>237</v>
      </c>
      <c r="M102" s="15"/>
    </row>
    <row r="103" spans="1:13" x14ac:dyDescent="0.25">
      <c r="A103" s="16">
        <v>46009</v>
      </c>
      <c r="B103" s="17" t="s">
        <v>42</v>
      </c>
      <c r="C103" s="15">
        <v>3</v>
      </c>
      <c r="D103" s="18"/>
      <c r="E103" s="15">
        <v>1800</v>
      </c>
      <c r="F103" s="15">
        <v>1392.55</v>
      </c>
      <c r="G103" s="15">
        <f t="shared" si="5"/>
        <v>407.45000000000005</v>
      </c>
      <c r="H103" s="15">
        <f t="shared" si="6"/>
        <v>5400</v>
      </c>
      <c r="I103" s="15">
        <f t="shared" si="7"/>
        <v>4177.6499999999996</v>
      </c>
      <c r="J103" s="15">
        <f t="shared" si="8"/>
        <v>1222.3500000000004</v>
      </c>
      <c r="K103" s="19">
        <f t="shared" si="9"/>
        <v>0.29259272557538335</v>
      </c>
      <c r="L103" s="15" t="s">
        <v>217</v>
      </c>
      <c r="M103" s="15"/>
    </row>
    <row r="104" spans="1:13" x14ac:dyDescent="0.25">
      <c r="A104" s="16">
        <v>45993</v>
      </c>
      <c r="B104" s="20" t="s">
        <v>13</v>
      </c>
      <c r="C104" s="15">
        <v>2</v>
      </c>
      <c r="D104" s="18"/>
      <c r="E104" s="15">
        <v>8250</v>
      </c>
      <c r="F104" s="15">
        <v>7003.73</v>
      </c>
      <c r="G104" s="15">
        <f t="shared" si="5"/>
        <v>1246.2700000000004</v>
      </c>
      <c r="H104" s="15">
        <f t="shared" si="6"/>
        <v>16500</v>
      </c>
      <c r="I104" s="15">
        <f t="shared" si="7"/>
        <v>14007.46</v>
      </c>
      <c r="J104" s="15">
        <f t="shared" si="8"/>
        <v>2492.5400000000009</v>
      </c>
      <c r="K104" s="19">
        <f t="shared" si="9"/>
        <v>0.17794375282884983</v>
      </c>
      <c r="L104" s="15" t="s">
        <v>217</v>
      </c>
      <c r="M104" s="15"/>
    </row>
    <row r="105" spans="1:13" x14ac:dyDescent="0.25">
      <c r="A105" s="16">
        <v>45999</v>
      </c>
      <c r="B105" s="17" t="s">
        <v>13</v>
      </c>
      <c r="C105" s="15">
        <v>1</v>
      </c>
      <c r="D105" s="18"/>
      <c r="E105" s="15">
        <v>11500</v>
      </c>
      <c r="F105" s="15">
        <v>9381.1299999999992</v>
      </c>
      <c r="G105" s="15">
        <f t="shared" si="5"/>
        <v>2118.8700000000008</v>
      </c>
      <c r="H105" s="15">
        <f t="shared" si="6"/>
        <v>11500</v>
      </c>
      <c r="I105" s="15">
        <f t="shared" si="7"/>
        <v>9381.1299999999992</v>
      </c>
      <c r="J105" s="15">
        <f t="shared" si="8"/>
        <v>2118.8700000000008</v>
      </c>
      <c r="K105" s="19">
        <f t="shared" si="9"/>
        <v>0.22586511433057649</v>
      </c>
      <c r="L105" s="15" t="s">
        <v>217</v>
      </c>
      <c r="M105" s="15"/>
    </row>
    <row r="106" spans="1:13" x14ac:dyDescent="0.25">
      <c r="A106" s="16">
        <v>46000</v>
      </c>
      <c r="B106" s="17" t="s">
        <v>13</v>
      </c>
      <c r="C106" s="15">
        <v>1</v>
      </c>
      <c r="D106" s="18"/>
      <c r="E106" s="15">
        <v>11450</v>
      </c>
      <c r="F106" s="15">
        <v>9381.1299999999992</v>
      </c>
      <c r="G106" s="15">
        <f t="shared" si="5"/>
        <v>2068.8700000000008</v>
      </c>
      <c r="H106" s="15">
        <f t="shared" si="6"/>
        <v>11450</v>
      </c>
      <c r="I106" s="15">
        <f t="shared" si="7"/>
        <v>9381.1299999999992</v>
      </c>
      <c r="J106" s="15">
        <f t="shared" si="8"/>
        <v>2068.8700000000008</v>
      </c>
      <c r="K106" s="19">
        <f t="shared" si="9"/>
        <v>0.22053526600740006</v>
      </c>
      <c r="L106" s="15" t="s">
        <v>217</v>
      </c>
      <c r="M106" s="15"/>
    </row>
    <row r="107" spans="1:13" x14ac:dyDescent="0.25">
      <c r="A107" s="16">
        <v>46000</v>
      </c>
      <c r="B107" s="17" t="s">
        <v>13</v>
      </c>
      <c r="C107" s="15">
        <v>2</v>
      </c>
      <c r="D107" s="18"/>
      <c r="E107" s="15">
        <v>8200</v>
      </c>
      <c r="F107" s="15">
        <v>7003.73</v>
      </c>
      <c r="G107" s="15">
        <f t="shared" si="5"/>
        <v>1196.2700000000004</v>
      </c>
      <c r="H107" s="15">
        <f t="shared" si="6"/>
        <v>16400</v>
      </c>
      <c r="I107" s="15">
        <f t="shared" si="7"/>
        <v>14007.46</v>
      </c>
      <c r="J107" s="15">
        <f t="shared" si="8"/>
        <v>2392.5400000000009</v>
      </c>
      <c r="K107" s="19">
        <f t="shared" si="9"/>
        <v>0.17080469978140228</v>
      </c>
      <c r="L107" s="15" t="s">
        <v>217</v>
      </c>
      <c r="M107" s="15"/>
    </row>
    <row r="108" spans="1:13" x14ac:dyDescent="0.25">
      <c r="A108" s="16">
        <v>46001</v>
      </c>
      <c r="B108" s="17" t="s">
        <v>13</v>
      </c>
      <c r="C108" s="15">
        <v>2</v>
      </c>
      <c r="D108" s="18"/>
      <c r="E108" s="15">
        <v>8200</v>
      </c>
      <c r="F108" s="15">
        <v>7003.73</v>
      </c>
      <c r="G108" s="15">
        <f t="shared" si="5"/>
        <v>1196.2700000000004</v>
      </c>
      <c r="H108" s="15">
        <f t="shared" si="6"/>
        <v>16400</v>
      </c>
      <c r="I108" s="15">
        <f t="shared" si="7"/>
        <v>14007.46</v>
      </c>
      <c r="J108" s="15">
        <f t="shared" si="8"/>
        <v>2392.5400000000009</v>
      </c>
      <c r="K108" s="19">
        <f t="shared" si="9"/>
        <v>0.17080469978140228</v>
      </c>
      <c r="L108" s="15" t="s">
        <v>217</v>
      </c>
      <c r="M108" s="15"/>
    </row>
    <row r="109" spans="1:13" x14ac:dyDescent="0.25">
      <c r="A109" s="16">
        <v>46002</v>
      </c>
      <c r="B109" s="17" t="s">
        <v>13</v>
      </c>
      <c r="C109" s="15">
        <v>2</v>
      </c>
      <c r="D109" s="18"/>
      <c r="E109" s="15">
        <v>8200</v>
      </c>
      <c r="F109" s="15">
        <v>7003.73</v>
      </c>
      <c r="G109" s="15">
        <f t="shared" si="5"/>
        <v>1196.2700000000004</v>
      </c>
      <c r="H109" s="15">
        <f t="shared" si="6"/>
        <v>16400</v>
      </c>
      <c r="I109" s="15">
        <f t="shared" si="7"/>
        <v>14007.46</v>
      </c>
      <c r="J109" s="15">
        <f t="shared" si="8"/>
        <v>2392.5400000000009</v>
      </c>
      <c r="K109" s="19">
        <f t="shared" si="9"/>
        <v>0.17080469978140228</v>
      </c>
      <c r="L109" s="15" t="s">
        <v>217</v>
      </c>
      <c r="M109" s="15"/>
    </row>
    <row r="110" spans="1:13" x14ac:dyDescent="0.25">
      <c r="A110" s="16">
        <v>46004</v>
      </c>
      <c r="B110" s="17" t="s">
        <v>13</v>
      </c>
      <c r="C110" s="15">
        <v>1</v>
      </c>
      <c r="D110" s="18"/>
      <c r="E110" s="15">
        <v>8200</v>
      </c>
      <c r="F110" s="15">
        <v>7003.73</v>
      </c>
      <c r="G110" s="15">
        <f t="shared" si="5"/>
        <v>1196.2700000000004</v>
      </c>
      <c r="H110" s="15">
        <f t="shared" si="6"/>
        <v>8200</v>
      </c>
      <c r="I110" s="15">
        <f t="shared" si="7"/>
        <v>7003.73</v>
      </c>
      <c r="J110" s="15">
        <f t="shared" si="8"/>
        <v>1196.2700000000004</v>
      </c>
      <c r="K110" s="19">
        <f t="shared" si="9"/>
        <v>0.17080469978140228</v>
      </c>
      <c r="L110" s="15" t="s">
        <v>217</v>
      </c>
      <c r="M110" s="15"/>
    </row>
    <row r="111" spans="1:13" x14ac:dyDescent="0.25">
      <c r="A111" s="16">
        <v>46004</v>
      </c>
      <c r="B111" s="17" t="s">
        <v>13</v>
      </c>
      <c r="C111" s="15">
        <v>3</v>
      </c>
      <c r="D111" s="18"/>
      <c r="E111" s="15">
        <v>8200</v>
      </c>
      <c r="F111" s="15">
        <v>7003.73</v>
      </c>
      <c r="G111" s="15">
        <f t="shared" si="5"/>
        <v>1196.2700000000004</v>
      </c>
      <c r="H111" s="15">
        <f t="shared" si="6"/>
        <v>24600</v>
      </c>
      <c r="I111" s="15">
        <f t="shared" si="7"/>
        <v>21011.19</v>
      </c>
      <c r="J111" s="15">
        <f t="shared" si="8"/>
        <v>3588.8100000000013</v>
      </c>
      <c r="K111" s="19">
        <f t="shared" si="9"/>
        <v>0.17080469978140228</v>
      </c>
      <c r="L111" s="15" t="s">
        <v>217</v>
      </c>
      <c r="M111" s="15"/>
    </row>
    <row r="112" spans="1:13" x14ac:dyDescent="0.25">
      <c r="A112" s="16">
        <v>46007</v>
      </c>
      <c r="B112" s="17" t="s">
        <v>13</v>
      </c>
      <c r="C112" s="15">
        <v>4</v>
      </c>
      <c r="D112" s="18"/>
      <c r="E112" s="15">
        <v>8200</v>
      </c>
      <c r="F112" s="15">
        <v>7003.73</v>
      </c>
      <c r="G112" s="15">
        <f t="shared" si="5"/>
        <v>1196.2700000000004</v>
      </c>
      <c r="H112" s="15">
        <f t="shared" si="6"/>
        <v>32800</v>
      </c>
      <c r="I112" s="15">
        <f t="shared" si="7"/>
        <v>28014.92</v>
      </c>
      <c r="J112" s="15">
        <f t="shared" si="8"/>
        <v>4785.0800000000017</v>
      </c>
      <c r="K112" s="19">
        <f t="shared" si="9"/>
        <v>0.17080469978140228</v>
      </c>
      <c r="L112" s="15" t="s">
        <v>217</v>
      </c>
      <c r="M112" s="15"/>
    </row>
    <row r="113" spans="1:13" x14ac:dyDescent="0.25">
      <c r="A113" s="16">
        <v>46008</v>
      </c>
      <c r="B113" s="17" t="s">
        <v>13</v>
      </c>
      <c r="C113" s="15">
        <v>1</v>
      </c>
      <c r="D113" s="18"/>
      <c r="E113" s="15">
        <v>11300</v>
      </c>
      <c r="F113" s="15">
        <v>9381.1299999999992</v>
      </c>
      <c r="G113" s="15">
        <f t="shared" si="5"/>
        <v>1918.8700000000008</v>
      </c>
      <c r="H113" s="15">
        <f t="shared" si="6"/>
        <v>11300</v>
      </c>
      <c r="I113" s="15">
        <f t="shared" si="7"/>
        <v>9381.1299999999992</v>
      </c>
      <c r="J113" s="15">
        <f t="shared" si="8"/>
        <v>1918.8700000000008</v>
      </c>
      <c r="K113" s="19">
        <f t="shared" si="9"/>
        <v>0.2045457210378708</v>
      </c>
      <c r="L113" s="15" t="s">
        <v>217</v>
      </c>
      <c r="M113" s="15"/>
    </row>
    <row r="114" spans="1:13" x14ac:dyDescent="0.25">
      <c r="A114" s="16">
        <v>46013</v>
      </c>
      <c r="B114" s="20" t="s">
        <v>13</v>
      </c>
      <c r="C114" s="15">
        <v>3</v>
      </c>
      <c r="D114" s="18"/>
      <c r="E114" s="15">
        <v>8200</v>
      </c>
      <c r="F114" s="15">
        <v>7003.73</v>
      </c>
      <c r="G114" s="15">
        <f t="shared" si="5"/>
        <v>1196.2700000000004</v>
      </c>
      <c r="H114" s="15">
        <f t="shared" si="6"/>
        <v>24600</v>
      </c>
      <c r="I114" s="15">
        <f t="shared" si="7"/>
        <v>21011.19</v>
      </c>
      <c r="J114" s="15">
        <f t="shared" si="8"/>
        <v>3588.8100000000013</v>
      </c>
      <c r="K114" s="19">
        <f t="shared" si="9"/>
        <v>0.17080469978140228</v>
      </c>
      <c r="L114" s="15" t="s">
        <v>217</v>
      </c>
      <c r="M114" s="15"/>
    </row>
    <row r="115" spans="1:13" x14ac:dyDescent="0.25">
      <c r="A115" s="16">
        <v>45992</v>
      </c>
      <c r="B115" s="20" t="s">
        <v>11</v>
      </c>
      <c r="C115" s="15">
        <v>4</v>
      </c>
      <c r="D115" s="18"/>
      <c r="E115" s="15">
        <v>6200</v>
      </c>
      <c r="F115" s="15">
        <v>5322.95</v>
      </c>
      <c r="G115" s="15">
        <f t="shared" si="5"/>
        <v>877.05000000000018</v>
      </c>
      <c r="H115" s="15">
        <f t="shared" si="6"/>
        <v>24800</v>
      </c>
      <c r="I115" s="15">
        <f t="shared" si="7"/>
        <v>21291.8</v>
      </c>
      <c r="J115" s="15">
        <f t="shared" si="8"/>
        <v>3508.2000000000007</v>
      </c>
      <c r="K115" s="19">
        <f t="shared" si="9"/>
        <v>0.16476765703228477</v>
      </c>
      <c r="L115" s="15" t="s">
        <v>217</v>
      </c>
      <c r="M115" s="15"/>
    </row>
    <row r="116" spans="1:13" x14ac:dyDescent="0.25">
      <c r="A116" s="16">
        <v>45997</v>
      </c>
      <c r="B116" s="20" t="s">
        <v>11</v>
      </c>
      <c r="C116" s="15">
        <v>1</v>
      </c>
      <c r="D116" s="18"/>
      <c r="E116" s="15">
        <v>6250</v>
      </c>
      <c r="F116" s="15">
        <v>5322.95</v>
      </c>
      <c r="G116" s="15">
        <f t="shared" si="5"/>
        <v>927.05000000000018</v>
      </c>
      <c r="H116" s="15">
        <f t="shared" si="6"/>
        <v>6250</v>
      </c>
      <c r="I116" s="15">
        <f t="shared" si="7"/>
        <v>5322.95</v>
      </c>
      <c r="J116" s="15">
        <f t="shared" si="8"/>
        <v>927.05000000000018</v>
      </c>
      <c r="K116" s="19">
        <f t="shared" si="9"/>
        <v>0.17416094458899675</v>
      </c>
      <c r="L116" s="15" t="s">
        <v>217</v>
      </c>
      <c r="M116" s="15"/>
    </row>
    <row r="117" spans="1:13" x14ac:dyDescent="0.25">
      <c r="A117" s="16">
        <v>46015</v>
      </c>
      <c r="B117" s="20" t="s">
        <v>11</v>
      </c>
      <c r="C117" s="15">
        <v>3</v>
      </c>
      <c r="D117" s="18"/>
      <c r="E117" s="15">
        <v>6250</v>
      </c>
      <c r="F117" s="15">
        <v>5322.95</v>
      </c>
      <c r="G117" s="15">
        <f t="shared" si="5"/>
        <v>927.05000000000018</v>
      </c>
      <c r="H117" s="15">
        <f t="shared" si="6"/>
        <v>18750</v>
      </c>
      <c r="I117" s="15">
        <f t="shared" si="7"/>
        <v>15968.849999999999</v>
      </c>
      <c r="J117" s="15">
        <f t="shared" si="8"/>
        <v>2781.1500000000015</v>
      </c>
      <c r="K117" s="19">
        <f t="shared" si="9"/>
        <v>0.17416094458899675</v>
      </c>
      <c r="L117" s="15" t="s">
        <v>217</v>
      </c>
      <c r="M117" s="15"/>
    </row>
    <row r="118" spans="1:13" x14ac:dyDescent="0.25">
      <c r="A118" s="16">
        <v>46015</v>
      </c>
      <c r="B118" s="20" t="s">
        <v>11</v>
      </c>
      <c r="C118" s="15">
        <v>3</v>
      </c>
      <c r="D118" s="18"/>
      <c r="E118" s="15">
        <v>6200</v>
      </c>
      <c r="F118" s="15">
        <v>5322.95</v>
      </c>
      <c r="G118" s="15">
        <f t="shared" si="5"/>
        <v>877.05000000000018</v>
      </c>
      <c r="H118" s="15">
        <f t="shared" si="6"/>
        <v>18600</v>
      </c>
      <c r="I118" s="15">
        <f t="shared" si="7"/>
        <v>15968.849999999999</v>
      </c>
      <c r="J118" s="15">
        <f t="shared" si="8"/>
        <v>2631.1500000000015</v>
      </c>
      <c r="K118" s="19">
        <f t="shared" si="9"/>
        <v>0.16476765703228477</v>
      </c>
      <c r="L118" s="15" t="s">
        <v>217</v>
      </c>
      <c r="M118" s="15"/>
    </row>
    <row r="119" spans="1:13" x14ac:dyDescent="0.25">
      <c r="A119" s="16">
        <v>45997</v>
      </c>
      <c r="B119" s="17" t="s">
        <v>16</v>
      </c>
      <c r="C119" s="15">
        <v>20</v>
      </c>
      <c r="D119" s="18"/>
      <c r="E119" s="15">
        <v>975</v>
      </c>
      <c r="F119" s="15">
        <v>880.8</v>
      </c>
      <c r="G119" s="15">
        <f t="shared" si="5"/>
        <v>94.200000000000045</v>
      </c>
      <c r="H119" s="15">
        <f t="shared" si="6"/>
        <v>19500</v>
      </c>
      <c r="I119" s="15">
        <f t="shared" si="7"/>
        <v>17616</v>
      </c>
      <c r="J119" s="15">
        <f t="shared" si="8"/>
        <v>1884</v>
      </c>
      <c r="K119" s="19">
        <f t="shared" si="9"/>
        <v>0.10694822888283384</v>
      </c>
      <c r="L119" s="15" t="s">
        <v>217</v>
      </c>
      <c r="M119" s="15" t="s">
        <v>233</v>
      </c>
    </row>
    <row r="120" spans="1:13" x14ac:dyDescent="0.25">
      <c r="A120" s="16">
        <v>46002</v>
      </c>
      <c r="B120" s="20" t="s">
        <v>16</v>
      </c>
      <c r="C120" s="15">
        <v>10</v>
      </c>
      <c r="D120" s="18"/>
      <c r="E120" s="15">
        <v>1000</v>
      </c>
      <c r="F120" s="15">
        <v>880.8</v>
      </c>
      <c r="G120" s="15">
        <f t="shared" si="5"/>
        <v>119.20000000000005</v>
      </c>
      <c r="H120" s="15">
        <f t="shared" si="6"/>
        <v>10000</v>
      </c>
      <c r="I120" s="15">
        <f t="shared" si="7"/>
        <v>8808</v>
      </c>
      <c r="J120" s="15">
        <f t="shared" si="8"/>
        <v>1192</v>
      </c>
      <c r="K120" s="19">
        <f t="shared" si="9"/>
        <v>0.1353315168029065</v>
      </c>
      <c r="L120" s="15" t="s">
        <v>217</v>
      </c>
      <c r="M120" s="15" t="s">
        <v>233</v>
      </c>
    </row>
    <row r="121" spans="1:13" x14ac:dyDescent="0.25">
      <c r="A121" s="16">
        <v>46010</v>
      </c>
      <c r="B121" s="20" t="s">
        <v>16</v>
      </c>
      <c r="C121" s="15">
        <v>10</v>
      </c>
      <c r="D121" s="18"/>
      <c r="E121" s="15">
        <v>995</v>
      </c>
      <c r="F121" s="15">
        <v>880.8</v>
      </c>
      <c r="G121" s="15">
        <f t="shared" si="5"/>
        <v>114.20000000000005</v>
      </c>
      <c r="H121" s="15">
        <f t="shared" si="6"/>
        <v>9950</v>
      </c>
      <c r="I121" s="15">
        <f t="shared" si="7"/>
        <v>8808</v>
      </c>
      <c r="J121" s="15">
        <f t="shared" si="8"/>
        <v>1142</v>
      </c>
      <c r="K121" s="19">
        <f t="shared" si="9"/>
        <v>0.12965485921889197</v>
      </c>
      <c r="L121" s="15" t="s">
        <v>217</v>
      </c>
      <c r="M121" s="15"/>
    </row>
    <row r="122" spans="1:13" x14ac:dyDescent="0.25">
      <c r="A122" s="16">
        <v>45997</v>
      </c>
      <c r="B122" s="17" t="s">
        <v>40</v>
      </c>
      <c r="C122" s="15">
        <v>8</v>
      </c>
      <c r="D122" s="18"/>
      <c r="E122" s="15">
        <v>265</v>
      </c>
      <c r="F122" s="15">
        <v>217.87</v>
      </c>
      <c r="G122" s="15">
        <f t="shared" si="5"/>
        <v>47.129999999999995</v>
      </c>
      <c r="H122" s="15">
        <f t="shared" si="6"/>
        <v>2120</v>
      </c>
      <c r="I122" s="15">
        <f t="shared" si="7"/>
        <v>1742.96</v>
      </c>
      <c r="J122" s="15">
        <f t="shared" si="8"/>
        <v>377.03999999999996</v>
      </c>
      <c r="K122" s="19">
        <f t="shared" si="9"/>
        <v>0.21632165970532885</v>
      </c>
      <c r="L122" s="15" t="s">
        <v>217</v>
      </c>
      <c r="M122" s="15" t="s">
        <v>234</v>
      </c>
    </row>
    <row r="123" spans="1:13" x14ac:dyDescent="0.25">
      <c r="A123" s="16">
        <v>46008</v>
      </c>
      <c r="B123" s="17" t="s">
        <v>93</v>
      </c>
      <c r="C123" s="15">
        <v>6</v>
      </c>
      <c r="D123" s="18"/>
      <c r="E123" s="15">
        <v>285</v>
      </c>
      <c r="F123" s="15">
        <v>217.87</v>
      </c>
      <c r="G123" s="15">
        <f t="shared" si="5"/>
        <v>67.13</v>
      </c>
      <c r="H123" s="15">
        <f t="shared" si="6"/>
        <v>1710</v>
      </c>
      <c r="I123" s="15">
        <f t="shared" si="7"/>
        <v>1307.22</v>
      </c>
      <c r="J123" s="15">
        <f t="shared" si="8"/>
        <v>402.78</v>
      </c>
      <c r="K123" s="19">
        <f t="shared" si="9"/>
        <v>0.30811952081516497</v>
      </c>
      <c r="L123" s="15" t="s">
        <v>217</v>
      </c>
      <c r="M123" s="15" t="s">
        <v>233</v>
      </c>
    </row>
    <row r="124" spans="1:13" x14ac:dyDescent="0.25">
      <c r="A124" s="16">
        <v>46002</v>
      </c>
      <c r="B124" s="20" t="s">
        <v>69</v>
      </c>
      <c r="C124" s="15">
        <v>2</v>
      </c>
      <c r="D124" s="18"/>
      <c r="E124" s="15">
        <v>2500</v>
      </c>
      <c r="F124" s="15">
        <v>2119.5300000000002</v>
      </c>
      <c r="G124" s="15">
        <f t="shared" si="5"/>
        <v>380.4699999999998</v>
      </c>
      <c r="H124" s="15">
        <f t="shared" si="6"/>
        <v>5000</v>
      </c>
      <c r="I124" s="15">
        <f t="shared" si="7"/>
        <v>4239.0600000000004</v>
      </c>
      <c r="J124" s="15">
        <f t="shared" si="8"/>
        <v>760.9399999999996</v>
      </c>
      <c r="K124" s="19">
        <f t="shared" si="9"/>
        <v>0.17950677744594309</v>
      </c>
      <c r="L124" s="15" t="s">
        <v>217</v>
      </c>
      <c r="M124" s="15" t="s">
        <v>233</v>
      </c>
    </row>
    <row r="125" spans="1:13" x14ac:dyDescent="0.25">
      <c r="A125" s="16">
        <v>46006</v>
      </c>
      <c r="B125" s="17" t="s">
        <v>69</v>
      </c>
      <c r="C125" s="15">
        <v>1</v>
      </c>
      <c r="D125" s="18"/>
      <c r="E125" s="15">
        <v>2580</v>
      </c>
      <c r="F125" s="15">
        <v>2119.5300000000002</v>
      </c>
      <c r="G125" s="15">
        <f t="shared" si="5"/>
        <v>460.4699999999998</v>
      </c>
      <c r="H125" s="15">
        <f t="shared" si="6"/>
        <v>2580</v>
      </c>
      <c r="I125" s="15">
        <f t="shared" si="7"/>
        <v>2119.5300000000002</v>
      </c>
      <c r="J125" s="15">
        <f t="shared" si="8"/>
        <v>460.4699999999998</v>
      </c>
      <c r="K125" s="19">
        <f t="shared" si="9"/>
        <v>0.21725099432421327</v>
      </c>
      <c r="L125" s="15" t="s">
        <v>217</v>
      </c>
      <c r="M125" s="15" t="s">
        <v>233</v>
      </c>
    </row>
    <row r="126" spans="1:13" x14ac:dyDescent="0.25">
      <c r="A126" s="16">
        <v>45995</v>
      </c>
      <c r="B126" s="17" t="s">
        <v>34</v>
      </c>
      <c r="C126" s="15">
        <v>2</v>
      </c>
      <c r="D126" s="18"/>
      <c r="E126" s="15">
        <v>2700</v>
      </c>
      <c r="F126" s="15">
        <v>2439.9</v>
      </c>
      <c r="G126" s="15">
        <f t="shared" si="5"/>
        <v>260.09999999999991</v>
      </c>
      <c r="H126" s="15">
        <f t="shared" si="6"/>
        <v>5400</v>
      </c>
      <c r="I126" s="15">
        <f t="shared" si="7"/>
        <v>4879.8</v>
      </c>
      <c r="J126" s="15">
        <f t="shared" si="8"/>
        <v>520.19999999999982</v>
      </c>
      <c r="K126" s="19">
        <f t="shared" si="9"/>
        <v>0.10660272962006635</v>
      </c>
      <c r="L126" s="15" t="s">
        <v>217</v>
      </c>
      <c r="M126" s="15" t="s">
        <v>233</v>
      </c>
    </row>
    <row r="127" spans="1:13" x14ac:dyDescent="0.25">
      <c r="A127" s="16">
        <v>46016</v>
      </c>
      <c r="B127" s="28" t="s">
        <v>142</v>
      </c>
      <c r="C127" s="15">
        <v>1</v>
      </c>
      <c r="D127" s="18"/>
      <c r="E127" s="15">
        <v>2700</v>
      </c>
      <c r="F127" s="15">
        <v>2439.9</v>
      </c>
      <c r="G127" s="15">
        <f t="shared" si="5"/>
        <v>260.09999999999991</v>
      </c>
      <c r="H127" s="15">
        <f t="shared" si="6"/>
        <v>2700</v>
      </c>
      <c r="I127" s="15">
        <f t="shared" si="7"/>
        <v>2439.9</v>
      </c>
      <c r="J127" s="15">
        <f t="shared" si="8"/>
        <v>260.09999999999991</v>
      </c>
      <c r="K127" s="19">
        <f t="shared" si="9"/>
        <v>0.10660272962006635</v>
      </c>
      <c r="L127" s="15" t="s">
        <v>217</v>
      </c>
      <c r="M127" s="15" t="s">
        <v>233</v>
      </c>
    </row>
    <row r="128" spans="1:13" x14ac:dyDescent="0.25">
      <c r="A128" s="16">
        <v>46000</v>
      </c>
      <c r="B128" s="17" t="s">
        <v>46</v>
      </c>
      <c r="C128" s="15">
        <v>1</v>
      </c>
      <c r="D128" s="18"/>
      <c r="E128" s="15">
        <v>2895</v>
      </c>
      <c r="F128" s="15">
        <v>2673.29</v>
      </c>
      <c r="G128" s="15">
        <f t="shared" si="5"/>
        <v>221.71000000000004</v>
      </c>
      <c r="H128" s="15">
        <f t="shared" si="6"/>
        <v>2895</v>
      </c>
      <c r="I128" s="15">
        <f t="shared" si="7"/>
        <v>2673.29</v>
      </c>
      <c r="J128" s="15">
        <f t="shared" si="8"/>
        <v>221.71000000000004</v>
      </c>
      <c r="K128" s="19">
        <f t="shared" si="9"/>
        <v>8.2935259549094947E-2</v>
      </c>
      <c r="L128" s="15" t="s">
        <v>217</v>
      </c>
      <c r="M128" s="15"/>
    </row>
    <row r="129" spans="1:13" x14ac:dyDescent="0.25">
      <c r="A129" s="16">
        <v>46017</v>
      </c>
      <c r="B129" s="29" t="s">
        <v>46</v>
      </c>
      <c r="C129" s="15">
        <v>2</v>
      </c>
      <c r="D129" s="18"/>
      <c r="E129" s="15">
        <v>2850</v>
      </c>
      <c r="F129" s="15">
        <v>2673.29</v>
      </c>
      <c r="G129" s="15">
        <f t="shared" si="5"/>
        <v>176.71000000000004</v>
      </c>
      <c r="H129" s="15">
        <f t="shared" si="6"/>
        <v>5700</v>
      </c>
      <c r="I129" s="15">
        <f t="shared" si="7"/>
        <v>5346.58</v>
      </c>
      <c r="J129" s="15">
        <f t="shared" si="8"/>
        <v>353.42000000000007</v>
      </c>
      <c r="K129" s="19">
        <f t="shared" si="9"/>
        <v>6.6102068986155657E-2</v>
      </c>
      <c r="L129" s="15" t="s">
        <v>217</v>
      </c>
      <c r="M129" s="15"/>
    </row>
    <row r="130" spans="1:13" x14ac:dyDescent="0.25">
      <c r="A130" s="16">
        <v>46018</v>
      </c>
      <c r="B130" s="29" t="s">
        <v>46</v>
      </c>
      <c r="C130" s="15">
        <v>3</v>
      </c>
      <c r="D130" s="18"/>
      <c r="E130" s="15">
        <v>2850</v>
      </c>
      <c r="F130" s="15">
        <v>2673.29</v>
      </c>
      <c r="G130" s="15">
        <f t="shared" ref="G130:G193" si="10">E130-F130</f>
        <v>176.71000000000004</v>
      </c>
      <c r="H130" s="15">
        <f t="shared" ref="H130:H193" si="11">E130*C130</f>
        <v>8550</v>
      </c>
      <c r="I130" s="15">
        <f t="shared" ref="I130:I193" si="12">F130*C130</f>
        <v>8019.87</v>
      </c>
      <c r="J130" s="15">
        <f t="shared" ref="J130:J193" si="13">H130-I130</f>
        <v>530.13000000000011</v>
      </c>
      <c r="K130" s="19">
        <f t="shared" ref="K130:K193" si="14">(E130-F130)/F130</f>
        <v>6.6102068986155657E-2</v>
      </c>
      <c r="L130" s="15" t="s">
        <v>217</v>
      </c>
      <c r="M130" s="15"/>
    </row>
    <row r="131" spans="1:13" x14ac:dyDescent="0.25">
      <c r="A131" s="16">
        <v>46018</v>
      </c>
      <c r="B131" s="29" t="s">
        <v>46</v>
      </c>
      <c r="C131" s="15">
        <v>1</v>
      </c>
      <c r="D131" s="18"/>
      <c r="E131" s="15">
        <v>2850</v>
      </c>
      <c r="F131" s="15">
        <v>2673.29</v>
      </c>
      <c r="G131" s="15">
        <f t="shared" si="10"/>
        <v>176.71000000000004</v>
      </c>
      <c r="H131" s="15">
        <f t="shared" si="11"/>
        <v>2850</v>
      </c>
      <c r="I131" s="15">
        <f t="shared" si="12"/>
        <v>2673.29</v>
      </c>
      <c r="J131" s="15">
        <f t="shared" si="13"/>
        <v>176.71000000000004</v>
      </c>
      <c r="K131" s="19">
        <f t="shared" si="14"/>
        <v>6.6102068986155657E-2</v>
      </c>
      <c r="L131" s="15" t="s">
        <v>217</v>
      </c>
      <c r="M131" s="15"/>
    </row>
    <row r="132" spans="1:13" x14ac:dyDescent="0.25">
      <c r="A132" s="16">
        <v>45997</v>
      </c>
      <c r="B132" s="17" t="s">
        <v>41</v>
      </c>
      <c r="C132" s="15">
        <v>3</v>
      </c>
      <c r="D132" s="18"/>
      <c r="E132" s="15">
        <v>1350</v>
      </c>
      <c r="F132" s="15">
        <v>1141.97</v>
      </c>
      <c r="G132" s="15">
        <f t="shared" si="10"/>
        <v>208.02999999999997</v>
      </c>
      <c r="H132" s="15">
        <f t="shared" si="11"/>
        <v>4050</v>
      </c>
      <c r="I132" s="15">
        <f t="shared" si="12"/>
        <v>3425.91</v>
      </c>
      <c r="J132" s="15">
        <f t="shared" si="13"/>
        <v>624.09000000000015</v>
      </c>
      <c r="K132" s="19">
        <f t="shared" si="14"/>
        <v>0.18216765764424631</v>
      </c>
      <c r="L132" s="15" t="s">
        <v>217</v>
      </c>
      <c r="M132" s="15" t="s">
        <v>234</v>
      </c>
    </row>
    <row r="133" spans="1:13" x14ac:dyDescent="0.25">
      <c r="A133" s="16">
        <v>46003</v>
      </c>
      <c r="B133" s="20" t="s">
        <v>41</v>
      </c>
      <c r="C133" s="15">
        <v>2</v>
      </c>
      <c r="D133" s="18"/>
      <c r="E133" s="15">
        <v>1400</v>
      </c>
      <c r="F133" s="15">
        <v>1141.97</v>
      </c>
      <c r="G133" s="15">
        <f t="shared" si="10"/>
        <v>258.02999999999997</v>
      </c>
      <c r="H133" s="15">
        <f t="shared" si="11"/>
        <v>2800</v>
      </c>
      <c r="I133" s="15">
        <f t="shared" si="12"/>
        <v>2283.94</v>
      </c>
      <c r="J133" s="15">
        <f t="shared" si="13"/>
        <v>516.05999999999995</v>
      </c>
      <c r="K133" s="19">
        <f t="shared" si="14"/>
        <v>0.22595164496440359</v>
      </c>
      <c r="L133" s="15" t="s">
        <v>217</v>
      </c>
      <c r="M133" s="15"/>
    </row>
    <row r="134" spans="1:13" x14ac:dyDescent="0.25">
      <c r="A134" s="16">
        <v>46006</v>
      </c>
      <c r="B134" s="17" t="s">
        <v>41</v>
      </c>
      <c r="C134" s="15">
        <v>3</v>
      </c>
      <c r="D134" s="18"/>
      <c r="E134" s="15">
        <v>1400</v>
      </c>
      <c r="F134" s="15">
        <v>1141.97</v>
      </c>
      <c r="G134" s="15">
        <f t="shared" si="10"/>
        <v>258.02999999999997</v>
      </c>
      <c r="H134" s="15">
        <f t="shared" si="11"/>
        <v>4200</v>
      </c>
      <c r="I134" s="15">
        <f t="shared" si="12"/>
        <v>3425.91</v>
      </c>
      <c r="J134" s="15">
        <f t="shared" si="13"/>
        <v>774.09000000000015</v>
      </c>
      <c r="K134" s="19">
        <f t="shared" si="14"/>
        <v>0.22595164496440359</v>
      </c>
      <c r="L134" s="15" t="s">
        <v>217</v>
      </c>
      <c r="M134" s="15"/>
    </row>
    <row r="135" spans="1:13" x14ac:dyDescent="0.25">
      <c r="A135" s="16">
        <v>46007</v>
      </c>
      <c r="B135" s="17" t="s">
        <v>41</v>
      </c>
      <c r="C135" s="15">
        <v>2</v>
      </c>
      <c r="D135" s="18"/>
      <c r="E135" s="15">
        <v>1400</v>
      </c>
      <c r="F135" s="15">
        <v>1141.97</v>
      </c>
      <c r="G135" s="15">
        <f t="shared" si="10"/>
        <v>258.02999999999997</v>
      </c>
      <c r="H135" s="15">
        <f t="shared" si="11"/>
        <v>2800</v>
      </c>
      <c r="I135" s="15">
        <f t="shared" si="12"/>
        <v>2283.94</v>
      </c>
      <c r="J135" s="15">
        <f t="shared" si="13"/>
        <v>516.05999999999995</v>
      </c>
      <c r="K135" s="19">
        <f t="shared" si="14"/>
        <v>0.22595164496440359</v>
      </c>
      <c r="L135" s="15" t="s">
        <v>217</v>
      </c>
      <c r="M135" s="15"/>
    </row>
    <row r="136" spans="1:13" x14ac:dyDescent="0.25">
      <c r="A136" s="16">
        <v>46011</v>
      </c>
      <c r="B136" s="17" t="s">
        <v>41</v>
      </c>
      <c r="C136" s="15">
        <v>3</v>
      </c>
      <c r="D136" s="18"/>
      <c r="E136" s="15">
        <v>1400</v>
      </c>
      <c r="F136" s="15">
        <v>1141.97</v>
      </c>
      <c r="G136" s="15">
        <f t="shared" si="10"/>
        <v>258.02999999999997</v>
      </c>
      <c r="H136" s="15">
        <f t="shared" si="11"/>
        <v>4200</v>
      </c>
      <c r="I136" s="15">
        <f t="shared" si="12"/>
        <v>3425.91</v>
      </c>
      <c r="J136" s="15">
        <f t="shared" si="13"/>
        <v>774.09000000000015</v>
      </c>
      <c r="K136" s="19">
        <f t="shared" si="14"/>
        <v>0.22595164496440359</v>
      </c>
      <c r="L136" s="15" t="s">
        <v>217</v>
      </c>
      <c r="M136" s="15"/>
    </row>
    <row r="137" spans="1:13" x14ac:dyDescent="0.25">
      <c r="A137" s="16">
        <v>46013</v>
      </c>
      <c r="B137" s="20" t="s">
        <v>41</v>
      </c>
      <c r="C137" s="15">
        <v>4</v>
      </c>
      <c r="D137" s="18"/>
      <c r="E137" s="15">
        <v>1400</v>
      </c>
      <c r="F137" s="15">
        <v>1141.97</v>
      </c>
      <c r="G137" s="15">
        <f t="shared" si="10"/>
        <v>258.02999999999997</v>
      </c>
      <c r="H137" s="15">
        <f t="shared" si="11"/>
        <v>5600</v>
      </c>
      <c r="I137" s="15">
        <f t="shared" si="12"/>
        <v>4567.88</v>
      </c>
      <c r="J137" s="15">
        <f t="shared" si="13"/>
        <v>1032.1199999999999</v>
      </c>
      <c r="K137" s="19">
        <f t="shared" si="14"/>
        <v>0.22595164496440359</v>
      </c>
      <c r="L137" s="15" t="s">
        <v>217</v>
      </c>
      <c r="M137" s="15"/>
    </row>
    <row r="138" spans="1:13" x14ac:dyDescent="0.25">
      <c r="A138" s="16">
        <v>46015</v>
      </c>
      <c r="B138" s="20" t="s">
        <v>41</v>
      </c>
      <c r="C138" s="15">
        <v>3</v>
      </c>
      <c r="D138" s="18"/>
      <c r="E138" s="15">
        <v>1400</v>
      </c>
      <c r="F138" s="15">
        <v>1141.97</v>
      </c>
      <c r="G138" s="15">
        <f t="shared" si="10"/>
        <v>258.02999999999997</v>
      </c>
      <c r="H138" s="15">
        <f t="shared" si="11"/>
        <v>4200</v>
      </c>
      <c r="I138" s="15">
        <f t="shared" si="12"/>
        <v>3425.91</v>
      </c>
      <c r="J138" s="15">
        <f t="shared" si="13"/>
        <v>774.09000000000015</v>
      </c>
      <c r="K138" s="19">
        <f t="shared" si="14"/>
        <v>0.22595164496440359</v>
      </c>
      <c r="L138" s="15" t="s">
        <v>217</v>
      </c>
      <c r="M138" s="15"/>
    </row>
    <row r="139" spans="1:13" x14ac:dyDescent="0.25">
      <c r="A139" s="16">
        <v>46015</v>
      </c>
      <c r="B139" s="20" t="s">
        <v>41</v>
      </c>
      <c r="C139" s="15">
        <v>3</v>
      </c>
      <c r="D139" s="18"/>
      <c r="E139" s="15">
        <v>1440</v>
      </c>
      <c r="F139" s="15">
        <v>1141.97</v>
      </c>
      <c r="G139" s="15">
        <f t="shared" si="10"/>
        <v>298.02999999999997</v>
      </c>
      <c r="H139" s="15">
        <f t="shared" si="11"/>
        <v>4320</v>
      </c>
      <c r="I139" s="15">
        <f t="shared" si="12"/>
        <v>3425.91</v>
      </c>
      <c r="J139" s="15">
        <f t="shared" si="13"/>
        <v>894.09000000000015</v>
      </c>
      <c r="K139" s="19">
        <f t="shared" si="14"/>
        <v>0.26097883482052942</v>
      </c>
      <c r="L139" s="15" t="s">
        <v>217</v>
      </c>
      <c r="M139" s="15"/>
    </row>
    <row r="140" spans="1:13" x14ac:dyDescent="0.25">
      <c r="A140" s="16">
        <v>45997</v>
      </c>
      <c r="B140" s="17" t="s">
        <v>39</v>
      </c>
      <c r="C140" s="15">
        <v>2</v>
      </c>
      <c r="D140" s="18"/>
      <c r="E140" s="30">
        <v>3520</v>
      </c>
      <c r="F140" s="15">
        <v>2954.8</v>
      </c>
      <c r="G140" s="15">
        <f t="shared" si="10"/>
        <v>565.19999999999982</v>
      </c>
      <c r="H140" s="15">
        <f t="shared" si="11"/>
        <v>7040</v>
      </c>
      <c r="I140" s="15">
        <f t="shared" si="12"/>
        <v>5909.6</v>
      </c>
      <c r="J140" s="15">
        <f t="shared" si="13"/>
        <v>1130.3999999999996</v>
      </c>
      <c r="K140" s="19">
        <f t="shared" si="14"/>
        <v>0.19128198186002429</v>
      </c>
      <c r="L140" s="15" t="s">
        <v>217</v>
      </c>
      <c r="M140" s="15"/>
    </row>
    <row r="141" spans="1:13" x14ac:dyDescent="0.25">
      <c r="A141" s="16">
        <v>46000</v>
      </c>
      <c r="B141" s="17" t="s">
        <v>39</v>
      </c>
      <c r="C141" s="15">
        <v>3</v>
      </c>
      <c r="D141" s="18"/>
      <c r="E141" s="15">
        <v>3520</v>
      </c>
      <c r="F141" s="15">
        <v>2954.8</v>
      </c>
      <c r="G141" s="15">
        <f t="shared" si="10"/>
        <v>565.19999999999982</v>
      </c>
      <c r="H141" s="15">
        <f t="shared" si="11"/>
        <v>10560</v>
      </c>
      <c r="I141" s="15">
        <f t="shared" si="12"/>
        <v>8864.4000000000015</v>
      </c>
      <c r="J141" s="15">
        <f t="shared" si="13"/>
        <v>1695.5999999999985</v>
      </c>
      <c r="K141" s="19">
        <f t="shared" si="14"/>
        <v>0.19128198186002429</v>
      </c>
      <c r="L141" s="15" t="s">
        <v>217</v>
      </c>
      <c r="M141" s="15"/>
    </row>
    <row r="142" spans="1:13" x14ac:dyDescent="0.25">
      <c r="A142" s="16">
        <v>46000</v>
      </c>
      <c r="B142" s="17" t="s">
        <v>39</v>
      </c>
      <c r="C142" s="15">
        <v>3</v>
      </c>
      <c r="D142" s="18"/>
      <c r="E142" s="15">
        <v>3520</v>
      </c>
      <c r="F142" s="15">
        <v>2954.8</v>
      </c>
      <c r="G142" s="15">
        <f t="shared" si="10"/>
        <v>565.19999999999982</v>
      </c>
      <c r="H142" s="15">
        <f t="shared" si="11"/>
        <v>10560</v>
      </c>
      <c r="I142" s="15">
        <f t="shared" si="12"/>
        <v>8864.4000000000015</v>
      </c>
      <c r="J142" s="15">
        <f t="shared" si="13"/>
        <v>1695.5999999999985</v>
      </c>
      <c r="K142" s="19">
        <f t="shared" si="14"/>
        <v>0.19128198186002429</v>
      </c>
      <c r="L142" s="15" t="s">
        <v>217</v>
      </c>
      <c r="M142" s="15"/>
    </row>
    <row r="143" spans="1:13" x14ac:dyDescent="0.25">
      <c r="A143" s="16">
        <v>46001</v>
      </c>
      <c r="B143" s="17" t="s">
        <v>39</v>
      </c>
      <c r="C143" s="15">
        <v>2</v>
      </c>
      <c r="D143" s="18"/>
      <c r="E143" s="15">
        <v>3520</v>
      </c>
      <c r="F143" s="15">
        <v>2954.8</v>
      </c>
      <c r="G143" s="15">
        <f t="shared" si="10"/>
        <v>565.19999999999982</v>
      </c>
      <c r="H143" s="15">
        <f t="shared" si="11"/>
        <v>7040</v>
      </c>
      <c r="I143" s="15">
        <f t="shared" si="12"/>
        <v>5909.6</v>
      </c>
      <c r="J143" s="15">
        <f t="shared" si="13"/>
        <v>1130.3999999999996</v>
      </c>
      <c r="K143" s="19">
        <f t="shared" si="14"/>
        <v>0.19128198186002429</v>
      </c>
      <c r="L143" s="15" t="s">
        <v>217</v>
      </c>
      <c r="M143" s="15" t="s">
        <v>230</v>
      </c>
    </row>
    <row r="144" spans="1:13" x14ac:dyDescent="0.25">
      <c r="A144" s="16">
        <v>46001</v>
      </c>
      <c r="B144" s="17" t="s">
        <v>39</v>
      </c>
      <c r="C144" s="15">
        <v>1</v>
      </c>
      <c r="D144" s="18"/>
      <c r="E144" s="30">
        <v>3550</v>
      </c>
      <c r="F144" s="15">
        <v>2954.8</v>
      </c>
      <c r="G144" s="15">
        <f t="shared" si="10"/>
        <v>595.19999999999982</v>
      </c>
      <c r="H144" s="15">
        <f t="shared" si="11"/>
        <v>3550</v>
      </c>
      <c r="I144" s="15">
        <f t="shared" si="12"/>
        <v>2954.8</v>
      </c>
      <c r="J144" s="15">
        <f t="shared" si="13"/>
        <v>595.19999999999982</v>
      </c>
      <c r="K144" s="19">
        <f t="shared" si="14"/>
        <v>0.20143495329633132</v>
      </c>
      <c r="L144" s="15" t="s">
        <v>217</v>
      </c>
      <c r="M144" s="15"/>
    </row>
    <row r="145" spans="1:13" x14ac:dyDescent="0.25">
      <c r="A145" s="16">
        <v>46000</v>
      </c>
      <c r="B145" s="17" t="s">
        <v>49</v>
      </c>
      <c r="C145" s="15">
        <v>7</v>
      </c>
      <c r="D145" s="18"/>
      <c r="E145" s="15">
        <v>1710</v>
      </c>
      <c r="F145" s="15">
        <v>1644.42</v>
      </c>
      <c r="G145" s="15">
        <f t="shared" si="10"/>
        <v>65.579999999999927</v>
      </c>
      <c r="H145" s="15">
        <f t="shared" si="11"/>
        <v>11970</v>
      </c>
      <c r="I145" s="15">
        <f t="shared" si="12"/>
        <v>11510.94</v>
      </c>
      <c r="J145" s="15">
        <f t="shared" si="13"/>
        <v>459.05999999999949</v>
      </c>
      <c r="K145" s="19">
        <f t="shared" si="14"/>
        <v>3.9880322545335085E-2</v>
      </c>
      <c r="L145" s="15" t="s">
        <v>217</v>
      </c>
      <c r="M145" s="15"/>
    </row>
    <row r="146" spans="1:13" x14ac:dyDescent="0.25">
      <c r="A146" s="16">
        <v>46022</v>
      </c>
      <c r="B146" s="17" t="s">
        <v>214</v>
      </c>
      <c r="C146" s="15">
        <v>1</v>
      </c>
      <c r="D146" s="18"/>
      <c r="E146" s="15">
        <v>1740</v>
      </c>
      <c r="F146" s="15">
        <v>1644.42</v>
      </c>
      <c r="G146" s="15">
        <f t="shared" si="10"/>
        <v>95.579999999999927</v>
      </c>
      <c r="H146" s="15">
        <f t="shared" si="11"/>
        <v>1740</v>
      </c>
      <c r="I146" s="15">
        <f t="shared" si="12"/>
        <v>1644.42</v>
      </c>
      <c r="J146" s="15">
        <f t="shared" si="13"/>
        <v>95.579999999999927</v>
      </c>
      <c r="K146" s="19">
        <f t="shared" si="14"/>
        <v>5.8123836975955002E-2</v>
      </c>
      <c r="L146" s="15" t="s">
        <v>217</v>
      </c>
      <c r="M146" s="15"/>
    </row>
    <row r="147" spans="1:13" x14ac:dyDescent="0.25">
      <c r="A147" s="16">
        <v>46016</v>
      </c>
      <c r="B147" s="24" t="s">
        <v>178</v>
      </c>
      <c r="C147" s="15">
        <v>1</v>
      </c>
      <c r="D147" s="22">
        <v>354512324696729</v>
      </c>
      <c r="E147" s="15">
        <v>4825</v>
      </c>
      <c r="F147" s="15">
        <v>4472.25</v>
      </c>
      <c r="G147" s="15">
        <f t="shared" si="10"/>
        <v>352.75</v>
      </c>
      <c r="H147" s="15">
        <f t="shared" si="11"/>
        <v>4825</v>
      </c>
      <c r="I147" s="15">
        <f t="shared" si="12"/>
        <v>4472.25</v>
      </c>
      <c r="J147" s="15">
        <f t="shared" si="13"/>
        <v>352.75</v>
      </c>
      <c r="K147" s="19">
        <f t="shared" si="14"/>
        <v>7.8875286488903795E-2</v>
      </c>
      <c r="L147" s="15" t="s">
        <v>217</v>
      </c>
      <c r="M147" s="15"/>
    </row>
    <row r="148" spans="1:13" x14ac:dyDescent="0.25">
      <c r="A148" s="16">
        <v>46016</v>
      </c>
      <c r="B148" s="24" t="s">
        <v>178</v>
      </c>
      <c r="C148" s="15">
        <v>1</v>
      </c>
      <c r="D148" s="22">
        <v>354512327329559</v>
      </c>
      <c r="E148" s="15">
        <v>4825</v>
      </c>
      <c r="F148" s="15">
        <v>4472.25</v>
      </c>
      <c r="G148" s="15">
        <f t="shared" si="10"/>
        <v>352.75</v>
      </c>
      <c r="H148" s="15">
        <f t="shared" si="11"/>
        <v>4825</v>
      </c>
      <c r="I148" s="15">
        <f t="shared" si="12"/>
        <v>4472.25</v>
      </c>
      <c r="J148" s="15">
        <f t="shared" si="13"/>
        <v>352.75</v>
      </c>
      <c r="K148" s="19">
        <f t="shared" si="14"/>
        <v>7.8875286488903795E-2</v>
      </c>
      <c r="L148" s="15" t="s">
        <v>217</v>
      </c>
      <c r="M148" s="15"/>
    </row>
    <row r="149" spans="1:13" x14ac:dyDescent="0.25">
      <c r="A149" s="16">
        <v>46016</v>
      </c>
      <c r="B149" s="24" t="s">
        <v>178</v>
      </c>
      <c r="C149" s="15">
        <v>1</v>
      </c>
      <c r="D149" s="22">
        <v>357778144921632</v>
      </c>
      <c r="E149" s="15">
        <v>4925</v>
      </c>
      <c r="F149" s="15">
        <v>4432.8599999999997</v>
      </c>
      <c r="G149" s="15">
        <f t="shared" si="10"/>
        <v>492.14000000000033</v>
      </c>
      <c r="H149" s="15">
        <f t="shared" si="11"/>
        <v>4925</v>
      </c>
      <c r="I149" s="15">
        <f t="shared" si="12"/>
        <v>4432.8599999999997</v>
      </c>
      <c r="J149" s="15">
        <f t="shared" si="13"/>
        <v>492.14000000000033</v>
      </c>
      <c r="K149" s="19">
        <f t="shared" si="14"/>
        <v>0.11102087591306749</v>
      </c>
      <c r="L149" s="15" t="s">
        <v>217</v>
      </c>
      <c r="M149" s="15"/>
    </row>
    <row r="150" spans="1:13" x14ac:dyDescent="0.25">
      <c r="A150" s="16">
        <v>46016</v>
      </c>
      <c r="B150" s="24" t="s">
        <v>178</v>
      </c>
      <c r="C150" s="15">
        <v>1</v>
      </c>
      <c r="D150" s="22">
        <v>357778142218593</v>
      </c>
      <c r="E150" s="15">
        <v>4925</v>
      </c>
      <c r="F150" s="15">
        <v>4432.8599999999997</v>
      </c>
      <c r="G150" s="15">
        <f t="shared" si="10"/>
        <v>492.14000000000033</v>
      </c>
      <c r="H150" s="15">
        <f t="shared" si="11"/>
        <v>4925</v>
      </c>
      <c r="I150" s="15">
        <f t="shared" si="12"/>
        <v>4432.8599999999997</v>
      </c>
      <c r="J150" s="15">
        <f t="shared" si="13"/>
        <v>492.14000000000033</v>
      </c>
      <c r="K150" s="19">
        <f t="shared" si="14"/>
        <v>0.11102087591306749</v>
      </c>
      <c r="L150" s="15" t="s">
        <v>217</v>
      </c>
      <c r="M150" s="15"/>
    </row>
    <row r="151" spans="1:13" x14ac:dyDescent="0.25">
      <c r="A151" s="16">
        <v>46015</v>
      </c>
      <c r="B151" s="20" t="s">
        <v>14</v>
      </c>
      <c r="C151" s="15">
        <v>1</v>
      </c>
      <c r="D151" s="18">
        <v>354512324908462</v>
      </c>
      <c r="E151" s="15">
        <v>5316.45</v>
      </c>
      <c r="F151" s="15">
        <v>4432.8599999999997</v>
      </c>
      <c r="G151" s="15">
        <f t="shared" si="10"/>
        <v>883.59000000000015</v>
      </c>
      <c r="H151" s="15">
        <f t="shared" si="11"/>
        <v>5316.45</v>
      </c>
      <c r="I151" s="15">
        <f t="shared" si="12"/>
        <v>4432.8599999999997</v>
      </c>
      <c r="J151" s="15">
        <f t="shared" si="13"/>
        <v>883.59000000000015</v>
      </c>
      <c r="K151" s="19">
        <f t="shared" si="14"/>
        <v>0.19932729659858425</v>
      </c>
      <c r="L151" s="15" t="s">
        <v>217</v>
      </c>
      <c r="M151" s="15"/>
    </row>
    <row r="152" spans="1:13" x14ac:dyDescent="0.25">
      <c r="A152" s="16">
        <v>45996</v>
      </c>
      <c r="B152" s="17" t="s">
        <v>36</v>
      </c>
      <c r="C152" s="15">
        <v>65</v>
      </c>
      <c r="D152" s="18"/>
      <c r="E152" s="15">
        <v>345</v>
      </c>
      <c r="F152" s="15">
        <v>263.76</v>
      </c>
      <c r="G152" s="15">
        <f t="shared" si="10"/>
        <v>81.240000000000009</v>
      </c>
      <c r="H152" s="15">
        <f t="shared" si="11"/>
        <v>22425</v>
      </c>
      <c r="I152" s="15">
        <f t="shared" si="12"/>
        <v>17144.399999999998</v>
      </c>
      <c r="J152" s="15">
        <f t="shared" si="13"/>
        <v>5280.6000000000022</v>
      </c>
      <c r="K152" s="19">
        <f t="shared" si="14"/>
        <v>0.308007279344859</v>
      </c>
      <c r="L152" s="15" t="s">
        <v>217</v>
      </c>
      <c r="M152" s="15"/>
    </row>
    <row r="153" spans="1:13" x14ac:dyDescent="0.25">
      <c r="A153" s="16">
        <v>46001</v>
      </c>
      <c r="B153" s="20" t="s">
        <v>36</v>
      </c>
      <c r="C153" s="15">
        <v>15</v>
      </c>
      <c r="D153" s="18"/>
      <c r="E153" s="15">
        <v>348</v>
      </c>
      <c r="F153" s="15">
        <v>263.76</v>
      </c>
      <c r="G153" s="15">
        <f t="shared" si="10"/>
        <v>84.240000000000009</v>
      </c>
      <c r="H153" s="15">
        <f t="shared" si="11"/>
        <v>5220</v>
      </c>
      <c r="I153" s="15">
        <f t="shared" si="12"/>
        <v>3956.3999999999996</v>
      </c>
      <c r="J153" s="15">
        <f t="shared" si="13"/>
        <v>1263.6000000000004</v>
      </c>
      <c r="K153" s="19">
        <f t="shared" si="14"/>
        <v>0.31938125568698822</v>
      </c>
      <c r="L153" s="15" t="s">
        <v>217</v>
      </c>
      <c r="M153" s="15"/>
    </row>
    <row r="154" spans="1:13" x14ac:dyDescent="0.25">
      <c r="A154" s="16">
        <v>46001</v>
      </c>
      <c r="B154" s="20" t="s">
        <v>36</v>
      </c>
      <c r="C154" s="15">
        <v>9</v>
      </c>
      <c r="D154" s="18"/>
      <c r="E154" s="15">
        <v>348</v>
      </c>
      <c r="F154" s="15">
        <v>263.76</v>
      </c>
      <c r="G154" s="15">
        <f t="shared" si="10"/>
        <v>84.240000000000009</v>
      </c>
      <c r="H154" s="15">
        <f t="shared" si="11"/>
        <v>3132</v>
      </c>
      <c r="I154" s="15">
        <f t="shared" si="12"/>
        <v>2373.84</v>
      </c>
      <c r="J154" s="15">
        <f t="shared" si="13"/>
        <v>758.15999999999985</v>
      </c>
      <c r="K154" s="19">
        <f t="shared" si="14"/>
        <v>0.31938125568698822</v>
      </c>
      <c r="L154" s="15" t="s">
        <v>217</v>
      </c>
      <c r="M154" s="15"/>
    </row>
    <row r="155" spans="1:13" x14ac:dyDescent="0.25">
      <c r="A155" s="16">
        <v>46010</v>
      </c>
      <c r="B155" s="20" t="s">
        <v>36</v>
      </c>
      <c r="C155" s="15">
        <v>64</v>
      </c>
      <c r="D155" s="18"/>
      <c r="E155" s="15">
        <v>345</v>
      </c>
      <c r="F155" s="15">
        <v>275.69</v>
      </c>
      <c r="G155" s="15">
        <f t="shared" si="10"/>
        <v>69.31</v>
      </c>
      <c r="H155" s="15">
        <f t="shared" si="11"/>
        <v>22080</v>
      </c>
      <c r="I155" s="15">
        <f t="shared" si="12"/>
        <v>17644.16</v>
      </c>
      <c r="J155" s="15">
        <f t="shared" si="13"/>
        <v>4435.84</v>
      </c>
      <c r="K155" s="19">
        <f t="shared" si="14"/>
        <v>0.25140556422068266</v>
      </c>
      <c r="L155" s="15" t="s">
        <v>217</v>
      </c>
      <c r="M155" s="15"/>
    </row>
    <row r="156" spans="1:13" x14ac:dyDescent="0.25">
      <c r="A156" s="16">
        <v>46022</v>
      </c>
      <c r="B156" s="29" t="s">
        <v>36</v>
      </c>
      <c r="C156" s="15">
        <v>31</v>
      </c>
      <c r="D156" s="18"/>
      <c r="E156" s="15">
        <v>343</v>
      </c>
      <c r="F156" s="15">
        <v>276.94</v>
      </c>
      <c r="G156" s="15">
        <f t="shared" si="10"/>
        <v>66.06</v>
      </c>
      <c r="H156" s="15">
        <f t="shared" si="11"/>
        <v>10633</v>
      </c>
      <c r="I156" s="15">
        <f t="shared" si="12"/>
        <v>8585.14</v>
      </c>
      <c r="J156" s="15">
        <f t="shared" si="13"/>
        <v>2047.8600000000006</v>
      </c>
      <c r="K156" s="19">
        <f t="shared" si="14"/>
        <v>0.23853542283527118</v>
      </c>
      <c r="L156" s="15" t="s">
        <v>217</v>
      </c>
      <c r="M156" s="15"/>
    </row>
    <row r="157" spans="1:13" x14ac:dyDescent="0.25">
      <c r="A157" s="16">
        <v>46022</v>
      </c>
      <c r="B157" s="29" t="s">
        <v>36</v>
      </c>
      <c r="C157" s="15">
        <v>42</v>
      </c>
      <c r="D157" s="18"/>
      <c r="E157" s="15">
        <v>343</v>
      </c>
      <c r="F157" s="15">
        <v>276.94</v>
      </c>
      <c r="G157" s="15">
        <f t="shared" si="10"/>
        <v>66.06</v>
      </c>
      <c r="H157" s="15">
        <f t="shared" si="11"/>
        <v>14406</v>
      </c>
      <c r="I157" s="15">
        <f t="shared" si="12"/>
        <v>11631.48</v>
      </c>
      <c r="J157" s="15">
        <f t="shared" si="13"/>
        <v>2774.5200000000004</v>
      </c>
      <c r="K157" s="19">
        <f t="shared" si="14"/>
        <v>0.23853542283527118</v>
      </c>
      <c r="L157" s="15" t="s">
        <v>217</v>
      </c>
      <c r="M157" s="15"/>
    </row>
    <row r="158" spans="1:13" x14ac:dyDescent="0.25">
      <c r="A158" s="16">
        <v>45996</v>
      </c>
      <c r="B158" s="17" t="s">
        <v>37</v>
      </c>
      <c r="C158" s="15">
        <v>10</v>
      </c>
      <c r="D158" s="18"/>
      <c r="E158" s="15">
        <v>1150</v>
      </c>
      <c r="F158" s="15">
        <v>958.53</v>
      </c>
      <c r="G158" s="15">
        <f t="shared" si="10"/>
        <v>191.47000000000003</v>
      </c>
      <c r="H158" s="15">
        <f t="shared" si="11"/>
        <v>11500</v>
      </c>
      <c r="I158" s="15">
        <f t="shared" si="12"/>
        <v>9585.2999999999993</v>
      </c>
      <c r="J158" s="15">
        <f t="shared" si="13"/>
        <v>1914.7000000000007</v>
      </c>
      <c r="K158" s="19">
        <f t="shared" si="14"/>
        <v>0.1997537896570791</v>
      </c>
      <c r="L158" s="15" t="s">
        <v>217</v>
      </c>
      <c r="M158" s="15"/>
    </row>
    <row r="159" spans="1:13" x14ac:dyDescent="0.25">
      <c r="A159" s="16">
        <v>46002</v>
      </c>
      <c r="B159" s="20" t="s">
        <v>70</v>
      </c>
      <c r="C159" s="15">
        <v>5</v>
      </c>
      <c r="D159" s="18"/>
      <c r="E159" s="15">
        <v>1350</v>
      </c>
      <c r="F159" s="15">
        <v>1074.42</v>
      </c>
      <c r="G159" s="15">
        <f t="shared" si="10"/>
        <v>275.57999999999993</v>
      </c>
      <c r="H159" s="15">
        <f t="shared" si="11"/>
        <v>6750</v>
      </c>
      <c r="I159" s="15">
        <f t="shared" si="12"/>
        <v>5372.1</v>
      </c>
      <c r="J159" s="15">
        <f t="shared" si="13"/>
        <v>1377.8999999999996</v>
      </c>
      <c r="K159" s="19">
        <f t="shared" si="14"/>
        <v>0.25649187468587692</v>
      </c>
      <c r="L159" s="15" t="s">
        <v>217</v>
      </c>
      <c r="M159" s="15"/>
    </row>
    <row r="160" spans="1:13" x14ac:dyDescent="0.25">
      <c r="A160" s="16">
        <v>45996</v>
      </c>
      <c r="B160" s="17" t="s">
        <v>35</v>
      </c>
      <c r="C160" s="15">
        <v>1</v>
      </c>
      <c r="D160" s="18"/>
      <c r="E160" s="15">
        <v>1220</v>
      </c>
      <c r="F160" s="15">
        <v>842.11</v>
      </c>
      <c r="G160" s="15">
        <f t="shared" si="10"/>
        <v>377.89</v>
      </c>
      <c r="H160" s="15">
        <f t="shared" si="11"/>
        <v>1220</v>
      </c>
      <c r="I160" s="15">
        <f t="shared" si="12"/>
        <v>842.11</v>
      </c>
      <c r="J160" s="15">
        <f t="shared" si="13"/>
        <v>377.89</v>
      </c>
      <c r="K160" s="19">
        <f t="shared" si="14"/>
        <v>0.44874185082708906</v>
      </c>
      <c r="L160" s="15" t="s">
        <v>217</v>
      </c>
      <c r="M160" s="15"/>
    </row>
    <row r="161" spans="1:13" x14ac:dyDescent="0.25">
      <c r="A161" s="16">
        <v>45996</v>
      </c>
      <c r="B161" s="17" t="s">
        <v>35</v>
      </c>
      <c r="C161" s="15">
        <v>2</v>
      </c>
      <c r="D161" s="18"/>
      <c r="E161" s="15">
        <v>1210</v>
      </c>
      <c r="F161" s="15">
        <v>842.11</v>
      </c>
      <c r="G161" s="15">
        <f t="shared" si="10"/>
        <v>367.89</v>
      </c>
      <c r="H161" s="15">
        <f t="shared" si="11"/>
        <v>2420</v>
      </c>
      <c r="I161" s="15">
        <f t="shared" si="12"/>
        <v>1684.22</v>
      </c>
      <c r="J161" s="15">
        <f t="shared" si="13"/>
        <v>735.78</v>
      </c>
      <c r="K161" s="19">
        <f t="shared" si="14"/>
        <v>0.43686691762358837</v>
      </c>
      <c r="L161" s="15" t="s">
        <v>217</v>
      </c>
      <c r="M161" s="15"/>
    </row>
    <row r="162" spans="1:13" x14ac:dyDescent="0.25">
      <c r="A162" s="16">
        <v>45997</v>
      </c>
      <c r="B162" s="17" t="s">
        <v>35</v>
      </c>
      <c r="C162" s="15">
        <v>20</v>
      </c>
      <c r="D162" s="18"/>
      <c r="E162" s="15">
        <v>1210</v>
      </c>
      <c r="F162" s="15">
        <v>842.11</v>
      </c>
      <c r="G162" s="15">
        <f t="shared" si="10"/>
        <v>367.89</v>
      </c>
      <c r="H162" s="15">
        <f t="shared" si="11"/>
        <v>24200</v>
      </c>
      <c r="I162" s="15">
        <f t="shared" si="12"/>
        <v>16842.2</v>
      </c>
      <c r="J162" s="15">
        <f t="shared" si="13"/>
        <v>7357.7999999999993</v>
      </c>
      <c r="K162" s="19">
        <f t="shared" si="14"/>
        <v>0.43686691762358837</v>
      </c>
      <c r="L162" s="15" t="s">
        <v>217</v>
      </c>
      <c r="M162" s="15"/>
    </row>
    <row r="163" spans="1:13" x14ac:dyDescent="0.25">
      <c r="A163" s="16">
        <v>45997</v>
      </c>
      <c r="B163" s="17" t="s">
        <v>35</v>
      </c>
      <c r="C163" s="15">
        <v>10</v>
      </c>
      <c r="D163" s="18"/>
      <c r="E163" s="15">
        <v>1210</v>
      </c>
      <c r="F163" s="15">
        <v>842.11</v>
      </c>
      <c r="G163" s="15">
        <f t="shared" si="10"/>
        <v>367.89</v>
      </c>
      <c r="H163" s="15">
        <f t="shared" si="11"/>
        <v>12100</v>
      </c>
      <c r="I163" s="15">
        <f t="shared" si="12"/>
        <v>8421.1</v>
      </c>
      <c r="J163" s="15">
        <f t="shared" si="13"/>
        <v>3678.8999999999996</v>
      </c>
      <c r="K163" s="19">
        <f t="shared" si="14"/>
        <v>0.43686691762358837</v>
      </c>
      <c r="L163" s="15" t="s">
        <v>217</v>
      </c>
      <c r="M163" s="15"/>
    </row>
    <row r="164" spans="1:13" x14ac:dyDescent="0.25">
      <c r="A164" s="16">
        <v>45997</v>
      </c>
      <c r="B164" s="17" t="s">
        <v>35</v>
      </c>
      <c r="C164" s="15">
        <v>100</v>
      </c>
      <c r="D164" s="18"/>
      <c r="E164" s="15">
        <v>1190</v>
      </c>
      <c r="F164" s="15">
        <v>842.11</v>
      </c>
      <c r="G164" s="15">
        <f t="shared" si="10"/>
        <v>347.89</v>
      </c>
      <c r="H164" s="15">
        <f t="shared" si="11"/>
        <v>119000</v>
      </c>
      <c r="I164" s="15">
        <f t="shared" si="12"/>
        <v>84211</v>
      </c>
      <c r="J164" s="15">
        <f t="shared" si="13"/>
        <v>34789</v>
      </c>
      <c r="K164" s="19">
        <f t="shared" si="14"/>
        <v>0.41311705121658687</v>
      </c>
      <c r="L164" s="15" t="s">
        <v>217</v>
      </c>
      <c r="M164" s="15"/>
    </row>
    <row r="165" spans="1:13" x14ac:dyDescent="0.25">
      <c r="A165" s="16">
        <v>45999</v>
      </c>
      <c r="B165" s="17" t="s">
        <v>35</v>
      </c>
      <c r="C165" s="15">
        <v>1</v>
      </c>
      <c r="D165" s="18"/>
      <c r="E165" s="15">
        <v>1210</v>
      </c>
      <c r="F165" s="15">
        <v>842.11</v>
      </c>
      <c r="G165" s="15">
        <f t="shared" si="10"/>
        <v>367.89</v>
      </c>
      <c r="H165" s="15">
        <f t="shared" si="11"/>
        <v>1210</v>
      </c>
      <c r="I165" s="15">
        <f t="shared" si="12"/>
        <v>842.11</v>
      </c>
      <c r="J165" s="15">
        <f t="shared" si="13"/>
        <v>367.89</v>
      </c>
      <c r="K165" s="19">
        <f t="shared" si="14"/>
        <v>0.43686691762358837</v>
      </c>
      <c r="L165" s="15" t="s">
        <v>217</v>
      </c>
      <c r="M165" s="15"/>
    </row>
    <row r="166" spans="1:13" x14ac:dyDescent="0.25">
      <c r="A166" s="16">
        <v>45999</v>
      </c>
      <c r="B166" s="17" t="s">
        <v>35</v>
      </c>
      <c r="C166" s="15">
        <v>5</v>
      </c>
      <c r="D166" s="18"/>
      <c r="E166" s="15">
        <v>1210</v>
      </c>
      <c r="F166" s="15">
        <v>842.11</v>
      </c>
      <c r="G166" s="15">
        <f t="shared" si="10"/>
        <v>367.89</v>
      </c>
      <c r="H166" s="15">
        <f t="shared" si="11"/>
        <v>6050</v>
      </c>
      <c r="I166" s="15">
        <f t="shared" si="12"/>
        <v>4210.55</v>
      </c>
      <c r="J166" s="15">
        <f t="shared" si="13"/>
        <v>1839.4499999999998</v>
      </c>
      <c r="K166" s="19">
        <f t="shared" si="14"/>
        <v>0.43686691762358837</v>
      </c>
      <c r="L166" s="15" t="s">
        <v>217</v>
      </c>
      <c r="M166" s="15"/>
    </row>
    <row r="167" spans="1:13" x14ac:dyDescent="0.25">
      <c r="A167" s="16">
        <v>45999</v>
      </c>
      <c r="B167" s="17" t="s">
        <v>35</v>
      </c>
      <c r="C167" s="15">
        <v>1</v>
      </c>
      <c r="D167" s="18"/>
      <c r="E167" s="15">
        <v>1210</v>
      </c>
      <c r="F167" s="15">
        <v>842.11</v>
      </c>
      <c r="G167" s="15">
        <f t="shared" si="10"/>
        <v>367.89</v>
      </c>
      <c r="H167" s="15">
        <f t="shared" si="11"/>
        <v>1210</v>
      </c>
      <c r="I167" s="15">
        <f t="shared" si="12"/>
        <v>842.11</v>
      </c>
      <c r="J167" s="15">
        <f t="shared" si="13"/>
        <v>367.89</v>
      </c>
      <c r="K167" s="19">
        <f t="shared" si="14"/>
        <v>0.43686691762358837</v>
      </c>
      <c r="L167" s="15" t="s">
        <v>217</v>
      </c>
      <c r="M167" s="15"/>
    </row>
    <row r="168" spans="1:13" x14ac:dyDescent="0.25">
      <c r="A168" s="16">
        <v>45999</v>
      </c>
      <c r="B168" s="17" t="s">
        <v>35</v>
      </c>
      <c r="C168" s="15">
        <v>2</v>
      </c>
      <c r="D168" s="18"/>
      <c r="E168" s="15">
        <v>1210</v>
      </c>
      <c r="F168" s="15">
        <v>842.11</v>
      </c>
      <c r="G168" s="15">
        <f t="shared" si="10"/>
        <v>367.89</v>
      </c>
      <c r="H168" s="15">
        <f t="shared" si="11"/>
        <v>2420</v>
      </c>
      <c r="I168" s="15">
        <f t="shared" si="12"/>
        <v>1684.22</v>
      </c>
      <c r="J168" s="15">
        <f t="shared" si="13"/>
        <v>735.78</v>
      </c>
      <c r="K168" s="19">
        <f t="shared" si="14"/>
        <v>0.43686691762358837</v>
      </c>
      <c r="L168" s="15" t="s">
        <v>217</v>
      </c>
      <c r="M168" s="15"/>
    </row>
    <row r="169" spans="1:13" x14ac:dyDescent="0.25">
      <c r="A169" s="16">
        <v>45999</v>
      </c>
      <c r="B169" s="17" t="s">
        <v>35</v>
      </c>
      <c r="C169" s="15">
        <v>15</v>
      </c>
      <c r="D169" s="18"/>
      <c r="E169" s="15">
        <v>1210</v>
      </c>
      <c r="F169" s="15">
        <v>842.11</v>
      </c>
      <c r="G169" s="15">
        <f t="shared" si="10"/>
        <v>367.89</v>
      </c>
      <c r="H169" s="15">
        <f t="shared" si="11"/>
        <v>18150</v>
      </c>
      <c r="I169" s="15">
        <f t="shared" si="12"/>
        <v>12631.65</v>
      </c>
      <c r="J169" s="15">
        <f t="shared" si="13"/>
        <v>5518.35</v>
      </c>
      <c r="K169" s="19">
        <f t="shared" si="14"/>
        <v>0.43686691762358837</v>
      </c>
      <c r="L169" s="15" t="s">
        <v>217</v>
      </c>
      <c r="M169" s="15"/>
    </row>
    <row r="170" spans="1:13" x14ac:dyDescent="0.25">
      <c r="A170" s="16">
        <v>46000</v>
      </c>
      <c r="B170" s="17" t="s">
        <v>35</v>
      </c>
      <c r="C170" s="15">
        <v>1</v>
      </c>
      <c r="D170" s="18"/>
      <c r="E170" s="15">
        <v>1210</v>
      </c>
      <c r="F170" s="15">
        <v>842.11</v>
      </c>
      <c r="G170" s="15">
        <f t="shared" si="10"/>
        <v>367.89</v>
      </c>
      <c r="H170" s="15">
        <f t="shared" si="11"/>
        <v>1210</v>
      </c>
      <c r="I170" s="15">
        <f t="shared" si="12"/>
        <v>842.11</v>
      </c>
      <c r="J170" s="15">
        <f t="shared" si="13"/>
        <v>367.89</v>
      </c>
      <c r="K170" s="19">
        <f t="shared" si="14"/>
        <v>0.43686691762358837</v>
      </c>
      <c r="L170" s="15" t="s">
        <v>217</v>
      </c>
      <c r="M170" s="15"/>
    </row>
    <row r="171" spans="1:13" x14ac:dyDescent="0.25">
      <c r="A171" s="16">
        <v>46000</v>
      </c>
      <c r="B171" s="17" t="s">
        <v>35</v>
      </c>
      <c r="C171" s="15">
        <v>1</v>
      </c>
      <c r="D171" s="18"/>
      <c r="E171" s="15">
        <v>1210</v>
      </c>
      <c r="F171" s="15">
        <v>842.11</v>
      </c>
      <c r="G171" s="15">
        <f t="shared" si="10"/>
        <v>367.89</v>
      </c>
      <c r="H171" s="15">
        <f t="shared" si="11"/>
        <v>1210</v>
      </c>
      <c r="I171" s="15">
        <f t="shared" si="12"/>
        <v>842.11</v>
      </c>
      <c r="J171" s="15">
        <f t="shared" si="13"/>
        <v>367.89</v>
      </c>
      <c r="K171" s="19">
        <f t="shared" si="14"/>
        <v>0.43686691762358837</v>
      </c>
      <c r="L171" s="15" t="s">
        <v>217</v>
      </c>
      <c r="M171" s="15"/>
    </row>
    <row r="172" spans="1:13" x14ac:dyDescent="0.25">
      <c r="A172" s="16">
        <v>46000</v>
      </c>
      <c r="B172" s="17" t="s">
        <v>35</v>
      </c>
      <c r="C172" s="15">
        <v>40</v>
      </c>
      <c r="D172" s="18"/>
      <c r="E172" s="15">
        <v>1205</v>
      </c>
      <c r="F172" s="15">
        <v>842.11</v>
      </c>
      <c r="G172" s="15">
        <f t="shared" si="10"/>
        <v>362.89</v>
      </c>
      <c r="H172" s="15">
        <f t="shared" si="11"/>
        <v>48200</v>
      </c>
      <c r="I172" s="15">
        <f t="shared" si="12"/>
        <v>33684.400000000001</v>
      </c>
      <c r="J172" s="15">
        <f t="shared" si="13"/>
        <v>14515.599999999999</v>
      </c>
      <c r="K172" s="19">
        <f t="shared" si="14"/>
        <v>0.43092945102183799</v>
      </c>
      <c r="L172" s="15" t="s">
        <v>217</v>
      </c>
      <c r="M172" s="15"/>
    </row>
    <row r="173" spans="1:13" x14ac:dyDescent="0.25">
      <c r="A173" s="16">
        <v>46000</v>
      </c>
      <c r="B173" s="17" t="s">
        <v>35</v>
      </c>
      <c r="C173" s="15">
        <v>1</v>
      </c>
      <c r="D173" s="18"/>
      <c r="E173" s="15">
        <v>1210</v>
      </c>
      <c r="F173" s="15">
        <v>842.11</v>
      </c>
      <c r="G173" s="15">
        <f t="shared" si="10"/>
        <v>367.89</v>
      </c>
      <c r="H173" s="15">
        <f t="shared" si="11"/>
        <v>1210</v>
      </c>
      <c r="I173" s="15">
        <f t="shared" si="12"/>
        <v>842.11</v>
      </c>
      <c r="J173" s="15">
        <f t="shared" si="13"/>
        <v>367.89</v>
      </c>
      <c r="K173" s="19">
        <f t="shared" si="14"/>
        <v>0.43686691762358837</v>
      </c>
      <c r="L173" s="15" t="s">
        <v>217</v>
      </c>
      <c r="M173" s="15"/>
    </row>
    <row r="174" spans="1:13" x14ac:dyDescent="0.25">
      <c r="A174" s="16">
        <v>46000</v>
      </c>
      <c r="B174" s="17" t="s">
        <v>35</v>
      </c>
      <c r="C174" s="15">
        <v>2</v>
      </c>
      <c r="D174" s="18"/>
      <c r="E174" s="15">
        <v>1210</v>
      </c>
      <c r="F174" s="15">
        <v>842.11</v>
      </c>
      <c r="G174" s="15">
        <f t="shared" si="10"/>
        <v>367.89</v>
      </c>
      <c r="H174" s="15">
        <f t="shared" si="11"/>
        <v>2420</v>
      </c>
      <c r="I174" s="15">
        <f t="shared" si="12"/>
        <v>1684.22</v>
      </c>
      <c r="J174" s="15">
        <f t="shared" si="13"/>
        <v>735.78</v>
      </c>
      <c r="K174" s="19">
        <f t="shared" si="14"/>
        <v>0.43686691762358837</v>
      </c>
      <c r="L174" s="15" t="s">
        <v>217</v>
      </c>
      <c r="M174" s="15"/>
    </row>
    <row r="175" spans="1:13" x14ac:dyDescent="0.25">
      <c r="A175" s="16">
        <v>46001</v>
      </c>
      <c r="B175" s="17" t="s">
        <v>35</v>
      </c>
      <c r="C175" s="15">
        <v>127</v>
      </c>
      <c r="D175" s="18"/>
      <c r="E175" s="15">
        <v>1210</v>
      </c>
      <c r="F175" s="15">
        <v>842.11</v>
      </c>
      <c r="G175" s="15">
        <f t="shared" si="10"/>
        <v>367.89</v>
      </c>
      <c r="H175" s="15">
        <f t="shared" si="11"/>
        <v>153670</v>
      </c>
      <c r="I175" s="15">
        <f t="shared" si="12"/>
        <v>106947.97</v>
      </c>
      <c r="J175" s="15">
        <f t="shared" si="13"/>
        <v>46722.03</v>
      </c>
      <c r="K175" s="19">
        <f t="shared" si="14"/>
        <v>0.43686691762358837</v>
      </c>
      <c r="L175" s="15" t="s">
        <v>217</v>
      </c>
      <c r="M175" s="15"/>
    </row>
    <row r="176" spans="1:13" x14ac:dyDescent="0.25">
      <c r="A176" s="16">
        <v>46005</v>
      </c>
      <c r="B176" s="17" t="s">
        <v>35</v>
      </c>
      <c r="C176" s="15">
        <v>3</v>
      </c>
      <c r="D176" s="18"/>
      <c r="E176" s="15">
        <v>1210</v>
      </c>
      <c r="F176" s="15">
        <v>842.11</v>
      </c>
      <c r="G176" s="15">
        <f t="shared" si="10"/>
        <v>367.89</v>
      </c>
      <c r="H176" s="15">
        <f t="shared" si="11"/>
        <v>3630</v>
      </c>
      <c r="I176" s="15">
        <f t="shared" si="12"/>
        <v>2526.33</v>
      </c>
      <c r="J176" s="15">
        <f t="shared" si="13"/>
        <v>1103.67</v>
      </c>
      <c r="K176" s="19">
        <f t="shared" si="14"/>
        <v>0.43686691762358837</v>
      </c>
      <c r="L176" s="15" t="s">
        <v>217</v>
      </c>
      <c r="M176" s="15"/>
    </row>
    <row r="177" spans="1:13" x14ac:dyDescent="0.25">
      <c r="A177" s="16">
        <v>46008</v>
      </c>
      <c r="B177" s="17" t="s">
        <v>35</v>
      </c>
      <c r="C177" s="15">
        <v>10</v>
      </c>
      <c r="D177" s="18"/>
      <c r="E177" s="15">
        <v>1300</v>
      </c>
      <c r="F177" s="15">
        <v>842.11</v>
      </c>
      <c r="G177" s="15">
        <f t="shared" si="10"/>
        <v>457.89</v>
      </c>
      <c r="H177" s="15">
        <f t="shared" si="11"/>
        <v>13000</v>
      </c>
      <c r="I177" s="15">
        <f t="shared" si="12"/>
        <v>8421.1</v>
      </c>
      <c r="J177" s="15">
        <f t="shared" si="13"/>
        <v>4578.8999999999996</v>
      </c>
      <c r="K177" s="19">
        <f t="shared" si="14"/>
        <v>0.54374131645509494</v>
      </c>
      <c r="L177" s="15" t="s">
        <v>217</v>
      </c>
      <c r="M177" s="15"/>
    </row>
    <row r="178" spans="1:13" x14ac:dyDescent="0.25">
      <c r="A178" s="16">
        <v>46008</v>
      </c>
      <c r="B178" s="17" t="s">
        <v>35</v>
      </c>
      <c r="C178" s="15">
        <v>100</v>
      </c>
      <c r="D178" s="18"/>
      <c r="E178" s="15">
        <v>1285</v>
      </c>
      <c r="F178" s="15">
        <v>587.74</v>
      </c>
      <c r="G178" s="15">
        <f t="shared" si="10"/>
        <v>697.26</v>
      </c>
      <c r="H178" s="15">
        <f t="shared" si="11"/>
        <v>128500</v>
      </c>
      <c r="I178" s="15">
        <f t="shared" si="12"/>
        <v>58774</v>
      </c>
      <c r="J178" s="15">
        <f t="shared" si="13"/>
        <v>69726</v>
      </c>
      <c r="K178" s="19">
        <f t="shared" si="14"/>
        <v>1.186340899036989</v>
      </c>
      <c r="L178" s="15" t="s">
        <v>217</v>
      </c>
      <c r="M178" s="15"/>
    </row>
    <row r="179" spans="1:13" x14ac:dyDescent="0.25">
      <c r="A179" s="16">
        <v>46009</v>
      </c>
      <c r="B179" s="17" t="s">
        <v>35</v>
      </c>
      <c r="C179" s="15">
        <v>38</v>
      </c>
      <c r="D179" s="18"/>
      <c r="E179" s="15">
        <v>1280</v>
      </c>
      <c r="F179" s="15">
        <v>842.11</v>
      </c>
      <c r="G179" s="15">
        <f t="shared" si="10"/>
        <v>437.89</v>
      </c>
      <c r="H179" s="15">
        <f t="shared" si="11"/>
        <v>48640</v>
      </c>
      <c r="I179" s="15">
        <f t="shared" si="12"/>
        <v>32000.18</v>
      </c>
      <c r="J179" s="15">
        <f t="shared" si="13"/>
        <v>16639.82</v>
      </c>
      <c r="K179" s="19">
        <f t="shared" si="14"/>
        <v>0.51999145004809344</v>
      </c>
      <c r="L179" s="15" t="s">
        <v>217</v>
      </c>
      <c r="M179" s="15"/>
    </row>
    <row r="180" spans="1:13" x14ac:dyDescent="0.25">
      <c r="A180" s="16">
        <v>46009</v>
      </c>
      <c r="B180" s="17" t="s">
        <v>35</v>
      </c>
      <c r="C180" s="15">
        <v>60</v>
      </c>
      <c r="D180" s="18"/>
      <c r="E180" s="15">
        <v>1285</v>
      </c>
      <c r="F180" s="15">
        <v>842.11</v>
      </c>
      <c r="G180" s="15">
        <f t="shared" si="10"/>
        <v>442.89</v>
      </c>
      <c r="H180" s="15">
        <f t="shared" si="11"/>
        <v>77100</v>
      </c>
      <c r="I180" s="15">
        <f t="shared" si="12"/>
        <v>50526.6</v>
      </c>
      <c r="J180" s="15">
        <f t="shared" si="13"/>
        <v>26573.4</v>
      </c>
      <c r="K180" s="19">
        <f t="shared" si="14"/>
        <v>0.52592891664984387</v>
      </c>
      <c r="L180" s="15" t="s">
        <v>217</v>
      </c>
      <c r="M180" s="15"/>
    </row>
    <row r="181" spans="1:13" x14ac:dyDescent="0.25">
      <c r="A181" s="16">
        <v>46009</v>
      </c>
      <c r="B181" s="17" t="s">
        <v>35</v>
      </c>
      <c r="C181" s="15">
        <v>25</v>
      </c>
      <c r="D181" s="18"/>
      <c r="E181" s="15">
        <v>1285</v>
      </c>
      <c r="F181" s="15">
        <v>630.12</v>
      </c>
      <c r="G181" s="15">
        <f t="shared" si="10"/>
        <v>654.88</v>
      </c>
      <c r="H181" s="15">
        <f t="shared" si="11"/>
        <v>32125</v>
      </c>
      <c r="I181" s="15">
        <f t="shared" si="12"/>
        <v>15753</v>
      </c>
      <c r="J181" s="15">
        <f t="shared" si="13"/>
        <v>16372</v>
      </c>
      <c r="K181" s="19">
        <f t="shared" si="14"/>
        <v>1.0392941027105949</v>
      </c>
      <c r="L181" s="15" t="s">
        <v>217</v>
      </c>
      <c r="M181" s="15"/>
    </row>
    <row r="182" spans="1:13" x14ac:dyDescent="0.25">
      <c r="A182" s="16">
        <v>46018</v>
      </c>
      <c r="B182" s="28" t="s">
        <v>35</v>
      </c>
      <c r="C182" s="15">
        <v>5</v>
      </c>
      <c r="D182" s="18"/>
      <c r="E182" s="15">
        <v>1260</v>
      </c>
      <c r="F182" s="15">
        <v>842.11</v>
      </c>
      <c r="G182" s="15">
        <f t="shared" si="10"/>
        <v>417.89</v>
      </c>
      <c r="H182" s="15">
        <f t="shared" si="11"/>
        <v>6300</v>
      </c>
      <c r="I182" s="15">
        <f t="shared" si="12"/>
        <v>4210.55</v>
      </c>
      <c r="J182" s="15">
        <f t="shared" si="13"/>
        <v>2089.4499999999998</v>
      </c>
      <c r="K182" s="19">
        <f t="shared" si="14"/>
        <v>0.496241583641092</v>
      </c>
      <c r="L182" s="15" t="s">
        <v>217</v>
      </c>
      <c r="M182" s="15"/>
    </row>
    <row r="183" spans="1:13" x14ac:dyDescent="0.25">
      <c r="A183" s="16">
        <v>45994</v>
      </c>
      <c r="B183" s="20" t="s">
        <v>16</v>
      </c>
      <c r="C183" s="15">
        <v>20</v>
      </c>
      <c r="D183" s="18"/>
      <c r="E183" s="15">
        <v>995</v>
      </c>
      <c r="F183" s="15">
        <v>990</v>
      </c>
      <c r="G183" s="15">
        <f t="shared" si="10"/>
        <v>5</v>
      </c>
      <c r="H183" s="15">
        <f t="shared" si="11"/>
        <v>19900</v>
      </c>
      <c r="I183" s="15">
        <f t="shared" si="12"/>
        <v>19800</v>
      </c>
      <c r="J183" s="15">
        <f t="shared" si="13"/>
        <v>100</v>
      </c>
      <c r="K183" s="19">
        <f t="shared" si="14"/>
        <v>5.0505050505050509E-3</v>
      </c>
      <c r="L183" s="15" t="s">
        <v>219</v>
      </c>
      <c r="M183" s="15"/>
    </row>
    <row r="184" spans="1:13" x14ac:dyDescent="0.25">
      <c r="A184" s="16">
        <v>46017</v>
      </c>
      <c r="B184" s="28" t="s">
        <v>187</v>
      </c>
      <c r="C184" s="15">
        <v>1</v>
      </c>
      <c r="D184" s="18">
        <v>352051377549644</v>
      </c>
      <c r="E184" s="15">
        <v>1721.51</v>
      </c>
      <c r="F184" s="15">
        <v>1509.5</v>
      </c>
      <c r="G184" s="15">
        <f t="shared" si="10"/>
        <v>212.01</v>
      </c>
      <c r="H184" s="15">
        <f t="shared" si="11"/>
        <v>1721.51</v>
      </c>
      <c r="I184" s="15">
        <f t="shared" si="12"/>
        <v>1509.5</v>
      </c>
      <c r="J184" s="15">
        <f t="shared" si="13"/>
        <v>212.01</v>
      </c>
      <c r="K184" s="19">
        <f t="shared" si="14"/>
        <v>0.14045048029148724</v>
      </c>
      <c r="L184" s="15" t="s">
        <v>15</v>
      </c>
      <c r="M184" s="15"/>
    </row>
    <row r="185" spans="1:13" x14ac:dyDescent="0.25">
      <c r="A185" s="16">
        <v>46017</v>
      </c>
      <c r="B185" s="28" t="s">
        <v>101</v>
      </c>
      <c r="C185" s="15">
        <v>1</v>
      </c>
      <c r="D185" s="18">
        <v>354068587980748</v>
      </c>
      <c r="E185" s="15">
        <v>2088.6</v>
      </c>
      <c r="F185" s="15">
        <v>1779.52</v>
      </c>
      <c r="G185" s="15">
        <f t="shared" si="10"/>
        <v>309.07999999999993</v>
      </c>
      <c r="H185" s="15">
        <f t="shared" si="11"/>
        <v>2088.6</v>
      </c>
      <c r="I185" s="15">
        <f t="shared" si="12"/>
        <v>1779.52</v>
      </c>
      <c r="J185" s="15">
        <f t="shared" si="13"/>
        <v>309.07999999999993</v>
      </c>
      <c r="K185" s="19">
        <f t="shared" si="14"/>
        <v>0.17368728645926987</v>
      </c>
      <c r="L185" s="15" t="s">
        <v>15</v>
      </c>
      <c r="M185" s="15"/>
    </row>
    <row r="186" spans="1:13" x14ac:dyDescent="0.25">
      <c r="A186" s="16">
        <v>46008</v>
      </c>
      <c r="B186" s="17" t="s">
        <v>98</v>
      </c>
      <c r="C186" s="15">
        <v>1</v>
      </c>
      <c r="D186" s="18">
        <v>356422163370659</v>
      </c>
      <c r="E186" s="15">
        <v>1759.49</v>
      </c>
      <c r="F186" s="15">
        <v>1400</v>
      </c>
      <c r="G186" s="15">
        <f t="shared" si="10"/>
        <v>359.49</v>
      </c>
      <c r="H186" s="15">
        <f t="shared" si="11"/>
        <v>1759.49</v>
      </c>
      <c r="I186" s="15">
        <f t="shared" si="12"/>
        <v>1400</v>
      </c>
      <c r="J186" s="15">
        <f t="shared" si="13"/>
        <v>359.49</v>
      </c>
      <c r="K186" s="19">
        <f t="shared" si="14"/>
        <v>0.25677857142857141</v>
      </c>
      <c r="L186" s="15" t="s">
        <v>15</v>
      </c>
      <c r="M186" s="15"/>
    </row>
    <row r="187" spans="1:13" x14ac:dyDescent="0.25">
      <c r="A187" s="16">
        <v>46008</v>
      </c>
      <c r="B187" s="17" t="s">
        <v>98</v>
      </c>
      <c r="C187" s="15">
        <v>1</v>
      </c>
      <c r="D187" s="18">
        <v>352306398773718</v>
      </c>
      <c r="E187" s="15">
        <v>1848.1</v>
      </c>
      <c r="F187" s="15">
        <v>1500</v>
      </c>
      <c r="G187" s="15">
        <f t="shared" si="10"/>
        <v>348.09999999999991</v>
      </c>
      <c r="H187" s="15">
        <f t="shared" si="11"/>
        <v>1848.1</v>
      </c>
      <c r="I187" s="15">
        <f t="shared" si="12"/>
        <v>1500</v>
      </c>
      <c r="J187" s="15">
        <f t="shared" si="13"/>
        <v>348.09999999999991</v>
      </c>
      <c r="K187" s="19">
        <f t="shared" si="14"/>
        <v>0.23206666666666662</v>
      </c>
      <c r="L187" s="15" t="s">
        <v>15</v>
      </c>
      <c r="M187" s="15"/>
    </row>
    <row r="188" spans="1:13" x14ac:dyDescent="0.25">
      <c r="A188" s="16">
        <v>46008</v>
      </c>
      <c r="B188" s="17" t="s">
        <v>99</v>
      </c>
      <c r="C188" s="15">
        <v>1</v>
      </c>
      <c r="D188" s="18">
        <v>359896928148079</v>
      </c>
      <c r="E188" s="15">
        <v>2443.0300000000002</v>
      </c>
      <c r="F188" s="15">
        <v>1938.6</v>
      </c>
      <c r="G188" s="15">
        <f t="shared" si="10"/>
        <v>504.43000000000029</v>
      </c>
      <c r="H188" s="15">
        <f t="shared" si="11"/>
        <v>2443.0300000000002</v>
      </c>
      <c r="I188" s="15">
        <f t="shared" si="12"/>
        <v>1938.6</v>
      </c>
      <c r="J188" s="15">
        <f t="shared" si="13"/>
        <v>504.43000000000029</v>
      </c>
      <c r="K188" s="19">
        <f t="shared" si="14"/>
        <v>0.26020323945115048</v>
      </c>
      <c r="L188" s="15" t="s">
        <v>15</v>
      </c>
      <c r="M188" s="15"/>
    </row>
    <row r="189" spans="1:13" x14ac:dyDescent="0.25">
      <c r="A189" s="16">
        <v>46021</v>
      </c>
      <c r="B189" s="17" t="s">
        <v>200</v>
      </c>
      <c r="C189" s="15">
        <v>1</v>
      </c>
      <c r="D189" s="18">
        <v>355688666289239</v>
      </c>
      <c r="E189" s="15">
        <v>2405</v>
      </c>
      <c r="F189" s="15">
        <v>2000</v>
      </c>
      <c r="G189" s="15">
        <f t="shared" si="10"/>
        <v>405</v>
      </c>
      <c r="H189" s="15">
        <f t="shared" si="11"/>
        <v>2405</v>
      </c>
      <c r="I189" s="15">
        <f t="shared" si="12"/>
        <v>2000</v>
      </c>
      <c r="J189" s="15">
        <f t="shared" si="13"/>
        <v>405</v>
      </c>
      <c r="K189" s="19">
        <f t="shared" si="14"/>
        <v>0.20250000000000001</v>
      </c>
      <c r="L189" s="15" t="s">
        <v>15</v>
      </c>
      <c r="M189" s="15"/>
    </row>
    <row r="190" spans="1:13" x14ac:dyDescent="0.25">
      <c r="A190" s="16">
        <v>45997</v>
      </c>
      <c r="B190" s="17" t="s">
        <v>44</v>
      </c>
      <c r="C190" s="15">
        <v>1</v>
      </c>
      <c r="D190" s="18">
        <v>357590872878102</v>
      </c>
      <c r="E190" s="15">
        <v>2683.54</v>
      </c>
      <c r="F190" s="15">
        <v>2450</v>
      </c>
      <c r="G190" s="15">
        <f t="shared" si="10"/>
        <v>233.53999999999996</v>
      </c>
      <c r="H190" s="15">
        <f t="shared" si="11"/>
        <v>2683.54</v>
      </c>
      <c r="I190" s="15">
        <f t="shared" si="12"/>
        <v>2450</v>
      </c>
      <c r="J190" s="15">
        <f t="shared" si="13"/>
        <v>233.53999999999996</v>
      </c>
      <c r="K190" s="19">
        <f t="shared" si="14"/>
        <v>9.5322448979591828E-2</v>
      </c>
      <c r="L190" s="15" t="s">
        <v>15</v>
      </c>
      <c r="M190" s="15"/>
    </row>
    <row r="191" spans="1:13" x14ac:dyDescent="0.25">
      <c r="A191" s="16">
        <v>46000</v>
      </c>
      <c r="B191" s="17" t="s">
        <v>44</v>
      </c>
      <c r="C191" s="15">
        <v>1</v>
      </c>
      <c r="D191" s="18">
        <v>358536509832102</v>
      </c>
      <c r="E191" s="15">
        <v>2784.81</v>
      </c>
      <c r="F191" s="15">
        <v>2450</v>
      </c>
      <c r="G191" s="15">
        <f t="shared" si="10"/>
        <v>334.80999999999995</v>
      </c>
      <c r="H191" s="15">
        <f t="shared" si="11"/>
        <v>2784.81</v>
      </c>
      <c r="I191" s="15">
        <f t="shared" si="12"/>
        <v>2450</v>
      </c>
      <c r="J191" s="15">
        <f t="shared" si="13"/>
        <v>334.80999999999995</v>
      </c>
      <c r="K191" s="19">
        <f t="shared" si="14"/>
        <v>0.13665714285714284</v>
      </c>
      <c r="L191" s="15" t="s">
        <v>15</v>
      </c>
      <c r="M191" s="15"/>
    </row>
    <row r="192" spans="1:13" x14ac:dyDescent="0.25">
      <c r="A192" s="16">
        <v>46010</v>
      </c>
      <c r="B192" s="17" t="s">
        <v>44</v>
      </c>
      <c r="C192" s="15">
        <v>1</v>
      </c>
      <c r="D192" s="18">
        <v>357590875104589</v>
      </c>
      <c r="E192" s="15">
        <v>3164.55</v>
      </c>
      <c r="F192" s="15">
        <v>2300</v>
      </c>
      <c r="G192" s="15">
        <f t="shared" si="10"/>
        <v>864.55000000000018</v>
      </c>
      <c r="H192" s="15">
        <f t="shared" si="11"/>
        <v>3164.55</v>
      </c>
      <c r="I192" s="15">
        <f t="shared" si="12"/>
        <v>2300</v>
      </c>
      <c r="J192" s="15">
        <f t="shared" si="13"/>
        <v>864.55000000000018</v>
      </c>
      <c r="K192" s="19">
        <f t="shared" si="14"/>
        <v>0.37589130434782614</v>
      </c>
      <c r="L192" s="15" t="s">
        <v>15</v>
      </c>
      <c r="M192" s="15"/>
    </row>
    <row r="193" spans="1:13" x14ac:dyDescent="0.25">
      <c r="A193" s="16">
        <v>46014</v>
      </c>
      <c r="B193" s="17" t="s">
        <v>44</v>
      </c>
      <c r="C193" s="15">
        <v>1</v>
      </c>
      <c r="D193" s="18">
        <v>358594363895913</v>
      </c>
      <c r="E193" s="15">
        <v>2430.37</v>
      </c>
      <c r="F193" s="15">
        <v>2336.75</v>
      </c>
      <c r="G193" s="15">
        <f t="shared" si="10"/>
        <v>93.619999999999891</v>
      </c>
      <c r="H193" s="15">
        <f t="shared" si="11"/>
        <v>2430.37</v>
      </c>
      <c r="I193" s="15">
        <f t="shared" si="12"/>
        <v>2336.75</v>
      </c>
      <c r="J193" s="15">
        <f t="shared" si="13"/>
        <v>93.619999999999891</v>
      </c>
      <c r="K193" s="19">
        <f t="shared" si="14"/>
        <v>4.0064191719268165E-2</v>
      </c>
      <c r="L193" s="15" t="s">
        <v>15</v>
      </c>
      <c r="M193" s="15"/>
    </row>
    <row r="194" spans="1:13" x14ac:dyDescent="0.25">
      <c r="A194" s="16">
        <v>45997</v>
      </c>
      <c r="B194" s="17" t="s">
        <v>45</v>
      </c>
      <c r="C194" s="15">
        <v>1</v>
      </c>
      <c r="D194" s="18">
        <v>351614405880207</v>
      </c>
      <c r="E194" s="15">
        <v>2873.41</v>
      </c>
      <c r="F194" s="15">
        <v>2500</v>
      </c>
      <c r="G194" s="15">
        <f t="shared" ref="G194:G257" si="15">E194-F194</f>
        <v>373.40999999999985</v>
      </c>
      <c r="H194" s="15">
        <f t="shared" ref="H194:H257" si="16">E194*C194</f>
        <v>2873.41</v>
      </c>
      <c r="I194" s="15">
        <f t="shared" ref="I194:I257" si="17">F194*C194</f>
        <v>2500</v>
      </c>
      <c r="J194" s="15">
        <f t="shared" ref="J194:J257" si="18">H194-I194</f>
        <v>373.40999999999985</v>
      </c>
      <c r="K194" s="19">
        <f t="shared" ref="K194:K257" si="19">(E194-F194)/F194</f>
        <v>0.14936399999999994</v>
      </c>
      <c r="L194" s="15" t="s">
        <v>15</v>
      </c>
      <c r="M194" s="15"/>
    </row>
    <row r="195" spans="1:13" x14ac:dyDescent="0.25">
      <c r="A195" s="16">
        <v>46014</v>
      </c>
      <c r="B195" s="20" t="s">
        <v>45</v>
      </c>
      <c r="C195" s="15">
        <v>1</v>
      </c>
      <c r="D195" s="18">
        <v>357590877788512</v>
      </c>
      <c r="E195" s="15">
        <v>2746.83</v>
      </c>
      <c r="F195" s="15">
        <v>2500</v>
      </c>
      <c r="G195" s="15">
        <f t="shared" si="15"/>
        <v>246.82999999999993</v>
      </c>
      <c r="H195" s="15">
        <f t="shared" si="16"/>
        <v>2746.83</v>
      </c>
      <c r="I195" s="15">
        <f t="shared" si="17"/>
        <v>2500</v>
      </c>
      <c r="J195" s="15">
        <f t="shared" si="18"/>
        <v>246.82999999999993</v>
      </c>
      <c r="K195" s="19">
        <f t="shared" si="19"/>
        <v>9.8731999999999973E-2</v>
      </c>
      <c r="L195" s="15" t="s">
        <v>15</v>
      </c>
      <c r="M195" s="15"/>
    </row>
    <row r="196" spans="1:13" x14ac:dyDescent="0.25">
      <c r="A196" s="16">
        <v>46000</v>
      </c>
      <c r="B196" s="17" t="s">
        <v>47</v>
      </c>
      <c r="C196" s="15">
        <v>1</v>
      </c>
      <c r="D196" s="18">
        <v>358619223211355</v>
      </c>
      <c r="E196" s="15">
        <v>2341.77</v>
      </c>
      <c r="F196" s="15">
        <v>1920</v>
      </c>
      <c r="G196" s="15">
        <f t="shared" si="15"/>
        <v>421.77</v>
      </c>
      <c r="H196" s="15">
        <f t="shared" si="16"/>
        <v>2341.77</v>
      </c>
      <c r="I196" s="15">
        <f t="shared" si="17"/>
        <v>1920</v>
      </c>
      <c r="J196" s="15">
        <f t="shared" si="18"/>
        <v>421.77</v>
      </c>
      <c r="K196" s="19">
        <f t="shared" si="19"/>
        <v>0.21967187499999999</v>
      </c>
      <c r="L196" s="15" t="s">
        <v>15</v>
      </c>
      <c r="M196" s="15"/>
    </row>
    <row r="197" spans="1:13" x14ac:dyDescent="0.25">
      <c r="A197" s="16">
        <v>46017</v>
      </c>
      <c r="B197" s="28" t="s">
        <v>186</v>
      </c>
      <c r="C197" s="15">
        <v>1</v>
      </c>
      <c r="D197" s="18">
        <v>352440634883294</v>
      </c>
      <c r="E197" s="15">
        <v>2784.81</v>
      </c>
      <c r="F197" s="15">
        <v>2444.6</v>
      </c>
      <c r="G197" s="15">
        <f t="shared" si="15"/>
        <v>340.21000000000004</v>
      </c>
      <c r="H197" s="15">
        <f t="shared" si="16"/>
        <v>2784.81</v>
      </c>
      <c r="I197" s="15">
        <f t="shared" si="17"/>
        <v>2444.6</v>
      </c>
      <c r="J197" s="15">
        <f t="shared" si="18"/>
        <v>340.21000000000004</v>
      </c>
      <c r="K197" s="19">
        <f t="shared" si="19"/>
        <v>0.13916796203877937</v>
      </c>
      <c r="L197" s="15" t="s">
        <v>15</v>
      </c>
      <c r="M197" s="15"/>
    </row>
    <row r="198" spans="1:13" x14ac:dyDescent="0.25">
      <c r="A198" s="16">
        <v>46010</v>
      </c>
      <c r="B198" s="17" t="s">
        <v>48</v>
      </c>
      <c r="C198" s="15">
        <v>1</v>
      </c>
      <c r="D198" s="18">
        <v>355122361879748</v>
      </c>
      <c r="E198" s="15">
        <v>2822.78</v>
      </c>
      <c r="F198" s="15">
        <v>2444.6</v>
      </c>
      <c r="G198" s="15">
        <f t="shared" si="15"/>
        <v>378.18000000000029</v>
      </c>
      <c r="H198" s="15">
        <f t="shared" si="16"/>
        <v>2822.78</v>
      </c>
      <c r="I198" s="15">
        <f t="shared" si="17"/>
        <v>2444.6</v>
      </c>
      <c r="J198" s="15">
        <f t="shared" si="18"/>
        <v>378.18000000000029</v>
      </c>
      <c r="K198" s="19">
        <f t="shared" si="19"/>
        <v>0.15470015544465365</v>
      </c>
      <c r="L198" s="15" t="s">
        <v>15</v>
      </c>
      <c r="M198" s="15"/>
    </row>
    <row r="199" spans="1:13" x14ac:dyDescent="0.25">
      <c r="A199" s="16">
        <v>46010</v>
      </c>
      <c r="B199" s="17" t="s">
        <v>48</v>
      </c>
      <c r="C199" s="15">
        <v>1</v>
      </c>
      <c r="D199" s="18">
        <v>356250543515705</v>
      </c>
      <c r="E199" s="15">
        <v>3037.97</v>
      </c>
      <c r="F199" s="15">
        <v>2444.6</v>
      </c>
      <c r="G199" s="15">
        <f t="shared" si="15"/>
        <v>593.36999999999989</v>
      </c>
      <c r="H199" s="15">
        <f t="shared" si="16"/>
        <v>3037.97</v>
      </c>
      <c r="I199" s="15">
        <f t="shared" si="17"/>
        <v>2444.6</v>
      </c>
      <c r="J199" s="15">
        <f t="shared" si="18"/>
        <v>593.36999999999989</v>
      </c>
      <c r="K199" s="19">
        <f t="shared" si="19"/>
        <v>0.24272682647467886</v>
      </c>
      <c r="L199" s="15" t="s">
        <v>15</v>
      </c>
      <c r="M199" s="15"/>
    </row>
    <row r="200" spans="1:13" x14ac:dyDescent="0.25">
      <c r="A200" s="16">
        <v>46014</v>
      </c>
      <c r="B200" s="20" t="s">
        <v>48</v>
      </c>
      <c r="C200" s="15">
        <v>1</v>
      </c>
      <c r="D200" s="18">
        <v>350455772813251</v>
      </c>
      <c r="E200" s="15">
        <v>2936.7</v>
      </c>
      <c r="F200" s="15">
        <v>2678.27</v>
      </c>
      <c r="G200" s="15">
        <f t="shared" si="15"/>
        <v>258.42999999999984</v>
      </c>
      <c r="H200" s="15">
        <f t="shared" si="16"/>
        <v>2936.7</v>
      </c>
      <c r="I200" s="15">
        <f t="shared" si="17"/>
        <v>2678.27</v>
      </c>
      <c r="J200" s="15">
        <f t="shared" si="18"/>
        <v>258.42999999999984</v>
      </c>
      <c r="K200" s="19">
        <f t="shared" si="19"/>
        <v>9.6491391831294016E-2</v>
      </c>
      <c r="L200" s="15" t="s">
        <v>15</v>
      </c>
      <c r="M200" s="15"/>
    </row>
    <row r="201" spans="1:13" x14ac:dyDescent="0.25">
      <c r="A201" s="16">
        <v>46016</v>
      </c>
      <c r="B201" s="24" t="s">
        <v>185</v>
      </c>
      <c r="C201" s="15">
        <v>1</v>
      </c>
      <c r="D201" s="18">
        <v>358419949083596</v>
      </c>
      <c r="E201" s="15">
        <v>3164.55</v>
      </c>
      <c r="F201" s="15">
        <v>2876</v>
      </c>
      <c r="G201" s="15">
        <f t="shared" si="15"/>
        <v>288.55000000000018</v>
      </c>
      <c r="H201" s="15">
        <f t="shared" si="16"/>
        <v>3164.55</v>
      </c>
      <c r="I201" s="15">
        <f t="shared" si="17"/>
        <v>2876</v>
      </c>
      <c r="J201" s="15">
        <f t="shared" si="18"/>
        <v>288.55000000000018</v>
      </c>
      <c r="K201" s="19">
        <f t="shared" si="19"/>
        <v>0.10033031988873442</v>
      </c>
      <c r="L201" s="15" t="s">
        <v>15</v>
      </c>
      <c r="M201" s="15"/>
    </row>
    <row r="202" spans="1:13" x14ac:dyDescent="0.25">
      <c r="A202" s="16">
        <v>46017</v>
      </c>
      <c r="B202" s="24" t="s">
        <v>185</v>
      </c>
      <c r="C202" s="15">
        <v>1</v>
      </c>
      <c r="D202" s="18">
        <v>357778145090882</v>
      </c>
      <c r="E202" s="15">
        <v>5405.06</v>
      </c>
      <c r="F202" s="15">
        <v>4432.8599999999997</v>
      </c>
      <c r="G202" s="15">
        <f t="shared" si="15"/>
        <v>972.20000000000073</v>
      </c>
      <c r="H202" s="15">
        <f t="shared" si="16"/>
        <v>5405.06</v>
      </c>
      <c r="I202" s="15">
        <f t="shared" si="17"/>
        <v>4432.8599999999997</v>
      </c>
      <c r="J202" s="15">
        <f t="shared" si="18"/>
        <v>972.20000000000073</v>
      </c>
      <c r="K202" s="19">
        <f t="shared" si="19"/>
        <v>0.21931664884521523</v>
      </c>
      <c r="L202" s="15" t="s">
        <v>15</v>
      </c>
      <c r="M202" s="15"/>
    </row>
    <row r="203" spans="1:13" x14ac:dyDescent="0.25">
      <c r="A203" s="16">
        <v>45993</v>
      </c>
      <c r="B203" s="20" t="s">
        <v>14</v>
      </c>
      <c r="C203" s="15">
        <v>1</v>
      </c>
      <c r="D203" s="18">
        <v>356364241281864</v>
      </c>
      <c r="E203" s="15">
        <v>4050.63</v>
      </c>
      <c r="F203" s="15">
        <v>3650</v>
      </c>
      <c r="G203" s="15">
        <f t="shared" si="15"/>
        <v>400.63000000000011</v>
      </c>
      <c r="H203" s="15">
        <f t="shared" si="16"/>
        <v>4050.63</v>
      </c>
      <c r="I203" s="15">
        <f t="shared" si="17"/>
        <v>3650</v>
      </c>
      <c r="J203" s="15">
        <f t="shared" si="18"/>
        <v>400.63000000000011</v>
      </c>
      <c r="K203" s="19">
        <f t="shared" si="19"/>
        <v>0.10976164383561647</v>
      </c>
      <c r="L203" s="15" t="s">
        <v>15</v>
      </c>
      <c r="M203" s="15"/>
    </row>
    <row r="204" spans="1:13" x14ac:dyDescent="0.25">
      <c r="A204" s="16">
        <v>45996</v>
      </c>
      <c r="B204" s="20" t="s">
        <v>14</v>
      </c>
      <c r="C204" s="15">
        <v>1</v>
      </c>
      <c r="D204" s="18">
        <v>355190202813101</v>
      </c>
      <c r="E204" s="15">
        <v>3607.59</v>
      </c>
      <c r="F204" s="15">
        <v>3338.7</v>
      </c>
      <c r="G204" s="15">
        <f t="shared" si="15"/>
        <v>268.89000000000033</v>
      </c>
      <c r="H204" s="15">
        <f t="shared" si="16"/>
        <v>3607.59</v>
      </c>
      <c r="I204" s="15">
        <f t="shared" si="17"/>
        <v>3338.7</v>
      </c>
      <c r="J204" s="15">
        <f t="shared" si="18"/>
        <v>268.89000000000033</v>
      </c>
      <c r="K204" s="19">
        <f t="shared" si="19"/>
        <v>8.0537334890825873E-2</v>
      </c>
      <c r="L204" s="15" t="s">
        <v>15</v>
      </c>
      <c r="M204" s="15"/>
    </row>
    <row r="205" spans="1:13" x14ac:dyDescent="0.25">
      <c r="A205" s="16">
        <v>46010</v>
      </c>
      <c r="B205" s="20" t="s">
        <v>14</v>
      </c>
      <c r="C205" s="15">
        <v>1</v>
      </c>
      <c r="D205" s="18">
        <v>355450219958756</v>
      </c>
      <c r="E205" s="15">
        <v>3835.44</v>
      </c>
      <c r="F205" s="15">
        <v>3199.5</v>
      </c>
      <c r="G205" s="15">
        <f t="shared" si="15"/>
        <v>635.94000000000005</v>
      </c>
      <c r="H205" s="15">
        <f t="shared" si="16"/>
        <v>3835.44</v>
      </c>
      <c r="I205" s="15">
        <f t="shared" si="17"/>
        <v>3199.5</v>
      </c>
      <c r="J205" s="15">
        <f t="shared" si="18"/>
        <v>635.94000000000005</v>
      </c>
      <c r="K205" s="19">
        <f t="shared" si="19"/>
        <v>0.19876230661040789</v>
      </c>
      <c r="L205" s="15" t="s">
        <v>15</v>
      </c>
      <c r="M205" s="15"/>
    </row>
    <row r="206" spans="1:13" x14ac:dyDescent="0.25">
      <c r="A206" s="16">
        <v>46014</v>
      </c>
      <c r="B206" s="20" t="s">
        <v>14</v>
      </c>
      <c r="C206" s="15">
        <v>1</v>
      </c>
      <c r="D206" s="18">
        <v>358452496582196</v>
      </c>
      <c r="E206" s="15">
        <v>3835.44</v>
      </c>
      <c r="F206" s="15">
        <v>3217.52</v>
      </c>
      <c r="G206" s="15">
        <f t="shared" si="15"/>
        <v>617.92000000000007</v>
      </c>
      <c r="H206" s="15">
        <f t="shared" si="16"/>
        <v>3835.44</v>
      </c>
      <c r="I206" s="15">
        <f t="shared" si="17"/>
        <v>3217.52</v>
      </c>
      <c r="J206" s="15">
        <f t="shared" si="18"/>
        <v>617.92000000000007</v>
      </c>
      <c r="K206" s="19">
        <f t="shared" si="19"/>
        <v>0.19204853427484525</v>
      </c>
      <c r="L206" s="15" t="s">
        <v>15</v>
      </c>
      <c r="M206" s="15"/>
    </row>
    <row r="207" spans="1:13" x14ac:dyDescent="0.25">
      <c r="A207" s="16">
        <v>46014</v>
      </c>
      <c r="B207" s="20" t="s">
        <v>14</v>
      </c>
      <c r="C207" s="15">
        <v>1</v>
      </c>
      <c r="D207" s="18">
        <v>356364248919656</v>
      </c>
      <c r="E207" s="15">
        <v>3898.73</v>
      </c>
      <c r="F207" s="15">
        <v>3217.52</v>
      </c>
      <c r="G207" s="15">
        <f t="shared" si="15"/>
        <v>681.21</v>
      </c>
      <c r="H207" s="15">
        <f t="shared" si="16"/>
        <v>3898.73</v>
      </c>
      <c r="I207" s="15">
        <f t="shared" si="17"/>
        <v>3217.52</v>
      </c>
      <c r="J207" s="15">
        <f t="shared" si="18"/>
        <v>681.21</v>
      </c>
      <c r="K207" s="19">
        <f t="shared" si="19"/>
        <v>0.21171896367388549</v>
      </c>
      <c r="L207" s="15" t="s">
        <v>15</v>
      </c>
      <c r="M207" s="15"/>
    </row>
    <row r="208" spans="1:13" x14ac:dyDescent="0.25">
      <c r="A208" s="16">
        <v>46015</v>
      </c>
      <c r="B208" s="20" t="s">
        <v>14</v>
      </c>
      <c r="C208" s="15">
        <v>1</v>
      </c>
      <c r="D208" s="18">
        <v>359802892958030</v>
      </c>
      <c r="E208" s="15">
        <v>3898.73</v>
      </c>
      <c r="F208" s="15">
        <v>3217.52</v>
      </c>
      <c r="G208" s="15">
        <f t="shared" si="15"/>
        <v>681.21</v>
      </c>
      <c r="H208" s="15">
        <f t="shared" si="16"/>
        <v>3898.73</v>
      </c>
      <c r="I208" s="15">
        <f t="shared" si="17"/>
        <v>3217.52</v>
      </c>
      <c r="J208" s="15">
        <f t="shared" si="18"/>
        <v>681.21</v>
      </c>
      <c r="K208" s="19">
        <f t="shared" si="19"/>
        <v>0.21171896367388549</v>
      </c>
      <c r="L208" s="15" t="s">
        <v>15</v>
      </c>
      <c r="M208" s="15"/>
    </row>
    <row r="209" spans="1:13" x14ac:dyDescent="0.25">
      <c r="A209" s="16">
        <v>45997</v>
      </c>
      <c r="B209" s="17" t="s">
        <v>43</v>
      </c>
      <c r="C209" s="15">
        <v>1</v>
      </c>
      <c r="D209" s="18">
        <v>350795041810137</v>
      </c>
      <c r="E209" s="15">
        <v>2037.97</v>
      </c>
      <c r="F209" s="15">
        <v>1820</v>
      </c>
      <c r="G209" s="15">
        <f t="shared" si="15"/>
        <v>217.97000000000003</v>
      </c>
      <c r="H209" s="15">
        <f t="shared" si="16"/>
        <v>2037.97</v>
      </c>
      <c r="I209" s="15">
        <f t="shared" si="17"/>
        <v>1820</v>
      </c>
      <c r="J209" s="15">
        <f t="shared" si="18"/>
        <v>217.97000000000003</v>
      </c>
      <c r="K209" s="19">
        <f t="shared" si="19"/>
        <v>0.11976373626373628</v>
      </c>
      <c r="L209" s="15" t="s">
        <v>15</v>
      </c>
      <c r="M209" s="15"/>
    </row>
    <row r="210" spans="1:13" x14ac:dyDescent="0.25">
      <c r="A210" s="16">
        <v>46015</v>
      </c>
      <c r="B210" s="20" t="s">
        <v>134</v>
      </c>
      <c r="C210" s="15">
        <v>1</v>
      </c>
      <c r="D210" s="18">
        <v>354035830382634</v>
      </c>
      <c r="E210" s="15">
        <v>1898.73</v>
      </c>
      <c r="F210" s="15">
        <v>1400</v>
      </c>
      <c r="G210" s="15">
        <f t="shared" si="15"/>
        <v>498.73</v>
      </c>
      <c r="H210" s="15">
        <f t="shared" si="16"/>
        <v>1898.73</v>
      </c>
      <c r="I210" s="15">
        <f t="shared" si="17"/>
        <v>1400</v>
      </c>
      <c r="J210" s="15">
        <f t="shared" si="18"/>
        <v>498.73</v>
      </c>
      <c r="K210" s="19">
        <f t="shared" si="19"/>
        <v>0.35623571428571432</v>
      </c>
      <c r="L210" s="15" t="s">
        <v>241</v>
      </c>
      <c r="M210" s="15"/>
    </row>
    <row r="211" spans="1:13" x14ac:dyDescent="0.25">
      <c r="A211" s="16">
        <v>45995</v>
      </c>
      <c r="B211" s="17" t="s">
        <v>33</v>
      </c>
      <c r="C211" s="15">
        <v>4</v>
      </c>
      <c r="D211" s="18"/>
      <c r="E211" s="15">
        <v>3500</v>
      </c>
      <c r="F211" s="15">
        <v>2515.5500000000002</v>
      </c>
      <c r="G211" s="15">
        <f t="shared" si="15"/>
        <v>984.44999999999982</v>
      </c>
      <c r="H211" s="15">
        <f t="shared" si="16"/>
        <v>14000</v>
      </c>
      <c r="I211" s="15">
        <f t="shared" si="17"/>
        <v>10062.200000000001</v>
      </c>
      <c r="J211" s="15">
        <f t="shared" si="18"/>
        <v>3937.7999999999993</v>
      </c>
      <c r="K211" s="19">
        <f t="shared" si="19"/>
        <v>0.39134582894396841</v>
      </c>
      <c r="L211" s="15" t="s">
        <v>218</v>
      </c>
      <c r="M211" s="15"/>
    </row>
    <row r="212" spans="1:13" x14ac:dyDescent="0.25">
      <c r="A212" s="16">
        <v>45995</v>
      </c>
      <c r="B212" s="17" t="s">
        <v>33</v>
      </c>
      <c r="C212" s="15">
        <v>10</v>
      </c>
      <c r="D212" s="18"/>
      <c r="E212" s="15">
        <v>3500</v>
      </c>
      <c r="F212" s="15">
        <v>2515.5500000000002</v>
      </c>
      <c r="G212" s="15">
        <f t="shared" si="15"/>
        <v>984.44999999999982</v>
      </c>
      <c r="H212" s="15">
        <f t="shared" si="16"/>
        <v>35000</v>
      </c>
      <c r="I212" s="15">
        <f t="shared" si="17"/>
        <v>25155.5</v>
      </c>
      <c r="J212" s="15">
        <f t="shared" si="18"/>
        <v>9844.5</v>
      </c>
      <c r="K212" s="19">
        <f t="shared" si="19"/>
        <v>0.39134582894396841</v>
      </c>
      <c r="L212" s="15" t="s">
        <v>218</v>
      </c>
      <c r="M212" s="15"/>
    </row>
    <row r="213" spans="1:13" x14ac:dyDescent="0.25">
      <c r="A213" s="16">
        <v>46002</v>
      </c>
      <c r="B213" s="20" t="s">
        <v>33</v>
      </c>
      <c r="C213" s="15">
        <v>3</v>
      </c>
      <c r="D213" s="18"/>
      <c r="E213" s="15">
        <v>3550</v>
      </c>
      <c r="F213" s="15">
        <v>2515.5500000000002</v>
      </c>
      <c r="G213" s="15">
        <f t="shared" si="15"/>
        <v>1034.4499999999998</v>
      </c>
      <c r="H213" s="15">
        <f t="shared" si="16"/>
        <v>10650</v>
      </c>
      <c r="I213" s="15">
        <f t="shared" si="17"/>
        <v>7546.6500000000005</v>
      </c>
      <c r="J213" s="15">
        <f t="shared" si="18"/>
        <v>3103.3499999999995</v>
      </c>
      <c r="K213" s="19">
        <f t="shared" si="19"/>
        <v>0.41122219792888226</v>
      </c>
      <c r="L213" s="15" t="s">
        <v>218</v>
      </c>
      <c r="M213" s="15"/>
    </row>
    <row r="214" spans="1:13" x14ac:dyDescent="0.25">
      <c r="A214" s="16">
        <v>46007</v>
      </c>
      <c r="B214" s="20" t="s">
        <v>33</v>
      </c>
      <c r="C214" s="15">
        <v>8</v>
      </c>
      <c r="D214" s="18"/>
      <c r="E214" s="15">
        <v>3590</v>
      </c>
      <c r="F214" s="15">
        <v>2515.5500000000002</v>
      </c>
      <c r="G214" s="15">
        <f t="shared" si="15"/>
        <v>1074.4499999999998</v>
      </c>
      <c r="H214" s="15">
        <f t="shared" si="16"/>
        <v>28720</v>
      </c>
      <c r="I214" s="15">
        <f t="shared" si="17"/>
        <v>20124.400000000001</v>
      </c>
      <c r="J214" s="15">
        <f t="shared" si="18"/>
        <v>8595.5999999999985</v>
      </c>
      <c r="K214" s="19">
        <f t="shared" si="19"/>
        <v>0.4271232931168133</v>
      </c>
      <c r="L214" s="15" t="s">
        <v>218</v>
      </c>
      <c r="M214" s="15"/>
    </row>
    <row r="215" spans="1:13" x14ac:dyDescent="0.25">
      <c r="A215" s="16">
        <v>46007</v>
      </c>
      <c r="B215" s="20" t="s">
        <v>33</v>
      </c>
      <c r="C215" s="15">
        <v>3</v>
      </c>
      <c r="D215" s="18"/>
      <c r="E215" s="15">
        <v>3500</v>
      </c>
      <c r="F215" s="15">
        <v>2515.5500000000002</v>
      </c>
      <c r="G215" s="15">
        <f t="shared" si="15"/>
        <v>984.44999999999982</v>
      </c>
      <c r="H215" s="15">
        <f t="shared" si="16"/>
        <v>10500</v>
      </c>
      <c r="I215" s="15">
        <f t="shared" si="17"/>
        <v>7546.6500000000005</v>
      </c>
      <c r="J215" s="15">
        <f t="shared" si="18"/>
        <v>2953.3499999999995</v>
      </c>
      <c r="K215" s="19">
        <f t="shared" si="19"/>
        <v>0.39134582894396841</v>
      </c>
      <c r="L215" s="15" t="s">
        <v>218</v>
      </c>
      <c r="M215" s="15"/>
    </row>
    <row r="216" spans="1:13" x14ac:dyDescent="0.25">
      <c r="A216" s="16">
        <v>46010</v>
      </c>
      <c r="B216" s="20" t="s">
        <v>33</v>
      </c>
      <c r="C216" s="15">
        <v>2</v>
      </c>
      <c r="D216" s="18"/>
      <c r="E216" s="15">
        <v>3550</v>
      </c>
      <c r="F216" s="15">
        <v>2515.5500000000002</v>
      </c>
      <c r="G216" s="15">
        <f t="shared" si="15"/>
        <v>1034.4499999999998</v>
      </c>
      <c r="H216" s="15">
        <f t="shared" si="16"/>
        <v>7100</v>
      </c>
      <c r="I216" s="15">
        <f t="shared" si="17"/>
        <v>5031.1000000000004</v>
      </c>
      <c r="J216" s="15">
        <f t="shared" si="18"/>
        <v>2068.8999999999996</v>
      </c>
      <c r="K216" s="19">
        <f t="shared" si="19"/>
        <v>0.41122219792888226</v>
      </c>
      <c r="L216" s="15" t="s">
        <v>218</v>
      </c>
      <c r="M216" s="15"/>
    </row>
    <row r="217" spans="1:13" x14ac:dyDescent="0.25">
      <c r="A217" s="16">
        <v>45997</v>
      </c>
      <c r="B217" s="17" t="s">
        <v>42</v>
      </c>
      <c r="C217" s="15">
        <v>4</v>
      </c>
      <c r="D217" s="18"/>
      <c r="E217" s="15">
        <v>1800</v>
      </c>
      <c r="F217" s="15">
        <v>1458.99</v>
      </c>
      <c r="G217" s="15">
        <f t="shared" si="15"/>
        <v>341.01</v>
      </c>
      <c r="H217" s="15">
        <f t="shared" si="16"/>
        <v>7200</v>
      </c>
      <c r="I217" s="15">
        <f t="shared" si="17"/>
        <v>5835.96</v>
      </c>
      <c r="J217" s="15">
        <f t="shared" si="18"/>
        <v>1364.04</v>
      </c>
      <c r="K217" s="19">
        <f t="shared" si="19"/>
        <v>0.23373018320893219</v>
      </c>
      <c r="L217" s="15" t="s">
        <v>218</v>
      </c>
      <c r="M217" s="15"/>
    </row>
    <row r="218" spans="1:13" x14ac:dyDescent="0.25">
      <c r="A218" s="16">
        <v>46001</v>
      </c>
      <c r="B218" s="20" t="s">
        <v>58</v>
      </c>
      <c r="C218" s="15">
        <v>4</v>
      </c>
      <c r="D218" s="18" t="s">
        <v>59</v>
      </c>
      <c r="E218" s="15">
        <v>1980</v>
      </c>
      <c r="F218" s="15">
        <v>1950</v>
      </c>
      <c r="G218" s="15">
        <f t="shared" si="15"/>
        <v>30</v>
      </c>
      <c r="H218" s="15">
        <f t="shared" si="16"/>
        <v>7920</v>
      </c>
      <c r="I218" s="15">
        <f t="shared" si="17"/>
        <v>7800</v>
      </c>
      <c r="J218" s="15">
        <f t="shared" si="18"/>
        <v>120</v>
      </c>
      <c r="K218" s="19">
        <f t="shared" si="19"/>
        <v>1.5384615384615385E-2</v>
      </c>
      <c r="L218" s="15" t="s">
        <v>246</v>
      </c>
      <c r="M218" s="15"/>
    </row>
    <row r="219" spans="1:13" x14ac:dyDescent="0.25">
      <c r="A219" s="16">
        <v>46010</v>
      </c>
      <c r="B219" s="17" t="s">
        <v>81</v>
      </c>
      <c r="C219" s="15">
        <v>1</v>
      </c>
      <c r="D219" s="22">
        <v>355827872307043</v>
      </c>
      <c r="E219" s="15">
        <v>2420</v>
      </c>
      <c r="F219" s="15">
        <v>2380</v>
      </c>
      <c r="G219" s="15">
        <f t="shared" si="15"/>
        <v>40</v>
      </c>
      <c r="H219" s="15">
        <f t="shared" si="16"/>
        <v>2420</v>
      </c>
      <c r="I219" s="15">
        <f t="shared" si="17"/>
        <v>2380</v>
      </c>
      <c r="J219" s="15">
        <f t="shared" si="18"/>
        <v>40</v>
      </c>
      <c r="K219" s="19">
        <f t="shared" si="19"/>
        <v>1.680672268907563E-2</v>
      </c>
      <c r="L219" s="15" t="s">
        <v>232</v>
      </c>
      <c r="M219" s="15"/>
    </row>
    <row r="220" spans="1:13" x14ac:dyDescent="0.25">
      <c r="A220" s="16">
        <v>46010</v>
      </c>
      <c r="B220" s="17" t="s">
        <v>81</v>
      </c>
      <c r="C220" s="15">
        <v>1</v>
      </c>
      <c r="D220" s="22">
        <v>358135792350573</v>
      </c>
      <c r="E220" s="15">
        <v>2420</v>
      </c>
      <c r="F220" s="15">
        <v>2380</v>
      </c>
      <c r="G220" s="15">
        <f t="shared" si="15"/>
        <v>40</v>
      </c>
      <c r="H220" s="15">
        <f t="shared" si="16"/>
        <v>2420</v>
      </c>
      <c r="I220" s="15">
        <f t="shared" si="17"/>
        <v>2380</v>
      </c>
      <c r="J220" s="15">
        <f t="shared" si="18"/>
        <v>40</v>
      </c>
      <c r="K220" s="19">
        <f t="shared" si="19"/>
        <v>1.680672268907563E-2</v>
      </c>
      <c r="L220" s="15" t="s">
        <v>232</v>
      </c>
      <c r="M220" s="15"/>
    </row>
    <row r="221" spans="1:13" x14ac:dyDescent="0.25">
      <c r="A221" s="16">
        <v>46020</v>
      </c>
      <c r="B221" s="17" t="s">
        <v>199</v>
      </c>
      <c r="C221" s="15">
        <v>1</v>
      </c>
      <c r="D221" s="23">
        <v>350229401181392</v>
      </c>
      <c r="E221" s="15">
        <v>2200</v>
      </c>
      <c r="F221" s="15">
        <v>1600</v>
      </c>
      <c r="G221" s="15">
        <f t="shared" si="15"/>
        <v>600</v>
      </c>
      <c r="H221" s="15">
        <f t="shared" si="16"/>
        <v>2200</v>
      </c>
      <c r="I221" s="15">
        <f t="shared" si="17"/>
        <v>1600</v>
      </c>
      <c r="J221" s="15">
        <f t="shared" si="18"/>
        <v>600</v>
      </c>
      <c r="K221" s="19">
        <f t="shared" si="19"/>
        <v>0.375</v>
      </c>
      <c r="L221" s="15" t="s">
        <v>232</v>
      </c>
      <c r="M221" s="15"/>
    </row>
    <row r="222" spans="1:13" x14ac:dyDescent="0.25">
      <c r="A222" s="16">
        <v>46020</v>
      </c>
      <c r="B222" s="17" t="s">
        <v>196</v>
      </c>
      <c r="C222" s="15">
        <v>1</v>
      </c>
      <c r="D222" s="23">
        <v>351036684686396</v>
      </c>
      <c r="E222" s="15">
        <v>900</v>
      </c>
      <c r="F222" s="15">
        <v>800</v>
      </c>
      <c r="G222" s="15">
        <f t="shared" si="15"/>
        <v>100</v>
      </c>
      <c r="H222" s="15">
        <f t="shared" si="16"/>
        <v>900</v>
      </c>
      <c r="I222" s="15">
        <f t="shared" si="17"/>
        <v>800</v>
      </c>
      <c r="J222" s="15">
        <f t="shared" si="18"/>
        <v>100</v>
      </c>
      <c r="K222" s="19">
        <f t="shared" si="19"/>
        <v>0.125</v>
      </c>
      <c r="L222" s="15" t="s">
        <v>232</v>
      </c>
      <c r="M222" s="15"/>
    </row>
    <row r="223" spans="1:13" x14ac:dyDescent="0.25">
      <c r="A223" s="16">
        <v>46018</v>
      </c>
      <c r="B223" s="24" t="s">
        <v>195</v>
      </c>
      <c r="C223" s="15">
        <v>1</v>
      </c>
      <c r="D223" s="22">
        <v>351878870972449</v>
      </c>
      <c r="E223" s="15">
        <v>2000</v>
      </c>
      <c r="F223" s="15">
        <v>1900</v>
      </c>
      <c r="G223" s="15">
        <f t="shared" si="15"/>
        <v>100</v>
      </c>
      <c r="H223" s="15">
        <f t="shared" si="16"/>
        <v>2000</v>
      </c>
      <c r="I223" s="15">
        <f t="shared" si="17"/>
        <v>1900</v>
      </c>
      <c r="J223" s="15">
        <f t="shared" si="18"/>
        <v>100</v>
      </c>
      <c r="K223" s="19">
        <f t="shared" si="19"/>
        <v>5.2631578947368418E-2</v>
      </c>
      <c r="L223" s="15" t="s">
        <v>232</v>
      </c>
      <c r="M223" s="15"/>
    </row>
    <row r="224" spans="1:13" x14ac:dyDescent="0.25">
      <c r="A224" s="16">
        <v>46018</v>
      </c>
      <c r="B224" s="24" t="s">
        <v>195</v>
      </c>
      <c r="C224" s="15">
        <v>1</v>
      </c>
      <c r="D224" s="22">
        <v>359373962498331</v>
      </c>
      <c r="E224" s="15">
        <v>2000</v>
      </c>
      <c r="F224" s="15">
        <v>1900</v>
      </c>
      <c r="G224" s="15">
        <f t="shared" si="15"/>
        <v>100</v>
      </c>
      <c r="H224" s="15">
        <f t="shared" si="16"/>
        <v>2000</v>
      </c>
      <c r="I224" s="15">
        <f t="shared" si="17"/>
        <v>1900</v>
      </c>
      <c r="J224" s="15">
        <f t="shared" si="18"/>
        <v>100</v>
      </c>
      <c r="K224" s="19">
        <f t="shared" si="19"/>
        <v>5.2631578947368418E-2</v>
      </c>
      <c r="L224" s="15" t="s">
        <v>232</v>
      </c>
      <c r="M224" s="15"/>
    </row>
    <row r="225" spans="1:13" x14ac:dyDescent="0.25">
      <c r="A225" s="16">
        <v>46018</v>
      </c>
      <c r="B225" s="24" t="s">
        <v>195</v>
      </c>
      <c r="C225" s="15">
        <v>1</v>
      </c>
      <c r="D225" s="22">
        <v>351878871864918</v>
      </c>
      <c r="E225" s="15">
        <v>2000</v>
      </c>
      <c r="F225" s="15">
        <v>1900</v>
      </c>
      <c r="G225" s="15">
        <f t="shared" si="15"/>
        <v>100</v>
      </c>
      <c r="H225" s="15">
        <f t="shared" si="16"/>
        <v>2000</v>
      </c>
      <c r="I225" s="15">
        <f t="shared" si="17"/>
        <v>1900</v>
      </c>
      <c r="J225" s="15">
        <f t="shared" si="18"/>
        <v>100</v>
      </c>
      <c r="K225" s="19">
        <f t="shared" si="19"/>
        <v>5.2631578947368418E-2</v>
      </c>
      <c r="L225" s="15" t="s">
        <v>232</v>
      </c>
      <c r="M225" s="15" t="s">
        <v>236</v>
      </c>
    </row>
    <row r="226" spans="1:13" x14ac:dyDescent="0.25">
      <c r="A226" s="16">
        <v>46018</v>
      </c>
      <c r="B226" s="24" t="s">
        <v>195</v>
      </c>
      <c r="C226" s="15">
        <v>1</v>
      </c>
      <c r="D226" s="22">
        <v>351878870816828</v>
      </c>
      <c r="E226" s="15">
        <v>2000</v>
      </c>
      <c r="F226" s="15">
        <v>1900</v>
      </c>
      <c r="G226" s="15">
        <f t="shared" si="15"/>
        <v>100</v>
      </c>
      <c r="H226" s="15">
        <f t="shared" si="16"/>
        <v>2000</v>
      </c>
      <c r="I226" s="15">
        <f t="shared" si="17"/>
        <v>1900</v>
      </c>
      <c r="J226" s="15">
        <f t="shared" si="18"/>
        <v>100</v>
      </c>
      <c r="K226" s="19">
        <f t="shared" si="19"/>
        <v>5.2631578947368418E-2</v>
      </c>
      <c r="L226" s="15" t="s">
        <v>232</v>
      </c>
      <c r="M226" s="15"/>
    </row>
    <row r="227" spans="1:13" x14ac:dyDescent="0.25">
      <c r="A227" s="16">
        <v>46018</v>
      </c>
      <c r="B227" s="24" t="s">
        <v>195</v>
      </c>
      <c r="C227" s="15">
        <v>1</v>
      </c>
      <c r="D227" s="22">
        <v>351878870839440</v>
      </c>
      <c r="E227" s="15">
        <v>2000</v>
      </c>
      <c r="F227" s="15">
        <v>1900</v>
      </c>
      <c r="G227" s="15">
        <f t="shared" si="15"/>
        <v>100</v>
      </c>
      <c r="H227" s="15">
        <f t="shared" si="16"/>
        <v>2000</v>
      </c>
      <c r="I227" s="15">
        <f t="shared" si="17"/>
        <v>1900</v>
      </c>
      <c r="J227" s="15">
        <f t="shared" si="18"/>
        <v>100</v>
      </c>
      <c r="K227" s="19">
        <f t="shared" si="19"/>
        <v>5.2631578947368418E-2</v>
      </c>
      <c r="L227" s="15" t="s">
        <v>232</v>
      </c>
      <c r="M227" s="15"/>
    </row>
    <row r="228" spans="1:13" x14ac:dyDescent="0.25">
      <c r="A228" s="16">
        <v>46018</v>
      </c>
      <c r="B228" s="28" t="s">
        <v>194</v>
      </c>
      <c r="C228" s="15">
        <v>1</v>
      </c>
      <c r="D228" s="18"/>
      <c r="E228" s="15">
        <v>1600</v>
      </c>
      <c r="F228" s="15">
        <v>1400</v>
      </c>
      <c r="G228" s="15">
        <f t="shared" si="15"/>
        <v>200</v>
      </c>
      <c r="H228" s="15">
        <f t="shared" si="16"/>
        <v>1600</v>
      </c>
      <c r="I228" s="15">
        <f t="shared" si="17"/>
        <v>1400</v>
      </c>
      <c r="J228" s="15">
        <f t="shared" si="18"/>
        <v>200</v>
      </c>
      <c r="K228" s="19">
        <f t="shared" si="19"/>
        <v>0.14285714285714285</v>
      </c>
      <c r="L228" s="15" t="s">
        <v>232</v>
      </c>
      <c r="M228" s="15"/>
    </row>
    <row r="229" spans="1:13" x14ac:dyDescent="0.25">
      <c r="A229" s="16">
        <v>46007</v>
      </c>
      <c r="B229" s="20" t="s">
        <v>32</v>
      </c>
      <c r="C229" s="15">
        <v>1</v>
      </c>
      <c r="D229" s="23">
        <v>350158854209897</v>
      </c>
      <c r="E229" s="15">
        <v>1600</v>
      </c>
      <c r="F229" s="15">
        <v>1400</v>
      </c>
      <c r="G229" s="15">
        <f t="shared" si="15"/>
        <v>200</v>
      </c>
      <c r="H229" s="15">
        <f t="shared" si="16"/>
        <v>1600</v>
      </c>
      <c r="I229" s="15">
        <f t="shared" si="17"/>
        <v>1400</v>
      </c>
      <c r="J229" s="15">
        <f t="shared" si="18"/>
        <v>200</v>
      </c>
      <c r="K229" s="19">
        <f t="shared" si="19"/>
        <v>0.14285714285714285</v>
      </c>
      <c r="L229" s="15" t="s">
        <v>232</v>
      </c>
      <c r="M229" s="15"/>
    </row>
    <row r="230" spans="1:13" x14ac:dyDescent="0.25">
      <c r="A230" s="16">
        <v>46022</v>
      </c>
      <c r="B230" s="17" t="s">
        <v>210</v>
      </c>
      <c r="C230" s="15">
        <v>1</v>
      </c>
      <c r="D230" s="22" t="s">
        <v>212</v>
      </c>
      <c r="E230" s="15">
        <v>5300</v>
      </c>
      <c r="F230" s="35">
        <v>5000</v>
      </c>
      <c r="G230" s="15">
        <f t="shared" si="15"/>
        <v>300</v>
      </c>
      <c r="H230" s="15">
        <f t="shared" si="16"/>
        <v>5300</v>
      </c>
      <c r="I230" s="15">
        <f t="shared" si="17"/>
        <v>5000</v>
      </c>
      <c r="J230" s="15">
        <f t="shared" si="18"/>
        <v>300</v>
      </c>
      <c r="K230" s="19">
        <f t="shared" si="19"/>
        <v>0.06</v>
      </c>
      <c r="L230" s="15" t="s">
        <v>232</v>
      </c>
      <c r="M230" s="15"/>
    </row>
    <row r="231" spans="1:13" x14ac:dyDescent="0.25">
      <c r="A231" s="16">
        <v>46003</v>
      </c>
      <c r="B231" s="17" t="s">
        <v>44</v>
      </c>
      <c r="C231" s="15">
        <v>1</v>
      </c>
      <c r="D231" s="22">
        <v>355469926647601</v>
      </c>
      <c r="E231" s="15">
        <v>2770</v>
      </c>
      <c r="F231" s="15">
        <v>2670</v>
      </c>
      <c r="G231" s="15">
        <f t="shared" si="15"/>
        <v>100</v>
      </c>
      <c r="H231" s="15">
        <f t="shared" si="16"/>
        <v>2770</v>
      </c>
      <c r="I231" s="15">
        <f t="shared" si="17"/>
        <v>2670</v>
      </c>
      <c r="J231" s="15">
        <f t="shared" si="18"/>
        <v>100</v>
      </c>
      <c r="K231" s="19">
        <f t="shared" si="19"/>
        <v>3.7453183520599252E-2</v>
      </c>
      <c r="L231" s="15" t="s">
        <v>243</v>
      </c>
      <c r="M231" s="15"/>
    </row>
    <row r="232" spans="1:13" x14ac:dyDescent="0.25">
      <c r="A232" s="16">
        <v>46003</v>
      </c>
      <c r="B232" s="17" t="s">
        <v>81</v>
      </c>
      <c r="C232" s="15">
        <v>1</v>
      </c>
      <c r="D232" s="22">
        <v>355827870063846</v>
      </c>
      <c r="E232" s="15">
        <v>2450</v>
      </c>
      <c r="F232" s="15">
        <v>2400</v>
      </c>
      <c r="G232" s="15">
        <f t="shared" si="15"/>
        <v>50</v>
      </c>
      <c r="H232" s="15">
        <f t="shared" si="16"/>
        <v>2450</v>
      </c>
      <c r="I232" s="15">
        <f t="shared" si="17"/>
        <v>2400</v>
      </c>
      <c r="J232" s="15">
        <f t="shared" si="18"/>
        <v>50</v>
      </c>
      <c r="K232" s="19">
        <f t="shared" si="19"/>
        <v>2.0833333333333332E-2</v>
      </c>
      <c r="L232" s="15" t="s">
        <v>227</v>
      </c>
      <c r="M232" s="15"/>
    </row>
    <row r="233" spans="1:13" x14ac:dyDescent="0.25">
      <c r="A233" s="16">
        <v>46003</v>
      </c>
      <c r="B233" s="17" t="s">
        <v>81</v>
      </c>
      <c r="C233" s="15">
        <v>1</v>
      </c>
      <c r="D233" s="25">
        <v>356187981344273</v>
      </c>
      <c r="E233" s="15">
        <v>2450</v>
      </c>
      <c r="F233" s="21">
        <v>2380</v>
      </c>
      <c r="G233" s="15">
        <f t="shared" si="15"/>
        <v>70</v>
      </c>
      <c r="H233" s="15">
        <f t="shared" si="16"/>
        <v>2450</v>
      </c>
      <c r="I233" s="15">
        <f t="shared" si="17"/>
        <v>2380</v>
      </c>
      <c r="J233" s="15">
        <f t="shared" si="18"/>
        <v>70</v>
      </c>
      <c r="K233" s="19">
        <f t="shared" si="19"/>
        <v>2.9411764705882353E-2</v>
      </c>
      <c r="L233" s="15" t="s">
        <v>228</v>
      </c>
      <c r="M233" s="15"/>
    </row>
    <row r="234" spans="1:13" x14ac:dyDescent="0.25">
      <c r="A234" s="16">
        <v>46003</v>
      </c>
      <c r="B234" s="17" t="s">
        <v>81</v>
      </c>
      <c r="C234" s="15">
        <v>1</v>
      </c>
      <c r="D234" s="25">
        <v>353938642499705</v>
      </c>
      <c r="E234" s="15">
        <v>2750</v>
      </c>
      <c r="F234" s="15">
        <v>2380</v>
      </c>
      <c r="G234" s="15">
        <f t="shared" si="15"/>
        <v>370</v>
      </c>
      <c r="H234" s="15">
        <f t="shared" si="16"/>
        <v>2750</v>
      </c>
      <c r="I234" s="15">
        <f t="shared" si="17"/>
        <v>2380</v>
      </c>
      <c r="J234" s="15">
        <f t="shared" si="18"/>
        <v>370</v>
      </c>
      <c r="K234" s="19">
        <f t="shared" si="19"/>
        <v>0.15546218487394958</v>
      </c>
      <c r="L234" s="15" t="s">
        <v>228</v>
      </c>
      <c r="M234" s="15"/>
    </row>
    <row r="235" spans="1:13" x14ac:dyDescent="0.25">
      <c r="A235" s="16">
        <v>46003</v>
      </c>
      <c r="B235" s="17" t="s">
        <v>81</v>
      </c>
      <c r="C235" s="15">
        <v>1</v>
      </c>
      <c r="D235" s="22">
        <v>356768328400587</v>
      </c>
      <c r="E235" s="15">
        <v>2450</v>
      </c>
      <c r="F235" s="21">
        <v>2380</v>
      </c>
      <c r="G235" s="15">
        <f t="shared" si="15"/>
        <v>70</v>
      </c>
      <c r="H235" s="15">
        <f t="shared" si="16"/>
        <v>2450</v>
      </c>
      <c r="I235" s="15">
        <f t="shared" si="17"/>
        <v>2380</v>
      </c>
      <c r="J235" s="15">
        <f t="shared" si="18"/>
        <v>70</v>
      </c>
      <c r="K235" s="19">
        <f t="shared" si="19"/>
        <v>2.9411764705882353E-2</v>
      </c>
      <c r="L235" s="15" t="s">
        <v>226</v>
      </c>
      <c r="M235" s="15"/>
    </row>
    <row r="236" spans="1:13" x14ac:dyDescent="0.25">
      <c r="A236" s="16">
        <v>46003</v>
      </c>
      <c r="B236" s="17" t="s">
        <v>81</v>
      </c>
      <c r="C236" s="15">
        <v>1</v>
      </c>
      <c r="D236" s="22">
        <v>356187981313302</v>
      </c>
      <c r="E236" s="15">
        <v>2450</v>
      </c>
      <c r="F236" s="15">
        <v>2380</v>
      </c>
      <c r="G236" s="15">
        <f t="shared" si="15"/>
        <v>70</v>
      </c>
      <c r="H236" s="15">
        <f t="shared" si="16"/>
        <v>2450</v>
      </c>
      <c r="I236" s="15">
        <f t="shared" si="17"/>
        <v>2380</v>
      </c>
      <c r="J236" s="15">
        <f t="shared" si="18"/>
        <v>70</v>
      </c>
      <c r="K236" s="19">
        <f t="shared" si="19"/>
        <v>2.9411764705882353E-2</v>
      </c>
      <c r="L236" s="15" t="s">
        <v>226</v>
      </c>
      <c r="M236" s="15"/>
    </row>
    <row r="237" spans="1:13" x14ac:dyDescent="0.25">
      <c r="A237" s="16">
        <v>46003</v>
      </c>
      <c r="B237" s="17" t="s">
        <v>81</v>
      </c>
      <c r="C237" s="15">
        <v>1</v>
      </c>
      <c r="D237" s="22">
        <v>353938641836493</v>
      </c>
      <c r="E237" s="15">
        <v>2400</v>
      </c>
      <c r="F237" s="15">
        <v>2380</v>
      </c>
      <c r="G237" s="15">
        <f t="shared" si="15"/>
        <v>20</v>
      </c>
      <c r="H237" s="15">
        <f t="shared" si="16"/>
        <v>2400</v>
      </c>
      <c r="I237" s="15">
        <f t="shared" si="17"/>
        <v>2380</v>
      </c>
      <c r="J237" s="15">
        <f t="shared" si="18"/>
        <v>20</v>
      </c>
      <c r="K237" s="19">
        <f t="shared" si="19"/>
        <v>8.4033613445378148E-3</v>
      </c>
      <c r="L237" s="15" t="s">
        <v>226</v>
      </c>
      <c r="M237" s="15"/>
    </row>
    <row r="238" spans="1:13" x14ac:dyDescent="0.25">
      <c r="A238" s="16">
        <v>46018</v>
      </c>
      <c r="B238" s="24" t="s">
        <v>195</v>
      </c>
      <c r="C238" s="15">
        <v>1</v>
      </c>
      <c r="D238" s="22">
        <v>351878871306704</v>
      </c>
      <c r="E238" s="15">
        <v>2000</v>
      </c>
      <c r="F238" s="15">
        <v>1900</v>
      </c>
      <c r="G238" s="15">
        <f t="shared" si="15"/>
        <v>100</v>
      </c>
      <c r="H238" s="15">
        <f t="shared" si="16"/>
        <v>2000</v>
      </c>
      <c r="I238" s="15">
        <f t="shared" si="17"/>
        <v>1900</v>
      </c>
      <c r="J238" s="15">
        <f t="shared" si="18"/>
        <v>100</v>
      </c>
      <c r="K238" s="19">
        <f t="shared" si="19"/>
        <v>5.2631578947368418E-2</v>
      </c>
      <c r="L238" s="15" t="s">
        <v>226</v>
      </c>
      <c r="M238" s="15"/>
    </row>
    <row r="239" spans="1:13" x14ac:dyDescent="0.25">
      <c r="A239" s="16">
        <v>46018</v>
      </c>
      <c r="B239" s="24" t="s">
        <v>195</v>
      </c>
      <c r="C239" s="15">
        <v>1</v>
      </c>
      <c r="D239" s="22">
        <v>358754772933834</v>
      </c>
      <c r="E239" s="15">
        <v>2000</v>
      </c>
      <c r="F239" s="15">
        <v>1900</v>
      </c>
      <c r="G239" s="15">
        <f t="shared" si="15"/>
        <v>100</v>
      </c>
      <c r="H239" s="15">
        <f t="shared" si="16"/>
        <v>2000</v>
      </c>
      <c r="I239" s="15">
        <f t="shared" si="17"/>
        <v>1900</v>
      </c>
      <c r="J239" s="15">
        <f t="shared" si="18"/>
        <v>100</v>
      </c>
      <c r="K239" s="19">
        <f t="shared" si="19"/>
        <v>5.2631578947368418E-2</v>
      </c>
      <c r="L239" s="15" t="s">
        <v>226</v>
      </c>
      <c r="M239" s="15"/>
    </row>
    <row r="240" spans="1:13" x14ac:dyDescent="0.25">
      <c r="A240" s="16">
        <v>46000</v>
      </c>
      <c r="B240" s="17" t="s">
        <v>48</v>
      </c>
      <c r="C240" s="15">
        <v>1</v>
      </c>
      <c r="D240" s="23">
        <v>356839672073906</v>
      </c>
      <c r="E240" s="15">
        <v>2700</v>
      </c>
      <c r="F240" s="15">
        <v>2600</v>
      </c>
      <c r="G240" s="15">
        <f t="shared" si="15"/>
        <v>100</v>
      </c>
      <c r="H240" s="15">
        <f t="shared" si="16"/>
        <v>2700</v>
      </c>
      <c r="I240" s="15">
        <f t="shared" si="17"/>
        <v>2600</v>
      </c>
      <c r="J240" s="15">
        <f t="shared" si="18"/>
        <v>100</v>
      </c>
      <c r="K240" s="19">
        <f t="shared" si="19"/>
        <v>3.8461538461538464E-2</v>
      </c>
      <c r="L240" s="15" t="s">
        <v>226</v>
      </c>
      <c r="M240" s="15"/>
    </row>
    <row r="241" spans="1:13" x14ac:dyDescent="0.25">
      <c r="A241" s="16">
        <v>46000</v>
      </c>
      <c r="B241" s="17" t="s">
        <v>48</v>
      </c>
      <c r="C241" s="15">
        <v>1</v>
      </c>
      <c r="D241" s="23">
        <v>354956978182801</v>
      </c>
      <c r="E241" s="15">
        <v>2700</v>
      </c>
      <c r="F241" s="15">
        <v>2600</v>
      </c>
      <c r="G241" s="15">
        <f t="shared" si="15"/>
        <v>100</v>
      </c>
      <c r="H241" s="15">
        <f t="shared" si="16"/>
        <v>2700</v>
      </c>
      <c r="I241" s="15">
        <f t="shared" si="17"/>
        <v>2600</v>
      </c>
      <c r="J241" s="15">
        <f t="shared" si="18"/>
        <v>100</v>
      </c>
      <c r="K241" s="19">
        <f t="shared" si="19"/>
        <v>3.8461538461538464E-2</v>
      </c>
      <c r="L241" s="15" t="s">
        <v>226</v>
      </c>
      <c r="M241" s="15"/>
    </row>
    <row r="242" spans="1:13" x14ac:dyDescent="0.25">
      <c r="A242" s="16">
        <v>46000</v>
      </c>
      <c r="B242" s="17" t="s">
        <v>48</v>
      </c>
      <c r="C242" s="15">
        <v>1</v>
      </c>
      <c r="D242" s="23">
        <v>353708842501760</v>
      </c>
      <c r="E242" s="15">
        <v>2700</v>
      </c>
      <c r="F242" s="15">
        <v>2600</v>
      </c>
      <c r="G242" s="15">
        <f t="shared" si="15"/>
        <v>100</v>
      </c>
      <c r="H242" s="15">
        <f t="shared" si="16"/>
        <v>2700</v>
      </c>
      <c r="I242" s="15">
        <f t="shared" si="17"/>
        <v>2600</v>
      </c>
      <c r="J242" s="15">
        <f t="shared" si="18"/>
        <v>100</v>
      </c>
      <c r="K242" s="19">
        <f t="shared" si="19"/>
        <v>3.8461538461538464E-2</v>
      </c>
      <c r="L242" s="15" t="s">
        <v>226</v>
      </c>
      <c r="M242" s="15"/>
    </row>
    <row r="243" spans="1:13" x14ac:dyDescent="0.25">
      <c r="A243" s="16">
        <v>46001</v>
      </c>
      <c r="B243" s="17" t="s">
        <v>48</v>
      </c>
      <c r="C243" s="15">
        <v>1</v>
      </c>
      <c r="D243" s="22">
        <v>359724855118883</v>
      </c>
      <c r="E243" s="15">
        <v>2720</v>
      </c>
      <c r="F243" s="15">
        <v>2600</v>
      </c>
      <c r="G243" s="15">
        <f t="shared" si="15"/>
        <v>120</v>
      </c>
      <c r="H243" s="15">
        <f t="shared" si="16"/>
        <v>2720</v>
      </c>
      <c r="I243" s="15">
        <f t="shared" si="17"/>
        <v>2600</v>
      </c>
      <c r="J243" s="15">
        <f t="shared" si="18"/>
        <v>120</v>
      </c>
      <c r="K243" s="19">
        <f t="shared" si="19"/>
        <v>4.6153846153846156E-2</v>
      </c>
      <c r="L243" s="15" t="s">
        <v>226</v>
      </c>
      <c r="M243" s="15"/>
    </row>
    <row r="244" spans="1:13" x14ac:dyDescent="0.25">
      <c r="A244" s="16">
        <v>46001</v>
      </c>
      <c r="B244" s="17" t="s">
        <v>48</v>
      </c>
      <c r="C244" s="15">
        <v>1</v>
      </c>
      <c r="D244" s="22">
        <v>350455776284608</v>
      </c>
      <c r="E244" s="15">
        <v>2720</v>
      </c>
      <c r="F244" s="15">
        <v>2600</v>
      </c>
      <c r="G244" s="15">
        <f t="shared" si="15"/>
        <v>120</v>
      </c>
      <c r="H244" s="15">
        <f t="shared" si="16"/>
        <v>2720</v>
      </c>
      <c r="I244" s="15">
        <f t="shared" si="17"/>
        <v>2600</v>
      </c>
      <c r="J244" s="15">
        <f t="shared" si="18"/>
        <v>120</v>
      </c>
      <c r="K244" s="19">
        <f t="shared" si="19"/>
        <v>4.6153846153846156E-2</v>
      </c>
      <c r="L244" s="15" t="s">
        <v>226</v>
      </c>
      <c r="M244" s="15"/>
    </row>
    <row r="245" spans="1:13" x14ac:dyDescent="0.25">
      <c r="A245" s="16">
        <v>46001</v>
      </c>
      <c r="B245" s="17" t="s">
        <v>48</v>
      </c>
      <c r="C245" s="15">
        <v>1</v>
      </c>
      <c r="D245" s="22">
        <v>359724858931795</v>
      </c>
      <c r="E245" s="15">
        <v>2720</v>
      </c>
      <c r="F245" s="15">
        <v>2600</v>
      </c>
      <c r="G245" s="15">
        <f t="shared" si="15"/>
        <v>120</v>
      </c>
      <c r="H245" s="15">
        <f t="shared" si="16"/>
        <v>2720</v>
      </c>
      <c r="I245" s="15">
        <f t="shared" si="17"/>
        <v>2600</v>
      </c>
      <c r="J245" s="15">
        <f t="shared" si="18"/>
        <v>120</v>
      </c>
      <c r="K245" s="19">
        <f t="shared" si="19"/>
        <v>4.6153846153846156E-2</v>
      </c>
      <c r="L245" s="15" t="s">
        <v>226</v>
      </c>
      <c r="M245" s="15"/>
    </row>
    <row r="246" spans="1:13" x14ac:dyDescent="0.25">
      <c r="A246" s="16">
        <v>46003</v>
      </c>
      <c r="B246" s="17" t="s">
        <v>48</v>
      </c>
      <c r="C246" s="15">
        <v>1</v>
      </c>
      <c r="D246" s="23">
        <v>359724859588214</v>
      </c>
      <c r="E246" s="15">
        <v>2700</v>
      </c>
      <c r="F246" s="15">
        <v>2550</v>
      </c>
      <c r="G246" s="15">
        <f t="shared" si="15"/>
        <v>150</v>
      </c>
      <c r="H246" s="15">
        <f t="shared" si="16"/>
        <v>2700</v>
      </c>
      <c r="I246" s="15">
        <f t="shared" si="17"/>
        <v>2550</v>
      </c>
      <c r="J246" s="15">
        <f t="shared" si="18"/>
        <v>150</v>
      </c>
      <c r="K246" s="19">
        <f t="shared" si="19"/>
        <v>5.8823529411764705E-2</v>
      </c>
      <c r="L246" s="15" t="s">
        <v>226</v>
      </c>
      <c r="M246" s="15"/>
    </row>
    <row r="247" spans="1:13" x14ac:dyDescent="0.25">
      <c r="A247" s="16">
        <v>46007</v>
      </c>
      <c r="B247" s="17" t="s">
        <v>48</v>
      </c>
      <c r="C247" s="15">
        <v>1</v>
      </c>
      <c r="D247" s="23">
        <v>353708842906761</v>
      </c>
      <c r="E247" s="15">
        <v>2670</v>
      </c>
      <c r="F247" s="15">
        <v>2550</v>
      </c>
      <c r="G247" s="15">
        <f t="shared" si="15"/>
        <v>120</v>
      </c>
      <c r="H247" s="15">
        <f t="shared" si="16"/>
        <v>2670</v>
      </c>
      <c r="I247" s="15">
        <f t="shared" si="17"/>
        <v>2550</v>
      </c>
      <c r="J247" s="15">
        <f t="shared" si="18"/>
        <v>120</v>
      </c>
      <c r="K247" s="19">
        <f t="shared" si="19"/>
        <v>4.7058823529411764E-2</v>
      </c>
      <c r="L247" s="15" t="s">
        <v>226</v>
      </c>
      <c r="M247" s="15"/>
    </row>
    <row r="248" spans="1:13" x14ac:dyDescent="0.25">
      <c r="A248" s="16">
        <v>46001</v>
      </c>
      <c r="B248" s="20" t="s">
        <v>14</v>
      </c>
      <c r="C248" s="15">
        <v>1</v>
      </c>
      <c r="D248" s="22">
        <v>352791396756379</v>
      </c>
      <c r="E248" s="15">
        <v>3500</v>
      </c>
      <c r="F248" s="15">
        <v>3360</v>
      </c>
      <c r="G248" s="15">
        <f t="shared" si="15"/>
        <v>140</v>
      </c>
      <c r="H248" s="15">
        <f t="shared" si="16"/>
        <v>3500</v>
      </c>
      <c r="I248" s="15">
        <f t="shared" si="17"/>
        <v>3360</v>
      </c>
      <c r="J248" s="15">
        <f t="shared" si="18"/>
        <v>140</v>
      </c>
      <c r="K248" s="19">
        <f t="shared" si="19"/>
        <v>4.1666666666666664E-2</v>
      </c>
      <c r="L248" s="15" t="s">
        <v>226</v>
      </c>
      <c r="M248" s="15"/>
    </row>
    <row r="249" spans="1:13" x14ac:dyDescent="0.25">
      <c r="A249" s="16">
        <v>46004</v>
      </c>
      <c r="B249" s="20" t="s">
        <v>79</v>
      </c>
      <c r="C249" s="15">
        <v>1</v>
      </c>
      <c r="D249" s="22">
        <v>357999604759060</v>
      </c>
      <c r="E249" s="15">
        <v>3400</v>
      </c>
      <c r="F249" s="15">
        <v>3250</v>
      </c>
      <c r="G249" s="15">
        <f t="shared" si="15"/>
        <v>150</v>
      </c>
      <c r="H249" s="15">
        <f t="shared" si="16"/>
        <v>3400</v>
      </c>
      <c r="I249" s="15">
        <f t="shared" si="17"/>
        <v>3250</v>
      </c>
      <c r="J249" s="15">
        <f t="shared" si="18"/>
        <v>150</v>
      </c>
      <c r="K249" s="19">
        <f t="shared" si="19"/>
        <v>4.6153846153846156E-2</v>
      </c>
      <c r="L249" s="15" t="s">
        <v>226</v>
      </c>
      <c r="M249" s="15"/>
    </row>
    <row r="250" spans="1:13" x14ac:dyDescent="0.25">
      <c r="A250" s="16">
        <v>46004</v>
      </c>
      <c r="B250" s="17" t="s">
        <v>43</v>
      </c>
      <c r="C250" s="15">
        <v>1</v>
      </c>
      <c r="D250" s="23">
        <v>357223742073445</v>
      </c>
      <c r="E250" s="15">
        <v>2030</v>
      </c>
      <c r="F250" s="15">
        <v>1900</v>
      </c>
      <c r="G250" s="15">
        <f t="shared" si="15"/>
        <v>130</v>
      </c>
      <c r="H250" s="15">
        <f t="shared" si="16"/>
        <v>2030</v>
      </c>
      <c r="I250" s="15">
        <f t="shared" si="17"/>
        <v>1900</v>
      </c>
      <c r="J250" s="15">
        <f t="shared" si="18"/>
        <v>130</v>
      </c>
      <c r="K250" s="19">
        <f t="shared" si="19"/>
        <v>6.8421052631578952E-2</v>
      </c>
      <c r="L250" s="15" t="s">
        <v>226</v>
      </c>
      <c r="M250" s="15"/>
    </row>
    <row r="251" spans="1:13" x14ac:dyDescent="0.25">
      <c r="A251" s="16">
        <v>46006</v>
      </c>
      <c r="B251" s="17" t="s">
        <v>43</v>
      </c>
      <c r="C251" s="15">
        <v>1</v>
      </c>
      <c r="D251" s="23">
        <v>355413810072484</v>
      </c>
      <c r="E251" s="15">
        <v>2000</v>
      </c>
      <c r="F251" s="15">
        <v>1900</v>
      </c>
      <c r="G251" s="15">
        <f t="shared" si="15"/>
        <v>100</v>
      </c>
      <c r="H251" s="15">
        <f t="shared" si="16"/>
        <v>2000</v>
      </c>
      <c r="I251" s="15">
        <f t="shared" si="17"/>
        <v>1900</v>
      </c>
      <c r="J251" s="15">
        <f t="shared" si="18"/>
        <v>100</v>
      </c>
      <c r="K251" s="19">
        <f t="shared" si="19"/>
        <v>5.2631578947368418E-2</v>
      </c>
      <c r="L251" s="15" t="s">
        <v>226</v>
      </c>
      <c r="M251" s="15"/>
    </row>
    <row r="252" spans="1:13" x14ac:dyDescent="0.25">
      <c r="A252" s="16">
        <v>46007</v>
      </c>
      <c r="B252" s="17" t="s">
        <v>43</v>
      </c>
      <c r="C252" s="15">
        <v>1</v>
      </c>
      <c r="D252" s="22">
        <v>355413810332201</v>
      </c>
      <c r="E252" s="15">
        <v>1940</v>
      </c>
      <c r="F252" s="15">
        <v>1900</v>
      </c>
      <c r="G252" s="15">
        <f t="shared" si="15"/>
        <v>40</v>
      </c>
      <c r="H252" s="15">
        <f t="shared" si="16"/>
        <v>1940</v>
      </c>
      <c r="I252" s="15">
        <f t="shared" si="17"/>
        <v>1900</v>
      </c>
      <c r="J252" s="15">
        <f t="shared" si="18"/>
        <v>40</v>
      </c>
      <c r="K252" s="19">
        <f t="shared" si="19"/>
        <v>2.1052631578947368E-2</v>
      </c>
      <c r="L252" s="15" t="s">
        <v>226</v>
      </c>
      <c r="M252" s="15"/>
    </row>
    <row r="253" spans="1:13" x14ac:dyDescent="0.25">
      <c r="A253" s="16">
        <v>46007</v>
      </c>
      <c r="B253" s="17" t="s">
        <v>43</v>
      </c>
      <c r="C253" s="15">
        <v>1</v>
      </c>
      <c r="D253" s="22">
        <v>353621713441422</v>
      </c>
      <c r="E253" s="15">
        <v>1940</v>
      </c>
      <c r="F253" s="15">
        <v>1900</v>
      </c>
      <c r="G253" s="15">
        <f t="shared" si="15"/>
        <v>40</v>
      </c>
      <c r="H253" s="15">
        <f t="shared" si="16"/>
        <v>1940</v>
      </c>
      <c r="I253" s="15">
        <f t="shared" si="17"/>
        <v>1900</v>
      </c>
      <c r="J253" s="15">
        <f t="shared" si="18"/>
        <v>40</v>
      </c>
      <c r="K253" s="19">
        <f t="shared" si="19"/>
        <v>2.1052631578947368E-2</v>
      </c>
      <c r="L253" s="15" t="s">
        <v>226</v>
      </c>
      <c r="M253" s="15"/>
    </row>
    <row r="254" spans="1:13" x14ac:dyDescent="0.25">
      <c r="A254" s="16">
        <v>46007</v>
      </c>
      <c r="B254" s="17" t="s">
        <v>43</v>
      </c>
      <c r="C254" s="15">
        <v>1</v>
      </c>
      <c r="D254" s="22">
        <v>355413810526489</v>
      </c>
      <c r="E254" s="15">
        <v>1940</v>
      </c>
      <c r="F254" s="15">
        <v>1900</v>
      </c>
      <c r="G254" s="15">
        <f t="shared" si="15"/>
        <v>40</v>
      </c>
      <c r="H254" s="15">
        <f t="shared" si="16"/>
        <v>1940</v>
      </c>
      <c r="I254" s="15">
        <f t="shared" si="17"/>
        <v>1900</v>
      </c>
      <c r="J254" s="15">
        <f t="shared" si="18"/>
        <v>40</v>
      </c>
      <c r="K254" s="19">
        <f t="shared" si="19"/>
        <v>2.1052631578947368E-2</v>
      </c>
      <c r="L254" s="15" t="s">
        <v>226</v>
      </c>
      <c r="M254" s="15"/>
    </row>
    <row r="255" spans="1:13" x14ac:dyDescent="0.25">
      <c r="A255" s="16">
        <v>46003</v>
      </c>
      <c r="B255" s="20" t="s">
        <v>80</v>
      </c>
      <c r="C255" s="15">
        <v>1</v>
      </c>
      <c r="D255" s="22">
        <v>351878870956988</v>
      </c>
      <c r="E255" s="15">
        <v>2020</v>
      </c>
      <c r="F255" s="15">
        <v>1900</v>
      </c>
      <c r="G255" s="15">
        <f t="shared" si="15"/>
        <v>120</v>
      </c>
      <c r="H255" s="15">
        <f t="shared" si="16"/>
        <v>2020</v>
      </c>
      <c r="I255" s="15">
        <f t="shared" si="17"/>
        <v>1900</v>
      </c>
      <c r="J255" s="15">
        <f t="shared" si="18"/>
        <v>120</v>
      </c>
      <c r="K255" s="19">
        <f t="shared" si="19"/>
        <v>6.3157894736842107E-2</v>
      </c>
      <c r="L255" s="15" t="s">
        <v>226</v>
      </c>
      <c r="M255" s="15"/>
    </row>
    <row r="256" spans="1:13" x14ac:dyDescent="0.25">
      <c r="A256" s="16">
        <v>46003</v>
      </c>
      <c r="B256" s="20" t="s">
        <v>80</v>
      </c>
      <c r="C256" s="15">
        <v>1</v>
      </c>
      <c r="D256" s="22">
        <v>351878871045781</v>
      </c>
      <c r="E256" s="15">
        <v>2020</v>
      </c>
      <c r="F256" s="15">
        <v>1900</v>
      </c>
      <c r="G256" s="15">
        <f t="shared" si="15"/>
        <v>120</v>
      </c>
      <c r="H256" s="15">
        <f t="shared" si="16"/>
        <v>2020</v>
      </c>
      <c r="I256" s="15">
        <f t="shared" si="17"/>
        <v>1900</v>
      </c>
      <c r="J256" s="15">
        <f t="shared" si="18"/>
        <v>120</v>
      </c>
      <c r="K256" s="19">
        <f t="shared" si="19"/>
        <v>6.3157894736842107E-2</v>
      </c>
      <c r="L256" s="15" t="s">
        <v>226</v>
      </c>
      <c r="M256" s="15"/>
    </row>
    <row r="257" spans="1:13" x14ac:dyDescent="0.25">
      <c r="A257" s="16">
        <v>46009</v>
      </c>
      <c r="B257" s="17" t="s">
        <v>48</v>
      </c>
      <c r="C257" s="15">
        <v>1</v>
      </c>
      <c r="D257" s="22">
        <v>356839675260138</v>
      </c>
      <c r="E257" s="15">
        <v>2610</v>
      </c>
      <c r="F257" s="15">
        <v>2500</v>
      </c>
      <c r="G257" s="15">
        <f t="shared" si="15"/>
        <v>110</v>
      </c>
      <c r="H257" s="15">
        <f t="shared" si="16"/>
        <v>2610</v>
      </c>
      <c r="I257" s="15">
        <f t="shared" si="17"/>
        <v>2500</v>
      </c>
      <c r="J257" s="15">
        <f t="shared" si="18"/>
        <v>110</v>
      </c>
      <c r="K257" s="19">
        <f t="shared" si="19"/>
        <v>4.3999999999999997E-2</v>
      </c>
      <c r="L257" s="15" t="s">
        <v>239</v>
      </c>
      <c r="M257" s="15"/>
    </row>
    <row r="258" spans="1:13" x14ac:dyDescent="0.25">
      <c r="A258" s="16">
        <v>46009</v>
      </c>
      <c r="B258" s="17" t="s">
        <v>48</v>
      </c>
      <c r="C258" s="15">
        <v>1</v>
      </c>
      <c r="D258" s="22">
        <v>355500356853812</v>
      </c>
      <c r="E258" s="15">
        <v>2610</v>
      </c>
      <c r="F258" s="15">
        <v>2500</v>
      </c>
      <c r="G258" s="15">
        <f t="shared" ref="G258:G321" si="20">E258-F258</f>
        <v>110</v>
      </c>
      <c r="H258" s="15">
        <f t="shared" ref="H258:H321" si="21">E258*C258</f>
        <v>2610</v>
      </c>
      <c r="I258" s="15">
        <f t="shared" ref="I258:I321" si="22">F258*C258</f>
        <v>2500</v>
      </c>
      <c r="J258" s="15">
        <f t="shared" ref="J258:J321" si="23">H258-I258</f>
        <v>110</v>
      </c>
      <c r="K258" s="19">
        <f t="shared" ref="K258:K321" si="24">(E258-F258)/F258</f>
        <v>4.3999999999999997E-2</v>
      </c>
      <c r="L258" s="15" t="s">
        <v>239</v>
      </c>
      <c r="M258" s="15"/>
    </row>
    <row r="259" spans="1:13" x14ac:dyDescent="0.25">
      <c r="A259" s="16">
        <v>46010</v>
      </c>
      <c r="B259" s="17" t="s">
        <v>48</v>
      </c>
      <c r="C259" s="15">
        <v>1</v>
      </c>
      <c r="D259" s="22">
        <v>353708844049883</v>
      </c>
      <c r="E259" s="15">
        <v>2550</v>
      </c>
      <c r="F259" s="15">
        <v>2450</v>
      </c>
      <c r="G259" s="15">
        <f t="shared" si="20"/>
        <v>100</v>
      </c>
      <c r="H259" s="15">
        <f t="shared" si="21"/>
        <v>2550</v>
      </c>
      <c r="I259" s="15">
        <f t="shared" si="22"/>
        <v>2450</v>
      </c>
      <c r="J259" s="15">
        <f t="shared" si="23"/>
        <v>100</v>
      </c>
      <c r="K259" s="19">
        <f t="shared" si="24"/>
        <v>4.0816326530612242E-2</v>
      </c>
      <c r="L259" s="15" t="s">
        <v>239</v>
      </c>
      <c r="M259" s="15"/>
    </row>
    <row r="260" spans="1:13" x14ac:dyDescent="0.25">
      <c r="A260" s="16">
        <v>46010</v>
      </c>
      <c r="B260" s="17" t="s">
        <v>48</v>
      </c>
      <c r="C260" s="15">
        <v>1</v>
      </c>
      <c r="D260" s="22">
        <v>353748534011173</v>
      </c>
      <c r="E260" s="15">
        <v>2550</v>
      </c>
      <c r="F260" s="15">
        <v>2450</v>
      </c>
      <c r="G260" s="15">
        <f t="shared" si="20"/>
        <v>100</v>
      </c>
      <c r="H260" s="15">
        <f t="shared" si="21"/>
        <v>2550</v>
      </c>
      <c r="I260" s="15">
        <f t="shared" si="22"/>
        <v>2450</v>
      </c>
      <c r="J260" s="15">
        <f t="shared" si="23"/>
        <v>100</v>
      </c>
      <c r="K260" s="19">
        <f t="shared" si="24"/>
        <v>4.0816326530612242E-2</v>
      </c>
      <c r="L260" s="15" t="s">
        <v>239</v>
      </c>
      <c r="M260" s="15"/>
    </row>
    <row r="261" spans="1:13" x14ac:dyDescent="0.25">
      <c r="A261" s="16">
        <v>46010</v>
      </c>
      <c r="B261" s="17" t="s">
        <v>48</v>
      </c>
      <c r="C261" s="15">
        <v>1</v>
      </c>
      <c r="D261" s="22">
        <v>356250540327880</v>
      </c>
      <c r="E261" s="15">
        <v>2550</v>
      </c>
      <c r="F261" s="15">
        <v>2450</v>
      </c>
      <c r="G261" s="15">
        <f t="shared" si="20"/>
        <v>100</v>
      </c>
      <c r="H261" s="15">
        <f t="shared" si="21"/>
        <v>2550</v>
      </c>
      <c r="I261" s="15">
        <f t="shared" si="22"/>
        <v>2450</v>
      </c>
      <c r="J261" s="15">
        <f t="shared" si="23"/>
        <v>100</v>
      </c>
      <c r="K261" s="19">
        <f t="shared" si="24"/>
        <v>4.0816326530612242E-2</v>
      </c>
      <c r="L261" s="15" t="s">
        <v>239</v>
      </c>
      <c r="M261" s="15"/>
    </row>
    <row r="262" spans="1:13" x14ac:dyDescent="0.25">
      <c r="A262" s="16">
        <v>46010</v>
      </c>
      <c r="B262" s="20" t="s">
        <v>75</v>
      </c>
      <c r="C262" s="15">
        <v>1</v>
      </c>
      <c r="D262" s="23">
        <v>356839673448206</v>
      </c>
      <c r="E262" s="15">
        <v>2670</v>
      </c>
      <c r="F262" s="15">
        <v>2500</v>
      </c>
      <c r="G262" s="15">
        <f t="shared" si="20"/>
        <v>170</v>
      </c>
      <c r="H262" s="15">
        <f t="shared" si="21"/>
        <v>2670</v>
      </c>
      <c r="I262" s="15">
        <f t="shared" si="22"/>
        <v>2500</v>
      </c>
      <c r="J262" s="15">
        <f t="shared" si="23"/>
        <v>170</v>
      </c>
      <c r="K262" s="19">
        <f t="shared" si="24"/>
        <v>6.8000000000000005E-2</v>
      </c>
      <c r="L262" s="15" t="s">
        <v>239</v>
      </c>
      <c r="M262" s="15"/>
    </row>
    <row r="263" spans="1:13" x14ac:dyDescent="0.25">
      <c r="A263" s="16">
        <v>46009</v>
      </c>
      <c r="B263" s="20" t="s">
        <v>14</v>
      </c>
      <c r="C263" s="15">
        <v>1</v>
      </c>
      <c r="D263" s="23">
        <v>358482496936087</v>
      </c>
      <c r="E263" s="15">
        <v>3470</v>
      </c>
      <c r="F263" s="15">
        <v>3380</v>
      </c>
      <c r="G263" s="15">
        <f t="shared" si="20"/>
        <v>90</v>
      </c>
      <c r="H263" s="15">
        <f t="shared" si="21"/>
        <v>3470</v>
      </c>
      <c r="I263" s="15">
        <f t="shared" si="22"/>
        <v>3380</v>
      </c>
      <c r="J263" s="15">
        <f t="shared" si="23"/>
        <v>90</v>
      </c>
      <c r="K263" s="19">
        <f t="shared" si="24"/>
        <v>2.6627218934911243E-2</v>
      </c>
      <c r="L263" s="15" t="s">
        <v>239</v>
      </c>
      <c r="M263" s="15"/>
    </row>
    <row r="264" spans="1:13" x14ac:dyDescent="0.25">
      <c r="A264" s="16">
        <v>46009</v>
      </c>
      <c r="B264" s="20" t="s">
        <v>14</v>
      </c>
      <c r="C264" s="15">
        <v>1</v>
      </c>
      <c r="D264" s="23">
        <v>353837417592050</v>
      </c>
      <c r="E264" s="15">
        <v>3500</v>
      </c>
      <c r="F264" s="15">
        <v>3380</v>
      </c>
      <c r="G264" s="15">
        <f t="shared" si="20"/>
        <v>120</v>
      </c>
      <c r="H264" s="15">
        <f t="shared" si="21"/>
        <v>3500</v>
      </c>
      <c r="I264" s="15">
        <f t="shared" si="22"/>
        <v>3380</v>
      </c>
      <c r="J264" s="15">
        <f t="shared" si="23"/>
        <v>120</v>
      </c>
      <c r="K264" s="19">
        <f t="shared" si="24"/>
        <v>3.5502958579881658E-2</v>
      </c>
      <c r="L264" s="15" t="s">
        <v>239</v>
      </c>
      <c r="M264" s="15"/>
    </row>
    <row r="265" spans="1:13" x14ac:dyDescent="0.25">
      <c r="A265" s="16">
        <v>46009</v>
      </c>
      <c r="B265" s="20" t="s">
        <v>14</v>
      </c>
      <c r="C265" s="15">
        <v>1</v>
      </c>
      <c r="D265" s="22">
        <v>358482492103146</v>
      </c>
      <c r="E265" s="15">
        <v>3480</v>
      </c>
      <c r="F265" s="15">
        <v>3380</v>
      </c>
      <c r="G265" s="15">
        <f t="shared" si="20"/>
        <v>100</v>
      </c>
      <c r="H265" s="15">
        <f t="shared" si="21"/>
        <v>3480</v>
      </c>
      <c r="I265" s="15">
        <f t="shared" si="22"/>
        <v>3380</v>
      </c>
      <c r="J265" s="15">
        <f t="shared" si="23"/>
        <v>100</v>
      </c>
      <c r="K265" s="19">
        <f t="shared" si="24"/>
        <v>2.9585798816568046E-2</v>
      </c>
      <c r="L265" s="15" t="s">
        <v>239</v>
      </c>
      <c r="M265" s="15"/>
    </row>
    <row r="266" spans="1:13" x14ac:dyDescent="0.25">
      <c r="A266" s="16">
        <v>46009</v>
      </c>
      <c r="B266" s="20" t="s">
        <v>14</v>
      </c>
      <c r="C266" s="15">
        <v>1</v>
      </c>
      <c r="D266" s="22">
        <v>358482495279059</v>
      </c>
      <c r="E266" s="15">
        <v>3480</v>
      </c>
      <c r="F266" s="15">
        <v>3380</v>
      </c>
      <c r="G266" s="15">
        <f t="shared" si="20"/>
        <v>100</v>
      </c>
      <c r="H266" s="15">
        <f t="shared" si="21"/>
        <v>3480</v>
      </c>
      <c r="I266" s="15">
        <f t="shared" si="22"/>
        <v>3380</v>
      </c>
      <c r="J266" s="15">
        <f t="shared" si="23"/>
        <v>100</v>
      </c>
      <c r="K266" s="19">
        <f t="shared" si="24"/>
        <v>2.9585798816568046E-2</v>
      </c>
      <c r="L266" s="15" t="s">
        <v>239</v>
      </c>
      <c r="M266" s="15"/>
    </row>
    <row r="267" spans="1:13" x14ac:dyDescent="0.25">
      <c r="A267" s="16">
        <v>46009</v>
      </c>
      <c r="B267" s="20" t="s">
        <v>14</v>
      </c>
      <c r="C267" s="15">
        <v>1</v>
      </c>
      <c r="D267" s="22">
        <v>358482495474882</v>
      </c>
      <c r="E267" s="15">
        <v>3480</v>
      </c>
      <c r="F267" s="15">
        <v>3380</v>
      </c>
      <c r="G267" s="15">
        <f t="shared" si="20"/>
        <v>100</v>
      </c>
      <c r="H267" s="15">
        <f t="shared" si="21"/>
        <v>3480</v>
      </c>
      <c r="I267" s="15">
        <f t="shared" si="22"/>
        <v>3380</v>
      </c>
      <c r="J267" s="15">
        <f t="shared" si="23"/>
        <v>100</v>
      </c>
      <c r="K267" s="19">
        <f t="shared" si="24"/>
        <v>2.9585798816568046E-2</v>
      </c>
      <c r="L267" s="15" t="s">
        <v>239</v>
      </c>
      <c r="M267" s="15"/>
    </row>
    <row r="268" spans="1:13" x14ac:dyDescent="0.25">
      <c r="A268" s="16">
        <v>46009</v>
      </c>
      <c r="B268" s="20" t="s">
        <v>14</v>
      </c>
      <c r="C268" s="15">
        <v>1</v>
      </c>
      <c r="D268" s="22">
        <v>352791398319366</v>
      </c>
      <c r="E268" s="15">
        <v>3150</v>
      </c>
      <c r="F268" s="15">
        <v>3120</v>
      </c>
      <c r="G268" s="15">
        <f t="shared" si="20"/>
        <v>30</v>
      </c>
      <c r="H268" s="15">
        <f t="shared" si="21"/>
        <v>3150</v>
      </c>
      <c r="I268" s="15">
        <f t="shared" si="22"/>
        <v>3120</v>
      </c>
      <c r="J268" s="15">
        <f t="shared" si="23"/>
        <v>30</v>
      </c>
      <c r="K268" s="19">
        <f t="shared" si="24"/>
        <v>9.6153846153846159E-3</v>
      </c>
      <c r="L268" s="15" t="s">
        <v>239</v>
      </c>
      <c r="M268" s="15"/>
    </row>
    <row r="269" spans="1:13" x14ac:dyDescent="0.25">
      <c r="A269" s="16">
        <v>46009</v>
      </c>
      <c r="B269" s="20" t="s">
        <v>14</v>
      </c>
      <c r="C269" s="15">
        <v>1</v>
      </c>
      <c r="D269" s="22">
        <v>358482498890142</v>
      </c>
      <c r="E269" s="15">
        <v>3150</v>
      </c>
      <c r="F269" s="15">
        <v>3120</v>
      </c>
      <c r="G269" s="15">
        <f t="shared" si="20"/>
        <v>30</v>
      </c>
      <c r="H269" s="15">
        <f t="shared" si="21"/>
        <v>3150</v>
      </c>
      <c r="I269" s="15">
        <f t="shared" si="22"/>
        <v>3120</v>
      </c>
      <c r="J269" s="15">
        <f t="shared" si="23"/>
        <v>30</v>
      </c>
      <c r="K269" s="19">
        <f t="shared" si="24"/>
        <v>9.6153846153846159E-3</v>
      </c>
      <c r="L269" s="15" t="s">
        <v>239</v>
      </c>
      <c r="M269" s="15"/>
    </row>
    <row r="270" spans="1:13" x14ac:dyDescent="0.25">
      <c r="A270" s="16">
        <v>46009</v>
      </c>
      <c r="B270" s="20" t="s">
        <v>14</v>
      </c>
      <c r="C270" s="15">
        <v>1</v>
      </c>
      <c r="D270" s="22">
        <v>355450210168199</v>
      </c>
      <c r="E270" s="15">
        <v>3150</v>
      </c>
      <c r="F270" s="15">
        <v>3120</v>
      </c>
      <c r="G270" s="15">
        <f t="shared" si="20"/>
        <v>30</v>
      </c>
      <c r="H270" s="15">
        <f t="shared" si="21"/>
        <v>3150</v>
      </c>
      <c r="I270" s="15">
        <f t="shared" si="22"/>
        <v>3120</v>
      </c>
      <c r="J270" s="15">
        <f t="shared" si="23"/>
        <v>30</v>
      </c>
      <c r="K270" s="19">
        <f t="shared" si="24"/>
        <v>9.6153846153846159E-3</v>
      </c>
      <c r="L270" s="15" t="s">
        <v>239</v>
      </c>
      <c r="M270" s="15"/>
    </row>
    <row r="271" spans="1:13" x14ac:dyDescent="0.25">
      <c r="A271" s="16">
        <v>46009</v>
      </c>
      <c r="B271" s="17" t="s">
        <v>43</v>
      </c>
      <c r="C271" s="15">
        <v>1</v>
      </c>
      <c r="D271" s="23">
        <v>357223744839108</v>
      </c>
      <c r="E271" s="15">
        <v>1990</v>
      </c>
      <c r="F271" s="15">
        <v>1900</v>
      </c>
      <c r="G271" s="15">
        <f t="shared" si="20"/>
        <v>90</v>
      </c>
      <c r="H271" s="15">
        <f t="shared" si="21"/>
        <v>1990</v>
      </c>
      <c r="I271" s="15">
        <f t="shared" si="22"/>
        <v>1900</v>
      </c>
      <c r="J271" s="15">
        <f t="shared" si="23"/>
        <v>90</v>
      </c>
      <c r="K271" s="19">
        <f t="shared" si="24"/>
        <v>4.736842105263158E-2</v>
      </c>
      <c r="L271" s="15" t="s">
        <v>239</v>
      </c>
      <c r="M271" s="15"/>
    </row>
    <row r="272" spans="1:13" x14ac:dyDescent="0.25">
      <c r="A272" s="16">
        <v>46016</v>
      </c>
      <c r="B272" s="20" t="s">
        <v>139</v>
      </c>
      <c r="C272" s="15">
        <v>1</v>
      </c>
      <c r="D272" s="23">
        <v>351878871468132</v>
      </c>
      <c r="E272" s="15">
        <v>2160</v>
      </c>
      <c r="F272" s="15">
        <v>2000</v>
      </c>
      <c r="G272" s="15">
        <f t="shared" si="20"/>
        <v>160</v>
      </c>
      <c r="H272" s="15">
        <f t="shared" si="21"/>
        <v>2160</v>
      </c>
      <c r="I272" s="15">
        <f t="shared" si="22"/>
        <v>2000</v>
      </c>
      <c r="J272" s="15">
        <f t="shared" si="23"/>
        <v>160</v>
      </c>
      <c r="K272" s="19">
        <f t="shared" si="24"/>
        <v>0.08</v>
      </c>
      <c r="L272" s="15" t="s">
        <v>239</v>
      </c>
      <c r="M272" s="15"/>
    </row>
    <row r="273" spans="1:13" x14ac:dyDescent="0.25">
      <c r="A273" s="16">
        <v>46021</v>
      </c>
      <c r="B273" s="24" t="s">
        <v>153</v>
      </c>
      <c r="C273" s="15">
        <v>1</v>
      </c>
      <c r="D273" s="22">
        <v>356187983271318</v>
      </c>
      <c r="E273" s="15">
        <v>2800</v>
      </c>
      <c r="F273" s="21">
        <v>2380</v>
      </c>
      <c r="G273" s="15">
        <f t="shared" si="20"/>
        <v>420</v>
      </c>
      <c r="H273" s="15">
        <f t="shared" si="21"/>
        <v>2800</v>
      </c>
      <c r="I273" s="15">
        <f t="shared" si="22"/>
        <v>2380</v>
      </c>
      <c r="J273" s="15">
        <f t="shared" si="23"/>
        <v>420</v>
      </c>
      <c r="K273" s="19">
        <f t="shared" si="24"/>
        <v>0.17647058823529413</v>
      </c>
      <c r="L273" s="15" t="s">
        <v>225</v>
      </c>
      <c r="M273" s="15"/>
    </row>
    <row r="274" spans="1:13" x14ac:dyDescent="0.25">
      <c r="A274" s="16">
        <v>46021</v>
      </c>
      <c r="B274" s="24" t="s">
        <v>153</v>
      </c>
      <c r="C274" s="15">
        <v>1</v>
      </c>
      <c r="D274" s="22">
        <v>358135793204829</v>
      </c>
      <c r="E274" s="15">
        <v>2800</v>
      </c>
      <c r="F274" s="21">
        <v>2380</v>
      </c>
      <c r="G274" s="15">
        <f t="shared" si="20"/>
        <v>420</v>
      </c>
      <c r="H274" s="15">
        <f t="shared" si="21"/>
        <v>2800</v>
      </c>
      <c r="I274" s="15">
        <f t="shared" si="22"/>
        <v>2380</v>
      </c>
      <c r="J274" s="15">
        <f t="shared" si="23"/>
        <v>420</v>
      </c>
      <c r="K274" s="19">
        <f t="shared" si="24"/>
        <v>0.17647058823529413</v>
      </c>
      <c r="L274" s="15" t="s">
        <v>225</v>
      </c>
      <c r="M274" s="15"/>
    </row>
    <row r="275" spans="1:13" x14ac:dyDescent="0.25">
      <c r="A275" s="16">
        <v>46021</v>
      </c>
      <c r="B275" s="24" t="s">
        <v>153</v>
      </c>
      <c r="C275" s="15">
        <v>1</v>
      </c>
      <c r="D275" s="22">
        <v>358135793097124</v>
      </c>
      <c r="E275" s="15">
        <v>2480</v>
      </c>
      <c r="F275" s="21">
        <v>2380</v>
      </c>
      <c r="G275" s="15">
        <f t="shared" si="20"/>
        <v>100</v>
      </c>
      <c r="H275" s="15">
        <f t="shared" si="21"/>
        <v>2480</v>
      </c>
      <c r="I275" s="15">
        <f t="shared" si="22"/>
        <v>2380</v>
      </c>
      <c r="J275" s="15">
        <f t="shared" si="23"/>
        <v>100</v>
      </c>
      <c r="K275" s="19">
        <f t="shared" si="24"/>
        <v>4.2016806722689079E-2</v>
      </c>
      <c r="L275" s="15" t="s">
        <v>225</v>
      </c>
      <c r="M275" s="15"/>
    </row>
    <row r="276" spans="1:13" x14ac:dyDescent="0.25">
      <c r="A276" s="16">
        <v>46021</v>
      </c>
      <c r="B276" s="24" t="s">
        <v>153</v>
      </c>
      <c r="C276" s="15">
        <v>1</v>
      </c>
      <c r="D276" s="22">
        <v>358135793673171</v>
      </c>
      <c r="E276" s="15">
        <v>2480</v>
      </c>
      <c r="F276" s="21">
        <v>2380</v>
      </c>
      <c r="G276" s="15">
        <f t="shared" si="20"/>
        <v>100</v>
      </c>
      <c r="H276" s="15">
        <f t="shared" si="21"/>
        <v>2480</v>
      </c>
      <c r="I276" s="15">
        <f t="shared" si="22"/>
        <v>2380</v>
      </c>
      <c r="J276" s="15">
        <f t="shared" si="23"/>
        <v>100</v>
      </c>
      <c r="K276" s="19">
        <f t="shared" si="24"/>
        <v>4.2016806722689079E-2</v>
      </c>
      <c r="L276" s="15" t="s">
        <v>225</v>
      </c>
      <c r="M276" s="15"/>
    </row>
    <row r="277" spans="1:13" x14ac:dyDescent="0.25">
      <c r="A277" s="16">
        <v>46021</v>
      </c>
      <c r="B277" s="24" t="s">
        <v>153</v>
      </c>
      <c r="C277" s="15">
        <v>1</v>
      </c>
      <c r="D277" s="22">
        <v>358135791276969</v>
      </c>
      <c r="E277" s="15">
        <v>2480</v>
      </c>
      <c r="F277" s="21">
        <v>2380</v>
      </c>
      <c r="G277" s="15">
        <f t="shared" si="20"/>
        <v>100</v>
      </c>
      <c r="H277" s="15">
        <f t="shared" si="21"/>
        <v>2480</v>
      </c>
      <c r="I277" s="15">
        <f t="shared" si="22"/>
        <v>2380</v>
      </c>
      <c r="J277" s="15">
        <f t="shared" si="23"/>
        <v>100</v>
      </c>
      <c r="K277" s="19">
        <f t="shared" si="24"/>
        <v>4.2016806722689079E-2</v>
      </c>
      <c r="L277" s="15" t="s">
        <v>225</v>
      </c>
      <c r="M277" s="15"/>
    </row>
    <row r="278" spans="1:13" x14ac:dyDescent="0.25">
      <c r="A278" s="16">
        <v>46022</v>
      </c>
      <c r="B278" s="24" t="s">
        <v>195</v>
      </c>
      <c r="C278" s="15">
        <v>1</v>
      </c>
      <c r="D278" s="22">
        <v>356930604085157</v>
      </c>
      <c r="E278" s="15">
        <v>1920</v>
      </c>
      <c r="F278" s="15">
        <v>1900</v>
      </c>
      <c r="G278" s="15">
        <f t="shared" si="20"/>
        <v>20</v>
      </c>
      <c r="H278" s="15">
        <f t="shared" si="21"/>
        <v>1920</v>
      </c>
      <c r="I278" s="15">
        <f t="shared" si="22"/>
        <v>1900</v>
      </c>
      <c r="J278" s="15">
        <f t="shared" si="23"/>
        <v>20</v>
      </c>
      <c r="K278" s="19">
        <f t="shared" si="24"/>
        <v>1.0526315789473684E-2</v>
      </c>
      <c r="L278" s="15" t="s">
        <v>225</v>
      </c>
      <c r="M278" s="15"/>
    </row>
    <row r="279" spans="1:13" x14ac:dyDescent="0.25">
      <c r="A279" s="16">
        <v>46022</v>
      </c>
      <c r="B279" s="24" t="s">
        <v>195</v>
      </c>
      <c r="C279" s="15">
        <v>1</v>
      </c>
      <c r="D279" s="22">
        <v>356930604083582</v>
      </c>
      <c r="E279" s="15">
        <v>1920</v>
      </c>
      <c r="F279" s="15">
        <v>1900</v>
      </c>
      <c r="G279" s="15">
        <f t="shared" si="20"/>
        <v>20</v>
      </c>
      <c r="H279" s="15">
        <f t="shared" si="21"/>
        <v>1920</v>
      </c>
      <c r="I279" s="15">
        <f t="shared" si="22"/>
        <v>1900</v>
      </c>
      <c r="J279" s="15">
        <f t="shared" si="23"/>
        <v>20</v>
      </c>
      <c r="K279" s="19">
        <f t="shared" si="24"/>
        <v>1.0526315789473684E-2</v>
      </c>
      <c r="L279" s="15" t="s">
        <v>225</v>
      </c>
      <c r="M279" s="15"/>
    </row>
    <row r="280" spans="1:13" x14ac:dyDescent="0.25">
      <c r="A280" s="16">
        <v>46022</v>
      </c>
      <c r="B280" s="24" t="s">
        <v>195</v>
      </c>
      <c r="C280" s="15">
        <v>1</v>
      </c>
      <c r="D280" s="22">
        <v>351878870840984</v>
      </c>
      <c r="E280" s="15">
        <v>1920</v>
      </c>
      <c r="F280" s="15">
        <v>1900</v>
      </c>
      <c r="G280" s="15">
        <f t="shared" si="20"/>
        <v>20</v>
      </c>
      <c r="H280" s="15">
        <f t="shared" si="21"/>
        <v>1920</v>
      </c>
      <c r="I280" s="15">
        <f t="shared" si="22"/>
        <v>1900</v>
      </c>
      <c r="J280" s="15">
        <f t="shared" si="23"/>
        <v>20</v>
      </c>
      <c r="K280" s="19">
        <f t="shared" si="24"/>
        <v>1.0526315789473684E-2</v>
      </c>
      <c r="L280" s="15" t="s">
        <v>225</v>
      </c>
      <c r="M280" s="15"/>
    </row>
    <row r="281" spans="1:13" x14ac:dyDescent="0.25">
      <c r="A281" s="16">
        <v>46021</v>
      </c>
      <c r="B281" s="24" t="s">
        <v>202</v>
      </c>
      <c r="C281" s="15">
        <v>1</v>
      </c>
      <c r="D281" s="22">
        <v>351605721516327</v>
      </c>
      <c r="E281" s="15">
        <v>2010</v>
      </c>
      <c r="F281" s="15">
        <v>1900</v>
      </c>
      <c r="G281" s="15">
        <f t="shared" si="20"/>
        <v>110</v>
      </c>
      <c r="H281" s="15">
        <f t="shared" si="21"/>
        <v>2010</v>
      </c>
      <c r="I281" s="15">
        <f t="shared" si="22"/>
        <v>1900</v>
      </c>
      <c r="J281" s="15">
        <f t="shared" si="23"/>
        <v>110</v>
      </c>
      <c r="K281" s="19">
        <f t="shared" si="24"/>
        <v>5.7894736842105263E-2</v>
      </c>
      <c r="L281" s="15" t="s">
        <v>225</v>
      </c>
      <c r="M281" s="15"/>
    </row>
    <row r="282" spans="1:13" x14ac:dyDescent="0.25">
      <c r="A282" s="16">
        <v>46021</v>
      </c>
      <c r="B282" s="24" t="s">
        <v>202</v>
      </c>
      <c r="C282" s="15">
        <v>1</v>
      </c>
      <c r="D282" s="22">
        <v>358302114634163</v>
      </c>
      <c r="E282" s="15">
        <v>2010</v>
      </c>
      <c r="F282" s="15">
        <v>1900</v>
      </c>
      <c r="G282" s="15">
        <f t="shared" si="20"/>
        <v>110</v>
      </c>
      <c r="H282" s="15">
        <f t="shared" si="21"/>
        <v>2010</v>
      </c>
      <c r="I282" s="15">
        <f t="shared" si="22"/>
        <v>1900</v>
      </c>
      <c r="J282" s="15">
        <f t="shared" si="23"/>
        <v>110</v>
      </c>
      <c r="K282" s="19">
        <f t="shared" si="24"/>
        <v>5.7894736842105263E-2</v>
      </c>
      <c r="L282" s="15" t="s">
        <v>225</v>
      </c>
      <c r="M282" s="15"/>
    </row>
    <row r="283" spans="1:13" x14ac:dyDescent="0.25">
      <c r="A283" s="16">
        <v>46021</v>
      </c>
      <c r="B283" s="24" t="s">
        <v>202</v>
      </c>
      <c r="C283" s="15">
        <v>1</v>
      </c>
      <c r="D283" s="22">
        <v>351605725243233</v>
      </c>
      <c r="E283" s="15">
        <v>2010</v>
      </c>
      <c r="F283" s="15">
        <v>1900</v>
      </c>
      <c r="G283" s="15">
        <f t="shared" si="20"/>
        <v>110</v>
      </c>
      <c r="H283" s="15">
        <f t="shared" si="21"/>
        <v>2010</v>
      </c>
      <c r="I283" s="15">
        <f t="shared" si="22"/>
        <v>1900</v>
      </c>
      <c r="J283" s="15">
        <f t="shared" si="23"/>
        <v>110</v>
      </c>
      <c r="K283" s="19">
        <f t="shared" si="24"/>
        <v>5.7894736842105263E-2</v>
      </c>
      <c r="L283" s="15" t="s">
        <v>225</v>
      </c>
      <c r="M283" s="15"/>
    </row>
    <row r="284" spans="1:13" x14ac:dyDescent="0.25">
      <c r="A284" s="16">
        <v>46021</v>
      </c>
      <c r="B284" s="24" t="s">
        <v>202</v>
      </c>
      <c r="C284" s="15">
        <v>1</v>
      </c>
      <c r="D284" s="22">
        <v>358838945453216</v>
      </c>
      <c r="E284" s="15">
        <v>2010</v>
      </c>
      <c r="F284" s="15">
        <v>1900</v>
      </c>
      <c r="G284" s="15">
        <f t="shared" si="20"/>
        <v>110</v>
      </c>
      <c r="H284" s="15">
        <f t="shared" si="21"/>
        <v>2010</v>
      </c>
      <c r="I284" s="15">
        <f t="shared" si="22"/>
        <v>1900</v>
      </c>
      <c r="J284" s="15">
        <f t="shared" si="23"/>
        <v>110</v>
      </c>
      <c r="K284" s="19">
        <f t="shared" si="24"/>
        <v>5.7894736842105263E-2</v>
      </c>
      <c r="L284" s="15" t="s">
        <v>225</v>
      </c>
      <c r="M284" s="15"/>
    </row>
    <row r="285" spans="1:13" x14ac:dyDescent="0.25">
      <c r="A285" s="16">
        <v>46021</v>
      </c>
      <c r="B285" s="24" t="s">
        <v>202</v>
      </c>
      <c r="C285" s="15">
        <v>1</v>
      </c>
      <c r="D285" s="22">
        <v>357247594841112</v>
      </c>
      <c r="E285" s="15">
        <v>2010</v>
      </c>
      <c r="F285" s="15">
        <v>1900</v>
      </c>
      <c r="G285" s="15">
        <f t="shared" si="20"/>
        <v>110</v>
      </c>
      <c r="H285" s="15">
        <f t="shared" si="21"/>
        <v>2010</v>
      </c>
      <c r="I285" s="15">
        <f t="shared" si="22"/>
        <v>1900</v>
      </c>
      <c r="J285" s="15">
        <f t="shared" si="23"/>
        <v>110</v>
      </c>
      <c r="K285" s="19">
        <f t="shared" si="24"/>
        <v>5.7894736842105263E-2</v>
      </c>
      <c r="L285" s="15" t="s">
        <v>225</v>
      </c>
      <c r="M285" s="15"/>
    </row>
    <row r="286" spans="1:13" x14ac:dyDescent="0.25">
      <c r="A286" s="16">
        <v>46021</v>
      </c>
      <c r="B286" s="24" t="s">
        <v>201</v>
      </c>
      <c r="C286" s="15">
        <v>1</v>
      </c>
      <c r="D286" s="22">
        <v>352440638529299</v>
      </c>
      <c r="E286" s="15">
        <v>2560</v>
      </c>
      <c r="F286" s="15">
        <v>2500</v>
      </c>
      <c r="G286" s="15">
        <f t="shared" si="20"/>
        <v>60</v>
      </c>
      <c r="H286" s="15">
        <f t="shared" si="21"/>
        <v>2560</v>
      </c>
      <c r="I286" s="15">
        <f t="shared" si="22"/>
        <v>2500</v>
      </c>
      <c r="J286" s="15">
        <f t="shared" si="23"/>
        <v>60</v>
      </c>
      <c r="K286" s="19">
        <f t="shared" si="24"/>
        <v>2.4E-2</v>
      </c>
      <c r="L286" s="15" t="s">
        <v>225</v>
      </c>
      <c r="M286" s="15"/>
    </row>
    <row r="287" spans="1:13" x14ac:dyDescent="0.25">
      <c r="A287" s="16">
        <v>46021</v>
      </c>
      <c r="B287" s="24" t="s">
        <v>201</v>
      </c>
      <c r="C287" s="15">
        <v>1</v>
      </c>
      <c r="D287" s="22">
        <v>352440638658510</v>
      </c>
      <c r="E287" s="15">
        <v>2620</v>
      </c>
      <c r="F287" s="15">
        <v>2500</v>
      </c>
      <c r="G287" s="15">
        <f t="shared" si="20"/>
        <v>120</v>
      </c>
      <c r="H287" s="15">
        <f t="shared" si="21"/>
        <v>2620</v>
      </c>
      <c r="I287" s="15">
        <f t="shared" si="22"/>
        <v>2500</v>
      </c>
      <c r="J287" s="15">
        <f t="shared" si="23"/>
        <v>120</v>
      </c>
      <c r="K287" s="19">
        <f t="shared" si="24"/>
        <v>4.8000000000000001E-2</v>
      </c>
      <c r="L287" s="15" t="s">
        <v>225</v>
      </c>
      <c r="M287" s="15"/>
    </row>
    <row r="288" spans="1:13" x14ac:dyDescent="0.25">
      <c r="A288" s="16">
        <v>46021</v>
      </c>
      <c r="B288" s="24" t="s">
        <v>201</v>
      </c>
      <c r="C288" s="15">
        <v>1</v>
      </c>
      <c r="D288" s="22">
        <v>352190321356316</v>
      </c>
      <c r="E288" s="15">
        <v>2620</v>
      </c>
      <c r="F288" s="15">
        <v>2500</v>
      </c>
      <c r="G288" s="15">
        <f t="shared" si="20"/>
        <v>120</v>
      </c>
      <c r="H288" s="15">
        <f t="shared" si="21"/>
        <v>2620</v>
      </c>
      <c r="I288" s="15">
        <f t="shared" si="22"/>
        <v>2500</v>
      </c>
      <c r="J288" s="15">
        <f t="shared" si="23"/>
        <v>120</v>
      </c>
      <c r="K288" s="19">
        <f t="shared" si="24"/>
        <v>4.8000000000000001E-2</v>
      </c>
      <c r="L288" s="15" t="s">
        <v>225</v>
      </c>
      <c r="M288" s="15"/>
    </row>
    <row r="289" spans="1:13" x14ac:dyDescent="0.25">
      <c r="A289" s="16">
        <v>46022</v>
      </c>
      <c r="B289" s="24" t="s">
        <v>185</v>
      </c>
      <c r="C289" s="15">
        <v>1</v>
      </c>
      <c r="D289" s="22">
        <v>359614540205064</v>
      </c>
      <c r="E289" s="15">
        <v>3700</v>
      </c>
      <c r="F289" s="15">
        <v>3300</v>
      </c>
      <c r="G289" s="15">
        <f t="shared" si="20"/>
        <v>400</v>
      </c>
      <c r="H289" s="15">
        <f t="shared" si="21"/>
        <v>3700</v>
      </c>
      <c r="I289" s="15">
        <f t="shared" si="22"/>
        <v>3300</v>
      </c>
      <c r="J289" s="15">
        <f t="shared" si="23"/>
        <v>400</v>
      </c>
      <c r="K289" s="19">
        <f t="shared" si="24"/>
        <v>0.12121212121212122</v>
      </c>
      <c r="L289" s="15" t="s">
        <v>225</v>
      </c>
      <c r="M289" s="15"/>
    </row>
    <row r="290" spans="1:13" x14ac:dyDescent="0.25">
      <c r="A290" s="16">
        <v>46022</v>
      </c>
      <c r="B290" s="24" t="s">
        <v>185</v>
      </c>
      <c r="C290" s="15">
        <v>1</v>
      </c>
      <c r="D290" s="22">
        <v>353263422963410</v>
      </c>
      <c r="E290" s="15">
        <v>3700</v>
      </c>
      <c r="F290" s="15">
        <v>3300</v>
      </c>
      <c r="G290" s="15">
        <f t="shared" si="20"/>
        <v>400</v>
      </c>
      <c r="H290" s="15">
        <f t="shared" si="21"/>
        <v>3700</v>
      </c>
      <c r="I290" s="15">
        <f t="shared" si="22"/>
        <v>3300</v>
      </c>
      <c r="J290" s="15">
        <f t="shared" si="23"/>
        <v>400</v>
      </c>
      <c r="K290" s="19">
        <f t="shared" si="24"/>
        <v>0.12121212121212122</v>
      </c>
      <c r="L290" s="15" t="s">
        <v>225</v>
      </c>
      <c r="M290" s="15"/>
    </row>
    <row r="291" spans="1:13" x14ac:dyDescent="0.25">
      <c r="A291" s="16">
        <v>46022</v>
      </c>
      <c r="B291" s="24" t="s">
        <v>185</v>
      </c>
      <c r="C291" s="15">
        <v>1</v>
      </c>
      <c r="D291" s="22">
        <v>356605220869008</v>
      </c>
      <c r="E291" s="15">
        <v>3700</v>
      </c>
      <c r="F291" s="15">
        <v>3080</v>
      </c>
      <c r="G291" s="15">
        <f t="shared" si="20"/>
        <v>620</v>
      </c>
      <c r="H291" s="15">
        <f t="shared" si="21"/>
        <v>3700</v>
      </c>
      <c r="I291" s="15">
        <f t="shared" si="22"/>
        <v>3080</v>
      </c>
      <c r="J291" s="15">
        <f t="shared" si="23"/>
        <v>620</v>
      </c>
      <c r="K291" s="19">
        <f t="shared" si="24"/>
        <v>0.20129870129870131</v>
      </c>
      <c r="L291" s="15" t="s">
        <v>225</v>
      </c>
      <c r="M291" s="15"/>
    </row>
    <row r="292" spans="1:13" x14ac:dyDescent="0.25">
      <c r="A292" s="16">
        <v>46022</v>
      </c>
      <c r="B292" s="24" t="s">
        <v>185</v>
      </c>
      <c r="C292" s="15">
        <v>1</v>
      </c>
      <c r="D292" s="22">
        <v>358482492116395</v>
      </c>
      <c r="E292" s="15">
        <v>3700</v>
      </c>
      <c r="F292" s="15">
        <v>3080</v>
      </c>
      <c r="G292" s="15">
        <f t="shared" si="20"/>
        <v>620</v>
      </c>
      <c r="H292" s="15">
        <f t="shared" si="21"/>
        <v>3700</v>
      </c>
      <c r="I292" s="15">
        <f t="shared" si="22"/>
        <v>3080</v>
      </c>
      <c r="J292" s="15">
        <f t="shared" si="23"/>
        <v>620</v>
      </c>
      <c r="K292" s="19">
        <f t="shared" si="24"/>
        <v>0.20129870129870131</v>
      </c>
      <c r="L292" s="15" t="s">
        <v>225</v>
      </c>
      <c r="M292" s="15"/>
    </row>
    <row r="293" spans="1:13" x14ac:dyDescent="0.25">
      <c r="A293" s="16">
        <v>46022</v>
      </c>
      <c r="B293" s="24" t="s">
        <v>185</v>
      </c>
      <c r="C293" s="15">
        <v>1</v>
      </c>
      <c r="D293" s="22">
        <v>356188161192995</v>
      </c>
      <c r="E293" s="15">
        <v>3380</v>
      </c>
      <c r="F293" s="15">
        <v>3300</v>
      </c>
      <c r="G293" s="15">
        <f t="shared" si="20"/>
        <v>80</v>
      </c>
      <c r="H293" s="15">
        <f t="shared" si="21"/>
        <v>3380</v>
      </c>
      <c r="I293" s="15">
        <f t="shared" si="22"/>
        <v>3300</v>
      </c>
      <c r="J293" s="15">
        <f t="shared" si="23"/>
        <v>80</v>
      </c>
      <c r="K293" s="19">
        <f t="shared" si="24"/>
        <v>2.4242424242424242E-2</v>
      </c>
      <c r="L293" s="15" t="s">
        <v>225</v>
      </c>
      <c r="M293" s="15"/>
    </row>
    <row r="294" spans="1:13" x14ac:dyDescent="0.25">
      <c r="A294" s="16">
        <v>46022</v>
      </c>
      <c r="B294" s="24" t="s">
        <v>185</v>
      </c>
      <c r="C294" s="15">
        <v>1</v>
      </c>
      <c r="D294" s="22">
        <v>355478877711241</v>
      </c>
      <c r="E294" s="15">
        <v>3380</v>
      </c>
      <c r="F294" s="15">
        <v>3300</v>
      </c>
      <c r="G294" s="15">
        <f t="shared" si="20"/>
        <v>80</v>
      </c>
      <c r="H294" s="15">
        <f t="shared" si="21"/>
        <v>3380</v>
      </c>
      <c r="I294" s="15">
        <f t="shared" si="22"/>
        <v>3300</v>
      </c>
      <c r="J294" s="15">
        <f t="shared" si="23"/>
        <v>80</v>
      </c>
      <c r="K294" s="19">
        <f t="shared" si="24"/>
        <v>2.4242424242424242E-2</v>
      </c>
      <c r="L294" s="15" t="s">
        <v>225</v>
      </c>
      <c r="M294" s="15"/>
    </row>
    <row r="295" spans="1:13" x14ac:dyDescent="0.25">
      <c r="A295" s="16">
        <v>46022</v>
      </c>
      <c r="B295" s="24" t="s">
        <v>185</v>
      </c>
      <c r="C295" s="15">
        <v>1</v>
      </c>
      <c r="D295" s="22">
        <v>358482492772130</v>
      </c>
      <c r="E295" s="15">
        <v>3380</v>
      </c>
      <c r="F295" s="15">
        <v>3300</v>
      </c>
      <c r="G295" s="15">
        <f t="shared" si="20"/>
        <v>80</v>
      </c>
      <c r="H295" s="15">
        <f t="shared" si="21"/>
        <v>3380</v>
      </c>
      <c r="I295" s="15">
        <f t="shared" si="22"/>
        <v>3300</v>
      </c>
      <c r="J295" s="15">
        <f t="shared" si="23"/>
        <v>80</v>
      </c>
      <c r="K295" s="19">
        <f t="shared" si="24"/>
        <v>2.4242424242424242E-2</v>
      </c>
      <c r="L295" s="15" t="s">
        <v>225</v>
      </c>
      <c r="M295" s="15"/>
    </row>
    <row r="296" spans="1:13" x14ac:dyDescent="0.25">
      <c r="A296" s="16">
        <v>46022</v>
      </c>
      <c r="B296" s="24" t="s">
        <v>185</v>
      </c>
      <c r="C296" s="15">
        <v>1</v>
      </c>
      <c r="D296" s="22">
        <v>356764179559548</v>
      </c>
      <c r="E296" s="15">
        <v>3380</v>
      </c>
      <c r="F296" s="15">
        <v>3300</v>
      </c>
      <c r="G296" s="15">
        <f t="shared" si="20"/>
        <v>80</v>
      </c>
      <c r="H296" s="15">
        <f t="shared" si="21"/>
        <v>3380</v>
      </c>
      <c r="I296" s="15">
        <f t="shared" si="22"/>
        <v>3300</v>
      </c>
      <c r="J296" s="15">
        <f t="shared" si="23"/>
        <v>80</v>
      </c>
      <c r="K296" s="19">
        <f t="shared" si="24"/>
        <v>2.4242424242424242E-2</v>
      </c>
      <c r="L296" s="15" t="s">
        <v>225</v>
      </c>
      <c r="M296" s="15"/>
    </row>
    <row r="297" spans="1:13" x14ac:dyDescent="0.25">
      <c r="A297" s="16">
        <v>46022</v>
      </c>
      <c r="B297" s="24" t="s">
        <v>185</v>
      </c>
      <c r="C297" s="15">
        <v>1</v>
      </c>
      <c r="D297" s="22">
        <v>355450218827739</v>
      </c>
      <c r="E297" s="15">
        <v>3500</v>
      </c>
      <c r="F297" s="15">
        <v>3080</v>
      </c>
      <c r="G297" s="15">
        <f t="shared" si="20"/>
        <v>420</v>
      </c>
      <c r="H297" s="15">
        <f t="shared" si="21"/>
        <v>3500</v>
      </c>
      <c r="I297" s="15">
        <f t="shared" si="22"/>
        <v>3080</v>
      </c>
      <c r="J297" s="15">
        <f t="shared" si="23"/>
        <v>420</v>
      </c>
      <c r="K297" s="19">
        <f t="shared" si="24"/>
        <v>0.13636363636363635</v>
      </c>
      <c r="L297" s="15" t="s">
        <v>225</v>
      </c>
      <c r="M297" s="15"/>
    </row>
    <row r="298" spans="1:13" x14ac:dyDescent="0.25">
      <c r="A298" s="16">
        <v>46022</v>
      </c>
      <c r="B298" s="24" t="s">
        <v>185</v>
      </c>
      <c r="C298" s="15">
        <v>1</v>
      </c>
      <c r="D298" s="22">
        <v>355450218921904</v>
      </c>
      <c r="E298" s="15">
        <v>3130</v>
      </c>
      <c r="F298" s="15">
        <v>3080</v>
      </c>
      <c r="G298" s="15">
        <f t="shared" si="20"/>
        <v>50</v>
      </c>
      <c r="H298" s="15">
        <f t="shared" si="21"/>
        <v>3130</v>
      </c>
      <c r="I298" s="15">
        <f t="shared" si="22"/>
        <v>3080</v>
      </c>
      <c r="J298" s="15">
        <f t="shared" si="23"/>
        <v>50</v>
      </c>
      <c r="K298" s="19">
        <f t="shared" si="24"/>
        <v>1.6233766233766232E-2</v>
      </c>
      <c r="L298" s="15" t="s">
        <v>225</v>
      </c>
      <c r="M298" s="15"/>
    </row>
    <row r="299" spans="1:13" x14ac:dyDescent="0.25">
      <c r="A299" s="16">
        <v>46010</v>
      </c>
      <c r="B299" s="17" t="s">
        <v>102</v>
      </c>
      <c r="C299" s="15">
        <v>2</v>
      </c>
      <c r="D299" s="18"/>
      <c r="E299" s="15">
        <v>465</v>
      </c>
      <c r="F299" s="15">
        <v>449.5</v>
      </c>
      <c r="G299" s="15">
        <f t="shared" si="20"/>
        <v>15.5</v>
      </c>
      <c r="H299" s="15">
        <f t="shared" si="21"/>
        <v>930</v>
      </c>
      <c r="I299" s="15">
        <f t="shared" si="22"/>
        <v>899</v>
      </c>
      <c r="J299" s="15">
        <f t="shared" si="23"/>
        <v>31</v>
      </c>
      <c r="K299" s="19">
        <f t="shared" si="24"/>
        <v>3.4482758620689655E-2</v>
      </c>
      <c r="L299" s="15" t="s">
        <v>216</v>
      </c>
      <c r="M299" s="15"/>
    </row>
    <row r="300" spans="1:13" x14ac:dyDescent="0.25">
      <c r="A300" s="16">
        <v>46015</v>
      </c>
      <c r="B300" s="20" t="s">
        <v>136</v>
      </c>
      <c r="C300" s="15">
        <v>1</v>
      </c>
      <c r="D300" s="18"/>
      <c r="E300" s="15">
        <v>1580</v>
      </c>
      <c r="F300" s="21">
        <v>1492</v>
      </c>
      <c r="G300" s="15">
        <f t="shared" si="20"/>
        <v>88</v>
      </c>
      <c r="H300" s="15">
        <f t="shared" si="21"/>
        <v>1580</v>
      </c>
      <c r="I300" s="15">
        <f t="shared" si="22"/>
        <v>1492</v>
      </c>
      <c r="J300" s="15">
        <f t="shared" si="23"/>
        <v>88</v>
      </c>
      <c r="K300" s="19">
        <f t="shared" si="24"/>
        <v>5.8981233243967826E-2</v>
      </c>
      <c r="L300" s="15" t="s">
        <v>216</v>
      </c>
      <c r="M300" s="15"/>
    </row>
    <row r="301" spans="1:13" x14ac:dyDescent="0.25">
      <c r="A301" s="16">
        <v>46002</v>
      </c>
      <c r="B301" s="20" t="s">
        <v>72</v>
      </c>
      <c r="C301" s="15">
        <v>8</v>
      </c>
      <c r="D301" s="18"/>
      <c r="E301" s="15">
        <v>750</v>
      </c>
      <c r="F301" s="21">
        <v>728</v>
      </c>
      <c r="G301" s="15">
        <f t="shared" si="20"/>
        <v>22</v>
      </c>
      <c r="H301" s="15">
        <f t="shared" si="21"/>
        <v>6000</v>
      </c>
      <c r="I301" s="15">
        <f t="shared" si="22"/>
        <v>5824</v>
      </c>
      <c r="J301" s="15">
        <f t="shared" si="23"/>
        <v>176</v>
      </c>
      <c r="K301" s="19">
        <f t="shared" si="24"/>
        <v>3.021978021978022E-2</v>
      </c>
      <c r="L301" s="15" t="s">
        <v>216</v>
      </c>
      <c r="M301" s="15"/>
    </row>
    <row r="302" spans="1:13" x14ac:dyDescent="0.25">
      <c r="A302" s="16">
        <v>46022</v>
      </c>
      <c r="B302" s="17" t="s">
        <v>211</v>
      </c>
      <c r="C302" s="15">
        <v>1</v>
      </c>
      <c r="D302" s="22" t="s">
        <v>213</v>
      </c>
      <c r="E302" s="15">
        <v>1250</v>
      </c>
      <c r="F302" s="21">
        <v>773</v>
      </c>
      <c r="G302" s="15">
        <f t="shared" si="20"/>
        <v>477</v>
      </c>
      <c r="H302" s="15">
        <f t="shared" si="21"/>
        <v>1250</v>
      </c>
      <c r="I302" s="15">
        <f t="shared" si="22"/>
        <v>773</v>
      </c>
      <c r="J302" s="15">
        <f t="shared" si="23"/>
        <v>477</v>
      </c>
      <c r="K302" s="19">
        <f t="shared" si="24"/>
        <v>0.61707632600258733</v>
      </c>
      <c r="L302" s="15" t="s">
        <v>216</v>
      </c>
      <c r="M302" s="15"/>
    </row>
    <row r="303" spans="1:13" x14ac:dyDescent="0.25">
      <c r="A303" s="16">
        <v>46021</v>
      </c>
      <c r="B303" s="24" t="s">
        <v>203</v>
      </c>
      <c r="C303" s="15">
        <v>1</v>
      </c>
      <c r="D303" s="22" t="s">
        <v>204</v>
      </c>
      <c r="E303" s="15">
        <v>3306</v>
      </c>
      <c r="F303" s="15">
        <v>3055.83</v>
      </c>
      <c r="G303" s="15">
        <f t="shared" si="20"/>
        <v>250.17000000000007</v>
      </c>
      <c r="H303" s="15">
        <f t="shared" si="21"/>
        <v>3306</v>
      </c>
      <c r="I303" s="15">
        <f t="shared" si="22"/>
        <v>3055.83</v>
      </c>
      <c r="J303" s="15">
        <f t="shared" si="23"/>
        <v>250.17000000000007</v>
      </c>
      <c r="K303" s="19">
        <f t="shared" si="24"/>
        <v>8.1866465084772411E-2</v>
      </c>
      <c r="L303" s="15" t="s">
        <v>216</v>
      </c>
      <c r="M303" s="15"/>
    </row>
    <row r="304" spans="1:13" x14ac:dyDescent="0.25">
      <c r="A304" s="16">
        <v>46021</v>
      </c>
      <c r="B304" s="24" t="s">
        <v>203</v>
      </c>
      <c r="C304" s="15">
        <v>1</v>
      </c>
      <c r="D304" s="22" t="s">
        <v>205</v>
      </c>
      <c r="E304" s="15">
        <v>3306</v>
      </c>
      <c r="F304" s="15">
        <v>3055.83</v>
      </c>
      <c r="G304" s="15">
        <f t="shared" si="20"/>
        <v>250.17000000000007</v>
      </c>
      <c r="H304" s="15">
        <f t="shared" si="21"/>
        <v>3306</v>
      </c>
      <c r="I304" s="15">
        <f t="shared" si="22"/>
        <v>3055.83</v>
      </c>
      <c r="J304" s="15">
        <f t="shared" si="23"/>
        <v>250.17000000000007</v>
      </c>
      <c r="K304" s="19">
        <f t="shared" si="24"/>
        <v>8.1866465084772411E-2</v>
      </c>
      <c r="L304" s="15" t="s">
        <v>216</v>
      </c>
      <c r="M304" s="15"/>
    </row>
    <row r="305" spans="1:13" x14ac:dyDescent="0.25">
      <c r="A305" s="16">
        <v>46021</v>
      </c>
      <c r="B305" s="24" t="s">
        <v>203</v>
      </c>
      <c r="C305" s="15">
        <v>1</v>
      </c>
      <c r="D305" s="22" t="s">
        <v>206</v>
      </c>
      <c r="E305" s="15">
        <v>3306</v>
      </c>
      <c r="F305" s="15">
        <v>3055.83</v>
      </c>
      <c r="G305" s="15">
        <f t="shared" si="20"/>
        <v>250.17000000000007</v>
      </c>
      <c r="H305" s="15">
        <f t="shared" si="21"/>
        <v>3306</v>
      </c>
      <c r="I305" s="15">
        <f t="shared" si="22"/>
        <v>3055.83</v>
      </c>
      <c r="J305" s="15">
        <f t="shared" si="23"/>
        <v>250.17000000000007</v>
      </c>
      <c r="K305" s="19">
        <f t="shared" si="24"/>
        <v>8.1866465084772411E-2</v>
      </c>
      <c r="L305" s="15" t="s">
        <v>216</v>
      </c>
      <c r="M305" s="15"/>
    </row>
    <row r="306" spans="1:13" x14ac:dyDescent="0.25">
      <c r="A306" s="16">
        <v>46021</v>
      </c>
      <c r="B306" s="24" t="s">
        <v>203</v>
      </c>
      <c r="C306" s="15">
        <v>1</v>
      </c>
      <c r="D306" s="22" t="s">
        <v>207</v>
      </c>
      <c r="E306" s="15">
        <v>3306</v>
      </c>
      <c r="F306" s="15">
        <v>3055.83</v>
      </c>
      <c r="G306" s="15">
        <f t="shared" si="20"/>
        <v>250.17000000000007</v>
      </c>
      <c r="H306" s="15">
        <f t="shared" si="21"/>
        <v>3306</v>
      </c>
      <c r="I306" s="15">
        <f t="shared" si="22"/>
        <v>3055.83</v>
      </c>
      <c r="J306" s="15">
        <f t="shared" si="23"/>
        <v>250.17000000000007</v>
      </c>
      <c r="K306" s="19">
        <f t="shared" si="24"/>
        <v>8.1866465084772411E-2</v>
      </c>
      <c r="L306" s="15" t="s">
        <v>216</v>
      </c>
      <c r="M306" s="15"/>
    </row>
    <row r="307" spans="1:13" x14ac:dyDescent="0.25">
      <c r="A307" s="16">
        <v>46021</v>
      </c>
      <c r="B307" s="24" t="s">
        <v>203</v>
      </c>
      <c r="C307" s="15">
        <v>1</v>
      </c>
      <c r="D307" s="22" t="s">
        <v>208</v>
      </c>
      <c r="E307" s="15">
        <v>3306</v>
      </c>
      <c r="F307" s="15">
        <v>3055.83</v>
      </c>
      <c r="G307" s="15">
        <f t="shared" si="20"/>
        <v>250.17000000000007</v>
      </c>
      <c r="H307" s="15">
        <f t="shared" si="21"/>
        <v>3306</v>
      </c>
      <c r="I307" s="15">
        <f t="shared" si="22"/>
        <v>3055.83</v>
      </c>
      <c r="J307" s="15">
        <f t="shared" si="23"/>
        <v>250.17000000000007</v>
      </c>
      <c r="K307" s="19">
        <f t="shared" si="24"/>
        <v>8.1866465084772411E-2</v>
      </c>
      <c r="L307" s="15" t="s">
        <v>216</v>
      </c>
      <c r="M307" s="15"/>
    </row>
    <row r="308" spans="1:13" x14ac:dyDescent="0.25">
      <c r="A308" s="16">
        <v>46021</v>
      </c>
      <c r="B308" s="24" t="s">
        <v>203</v>
      </c>
      <c r="C308" s="15">
        <v>1</v>
      </c>
      <c r="D308" s="22" t="s">
        <v>209</v>
      </c>
      <c r="E308" s="15">
        <v>3306</v>
      </c>
      <c r="F308" s="15">
        <v>3055.83</v>
      </c>
      <c r="G308" s="15">
        <f t="shared" si="20"/>
        <v>250.17000000000007</v>
      </c>
      <c r="H308" s="15">
        <f t="shared" si="21"/>
        <v>3306</v>
      </c>
      <c r="I308" s="15">
        <f t="shared" si="22"/>
        <v>3055.83</v>
      </c>
      <c r="J308" s="15">
        <f t="shared" si="23"/>
        <v>250.17000000000007</v>
      </c>
      <c r="K308" s="19">
        <f t="shared" si="24"/>
        <v>8.1866465084772411E-2</v>
      </c>
      <c r="L308" s="15" t="s">
        <v>216</v>
      </c>
      <c r="M308" s="15"/>
    </row>
    <row r="309" spans="1:13" x14ac:dyDescent="0.25">
      <c r="A309" s="16">
        <v>46022</v>
      </c>
      <c r="B309" s="17" t="s">
        <v>215</v>
      </c>
      <c r="C309" s="15">
        <v>1</v>
      </c>
      <c r="D309" s="22">
        <v>352393410539442</v>
      </c>
      <c r="E309" s="15">
        <v>1200</v>
      </c>
      <c r="F309" s="15">
        <v>1000</v>
      </c>
      <c r="G309" s="15">
        <f t="shared" si="20"/>
        <v>200</v>
      </c>
      <c r="H309" s="15">
        <f t="shared" si="21"/>
        <v>1200</v>
      </c>
      <c r="I309" s="15">
        <f t="shared" si="22"/>
        <v>1000</v>
      </c>
      <c r="J309" s="15">
        <f t="shared" si="23"/>
        <v>200</v>
      </c>
      <c r="K309" s="19">
        <f t="shared" si="24"/>
        <v>0.2</v>
      </c>
      <c r="L309" s="15" t="s">
        <v>216</v>
      </c>
      <c r="M309" s="15"/>
    </row>
    <row r="310" spans="1:13" x14ac:dyDescent="0.25">
      <c r="A310" s="16">
        <v>46006</v>
      </c>
      <c r="B310" s="17" t="s">
        <v>85</v>
      </c>
      <c r="C310" s="15">
        <v>12</v>
      </c>
      <c r="D310" s="18"/>
      <c r="E310" s="15">
        <v>1725</v>
      </c>
      <c r="F310" s="15">
        <v>1527.75</v>
      </c>
      <c r="G310" s="15">
        <f t="shared" si="20"/>
        <v>197.25</v>
      </c>
      <c r="H310" s="15">
        <f t="shared" si="21"/>
        <v>20700</v>
      </c>
      <c r="I310" s="15">
        <f t="shared" si="22"/>
        <v>18333</v>
      </c>
      <c r="J310" s="15">
        <f t="shared" si="23"/>
        <v>2367</v>
      </c>
      <c r="K310" s="19">
        <f t="shared" si="24"/>
        <v>0.12911143838978892</v>
      </c>
      <c r="L310" s="15" t="s">
        <v>216</v>
      </c>
      <c r="M310" s="15"/>
    </row>
    <row r="311" spans="1:13" x14ac:dyDescent="0.25">
      <c r="A311" s="16">
        <v>45997</v>
      </c>
      <c r="B311" s="17" t="s">
        <v>38</v>
      </c>
      <c r="C311" s="15">
        <v>1</v>
      </c>
      <c r="D311" s="18"/>
      <c r="E311" s="15">
        <v>1650</v>
      </c>
      <c r="F311" s="15">
        <v>1294</v>
      </c>
      <c r="G311" s="15">
        <f t="shared" si="20"/>
        <v>356</v>
      </c>
      <c r="H311" s="15">
        <f t="shared" si="21"/>
        <v>1650</v>
      </c>
      <c r="I311" s="15">
        <f t="shared" si="22"/>
        <v>1294</v>
      </c>
      <c r="J311" s="15">
        <f t="shared" si="23"/>
        <v>356</v>
      </c>
      <c r="K311" s="19">
        <f t="shared" si="24"/>
        <v>0.27511591962905718</v>
      </c>
      <c r="L311" s="15" t="s">
        <v>216</v>
      </c>
      <c r="M311" s="15"/>
    </row>
    <row r="312" spans="1:13" x14ac:dyDescent="0.25">
      <c r="A312" s="16">
        <v>46015</v>
      </c>
      <c r="B312" s="20" t="s">
        <v>38</v>
      </c>
      <c r="C312" s="15">
        <v>2</v>
      </c>
      <c r="D312" s="18"/>
      <c r="E312" s="15">
        <v>1640</v>
      </c>
      <c r="F312" s="15">
        <v>1348</v>
      </c>
      <c r="G312" s="15">
        <f t="shared" si="20"/>
        <v>292</v>
      </c>
      <c r="H312" s="15">
        <f t="shared" si="21"/>
        <v>3280</v>
      </c>
      <c r="I312" s="15">
        <f t="shared" si="22"/>
        <v>2696</v>
      </c>
      <c r="J312" s="15">
        <f t="shared" si="23"/>
        <v>584</v>
      </c>
      <c r="K312" s="19">
        <f t="shared" si="24"/>
        <v>0.21661721068249259</v>
      </c>
      <c r="L312" s="15" t="s">
        <v>216</v>
      </c>
      <c r="M312" s="15"/>
    </row>
    <row r="313" spans="1:13" x14ac:dyDescent="0.25">
      <c r="A313" s="16">
        <v>46015</v>
      </c>
      <c r="B313" s="20" t="s">
        <v>38</v>
      </c>
      <c r="C313" s="21">
        <v>1</v>
      </c>
      <c r="D313" s="18"/>
      <c r="E313" s="21">
        <v>1640</v>
      </c>
      <c r="F313" s="15">
        <v>1007</v>
      </c>
      <c r="G313" s="15">
        <f t="shared" si="20"/>
        <v>633</v>
      </c>
      <c r="H313" s="15">
        <f t="shared" si="21"/>
        <v>1640</v>
      </c>
      <c r="I313" s="15">
        <f t="shared" si="22"/>
        <v>1007</v>
      </c>
      <c r="J313" s="15">
        <f t="shared" si="23"/>
        <v>633</v>
      </c>
      <c r="K313" s="19">
        <f t="shared" si="24"/>
        <v>0.62859980139026816</v>
      </c>
      <c r="L313" s="15" t="s">
        <v>216</v>
      </c>
      <c r="M313" s="15"/>
    </row>
    <row r="314" spans="1:13" x14ac:dyDescent="0.25">
      <c r="A314" s="16">
        <v>46011</v>
      </c>
      <c r="B314" s="17" t="s">
        <v>131</v>
      </c>
      <c r="C314" s="15">
        <v>1</v>
      </c>
      <c r="D314" s="18"/>
      <c r="E314" s="15">
        <v>1980</v>
      </c>
      <c r="F314" s="15">
        <v>1725.5</v>
      </c>
      <c r="G314" s="15">
        <f t="shared" si="20"/>
        <v>254.5</v>
      </c>
      <c r="H314" s="15">
        <f t="shared" si="21"/>
        <v>1980</v>
      </c>
      <c r="I314" s="15">
        <f t="shared" si="22"/>
        <v>1725.5</v>
      </c>
      <c r="J314" s="15">
        <f t="shared" si="23"/>
        <v>254.5</v>
      </c>
      <c r="K314" s="19">
        <f t="shared" si="24"/>
        <v>0.14749348015068095</v>
      </c>
      <c r="L314" s="15" t="s">
        <v>216</v>
      </c>
      <c r="M314" s="15"/>
    </row>
    <row r="315" spans="1:13" x14ac:dyDescent="0.25">
      <c r="A315" s="16">
        <v>46011</v>
      </c>
      <c r="B315" s="17" t="s">
        <v>131</v>
      </c>
      <c r="C315" s="15">
        <v>1</v>
      </c>
      <c r="D315" s="18"/>
      <c r="E315" s="15">
        <v>1980</v>
      </c>
      <c r="F315" s="15">
        <v>1725.5</v>
      </c>
      <c r="G315" s="15">
        <f t="shared" si="20"/>
        <v>254.5</v>
      </c>
      <c r="H315" s="15">
        <f t="shared" si="21"/>
        <v>1980</v>
      </c>
      <c r="I315" s="15">
        <f t="shared" si="22"/>
        <v>1725.5</v>
      </c>
      <c r="J315" s="15">
        <f t="shared" si="23"/>
        <v>254.5</v>
      </c>
      <c r="K315" s="19">
        <f t="shared" si="24"/>
        <v>0.14749348015068095</v>
      </c>
      <c r="L315" s="15" t="s">
        <v>216</v>
      </c>
      <c r="M315" s="15"/>
    </row>
    <row r="316" spans="1:13" x14ac:dyDescent="0.25">
      <c r="A316" s="16">
        <v>46002</v>
      </c>
      <c r="B316" s="20" t="s">
        <v>74</v>
      </c>
      <c r="C316" s="15">
        <v>1</v>
      </c>
      <c r="D316" s="22">
        <v>354956979783102</v>
      </c>
      <c r="E316" s="15">
        <v>5000</v>
      </c>
      <c r="F316" s="15">
        <v>4918.3</v>
      </c>
      <c r="G316" s="15">
        <f t="shared" si="20"/>
        <v>81.699999999999818</v>
      </c>
      <c r="H316" s="15">
        <f t="shared" si="21"/>
        <v>5000</v>
      </c>
      <c r="I316" s="15">
        <f t="shared" si="22"/>
        <v>4918.3</v>
      </c>
      <c r="J316" s="15">
        <f t="shared" si="23"/>
        <v>81.699999999999818</v>
      </c>
      <c r="K316" s="19">
        <f t="shared" si="24"/>
        <v>1.6611430778927641E-2</v>
      </c>
      <c r="L316" s="15" t="s">
        <v>240</v>
      </c>
      <c r="M316" s="15"/>
    </row>
    <row r="317" spans="1:13" x14ac:dyDescent="0.25">
      <c r="A317" s="16">
        <v>46002</v>
      </c>
      <c r="B317" s="20" t="s">
        <v>74</v>
      </c>
      <c r="C317" s="15">
        <v>1</v>
      </c>
      <c r="D317" s="22">
        <v>354956979854473</v>
      </c>
      <c r="E317" s="15">
        <v>5000</v>
      </c>
      <c r="F317" s="15">
        <v>4918.3</v>
      </c>
      <c r="G317" s="15">
        <f t="shared" si="20"/>
        <v>81.699999999999818</v>
      </c>
      <c r="H317" s="15">
        <f t="shared" si="21"/>
        <v>5000</v>
      </c>
      <c r="I317" s="15">
        <f t="shared" si="22"/>
        <v>4918.3</v>
      </c>
      <c r="J317" s="15">
        <f t="shared" si="23"/>
        <v>81.699999999999818</v>
      </c>
      <c r="K317" s="19">
        <f t="shared" si="24"/>
        <v>1.6611430778927641E-2</v>
      </c>
      <c r="L317" s="15" t="s">
        <v>240</v>
      </c>
      <c r="M317" s="15"/>
    </row>
    <row r="318" spans="1:13" x14ac:dyDescent="0.25">
      <c r="A318" s="16">
        <v>46002</v>
      </c>
      <c r="B318" s="20" t="s">
        <v>74</v>
      </c>
      <c r="C318" s="15">
        <v>1</v>
      </c>
      <c r="D318" s="22">
        <v>356661408898848</v>
      </c>
      <c r="E318" s="15">
        <v>5000</v>
      </c>
      <c r="F318" s="15">
        <v>4918.3</v>
      </c>
      <c r="G318" s="15">
        <f t="shared" si="20"/>
        <v>81.699999999999818</v>
      </c>
      <c r="H318" s="15">
        <f t="shared" si="21"/>
        <v>5000</v>
      </c>
      <c r="I318" s="15">
        <f t="shared" si="22"/>
        <v>4918.3</v>
      </c>
      <c r="J318" s="15">
        <f t="shared" si="23"/>
        <v>81.699999999999818</v>
      </c>
      <c r="K318" s="19">
        <f t="shared" si="24"/>
        <v>1.6611430778927641E-2</v>
      </c>
      <c r="L318" s="15" t="s">
        <v>240</v>
      </c>
      <c r="M318" s="15"/>
    </row>
    <row r="319" spans="1:13" x14ac:dyDescent="0.25">
      <c r="A319" s="16">
        <v>46003</v>
      </c>
      <c r="B319" s="17" t="s">
        <v>44</v>
      </c>
      <c r="C319" s="15">
        <v>1</v>
      </c>
      <c r="D319" s="22">
        <v>354210970934243</v>
      </c>
      <c r="E319" s="15">
        <v>2770</v>
      </c>
      <c r="F319" s="15">
        <v>2602.75</v>
      </c>
      <c r="G319" s="15">
        <f t="shared" si="20"/>
        <v>167.25</v>
      </c>
      <c r="H319" s="15">
        <f t="shared" si="21"/>
        <v>2770</v>
      </c>
      <c r="I319" s="15">
        <f t="shared" si="22"/>
        <v>2602.75</v>
      </c>
      <c r="J319" s="15">
        <f t="shared" si="23"/>
        <v>167.25</v>
      </c>
      <c r="K319" s="19">
        <f t="shared" si="24"/>
        <v>6.4258956872538658E-2</v>
      </c>
      <c r="L319" s="15" t="s">
        <v>240</v>
      </c>
      <c r="M319" s="15"/>
    </row>
    <row r="320" spans="1:13" x14ac:dyDescent="0.25">
      <c r="A320" s="16">
        <v>46003</v>
      </c>
      <c r="B320" s="17" t="s">
        <v>83</v>
      </c>
      <c r="C320" s="15">
        <v>1</v>
      </c>
      <c r="D320" s="23">
        <v>357550242667940</v>
      </c>
      <c r="E320" s="15">
        <v>850</v>
      </c>
      <c r="F320" s="21">
        <v>719</v>
      </c>
      <c r="G320" s="15">
        <f t="shared" si="20"/>
        <v>131</v>
      </c>
      <c r="H320" s="15">
        <f t="shared" si="21"/>
        <v>850</v>
      </c>
      <c r="I320" s="15">
        <f t="shared" si="22"/>
        <v>719</v>
      </c>
      <c r="J320" s="15">
        <f t="shared" si="23"/>
        <v>131</v>
      </c>
      <c r="K320" s="19">
        <f t="shared" si="24"/>
        <v>0.18219749652294853</v>
      </c>
      <c r="L320" s="15" t="s">
        <v>223</v>
      </c>
      <c r="M320" s="15"/>
    </row>
    <row r="321" spans="1:13" x14ac:dyDescent="0.25">
      <c r="A321" s="16">
        <v>46003</v>
      </c>
      <c r="B321" s="17" t="s">
        <v>82</v>
      </c>
      <c r="C321" s="15">
        <v>1</v>
      </c>
      <c r="D321" s="23">
        <v>358911634583658</v>
      </c>
      <c r="E321" s="15">
        <v>1320</v>
      </c>
      <c r="F321" s="21">
        <v>1150.4000000000001</v>
      </c>
      <c r="G321" s="15">
        <f t="shared" si="20"/>
        <v>169.59999999999991</v>
      </c>
      <c r="H321" s="15">
        <f t="shared" si="21"/>
        <v>1320</v>
      </c>
      <c r="I321" s="15">
        <f t="shared" si="22"/>
        <v>1150.4000000000001</v>
      </c>
      <c r="J321" s="15">
        <f t="shared" si="23"/>
        <v>169.59999999999991</v>
      </c>
      <c r="K321" s="19">
        <f t="shared" si="24"/>
        <v>0.14742698191933232</v>
      </c>
      <c r="L321" s="15" t="s">
        <v>223</v>
      </c>
      <c r="M321" s="15"/>
    </row>
    <row r="322" spans="1:13" x14ac:dyDescent="0.25">
      <c r="A322" s="16">
        <v>46003</v>
      </c>
      <c r="B322" s="17" t="s">
        <v>81</v>
      </c>
      <c r="C322" s="15">
        <v>1</v>
      </c>
      <c r="D322" s="22">
        <v>356768322125404</v>
      </c>
      <c r="E322" s="15">
        <v>2450</v>
      </c>
      <c r="F322" s="21">
        <v>2354.7199999999998</v>
      </c>
      <c r="G322" s="15">
        <f t="shared" ref="G322:G385" si="25">E322-F322</f>
        <v>95.2800000000002</v>
      </c>
      <c r="H322" s="15">
        <f t="shared" ref="H322:H385" si="26">E322*C322</f>
        <v>2450</v>
      </c>
      <c r="I322" s="15">
        <f t="shared" ref="I322:I385" si="27">F322*C322</f>
        <v>2354.7199999999998</v>
      </c>
      <c r="J322" s="15">
        <f t="shared" ref="J322:J385" si="28">H322-I322</f>
        <v>95.2800000000002</v>
      </c>
      <c r="K322" s="19">
        <f t="shared" ref="K322:K385" si="29">(E322-F322)/F322</f>
        <v>4.0463409662295391E-2</v>
      </c>
      <c r="L322" s="15" t="s">
        <v>223</v>
      </c>
      <c r="M322" s="15"/>
    </row>
    <row r="323" spans="1:13" x14ac:dyDescent="0.25">
      <c r="A323" s="16">
        <v>46003</v>
      </c>
      <c r="B323" s="17" t="s">
        <v>81</v>
      </c>
      <c r="C323" s="15">
        <v>1</v>
      </c>
      <c r="D323" s="22">
        <v>356768325666800</v>
      </c>
      <c r="E323" s="15">
        <v>2450</v>
      </c>
      <c r="F323" s="21">
        <v>2354.7199999999998</v>
      </c>
      <c r="G323" s="15">
        <f t="shared" si="25"/>
        <v>95.2800000000002</v>
      </c>
      <c r="H323" s="15">
        <f t="shared" si="26"/>
        <v>2450</v>
      </c>
      <c r="I323" s="15">
        <f t="shared" si="27"/>
        <v>2354.7199999999998</v>
      </c>
      <c r="J323" s="15">
        <f t="shared" si="28"/>
        <v>95.2800000000002</v>
      </c>
      <c r="K323" s="19">
        <f t="shared" si="29"/>
        <v>4.0463409662295391E-2</v>
      </c>
      <c r="L323" s="15" t="s">
        <v>223</v>
      </c>
      <c r="M323" s="15"/>
    </row>
    <row r="324" spans="1:13" x14ac:dyDescent="0.25">
      <c r="A324" s="16">
        <v>46003</v>
      </c>
      <c r="B324" s="17" t="s">
        <v>81</v>
      </c>
      <c r="C324" s="15">
        <v>1</v>
      </c>
      <c r="D324" s="22">
        <v>355827870660336</v>
      </c>
      <c r="E324" s="15">
        <v>2450</v>
      </c>
      <c r="F324" s="21">
        <v>2354.7199999999998</v>
      </c>
      <c r="G324" s="15">
        <f t="shared" si="25"/>
        <v>95.2800000000002</v>
      </c>
      <c r="H324" s="15">
        <f t="shared" si="26"/>
        <v>2450</v>
      </c>
      <c r="I324" s="15">
        <f t="shared" si="27"/>
        <v>2354.7199999999998</v>
      </c>
      <c r="J324" s="15">
        <f t="shared" si="28"/>
        <v>95.2800000000002</v>
      </c>
      <c r="K324" s="19">
        <f t="shared" si="29"/>
        <v>4.0463409662295391E-2</v>
      </c>
      <c r="L324" s="15" t="s">
        <v>223</v>
      </c>
      <c r="M324" s="15"/>
    </row>
    <row r="325" spans="1:13" x14ac:dyDescent="0.25">
      <c r="A325" s="16">
        <v>46003</v>
      </c>
      <c r="B325" s="17" t="s">
        <v>81</v>
      </c>
      <c r="C325" s="15">
        <v>1</v>
      </c>
      <c r="D325" s="22">
        <v>358135792123921</v>
      </c>
      <c r="E325" s="15">
        <v>2450</v>
      </c>
      <c r="F325" s="21">
        <v>2354.7199999999998</v>
      </c>
      <c r="G325" s="15">
        <f t="shared" si="25"/>
        <v>95.2800000000002</v>
      </c>
      <c r="H325" s="15">
        <f t="shared" si="26"/>
        <v>2450</v>
      </c>
      <c r="I325" s="15">
        <f t="shared" si="27"/>
        <v>2354.7199999999998</v>
      </c>
      <c r="J325" s="15">
        <f t="shared" si="28"/>
        <v>95.2800000000002</v>
      </c>
      <c r="K325" s="19">
        <f t="shared" si="29"/>
        <v>4.0463409662295391E-2</v>
      </c>
      <c r="L325" s="15" t="s">
        <v>223</v>
      </c>
      <c r="M325" s="15"/>
    </row>
    <row r="326" spans="1:13" x14ac:dyDescent="0.25">
      <c r="A326" s="16">
        <v>46018</v>
      </c>
      <c r="B326" s="24" t="s">
        <v>195</v>
      </c>
      <c r="C326" s="15">
        <v>1</v>
      </c>
      <c r="D326" s="22">
        <v>350207461340041</v>
      </c>
      <c r="E326" s="15">
        <v>2000</v>
      </c>
      <c r="F326" s="15">
        <v>1617.75</v>
      </c>
      <c r="G326" s="15">
        <f t="shared" si="25"/>
        <v>382.25</v>
      </c>
      <c r="H326" s="15">
        <f t="shared" si="26"/>
        <v>2000</v>
      </c>
      <c r="I326" s="15">
        <f t="shared" si="27"/>
        <v>1617.75</v>
      </c>
      <c r="J326" s="15">
        <f t="shared" si="28"/>
        <v>382.25</v>
      </c>
      <c r="K326" s="19">
        <f t="shared" si="29"/>
        <v>0.23628496368412918</v>
      </c>
      <c r="L326" s="15" t="s">
        <v>223</v>
      </c>
      <c r="M326" s="15"/>
    </row>
    <row r="327" spans="1:13" x14ac:dyDescent="0.25">
      <c r="A327" s="16">
        <v>46001</v>
      </c>
      <c r="B327" s="20" t="s">
        <v>65</v>
      </c>
      <c r="C327" s="15">
        <v>1</v>
      </c>
      <c r="D327" s="23">
        <v>352628750569743</v>
      </c>
      <c r="E327" s="15">
        <v>3600</v>
      </c>
      <c r="F327" s="15">
        <v>3235.5</v>
      </c>
      <c r="G327" s="15">
        <f t="shared" si="25"/>
        <v>364.5</v>
      </c>
      <c r="H327" s="15">
        <f t="shared" si="26"/>
        <v>3600</v>
      </c>
      <c r="I327" s="15">
        <f t="shared" si="27"/>
        <v>3235.5</v>
      </c>
      <c r="J327" s="15">
        <f t="shared" si="28"/>
        <v>364.5</v>
      </c>
      <c r="K327" s="19">
        <f t="shared" si="29"/>
        <v>0.11265646731571627</v>
      </c>
      <c r="L327" s="15" t="s">
        <v>223</v>
      </c>
      <c r="M327" s="15"/>
    </row>
    <row r="328" spans="1:13" x14ac:dyDescent="0.25">
      <c r="A328" s="16">
        <v>46001</v>
      </c>
      <c r="B328" s="20" t="s">
        <v>60</v>
      </c>
      <c r="C328" s="15">
        <v>1</v>
      </c>
      <c r="D328" s="32" t="s">
        <v>62</v>
      </c>
      <c r="E328" s="15">
        <v>3350</v>
      </c>
      <c r="F328" s="15">
        <v>3235.5</v>
      </c>
      <c r="G328" s="15">
        <f t="shared" si="25"/>
        <v>114.5</v>
      </c>
      <c r="H328" s="15">
        <f t="shared" si="26"/>
        <v>3350</v>
      </c>
      <c r="I328" s="15">
        <f t="shared" si="27"/>
        <v>3235.5</v>
      </c>
      <c r="J328" s="15">
        <f t="shared" si="28"/>
        <v>114.5</v>
      </c>
      <c r="K328" s="19">
        <f t="shared" si="29"/>
        <v>3.53886570854582E-2</v>
      </c>
      <c r="L328" s="15" t="s">
        <v>223</v>
      </c>
      <c r="M328" s="15"/>
    </row>
    <row r="329" spans="1:13" x14ac:dyDescent="0.25">
      <c r="A329" s="16">
        <v>46001</v>
      </c>
      <c r="B329" s="20" t="s">
        <v>50</v>
      </c>
      <c r="C329" s="15">
        <v>1</v>
      </c>
      <c r="D329" s="22">
        <v>352355702660384</v>
      </c>
      <c r="E329" s="15">
        <v>4000</v>
      </c>
      <c r="F329" s="15">
        <v>3954.5</v>
      </c>
      <c r="G329" s="15">
        <f t="shared" si="25"/>
        <v>45.5</v>
      </c>
      <c r="H329" s="15">
        <f t="shared" si="26"/>
        <v>4000</v>
      </c>
      <c r="I329" s="15">
        <f t="shared" si="27"/>
        <v>3954.5</v>
      </c>
      <c r="J329" s="15">
        <f t="shared" si="28"/>
        <v>45.5</v>
      </c>
      <c r="K329" s="19">
        <f t="shared" si="29"/>
        <v>1.1505879377923885E-2</v>
      </c>
      <c r="L329" s="15" t="s">
        <v>223</v>
      </c>
      <c r="M329" s="15"/>
    </row>
    <row r="330" spans="1:13" x14ac:dyDescent="0.25">
      <c r="A330" s="16">
        <v>46001</v>
      </c>
      <c r="B330" s="20" t="s">
        <v>50</v>
      </c>
      <c r="C330" s="15">
        <v>1</v>
      </c>
      <c r="D330" s="22">
        <v>352355705598227</v>
      </c>
      <c r="E330" s="15">
        <v>4000</v>
      </c>
      <c r="F330" s="15">
        <v>3954.5</v>
      </c>
      <c r="G330" s="15">
        <f t="shared" si="25"/>
        <v>45.5</v>
      </c>
      <c r="H330" s="15">
        <f t="shared" si="26"/>
        <v>4000</v>
      </c>
      <c r="I330" s="15">
        <f t="shared" si="27"/>
        <v>3954.5</v>
      </c>
      <c r="J330" s="15">
        <f t="shared" si="28"/>
        <v>45.5</v>
      </c>
      <c r="K330" s="19">
        <f t="shared" si="29"/>
        <v>1.1505879377923885E-2</v>
      </c>
      <c r="L330" s="15" t="s">
        <v>223</v>
      </c>
      <c r="M330" s="15"/>
    </row>
    <row r="331" spans="1:13" x14ac:dyDescent="0.25">
      <c r="A331" s="16">
        <v>46001</v>
      </c>
      <c r="B331" s="20" t="s">
        <v>50</v>
      </c>
      <c r="C331" s="15">
        <v>1</v>
      </c>
      <c r="D331" s="22">
        <v>352355707128510</v>
      </c>
      <c r="E331" s="15">
        <v>4000</v>
      </c>
      <c r="F331" s="15">
        <v>3954.5</v>
      </c>
      <c r="G331" s="15">
        <f t="shared" si="25"/>
        <v>45.5</v>
      </c>
      <c r="H331" s="15">
        <f t="shared" si="26"/>
        <v>4000</v>
      </c>
      <c r="I331" s="15">
        <f t="shared" si="27"/>
        <v>3954.5</v>
      </c>
      <c r="J331" s="15">
        <f t="shared" si="28"/>
        <v>45.5</v>
      </c>
      <c r="K331" s="19">
        <f t="shared" si="29"/>
        <v>1.1505879377923885E-2</v>
      </c>
      <c r="L331" s="15" t="s">
        <v>223</v>
      </c>
      <c r="M331" s="15"/>
    </row>
    <row r="332" spans="1:13" x14ac:dyDescent="0.25">
      <c r="A332" s="16">
        <v>46001</v>
      </c>
      <c r="B332" s="20" t="s">
        <v>50</v>
      </c>
      <c r="C332" s="15">
        <v>1</v>
      </c>
      <c r="D332" s="22">
        <v>352355702701667</v>
      </c>
      <c r="E332" s="15">
        <v>4200</v>
      </c>
      <c r="F332" s="15">
        <v>3954.5</v>
      </c>
      <c r="G332" s="15">
        <f t="shared" si="25"/>
        <v>245.5</v>
      </c>
      <c r="H332" s="15">
        <f t="shared" si="26"/>
        <v>4200</v>
      </c>
      <c r="I332" s="15">
        <f t="shared" si="27"/>
        <v>3954.5</v>
      </c>
      <c r="J332" s="15">
        <f t="shared" si="28"/>
        <v>245.5</v>
      </c>
      <c r="K332" s="19">
        <f t="shared" si="29"/>
        <v>6.2081173346820076E-2</v>
      </c>
      <c r="L332" s="15" t="s">
        <v>223</v>
      </c>
      <c r="M332" s="15"/>
    </row>
    <row r="333" spans="1:13" x14ac:dyDescent="0.25">
      <c r="A333" s="16">
        <v>46001</v>
      </c>
      <c r="B333" s="20" t="s">
        <v>50</v>
      </c>
      <c r="C333" s="15">
        <v>1</v>
      </c>
      <c r="D333" s="22">
        <v>352355707823235</v>
      </c>
      <c r="E333" s="15">
        <v>4200</v>
      </c>
      <c r="F333" s="15">
        <v>3954.5</v>
      </c>
      <c r="G333" s="15">
        <f t="shared" si="25"/>
        <v>245.5</v>
      </c>
      <c r="H333" s="15">
        <f t="shared" si="26"/>
        <v>4200</v>
      </c>
      <c r="I333" s="15">
        <f t="shared" si="27"/>
        <v>3954.5</v>
      </c>
      <c r="J333" s="15">
        <f t="shared" si="28"/>
        <v>245.5</v>
      </c>
      <c r="K333" s="19">
        <f t="shared" si="29"/>
        <v>6.2081173346820076E-2</v>
      </c>
      <c r="L333" s="15" t="s">
        <v>223</v>
      </c>
      <c r="M333" s="15"/>
    </row>
    <row r="334" spans="1:13" x14ac:dyDescent="0.25">
      <c r="A334" s="16">
        <v>46001</v>
      </c>
      <c r="B334" s="20" t="s">
        <v>55</v>
      </c>
      <c r="C334" s="15">
        <v>1</v>
      </c>
      <c r="D334" s="23" t="s">
        <v>56</v>
      </c>
      <c r="E334" s="15">
        <v>4980</v>
      </c>
      <c r="F334" s="15">
        <v>4673.5</v>
      </c>
      <c r="G334" s="15">
        <f t="shared" si="25"/>
        <v>306.5</v>
      </c>
      <c r="H334" s="15">
        <f t="shared" si="26"/>
        <v>4980</v>
      </c>
      <c r="I334" s="15">
        <f t="shared" si="27"/>
        <v>4673.5</v>
      </c>
      <c r="J334" s="15">
        <f t="shared" si="28"/>
        <v>306.5</v>
      </c>
      <c r="K334" s="19">
        <f t="shared" si="29"/>
        <v>6.558253985235904E-2</v>
      </c>
      <c r="L334" s="15" t="s">
        <v>223</v>
      </c>
      <c r="M334" s="15"/>
    </row>
    <row r="335" spans="1:13" x14ac:dyDescent="0.25">
      <c r="A335" s="16">
        <v>46002</v>
      </c>
      <c r="B335" s="17" t="s">
        <v>77</v>
      </c>
      <c r="C335" s="15">
        <v>1</v>
      </c>
      <c r="D335" s="22">
        <v>356321259532190</v>
      </c>
      <c r="E335" s="15">
        <v>1660</v>
      </c>
      <c r="F335" s="15">
        <v>1581.8</v>
      </c>
      <c r="G335" s="15">
        <f t="shared" si="25"/>
        <v>78.200000000000045</v>
      </c>
      <c r="H335" s="15">
        <f t="shared" si="26"/>
        <v>1660</v>
      </c>
      <c r="I335" s="15">
        <f t="shared" si="27"/>
        <v>1581.8</v>
      </c>
      <c r="J335" s="15">
        <f t="shared" si="28"/>
        <v>78.200000000000045</v>
      </c>
      <c r="K335" s="19">
        <f t="shared" si="29"/>
        <v>4.9437349854596059E-2</v>
      </c>
      <c r="L335" s="15" t="s">
        <v>223</v>
      </c>
      <c r="M335" s="15"/>
    </row>
    <row r="336" spans="1:13" x14ac:dyDescent="0.25">
      <c r="A336" s="16">
        <v>46002</v>
      </c>
      <c r="B336" s="17" t="s">
        <v>77</v>
      </c>
      <c r="C336" s="15">
        <v>1</v>
      </c>
      <c r="D336" s="22">
        <v>356321259743011</v>
      </c>
      <c r="E336" s="15">
        <v>1660</v>
      </c>
      <c r="F336" s="15">
        <v>1581.8</v>
      </c>
      <c r="G336" s="15">
        <f t="shared" si="25"/>
        <v>78.200000000000045</v>
      </c>
      <c r="H336" s="15">
        <f t="shared" si="26"/>
        <v>1660</v>
      </c>
      <c r="I336" s="15">
        <f t="shared" si="27"/>
        <v>1581.8</v>
      </c>
      <c r="J336" s="15">
        <f t="shared" si="28"/>
        <v>78.200000000000045</v>
      </c>
      <c r="K336" s="19">
        <f t="shared" si="29"/>
        <v>4.9437349854596059E-2</v>
      </c>
      <c r="L336" s="15" t="s">
        <v>223</v>
      </c>
      <c r="M336" s="15"/>
    </row>
    <row r="337" spans="1:13" x14ac:dyDescent="0.25">
      <c r="A337" s="16">
        <v>46002</v>
      </c>
      <c r="B337" s="17" t="s">
        <v>77</v>
      </c>
      <c r="C337" s="15">
        <v>1</v>
      </c>
      <c r="D337" s="22">
        <v>356562915549967</v>
      </c>
      <c r="E337" s="15">
        <v>1660</v>
      </c>
      <c r="F337" s="15">
        <v>1581.8</v>
      </c>
      <c r="G337" s="15">
        <f t="shared" si="25"/>
        <v>78.200000000000045</v>
      </c>
      <c r="H337" s="15">
        <f t="shared" si="26"/>
        <v>1660</v>
      </c>
      <c r="I337" s="15">
        <f t="shared" si="27"/>
        <v>1581.8</v>
      </c>
      <c r="J337" s="15">
        <f t="shared" si="28"/>
        <v>78.200000000000045</v>
      </c>
      <c r="K337" s="19">
        <f t="shared" si="29"/>
        <v>4.9437349854596059E-2</v>
      </c>
      <c r="L337" s="15" t="s">
        <v>223</v>
      </c>
      <c r="M337" s="15"/>
    </row>
    <row r="338" spans="1:13" x14ac:dyDescent="0.25">
      <c r="A338" s="16">
        <v>46002</v>
      </c>
      <c r="B338" s="17" t="s">
        <v>77</v>
      </c>
      <c r="C338" s="15">
        <v>1</v>
      </c>
      <c r="D338" s="22">
        <v>356562915442197</v>
      </c>
      <c r="E338" s="15">
        <v>1660</v>
      </c>
      <c r="F338" s="15">
        <v>1581.8</v>
      </c>
      <c r="G338" s="15">
        <f t="shared" si="25"/>
        <v>78.200000000000045</v>
      </c>
      <c r="H338" s="15">
        <f t="shared" si="26"/>
        <v>1660</v>
      </c>
      <c r="I338" s="15">
        <f t="shared" si="27"/>
        <v>1581.8</v>
      </c>
      <c r="J338" s="15">
        <f t="shared" si="28"/>
        <v>78.200000000000045</v>
      </c>
      <c r="K338" s="19">
        <f t="shared" si="29"/>
        <v>4.9437349854596059E-2</v>
      </c>
      <c r="L338" s="15" t="s">
        <v>223</v>
      </c>
      <c r="M338" s="15"/>
    </row>
    <row r="339" spans="1:13" x14ac:dyDescent="0.25">
      <c r="A339" s="16">
        <v>46002</v>
      </c>
      <c r="B339" s="17" t="s">
        <v>77</v>
      </c>
      <c r="C339" s="15">
        <v>1</v>
      </c>
      <c r="D339" s="22">
        <v>356562915376528</v>
      </c>
      <c r="E339" s="15">
        <v>1660</v>
      </c>
      <c r="F339" s="15">
        <v>1581.8</v>
      </c>
      <c r="G339" s="15">
        <f t="shared" si="25"/>
        <v>78.200000000000045</v>
      </c>
      <c r="H339" s="15">
        <f t="shared" si="26"/>
        <v>1660</v>
      </c>
      <c r="I339" s="15">
        <f t="shared" si="27"/>
        <v>1581.8</v>
      </c>
      <c r="J339" s="15">
        <f t="shared" si="28"/>
        <v>78.200000000000045</v>
      </c>
      <c r="K339" s="19">
        <f t="shared" si="29"/>
        <v>4.9437349854596059E-2</v>
      </c>
      <c r="L339" s="15" t="s">
        <v>223</v>
      </c>
      <c r="M339" s="15"/>
    </row>
    <row r="340" spans="1:13" x14ac:dyDescent="0.25">
      <c r="A340" s="16">
        <v>46002</v>
      </c>
      <c r="B340" s="17" t="s">
        <v>77</v>
      </c>
      <c r="C340" s="15">
        <v>1</v>
      </c>
      <c r="D340" s="22">
        <v>356562915557325</v>
      </c>
      <c r="E340" s="15">
        <v>1660</v>
      </c>
      <c r="F340" s="15">
        <v>1581.8</v>
      </c>
      <c r="G340" s="15">
        <f t="shared" si="25"/>
        <v>78.200000000000045</v>
      </c>
      <c r="H340" s="15">
        <f t="shared" si="26"/>
        <v>1660</v>
      </c>
      <c r="I340" s="15">
        <f t="shared" si="27"/>
        <v>1581.8</v>
      </c>
      <c r="J340" s="15">
        <f t="shared" si="28"/>
        <v>78.200000000000045</v>
      </c>
      <c r="K340" s="19">
        <f t="shared" si="29"/>
        <v>4.9437349854596059E-2</v>
      </c>
      <c r="L340" s="15" t="s">
        <v>223</v>
      </c>
      <c r="M340" s="15"/>
    </row>
    <row r="341" spans="1:13" x14ac:dyDescent="0.25">
      <c r="A341" s="16">
        <v>46002</v>
      </c>
      <c r="B341" s="17" t="s">
        <v>77</v>
      </c>
      <c r="C341" s="15">
        <v>1</v>
      </c>
      <c r="D341" s="22">
        <v>357770208462892</v>
      </c>
      <c r="E341" s="15">
        <v>1660</v>
      </c>
      <c r="F341" s="15">
        <v>1581.8</v>
      </c>
      <c r="G341" s="15">
        <f t="shared" si="25"/>
        <v>78.200000000000045</v>
      </c>
      <c r="H341" s="15">
        <f t="shared" si="26"/>
        <v>1660</v>
      </c>
      <c r="I341" s="15">
        <f t="shared" si="27"/>
        <v>1581.8</v>
      </c>
      <c r="J341" s="15">
        <f t="shared" si="28"/>
        <v>78.200000000000045</v>
      </c>
      <c r="K341" s="19">
        <f t="shared" si="29"/>
        <v>4.9437349854596059E-2</v>
      </c>
      <c r="L341" s="15" t="s">
        <v>223</v>
      </c>
      <c r="M341" s="15"/>
    </row>
    <row r="342" spans="1:13" x14ac:dyDescent="0.25">
      <c r="A342" s="16">
        <v>46002</v>
      </c>
      <c r="B342" s="17" t="s">
        <v>77</v>
      </c>
      <c r="C342" s="15">
        <v>1</v>
      </c>
      <c r="D342" s="22">
        <v>356321258256528</v>
      </c>
      <c r="E342" s="15">
        <v>1660</v>
      </c>
      <c r="F342" s="15">
        <v>1581.8</v>
      </c>
      <c r="G342" s="15">
        <f t="shared" si="25"/>
        <v>78.200000000000045</v>
      </c>
      <c r="H342" s="15">
        <f t="shared" si="26"/>
        <v>1660</v>
      </c>
      <c r="I342" s="15">
        <f t="shared" si="27"/>
        <v>1581.8</v>
      </c>
      <c r="J342" s="15">
        <f t="shared" si="28"/>
        <v>78.200000000000045</v>
      </c>
      <c r="K342" s="19">
        <f t="shared" si="29"/>
        <v>4.9437349854596059E-2</v>
      </c>
      <c r="L342" s="15" t="s">
        <v>223</v>
      </c>
      <c r="M342" s="15"/>
    </row>
    <row r="343" spans="1:13" x14ac:dyDescent="0.25">
      <c r="A343" s="16">
        <v>46000</v>
      </c>
      <c r="B343" s="17" t="s">
        <v>44</v>
      </c>
      <c r="C343" s="15">
        <v>1</v>
      </c>
      <c r="D343" s="22">
        <v>359518870697263</v>
      </c>
      <c r="E343" s="15">
        <v>2740</v>
      </c>
      <c r="F343" s="15">
        <v>2606.27</v>
      </c>
      <c r="G343" s="15">
        <f t="shared" si="25"/>
        <v>133.73000000000002</v>
      </c>
      <c r="H343" s="15">
        <f t="shared" si="26"/>
        <v>2740</v>
      </c>
      <c r="I343" s="15">
        <f t="shared" si="27"/>
        <v>2606.27</v>
      </c>
      <c r="J343" s="15">
        <f t="shared" si="28"/>
        <v>133.73000000000002</v>
      </c>
      <c r="K343" s="19">
        <f t="shared" si="29"/>
        <v>5.1310877230678335E-2</v>
      </c>
      <c r="L343" s="15" t="s">
        <v>223</v>
      </c>
      <c r="M343" s="15"/>
    </row>
    <row r="344" spans="1:13" x14ac:dyDescent="0.25">
      <c r="A344" s="16">
        <v>46000</v>
      </c>
      <c r="B344" s="17" t="s">
        <v>44</v>
      </c>
      <c r="C344" s="15">
        <v>1</v>
      </c>
      <c r="D344" s="22">
        <v>359518870778956</v>
      </c>
      <c r="E344" s="15">
        <v>2740</v>
      </c>
      <c r="F344" s="15">
        <v>2606.27</v>
      </c>
      <c r="G344" s="15">
        <f t="shared" si="25"/>
        <v>133.73000000000002</v>
      </c>
      <c r="H344" s="15">
        <f t="shared" si="26"/>
        <v>2740</v>
      </c>
      <c r="I344" s="15">
        <f t="shared" si="27"/>
        <v>2606.27</v>
      </c>
      <c r="J344" s="15">
        <f t="shared" si="28"/>
        <v>133.73000000000002</v>
      </c>
      <c r="K344" s="19">
        <f t="shared" si="29"/>
        <v>5.1310877230678335E-2</v>
      </c>
      <c r="L344" s="15" t="s">
        <v>223</v>
      </c>
      <c r="M344" s="15"/>
    </row>
    <row r="345" spans="1:13" x14ac:dyDescent="0.25">
      <c r="A345" s="16">
        <v>46018</v>
      </c>
      <c r="B345" s="24" t="s">
        <v>178</v>
      </c>
      <c r="C345" s="15">
        <v>1</v>
      </c>
      <c r="D345" s="23">
        <v>357999600507737</v>
      </c>
      <c r="E345" s="15">
        <v>4100</v>
      </c>
      <c r="F345" s="15">
        <v>3666.9</v>
      </c>
      <c r="G345" s="15">
        <f t="shared" si="25"/>
        <v>433.09999999999991</v>
      </c>
      <c r="H345" s="15">
        <f t="shared" si="26"/>
        <v>4100</v>
      </c>
      <c r="I345" s="15">
        <f t="shared" si="27"/>
        <v>3666.9</v>
      </c>
      <c r="J345" s="15">
        <f t="shared" si="28"/>
        <v>433.09999999999991</v>
      </c>
      <c r="K345" s="19">
        <f t="shared" si="29"/>
        <v>0.11811066568491094</v>
      </c>
      <c r="L345" s="15" t="s">
        <v>223</v>
      </c>
      <c r="M345" s="15"/>
    </row>
    <row r="346" spans="1:13" x14ac:dyDescent="0.25">
      <c r="A346" s="16">
        <v>46018</v>
      </c>
      <c r="B346" s="24" t="s">
        <v>185</v>
      </c>
      <c r="C346" s="15">
        <v>1</v>
      </c>
      <c r="D346" s="23">
        <v>356364245480694</v>
      </c>
      <c r="E346" s="15">
        <v>3250</v>
      </c>
      <c r="F346" s="15">
        <v>3451.2</v>
      </c>
      <c r="G346" s="15">
        <f t="shared" si="25"/>
        <v>-201.19999999999982</v>
      </c>
      <c r="H346" s="15">
        <f t="shared" si="26"/>
        <v>3250</v>
      </c>
      <c r="I346" s="15">
        <f t="shared" si="27"/>
        <v>3451.2</v>
      </c>
      <c r="J346" s="15">
        <f t="shared" si="28"/>
        <v>-201.19999999999982</v>
      </c>
      <c r="K346" s="19">
        <f t="shared" si="29"/>
        <v>-5.8298562818729666E-2</v>
      </c>
      <c r="L346" s="15" t="s">
        <v>223</v>
      </c>
      <c r="M346" s="15"/>
    </row>
    <row r="347" spans="1:13" x14ac:dyDescent="0.25">
      <c r="A347" s="16">
        <v>46001</v>
      </c>
      <c r="B347" s="20" t="s">
        <v>14</v>
      </c>
      <c r="C347" s="15">
        <v>1</v>
      </c>
      <c r="D347" s="22">
        <v>359912581131433</v>
      </c>
      <c r="E347" s="15">
        <v>3510</v>
      </c>
      <c r="F347" s="15">
        <v>3451.2</v>
      </c>
      <c r="G347" s="15">
        <f t="shared" si="25"/>
        <v>58.800000000000182</v>
      </c>
      <c r="H347" s="15">
        <f t="shared" si="26"/>
        <v>3510</v>
      </c>
      <c r="I347" s="15">
        <f t="shared" si="27"/>
        <v>3451.2</v>
      </c>
      <c r="J347" s="15">
        <f t="shared" si="28"/>
        <v>58.800000000000182</v>
      </c>
      <c r="K347" s="19">
        <f t="shared" si="29"/>
        <v>1.7037552155771959E-2</v>
      </c>
      <c r="L347" s="15" t="s">
        <v>223</v>
      </c>
      <c r="M347" s="15"/>
    </row>
    <row r="348" spans="1:13" x14ac:dyDescent="0.25">
      <c r="A348" s="16">
        <v>46001</v>
      </c>
      <c r="B348" s="20" t="s">
        <v>14</v>
      </c>
      <c r="C348" s="15">
        <v>1</v>
      </c>
      <c r="D348" s="22">
        <v>359912582409614</v>
      </c>
      <c r="E348" s="15">
        <v>3510</v>
      </c>
      <c r="F348" s="15">
        <v>3451.2</v>
      </c>
      <c r="G348" s="15">
        <f t="shared" si="25"/>
        <v>58.800000000000182</v>
      </c>
      <c r="H348" s="15">
        <f t="shared" si="26"/>
        <v>3510</v>
      </c>
      <c r="I348" s="15">
        <f t="shared" si="27"/>
        <v>3451.2</v>
      </c>
      <c r="J348" s="15">
        <f t="shared" si="28"/>
        <v>58.800000000000182</v>
      </c>
      <c r="K348" s="19">
        <f t="shared" si="29"/>
        <v>1.7037552155771959E-2</v>
      </c>
      <c r="L348" s="15" t="s">
        <v>223</v>
      </c>
      <c r="M348" s="15"/>
    </row>
    <row r="349" spans="1:13" x14ac:dyDescent="0.25">
      <c r="A349" s="16">
        <v>46001</v>
      </c>
      <c r="B349" s="20" t="s">
        <v>14</v>
      </c>
      <c r="C349" s="15">
        <v>1</v>
      </c>
      <c r="D349" s="22">
        <v>359802893681995</v>
      </c>
      <c r="E349" s="15">
        <v>3500</v>
      </c>
      <c r="F349" s="15">
        <v>3451.2</v>
      </c>
      <c r="G349" s="15">
        <f t="shared" si="25"/>
        <v>48.800000000000182</v>
      </c>
      <c r="H349" s="15">
        <f t="shared" si="26"/>
        <v>3500</v>
      </c>
      <c r="I349" s="15">
        <f t="shared" si="27"/>
        <v>3451.2</v>
      </c>
      <c r="J349" s="15">
        <f t="shared" si="28"/>
        <v>48.800000000000182</v>
      </c>
      <c r="K349" s="19">
        <f t="shared" si="29"/>
        <v>1.4140009272137282E-2</v>
      </c>
      <c r="L349" s="15" t="s">
        <v>223</v>
      </c>
      <c r="M349" s="15"/>
    </row>
    <row r="350" spans="1:13" x14ac:dyDescent="0.25">
      <c r="A350" s="16">
        <v>46003</v>
      </c>
      <c r="B350" s="20" t="s">
        <v>14</v>
      </c>
      <c r="C350" s="15">
        <v>1</v>
      </c>
      <c r="D350" s="22">
        <v>359912581065896</v>
      </c>
      <c r="E350" s="15">
        <v>3565</v>
      </c>
      <c r="F350" s="15">
        <v>3451.2</v>
      </c>
      <c r="G350" s="15">
        <f t="shared" si="25"/>
        <v>113.80000000000018</v>
      </c>
      <c r="H350" s="15">
        <f t="shared" si="26"/>
        <v>3565</v>
      </c>
      <c r="I350" s="15">
        <f t="shared" si="27"/>
        <v>3451.2</v>
      </c>
      <c r="J350" s="15">
        <f t="shared" si="28"/>
        <v>113.80000000000018</v>
      </c>
      <c r="K350" s="19">
        <f t="shared" si="29"/>
        <v>3.2974038015762687E-2</v>
      </c>
      <c r="L350" s="15" t="s">
        <v>223</v>
      </c>
      <c r="M350" s="15"/>
    </row>
    <row r="351" spans="1:13" x14ac:dyDescent="0.25">
      <c r="A351" s="16">
        <v>46003</v>
      </c>
      <c r="B351" s="20" t="s">
        <v>14</v>
      </c>
      <c r="C351" s="15">
        <v>1</v>
      </c>
      <c r="D351" s="22">
        <v>359912582762673</v>
      </c>
      <c r="E351" s="15">
        <v>3565</v>
      </c>
      <c r="F351" s="15">
        <v>3451.2</v>
      </c>
      <c r="G351" s="15">
        <f t="shared" si="25"/>
        <v>113.80000000000018</v>
      </c>
      <c r="H351" s="15">
        <f t="shared" si="26"/>
        <v>3565</v>
      </c>
      <c r="I351" s="15">
        <f t="shared" si="27"/>
        <v>3451.2</v>
      </c>
      <c r="J351" s="15">
        <f t="shared" si="28"/>
        <v>113.80000000000018</v>
      </c>
      <c r="K351" s="19">
        <f t="shared" si="29"/>
        <v>3.2974038015762687E-2</v>
      </c>
      <c r="L351" s="15" t="s">
        <v>223</v>
      </c>
      <c r="M351" s="15"/>
    </row>
    <row r="352" spans="1:13" x14ac:dyDescent="0.25">
      <c r="A352" s="16">
        <v>46003</v>
      </c>
      <c r="B352" s="20" t="s">
        <v>14</v>
      </c>
      <c r="C352" s="15">
        <v>1</v>
      </c>
      <c r="D352" s="22">
        <v>359912580296203</v>
      </c>
      <c r="E352" s="15">
        <v>3565</v>
      </c>
      <c r="F352" s="15">
        <v>3451.2</v>
      </c>
      <c r="G352" s="15">
        <f t="shared" si="25"/>
        <v>113.80000000000018</v>
      </c>
      <c r="H352" s="15">
        <f t="shared" si="26"/>
        <v>3565</v>
      </c>
      <c r="I352" s="15">
        <f t="shared" si="27"/>
        <v>3451.2</v>
      </c>
      <c r="J352" s="15">
        <f t="shared" si="28"/>
        <v>113.80000000000018</v>
      </c>
      <c r="K352" s="19">
        <f t="shared" si="29"/>
        <v>3.2974038015762687E-2</v>
      </c>
      <c r="L352" s="15" t="s">
        <v>223</v>
      </c>
      <c r="M352" s="15"/>
    </row>
    <row r="353" spans="1:13" x14ac:dyDescent="0.25">
      <c r="A353" s="16">
        <v>46007</v>
      </c>
      <c r="B353" s="20" t="s">
        <v>14</v>
      </c>
      <c r="C353" s="15">
        <v>1</v>
      </c>
      <c r="D353" s="22">
        <v>356364245092952</v>
      </c>
      <c r="E353" s="15">
        <v>3475</v>
      </c>
      <c r="F353" s="15">
        <v>3451.2</v>
      </c>
      <c r="G353" s="15">
        <f t="shared" si="25"/>
        <v>23.800000000000182</v>
      </c>
      <c r="H353" s="15">
        <f t="shared" si="26"/>
        <v>3475</v>
      </c>
      <c r="I353" s="15">
        <f t="shared" si="27"/>
        <v>3451.2</v>
      </c>
      <c r="J353" s="15">
        <f t="shared" si="28"/>
        <v>23.800000000000182</v>
      </c>
      <c r="K353" s="19">
        <f t="shared" si="29"/>
        <v>6.8961520630505865E-3</v>
      </c>
      <c r="L353" s="15" t="s">
        <v>223</v>
      </c>
      <c r="M353" s="15"/>
    </row>
    <row r="354" spans="1:13" x14ac:dyDescent="0.25">
      <c r="A354" s="16">
        <v>46003</v>
      </c>
      <c r="B354" s="20" t="s">
        <v>79</v>
      </c>
      <c r="C354" s="15">
        <v>1</v>
      </c>
      <c r="D354" s="22">
        <v>358419940804271</v>
      </c>
      <c r="E354" s="15">
        <v>3570</v>
      </c>
      <c r="F354" s="15">
        <v>3451.2</v>
      </c>
      <c r="G354" s="15">
        <f t="shared" si="25"/>
        <v>118.80000000000018</v>
      </c>
      <c r="H354" s="15">
        <f t="shared" si="26"/>
        <v>3570</v>
      </c>
      <c r="I354" s="15">
        <f t="shared" si="27"/>
        <v>3451.2</v>
      </c>
      <c r="J354" s="15">
        <f t="shared" si="28"/>
        <v>118.80000000000018</v>
      </c>
      <c r="K354" s="19">
        <f t="shared" si="29"/>
        <v>3.4422809457580028E-2</v>
      </c>
      <c r="L354" s="15" t="s">
        <v>223</v>
      </c>
      <c r="M354" s="15"/>
    </row>
    <row r="355" spans="1:13" x14ac:dyDescent="0.25">
      <c r="A355" s="16">
        <v>46003</v>
      </c>
      <c r="B355" s="17" t="s">
        <v>84</v>
      </c>
      <c r="C355" s="15">
        <v>1</v>
      </c>
      <c r="D355" s="23">
        <v>359132191039260</v>
      </c>
      <c r="E355" s="15">
        <v>750</v>
      </c>
      <c r="F355" s="21">
        <v>629.12</v>
      </c>
      <c r="G355" s="15">
        <f t="shared" si="25"/>
        <v>120.88</v>
      </c>
      <c r="H355" s="15">
        <f t="shared" si="26"/>
        <v>750</v>
      </c>
      <c r="I355" s="15">
        <f t="shared" si="27"/>
        <v>629.12</v>
      </c>
      <c r="J355" s="15">
        <f t="shared" si="28"/>
        <v>120.88</v>
      </c>
      <c r="K355" s="19">
        <f t="shared" si="29"/>
        <v>0.19214140386571718</v>
      </c>
      <c r="L355" s="15" t="s">
        <v>222</v>
      </c>
      <c r="M355" s="15"/>
    </row>
    <row r="356" spans="1:13" x14ac:dyDescent="0.25">
      <c r="A356" s="16">
        <v>46003</v>
      </c>
      <c r="B356" s="17" t="s">
        <v>81</v>
      </c>
      <c r="C356" s="15">
        <v>1</v>
      </c>
      <c r="D356" s="22">
        <v>356187981484582</v>
      </c>
      <c r="E356" s="15">
        <v>2450</v>
      </c>
      <c r="F356" s="15">
        <v>2354.7199999999998</v>
      </c>
      <c r="G356" s="15">
        <f t="shared" si="25"/>
        <v>95.2800000000002</v>
      </c>
      <c r="H356" s="15">
        <f t="shared" si="26"/>
        <v>2450</v>
      </c>
      <c r="I356" s="15">
        <f t="shared" si="27"/>
        <v>2354.7199999999998</v>
      </c>
      <c r="J356" s="15">
        <f t="shared" si="28"/>
        <v>95.2800000000002</v>
      </c>
      <c r="K356" s="19">
        <f t="shared" si="29"/>
        <v>4.0463409662295391E-2</v>
      </c>
      <c r="L356" s="15" t="s">
        <v>222</v>
      </c>
      <c r="M356" s="15"/>
    </row>
    <row r="357" spans="1:13" x14ac:dyDescent="0.25">
      <c r="A357" s="16">
        <v>46003</v>
      </c>
      <c r="B357" s="17" t="s">
        <v>81</v>
      </c>
      <c r="C357" s="15">
        <v>1</v>
      </c>
      <c r="D357" s="22">
        <v>356187981828937</v>
      </c>
      <c r="E357" s="15">
        <v>2450</v>
      </c>
      <c r="F357" s="15">
        <v>2354.7199999999998</v>
      </c>
      <c r="G357" s="15">
        <f t="shared" si="25"/>
        <v>95.2800000000002</v>
      </c>
      <c r="H357" s="15">
        <f t="shared" si="26"/>
        <v>2450</v>
      </c>
      <c r="I357" s="15">
        <f t="shared" si="27"/>
        <v>2354.7199999999998</v>
      </c>
      <c r="J357" s="15">
        <f t="shared" si="28"/>
        <v>95.2800000000002</v>
      </c>
      <c r="K357" s="19">
        <f t="shared" si="29"/>
        <v>4.0463409662295391E-2</v>
      </c>
      <c r="L357" s="15" t="s">
        <v>222</v>
      </c>
      <c r="M357" s="15"/>
    </row>
    <row r="358" spans="1:13" x14ac:dyDescent="0.25">
      <c r="A358" s="16">
        <v>46001</v>
      </c>
      <c r="B358" s="20" t="s">
        <v>66</v>
      </c>
      <c r="C358" s="15">
        <v>1</v>
      </c>
      <c r="D358" s="23" t="s">
        <v>67</v>
      </c>
      <c r="E358" s="15">
        <v>2975</v>
      </c>
      <c r="F358" s="15">
        <v>2804.1</v>
      </c>
      <c r="G358" s="15">
        <f t="shared" si="25"/>
        <v>170.90000000000009</v>
      </c>
      <c r="H358" s="15">
        <f t="shared" si="26"/>
        <v>2975</v>
      </c>
      <c r="I358" s="15">
        <f t="shared" si="27"/>
        <v>2804.1</v>
      </c>
      <c r="J358" s="15">
        <f t="shared" si="28"/>
        <v>170.90000000000009</v>
      </c>
      <c r="K358" s="19">
        <f t="shared" si="29"/>
        <v>6.0946471238543597E-2</v>
      </c>
      <c r="L358" s="15" t="s">
        <v>222</v>
      </c>
      <c r="M358" s="15"/>
    </row>
    <row r="359" spans="1:13" x14ac:dyDescent="0.25">
      <c r="A359" s="16">
        <v>46001</v>
      </c>
      <c r="B359" s="20" t="s">
        <v>17</v>
      </c>
      <c r="C359" s="15">
        <v>1</v>
      </c>
      <c r="D359" s="22">
        <v>358112930906087</v>
      </c>
      <c r="E359" s="15">
        <v>3900</v>
      </c>
      <c r="F359" s="15">
        <v>3882.6</v>
      </c>
      <c r="G359" s="15">
        <f t="shared" si="25"/>
        <v>17.400000000000091</v>
      </c>
      <c r="H359" s="15">
        <f t="shared" si="26"/>
        <v>3900</v>
      </c>
      <c r="I359" s="15">
        <f t="shared" si="27"/>
        <v>3882.6</v>
      </c>
      <c r="J359" s="15">
        <f t="shared" si="28"/>
        <v>17.400000000000091</v>
      </c>
      <c r="K359" s="19">
        <f t="shared" si="29"/>
        <v>4.4815329933549919E-3</v>
      </c>
      <c r="L359" s="15" t="s">
        <v>222</v>
      </c>
      <c r="M359" s="15"/>
    </row>
    <row r="360" spans="1:13" x14ac:dyDescent="0.25">
      <c r="A360" s="16">
        <v>46001</v>
      </c>
      <c r="B360" s="20" t="s">
        <v>60</v>
      </c>
      <c r="C360" s="15">
        <v>1</v>
      </c>
      <c r="D360" s="32" t="s">
        <v>61</v>
      </c>
      <c r="E360" s="15">
        <v>3350</v>
      </c>
      <c r="F360" s="15">
        <v>3235.5</v>
      </c>
      <c r="G360" s="15">
        <f t="shared" si="25"/>
        <v>114.5</v>
      </c>
      <c r="H360" s="15">
        <f t="shared" si="26"/>
        <v>3350</v>
      </c>
      <c r="I360" s="15">
        <f t="shared" si="27"/>
        <v>3235.5</v>
      </c>
      <c r="J360" s="15">
        <f t="shared" si="28"/>
        <v>114.5</v>
      </c>
      <c r="K360" s="19">
        <f t="shared" si="29"/>
        <v>3.53886570854582E-2</v>
      </c>
      <c r="L360" s="15" t="s">
        <v>222</v>
      </c>
      <c r="M360" s="15"/>
    </row>
    <row r="361" spans="1:13" x14ac:dyDescent="0.25">
      <c r="A361" s="16">
        <v>46001</v>
      </c>
      <c r="B361" s="20" t="s">
        <v>52</v>
      </c>
      <c r="C361" s="15">
        <v>1</v>
      </c>
      <c r="D361" s="22" t="s">
        <v>53</v>
      </c>
      <c r="E361" s="15">
        <v>4080</v>
      </c>
      <c r="F361" s="15">
        <v>3882.6</v>
      </c>
      <c r="G361" s="15">
        <f t="shared" si="25"/>
        <v>197.40000000000009</v>
      </c>
      <c r="H361" s="15">
        <f t="shared" si="26"/>
        <v>4080</v>
      </c>
      <c r="I361" s="15">
        <f t="shared" si="27"/>
        <v>3882.6</v>
      </c>
      <c r="J361" s="15">
        <f t="shared" si="28"/>
        <v>197.40000000000009</v>
      </c>
      <c r="K361" s="19">
        <f t="shared" si="29"/>
        <v>5.0842219131509839E-2</v>
      </c>
      <c r="L361" s="15" t="s">
        <v>222</v>
      </c>
      <c r="M361" s="15"/>
    </row>
    <row r="362" spans="1:13" x14ac:dyDescent="0.25">
      <c r="A362" s="16">
        <v>46001</v>
      </c>
      <c r="B362" s="20" t="s">
        <v>52</v>
      </c>
      <c r="C362" s="15">
        <v>1</v>
      </c>
      <c r="D362" s="22" t="s">
        <v>54</v>
      </c>
      <c r="E362" s="15">
        <v>4080</v>
      </c>
      <c r="F362" s="15">
        <v>3882.6</v>
      </c>
      <c r="G362" s="15">
        <f t="shared" si="25"/>
        <v>197.40000000000009</v>
      </c>
      <c r="H362" s="15">
        <f t="shared" si="26"/>
        <v>4080</v>
      </c>
      <c r="I362" s="15">
        <f t="shared" si="27"/>
        <v>3882.6</v>
      </c>
      <c r="J362" s="15">
        <f t="shared" si="28"/>
        <v>197.40000000000009</v>
      </c>
      <c r="K362" s="19">
        <f t="shared" si="29"/>
        <v>5.0842219131509839E-2</v>
      </c>
      <c r="L362" s="15" t="s">
        <v>222</v>
      </c>
      <c r="M362" s="15"/>
    </row>
    <row r="363" spans="1:13" x14ac:dyDescent="0.25">
      <c r="A363" s="16">
        <v>46001</v>
      </c>
      <c r="B363" s="20" t="s">
        <v>51</v>
      </c>
      <c r="C363" s="15">
        <v>1</v>
      </c>
      <c r="D363" s="23">
        <v>352355703977985</v>
      </c>
      <c r="E363" s="15">
        <v>4900</v>
      </c>
      <c r="F363" s="15">
        <v>4314</v>
      </c>
      <c r="G363" s="15">
        <f t="shared" si="25"/>
        <v>586</v>
      </c>
      <c r="H363" s="15">
        <f t="shared" si="26"/>
        <v>4900</v>
      </c>
      <c r="I363" s="15">
        <f t="shared" si="27"/>
        <v>4314</v>
      </c>
      <c r="J363" s="15">
        <f t="shared" si="28"/>
        <v>586</v>
      </c>
      <c r="K363" s="19">
        <f t="shared" si="29"/>
        <v>0.1358368103847937</v>
      </c>
      <c r="L363" s="15" t="s">
        <v>222</v>
      </c>
      <c r="M363" s="15"/>
    </row>
    <row r="364" spans="1:13" x14ac:dyDescent="0.25">
      <c r="A364" s="16">
        <v>46002</v>
      </c>
      <c r="B364" s="17" t="s">
        <v>78</v>
      </c>
      <c r="C364" s="15">
        <v>1</v>
      </c>
      <c r="D364" s="22">
        <v>356767769616453</v>
      </c>
      <c r="E364" s="15">
        <v>1450</v>
      </c>
      <c r="F364" s="15">
        <v>1402.05</v>
      </c>
      <c r="G364" s="15">
        <f t="shared" si="25"/>
        <v>47.950000000000045</v>
      </c>
      <c r="H364" s="15">
        <f t="shared" si="26"/>
        <v>1450</v>
      </c>
      <c r="I364" s="15">
        <f t="shared" si="27"/>
        <v>1402.05</v>
      </c>
      <c r="J364" s="15">
        <f t="shared" si="28"/>
        <v>47.950000000000045</v>
      </c>
      <c r="K364" s="19">
        <f t="shared" si="29"/>
        <v>3.4199921543454262E-2</v>
      </c>
      <c r="L364" s="15" t="s">
        <v>222</v>
      </c>
      <c r="M364" s="15"/>
    </row>
    <row r="365" spans="1:13" x14ac:dyDescent="0.25">
      <c r="A365" s="16">
        <v>46002</v>
      </c>
      <c r="B365" s="17" t="s">
        <v>78</v>
      </c>
      <c r="C365" s="15">
        <v>1</v>
      </c>
      <c r="D365" s="22">
        <v>356321743909004</v>
      </c>
      <c r="E365" s="15">
        <v>1450</v>
      </c>
      <c r="F365" s="15">
        <v>1402.05</v>
      </c>
      <c r="G365" s="15">
        <f t="shared" si="25"/>
        <v>47.950000000000045</v>
      </c>
      <c r="H365" s="15">
        <f t="shared" si="26"/>
        <v>1450</v>
      </c>
      <c r="I365" s="15">
        <f t="shared" si="27"/>
        <v>1402.05</v>
      </c>
      <c r="J365" s="15">
        <f t="shared" si="28"/>
        <v>47.950000000000045</v>
      </c>
      <c r="K365" s="19">
        <f t="shared" si="29"/>
        <v>3.4199921543454262E-2</v>
      </c>
      <c r="L365" s="15" t="s">
        <v>222</v>
      </c>
      <c r="M365" s="15"/>
    </row>
    <row r="366" spans="1:13" x14ac:dyDescent="0.25">
      <c r="A366" s="16">
        <v>46002</v>
      </c>
      <c r="B366" s="17" t="s">
        <v>78</v>
      </c>
      <c r="C366" s="15">
        <v>1</v>
      </c>
      <c r="D366" s="22">
        <v>356321743658676</v>
      </c>
      <c r="E366" s="15">
        <v>1450</v>
      </c>
      <c r="F366" s="15">
        <v>1402.05</v>
      </c>
      <c r="G366" s="15">
        <f t="shared" si="25"/>
        <v>47.950000000000045</v>
      </c>
      <c r="H366" s="15">
        <f t="shared" si="26"/>
        <v>1450</v>
      </c>
      <c r="I366" s="15">
        <f t="shared" si="27"/>
        <v>1402.05</v>
      </c>
      <c r="J366" s="15">
        <f t="shared" si="28"/>
        <v>47.950000000000045</v>
      </c>
      <c r="K366" s="19">
        <f t="shared" si="29"/>
        <v>3.4199921543454262E-2</v>
      </c>
      <c r="L366" s="15" t="s">
        <v>222</v>
      </c>
      <c r="M366" s="15"/>
    </row>
    <row r="367" spans="1:13" x14ac:dyDescent="0.25">
      <c r="A367" s="16">
        <v>46002</v>
      </c>
      <c r="B367" s="17" t="s">
        <v>48</v>
      </c>
      <c r="C367" s="15">
        <v>1</v>
      </c>
      <c r="D367" s="23">
        <v>359724857896353</v>
      </c>
      <c r="E367" s="15">
        <v>3900</v>
      </c>
      <c r="F367" s="15">
        <v>3055.75</v>
      </c>
      <c r="G367" s="15">
        <f t="shared" si="25"/>
        <v>844.25</v>
      </c>
      <c r="H367" s="15">
        <f t="shared" si="26"/>
        <v>3900</v>
      </c>
      <c r="I367" s="15">
        <f t="shared" si="27"/>
        <v>3055.75</v>
      </c>
      <c r="J367" s="15">
        <f t="shared" si="28"/>
        <v>844.25</v>
      </c>
      <c r="K367" s="19">
        <f t="shared" si="29"/>
        <v>0.27628241839155693</v>
      </c>
      <c r="L367" s="15" t="s">
        <v>222</v>
      </c>
      <c r="M367" s="15"/>
    </row>
    <row r="368" spans="1:13" x14ac:dyDescent="0.25">
      <c r="A368" s="16">
        <v>46002</v>
      </c>
      <c r="B368" s="20" t="s">
        <v>75</v>
      </c>
      <c r="C368" s="15">
        <v>1</v>
      </c>
      <c r="D368" s="23">
        <v>352294445158531</v>
      </c>
      <c r="E368" s="15">
        <v>4430</v>
      </c>
      <c r="F368" s="15">
        <v>4385.8999999999996</v>
      </c>
      <c r="G368" s="15">
        <f t="shared" si="25"/>
        <v>44.100000000000364</v>
      </c>
      <c r="H368" s="15">
        <f t="shared" si="26"/>
        <v>4430</v>
      </c>
      <c r="I368" s="15">
        <f t="shared" si="27"/>
        <v>4385.8999999999996</v>
      </c>
      <c r="J368" s="15">
        <f t="shared" si="28"/>
        <v>44.100000000000364</v>
      </c>
      <c r="K368" s="19">
        <f t="shared" si="29"/>
        <v>1.005494881324252E-2</v>
      </c>
      <c r="L368" s="15" t="s">
        <v>222</v>
      </c>
      <c r="M368" s="15"/>
    </row>
    <row r="369" spans="1:13" x14ac:dyDescent="0.25">
      <c r="A369" s="16">
        <v>46001</v>
      </c>
      <c r="B369" s="20" t="s">
        <v>14</v>
      </c>
      <c r="C369" s="15">
        <v>1</v>
      </c>
      <c r="D369" s="22">
        <v>357063601799148</v>
      </c>
      <c r="E369" s="15">
        <v>3500</v>
      </c>
      <c r="F369" s="15">
        <v>3487.14</v>
      </c>
      <c r="G369" s="15">
        <f t="shared" si="25"/>
        <v>12.860000000000127</v>
      </c>
      <c r="H369" s="15">
        <f t="shared" si="26"/>
        <v>3500</v>
      </c>
      <c r="I369" s="15">
        <f t="shared" si="27"/>
        <v>3487.14</v>
      </c>
      <c r="J369" s="15">
        <f t="shared" si="28"/>
        <v>12.860000000000127</v>
      </c>
      <c r="K369" s="19">
        <f t="shared" si="29"/>
        <v>3.6878358769651142E-3</v>
      </c>
      <c r="L369" s="15" t="s">
        <v>222</v>
      </c>
      <c r="M369" s="15"/>
    </row>
    <row r="370" spans="1:13" x14ac:dyDescent="0.25">
      <c r="A370" s="16">
        <v>46010</v>
      </c>
      <c r="B370" s="17" t="s">
        <v>81</v>
      </c>
      <c r="C370" s="15">
        <v>1</v>
      </c>
      <c r="D370" s="22">
        <v>356187980378553</v>
      </c>
      <c r="E370" s="15">
        <v>2420</v>
      </c>
      <c r="F370" s="15">
        <v>2336.75</v>
      </c>
      <c r="G370" s="15">
        <f t="shared" si="25"/>
        <v>83.25</v>
      </c>
      <c r="H370" s="15">
        <f t="shared" si="26"/>
        <v>2420</v>
      </c>
      <c r="I370" s="15">
        <f t="shared" si="27"/>
        <v>2336.75</v>
      </c>
      <c r="J370" s="15">
        <f t="shared" si="28"/>
        <v>83.25</v>
      </c>
      <c r="K370" s="19">
        <f t="shared" si="29"/>
        <v>3.5626404193858992E-2</v>
      </c>
      <c r="L370" s="15" t="s">
        <v>231</v>
      </c>
      <c r="M370" s="15"/>
    </row>
    <row r="371" spans="1:13" x14ac:dyDescent="0.25">
      <c r="A371" s="16">
        <v>46010</v>
      </c>
      <c r="B371" s="17" t="s">
        <v>26</v>
      </c>
      <c r="C371" s="15">
        <v>1</v>
      </c>
      <c r="D371" s="22" t="s">
        <v>112</v>
      </c>
      <c r="E371" s="15">
        <v>1090</v>
      </c>
      <c r="F371" s="15">
        <v>1024.57</v>
      </c>
      <c r="G371" s="15">
        <f t="shared" si="25"/>
        <v>65.430000000000064</v>
      </c>
      <c r="H371" s="15">
        <f t="shared" si="26"/>
        <v>1090</v>
      </c>
      <c r="I371" s="15">
        <f t="shared" si="27"/>
        <v>1024.57</v>
      </c>
      <c r="J371" s="15">
        <f t="shared" si="28"/>
        <v>65.430000000000064</v>
      </c>
      <c r="K371" s="19">
        <f t="shared" si="29"/>
        <v>6.3860936783235955E-2</v>
      </c>
      <c r="L371" s="15" t="s">
        <v>231</v>
      </c>
      <c r="M371" s="15"/>
    </row>
    <row r="372" spans="1:13" x14ac:dyDescent="0.25">
      <c r="A372" s="16">
        <v>46010</v>
      </c>
      <c r="B372" s="17" t="s">
        <v>26</v>
      </c>
      <c r="C372" s="15">
        <v>1</v>
      </c>
      <c r="D372" s="22" t="s">
        <v>113</v>
      </c>
      <c r="E372" s="15">
        <v>1090</v>
      </c>
      <c r="F372" s="15">
        <v>1024.57</v>
      </c>
      <c r="G372" s="15">
        <f t="shared" si="25"/>
        <v>65.430000000000064</v>
      </c>
      <c r="H372" s="15">
        <f t="shared" si="26"/>
        <v>1090</v>
      </c>
      <c r="I372" s="15">
        <f t="shared" si="27"/>
        <v>1024.57</v>
      </c>
      <c r="J372" s="15">
        <f t="shared" si="28"/>
        <v>65.430000000000064</v>
      </c>
      <c r="K372" s="19">
        <f t="shared" si="29"/>
        <v>6.3860936783235955E-2</v>
      </c>
      <c r="L372" s="15" t="s">
        <v>231</v>
      </c>
      <c r="M372" s="15"/>
    </row>
    <row r="373" spans="1:13" x14ac:dyDescent="0.25">
      <c r="A373" s="16">
        <v>46010</v>
      </c>
      <c r="B373" s="17" t="s">
        <v>26</v>
      </c>
      <c r="C373" s="15">
        <v>1</v>
      </c>
      <c r="D373" s="22" t="s">
        <v>114</v>
      </c>
      <c r="E373" s="15">
        <v>1090</v>
      </c>
      <c r="F373" s="15">
        <v>1024.57</v>
      </c>
      <c r="G373" s="15">
        <f t="shared" si="25"/>
        <v>65.430000000000064</v>
      </c>
      <c r="H373" s="15">
        <f t="shared" si="26"/>
        <v>1090</v>
      </c>
      <c r="I373" s="15">
        <f t="shared" si="27"/>
        <v>1024.57</v>
      </c>
      <c r="J373" s="15">
        <f t="shared" si="28"/>
        <v>65.430000000000064</v>
      </c>
      <c r="K373" s="19">
        <f t="shared" si="29"/>
        <v>6.3860936783235955E-2</v>
      </c>
      <c r="L373" s="15" t="s">
        <v>231</v>
      </c>
      <c r="M373" s="15"/>
    </row>
    <row r="374" spans="1:13" x14ac:dyDescent="0.25">
      <c r="A374" s="16">
        <v>46016</v>
      </c>
      <c r="B374" s="24" t="s">
        <v>26</v>
      </c>
      <c r="C374" s="15">
        <v>1</v>
      </c>
      <c r="D374" s="22" t="s">
        <v>145</v>
      </c>
      <c r="E374" s="15">
        <v>1120</v>
      </c>
      <c r="F374" s="15">
        <v>1024.57</v>
      </c>
      <c r="G374" s="15">
        <f t="shared" si="25"/>
        <v>95.430000000000064</v>
      </c>
      <c r="H374" s="15">
        <f t="shared" si="26"/>
        <v>1120</v>
      </c>
      <c r="I374" s="15">
        <f t="shared" si="27"/>
        <v>1024.57</v>
      </c>
      <c r="J374" s="15">
        <f t="shared" si="28"/>
        <v>95.430000000000064</v>
      </c>
      <c r="K374" s="19">
        <f t="shared" si="29"/>
        <v>9.3141513024976405E-2</v>
      </c>
      <c r="L374" s="15" t="s">
        <v>231</v>
      </c>
      <c r="M374" s="15"/>
    </row>
    <row r="375" spans="1:13" x14ac:dyDescent="0.25">
      <c r="A375" s="16">
        <v>46016</v>
      </c>
      <c r="B375" s="24" t="s">
        <v>149</v>
      </c>
      <c r="C375" s="15">
        <v>1</v>
      </c>
      <c r="D375" s="22" t="s">
        <v>148</v>
      </c>
      <c r="E375" s="15">
        <v>1390</v>
      </c>
      <c r="F375" s="15">
        <v>1258.25</v>
      </c>
      <c r="G375" s="15">
        <f t="shared" si="25"/>
        <v>131.75</v>
      </c>
      <c r="H375" s="15">
        <f t="shared" si="26"/>
        <v>1390</v>
      </c>
      <c r="I375" s="15">
        <f t="shared" si="27"/>
        <v>1258.25</v>
      </c>
      <c r="J375" s="15">
        <f t="shared" si="28"/>
        <v>131.75</v>
      </c>
      <c r="K375" s="19">
        <f t="shared" si="29"/>
        <v>0.10470892112060401</v>
      </c>
      <c r="L375" s="15" t="s">
        <v>231</v>
      </c>
      <c r="M375" s="15"/>
    </row>
    <row r="376" spans="1:13" x14ac:dyDescent="0.25">
      <c r="A376" s="16">
        <v>46010</v>
      </c>
      <c r="B376" s="17" t="s">
        <v>111</v>
      </c>
      <c r="C376" s="15">
        <v>1</v>
      </c>
      <c r="D376" s="23">
        <v>356196188452292</v>
      </c>
      <c r="E376" s="15">
        <v>1320</v>
      </c>
      <c r="F376" s="15">
        <v>1294.2</v>
      </c>
      <c r="G376" s="15">
        <f t="shared" si="25"/>
        <v>25.799999999999955</v>
      </c>
      <c r="H376" s="15">
        <f t="shared" si="26"/>
        <v>1320</v>
      </c>
      <c r="I376" s="15">
        <f t="shared" si="27"/>
        <v>1294.2</v>
      </c>
      <c r="J376" s="15">
        <f t="shared" si="28"/>
        <v>25.799999999999955</v>
      </c>
      <c r="K376" s="19">
        <f t="shared" si="29"/>
        <v>1.9935095039406547E-2</v>
      </c>
      <c r="L376" s="15" t="s">
        <v>231</v>
      </c>
      <c r="M376" s="15"/>
    </row>
    <row r="377" spans="1:13" x14ac:dyDescent="0.25">
      <c r="A377" s="16">
        <v>46010</v>
      </c>
      <c r="B377" s="17" t="s">
        <v>125</v>
      </c>
      <c r="C377" s="15">
        <v>1</v>
      </c>
      <c r="D377" s="22" t="s">
        <v>126</v>
      </c>
      <c r="E377" s="15">
        <v>1625</v>
      </c>
      <c r="F377" s="15">
        <v>1545.85</v>
      </c>
      <c r="G377" s="15">
        <f t="shared" si="25"/>
        <v>79.150000000000091</v>
      </c>
      <c r="H377" s="15">
        <f t="shared" si="26"/>
        <v>1625</v>
      </c>
      <c r="I377" s="15">
        <f t="shared" si="27"/>
        <v>1545.85</v>
      </c>
      <c r="J377" s="15">
        <f t="shared" si="28"/>
        <v>79.150000000000091</v>
      </c>
      <c r="K377" s="19">
        <f t="shared" si="29"/>
        <v>5.1201604295371538E-2</v>
      </c>
      <c r="L377" s="15" t="s">
        <v>231</v>
      </c>
      <c r="M377" s="15"/>
    </row>
    <row r="378" spans="1:13" x14ac:dyDescent="0.25">
      <c r="A378" s="16">
        <v>46010</v>
      </c>
      <c r="B378" s="17" t="s">
        <v>125</v>
      </c>
      <c r="C378" s="15">
        <v>1</v>
      </c>
      <c r="D378" s="22" t="s">
        <v>127</v>
      </c>
      <c r="E378" s="15">
        <v>1625</v>
      </c>
      <c r="F378" s="15">
        <v>1545.85</v>
      </c>
      <c r="G378" s="15">
        <f t="shared" si="25"/>
        <v>79.150000000000091</v>
      </c>
      <c r="H378" s="15">
        <f t="shared" si="26"/>
        <v>1625</v>
      </c>
      <c r="I378" s="15">
        <f t="shared" si="27"/>
        <v>1545.85</v>
      </c>
      <c r="J378" s="15">
        <f t="shared" si="28"/>
        <v>79.150000000000091</v>
      </c>
      <c r="K378" s="19">
        <f t="shared" si="29"/>
        <v>5.1201604295371538E-2</v>
      </c>
      <c r="L378" s="15" t="s">
        <v>231</v>
      </c>
      <c r="M378" s="15"/>
    </row>
    <row r="379" spans="1:13" x14ac:dyDescent="0.25">
      <c r="A379" s="16">
        <v>46010</v>
      </c>
      <c r="B379" s="17" t="s">
        <v>106</v>
      </c>
      <c r="C379" s="15">
        <v>1</v>
      </c>
      <c r="D379" s="22" t="s">
        <v>107</v>
      </c>
      <c r="E379" s="15">
        <v>2070</v>
      </c>
      <c r="F379" s="15">
        <v>1869.4</v>
      </c>
      <c r="G379" s="15">
        <f t="shared" si="25"/>
        <v>200.59999999999991</v>
      </c>
      <c r="H379" s="15">
        <f t="shared" si="26"/>
        <v>2070</v>
      </c>
      <c r="I379" s="15">
        <f t="shared" si="27"/>
        <v>1869.4</v>
      </c>
      <c r="J379" s="15">
        <f t="shared" si="28"/>
        <v>200.59999999999991</v>
      </c>
      <c r="K379" s="19">
        <f t="shared" si="29"/>
        <v>0.10730715737669835</v>
      </c>
      <c r="L379" s="15" t="s">
        <v>231</v>
      </c>
      <c r="M379" s="15"/>
    </row>
    <row r="380" spans="1:13" x14ac:dyDescent="0.25">
      <c r="A380" s="16">
        <v>46010</v>
      </c>
      <c r="B380" s="17" t="s">
        <v>106</v>
      </c>
      <c r="C380" s="15">
        <v>1</v>
      </c>
      <c r="D380" s="22" t="s">
        <v>108</v>
      </c>
      <c r="E380" s="15">
        <v>2070</v>
      </c>
      <c r="F380" s="15">
        <v>1869.4</v>
      </c>
      <c r="G380" s="15">
        <f t="shared" si="25"/>
        <v>200.59999999999991</v>
      </c>
      <c r="H380" s="15">
        <f t="shared" si="26"/>
        <v>2070</v>
      </c>
      <c r="I380" s="15">
        <f t="shared" si="27"/>
        <v>1869.4</v>
      </c>
      <c r="J380" s="15">
        <f t="shared" si="28"/>
        <v>200.59999999999991</v>
      </c>
      <c r="K380" s="19">
        <f t="shared" si="29"/>
        <v>0.10730715737669835</v>
      </c>
      <c r="L380" s="15" t="s">
        <v>231</v>
      </c>
      <c r="M380" s="15"/>
    </row>
    <row r="381" spans="1:13" x14ac:dyDescent="0.25">
      <c r="A381" s="16">
        <v>46010</v>
      </c>
      <c r="B381" s="17" t="s">
        <v>23</v>
      </c>
      <c r="C381" s="15">
        <v>1</v>
      </c>
      <c r="D381" s="23" t="s">
        <v>105</v>
      </c>
      <c r="E381" s="15">
        <v>2320</v>
      </c>
      <c r="F381" s="15">
        <v>2157</v>
      </c>
      <c r="G381" s="15">
        <f t="shared" si="25"/>
        <v>163</v>
      </c>
      <c r="H381" s="15">
        <f t="shared" si="26"/>
        <v>2320</v>
      </c>
      <c r="I381" s="15">
        <f t="shared" si="27"/>
        <v>2157</v>
      </c>
      <c r="J381" s="15">
        <f t="shared" si="28"/>
        <v>163</v>
      </c>
      <c r="K381" s="19">
        <f t="shared" si="29"/>
        <v>7.5567918405192391E-2</v>
      </c>
      <c r="L381" s="15" t="s">
        <v>231</v>
      </c>
      <c r="M381" s="15"/>
    </row>
    <row r="382" spans="1:13" x14ac:dyDescent="0.25">
      <c r="A382" s="16">
        <v>46010</v>
      </c>
      <c r="B382" s="17" t="s">
        <v>123</v>
      </c>
      <c r="C382" s="15">
        <v>1</v>
      </c>
      <c r="D382" s="23" t="s">
        <v>124</v>
      </c>
      <c r="E382" s="15">
        <v>3120</v>
      </c>
      <c r="F382" s="15">
        <v>2696.25</v>
      </c>
      <c r="G382" s="15">
        <f t="shared" si="25"/>
        <v>423.75</v>
      </c>
      <c r="H382" s="15">
        <f t="shared" si="26"/>
        <v>3120</v>
      </c>
      <c r="I382" s="15">
        <f t="shared" si="27"/>
        <v>2696.25</v>
      </c>
      <c r="J382" s="15">
        <f t="shared" si="28"/>
        <v>423.75</v>
      </c>
      <c r="K382" s="19">
        <f t="shared" si="29"/>
        <v>0.15716272600834491</v>
      </c>
      <c r="L382" s="15" t="s">
        <v>231</v>
      </c>
      <c r="M382" s="15"/>
    </row>
    <row r="383" spans="1:13" x14ac:dyDescent="0.25">
      <c r="A383" s="16">
        <v>46010</v>
      </c>
      <c r="B383" s="29" t="s">
        <v>109</v>
      </c>
      <c r="C383" s="15">
        <v>1</v>
      </c>
      <c r="D383" s="23" t="s">
        <v>110</v>
      </c>
      <c r="E383" s="15">
        <v>1275</v>
      </c>
      <c r="F383" s="15">
        <v>1150.4000000000001</v>
      </c>
      <c r="G383" s="15">
        <f t="shared" si="25"/>
        <v>124.59999999999991</v>
      </c>
      <c r="H383" s="15">
        <f t="shared" si="26"/>
        <v>1275</v>
      </c>
      <c r="I383" s="15">
        <f t="shared" si="27"/>
        <v>1150.4000000000001</v>
      </c>
      <c r="J383" s="15">
        <f t="shared" si="28"/>
        <v>124.59999999999991</v>
      </c>
      <c r="K383" s="19">
        <f t="shared" si="29"/>
        <v>0.10831015299026417</v>
      </c>
      <c r="L383" s="15" t="s">
        <v>231</v>
      </c>
      <c r="M383" s="15"/>
    </row>
    <row r="384" spans="1:13" x14ac:dyDescent="0.25">
      <c r="A384" s="16">
        <v>46010</v>
      </c>
      <c r="B384" s="24" t="s">
        <v>28</v>
      </c>
      <c r="C384" s="15">
        <v>1</v>
      </c>
      <c r="D384" s="22" t="s">
        <v>103</v>
      </c>
      <c r="E384" s="15">
        <v>2940</v>
      </c>
      <c r="F384" s="15">
        <v>2750.17</v>
      </c>
      <c r="G384" s="15">
        <f t="shared" si="25"/>
        <v>189.82999999999993</v>
      </c>
      <c r="H384" s="15">
        <f t="shared" si="26"/>
        <v>2940</v>
      </c>
      <c r="I384" s="15">
        <f t="shared" si="27"/>
        <v>2750.17</v>
      </c>
      <c r="J384" s="15">
        <f t="shared" si="28"/>
        <v>189.82999999999993</v>
      </c>
      <c r="K384" s="19">
        <f t="shared" si="29"/>
        <v>6.9024823919975831E-2</v>
      </c>
      <c r="L384" s="15" t="s">
        <v>231</v>
      </c>
      <c r="M384" s="15"/>
    </row>
    <row r="385" spans="1:13" x14ac:dyDescent="0.25">
      <c r="A385" s="16">
        <v>46010</v>
      </c>
      <c r="B385" s="24" t="s">
        <v>28</v>
      </c>
      <c r="C385" s="15">
        <v>1</v>
      </c>
      <c r="D385" s="22" t="s">
        <v>104</v>
      </c>
      <c r="E385" s="15">
        <v>2940</v>
      </c>
      <c r="F385" s="15">
        <v>2750.17</v>
      </c>
      <c r="G385" s="15">
        <f t="shared" si="25"/>
        <v>189.82999999999993</v>
      </c>
      <c r="H385" s="15">
        <f t="shared" si="26"/>
        <v>2940</v>
      </c>
      <c r="I385" s="15">
        <f t="shared" si="27"/>
        <v>2750.17</v>
      </c>
      <c r="J385" s="15">
        <f t="shared" si="28"/>
        <v>189.82999999999993</v>
      </c>
      <c r="K385" s="19">
        <f t="shared" si="29"/>
        <v>6.9024823919975831E-2</v>
      </c>
      <c r="L385" s="15" t="s">
        <v>231</v>
      </c>
      <c r="M385" s="15"/>
    </row>
    <row r="386" spans="1:13" x14ac:dyDescent="0.25">
      <c r="A386" s="16">
        <v>46010</v>
      </c>
      <c r="B386" s="17" t="s">
        <v>122</v>
      </c>
      <c r="C386" s="15">
        <v>1</v>
      </c>
      <c r="D386" s="22">
        <v>358112930814539</v>
      </c>
      <c r="E386" s="15">
        <v>3270</v>
      </c>
      <c r="F386" s="15">
        <v>3109.67</v>
      </c>
      <c r="G386" s="15">
        <f t="shared" ref="G386:G449" si="30">E386-F386</f>
        <v>160.32999999999993</v>
      </c>
      <c r="H386" s="15">
        <f t="shared" ref="H386:H449" si="31">E386*C386</f>
        <v>3270</v>
      </c>
      <c r="I386" s="15">
        <f t="shared" ref="I386:I449" si="32">F386*C386</f>
        <v>3109.67</v>
      </c>
      <c r="J386" s="15">
        <f t="shared" ref="J386:J449" si="33">H386-I386</f>
        <v>160.32999999999993</v>
      </c>
      <c r="K386" s="19">
        <f t="shared" ref="K386:K449" si="34">(E386-F386)/F386</f>
        <v>5.1558525502706051E-2</v>
      </c>
      <c r="L386" s="15" t="s">
        <v>231</v>
      </c>
      <c r="M386" s="15"/>
    </row>
    <row r="387" spans="1:13" x14ac:dyDescent="0.25">
      <c r="A387" s="16">
        <v>46010</v>
      </c>
      <c r="B387" s="17" t="s">
        <v>122</v>
      </c>
      <c r="C387" s="15">
        <v>1</v>
      </c>
      <c r="D387" s="22">
        <v>358112932318000</v>
      </c>
      <c r="E387" s="15">
        <v>3270</v>
      </c>
      <c r="F387" s="15">
        <v>3109.67</v>
      </c>
      <c r="G387" s="15">
        <f t="shared" si="30"/>
        <v>160.32999999999993</v>
      </c>
      <c r="H387" s="15">
        <f t="shared" si="31"/>
        <v>3270</v>
      </c>
      <c r="I387" s="15">
        <f t="shared" si="32"/>
        <v>3109.67</v>
      </c>
      <c r="J387" s="15">
        <f t="shared" si="33"/>
        <v>160.32999999999993</v>
      </c>
      <c r="K387" s="19">
        <f t="shared" si="34"/>
        <v>5.1558525502706051E-2</v>
      </c>
      <c r="L387" s="15" t="s">
        <v>231</v>
      </c>
      <c r="M387" s="15"/>
    </row>
    <row r="388" spans="1:13" x14ac:dyDescent="0.25">
      <c r="A388" s="16">
        <v>46010</v>
      </c>
      <c r="B388" s="17" t="s">
        <v>122</v>
      </c>
      <c r="C388" s="15">
        <v>1</v>
      </c>
      <c r="D388" s="22">
        <v>358112930191748</v>
      </c>
      <c r="E388" s="15">
        <v>3270</v>
      </c>
      <c r="F388" s="15">
        <v>3109.67</v>
      </c>
      <c r="G388" s="15">
        <f t="shared" si="30"/>
        <v>160.32999999999993</v>
      </c>
      <c r="H388" s="15">
        <f t="shared" si="31"/>
        <v>3270</v>
      </c>
      <c r="I388" s="15">
        <f t="shared" si="32"/>
        <v>3109.67</v>
      </c>
      <c r="J388" s="15">
        <f t="shared" si="33"/>
        <v>160.32999999999993</v>
      </c>
      <c r="K388" s="19">
        <f t="shared" si="34"/>
        <v>5.1558525502706051E-2</v>
      </c>
      <c r="L388" s="15" t="s">
        <v>231</v>
      </c>
      <c r="M388" s="15"/>
    </row>
    <row r="389" spans="1:13" x14ac:dyDescent="0.25">
      <c r="A389" s="16">
        <v>46010</v>
      </c>
      <c r="B389" s="17" t="s">
        <v>122</v>
      </c>
      <c r="C389" s="15">
        <v>1</v>
      </c>
      <c r="D389" s="23">
        <v>358112931925649</v>
      </c>
      <c r="E389" s="15">
        <v>3920</v>
      </c>
      <c r="F389" s="15">
        <v>3595</v>
      </c>
      <c r="G389" s="15">
        <f t="shared" si="30"/>
        <v>325</v>
      </c>
      <c r="H389" s="15">
        <f t="shared" si="31"/>
        <v>3920</v>
      </c>
      <c r="I389" s="15">
        <f t="shared" si="32"/>
        <v>3595</v>
      </c>
      <c r="J389" s="15">
        <f t="shared" si="33"/>
        <v>325</v>
      </c>
      <c r="K389" s="19">
        <f t="shared" si="34"/>
        <v>9.0403337969401948E-2</v>
      </c>
      <c r="L389" s="15" t="s">
        <v>231</v>
      </c>
      <c r="M389" s="15"/>
    </row>
    <row r="390" spans="1:13" x14ac:dyDescent="0.25">
      <c r="A390" s="16">
        <v>46010</v>
      </c>
      <c r="B390" s="17" t="s">
        <v>117</v>
      </c>
      <c r="C390" s="15">
        <v>1</v>
      </c>
      <c r="D390" s="22" t="s">
        <v>118</v>
      </c>
      <c r="E390" s="15">
        <v>5120</v>
      </c>
      <c r="F390" s="15">
        <v>4565.6499999999996</v>
      </c>
      <c r="G390" s="15">
        <f t="shared" si="30"/>
        <v>554.35000000000036</v>
      </c>
      <c r="H390" s="15">
        <f t="shared" si="31"/>
        <v>5120</v>
      </c>
      <c r="I390" s="15">
        <f t="shared" si="32"/>
        <v>4565.6499999999996</v>
      </c>
      <c r="J390" s="15">
        <f t="shared" si="33"/>
        <v>554.35000000000036</v>
      </c>
      <c r="K390" s="19">
        <f t="shared" si="34"/>
        <v>0.12141754186150941</v>
      </c>
      <c r="L390" s="15" t="s">
        <v>231</v>
      </c>
      <c r="M390" s="15"/>
    </row>
    <row r="391" spans="1:13" x14ac:dyDescent="0.25">
      <c r="A391" s="16">
        <v>46010</v>
      </c>
      <c r="B391" s="17" t="s">
        <v>117</v>
      </c>
      <c r="C391" s="15">
        <v>1</v>
      </c>
      <c r="D391" s="22" t="s">
        <v>119</v>
      </c>
      <c r="E391" s="15">
        <v>5120</v>
      </c>
      <c r="F391" s="15">
        <v>4565.6499999999996</v>
      </c>
      <c r="G391" s="15">
        <f t="shared" si="30"/>
        <v>554.35000000000036</v>
      </c>
      <c r="H391" s="15">
        <f t="shared" si="31"/>
        <v>5120</v>
      </c>
      <c r="I391" s="15">
        <f t="shared" si="32"/>
        <v>4565.6499999999996</v>
      </c>
      <c r="J391" s="15">
        <f t="shared" si="33"/>
        <v>554.35000000000036</v>
      </c>
      <c r="K391" s="19">
        <f t="shared" si="34"/>
        <v>0.12141754186150941</v>
      </c>
      <c r="L391" s="15" t="s">
        <v>231</v>
      </c>
      <c r="M391" s="15"/>
    </row>
    <row r="392" spans="1:13" x14ac:dyDescent="0.25">
      <c r="A392" s="16">
        <v>46010</v>
      </c>
      <c r="B392" s="17" t="s">
        <v>117</v>
      </c>
      <c r="C392" s="15">
        <v>1</v>
      </c>
      <c r="D392" s="22" t="s">
        <v>120</v>
      </c>
      <c r="E392" s="15">
        <v>5120</v>
      </c>
      <c r="F392" s="15">
        <v>4565.6499999999996</v>
      </c>
      <c r="G392" s="15">
        <f t="shared" si="30"/>
        <v>554.35000000000036</v>
      </c>
      <c r="H392" s="15">
        <f t="shared" si="31"/>
        <v>5120</v>
      </c>
      <c r="I392" s="15">
        <f t="shared" si="32"/>
        <v>4565.6499999999996</v>
      </c>
      <c r="J392" s="15">
        <f t="shared" si="33"/>
        <v>554.35000000000036</v>
      </c>
      <c r="K392" s="19">
        <f t="shared" si="34"/>
        <v>0.12141754186150941</v>
      </c>
      <c r="L392" s="15" t="s">
        <v>231</v>
      </c>
      <c r="M392" s="15"/>
    </row>
    <row r="393" spans="1:13" x14ac:dyDescent="0.25">
      <c r="A393" s="16">
        <v>46010</v>
      </c>
      <c r="B393" s="17" t="s">
        <v>117</v>
      </c>
      <c r="C393" s="15">
        <v>1</v>
      </c>
      <c r="D393" s="22" t="s">
        <v>121</v>
      </c>
      <c r="E393" s="15">
        <v>5120</v>
      </c>
      <c r="F393" s="15">
        <v>4565.6499999999996</v>
      </c>
      <c r="G393" s="15">
        <f t="shared" si="30"/>
        <v>554.35000000000036</v>
      </c>
      <c r="H393" s="15">
        <f t="shared" si="31"/>
        <v>5120</v>
      </c>
      <c r="I393" s="15">
        <f t="shared" si="32"/>
        <v>4565.6499999999996</v>
      </c>
      <c r="J393" s="15">
        <f t="shared" si="33"/>
        <v>554.35000000000036</v>
      </c>
      <c r="K393" s="19">
        <f t="shared" si="34"/>
        <v>0.12141754186150941</v>
      </c>
      <c r="L393" s="15" t="s">
        <v>231</v>
      </c>
      <c r="M393" s="15"/>
    </row>
    <row r="394" spans="1:13" x14ac:dyDescent="0.25">
      <c r="A394" s="16">
        <v>46010</v>
      </c>
      <c r="B394" s="17" t="s">
        <v>115</v>
      </c>
      <c r="C394" s="15">
        <v>1</v>
      </c>
      <c r="D394" s="22">
        <v>352355707903631</v>
      </c>
      <c r="E394" s="15">
        <v>4320</v>
      </c>
      <c r="F394" s="15">
        <v>4026.4</v>
      </c>
      <c r="G394" s="15">
        <f t="shared" si="30"/>
        <v>293.59999999999991</v>
      </c>
      <c r="H394" s="15">
        <f t="shared" si="31"/>
        <v>4320</v>
      </c>
      <c r="I394" s="15">
        <f t="shared" si="32"/>
        <v>4026.4</v>
      </c>
      <c r="J394" s="15">
        <f t="shared" si="33"/>
        <v>293.59999999999991</v>
      </c>
      <c r="K394" s="19">
        <f t="shared" si="34"/>
        <v>7.2918736340154958E-2</v>
      </c>
      <c r="L394" s="15" t="s">
        <v>231</v>
      </c>
      <c r="M394" s="15"/>
    </row>
    <row r="395" spans="1:13" x14ac:dyDescent="0.25">
      <c r="A395" s="16">
        <v>46010</v>
      </c>
      <c r="B395" s="17" t="s">
        <v>115</v>
      </c>
      <c r="C395" s="15">
        <v>1</v>
      </c>
      <c r="D395" s="22">
        <v>352355704754318</v>
      </c>
      <c r="E395" s="15">
        <v>4320</v>
      </c>
      <c r="F395" s="15">
        <v>4026.4</v>
      </c>
      <c r="G395" s="15">
        <f t="shared" si="30"/>
        <v>293.59999999999991</v>
      </c>
      <c r="H395" s="15">
        <f t="shared" si="31"/>
        <v>4320</v>
      </c>
      <c r="I395" s="15">
        <f t="shared" si="32"/>
        <v>4026.4</v>
      </c>
      <c r="J395" s="15">
        <f t="shared" si="33"/>
        <v>293.59999999999991</v>
      </c>
      <c r="K395" s="19">
        <f t="shared" si="34"/>
        <v>7.2918736340154958E-2</v>
      </c>
      <c r="L395" s="15" t="s">
        <v>231</v>
      </c>
      <c r="M395" s="15"/>
    </row>
    <row r="396" spans="1:13" x14ac:dyDescent="0.25">
      <c r="A396" s="16">
        <v>46010</v>
      </c>
      <c r="B396" s="17" t="s">
        <v>115</v>
      </c>
      <c r="C396" s="15">
        <v>1</v>
      </c>
      <c r="D396" s="22">
        <v>352355700132477</v>
      </c>
      <c r="E396" s="15">
        <v>4320</v>
      </c>
      <c r="F396" s="15">
        <v>4026.4</v>
      </c>
      <c r="G396" s="15">
        <f t="shared" si="30"/>
        <v>293.59999999999991</v>
      </c>
      <c r="H396" s="15">
        <f t="shared" si="31"/>
        <v>4320</v>
      </c>
      <c r="I396" s="15">
        <f t="shared" si="32"/>
        <v>4026.4</v>
      </c>
      <c r="J396" s="15">
        <f t="shared" si="33"/>
        <v>293.59999999999991</v>
      </c>
      <c r="K396" s="19">
        <f t="shared" si="34"/>
        <v>7.2918736340154958E-2</v>
      </c>
      <c r="L396" s="15" t="s">
        <v>231</v>
      </c>
      <c r="M396" s="15"/>
    </row>
    <row r="397" spans="1:13" x14ac:dyDescent="0.25">
      <c r="A397" s="16">
        <v>46010</v>
      </c>
      <c r="B397" s="17" t="s">
        <v>115</v>
      </c>
      <c r="C397" s="15">
        <v>1</v>
      </c>
      <c r="D397" s="22">
        <v>352355707470938</v>
      </c>
      <c r="E397" s="15">
        <v>4320</v>
      </c>
      <c r="F397" s="15">
        <v>4026.4</v>
      </c>
      <c r="G397" s="15">
        <f t="shared" si="30"/>
        <v>293.59999999999991</v>
      </c>
      <c r="H397" s="15">
        <f t="shared" si="31"/>
        <v>4320</v>
      </c>
      <c r="I397" s="15">
        <f t="shared" si="32"/>
        <v>4026.4</v>
      </c>
      <c r="J397" s="15">
        <f t="shared" si="33"/>
        <v>293.59999999999991</v>
      </c>
      <c r="K397" s="19">
        <f t="shared" si="34"/>
        <v>7.2918736340154958E-2</v>
      </c>
      <c r="L397" s="15" t="s">
        <v>231</v>
      </c>
      <c r="M397" s="15"/>
    </row>
    <row r="398" spans="1:13" x14ac:dyDescent="0.25">
      <c r="A398" s="16">
        <v>46010</v>
      </c>
      <c r="B398" s="17" t="s">
        <v>115</v>
      </c>
      <c r="C398" s="15">
        <v>1</v>
      </c>
      <c r="D398" s="22">
        <v>352355701488209</v>
      </c>
      <c r="E398" s="15">
        <v>4030</v>
      </c>
      <c r="F398" s="15">
        <v>4026.4</v>
      </c>
      <c r="G398" s="15">
        <f t="shared" si="30"/>
        <v>3.5999999999999091</v>
      </c>
      <c r="H398" s="15">
        <f t="shared" si="31"/>
        <v>4030</v>
      </c>
      <c r="I398" s="15">
        <f t="shared" si="32"/>
        <v>4026.4</v>
      </c>
      <c r="J398" s="15">
        <f t="shared" si="33"/>
        <v>3.5999999999999091</v>
      </c>
      <c r="K398" s="19">
        <f t="shared" si="34"/>
        <v>8.9409894695010651E-4</v>
      </c>
      <c r="L398" s="15" t="s">
        <v>231</v>
      </c>
      <c r="M398" s="15"/>
    </row>
    <row r="399" spans="1:13" x14ac:dyDescent="0.25">
      <c r="A399" s="16">
        <v>46010</v>
      </c>
      <c r="B399" s="17" t="s">
        <v>115</v>
      </c>
      <c r="C399" s="15">
        <v>1</v>
      </c>
      <c r="D399" s="22">
        <v>352355702529191</v>
      </c>
      <c r="E399" s="15">
        <v>4030</v>
      </c>
      <c r="F399" s="15">
        <v>4026.4</v>
      </c>
      <c r="G399" s="15">
        <f t="shared" si="30"/>
        <v>3.5999999999999091</v>
      </c>
      <c r="H399" s="15">
        <f t="shared" si="31"/>
        <v>4030</v>
      </c>
      <c r="I399" s="15">
        <f t="shared" si="32"/>
        <v>4026.4</v>
      </c>
      <c r="J399" s="15">
        <f t="shared" si="33"/>
        <v>3.5999999999999091</v>
      </c>
      <c r="K399" s="19">
        <f t="shared" si="34"/>
        <v>8.9409894695010651E-4</v>
      </c>
      <c r="L399" s="15" t="s">
        <v>231</v>
      </c>
      <c r="M399" s="15"/>
    </row>
    <row r="400" spans="1:13" x14ac:dyDescent="0.25">
      <c r="A400" s="16">
        <v>46010</v>
      </c>
      <c r="B400" s="17" t="s">
        <v>115</v>
      </c>
      <c r="C400" s="15">
        <v>1</v>
      </c>
      <c r="D400" s="22">
        <v>352355700072509</v>
      </c>
      <c r="E400" s="15">
        <v>4030</v>
      </c>
      <c r="F400" s="15">
        <v>4026.4</v>
      </c>
      <c r="G400" s="15">
        <f t="shared" si="30"/>
        <v>3.5999999999999091</v>
      </c>
      <c r="H400" s="15">
        <f t="shared" si="31"/>
        <v>4030</v>
      </c>
      <c r="I400" s="15">
        <f t="shared" si="32"/>
        <v>4026.4</v>
      </c>
      <c r="J400" s="15">
        <f t="shared" si="33"/>
        <v>3.5999999999999091</v>
      </c>
      <c r="K400" s="19">
        <f t="shared" si="34"/>
        <v>8.9409894695010651E-4</v>
      </c>
      <c r="L400" s="15" t="s">
        <v>231</v>
      </c>
      <c r="M400" s="15"/>
    </row>
    <row r="401" spans="1:13" x14ac:dyDescent="0.25">
      <c r="A401" s="16">
        <v>46010</v>
      </c>
      <c r="B401" s="17" t="s">
        <v>116</v>
      </c>
      <c r="C401" s="15">
        <v>1</v>
      </c>
      <c r="D401" s="22">
        <v>352355708488814</v>
      </c>
      <c r="E401" s="15">
        <v>5220</v>
      </c>
      <c r="F401" s="15">
        <v>4853.25</v>
      </c>
      <c r="G401" s="15">
        <f t="shared" si="30"/>
        <v>366.75</v>
      </c>
      <c r="H401" s="15">
        <f t="shared" si="31"/>
        <v>5220</v>
      </c>
      <c r="I401" s="15">
        <f t="shared" si="32"/>
        <v>4853.25</v>
      </c>
      <c r="J401" s="15">
        <f t="shared" si="33"/>
        <v>366.75</v>
      </c>
      <c r="K401" s="19">
        <f t="shared" si="34"/>
        <v>7.5567918405192391E-2</v>
      </c>
      <c r="L401" s="15" t="s">
        <v>231</v>
      </c>
      <c r="M401" s="15"/>
    </row>
    <row r="402" spans="1:13" x14ac:dyDescent="0.25">
      <c r="A402" s="16">
        <v>46010</v>
      </c>
      <c r="B402" s="17" t="s">
        <v>116</v>
      </c>
      <c r="C402" s="15">
        <v>1</v>
      </c>
      <c r="D402" s="22">
        <v>352355705132647</v>
      </c>
      <c r="E402" s="15">
        <v>5220</v>
      </c>
      <c r="F402" s="15">
        <v>4853.25</v>
      </c>
      <c r="G402" s="15">
        <f t="shared" si="30"/>
        <v>366.75</v>
      </c>
      <c r="H402" s="15">
        <f t="shared" si="31"/>
        <v>5220</v>
      </c>
      <c r="I402" s="15">
        <f t="shared" si="32"/>
        <v>4853.25</v>
      </c>
      <c r="J402" s="15">
        <f t="shared" si="33"/>
        <v>366.75</v>
      </c>
      <c r="K402" s="19">
        <f t="shared" si="34"/>
        <v>7.5567918405192391E-2</v>
      </c>
      <c r="L402" s="15" t="s">
        <v>231</v>
      </c>
      <c r="M402" s="15"/>
    </row>
    <row r="403" spans="1:13" x14ac:dyDescent="0.25">
      <c r="A403" s="16">
        <v>46016</v>
      </c>
      <c r="B403" s="17" t="s">
        <v>179</v>
      </c>
      <c r="C403" s="15">
        <v>1</v>
      </c>
      <c r="D403" s="23">
        <v>359696883982359</v>
      </c>
      <c r="E403" s="15">
        <v>1990</v>
      </c>
      <c r="F403" s="15">
        <v>1258.25</v>
      </c>
      <c r="G403" s="15">
        <f t="shared" si="30"/>
        <v>731.75</v>
      </c>
      <c r="H403" s="15">
        <f t="shared" si="31"/>
        <v>1990</v>
      </c>
      <c r="I403" s="15">
        <f t="shared" si="32"/>
        <v>1258.25</v>
      </c>
      <c r="J403" s="15">
        <f t="shared" si="33"/>
        <v>731.75</v>
      </c>
      <c r="K403" s="19">
        <f t="shared" si="34"/>
        <v>0.5815616928273396</v>
      </c>
      <c r="L403" s="15" t="s">
        <v>231</v>
      </c>
      <c r="M403" s="15"/>
    </row>
    <row r="404" spans="1:13" x14ac:dyDescent="0.25">
      <c r="A404" s="16">
        <v>46016</v>
      </c>
      <c r="B404" s="24" t="s">
        <v>180</v>
      </c>
      <c r="C404" s="15">
        <v>1</v>
      </c>
      <c r="D404" s="22">
        <v>355413810000188</v>
      </c>
      <c r="E404" s="15">
        <v>3700</v>
      </c>
      <c r="F404" s="15">
        <v>3559.05</v>
      </c>
      <c r="G404" s="15">
        <f t="shared" si="30"/>
        <v>140.94999999999982</v>
      </c>
      <c r="H404" s="15">
        <f t="shared" si="31"/>
        <v>3700</v>
      </c>
      <c r="I404" s="15">
        <f t="shared" si="32"/>
        <v>3559.05</v>
      </c>
      <c r="J404" s="15">
        <f t="shared" si="33"/>
        <v>140.94999999999982</v>
      </c>
      <c r="K404" s="19">
        <f t="shared" si="34"/>
        <v>3.9603264916199497E-2</v>
      </c>
      <c r="L404" s="15" t="s">
        <v>231</v>
      </c>
      <c r="M404" s="15"/>
    </row>
    <row r="405" spans="1:13" x14ac:dyDescent="0.25">
      <c r="A405" s="16">
        <v>46016</v>
      </c>
      <c r="B405" s="24" t="s">
        <v>180</v>
      </c>
      <c r="C405" s="15">
        <v>1</v>
      </c>
      <c r="D405" s="22">
        <v>355413810148284</v>
      </c>
      <c r="E405" s="15">
        <v>3700</v>
      </c>
      <c r="F405" s="15">
        <v>3559.05</v>
      </c>
      <c r="G405" s="15">
        <f t="shared" si="30"/>
        <v>140.94999999999982</v>
      </c>
      <c r="H405" s="15">
        <f t="shared" si="31"/>
        <v>3700</v>
      </c>
      <c r="I405" s="15">
        <f t="shared" si="32"/>
        <v>3559.05</v>
      </c>
      <c r="J405" s="15">
        <f t="shared" si="33"/>
        <v>140.94999999999982</v>
      </c>
      <c r="K405" s="19">
        <f t="shared" si="34"/>
        <v>3.9603264916199497E-2</v>
      </c>
      <c r="L405" s="15" t="s">
        <v>231</v>
      </c>
      <c r="M405" s="15"/>
    </row>
    <row r="406" spans="1:13" x14ac:dyDescent="0.25">
      <c r="A406" s="16">
        <v>46006</v>
      </c>
      <c r="B406" s="17" t="s">
        <v>48</v>
      </c>
      <c r="C406" s="15">
        <v>1</v>
      </c>
      <c r="D406" s="23">
        <v>352190326484519</v>
      </c>
      <c r="E406" s="15">
        <v>2750</v>
      </c>
      <c r="F406" s="15">
        <v>2588.4</v>
      </c>
      <c r="G406" s="15">
        <f t="shared" si="30"/>
        <v>161.59999999999991</v>
      </c>
      <c r="H406" s="15">
        <f t="shared" si="31"/>
        <v>2750</v>
      </c>
      <c r="I406" s="15">
        <f t="shared" si="32"/>
        <v>2588.4</v>
      </c>
      <c r="J406" s="15">
        <f t="shared" si="33"/>
        <v>161.59999999999991</v>
      </c>
      <c r="K406" s="19">
        <f t="shared" si="34"/>
        <v>6.2432390666048485E-2</v>
      </c>
      <c r="L406" s="15" t="s">
        <v>231</v>
      </c>
      <c r="M406" s="15"/>
    </row>
    <row r="407" spans="1:13" x14ac:dyDescent="0.25">
      <c r="A407" s="16">
        <v>46006</v>
      </c>
      <c r="B407" s="20" t="s">
        <v>14</v>
      </c>
      <c r="C407" s="15">
        <v>1</v>
      </c>
      <c r="D407" s="22">
        <v>352791398703148</v>
      </c>
      <c r="E407" s="15">
        <v>3410</v>
      </c>
      <c r="F407" s="15">
        <v>3199.5</v>
      </c>
      <c r="G407" s="15">
        <f t="shared" si="30"/>
        <v>210.5</v>
      </c>
      <c r="H407" s="15">
        <f t="shared" si="31"/>
        <v>3410</v>
      </c>
      <c r="I407" s="15">
        <f t="shared" si="32"/>
        <v>3199.5</v>
      </c>
      <c r="J407" s="15">
        <f t="shared" si="33"/>
        <v>210.5</v>
      </c>
      <c r="K407" s="19">
        <f t="shared" si="34"/>
        <v>6.5791529926551018E-2</v>
      </c>
      <c r="L407" s="15" t="s">
        <v>231</v>
      </c>
      <c r="M407" s="15"/>
    </row>
    <row r="408" spans="1:13" x14ac:dyDescent="0.25">
      <c r="A408" s="16">
        <v>46006</v>
      </c>
      <c r="B408" s="20" t="s">
        <v>14</v>
      </c>
      <c r="C408" s="15">
        <v>1</v>
      </c>
      <c r="D408" s="22">
        <v>357826999757468</v>
      </c>
      <c r="E408" s="15">
        <v>3410</v>
      </c>
      <c r="F408" s="15">
        <v>3199.5</v>
      </c>
      <c r="G408" s="15">
        <f t="shared" si="30"/>
        <v>210.5</v>
      </c>
      <c r="H408" s="15">
        <f t="shared" si="31"/>
        <v>3410</v>
      </c>
      <c r="I408" s="15">
        <f t="shared" si="32"/>
        <v>3199.5</v>
      </c>
      <c r="J408" s="15">
        <f t="shared" si="33"/>
        <v>210.5</v>
      </c>
      <c r="K408" s="19">
        <f t="shared" si="34"/>
        <v>6.5791529926551018E-2</v>
      </c>
      <c r="L408" s="15" t="s">
        <v>231</v>
      </c>
      <c r="M408" s="15"/>
    </row>
    <row r="409" spans="1:13" x14ac:dyDescent="0.25">
      <c r="A409" s="16">
        <v>46006</v>
      </c>
      <c r="B409" s="20" t="s">
        <v>14</v>
      </c>
      <c r="C409" s="15">
        <v>1</v>
      </c>
      <c r="D409" s="22">
        <v>358482494828708</v>
      </c>
      <c r="E409" s="15">
        <v>3470</v>
      </c>
      <c r="F409" s="15">
        <v>3217.52</v>
      </c>
      <c r="G409" s="15">
        <f t="shared" si="30"/>
        <v>252.48000000000002</v>
      </c>
      <c r="H409" s="15">
        <f t="shared" si="31"/>
        <v>3470</v>
      </c>
      <c r="I409" s="15">
        <f t="shared" si="32"/>
        <v>3217.52</v>
      </c>
      <c r="J409" s="15">
        <f t="shared" si="33"/>
        <v>252.48000000000002</v>
      </c>
      <c r="K409" s="19">
        <f t="shared" si="34"/>
        <v>7.847037469852558E-2</v>
      </c>
      <c r="L409" s="15" t="s">
        <v>231</v>
      </c>
      <c r="M409" s="15"/>
    </row>
    <row r="410" spans="1:13" x14ac:dyDescent="0.25">
      <c r="A410" s="16">
        <v>46006</v>
      </c>
      <c r="B410" s="20" t="s">
        <v>14</v>
      </c>
      <c r="C410" s="15">
        <v>1</v>
      </c>
      <c r="D410" s="22">
        <v>359802898520883</v>
      </c>
      <c r="E410" s="15">
        <v>3470</v>
      </c>
      <c r="F410" s="15">
        <v>3217.52</v>
      </c>
      <c r="G410" s="15">
        <f t="shared" si="30"/>
        <v>252.48000000000002</v>
      </c>
      <c r="H410" s="15">
        <f t="shared" si="31"/>
        <v>3470</v>
      </c>
      <c r="I410" s="15">
        <f t="shared" si="32"/>
        <v>3217.52</v>
      </c>
      <c r="J410" s="15">
        <f t="shared" si="33"/>
        <v>252.48000000000002</v>
      </c>
      <c r="K410" s="19">
        <f t="shared" si="34"/>
        <v>7.847037469852558E-2</v>
      </c>
      <c r="L410" s="15" t="s">
        <v>231</v>
      </c>
      <c r="M410" s="15"/>
    </row>
    <row r="411" spans="1:13" x14ac:dyDescent="0.25">
      <c r="A411" s="16">
        <v>46006</v>
      </c>
      <c r="B411" s="20" t="s">
        <v>14</v>
      </c>
      <c r="C411" s="15">
        <v>1</v>
      </c>
      <c r="D411" s="22">
        <v>358482495129767</v>
      </c>
      <c r="E411" s="15">
        <v>3480</v>
      </c>
      <c r="F411" s="15">
        <v>3217.52</v>
      </c>
      <c r="G411" s="15">
        <f t="shared" si="30"/>
        <v>262.48</v>
      </c>
      <c r="H411" s="15">
        <f t="shared" si="31"/>
        <v>3480</v>
      </c>
      <c r="I411" s="15">
        <f t="shared" si="32"/>
        <v>3217.52</v>
      </c>
      <c r="J411" s="15">
        <f t="shared" si="33"/>
        <v>262.48</v>
      </c>
      <c r="K411" s="19">
        <f t="shared" si="34"/>
        <v>8.1578358487282135E-2</v>
      </c>
      <c r="L411" s="15" t="s">
        <v>231</v>
      </c>
      <c r="M411" s="15"/>
    </row>
    <row r="412" spans="1:13" x14ac:dyDescent="0.25">
      <c r="A412" s="16">
        <v>46006</v>
      </c>
      <c r="B412" s="20" t="s">
        <v>14</v>
      </c>
      <c r="C412" s="15">
        <v>1</v>
      </c>
      <c r="D412" s="22">
        <v>359802898534702</v>
      </c>
      <c r="E412" s="15">
        <v>3480</v>
      </c>
      <c r="F412" s="15">
        <v>3217.52</v>
      </c>
      <c r="G412" s="15">
        <f t="shared" si="30"/>
        <v>262.48</v>
      </c>
      <c r="H412" s="15">
        <f t="shared" si="31"/>
        <v>3480</v>
      </c>
      <c r="I412" s="15">
        <f t="shared" si="32"/>
        <v>3217.52</v>
      </c>
      <c r="J412" s="15">
        <f t="shared" si="33"/>
        <v>262.48</v>
      </c>
      <c r="K412" s="19">
        <f t="shared" si="34"/>
        <v>8.1578358487282135E-2</v>
      </c>
      <c r="L412" s="15" t="s">
        <v>231</v>
      </c>
      <c r="M412" s="15"/>
    </row>
    <row r="413" spans="1:13" x14ac:dyDescent="0.25">
      <c r="A413" s="16">
        <v>46006</v>
      </c>
      <c r="B413" s="20" t="s">
        <v>14</v>
      </c>
      <c r="C413" s="15">
        <v>1</v>
      </c>
      <c r="D413" s="22">
        <v>359802898127846</v>
      </c>
      <c r="E413" s="15">
        <v>3480</v>
      </c>
      <c r="F413" s="15">
        <v>3217.52</v>
      </c>
      <c r="G413" s="15">
        <f t="shared" si="30"/>
        <v>262.48</v>
      </c>
      <c r="H413" s="15">
        <f t="shared" si="31"/>
        <v>3480</v>
      </c>
      <c r="I413" s="15">
        <f t="shared" si="32"/>
        <v>3217.52</v>
      </c>
      <c r="J413" s="15">
        <f t="shared" si="33"/>
        <v>262.48</v>
      </c>
      <c r="K413" s="19">
        <f t="shared" si="34"/>
        <v>8.1578358487282135E-2</v>
      </c>
      <c r="L413" s="15" t="s">
        <v>231</v>
      </c>
      <c r="M413" s="15"/>
    </row>
    <row r="414" spans="1:13" x14ac:dyDescent="0.25">
      <c r="A414" s="16">
        <v>46008</v>
      </c>
      <c r="B414" s="20" t="s">
        <v>14</v>
      </c>
      <c r="C414" s="15">
        <v>1</v>
      </c>
      <c r="D414" s="23">
        <v>355450211936594</v>
      </c>
      <c r="E414" s="15">
        <v>3130</v>
      </c>
      <c r="F414" s="15">
        <v>3073.72</v>
      </c>
      <c r="G414" s="15">
        <f t="shared" si="30"/>
        <v>56.2800000000002</v>
      </c>
      <c r="H414" s="15">
        <f t="shared" si="31"/>
        <v>3130</v>
      </c>
      <c r="I414" s="15">
        <f t="shared" si="32"/>
        <v>3073.72</v>
      </c>
      <c r="J414" s="15">
        <f t="shared" si="33"/>
        <v>56.2800000000002</v>
      </c>
      <c r="K414" s="19">
        <f t="shared" si="34"/>
        <v>1.8310060773265035E-2</v>
      </c>
      <c r="L414" s="15" t="s">
        <v>231</v>
      </c>
      <c r="M414" s="15"/>
    </row>
    <row r="415" spans="1:13" x14ac:dyDescent="0.25">
      <c r="A415" s="16">
        <v>46009</v>
      </c>
      <c r="B415" s="20" t="s">
        <v>14</v>
      </c>
      <c r="C415" s="15">
        <v>1</v>
      </c>
      <c r="D415" s="22">
        <v>355450219448865</v>
      </c>
      <c r="E415" s="15">
        <v>3390</v>
      </c>
      <c r="F415" s="15">
        <v>3199.5</v>
      </c>
      <c r="G415" s="15">
        <f t="shared" si="30"/>
        <v>190.5</v>
      </c>
      <c r="H415" s="15">
        <f t="shared" si="31"/>
        <v>3390</v>
      </c>
      <c r="I415" s="15">
        <f t="shared" si="32"/>
        <v>3199.5</v>
      </c>
      <c r="J415" s="15">
        <f t="shared" si="33"/>
        <v>190.5</v>
      </c>
      <c r="K415" s="19">
        <f t="shared" si="34"/>
        <v>5.9540553211439286E-2</v>
      </c>
      <c r="L415" s="15" t="s">
        <v>231</v>
      </c>
      <c r="M415" s="15"/>
    </row>
    <row r="416" spans="1:13" x14ac:dyDescent="0.25">
      <c r="A416" s="16">
        <v>46009</v>
      </c>
      <c r="B416" s="20" t="s">
        <v>14</v>
      </c>
      <c r="C416" s="15">
        <v>1</v>
      </c>
      <c r="D416" s="22">
        <v>352791399627452</v>
      </c>
      <c r="E416" s="15">
        <v>3390</v>
      </c>
      <c r="F416" s="15">
        <v>3199.5</v>
      </c>
      <c r="G416" s="15">
        <f t="shared" si="30"/>
        <v>190.5</v>
      </c>
      <c r="H416" s="15">
        <f t="shared" si="31"/>
        <v>3390</v>
      </c>
      <c r="I416" s="15">
        <f t="shared" si="32"/>
        <v>3199.5</v>
      </c>
      <c r="J416" s="15">
        <f t="shared" si="33"/>
        <v>190.5</v>
      </c>
      <c r="K416" s="19">
        <f t="shared" si="34"/>
        <v>5.9540553211439286E-2</v>
      </c>
      <c r="L416" s="15" t="s">
        <v>231</v>
      </c>
      <c r="M416" s="15"/>
    </row>
    <row r="417" spans="1:13" x14ac:dyDescent="0.25">
      <c r="A417" s="16">
        <v>46009</v>
      </c>
      <c r="B417" s="20" t="s">
        <v>14</v>
      </c>
      <c r="C417" s="15">
        <v>1</v>
      </c>
      <c r="D417" s="22">
        <v>350889860283367</v>
      </c>
      <c r="E417" s="15">
        <v>3390</v>
      </c>
      <c r="F417" s="15">
        <v>3199.5</v>
      </c>
      <c r="G417" s="15">
        <f t="shared" si="30"/>
        <v>190.5</v>
      </c>
      <c r="H417" s="15">
        <f t="shared" si="31"/>
        <v>3390</v>
      </c>
      <c r="I417" s="15">
        <f t="shared" si="32"/>
        <v>3199.5</v>
      </c>
      <c r="J417" s="15">
        <f t="shared" si="33"/>
        <v>190.5</v>
      </c>
      <c r="K417" s="19">
        <f t="shared" si="34"/>
        <v>5.9540553211439286E-2</v>
      </c>
      <c r="L417" s="15" t="s">
        <v>231</v>
      </c>
      <c r="M417" s="15"/>
    </row>
    <row r="418" spans="1:13" x14ac:dyDescent="0.25">
      <c r="A418" s="16">
        <v>46011</v>
      </c>
      <c r="B418" s="20" t="s">
        <v>14</v>
      </c>
      <c r="C418" s="15">
        <v>1</v>
      </c>
      <c r="D418" s="22">
        <v>355450218712279</v>
      </c>
      <c r="E418" s="15">
        <v>3260</v>
      </c>
      <c r="F418" s="15">
        <v>3199.5</v>
      </c>
      <c r="G418" s="15">
        <f t="shared" si="30"/>
        <v>60.5</v>
      </c>
      <c r="H418" s="15">
        <f t="shared" si="31"/>
        <v>3260</v>
      </c>
      <c r="I418" s="15">
        <f t="shared" si="32"/>
        <v>3199.5</v>
      </c>
      <c r="J418" s="15">
        <f t="shared" si="33"/>
        <v>60.5</v>
      </c>
      <c r="K418" s="19">
        <f t="shared" si="34"/>
        <v>1.8909204563213003E-2</v>
      </c>
      <c r="L418" s="15" t="s">
        <v>231</v>
      </c>
      <c r="M418" s="15"/>
    </row>
    <row r="419" spans="1:13" x14ac:dyDescent="0.25">
      <c r="A419" s="16">
        <v>46011</v>
      </c>
      <c r="B419" s="20" t="s">
        <v>14</v>
      </c>
      <c r="C419" s="15">
        <v>1</v>
      </c>
      <c r="D419" s="22">
        <v>355450216568806</v>
      </c>
      <c r="E419" s="15">
        <v>3260</v>
      </c>
      <c r="F419" s="15">
        <v>3199.5</v>
      </c>
      <c r="G419" s="15">
        <f t="shared" si="30"/>
        <v>60.5</v>
      </c>
      <c r="H419" s="15">
        <f t="shared" si="31"/>
        <v>3260</v>
      </c>
      <c r="I419" s="15">
        <f t="shared" si="32"/>
        <v>3199.5</v>
      </c>
      <c r="J419" s="15">
        <f t="shared" si="33"/>
        <v>60.5</v>
      </c>
      <c r="K419" s="19">
        <f t="shared" si="34"/>
        <v>1.8909204563213003E-2</v>
      </c>
      <c r="L419" s="15" t="s">
        <v>231</v>
      </c>
      <c r="M419" s="15"/>
    </row>
    <row r="420" spans="1:13" x14ac:dyDescent="0.25">
      <c r="A420" s="16">
        <v>46011</v>
      </c>
      <c r="B420" s="20" t="s">
        <v>14</v>
      </c>
      <c r="C420" s="15">
        <v>1</v>
      </c>
      <c r="D420" s="22">
        <v>359912588274988</v>
      </c>
      <c r="E420" s="15">
        <v>3260</v>
      </c>
      <c r="F420" s="15">
        <v>3199.5</v>
      </c>
      <c r="G420" s="15">
        <f t="shared" si="30"/>
        <v>60.5</v>
      </c>
      <c r="H420" s="15">
        <f t="shared" si="31"/>
        <v>3260</v>
      </c>
      <c r="I420" s="15">
        <f t="shared" si="32"/>
        <v>3199.5</v>
      </c>
      <c r="J420" s="15">
        <f t="shared" si="33"/>
        <v>60.5</v>
      </c>
      <c r="K420" s="19">
        <f t="shared" si="34"/>
        <v>1.8909204563213003E-2</v>
      </c>
      <c r="L420" s="15" t="s">
        <v>231</v>
      </c>
      <c r="M420" s="15"/>
    </row>
    <row r="421" spans="1:13" x14ac:dyDescent="0.25">
      <c r="A421" s="16">
        <v>46011</v>
      </c>
      <c r="B421" s="20" t="s">
        <v>14</v>
      </c>
      <c r="C421" s="15">
        <v>1</v>
      </c>
      <c r="D421" s="22">
        <v>359912587293161</v>
      </c>
      <c r="E421" s="15">
        <v>3260</v>
      </c>
      <c r="F421" s="15">
        <v>3199.5</v>
      </c>
      <c r="G421" s="15">
        <f t="shared" si="30"/>
        <v>60.5</v>
      </c>
      <c r="H421" s="15">
        <f t="shared" si="31"/>
        <v>3260</v>
      </c>
      <c r="I421" s="15">
        <f t="shared" si="32"/>
        <v>3199.5</v>
      </c>
      <c r="J421" s="15">
        <f t="shared" si="33"/>
        <v>60.5</v>
      </c>
      <c r="K421" s="19">
        <f t="shared" si="34"/>
        <v>1.8909204563213003E-2</v>
      </c>
      <c r="L421" s="15" t="s">
        <v>231</v>
      </c>
      <c r="M421" s="15"/>
    </row>
    <row r="422" spans="1:13" x14ac:dyDescent="0.25">
      <c r="A422" s="16">
        <v>46011</v>
      </c>
      <c r="B422" s="20" t="s">
        <v>14</v>
      </c>
      <c r="C422" s="15">
        <v>1</v>
      </c>
      <c r="D422" s="22">
        <v>355450218827515</v>
      </c>
      <c r="E422" s="15">
        <v>3260</v>
      </c>
      <c r="F422" s="15">
        <v>3199.5</v>
      </c>
      <c r="G422" s="15">
        <f t="shared" si="30"/>
        <v>60.5</v>
      </c>
      <c r="H422" s="15">
        <f t="shared" si="31"/>
        <v>3260</v>
      </c>
      <c r="I422" s="15">
        <f t="shared" si="32"/>
        <v>3199.5</v>
      </c>
      <c r="J422" s="15">
        <f t="shared" si="33"/>
        <v>60.5</v>
      </c>
      <c r="K422" s="19">
        <f t="shared" si="34"/>
        <v>1.8909204563213003E-2</v>
      </c>
      <c r="L422" s="15" t="s">
        <v>231</v>
      </c>
      <c r="M422" s="15"/>
    </row>
    <row r="423" spans="1:13" x14ac:dyDescent="0.25">
      <c r="A423" s="16">
        <v>46011</v>
      </c>
      <c r="B423" s="20" t="s">
        <v>14</v>
      </c>
      <c r="C423" s="15">
        <v>1</v>
      </c>
      <c r="D423" s="23">
        <v>355190202855318</v>
      </c>
      <c r="E423" s="15">
        <v>4170</v>
      </c>
      <c r="F423" s="15">
        <v>3810.7</v>
      </c>
      <c r="G423" s="15">
        <f t="shared" si="30"/>
        <v>359.30000000000018</v>
      </c>
      <c r="H423" s="15">
        <f t="shared" si="31"/>
        <v>4170</v>
      </c>
      <c r="I423" s="15">
        <f t="shared" si="32"/>
        <v>3810.7</v>
      </c>
      <c r="J423" s="15">
        <f t="shared" si="33"/>
        <v>359.30000000000018</v>
      </c>
      <c r="K423" s="19">
        <f t="shared" si="34"/>
        <v>9.4287138845881385E-2</v>
      </c>
      <c r="L423" s="15" t="s">
        <v>231</v>
      </c>
      <c r="M423" s="15"/>
    </row>
    <row r="424" spans="1:13" x14ac:dyDescent="0.25">
      <c r="A424" s="16">
        <v>46015</v>
      </c>
      <c r="B424" s="20" t="s">
        <v>14</v>
      </c>
      <c r="C424" s="15">
        <v>1</v>
      </c>
      <c r="D424" s="22">
        <v>350247150882671</v>
      </c>
      <c r="E424" s="15">
        <v>3570</v>
      </c>
      <c r="F424" s="15">
        <v>3199.55</v>
      </c>
      <c r="G424" s="15">
        <f t="shared" si="30"/>
        <v>370.44999999999982</v>
      </c>
      <c r="H424" s="15">
        <f t="shared" si="31"/>
        <v>3570</v>
      </c>
      <c r="I424" s="15">
        <f t="shared" si="32"/>
        <v>3199.55</v>
      </c>
      <c r="J424" s="15">
        <f t="shared" si="33"/>
        <v>370.44999999999982</v>
      </c>
      <c r="K424" s="19">
        <f t="shared" si="34"/>
        <v>0.115781906830648</v>
      </c>
      <c r="L424" s="15" t="s">
        <v>231</v>
      </c>
      <c r="M424" s="15"/>
    </row>
    <row r="425" spans="1:13" x14ac:dyDescent="0.25">
      <c r="A425" s="16">
        <v>46017</v>
      </c>
      <c r="B425" s="24" t="s">
        <v>191</v>
      </c>
      <c r="C425" s="15">
        <v>1</v>
      </c>
      <c r="D425" s="22" t="s">
        <v>193</v>
      </c>
      <c r="E425" s="15">
        <v>3320</v>
      </c>
      <c r="F425" s="15">
        <v>3163.6</v>
      </c>
      <c r="G425" s="15">
        <f t="shared" si="30"/>
        <v>156.40000000000009</v>
      </c>
      <c r="H425" s="15">
        <f t="shared" si="31"/>
        <v>3320</v>
      </c>
      <c r="I425" s="15">
        <f t="shared" si="32"/>
        <v>3163.6</v>
      </c>
      <c r="J425" s="15">
        <f t="shared" si="33"/>
        <v>156.40000000000009</v>
      </c>
      <c r="K425" s="19">
        <f t="shared" si="34"/>
        <v>4.9437349854596059E-2</v>
      </c>
      <c r="L425" s="15" t="s">
        <v>231</v>
      </c>
      <c r="M425" s="15"/>
    </row>
    <row r="426" spans="1:13" x14ac:dyDescent="0.25">
      <c r="A426" s="16">
        <v>46011</v>
      </c>
      <c r="B426" s="17" t="s">
        <v>128</v>
      </c>
      <c r="C426" s="15">
        <v>1</v>
      </c>
      <c r="D426" s="22" t="s">
        <v>129</v>
      </c>
      <c r="E426" s="15">
        <v>6180</v>
      </c>
      <c r="F426" s="15">
        <v>5859.85</v>
      </c>
      <c r="G426" s="15">
        <f t="shared" si="30"/>
        <v>320.14999999999964</v>
      </c>
      <c r="H426" s="15">
        <f t="shared" si="31"/>
        <v>6180</v>
      </c>
      <c r="I426" s="15">
        <f t="shared" si="32"/>
        <v>5859.85</v>
      </c>
      <c r="J426" s="15">
        <f t="shared" si="33"/>
        <v>320.14999999999964</v>
      </c>
      <c r="K426" s="19">
        <f t="shared" si="34"/>
        <v>5.4634504296184994E-2</v>
      </c>
      <c r="L426" s="15" t="s">
        <v>231</v>
      </c>
      <c r="M426" s="15"/>
    </row>
    <row r="427" spans="1:13" x14ac:dyDescent="0.25">
      <c r="A427" s="16">
        <v>46011</v>
      </c>
      <c r="B427" s="17" t="s">
        <v>128</v>
      </c>
      <c r="C427" s="15">
        <v>1</v>
      </c>
      <c r="D427" s="22" t="s">
        <v>130</v>
      </c>
      <c r="E427" s="15">
        <v>6180</v>
      </c>
      <c r="F427" s="15">
        <v>5895.8</v>
      </c>
      <c r="G427" s="15">
        <f t="shared" si="30"/>
        <v>284.19999999999982</v>
      </c>
      <c r="H427" s="15">
        <f t="shared" si="31"/>
        <v>6180</v>
      </c>
      <c r="I427" s="15">
        <f t="shared" si="32"/>
        <v>5895.8</v>
      </c>
      <c r="J427" s="15">
        <f t="shared" si="33"/>
        <v>284.19999999999982</v>
      </c>
      <c r="K427" s="19">
        <f t="shared" si="34"/>
        <v>4.8203806099257063E-2</v>
      </c>
      <c r="L427" s="15" t="s">
        <v>231</v>
      </c>
      <c r="M427" s="15"/>
    </row>
    <row r="428" spans="1:13" x14ac:dyDescent="0.25">
      <c r="A428" s="16">
        <v>46016</v>
      </c>
      <c r="B428" s="24" t="s">
        <v>161</v>
      </c>
      <c r="C428" s="15">
        <v>1</v>
      </c>
      <c r="D428" s="22" t="s">
        <v>165</v>
      </c>
      <c r="E428" s="15">
        <v>5930</v>
      </c>
      <c r="F428" s="15">
        <v>5662.12</v>
      </c>
      <c r="G428" s="15">
        <f t="shared" si="30"/>
        <v>267.88000000000011</v>
      </c>
      <c r="H428" s="15">
        <f t="shared" si="31"/>
        <v>5930</v>
      </c>
      <c r="I428" s="15">
        <f t="shared" si="32"/>
        <v>5662.12</v>
      </c>
      <c r="J428" s="15">
        <f t="shared" si="33"/>
        <v>267.88000000000011</v>
      </c>
      <c r="K428" s="19">
        <f t="shared" si="34"/>
        <v>4.7310901217211945E-2</v>
      </c>
      <c r="L428" s="15" t="s">
        <v>231</v>
      </c>
      <c r="M428" s="15"/>
    </row>
    <row r="429" spans="1:13" x14ac:dyDescent="0.25">
      <c r="A429" s="16">
        <v>46016</v>
      </c>
      <c r="B429" s="24" t="s">
        <v>154</v>
      </c>
      <c r="C429" s="15">
        <v>1</v>
      </c>
      <c r="D429" s="22" t="s">
        <v>156</v>
      </c>
      <c r="E429" s="15">
        <v>5150</v>
      </c>
      <c r="F429" s="15">
        <v>4907.17</v>
      </c>
      <c r="G429" s="15">
        <f t="shared" si="30"/>
        <v>242.82999999999993</v>
      </c>
      <c r="H429" s="15">
        <f t="shared" si="31"/>
        <v>5150</v>
      </c>
      <c r="I429" s="15">
        <f t="shared" si="32"/>
        <v>4907.17</v>
      </c>
      <c r="J429" s="15">
        <f t="shared" si="33"/>
        <v>242.82999999999993</v>
      </c>
      <c r="K429" s="19">
        <f t="shared" si="34"/>
        <v>4.9484733563336901E-2</v>
      </c>
      <c r="L429" s="15" t="s">
        <v>231</v>
      </c>
      <c r="M429" s="15"/>
    </row>
    <row r="430" spans="1:13" x14ac:dyDescent="0.25">
      <c r="A430" s="16">
        <v>46016</v>
      </c>
      <c r="B430" s="24" t="s">
        <v>154</v>
      </c>
      <c r="C430" s="15">
        <v>1</v>
      </c>
      <c r="D430" s="22" t="s">
        <v>157</v>
      </c>
      <c r="E430" s="15">
        <v>5150</v>
      </c>
      <c r="F430" s="15">
        <v>4907.17</v>
      </c>
      <c r="G430" s="15">
        <f t="shared" si="30"/>
        <v>242.82999999999993</v>
      </c>
      <c r="H430" s="15">
        <f t="shared" si="31"/>
        <v>5150</v>
      </c>
      <c r="I430" s="15">
        <f t="shared" si="32"/>
        <v>4907.17</v>
      </c>
      <c r="J430" s="15">
        <f t="shared" si="33"/>
        <v>242.82999999999993</v>
      </c>
      <c r="K430" s="19">
        <f t="shared" si="34"/>
        <v>4.9484733563336901E-2</v>
      </c>
      <c r="L430" s="15" t="s">
        <v>231</v>
      </c>
      <c r="M430" s="15"/>
    </row>
    <row r="431" spans="1:13" x14ac:dyDescent="0.25">
      <c r="A431" s="16">
        <v>46016</v>
      </c>
      <c r="B431" s="24" t="s">
        <v>154</v>
      </c>
      <c r="C431" s="15">
        <v>1</v>
      </c>
      <c r="D431" s="22" t="s">
        <v>158</v>
      </c>
      <c r="E431" s="15">
        <v>5150</v>
      </c>
      <c r="F431" s="15">
        <v>4907.17</v>
      </c>
      <c r="G431" s="15">
        <f t="shared" si="30"/>
        <v>242.82999999999993</v>
      </c>
      <c r="H431" s="15">
        <f t="shared" si="31"/>
        <v>5150</v>
      </c>
      <c r="I431" s="15">
        <f t="shared" si="32"/>
        <v>4907.17</v>
      </c>
      <c r="J431" s="15">
        <f t="shared" si="33"/>
        <v>242.82999999999993</v>
      </c>
      <c r="K431" s="19">
        <f t="shared" si="34"/>
        <v>4.9484733563336901E-2</v>
      </c>
      <c r="L431" s="15" t="s">
        <v>231</v>
      </c>
      <c r="M431" s="15"/>
    </row>
    <row r="432" spans="1:13" x14ac:dyDescent="0.25">
      <c r="A432" s="16">
        <v>46016</v>
      </c>
      <c r="B432" s="24" t="s">
        <v>154</v>
      </c>
      <c r="C432" s="15">
        <v>1</v>
      </c>
      <c r="D432" s="22" t="s">
        <v>159</v>
      </c>
      <c r="E432" s="15">
        <v>5150</v>
      </c>
      <c r="F432" s="15">
        <v>4907.17</v>
      </c>
      <c r="G432" s="15">
        <f t="shared" si="30"/>
        <v>242.82999999999993</v>
      </c>
      <c r="H432" s="15">
        <f t="shared" si="31"/>
        <v>5150</v>
      </c>
      <c r="I432" s="15">
        <f t="shared" si="32"/>
        <v>4907.17</v>
      </c>
      <c r="J432" s="15">
        <f t="shared" si="33"/>
        <v>242.82999999999993</v>
      </c>
      <c r="K432" s="19">
        <f t="shared" si="34"/>
        <v>4.9484733563336901E-2</v>
      </c>
      <c r="L432" s="15" t="s">
        <v>231</v>
      </c>
      <c r="M432" s="15"/>
    </row>
    <row r="433" spans="1:13" x14ac:dyDescent="0.25">
      <c r="A433" s="16">
        <v>46016</v>
      </c>
      <c r="B433" s="24" t="s">
        <v>173</v>
      </c>
      <c r="C433" s="15">
        <v>1</v>
      </c>
      <c r="D433" s="22" t="s">
        <v>175</v>
      </c>
      <c r="E433" s="15">
        <v>5150</v>
      </c>
      <c r="F433" s="15">
        <v>4907.17</v>
      </c>
      <c r="G433" s="15">
        <f t="shared" si="30"/>
        <v>242.82999999999993</v>
      </c>
      <c r="H433" s="15">
        <f t="shared" si="31"/>
        <v>5150</v>
      </c>
      <c r="I433" s="15">
        <f t="shared" si="32"/>
        <v>4907.17</v>
      </c>
      <c r="J433" s="15">
        <f t="shared" si="33"/>
        <v>242.82999999999993</v>
      </c>
      <c r="K433" s="19">
        <f t="shared" si="34"/>
        <v>4.9484733563336901E-2</v>
      </c>
      <c r="L433" s="15" t="s">
        <v>231</v>
      </c>
      <c r="M433" s="15"/>
    </row>
    <row r="434" spans="1:13" x14ac:dyDescent="0.25">
      <c r="A434" s="16">
        <v>46016</v>
      </c>
      <c r="B434" s="24" t="s">
        <v>173</v>
      </c>
      <c r="C434" s="15">
        <v>1</v>
      </c>
      <c r="D434" s="22" t="s">
        <v>176</v>
      </c>
      <c r="E434" s="15">
        <v>5150</v>
      </c>
      <c r="F434" s="15">
        <v>4907.17</v>
      </c>
      <c r="G434" s="15">
        <f t="shared" si="30"/>
        <v>242.82999999999993</v>
      </c>
      <c r="H434" s="15">
        <f t="shared" si="31"/>
        <v>5150</v>
      </c>
      <c r="I434" s="15">
        <f t="shared" si="32"/>
        <v>4907.17</v>
      </c>
      <c r="J434" s="15">
        <f t="shared" si="33"/>
        <v>242.82999999999993</v>
      </c>
      <c r="K434" s="19">
        <f t="shared" si="34"/>
        <v>4.9484733563336901E-2</v>
      </c>
      <c r="L434" s="15" t="s">
        <v>231</v>
      </c>
      <c r="M434" s="15"/>
    </row>
    <row r="435" spans="1:13" x14ac:dyDescent="0.25">
      <c r="A435" s="16">
        <v>46008</v>
      </c>
      <c r="B435" s="17" t="s">
        <v>96</v>
      </c>
      <c r="C435" s="15">
        <v>1</v>
      </c>
      <c r="D435" s="23" t="s">
        <v>97</v>
      </c>
      <c r="E435" s="15">
        <v>5150</v>
      </c>
      <c r="F435" s="15">
        <v>4907.17</v>
      </c>
      <c r="G435" s="15">
        <f t="shared" si="30"/>
        <v>242.82999999999993</v>
      </c>
      <c r="H435" s="15">
        <f t="shared" si="31"/>
        <v>5150</v>
      </c>
      <c r="I435" s="15">
        <f t="shared" si="32"/>
        <v>4907.17</v>
      </c>
      <c r="J435" s="15">
        <f t="shared" si="33"/>
        <v>242.82999999999993</v>
      </c>
      <c r="K435" s="19">
        <f t="shared" si="34"/>
        <v>4.9484733563336901E-2</v>
      </c>
      <c r="L435" s="15" t="s">
        <v>231</v>
      </c>
      <c r="M435" s="15"/>
    </row>
    <row r="436" spans="1:13" x14ac:dyDescent="0.25">
      <c r="A436" s="16">
        <v>46009</v>
      </c>
      <c r="B436" s="17" t="s">
        <v>100</v>
      </c>
      <c r="C436" s="15">
        <v>1</v>
      </c>
      <c r="D436" s="32" t="s">
        <v>220</v>
      </c>
      <c r="E436" s="15">
        <v>1550</v>
      </c>
      <c r="F436" s="15">
        <v>1258.25</v>
      </c>
      <c r="G436" s="15">
        <f t="shared" si="30"/>
        <v>291.75</v>
      </c>
      <c r="H436" s="15">
        <f t="shared" si="31"/>
        <v>1550</v>
      </c>
      <c r="I436" s="15">
        <f t="shared" si="32"/>
        <v>1258.25</v>
      </c>
      <c r="J436" s="15">
        <f t="shared" si="33"/>
        <v>291.75</v>
      </c>
      <c r="K436" s="19">
        <f t="shared" si="34"/>
        <v>0.23186966024240016</v>
      </c>
      <c r="L436" s="15" t="s">
        <v>231</v>
      </c>
      <c r="M436" s="15"/>
    </row>
    <row r="437" spans="1:13" x14ac:dyDescent="0.25">
      <c r="A437" s="16">
        <v>46009</v>
      </c>
      <c r="B437" s="17" t="s">
        <v>100</v>
      </c>
      <c r="C437" s="15">
        <v>1</v>
      </c>
      <c r="D437" s="32" t="s">
        <v>221</v>
      </c>
      <c r="E437" s="15">
        <v>1550</v>
      </c>
      <c r="F437" s="15">
        <v>1258.25</v>
      </c>
      <c r="G437" s="15">
        <f t="shared" si="30"/>
        <v>291.75</v>
      </c>
      <c r="H437" s="15">
        <f t="shared" si="31"/>
        <v>1550</v>
      </c>
      <c r="I437" s="15">
        <f t="shared" si="32"/>
        <v>1258.25</v>
      </c>
      <c r="J437" s="15">
        <f t="shared" si="33"/>
        <v>291.75</v>
      </c>
      <c r="K437" s="19">
        <f t="shared" si="34"/>
        <v>0.23186966024240016</v>
      </c>
      <c r="L437" s="15" t="s">
        <v>231</v>
      </c>
      <c r="M437" s="15"/>
    </row>
    <row r="438" spans="1:13" x14ac:dyDescent="0.25">
      <c r="A438" s="16">
        <v>46016</v>
      </c>
      <c r="B438" s="17" t="s">
        <v>152</v>
      </c>
      <c r="C438" s="15">
        <v>1</v>
      </c>
      <c r="D438" s="22">
        <v>351737750706808</v>
      </c>
      <c r="E438" s="15">
        <v>1430</v>
      </c>
      <c r="F438" s="21">
        <v>1222.3</v>
      </c>
      <c r="G438" s="15">
        <f t="shared" si="30"/>
        <v>207.70000000000005</v>
      </c>
      <c r="H438" s="15">
        <f t="shared" si="31"/>
        <v>1430</v>
      </c>
      <c r="I438" s="15">
        <f t="shared" si="32"/>
        <v>1222.3</v>
      </c>
      <c r="J438" s="15">
        <f t="shared" si="33"/>
        <v>207.70000000000005</v>
      </c>
      <c r="K438" s="19">
        <f t="shared" si="34"/>
        <v>0.16992555019226055</v>
      </c>
      <c r="L438" s="15" t="s">
        <v>224</v>
      </c>
      <c r="M438" s="15"/>
    </row>
    <row r="439" spans="1:13" x14ac:dyDescent="0.25">
      <c r="A439" s="16">
        <v>46016</v>
      </c>
      <c r="B439" s="17" t="s">
        <v>152</v>
      </c>
      <c r="C439" s="15">
        <v>1</v>
      </c>
      <c r="D439" s="22">
        <v>351737750735823</v>
      </c>
      <c r="E439" s="15">
        <v>1430</v>
      </c>
      <c r="F439" s="21">
        <v>1222.3</v>
      </c>
      <c r="G439" s="15">
        <f t="shared" si="30"/>
        <v>207.70000000000005</v>
      </c>
      <c r="H439" s="15">
        <f t="shared" si="31"/>
        <v>1430</v>
      </c>
      <c r="I439" s="15">
        <f t="shared" si="32"/>
        <v>1222.3</v>
      </c>
      <c r="J439" s="15">
        <f t="shared" si="33"/>
        <v>207.70000000000005</v>
      </c>
      <c r="K439" s="19">
        <f t="shared" si="34"/>
        <v>0.16992555019226055</v>
      </c>
      <c r="L439" s="15" t="s">
        <v>224</v>
      </c>
      <c r="M439" s="15"/>
    </row>
    <row r="440" spans="1:13" x14ac:dyDescent="0.25">
      <c r="A440" s="16">
        <v>46016</v>
      </c>
      <c r="B440" s="17" t="s">
        <v>152</v>
      </c>
      <c r="C440" s="15">
        <v>1</v>
      </c>
      <c r="D440" s="22">
        <v>358086871044738</v>
      </c>
      <c r="E440" s="15">
        <v>1400</v>
      </c>
      <c r="F440" s="21">
        <v>1222.3</v>
      </c>
      <c r="G440" s="15">
        <f t="shared" si="30"/>
        <v>177.70000000000005</v>
      </c>
      <c r="H440" s="15">
        <f t="shared" si="31"/>
        <v>1400</v>
      </c>
      <c r="I440" s="15">
        <f t="shared" si="32"/>
        <v>1222.3</v>
      </c>
      <c r="J440" s="15">
        <f t="shared" si="33"/>
        <v>177.70000000000005</v>
      </c>
      <c r="K440" s="19">
        <f t="shared" si="34"/>
        <v>0.14538165753088444</v>
      </c>
      <c r="L440" s="15" t="s">
        <v>224</v>
      </c>
      <c r="M440" s="15"/>
    </row>
    <row r="441" spans="1:13" x14ac:dyDescent="0.25">
      <c r="A441" s="16">
        <v>46016</v>
      </c>
      <c r="B441" s="17" t="s">
        <v>152</v>
      </c>
      <c r="C441" s="15">
        <v>1</v>
      </c>
      <c r="D441" s="22">
        <v>357324130096202</v>
      </c>
      <c r="E441" s="15">
        <v>1400</v>
      </c>
      <c r="F441" s="21">
        <v>1222.3</v>
      </c>
      <c r="G441" s="15">
        <f t="shared" si="30"/>
        <v>177.70000000000005</v>
      </c>
      <c r="H441" s="15">
        <f t="shared" si="31"/>
        <v>1400</v>
      </c>
      <c r="I441" s="15">
        <f t="shared" si="32"/>
        <v>1222.3</v>
      </c>
      <c r="J441" s="15">
        <f t="shared" si="33"/>
        <v>177.70000000000005</v>
      </c>
      <c r="K441" s="19">
        <f t="shared" si="34"/>
        <v>0.14538165753088444</v>
      </c>
      <c r="L441" s="15" t="s">
        <v>224</v>
      </c>
      <c r="M441" s="15"/>
    </row>
    <row r="442" spans="1:13" x14ac:dyDescent="0.25">
      <c r="A442" s="16">
        <v>46016</v>
      </c>
      <c r="B442" s="17" t="s">
        <v>81</v>
      </c>
      <c r="C442" s="15">
        <v>1</v>
      </c>
      <c r="D442" s="23">
        <v>356768326388206</v>
      </c>
      <c r="E442" s="15">
        <v>2460</v>
      </c>
      <c r="F442" s="15">
        <v>2300.8000000000002</v>
      </c>
      <c r="G442" s="15">
        <f t="shared" si="30"/>
        <v>159.19999999999982</v>
      </c>
      <c r="H442" s="15">
        <f t="shared" si="31"/>
        <v>2460</v>
      </c>
      <c r="I442" s="15">
        <f t="shared" si="32"/>
        <v>2300.8000000000002</v>
      </c>
      <c r="J442" s="15">
        <f t="shared" si="33"/>
        <v>159.19999999999982</v>
      </c>
      <c r="K442" s="19">
        <f t="shared" si="34"/>
        <v>6.9193324061196021E-2</v>
      </c>
      <c r="L442" s="15" t="s">
        <v>224</v>
      </c>
      <c r="M442" s="15"/>
    </row>
    <row r="443" spans="1:13" x14ac:dyDescent="0.25">
      <c r="A443" s="16">
        <v>46015</v>
      </c>
      <c r="B443" s="17" t="s">
        <v>26</v>
      </c>
      <c r="C443" s="15">
        <v>1</v>
      </c>
      <c r="D443" s="23" t="s">
        <v>135</v>
      </c>
      <c r="E443" s="15">
        <v>1140</v>
      </c>
      <c r="F443" s="15">
        <v>1024.57</v>
      </c>
      <c r="G443" s="15">
        <f t="shared" si="30"/>
        <v>115.43000000000006</v>
      </c>
      <c r="H443" s="15">
        <f t="shared" si="31"/>
        <v>1140</v>
      </c>
      <c r="I443" s="15">
        <f t="shared" si="32"/>
        <v>1024.57</v>
      </c>
      <c r="J443" s="15">
        <f t="shared" si="33"/>
        <v>115.43000000000006</v>
      </c>
      <c r="K443" s="19">
        <f t="shared" si="34"/>
        <v>0.11266189718613669</v>
      </c>
      <c r="L443" s="15" t="s">
        <v>224</v>
      </c>
      <c r="M443" s="15"/>
    </row>
    <row r="444" spans="1:13" x14ac:dyDescent="0.25">
      <c r="A444" s="16">
        <v>46016</v>
      </c>
      <c r="B444" s="24" t="s">
        <v>26</v>
      </c>
      <c r="C444" s="15">
        <v>1</v>
      </c>
      <c r="D444" s="22" t="s">
        <v>143</v>
      </c>
      <c r="E444" s="15">
        <v>1120</v>
      </c>
      <c r="F444" s="15">
        <v>1024.57</v>
      </c>
      <c r="G444" s="15">
        <f t="shared" si="30"/>
        <v>95.430000000000064</v>
      </c>
      <c r="H444" s="15">
        <f t="shared" si="31"/>
        <v>1120</v>
      </c>
      <c r="I444" s="15">
        <f t="shared" si="32"/>
        <v>1024.57</v>
      </c>
      <c r="J444" s="15">
        <f t="shared" si="33"/>
        <v>95.430000000000064</v>
      </c>
      <c r="K444" s="19">
        <f t="shared" si="34"/>
        <v>9.3141513024976405E-2</v>
      </c>
      <c r="L444" s="15" t="s">
        <v>224</v>
      </c>
      <c r="M444" s="15"/>
    </row>
    <row r="445" spans="1:13" x14ac:dyDescent="0.25">
      <c r="A445" s="16">
        <v>46016</v>
      </c>
      <c r="B445" s="24" t="s">
        <v>26</v>
      </c>
      <c r="C445" s="15">
        <v>1</v>
      </c>
      <c r="D445" s="22" t="s">
        <v>144</v>
      </c>
      <c r="E445" s="15">
        <v>1120</v>
      </c>
      <c r="F445" s="15">
        <v>1024.57</v>
      </c>
      <c r="G445" s="15">
        <f t="shared" si="30"/>
        <v>95.430000000000064</v>
      </c>
      <c r="H445" s="15">
        <f t="shared" si="31"/>
        <v>1120</v>
      </c>
      <c r="I445" s="15">
        <f t="shared" si="32"/>
        <v>1024.57</v>
      </c>
      <c r="J445" s="15">
        <f t="shared" si="33"/>
        <v>95.430000000000064</v>
      </c>
      <c r="K445" s="19">
        <f t="shared" si="34"/>
        <v>9.3141513024976405E-2</v>
      </c>
      <c r="L445" s="15" t="s">
        <v>224</v>
      </c>
      <c r="M445" s="15"/>
    </row>
    <row r="446" spans="1:13" x14ac:dyDescent="0.25">
      <c r="A446" s="16">
        <v>46016</v>
      </c>
      <c r="B446" s="24" t="s">
        <v>26</v>
      </c>
      <c r="C446" s="15">
        <v>1</v>
      </c>
      <c r="D446" s="22" t="s">
        <v>146</v>
      </c>
      <c r="E446" s="15">
        <v>1120</v>
      </c>
      <c r="F446" s="15">
        <v>1024.57</v>
      </c>
      <c r="G446" s="15">
        <f t="shared" si="30"/>
        <v>95.430000000000064</v>
      </c>
      <c r="H446" s="15">
        <f t="shared" si="31"/>
        <v>1120</v>
      </c>
      <c r="I446" s="15">
        <f t="shared" si="32"/>
        <v>1024.57</v>
      </c>
      <c r="J446" s="15">
        <f t="shared" si="33"/>
        <v>95.430000000000064</v>
      </c>
      <c r="K446" s="19">
        <f t="shared" si="34"/>
        <v>9.3141513024976405E-2</v>
      </c>
      <c r="L446" s="15" t="s">
        <v>224</v>
      </c>
      <c r="M446" s="15"/>
    </row>
    <row r="447" spans="1:13" x14ac:dyDescent="0.25">
      <c r="A447" s="16">
        <v>46016</v>
      </c>
      <c r="B447" s="24" t="s">
        <v>26</v>
      </c>
      <c r="C447" s="15">
        <v>1</v>
      </c>
      <c r="D447" s="22" t="s">
        <v>147</v>
      </c>
      <c r="E447" s="15">
        <v>1120</v>
      </c>
      <c r="F447" s="15">
        <v>1024.57</v>
      </c>
      <c r="G447" s="15">
        <f t="shared" si="30"/>
        <v>95.430000000000064</v>
      </c>
      <c r="H447" s="15">
        <f t="shared" si="31"/>
        <v>1120</v>
      </c>
      <c r="I447" s="15">
        <f t="shared" si="32"/>
        <v>1024.57</v>
      </c>
      <c r="J447" s="15">
        <f t="shared" si="33"/>
        <v>95.430000000000064</v>
      </c>
      <c r="K447" s="19">
        <f t="shared" si="34"/>
        <v>9.3141513024976405E-2</v>
      </c>
      <c r="L447" s="15" t="s">
        <v>224</v>
      </c>
      <c r="M447" s="15"/>
    </row>
    <row r="448" spans="1:13" x14ac:dyDescent="0.25">
      <c r="A448" s="16">
        <v>46015</v>
      </c>
      <c r="B448" s="17" t="s">
        <v>111</v>
      </c>
      <c r="C448" s="15">
        <v>1</v>
      </c>
      <c r="D448" s="23">
        <v>351159020501473</v>
      </c>
      <c r="E448" s="15">
        <v>1340</v>
      </c>
      <c r="F448" s="15">
        <v>1222.3</v>
      </c>
      <c r="G448" s="15">
        <f t="shared" si="30"/>
        <v>117.70000000000005</v>
      </c>
      <c r="H448" s="15">
        <f t="shared" si="31"/>
        <v>1340</v>
      </c>
      <c r="I448" s="15">
        <f t="shared" si="32"/>
        <v>1222.3</v>
      </c>
      <c r="J448" s="15">
        <f t="shared" si="33"/>
        <v>117.70000000000005</v>
      </c>
      <c r="K448" s="19">
        <f t="shared" si="34"/>
        <v>9.629387220813225E-2</v>
      </c>
      <c r="L448" s="15" t="s">
        <v>224</v>
      </c>
      <c r="M448" s="15"/>
    </row>
    <row r="449" spans="1:13" x14ac:dyDescent="0.25">
      <c r="A449" s="16">
        <v>46016</v>
      </c>
      <c r="B449" s="24" t="s">
        <v>111</v>
      </c>
      <c r="C449" s="15">
        <v>1</v>
      </c>
      <c r="D449" s="22">
        <v>351159277520127</v>
      </c>
      <c r="E449" s="15">
        <v>1340</v>
      </c>
      <c r="F449" s="15">
        <v>1222.3</v>
      </c>
      <c r="G449" s="15">
        <f t="shared" si="30"/>
        <v>117.70000000000005</v>
      </c>
      <c r="H449" s="15">
        <f t="shared" si="31"/>
        <v>1340</v>
      </c>
      <c r="I449" s="15">
        <f t="shared" si="32"/>
        <v>1222.3</v>
      </c>
      <c r="J449" s="15">
        <f t="shared" si="33"/>
        <v>117.70000000000005</v>
      </c>
      <c r="K449" s="19">
        <f t="shared" si="34"/>
        <v>9.629387220813225E-2</v>
      </c>
      <c r="L449" s="15" t="s">
        <v>224</v>
      </c>
      <c r="M449" s="15"/>
    </row>
    <row r="450" spans="1:13" x14ac:dyDescent="0.25">
      <c r="A450" s="16">
        <v>46016</v>
      </c>
      <c r="B450" s="24" t="s">
        <v>111</v>
      </c>
      <c r="C450" s="15">
        <v>1</v>
      </c>
      <c r="D450" s="22">
        <v>356196188900894</v>
      </c>
      <c r="E450" s="15">
        <v>1340</v>
      </c>
      <c r="F450" s="15">
        <v>1222.3</v>
      </c>
      <c r="G450" s="15">
        <f t="shared" ref="G450:G513" si="35">E450-F450</f>
        <v>117.70000000000005</v>
      </c>
      <c r="H450" s="15">
        <f t="shared" ref="H450:H513" si="36">E450*C450</f>
        <v>1340</v>
      </c>
      <c r="I450" s="15">
        <f t="shared" ref="I450:I513" si="37">F450*C450</f>
        <v>1222.3</v>
      </c>
      <c r="J450" s="15">
        <f t="shared" ref="J450:J513" si="38">H450-I450</f>
        <v>117.70000000000005</v>
      </c>
      <c r="K450" s="19">
        <f t="shared" ref="K450:K513" si="39">(E450-F450)/F450</f>
        <v>9.629387220813225E-2</v>
      </c>
      <c r="L450" s="15" t="s">
        <v>224</v>
      </c>
      <c r="M450" s="15"/>
    </row>
    <row r="451" spans="1:13" x14ac:dyDescent="0.25">
      <c r="A451" s="16">
        <v>46016</v>
      </c>
      <c r="B451" s="24" t="s">
        <v>111</v>
      </c>
      <c r="C451" s="15">
        <v>1</v>
      </c>
      <c r="D451" s="22">
        <v>351159278800882</v>
      </c>
      <c r="E451" s="15">
        <v>1340</v>
      </c>
      <c r="F451" s="15">
        <v>1222.3</v>
      </c>
      <c r="G451" s="15">
        <f t="shared" si="35"/>
        <v>117.70000000000005</v>
      </c>
      <c r="H451" s="15">
        <f t="shared" si="36"/>
        <v>1340</v>
      </c>
      <c r="I451" s="15">
        <f t="shared" si="37"/>
        <v>1222.3</v>
      </c>
      <c r="J451" s="15">
        <f t="shared" si="38"/>
        <v>117.70000000000005</v>
      </c>
      <c r="K451" s="19">
        <f t="shared" si="39"/>
        <v>9.629387220813225E-2</v>
      </c>
      <c r="L451" s="15" t="s">
        <v>224</v>
      </c>
      <c r="M451" s="15"/>
    </row>
    <row r="452" spans="1:13" x14ac:dyDescent="0.25">
      <c r="A452" s="16">
        <v>46016</v>
      </c>
      <c r="B452" s="24" t="s">
        <v>111</v>
      </c>
      <c r="C452" s="15">
        <v>1</v>
      </c>
      <c r="D452" s="22">
        <v>351159278789325</v>
      </c>
      <c r="E452" s="15">
        <v>1340</v>
      </c>
      <c r="F452" s="15">
        <v>1222.3</v>
      </c>
      <c r="G452" s="15">
        <f t="shared" si="35"/>
        <v>117.70000000000005</v>
      </c>
      <c r="H452" s="15">
        <f t="shared" si="36"/>
        <v>1340</v>
      </c>
      <c r="I452" s="15">
        <f t="shared" si="37"/>
        <v>1222.3</v>
      </c>
      <c r="J452" s="15">
        <f t="shared" si="38"/>
        <v>117.70000000000005</v>
      </c>
      <c r="K452" s="19">
        <f t="shared" si="39"/>
        <v>9.629387220813225E-2</v>
      </c>
      <c r="L452" s="15" t="s">
        <v>224</v>
      </c>
      <c r="M452" s="15"/>
    </row>
    <row r="453" spans="1:13" x14ac:dyDescent="0.25">
      <c r="A453" s="16">
        <v>46016</v>
      </c>
      <c r="B453" s="24" t="s">
        <v>111</v>
      </c>
      <c r="C453" s="15">
        <v>1</v>
      </c>
      <c r="D453" s="22">
        <v>350094260422786</v>
      </c>
      <c r="E453" s="15">
        <v>1340</v>
      </c>
      <c r="F453" s="15">
        <v>1222.3</v>
      </c>
      <c r="G453" s="15">
        <f t="shared" si="35"/>
        <v>117.70000000000005</v>
      </c>
      <c r="H453" s="15">
        <f t="shared" si="36"/>
        <v>1340</v>
      </c>
      <c r="I453" s="15">
        <f t="shared" si="37"/>
        <v>1222.3</v>
      </c>
      <c r="J453" s="15">
        <f t="shared" si="38"/>
        <v>117.70000000000005</v>
      </c>
      <c r="K453" s="19">
        <f t="shared" si="39"/>
        <v>9.629387220813225E-2</v>
      </c>
      <c r="L453" s="15" t="s">
        <v>224</v>
      </c>
      <c r="M453" s="15"/>
    </row>
    <row r="454" spans="1:13" x14ac:dyDescent="0.25">
      <c r="A454" s="16">
        <v>46016</v>
      </c>
      <c r="B454" s="24" t="s">
        <v>111</v>
      </c>
      <c r="C454" s="15">
        <v>1</v>
      </c>
      <c r="D454" s="22">
        <v>350094260189484</v>
      </c>
      <c r="E454" s="15">
        <v>1340</v>
      </c>
      <c r="F454" s="15">
        <v>1222.3</v>
      </c>
      <c r="G454" s="15">
        <f t="shared" si="35"/>
        <v>117.70000000000005</v>
      </c>
      <c r="H454" s="15">
        <f t="shared" si="36"/>
        <v>1340</v>
      </c>
      <c r="I454" s="15">
        <f t="shared" si="37"/>
        <v>1222.3</v>
      </c>
      <c r="J454" s="15">
        <f t="shared" si="38"/>
        <v>117.70000000000005</v>
      </c>
      <c r="K454" s="19">
        <f t="shared" si="39"/>
        <v>9.629387220813225E-2</v>
      </c>
      <c r="L454" s="15" t="s">
        <v>224</v>
      </c>
      <c r="M454" s="15"/>
    </row>
    <row r="455" spans="1:13" x14ac:dyDescent="0.25">
      <c r="A455" s="16">
        <v>46016</v>
      </c>
      <c r="B455" s="17" t="s">
        <v>111</v>
      </c>
      <c r="C455" s="15">
        <v>1</v>
      </c>
      <c r="D455" s="23">
        <v>352302618532836</v>
      </c>
      <c r="E455" s="15">
        <v>1070</v>
      </c>
      <c r="F455" s="15">
        <v>1033.56</v>
      </c>
      <c r="G455" s="15">
        <f t="shared" si="35"/>
        <v>36.440000000000055</v>
      </c>
      <c r="H455" s="15">
        <f t="shared" si="36"/>
        <v>1070</v>
      </c>
      <c r="I455" s="15">
        <f t="shared" si="37"/>
        <v>1033.56</v>
      </c>
      <c r="J455" s="15">
        <f t="shared" si="38"/>
        <v>36.440000000000055</v>
      </c>
      <c r="K455" s="19">
        <f t="shared" si="39"/>
        <v>3.5256782383219221E-2</v>
      </c>
      <c r="L455" s="15" t="s">
        <v>224</v>
      </c>
      <c r="M455" s="15"/>
    </row>
    <row r="456" spans="1:13" x14ac:dyDescent="0.25">
      <c r="A456" s="16">
        <v>46016</v>
      </c>
      <c r="B456" s="17" t="s">
        <v>182</v>
      </c>
      <c r="C456" s="15">
        <v>1</v>
      </c>
      <c r="D456" s="23">
        <v>355031538786472</v>
      </c>
      <c r="E456" s="15">
        <v>2900</v>
      </c>
      <c r="F456" s="15">
        <v>2588.4</v>
      </c>
      <c r="G456" s="15">
        <f t="shared" si="35"/>
        <v>311.59999999999991</v>
      </c>
      <c r="H456" s="15">
        <f t="shared" si="36"/>
        <v>2900</v>
      </c>
      <c r="I456" s="15">
        <f t="shared" si="37"/>
        <v>2588.4</v>
      </c>
      <c r="J456" s="15">
        <f t="shared" si="38"/>
        <v>311.59999999999991</v>
      </c>
      <c r="K456" s="19">
        <f t="shared" si="39"/>
        <v>0.12038324833874205</v>
      </c>
      <c r="L456" s="15" t="s">
        <v>224</v>
      </c>
      <c r="M456" s="15"/>
    </row>
    <row r="457" spans="1:13" x14ac:dyDescent="0.25">
      <c r="A457" s="16">
        <v>46016</v>
      </c>
      <c r="B457" s="17" t="s">
        <v>181</v>
      </c>
      <c r="C457" s="15">
        <v>1</v>
      </c>
      <c r="D457" s="22">
        <v>355500351043112</v>
      </c>
      <c r="E457" s="15">
        <v>4450</v>
      </c>
      <c r="F457" s="15">
        <v>3451.2</v>
      </c>
      <c r="G457" s="15">
        <f t="shared" si="35"/>
        <v>998.80000000000018</v>
      </c>
      <c r="H457" s="15">
        <f t="shared" si="36"/>
        <v>4450</v>
      </c>
      <c r="I457" s="15">
        <f t="shared" si="37"/>
        <v>3451.2</v>
      </c>
      <c r="J457" s="15">
        <f t="shared" si="38"/>
        <v>998.80000000000018</v>
      </c>
      <c r="K457" s="19">
        <f t="shared" si="39"/>
        <v>0.28940658321743168</v>
      </c>
      <c r="L457" s="15" t="s">
        <v>224</v>
      </c>
      <c r="M457" s="15"/>
    </row>
    <row r="458" spans="1:13" ht="15" customHeight="1" x14ac:dyDescent="0.25">
      <c r="A458" s="16">
        <v>46016</v>
      </c>
      <c r="B458" s="17" t="s">
        <v>181</v>
      </c>
      <c r="C458" s="15">
        <v>1</v>
      </c>
      <c r="D458" s="22">
        <v>359572765265728</v>
      </c>
      <c r="E458" s="15">
        <v>4300</v>
      </c>
      <c r="F458" s="15">
        <v>3451.2</v>
      </c>
      <c r="G458" s="15">
        <f t="shared" si="35"/>
        <v>848.80000000000018</v>
      </c>
      <c r="H458" s="15">
        <f t="shared" si="36"/>
        <v>4300</v>
      </c>
      <c r="I458" s="15">
        <f t="shared" si="37"/>
        <v>3451.2</v>
      </c>
      <c r="J458" s="15">
        <f t="shared" si="38"/>
        <v>848.80000000000018</v>
      </c>
      <c r="K458" s="19">
        <f t="shared" si="39"/>
        <v>0.24594343996291151</v>
      </c>
      <c r="L458" s="15" t="s">
        <v>224</v>
      </c>
      <c r="M458" s="15"/>
    </row>
    <row r="459" spans="1:13" ht="15" customHeight="1" x14ac:dyDescent="0.25">
      <c r="A459" s="16">
        <v>46016</v>
      </c>
      <c r="B459" s="24" t="s">
        <v>178</v>
      </c>
      <c r="C459" s="15">
        <v>1</v>
      </c>
      <c r="D459" s="22">
        <v>357063600359415</v>
      </c>
      <c r="E459" s="15">
        <v>4300</v>
      </c>
      <c r="F459" s="15">
        <v>3756.77</v>
      </c>
      <c r="G459" s="15">
        <f t="shared" si="35"/>
        <v>543.23</v>
      </c>
      <c r="H459" s="15">
        <f t="shared" si="36"/>
        <v>4300</v>
      </c>
      <c r="I459" s="15">
        <f t="shared" si="37"/>
        <v>3756.77</v>
      </c>
      <c r="J459" s="15">
        <f t="shared" si="38"/>
        <v>543.23</v>
      </c>
      <c r="K459" s="19">
        <f t="shared" si="39"/>
        <v>0.14460028162490651</v>
      </c>
      <c r="L459" s="15" t="s">
        <v>224</v>
      </c>
      <c r="M459" s="15"/>
    </row>
    <row r="460" spans="1:13" x14ac:dyDescent="0.25">
      <c r="A460" s="16">
        <v>46016</v>
      </c>
      <c r="B460" s="24" t="s">
        <v>178</v>
      </c>
      <c r="C460" s="15">
        <v>1</v>
      </c>
      <c r="D460" s="22">
        <v>356364249463894</v>
      </c>
      <c r="E460" s="15">
        <v>4300</v>
      </c>
      <c r="F460" s="15">
        <v>4026.4</v>
      </c>
      <c r="G460" s="15">
        <f t="shared" si="35"/>
        <v>273.59999999999991</v>
      </c>
      <c r="H460" s="15">
        <f t="shared" si="36"/>
        <v>4300</v>
      </c>
      <c r="I460" s="15">
        <f t="shared" si="37"/>
        <v>4026.4</v>
      </c>
      <c r="J460" s="15">
        <f t="shared" si="38"/>
        <v>273.59999999999991</v>
      </c>
      <c r="K460" s="19">
        <f t="shared" si="39"/>
        <v>6.7951519968209792E-2</v>
      </c>
      <c r="L460" s="15" t="s">
        <v>224</v>
      </c>
      <c r="M460" s="15"/>
    </row>
    <row r="461" spans="1:13" x14ac:dyDescent="0.25">
      <c r="A461" s="16">
        <v>46016</v>
      </c>
      <c r="B461" s="24" t="s">
        <v>178</v>
      </c>
      <c r="C461" s="15">
        <v>1</v>
      </c>
      <c r="D461" s="22">
        <v>356605223751146</v>
      </c>
      <c r="E461" s="15">
        <v>4200</v>
      </c>
      <c r="F461" s="15">
        <v>3756.77</v>
      </c>
      <c r="G461" s="15">
        <f t="shared" si="35"/>
        <v>443.23</v>
      </c>
      <c r="H461" s="15">
        <f t="shared" si="36"/>
        <v>4200</v>
      </c>
      <c r="I461" s="15">
        <f t="shared" si="37"/>
        <v>3756.77</v>
      </c>
      <c r="J461" s="15">
        <f t="shared" si="38"/>
        <v>443.23</v>
      </c>
      <c r="K461" s="19">
        <f t="shared" si="39"/>
        <v>0.11798167042432729</v>
      </c>
      <c r="L461" s="15" t="s">
        <v>224</v>
      </c>
      <c r="M461" s="15"/>
    </row>
    <row r="462" spans="1:13" x14ac:dyDescent="0.25">
      <c r="A462" s="16">
        <v>46016</v>
      </c>
      <c r="B462" s="24" t="s">
        <v>178</v>
      </c>
      <c r="C462" s="15">
        <v>1</v>
      </c>
      <c r="D462" s="22">
        <v>356605223694601</v>
      </c>
      <c r="E462" s="15">
        <v>4200</v>
      </c>
      <c r="F462" s="15">
        <v>3756.77</v>
      </c>
      <c r="G462" s="15">
        <f t="shared" si="35"/>
        <v>443.23</v>
      </c>
      <c r="H462" s="15">
        <f t="shared" si="36"/>
        <v>4200</v>
      </c>
      <c r="I462" s="15">
        <f t="shared" si="37"/>
        <v>3756.77</v>
      </c>
      <c r="J462" s="15">
        <f t="shared" si="38"/>
        <v>443.23</v>
      </c>
      <c r="K462" s="19">
        <f t="shared" si="39"/>
        <v>0.11798167042432729</v>
      </c>
      <c r="L462" s="15" t="s">
        <v>224</v>
      </c>
      <c r="M462" s="15"/>
    </row>
    <row r="463" spans="1:13" x14ac:dyDescent="0.25">
      <c r="A463" s="16">
        <v>46016</v>
      </c>
      <c r="B463" s="24" t="s">
        <v>178</v>
      </c>
      <c r="C463" s="15">
        <v>1</v>
      </c>
      <c r="D463" s="22">
        <v>350889864416468</v>
      </c>
      <c r="E463" s="15">
        <v>4300</v>
      </c>
      <c r="F463" s="15">
        <v>3756.77</v>
      </c>
      <c r="G463" s="15">
        <f t="shared" si="35"/>
        <v>543.23</v>
      </c>
      <c r="H463" s="15">
        <f t="shared" si="36"/>
        <v>4300</v>
      </c>
      <c r="I463" s="15">
        <f t="shared" si="37"/>
        <v>3756.77</v>
      </c>
      <c r="J463" s="15">
        <f t="shared" si="38"/>
        <v>543.23</v>
      </c>
      <c r="K463" s="19">
        <f t="shared" si="39"/>
        <v>0.14460028162490651</v>
      </c>
      <c r="L463" s="15" t="s">
        <v>224</v>
      </c>
      <c r="M463" s="15"/>
    </row>
    <row r="464" spans="1:13" x14ac:dyDescent="0.25">
      <c r="A464" s="16">
        <v>46016</v>
      </c>
      <c r="B464" s="24" t="s">
        <v>178</v>
      </c>
      <c r="C464" s="15">
        <v>1</v>
      </c>
      <c r="D464" s="22">
        <v>356605220743344</v>
      </c>
      <c r="E464" s="15">
        <v>4300</v>
      </c>
      <c r="F464" s="15">
        <v>3756.77</v>
      </c>
      <c r="G464" s="15">
        <f t="shared" si="35"/>
        <v>543.23</v>
      </c>
      <c r="H464" s="15">
        <f t="shared" si="36"/>
        <v>4300</v>
      </c>
      <c r="I464" s="15">
        <f t="shared" si="37"/>
        <v>3756.77</v>
      </c>
      <c r="J464" s="15">
        <f t="shared" si="38"/>
        <v>543.23</v>
      </c>
      <c r="K464" s="19">
        <f t="shared" si="39"/>
        <v>0.14460028162490651</v>
      </c>
      <c r="L464" s="15" t="s">
        <v>224</v>
      </c>
      <c r="M464" s="15"/>
    </row>
    <row r="465" spans="1:13" x14ac:dyDescent="0.25">
      <c r="A465" s="16">
        <v>46016</v>
      </c>
      <c r="B465" s="24" t="s">
        <v>178</v>
      </c>
      <c r="C465" s="15">
        <v>1</v>
      </c>
      <c r="D465" s="22">
        <v>356605220860395</v>
      </c>
      <c r="E465" s="15">
        <v>4200</v>
      </c>
      <c r="F465" s="15">
        <v>3756.77</v>
      </c>
      <c r="G465" s="15">
        <f t="shared" si="35"/>
        <v>443.23</v>
      </c>
      <c r="H465" s="15">
        <f t="shared" si="36"/>
        <v>4200</v>
      </c>
      <c r="I465" s="15">
        <f t="shared" si="37"/>
        <v>3756.77</v>
      </c>
      <c r="J465" s="15">
        <f t="shared" si="38"/>
        <v>443.23</v>
      </c>
      <c r="K465" s="19">
        <f t="shared" si="39"/>
        <v>0.11798167042432729</v>
      </c>
      <c r="L465" s="15" t="s">
        <v>224</v>
      </c>
      <c r="M465" s="15"/>
    </row>
    <row r="466" spans="1:13" x14ac:dyDescent="0.25">
      <c r="A466" s="16">
        <v>46016</v>
      </c>
      <c r="B466" s="24" t="s">
        <v>178</v>
      </c>
      <c r="C466" s="15">
        <v>1</v>
      </c>
      <c r="D466" s="22">
        <v>359802891369346</v>
      </c>
      <c r="E466" s="15">
        <v>4200</v>
      </c>
      <c r="F466" s="15">
        <v>3756.77</v>
      </c>
      <c r="G466" s="15">
        <f t="shared" si="35"/>
        <v>443.23</v>
      </c>
      <c r="H466" s="15">
        <f t="shared" si="36"/>
        <v>4200</v>
      </c>
      <c r="I466" s="15">
        <f t="shared" si="37"/>
        <v>3756.77</v>
      </c>
      <c r="J466" s="15">
        <f t="shared" si="38"/>
        <v>443.23</v>
      </c>
      <c r="K466" s="19">
        <f t="shared" si="39"/>
        <v>0.11798167042432729</v>
      </c>
      <c r="L466" s="15" t="s">
        <v>224</v>
      </c>
      <c r="M466" s="15"/>
    </row>
    <row r="467" spans="1:13" x14ac:dyDescent="0.25">
      <c r="A467" s="16">
        <v>46016</v>
      </c>
      <c r="B467" s="24" t="s">
        <v>178</v>
      </c>
      <c r="C467" s="15">
        <v>1</v>
      </c>
      <c r="D467" s="22">
        <v>356605220593343</v>
      </c>
      <c r="E467" s="15">
        <v>4200</v>
      </c>
      <c r="F467" s="15">
        <v>3756.77</v>
      </c>
      <c r="G467" s="15">
        <f t="shared" si="35"/>
        <v>443.23</v>
      </c>
      <c r="H467" s="15">
        <f t="shared" si="36"/>
        <v>4200</v>
      </c>
      <c r="I467" s="15">
        <f t="shared" si="37"/>
        <v>3756.77</v>
      </c>
      <c r="J467" s="15">
        <f t="shared" si="38"/>
        <v>443.23</v>
      </c>
      <c r="K467" s="19">
        <f t="shared" si="39"/>
        <v>0.11798167042432729</v>
      </c>
      <c r="L467" s="15" t="s">
        <v>224</v>
      </c>
      <c r="M467" s="15"/>
    </row>
    <row r="468" spans="1:13" x14ac:dyDescent="0.25">
      <c r="A468" s="16">
        <v>46016</v>
      </c>
      <c r="B468" s="24" t="s">
        <v>178</v>
      </c>
      <c r="C468" s="15">
        <v>1</v>
      </c>
      <c r="D468" s="22">
        <v>350889862035831</v>
      </c>
      <c r="E468" s="15">
        <v>4200</v>
      </c>
      <c r="F468" s="15">
        <v>4026.4</v>
      </c>
      <c r="G468" s="15">
        <f t="shared" si="35"/>
        <v>173.59999999999991</v>
      </c>
      <c r="H468" s="15">
        <f t="shared" si="36"/>
        <v>4200</v>
      </c>
      <c r="I468" s="15">
        <f t="shared" si="37"/>
        <v>4026.4</v>
      </c>
      <c r="J468" s="15">
        <f t="shared" si="38"/>
        <v>173.59999999999991</v>
      </c>
      <c r="K468" s="19">
        <f t="shared" si="39"/>
        <v>4.3115438108483985E-2</v>
      </c>
      <c r="L468" s="15" t="s">
        <v>224</v>
      </c>
      <c r="M468" s="15"/>
    </row>
    <row r="469" spans="1:13" x14ac:dyDescent="0.25">
      <c r="A469" s="16">
        <v>46017</v>
      </c>
      <c r="B469" s="24" t="s">
        <v>178</v>
      </c>
      <c r="C469" s="15">
        <v>1</v>
      </c>
      <c r="D469" s="22">
        <v>359614544313369</v>
      </c>
      <c r="E469" s="15">
        <v>3244</v>
      </c>
      <c r="F469" s="15">
        <v>3145.62</v>
      </c>
      <c r="G469" s="15">
        <f t="shared" si="35"/>
        <v>98.380000000000109</v>
      </c>
      <c r="H469" s="15">
        <f t="shared" si="36"/>
        <v>3244</v>
      </c>
      <c r="I469" s="15">
        <f t="shared" si="37"/>
        <v>3145.62</v>
      </c>
      <c r="J469" s="15">
        <f t="shared" si="38"/>
        <v>98.380000000000109</v>
      </c>
      <c r="K469" s="19">
        <f t="shared" si="39"/>
        <v>3.1275233499278396E-2</v>
      </c>
      <c r="L469" s="15" t="s">
        <v>224</v>
      </c>
      <c r="M469" s="15"/>
    </row>
    <row r="470" spans="1:13" x14ac:dyDescent="0.25">
      <c r="A470" s="16">
        <v>46016</v>
      </c>
      <c r="B470" s="24" t="s">
        <v>141</v>
      </c>
      <c r="C470" s="15">
        <v>1</v>
      </c>
      <c r="D470" s="22">
        <v>359614544940914</v>
      </c>
      <c r="E470" s="15">
        <v>3330</v>
      </c>
      <c r="F470" s="15">
        <v>3163.6</v>
      </c>
      <c r="G470" s="15">
        <f t="shared" si="35"/>
        <v>166.40000000000009</v>
      </c>
      <c r="H470" s="15">
        <f t="shared" si="36"/>
        <v>3330</v>
      </c>
      <c r="I470" s="15">
        <f t="shared" si="37"/>
        <v>3163.6</v>
      </c>
      <c r="J470" s="15">
        <f t="shared" si="38"/>
        <v>166.40000000000009</v>
      </c>
      <c r="K470" s="19">
        <f t="shared" si="39"/>
        <v>5.2598305727652075E-2</v>
      </c>
      <c r="L470" s="15" t="s">
        <v>224</v>
      </c>
      <c r="M470" s="15"/>
    </row>
    <row r="471" spans="1:13" x14ac:dyDescent="0.25">
      <c r="A471" s="16">
        <v>46016</v>
      </c>
      <c r="B471" s="24" t="s">
        <v>141</v>
      </c>
      <c r="C471" s="15">
        <v>1</v>
      </c>
      <c r="D471" s="22">
        <v>359614544890705</v>
      </c>
      <c r="E471" s="15">
        <v>3330</v>
      </c>
      <c r="F471" s="15">
        <v>3163.6</v>
      </c>
      <c r="G471" s="15">
        <f t="shared" si="35"/>
        <v>166.40000000000009</v>
      </c>
      <c r="H471" s="15">
        <f t="shared" si="36"/>
        <v>3330</v>
      </c>
      <c r="I471" s="15">
        <f t="shared" si="37"/>
        <v>3163.6</v>
      </c>
      <c r="J471" s="15">
        <f t="shared" si="38"/>
        <v>166.40000000000009</v>
      </c>
      <c r="K471" s="19">
        <f t="shared" si="39"/>
        <v>5.2598305727652075E-2</v>
      </c>
      <c r="L471" s="15" t="s">
        <v>224</v>
      </c>
      <c r="M471" s="15"/>
    </row>
    <row r="472" spans="1:13" x14ac:dyDescent="0.25">
      <c r="A472" s="16">
        <v>46016</v>
      </c>
      <c r="B472" s="24" t="s">
        <v>141</v>
      </c>
      <c r="C472" s="15">
        <v>1</v>
      </c>
      <c r="D472" s="22">
        <v>350889861445460</v>
      </c>
      <c r="E472" s="15">
        <v>3330</v>
      </c>
      <c r="F472" s="15">
        <v>3163.6</v>
      </c>
      <c r="G472" s="15">
        <f t="shared" si="35"/>
        <v>166.40000000000009</v>
      </c>
      <c r="H472" s="15">
        <f t="shared" si="36"/>
        <v>3330</v>
      </c>
      <c r="I472" s="15">
        <f t="shared" si="37"/>
        <v>3163.6</v>
      </c>
      <c r="J472" s="15">
        <f t="shared" si="38"/>
        <v>166.40000000000009</v>
      </c>
      <c r="K472" s="19">
        <f t="shared" si="39"/>
        <v>5.2598305727652075E-2</v>
      </c>
      <c r="L472" s="15" t="s">
        <v>224</v>
      </c>
      <c r="M472" s="15"/>
    </row>
    <row r="473" spans="1:13" x14ac:dyDescent="0.25">
      <c r="A473" s="16">
        <v>46016</v>
      </c>
      <c r="B473" s="24" t="s">
        <v>141</v>
      </c>
      <c r="C473" s="15">
        <v>1</v>
      </c>
      <c r="D473" s="22">
        <v>350889860087818</v>
      </c>
      <c r="E473" s="15">
        <v>3330</v>
      </c>
      <c r="F473" s="15">
        <v>3163.6</v>
      </c>
      <c r="G473" s="15">
        <f t="shared" si="35"/>
        <v>166.40000000000009</v>
      </c>
      <c r="H473" s="15">
        <f t="shared" si="36"/>
        <v>3330</v>
      </c>
      <c r="I473" s="15">
        <f t="shared" si="37"/>
        <v>3163.6</v>
      </c>
      <c r="J473" s="15">
        <f t="shared" si="38"/>
        <v>166.40000000000009</v>
      </c>
      <c r="K473" s="19">
        <f t="shared" si="39"/>
        <v>5.2598305727652075E-2</v>
      </c>
      <c r="L473" s="15" t="s">
        <v>224</v>
      </c>
      <c r="M473" s="15"/>
    </row>
    <row r="474" spans="1:13" x14ac:dyDescent="0.25">
      <c r="A474" s="16">
        <v>46016</v>
      </c>
      <c r="B474" s="24" t="s">
        <v>141</v>
      </c>
      <c r="C474" s="15">
        <v>1</v>
      </c>
      <c r="D474" s="22">
        <v>355450219930565</v>
      </c>
      <c r="E474" s="15">
        <v>3330</v>
      </c>
      <c r="F474" s="15">
        <v>3163.6</v>
      </c>
      <c r="G474" s="15">
        <f t="shared" si="35"/>
        <v>166.40000000000009</v>
      </c>
      <c r="H474" s="15">
        <f t="shared" si="36"/>
        <v>3330</v>
      </c>
      <c r="I474" s="15">
        <f t="shared" si="37"/>
        <v>3163.6</v>
      </c>
      <c r="J474" s="15">
        <f t="shared" si="38"/>
        <v>166.40000000000009</v>
      </c>
      <c r="K474" s="19">
        <f t="shared" si="39"/>
        <v>5.2598305727652075E-2</v>
      </c>
      <c r="L474" s="15" t="s">
        <v>224</v>
      </c>
      <c r="M474" s="15"/>
    </row>
    <row r="475" spans="1:13" x14ac:dyDescent="0.25">
      <c r="A475" s="16">
        <v>46016</v>
      </c>
      <c r="B475" s="24" t="s">
        <v>141</v>
      </c>
      <c r="C475" s="15">
        <v>1</v>
      </c>
      <c r="D475" s="22">
        <v>355450219315593</v>
      </c>
      <c r="E475" s="15">
        <v>3330</v>
      </c>
      <c r="F475" s="15">
        <v>3163.6</v>
      </c>
      <c r="G475" s="15">
        <f t="shared" si="35"/>
        <v>166.40000000000009</v>
      </c>
      <c r="H475" s="15">
        <f t="shared" si="36"/>
        <v>3330</v>
      </c>
      <c r="I475" s="15">
        <f t="shared" si="37"/>
        <v>3163.6</v>
      </c>
      <c r="J475" s="15">
        <f t="shared" si="38"/>
        <v>166.40000000000009</v>
      </c>
      <c r="K475" s="19">
        <f t="shared" si="39"/>
        <v>5.2598305727652075E-2</v>
      </c>
      <c r="L475" s="15" t="s">
        <v>224</v>
      </c>
      <c r="M475" s="15"/>
    </row>
    <row r="476" spans="1:13" x14ac:dyDescent="0.25">
      <c r="A476" s="16">
        <v>46016</v>
      </c>
      <c r="B476" s="24" t="s">
        <v>141</v>
      </c>
      <c r="C476" s="15">
        <v>1</v>
      </c>
      <c r="D476" s="22">
        <v>355450219821582</v>
      </c>
      <c r="E476" s="15">
        <v>3330</v>
      </c>
      <c r="F476" s="15">
        <v>3163.6</v>
      </c>
      <c r="G476" s="15">
        <f t="shared" si="35"/>
        <v>166.40000000000009</v>
      </c>
      <c r="H476" s="15">
        <f t="shared" si="36"/>
        <v>3330</v>
      </c>
      <c r="I476" s="15">
        <f t="shared" si="37"/>
        <v>3163.6</v>
      </c>
      <c r="J476" s="15">
        <f t="shared" si="38"/>
        <v>166.40000000000009</v>
      </c>
      <c r="K476" s="19">
        <f t="shared" si="39"/>
        <v>5.2598305727652075E-2</v>
      </c>
      <c r="L476" s="15" t="s">
        <v>224</v>
      </c>
      <c r="M476" s="15"/>
    </row>
    <row r="477" spans="1:13" x14ac:dyDescent="0.25">
      <c r="A477" s="16">
        <v>46016</v>
      </c>
      <c r="B477" s="24" t="s">
        <v>141</v>
      </c>
      <c r="C477" s="15">
        <v>1</v>
      </c>
      <c r="D477" s="22">
        <v>350889860189838</v>
      </c>
      <c r="E477" s="15">
        <v>3330</v>
      </c>
      <c r="F477" s="15">
        <v>3163.6</v>
      </c>
      <c r="G477" s="15">
        <f t="shared" si="35"/>
        <v>166.40000000000009</v>
      </c>
      <c r="H477" s="15">
        <f t="shared" si="36"/>
        <v>3330</v>
      </c>
      <c r="I477" s="15">
        <f t="shared" si="37"/>
        <v>3163.6</v>
      </c>
      <c r="J477" s="15">
        <f t="shared" si="38"/>
        <v>166.40000000000009</v>
      </c>
      <c r="K477" s="19">
        <f t="shared" si="39"/>
        <v>5.2598305727652075E-2</v>
      </c>
      <c r="L477" s="15" t="s">
        <v>224</v>
      </c>
      <c r="M477" s="15"/>
    </row>
    <row r="478" spans="1:13" x14ac:dyDescent="0.25">
      <c r="A478" s="16">
        <v>46016</v>
      </c>
      <c r="B478" s="24" t="s">
        <v>141</v>
      </c>
      <c r="C478" s="15">
        <v>1</v>
      </c>
      <c r="D478" s="22">
        <v>350889860125113</v>
      </c>
      <c r="E478" s="15">
        <v>3330</v>
      </c>
      <c r="F478" s="15">
        <v>3163.6</v>
      </c>
      <c r="G478" s="15">
        <f t="shared" si="35"/>
        <v>166.40000000000009</v>
      </c>
      <c r="H478" s="15">
        <f t="shared" si="36"/>
        <v>3330</v>
      </c>
      <c r="I478" s="15">
        <f t="shared" si="37"/>
        <v>3163.6</v>
      </c>
      <c r="J478" s="15">
        <f t="shared" si="38"/>
        <v>166.40000000000009</v>
      </c>
      <c r="K478" s="19">
        <f t="shared" si="39"/>
        <v>5.2598305727652075E-2</v>
      </c>
      <c r="L478" s="15" t="s">
        <v>224</v>
      </c>
      <c r="M478" s="15"/>
    </row>
    <row r="479" spans="1:13" x14ac:dyDescent="0.25">
      <c r="A479" s="16">
        <v>46016</v>
      </c>
      <c r="B479" s="24" t="s">
        <v>141</v>
      </c>
      <c r="C479" s="15">
        <v>1</v>
      </c>
      <c r="D479" s="22">
        <v>356605223984903</v>
      </c>
      <c r="E479" s="15">
        <v>3330</v>
      </c>
      <c r="F479" s="15">
        <v>3163.6</v>
      </c>
      <c r="G479" s="15">
        <f t="shared" si="35"/>
        <v>166.40000000000009</v>
      </c>
      <c r="H479" s="15">
        <f t="shared" si="36"/>
        <v>3330</v>
      </c>
      <c r="I479" s="15">
        <f t="shared" si="37"/>
        <v>3163.6</v>
      </c>
      <c r="J479" s="15">
        <f t="shared" si="38"/>
        <v>166.40000000000009</v>
      </c>
      <c r="K479" s="19">
        <f t="shared" si="39"/>
        <v>5.2598305727652075E-2</v>
      </c>
      <c r="L479" s="15" t="s">
        <v>224</v>
      </c>
      <c r="M479" s="15"/>
    </row>
    <row r="480" spans="1:13" x14ac:dyDescent="0.25">
      <c r="A480" s="16">
        <v>46016</v>
      </c>
      <c r="B480" s="24" t="s">
        <v>141</v>
      </c>
      <c r="C480" s="15">
        <v>1</v>
      </c>
      <c r="D480" s="22">
        <v>359912586208582</v>
      </c>
      <c r="E480" s="15">
        <v>3330</v>
      </c>
      <c r="F480" s="15">
        <v>3163.6</v>
      </c>
      <c r="G480" s="15">
        <f t="shared" si="35"/>
        <v>166.40000000000009</v>
      </c>
      <c r="H480" s="15">
        <f t="shared" si="36"/>
        <v>3330</v>
      </c>
      <c r="I480" s="15">
        <f t="shared" si="37"/>
        <v>3163.6</v>
      </c>
      <c r="J480" s="15">
        <f t="shared" si="38"/>
        <v>166.40000000000009</v>
      </c>
      <c r="K480" s="19">
        <f t="shared" si="39"/>
        <v>5.2598305727652075E-2</v>
      </c>
      <c r="L480" s="15" t="s">
        <v>224</v>
      </c>
      <c r="M480" s="15"/>
    </row>
    <row r="481" spans="1:13" x14ac:dyDescent="0.25">
      <c r="A481" s="16">
        <v>46016</v>
      </c>
      <c r="B481" s="24" t="s">
        <v>141</v>
      </c>
      <c r="C481" s="15">
        <v>1</v>
      </c>
      <c r="D481" s="22">
        <v>359614544886224</v>
      </c>
      <c r="E481" s="15">
        <v>3330</v>
      </c>
      <c r="F481" s="15">
        <v>3163.6</v>
      </c>
      <c r="G481" s="15">
        <f t="shared" si="35"/>
        <v>166.40000000000009</v>
      </c>
      <c r="H481" s="15">
        <f t="shared" si="36"/>
        <v>3330</v>
      </c>
      <c r="I481" s="15">
        <f t="shared" si="37"/>
        <v>3163.6</v>
      </c>
      <c r="J481" s="15">
        <f t="shared" si="38"/>
        <v>166.40000000000009</v>
      </c>
      <c r="K481" s="19">
        <f t="shared" si="39"/>
        <v>5.2598305727652075E-2</v>
      </c>
      <c r="L481" s="15" t="s">
        <v>224</v>
      </c>
      <c r="M481" s="15"/>
    </row>
    <row r="482" spans="1:13" x14ac:dyDescent="0.25">
      <c r="A482" s="16">
        <v>46016</v>
      </c>
      <c r="B482" s="24" t="s">
        <v>141</v>
      </c>
      <c r="C482" s="15">
        <v>1</v>
      </c>
      <c r="D482" s="22">
        <v>355450218923249</v>
      </c>
      <c r="E482" s="15">
        <v>3330</v>
      </c>
      <c r="F482" s="15">
        <v>3163.6</v>
      </c>
      <c r="G482" s="15">
        <f t="shared" si="35"/>
        <v>166.40000000000009</v>
      </c>
      <c r="H482" s="15">
        <f t="shared" si="36"/>
        <v>3330</v>
      </c>
      <c r="I482" s="15">
        <f t="shared" si="37"/>
        <v>3163.6</v>
      </c>
      <c r="J482" s="15">
        <f t="shared" si="38"/>
        <v>166.40000000000009</v>
      </c>
      <c r="K482" s="19">
        <f t="shared" si="39"/>
        <v>5.2598305727652075E-2</v>
      </c>
      <c r="L482" s="15" t="s">
        <v>224</v>
      </c>
      <c r="M482" s="15"/>
    </row>
    <row r="483" spans="1:13" x14ac:dyDescent="0.25">
      <c r="A483" s="16">
        <v>46013</v>
      </c>
      <c r="B483" s="20" t="s">
        <v>14</v>
      </c>
      <c r="C483" s="15">
        <v>1</v>
      </c>
      <c r="D483" s="22">
        <v>357586343895675</v>
      </c>
      <c r="E483" s="15">
        <v>3490</v>
      </c>
      <c r="F483" s="15">
        <v>3199.55</v>
      </c>
      <c r="G483" s="15">
        <f t="shared" si="35"/>
        <v>290.44999999999982</v>
      </c>
      <c r="H483" s="15">
        <f t="shared" si="36"/>
        <v>3490</v>
      </c>
      <c r="I483" s="15">
        <f t="shared" si="37"/>
        <v>3199.55</v>
      </c>
      <c r="J483" s="15">
        <f t="shared" si="38"/>
        <v>290.44999999999982</v>
      </c>
      <c r="K483" s="19">
        <f t="shared" si="39"/>
        <v>9.0778390711193702E-2</v>
      </c>
      <c r="L483" s="15" t="s">
        <v>224</v>
      </c>
      <c r="M483" s="15"/>
    </row>
    <row r="484" spans="1:13" x14ac:dyDescent="0.25">
      <c r="A484" s="16">
        <v>46013</v>
      </c>
      <c r="B484" s="20" t="s">
        <v>14</v>
      </c>
      <c r="C484" s="15">
        <v>1</v>
      </c>
      <c r="D484" s="22">
        <v>359614544784700</v>
      </c>
      <c r="E484" s="15">
        <v>3490</v>
      </c>
      <c r="F484" s="15">
        <v>3199.55</v>
      </c>
      <c r="G484" s="15">
        <f t="shared" si="35"/>
        <v>290.44999999999982</v>
      </c>
      <c r="H484" s="15">
        <f t="shared" si="36"/>
        <v>3490</v>
      </c>
      <c r="I484" s="15">
        <f t="shared" si="37"/>
        <v>3199.55</v>
      </c>
      <c r="J484" s="15">
        <f t="shared" si="38"/>
        <v>290.44999999999982</v>
      </c>
      <c r="K484" s="19">
        <f t="shared" si="39"/>
        <v>9.0778390711193702E-2</v>
      </c>
      <c r="L484" s="15" t="s">
        <v>224</v>
      </c>
      <c r="M484" s="15"/>
    </row>
    <row r="485" spans="1:13" x14ac:dyDescent="0.25">
      <c r="A485" s="16">
        <v>46015</v>
      </c>
      <c r="B485" s="20" t="s">
        <v>14</v>
      </c>
      <c r="C485" s="15">
        <v>1</v>
      </c>
      <c r="D485" s="22">
        <v>355450219302278</v>
      </c>
      <c r="E485" s="15">
        <v>3350</v>
      </c>
      <c r="F485" s="15">
        <v>3163.6</v>
      </c>
      <c r="G485" s="15">
        <f t="shared" si="35"/>
        <v>186.40000000000009</v>
      </c>
      <c r="H485" s="15">
        <f t="shared" si="36"/>
        <v>3350</v>
      </c>
      <c r="I485" s="15">
        <f t="shared" si="37"/>
        <v>3163.6</v>
      </c>
      <c r="J485" s="15">
        <f t="shared" si="38"/>
        <v>186.40000000000009</v>
      </c>
      <c r="K485" s="19">
        <f t="shared" si="39"/>
        <v>5.8920217473764094E-2</v>
      </c>
      <c r="L485" s="15" t="s">
        <v>224</v>
      </c>
      <c r="M485" s="15"/>
    </row>
    <row r="486" spans="1:13" x14ac:dyDescent="0.25">
      <c r="A486" s="16">
        <v>46015</v>
      </c>
      <c r="B486" s="20" t="s">
        <v>14</v>
      </c>
      <c r="C486" s="15">
        <v>1</v>
      </c>
      <c r="D486" s="22">
        <v>357586343218183</v>
      </c>
      <c r="E486" s="15">
        <v>3350</v>
      </c>
      <c r="F486" s="15">
        <v>3163.6</v>
      </c>
      <c r="G486" s="15">
        <f t="shared" si="35"/>
        <v>186.40000000000009</v>
      </c>
      <c r="H486" s="15">
        <f t="shared" si="36"/>
        <v>3350</v>
      </c>
      <c r="I486" s="15">
        <f t="shared" si="37"/>
        <v>3163.6</v>
      </c>
      <c r="J486" s="15">
        <f t="shared" si="38"/>
        <v>186.40000000000009</v>
      </c>
      <c r="K486" s="19">
        <f t="shared" si="39"/>
        <v>5.8920217473764094E-2</v>
      </c>
      <c r="L486" s="15" t="s">
        <v>224</v>
      </c>
      <c r="M486" s="15"/>
    </row>
    <row r="487" spans="1:13" x14ac:dyDescent="0.25">
      <c r="A487" s="16">
        <v>46015</v>
      </c>
      <c r="B487" s="20" t="s">
        <v>14</v>
      </c>
      <c r="C487" s="15">
        <v>1</v>
      </c>
      <c r="D487" s="22">
        <v>359614544773133</v>
      </c>
      <c r="E487" s="15">
        <v>3350</v>
      </c>
      <c r="F487" s="15">
        <v>3163.6</v>
      </c>
      <c r="G487" s="15">
        <f t="shared" si="35"/>
        <v>186.40000000000009</v>
      </c>
      <c r="H487" s="15">
        <f t="shared" si="36"/>
        <v>3350</v>
      </c>
      <c r="I487" s="15">
        <f t="shared" si="37"/>
        <v>3163.6</v>
      </c>
      <c r="J487" s="15">
        <f t="shared" si="38"/>
        <v>186.40000000000009</v>
      </c>
      <c r="K487" s="19">
        <f t="shared" si="39"/>
        <v>5.8920217473764094E-2</v>
      </c>
      <c r="L487" s="15" t="s">
        <v>224</v>
      </c>
      <c r="M487" s="15"/>
    </row>
    <row r="488" spans="1:13" x14ac:dyDescent="0.25">
      <c r="A488" s="16">
        <v>46015</v>
      </c>
      <c r="B488" s="20" t="s">
        <v>14</v>
      </c>
      <c r="C488" s="15">
        <v>1</v>
      </c>
      <c r="D488" s="22">
        <v>353263422779766</v>
      </c>
      <c r="E488" s="15">
        <v>3130</v>
      </c>
      <c r="F488" s="15">
        <v>3055.75</v>
      </c>
      <c r="G488" s="15">
        <f t="shared" si="35"/>
        <v>74.25</v>
      </c>
      <c r="H488" s="15">
        <f t="shared" si="36"/>
        <v>3130</v>
      </c>
      <c r="I488" s="15">
        <f t="shared" si="37"/>
        <v>3055.75</v>
      </c>
      <c r="J488" s="15">
        <f t="shared" si="38"/>
        <v>74.25</v>
      </c>
      <c r="K488" s="19">
        <f t="shared" si="39"/>
        <v>2.4298453734762332E-2</v>
      </c>
      <c r="L488" s="15" t="s">
        <v>224</v>
      </c>
      <c r="M488" s="15"/>
    </row>
    <row r="489" spans="1:13" x14ac:dyDescent="0.25">
      <c r="A489" s="16">
        <v>46014</v>
      </c>
      <c r="B489" s="20" t="s">
        <v>132</v>
      </c>
      <c r="C489" s="15">
        <v>1</v>
      </c>
      <c r="D489" s="23" t="s">
        <v>133</v>
      </c>
      <c r="E489" s="15">
        <v>2830</v>
      </c>
      <c r="F489" s="15">
        <v>2624.35</v>
      </c>
      <c r="G489" s="15">
        <f t="shared" si="35"/>
        <v>205.65000000000009</v>
      </c>
      <c r="H489" s="15">
        <f t="shared" si="36"/>
        <v>2830</v>
      </c>
      <c r="I489" s="15">
        <f t="shared" si="37"/>
        <v>2624.35</v>
      </c>
      <c r="J489" s="15">
        <f t="shared" si="38"/>
        <v>205.65000000000009</v>
      </c>
      <c r="K489" s="19">
        <f t="shared" si="39"/>
        <v>7.8362261131327798E-2</v>
      </c>
      <c r="L489" s="15" t="s">
        <v>224</v>
      </c>
      <c r="M489" s="15"/>
    </row>
    <row r="490" spans="1:13" x14ac:dyDescent="0.25">
      <c r="A490" s="16">
        <v>46016</v>
      </c>
      <c r="B490" s="24" t="s">
        <v>174</v>
      </c>
      <c r="C490" s="15">
        <v>1</v>
      </c>
      <c r="D490" s="22" t="s">
        <v>177</v>
      </c>
      <c r="E490" s="15">
        <v>4900</v>
      </c>
      <c r="F490" s="15">
        <v>4493.75</v>
      </c>
      <c r="G490" s="15">
        <f t="shared" si="35"/>
        <v>406.25</v>
      </c>
      <c r="H490" s="15">
        <f t="shared" si="36"/>
        <v>4900</v>
      </c>
      <c r="I490" s="15">
        <f t="shared" si="37"/>
        <v>4493.75</v>
      </c>
      <c r="J490" s="15">
        <f t="shared" si="38"/>
        <v>406.25</v>
      </c>
      <c r="K490" s="19">
        <f t="shared" si="39"/>
        <v>9.0403337969401948E-2</v>
      </c>
      <c r="L490" s="15" t="s">
        <v>224</v>
      </c>
      <c r="M490" s="15"/>
    </row>
    <row r="491" spans="1:13" x14ac:dyDescent="0.25">
      <c r="A491" s="16">
        <v>46017</v>
      </c>
      <c r="B491" s="17" t="s">
        <v>183</v>
      </c>
      <c r="C491" s="15">
        <v>1</v>
      </c>
      <c r="D491" s="23" t="s">
        <v>184</v>
      </c>
      <c r="E491" s="15">
        <v>7380</v>
      </c>
      <c r="F491" s="15">
        <v>7190</v>
      </c>
      <c r="G491" s="15">
        <f t="shared" si="35"/>
        <v>190</v>
      </c>
      <c r="H491" s="15">
        <f t="shared" si="36"/>
        <v>7380</v>
      </c>
      <c r="I491" s="15">
        <f t="shared" si="37"/>
        <v>7190</v>
      </c>
      <c r="J491" s="15">
        <f t="shared" si="38"/>
        <v>190</v>
      </c>
      <c r="K491" s="19">
        <f t="shared" si="39"/>
        <v>2.6425591098748261E-2</v>
      </c>
      <c r="L491" s="15" t="s">
        <v>224</v>
      </c>
      <c r="M491" s="15"/>
    </row>
    <row r="492" spans="1:13" x14ac:dyDescent="0.25">
      <c r="A492" s="16">
        <v>46017</v>
      </c>
      <c r="B492" s="24" t="s">
        <v>183</v>
      </c>
      <c r="C492" s="15">
        <v>1</v>
      </c>
      <c r="D492" s="22" t="s">
        <v>188</v>
      </c>
      <c r="E492" s="15">
        <v>7400</v>
      </c>
      <c r="F492" s="15">
        <v>7190</v>
      </c>
      <c r="G492" s="15">
        <f t="shared" si="35"/>
        <v>210</v>
      </c>
      <c r="H492" s="15">
        <f t="shared" si="36"/>
        <v>7400</v>
      </c>
      <c r="I492" s="15">
        <f t="shared" si="37"/>
        <v>7190</v>
      </c>
      <c r="J492" s="15">
        <f t="shared" si="38"/>
        <v>210</v>
      </c>
      <c r="K492" s="19">
        <f t="shared" si="39"/>
        <v>2.9207232267037551E-2</v>
      </c>
      <c r="L492" s="15" t="s">
        <v>224</v>
      </c>
      <c r="M492" s="15"/>
    </row>
    <row r="493" spans="1:13" x14ac:dyDescent="0.25">
      <c r="A493" s="16">
        <v>46017</v>
      </c>
      <c r="B493" s="24" t="s">
        <v>183</v>
      </c>
      <c r="C493" s="15">
        <v>1</v>
      </c>
      <c r="D493" s="22" t="s">
        <v>189</v>
      </c>
      <c r="E493" s="15">
        <v>7400</v>
      </c>
      <c r="F493" s="15">
        <v>7190</v>
      </c>
      <c r="G493" s="15">
        <f t="shared" si="35"/>
        <v>210</v>
      </c>
      <c r="H493" s="15">
        <f t="shared" si="36"/>
        <v>7400</v>
      </c>
      <c r="I493" s="15">
        <f t="shared" si="37"/>
        <v>7190</v>
      </c>
      <c r="J493" s="15">
        <f t="shared" si="38"/>
        <v>210</v>
      </c>
      <c r="K493" s="19">
        <f t="shared" si="39"/>
        <v>2.9207232267037551E-2</v>
      </c>
      <c r="L493" s="15" t="s">
        <v>224</v>
      </c>
      <c r="M493" s="15"/>
    </row>
    <row r="494" spans="1:13" x14ac:dyDescent="0.25">
      <c r="A494" s="16">
        <v>46016</v>
      </c>
      <c r="B494" s="24" t="s">
        <v>161</v>
      </c>
      <c r="C494" s="15">
        <v>1</v>
      </c>
      <c r="D494" s="22" t="s">
        <v>162</v>
      </c>
      <c r="E494" s="15">
        <v>5930</v>
      </c>
      <c r="F494" s="15">
        <v>5608.2</v>
      </c>
      <c r="G494" s="15">
        <f t="shared" si="35"/>
        <v>321.80000000000018</v>
      </c>
      <c r="H494" s="15">
        <f t="shared" si="36"/>
        <v>5930</v>
      </c>
      <c r="I494" s="15">
        <f t="shared" si="37"/>
        <v>5608.2</v>
      </c>
      <c r="J494" s="15">
        <f t="shared" si="38"/>
        <v>321.80000000000018</v>
      </c>
      <c r="K494" s="19">
        <f t="shared" si="39"/>
        <v>5.7380264612531685E-2</v>
      </c>
      <c r="L494" s="15" t="s">
        <v>224</v>
      </c>
      <c r="M494" s="15"/>
    </row>
    <row r="495" spans="1:13" x14ac:dyDescent="0.25">
      <c r="A495" s="16">
        <v>46016</v>
      </c>
      <c r="B495" s="24" t="s">
        <v>161</v>
      </c>
      <c r="C495" s="15">
        <v>1</v>
      </c>
      <c r="D495" s="22" t="s">
        <v>163</v>
      </c>
      <c r="E495" s="15">
        <v>5930</v>
      </c>
      <c r="F495" s="15">
        <v>5608.2</v>
      </c>
      <c r="G495" s="15">
        <f t="shared" si="35"/>
        <v>321.80000000000018</v>
      </c>
      <c r="H495" s="15">
        <f t="shared" si="36"/>
        <v>5930</v>
      </c>
      <c r="I495" s="15">
        <f t="shared" si="37"/>
        <v>5608.2</v>
      </c>
      <c r="J495" s="15">
        <f t="shared" si="38"/>
        <v>321.80000000000018</v>
      </c>
      <c r="K495" s="19">
        <f t="shared" si="39"/>
        <v>5.7380264612531685E-2</v>
      </c>
      <c r="L495" s="15" t="s">
        <v>224</v>
      </c>
      <c r="M495" s="15"/>
    </row>
    <row r="496" spans="1:13" x14ac:dyDescent="0.25">
      <c r="A496" s="16">
        <v>46016</v>
      </c>
      <c r="B496" s="24" t="s">
        <v>161</v>
      </c>
      <c r="C496" s="15">
        <v>1</v>
      </c>
      <c r="D496" s="22" t="s">
        <v>164</v>
      </c>
      <c r="E496" s="15">
        <v>5930</v>
      </c>
      <c r="F496" s="15">
        <v>5608.2</v>
      </c>
      <c r="G496" s="15">
        <f t="shared" si="35"/>
        <v>321.80000000000018</v>
      </c>
      <c r="H496" s="15">
        <f t="shared" si="36"/>
        <v>5930</v>
      </c>
      <c r="I496" s="15">
        <f t="shared" si="37"/>
        <v>5608.2</v>
      </c>
      <c r="J496" s="15">
        <f t="shared" si="38"/>
        <v>321.80000000000018</v>
      </c>
      <c r="K496" s="19">
        <f t="shared" si="39"/>
        <v>5.7380264612531685E-2</v>
      </c>
      <c r="L496" s="15" t="s">
        <v>224</v>
      </c>
      <c r="M496" s="15"/>
    </row>
    <row r="497" spans="1:13" x14ac:dyDescent="0.25">
      <c r="A497" s="16">
        <v>46016</v>
      </c>
      <c r="B497" s="24" t="s">
        <v>161</v>
      </c>
      <c r="C497" s="15">
        <v>1</v>
      </c>
      <c r="D497" s="22" t="s">
        <v>166</v>
      </c>
      <c r="E497" s="15">
        <v>5930</v>
      </c>
      <c r="F497" s="15">
        <v>5608.2</v>
      </c>
      <c r="G497" s="15">
        <f t="shared" si="35"/>
        <v>321.80000000000018</v>
      </c>
      <c r="H497" s="15">
        <f t="shared" si="36"/>
        <v>5930</v>
      </c>
      <c r="I497" s="15">
        <f t="shared" si="37"/>
        <v>5608.2</v>
      </c>
      <c r="J497" s="15">
        <f t="shared" si="38"/>
        <v>321.80000000000018</v>
      </c>
      <c r="K497" s="19">
        <f t="shared" si="39"/>
        <v>5.7380264612531685E-2</v>
      </c>
      <c r="L497" s="15" t="s">
        <v>224</v>
      </c>
      <c r="M497" s="15"/>
    </row>
    <row r="498" spans="1:13" x14ac:dyDescent="0.25">
      <c r="A498" s="16">
        <v>46016</v>
      </c>
      <c r="B498" s="24" t="s">
        <v>161</v>
      </c>
      <c r="C498" s="15">
        <v>1</v>
      </c>
      <c r="D498" s="22" t="s">
        <v>167</v>
      </c>
      <c r="E498" s="15">
        <v>5930</v>
      </c>
      <c r="F498" s="15">
        <v>5608.2</v>
      </c>
      <c r="G498" s="15">
        <f t="shared" si="35"/>
        <v>321.80000000000018</v>
      </c>
      <c r="H498" s="15">
        <f t="shared" si="36"/>
        <v>5930</v>
      </c>
      <c r="I498" s="15">
        <f t="shared" si="37"/>
        <v>5608.2</v>
      </c>
      <c r="J498" s="15">
        <f t="shared" si="38"/>
        <v>321.80000000000018</v>
      </c>
      <c r="K498" s="19">
        <f t="shared" si="39"/>
        <v>5.7380264612531685E-2</v>
      </c>
      <c r="L498" s="15" t="s">
        <v>224</v>
      </c>
      <c r="M498" s="15"/>
    </row>
    <row r="499" spans="1:13" x14ac:dyDescent="0.25">
      <c r="A499" s="16">
        <v>46016</v>
      </c>
      <c r="B499" s="24" t="s">
        <v>161</v>
      </c>
      <c r="C499" s="15">
        <v>1</v>
      </c>
      <c r="D499" s="22" t="s">
        <v>168</v>
      </c>
      <c r="E499" s="15">
        <v>5930</v>
      </c>
      <c r="F499" s="15">
        <v>5608.2</v>
      </c>
      <c r="G499" s="15">
        <f t="shared" si="35"/>
        <v>321.80000000000018</v>
      </c>
      <c r="H499" s="15">
        <f t="shared" si="36"/>
        <v>5930</v>
      </c>
      <c r="I499" s="15">
        <f t="shared" si="37"/>
        <v>5608.2</v>
      </c>
      <c r="J499" s="15">
        <f t="shared" si="38"/>
        <v>321.80000000000018</v>
      </c>
      <c r="K499" s="19">
        <f t="shared" si="39"/>
        <v>5.7380264612531685E-2</v>
      </c>
      <c r="L499" s="15" t="s">
        <v>224</v>
      </c>
      <c r="M499" s="15"/>
    </row>
    <row r="500" spans="1:13" x14ac:dyDescent="0.25">
      <c r="A500" s="16">
        <v>46016</v>
      </c>
      <c r="B500" s="24" t="s">
        <v>161</v>
      </c>
      <c r="C500" s="15">
        <v>1</v>
      </c>
      <c r="D500" s="22" t="s">
        <v>169</v>
      </c>
      <c r="E500" s="15">
        <v>5930</v>
      </c>
      <c r="F500" s="15">
        <v>5608.2</v>
      </c>
      <c r="G500" s="15">
        <f t="shared" si="35"/>
        <v>321.80000000000018</v>
      </c>
      <c r="H500" s="15">
        <f t="shared" si="36"/>
        <v>5930</v>
      </c>
      <c r="I500" s="15">
        <f t="shared" si="37"/>
        <v>5608.2</v>
      </c>
      <c r="J500" s="15">
        <f t="shared" si="38"/>
        <v>321.80000000000018</v>
      </c>
      <c r="K500" s="19">
        <f t="shared" si="39"/>
        <v>5.7380264612531685E-2</v>
      </c>
      <c r="L500" s="15" t="s">
        <v>224</v>
      </c>
      <c r="M500" s="15"/>
    </row>
    <row r="501" spans="1:13" x14ac:dyDescent="0.25">
      <c r="A501" s="16">
        <v>46016</v>
      </c>
      <c r="B501" s="24" t="s">
        <v>161</v>
      </c>
      <c r="C501" s="15">
        <v>1</v>
      </c>
      <c r="D501" s="22" t="s">
        <v>170</v>
      </c>
      <c r="E501" s="15">
        <v>5930</v>
      </c>
      <c r="F501" s="15">
        <v>5608.2</v>
      </c>
      <c r="G501" s="15">
        <f t="shared" si="35"/>
        <v>321.80000000000018</v>
      </c>
      <c r="H501" s="15">
        <f t="shared" si="36"/>
        <v>5930</v>
      </c>
      <c r="I501" s="15">
        <f t="shared" si="37"/>
        <v>5608.2</v>
      </c>
      <c r="J501" s="15">
        <f t="shared" si="38"/>
        <v>321.80000000000018</v>
      </c>
      <c r="K501" s="19">
        <f t="shared" si="39"/>
        <v>5.7380264612531685E-2</v>
      </c>
      <c r="L501" s="15" t="s">
        <v>224</v>
      </c>
      <c r="M501" s="15"/>
    </row>
    <row r="502" spans="1:13" x14ac:dyDescent="0.25">
      <c r="A502" s="16">
        <v>46016</v>
      </c>
      <c r="B502" s="24" t="s">
        <v>154</v>
      </c>
      <c r="C502" s="15">
        <v>1</v>
      </c>
      <c r="D502" s="22" t="s">
        <v>160</v>
      </c>
      <c r="E502" s="15">
        <v>5150</v>
      </c>
      <c r="F502" s="15">
        <v>4889.2</v>
      </c>
      <c r="G502" s="15">
        <f t="shared" si="35"/>
        <v>260.80000000000018</v>
      </c>
      <c r="H502" s="15">
        <f t="shared" si="36"/>
        <v>5150</v>
      </c>
      <c r="I502" s="15">
        <f t="shared" si="37"/>
        <v>4889.2</v>
      </c>
      <c r="J502" s="15">
        <f t="shared" si="38"/>
        <v>260.80000000000018</v>
      </c>
      <c r="K502" s="19">
        <f t="shared" si="39"/>
        <v>5.3342060050724081E-2</v>
      </c>
      <c r="L502" s="15" t="s">
        <v>224</v>
      </c>
      <c r="M502" s="15"/>
    </row>
    <row r="503" spans="1:13" x14ac:dyDescent="0.25">
      <c r="A503" s="16">
        <v>46016</v>
      </c>
      <c r="B503" s="17" t="s">
        <v>171</v>
      </c>
      <c r="C503" s="15">
        <v>1</v>
      </c>
      <c r="D503" s="23" t="s">
        <v>172</v>
      </c>
      <c r="E503" s="15">
        <v>6300</v>
      </c>
      <c r="F503" s="15">
        <v>6021.62</v>
      </c>
      <c r="G503" s="15">
        <f t="shared" si="35"/>
        <v>278.38000000000011</v>
      </c>
      <c r="H503" s="15">
        <f t="shared" si="36"/>
        <v>6300</v>
      </c>
      <c r="I503" s="15">
        <f t="shared" si="37"/>
        <v>6021.62</v>
      </c>
      <c r="J503" s="15">
        <f t="shared" si="38"/>
        <v>278.38000000000011</v>
      </c>
      <c r="K503" s="19">
        <f t="shared" si="39"/>
        <v>4.6230084263038866E-2</v>
      </c>
      <c r="L503" s="15" t="s">
        <v>224</v>
      </c>
      <c r="M503" s="15"/>
    </row>
    <row r="504" spans="1:13" x14ac:dyDescent="0.25">
      <c r="A504" s="16">
        <v>46001</v>
      </c>
      <c r="B504" s="20" t="s">
        <v>14</v>
      </c>
      <c r="C504" s="15">
        <v>1</v>
      </c>
      <c r="D504" s="22">
        <v>355190203370036</v>
      </c>
      <c r="E504" s="15">
        <v>3400</v>
      </c>
      <c r="F504" s="15">
        <v>3379.3</v>
      </c>
      <c r="G504" s="15">
        <f t="shared" si="35"/>
        <v>20.699999999999818</v>
      </c>
      <c r="H504" s="15">
        <f t="shared" si="36"/>
        <v>3400</v>
      </c>
      <c r="I504" s="15">
        <f t="shared" si="37"/>
        <v>3379.3</v>
      </c>
      <c r="J504" s="15">
        <f t="shared" si="38"/>
        <v>20.699999999999818</v>
      </c>
      <c r="K504" s="19">
        <f t="shared" si="39"/>
        <v>6.1255289557008308E-3</v>
      </c>
      <c r="L504" s="15" t="s">
        <v>245</v>
      </c>
      <c r="M504" s="15"/>
    </row>
    <row r="505" spans="1:13" x14ac:dyDescent="0.25">
      <c r="A505" s="16">
        <v>46002</v>
      </c>
      <c r="B505" s="20" t="s">
        <v>14</v>
      </c>
      <c r="C505" s="15">
        <v>1</v>
      </c>
      <c r="D505" s="23">
        <v>359912580620568</v>
      </c>
      <c r="E505" s="15">
        <v>4250</v>
      </c>
      <c r="F505" s="15">
        <v>4062.35</v>
      </c>
      <c r="G505" s="15">
        <f t="shared" si="35"/>
        <v>187.65000000000009</v>
      </c>
      <c r="H505" s="15">
        <f t="shared" si="36"/>
        <v>4250</v>
      </c>
      <c r="I505" s="15">
        <f t="shared" si="37"/>
        <v>4062.35</v>
      </c>
      <c r="J505" s="15">
        <f t="shared" si="38"/>
        <v>187.65000000000009</v>
      </c>
      <c r="K505" s="19">
        <f t="shared" si="39"/>
        <v>4.619247479906953E-2</v>
      </c>
      <c r="L505" s="15" t="s">
        <v>245</v>
      </c>
      <c r="M505" s="15"/>
    </row>
    <row r="506" spans="1:13" x14ac:dyDescent="0.25">
      <c r="A506" s="16">
        <v>46008</v>
      </c>
      <c r="B506" s="17" t="s">
        <v>88</v>
      </c>
      <c r="C506" s="15">
        <v>1</v>
      </c>
      <c r="D506" s="22" t="s">
        <v>92</v>
      </c>
      <c r="E506" s="15">
        <v>2800</v>
      </c>
      <c r="F506" s="15">
        <v>2696.25</v>
      </c>
      <c r="G506" s="15">
        <f t="shared" si="35"/>
        <v>103.75</v>
      </c>
      <c r="H506" s="15">
        <f t="shared" si="36"/>
        <v>2800</v>
      </c>
      <c r="I506" s="15">
        <f t="shared" si="37"/>
        <v>2696.25</v>
      </c>
      <c r="J506" s="15">
        <f t="shared" si="38"/>
        <v>103.75</v>
      </c>
      <c r="K506" s="19">
        <f t="shared" si="39"/>
        <v>3.8479369494668521E-2</v>
      </c>
      <c r="L506" s="15" t="s">
        <v>245</v>
      </c>
      <c r="M506" s="15"/>
    </row>
    <row r="507" spans="1:13" x14ac:dyDescent="0.25">
      <c r="A507" s="16">
        <v>46002</v>
      </c>
      <c r="B507" s="20" t="s">
        <v>75</v>
      </c>
      <c r="C507" s="15">
        <v>1</v>
      </c>
      <c r="D507" s="22">
        <v>355122366765991</v>
      </c>
      <c r="E507" s="15">
        <v>4350</v>
      </c>
      <c r="F507" s="15">
        <v>4308</v>
      </c>
      <c r="G507" s="15">
        <f t="shared" si="35"/>
        <v>42</v>
      </c>
      <c r="H507" s="15">
        <f t="shared" si="36"/>
        <v>4350</v>
      </c>
      <c r="I507" s="15">
        <f t="shared" si="37"/>
        <v>4308</v>
      </c>
      <c r="J507" s="15">
        <f t="shared" si="38"/>
        <v>42</v>
      </c>
      <c r="K507" s="19">
        <f t="shared" si="39"/>
        <v>9.7493036211699167E-3</v>
      </c>
      <c r="L507" s="15" t="s">
        <v>244</v>
      </c>
      <c r="M507" s="15"/>
    </row>
    <row r="508" spans="1:13" x14ac:dyDescent="0.25">
      <c r="A508" s="16">
        <v>46002</v>
      </c>
      <c r="B508" s="20" t="s">
        <v>75</v>
      </c>
      <c r="C508" s="15">
        <v>1</v>
      </c>
      <c r="D508" s="22">
        <v>354996269786894</v>
      </c>
      <c r="E508" s="15">
        <v>4350</v>
      </c>
      <c r="F508" s="15">
        <v>4308</v>
      </c>
      <c r="G508" s="15">
        <f t="shared" si="35"/>
        <v>42</v>
      </c>
      <c r="H508" s="15">
        <f t="shared" si="36"/>
        <v>4350</v>
      </c>
      <c r="I508" s="15">
        <f t="shared" si="37"/>
        <v>4308</v>
      </c>
      <c r="J508" s="15">
        <f t="shared" si="38"/>
        <v>42</v>
      </c>
      <c r="K508" s="19">
        <f t="shared" si="39"/>
        <v>9.7493036211699167E-3</v>
      </c>
      <c r="L508" s="15" t="s">
        <v>244</v>
      </c>
      <c r="M508" s="15"/>
    </row>
    <row r="509" spans="1:13" x14ac:dyDescent="0.25">
      <c r="A509" s="16">
        <v>45994</v>
      </c>
      <c r="B509" s="17" t="s">
        <v>26</v>
      </c>
      <c r="C509" s="15">
        <v>1</v>
      </c>
      <c r="D509" s="23" t="s">
        <v>27</v>
      </c>
      <c r="E509" s="15">
        <v>1070</v>
      </c>
      <c r="F509" s="15">
        <v>1042.55</v>
      </c>
      <c r="G509" s="15">
        <f t="shared" si="35"/>
        <v>27.450000000000045</v>
      </c>
      <c r="H509" s="15">
        <f t="shared" si="36"/>
        <v>1070</v>
      </c>
      <c r="I509" s="15">
        <f t="shared" si="37"/>
        <v>1042.55</v>
      </c>
      <c r="J509" s="15">
        <f t="shared" si="38"/>
        <v>27.450000000000045</v>
      </c>
      <c r="K509" s="19">
        <f t="shared" si="39"/>
        <v>2.6329672437772813E-2</v>
      </c>
      <c r="L509" s="15" t="s">
        <v>237</v>
      </c>
      <c r="M509" s="15"/>
    </row>
    <row r="510" spans="1:13" x14ac:dyDescent="0.25">
      <c r="A510" s="16">
        <v>45994</v>
      </c>
      <c r="B510" s="17" t="s">
        <v>25</v>
      </c>
      <c r="C510" s="15">
        <v>1</v>
      </c>
      <c r="D510" s="23">
        <v>357241832571441</v>
      </c>
      <c r="E510" s="15">
        <v>2700</v>
      </c>
      <c r="F510" s="15">
        <v>2157</v>
      </c>
      <c r="G510" s="15">
        <f t="shared" si="35"/>
        <v>543</v>
      </c>
      <c r="H510" s="15">
        <f t="shared" si="36"/>
        <v>2700</v>
      </c>
      <c r="I510" s="15">
        <f t="shared" si="37"/>
        <v>2157</v>
      </c>
      <c r="J510" s="15">
        <f t="shared" si="38"/>
        <v>543</v>
      </c>
      <c r="K510" s="19">
        <f t="shared" si="39"/>
        <v>0.2517385257301808</v>
      </c>
      <c r="L510" s="15" t="s">
        <v>237</v>
      </c>
      <c r="M510" s="15"/>
    </row>
    <row r="511" spans="1:13" x14ac:dyDescent="0.25">
      <c r="A511" s="16">
        <v>45994</v>
      </c>
      <c r="B511" s="17" t="s">
        <v>23</v>
      </c>
      <c r="C511" s="15">
        <v>1</v>
      </c>
      <c r="D511" s="23" t="s">
        <v>24</v>
      </c>
      <c r="E511" s="15">
        <v>2350</v>
      </c>
      <c r="F511" s="15">
        <v>2157</v>
      </c>
      <c r="G511" s="15">
        <f t="shared" si="35"/>
        <v>193</v>
      </c>
      <c r="H511" s="15">
        <f t="shared" si="36"/>
        <v>2350</v>
      </c>
      <c r="I511" s="15">
        <f t="shared" si="37"/>
        <v>2157</v>
      </c>
      <c r="J511" s="15">
        <f t="shared" si="38"/>
        <v>193</v>
      </c>
      <c r="K511" s="19">
        <f t="shared" si="39"/>
        <v>8.9476124246638852E-2</v>
      </c>
      <c r="L511" s="15" t="s">
        <v>237</v>
      </c>
      <c r="M511" s="15"/>
    </row>
    <row r="512" spans="1:13" x14ac:dyDescent="0.25">
      <c r="A512" s="16">
        <v>46001</v>
      </c>
      <c r="B512" s="20" t="s">
        <v>17</v>
      </c>
      <c r="C512" s="15">
        <v>1</v>
      </c>
      <c r="D512" s="22">
        <v>358112930502035</v>
      </c>
      <c r="E512" s="15">
        <v>3900</v>
      </c>
      <c r="F512" s="15">
        <v>3954.5</v>
      </c>
      <c r="G512" s="15">
        <f t="shared" si="35"/>
        <v>-54.5</v>
      </c>
      <c r="H512" s="15">
        <f t="shared" si="36"/>
        <v>3900</v>
      </c>
      <c r="I512" s="15">
        <f t="shared" si="37"/>
        <v>3954.5</v>
      </c>
      <c r="J512" s="15">
        <f t="shared" si="38"/>
        <v>-54.5</v>
      </c>
      <c r="K512" s="19">
        <f t="shared" si="39"/>
        <v>-1.3781767606524213E-2</v>
      </c>
      <c r="L512" s="15" t="s">
        <v>237</v>
      </c>
      <c r="M512" s="15"/>
    </row>
    <row r="513" spans="1:13" x14ac:dyDescent="0.25">
      <c r="A513" s="16">
        <v>45994</v>
      </c>
      <c r="B513" s="20" t="s">
        <v>18</v>
      </c>
      <c r="C513" s="15">
        <v>1</v>
      </c>
      <c r="D513" s="23">
        <v>352066342255499</v>
      </c>
      <c r="E513" s="15">
        <v>3800</v>
      </c>
      <c r="F513" s="15">
        <v>3595</v>
      </c>
      <c r="G513" s="15">
        <f t="shared" si="35"/>
        <v>205</v>
      </c>
      <c r="H513" s="15">
        <f t="shared" si="36"/>
        <v>3800</v>
      </c>
      <c r="I513" s="15">
        <f t="shared" si="37"/>
        <v>3595</v>
      </c>
      <c r="J513" s="15">
        <f t="shared" si="38"/>
        <v>205</v>
      </c>
      <c r="K513" s="19">
        <f t="shared" si="39"/>
        <v>5.702364394993046E-2</v>
      </c>
      <c r="L513" s="15" t="s">
        <v>237</v>
      </c>
      <c r="M513" s="15"/>
    </row>
    <row r="514" spans="1:13" x14ac:dyDescent="0.25">
      <c r="A514" s="16">
        <v>45994</v>
      </c>
      <c r="B514" s="20" t="s">
        <v>19</v>
      </c>
      <c r="C514" s="15">
        <v>1</v>
      </c>
      <c r="D514" s="23" t="s">
        <v>20</v>
      </c>
      <c r="E514" s="15">
        <v>3750</v>
      </c>
      <c r="F514" s="15">
        <v>3595</v>
      </c>
      <c r="G514" s="15">
        <f t="shared" ref="G514:G519" si="40">E514-F514</f>
        <v>155</v>
      </c>
      <c r="H514" s="15">
        <f t="shared" ref="H514:H519" si="41">E514*C514</f>
        <v>3750</v>
      </c>
      <c r="I514" s="15">
        <f t="shared" ref="I514:I519" si="42">F514*C514</f>
        <v>3595</v>
      </c>
      <c r="J514" s="15">
        <f t="shared" ref="J514:J519" si="43">H514-I514</f>
        <v>155</v>
      </c>
      <c r="K514" s="19">
        <f t="shared" ref="K514:K519" si="44">(E514-F514)/F514</f>
        <v>4.3115438108484005E-2</v>
      </c>
      <c r="L514" s="15" t="s">
        <v>237</v>
      </c>
      <c r="M514" s="15"/>
    </row>
    <row r="515" spans="1:13" x14ac:dyDescent="0.25">
      <c r="A515" s="16">
        <v>45994</v>
      </c>
      <c r="B515" s="20" t="s">
        <v>19</v>
      </c>
      <c r="C515" s="15">
        <v>1</v>
      </c>
      <c r="D515" s="23" t="s">
        <v>21</v>
      </c>
      <c r="E515" s="15">
        <v>3750</v>
      </c>
      <c r="F515" s="15">
        <v>3595</v>
      </c>
      <c r="G515" s="15">
        <f t="shared" si="40"/>
        <v>155</v>
      </c>
      <c r="H515" s="15">
        <f t="shared" si="41"/>
        <v>3750</v>
      </c>
      <c r="I515" s="15">
        <f t="shared" si="42"/>
        <v>3595</v>
      </c>
      <c r="J515" s="15">
        <f t="shared" si="43"/>
        <v>155</v>
      </c>
      <c r="K515" s="19">
        <f t="shared" si="44"/>
        <v>4.3115438108484005E-2</v>
      </c>
      <c r="L515" s="15" t="s">
        <v>237</v>
      </c>
      <c r="M515" s="15"/>
    </row>
    <row r="516" spans="1:13" x14ac:dyDescent="0.25">
      <c r="A516" s="16">
        <v>45994</v>
      </c>
      <c r="B516" s="20" t="s">
        <v>19</v>
      </c>
      <c r="C516" s="15">
        <v>1</v>
      </c>
      <c r="D516" s="23" t="s">
        <v>22</v>
      </c>
      <c r="E516" s="15">
        <v>3750</v>
      </c>
      <c r="F516" s="15">
        <v>3595</v>
      </c>
      <c r="G516" s="15">
        <f t="shared" si="40"/>
        <v>155</v>
      </c>
      <c r="H516" s="15">
        <f t="shared" si="41"/>
        <v>3750</v>
      </c>
      <c r="I516" s="15">
        <f t="shared" si="42"/>
        <v>3595</v>
      </c>
      <c r="J516" s="15">
        <f t="shared" si="43"/>
        <v>155</v>
      </c>
      <c r="K516" s="19">
        <f t="shared" si="44"/>
        <v>4.3115438108484005E-2</v>
      </c>
      <c r="L516" s="15" t="s">
        <v>237</v>
      </c>
      <c r="M516" s="15"/>
    </row>
    <row r="517" spans="1:13" x14ac:dyDescent="0.25">
      <c r="A517" s="16">
        <v>45994</v>
      </c>
      <c r="B517" s="17" t="s">
        <v>28</v>
      </c>
      <c r="C517" s="15">
        <v>1</v>
      </c>
      <c r="D517" s="23" t="s">
        <v>29</v>
      </c>
      <c r="E517" s="15">
        <v>2950</v>
      </c>
      <c r="F517" s="15">
        <v>2876</v>
      </c>
      <c r="G517" s="15">
        <f t="shared" si="40"/>
        <v>74</v>
      </c>
      <c r="H517" s="15">
        <f t="shared" si="41"/>
        <v>2950</v>
      </c>
      <c r="I517" s="15">
        <f t="shared" si="42"/>
        <v>2876</v>
      </c>
      <c r="J517" s="15">
        <f t="shared" si="43"/>
        <v>74</v>
      </c>
      <c r="K517" s="19">
        <f t="shared" si="44"/>
        <v>2.573018080667594E-2</v>
      </c>
      <c r="L517" s="15" t="s">
        <v>237</v>
      </c>
      <c r="M517" s="15"/>
    </row>
    <row r="518" spans="1:13" x14ac:dyDescent="0.25">
      <c r="A518" s="16">
        <v>45994</v>
      </c>
      <c r="B518" s="17" t="s">
        <v>30</v>
      </c>
      <c r="C518" s="15">
        <v>1</v>
      </c>
      <c r="D518" s="23" t="s">
        <v>31</v>
      </c>
      <c r="E518" s="15">
        <v>3550</v>
      </c>
      <c r="F518" s="15">
        <v>3235.5</v>
      </c>
      <c r="G518" s="15">
        <f t="shared" si="40"/>
        <v>314.5</v>
      </c>
      <c r="H518" s="15">
        <f t="shared" si="41"/>
        <v>3550</v>
      </c>
      <c r="I518" s="15">
        <f t="shared" si="42"/>
        <v>3235.5</v>
      </c>
      <c r="J518" s="15">
        <f t="shared" si="43"/>
        <v>314.5</v>
      </c>
      <c r="K518" s="19">
        <f t="shared" si="44"/>
        <v>9.7202905269664658E-2</v>
      </c>
      <c r="L518" s="15" t="s">
        <v>237</v>
      </c>
      <c r="M518" s="15"/>
    </row>
    <row r="519" spans="1:13" x14ac:dyDescent="0.25">
      <c r="A519" s="16">
        <v>46002</v>
      </c>
      <c r="B519" s="17" t="s">
        <v>76</v>
      </c>
      <c r="C519" s="15">
        <v>1</v>
      </c>
      <c r="D519" s="23">
        <v>352254480127866</v>
      </c>
      <c r="E519" s="15">
        <v>3650</v>
      </c>
      <c r="F519" s="15">
        <v>3523.1</v>
      </c>
      <c r="G519" s="15">
        <f t="shared" si="40"/>
        <v>126.90000000000009</v>
      </c>
      <c r="H519" s="15">
        <f t="shared" si="41"/>
        <v>3650</v>
      </c>
      <c r="I519" s="15">
        <f t="shared" si="42"/>
        <v>3523.1</v>
      </c>
      <c r="J519" s="15">
        <f t="shared" si="43"/>
        <v>126.90000000000009</v>
      </c>
      <c r="K519" s="19">
        <f t="shared" si="44"/>
        <v>3.6019414719990941E-2</v>
      </c>
      <c r="L519" s="15" t="s">
        <v>237</v>
      </c>
      <c r="M519" s="15"/>
    </row>
    <row r="520" spans="1:13" ht="21" x14ac:dyDescent="0.35">
      <c r="H520" s="36" t="s">
        <v>5</v>
      </c>
      <c r="I520" s="36" t="s">
        <v>6</v>
      </c>
      <c r="J520" s="36" t="s">
        <v>7</v>
      </c>
      <c r="K520" s="40"/>
      <c r="L520" s="41"/>
      <c r="M520" s="42"/>
    </row>
    <row r="521" spans="1:13" ht="21" x14ac:dyDescent="0.35">
      <c r="H521" s="39">
        <f>SUM(H2:H520)</f>
        <v>2778499.5900000003</v>
      </c>
      <c r="I521" s="39">
        <f t="shared" ref="I521:J521" si="45">SUM(I2:I520)</f>
        <v>2354734.3800000027</v>
      </c>
      <c r="J521" s="39">
        <f t="shared" si="45"/>
        <v>423765.21000000014</v>
      </c>
      <c r="K521" s="43">
        <f>AVERAGE(K2:K520)</f>
        <v>8.5435308338690744E-2</v>
      </c>
      <c r="L521" s="44"/>
      <c r="M521" s="45"/>
    </row>
    <row r="531" spans="4:5" x14ac:dyDescent="0.25">
      <c r="D531" s="51" t="s">
        <v>9</v>
      </c>
      <c r="E531" s="52" t="s">
        <v>284</v>
      </c>
    </row>
    <row r="532" spans="4:5" x14ac:dyDescent="0.25">
      <c r="D532" s="18" t="s">
        <v>279</v>
      </c>
      <c r="E532" s="54">
        <v>239293.42000000013</v>
      </c>
    </row>
    <row r="533" spans="4:5" x14ac:dyDescent="0.25">
      <c r="D533" s="18" t="s">
        <v>280</v>
      </c>
      <c r="E533" s="54">
        <v>20003.490000000049</v>
      </c>
    </row>
    <row r="534" spans="4:5" x14ac:dyDescent="0.25">
      <c r="D534" s="18" t="s">
        <v>281</v>
      </c>
      <c r="E534" s="54">
        <v>-65824.320000000007</v>
      </c>
    </row>
    <row r="535" spans="4:5" x14ac:dyDescent="0.25">
      <c r="D535" s="18" t="s">
        <v>282</v>
      </c>
      <c r="E535" s="54">
        <v>26656.289999999994</v>
      </c>
    </row>
    <row r="536" spans="4:5" x14ac:dyDescent="0.25">
      <c r="D536" s="18"/>
      <c r="E536" s="54"/>
    </row>
    <row r="537" spans="4:5" x14ac:dyDescent="0.25">
      <c r="D537" s="53" t="s">
        <v>283</v>
      </c>
      <c r="E537" s="55">
        <f>SUM(E532:E536)</f>
        <v>220128.88000000018</v>
      </c>
    </row>
  </sheetData>
  <sortState xmlns:xlrd2="http://schemas.microsoft.com/office/spreadsheetml/2017/richdata2" ref="A2:L102">
    <sortCondition ref="L2:L102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F30E-33CF-425B-84DF-CEBB4FD7930B}">
  <dimension ref="A1:M105"/>
  <sheetViews>
    <sheetView topLeftCell="A78" zoomScale="90" zoomScaleNormal="90" workbookViewId="0">
      <selection activeCell="C105" sqref="C105"/>
    </sheetView>
  </sheetViews>
  <sheetFormatPr defaultRowHeight="15" x14ac:dyDescent="0.25"/>
  <cols>
    <col min="1" max="1" width="11.28515625" customWidth="1"/>
    <col min="2" max="2" width="42.7109375" customWidth="1"/>
    <col min="3" max="3" width="16.5703125" customWidth="1"/>
    <col min="4" max="4" width="20.85546875" customWidth="1"/>
    <col min="5" max="7" width="15.28515625" customWidth="1"/>
    <col min="8" max="8" width="18.7109375" customWidth="1"/>
    <col min="9" max="9" width="20.28515625" customWidth="1"/>
    <col min="10" max="10" width="18.7109375" customWidth="1"/>
    <col min="11" max="12" width="15.28515625" customWidth="1"/>
    <col min="13" max="13" width="16.7109375" customWidth="1"/>
  </cols>
  <sheetData>
    <row r="1" spans="1:13" ht="18.75" x14ac:dyDescent="0.3">
      <c r="A1" s="1" t="s">
        <v>0</v>
      </c>
      <c r="B1" s="8" t="s">
        <v>1</v>
      </c>
      <c r="C1" s="1" t="s">
        <v>12</v>
      </c>
      <c r="D1" s="9" t="s">
        <v>10</v>
      </c>
      <c r="E1" s="2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4" t="s">
        <v>9</v>
      </c>
      <c r="M1" s="2" t="s">
        <v>247</v>
      </c>
    </row>
    <row r="2" spans="1:13" x14ac:dyDescent="0.25">
      <c r="A2" s="16">
        <v>46009</v>
      </c>
      <c r="B2" s="17" t="s">
        <v>42</v>
      </c>
      <c r="C2" s="15">
        <v>3</v>
      </c>
      <c r="D2" s="18"/>
      <c r="E2" s="15">
        <v>1800</v>
      </c>
      <c r="F2" s="15">
        <v>1392.55</v>
      </c>
      <c r="G2" s="15">
        <f t="shared" ref="G2:G33" si="0">E2-F2</f>
        <v>407.45000000000005</v>
      </c>
      <c r="H2" s="15">
        <f t="shared" ref="H2:H33" si="1">E2*C2</f>
        <v>5400</v>
      </c>
      <c r="I2" s="15">
        <f t="shared" ref="I2:I33" si="2">F2*C2</f>
        <v>4177.6499999999996</v>
      </c>
      <c r="J2" s="15">
        <f t="shared" ref="J2:J33" si="3">H2-I2</f>
        <v>1222.3500000000004</v>
      </c>
      <c r="K2" s="19">
        <f t="shared" ref="K2:K33" si="4">(E2-F2)/F2</f>
        <v>0.29259272557538335</v>
      </c>
      <c r="L2" s="15" t="s">
        <v>217</v>
      </c>
      <c r="M2" s="15"/>
    </row>
    <row r="3" spans="1:13" x14ac:dyDescent="0.25">
      <c r="A3" s="16">
        <v>45993</v>
      </c>
      <c r="B3" s="20" t="s">
        <v>13</v>
      </c>
      <c r="C3" s="15">
        <v>2</v>
      </c>
      <c r="D3" s="18"/>
      <c r="E3" s="15">
        <v>8250</v>
      </c>
      <c r="F3" s="15">
        <v>7003.73</v>
      </c>
      <c r="G3" s="15">
        <f t="shared" si="0"/>
        <v>1246.2700000000004</v>
      </c>
      <c r="H3" s="15">
        <f t="shared" si="1"/>
        <v>16500</v>
      </c>
      <c r="I3" s="15">
        <f t="shared" si="2"/>
        <v>14007.46</v>
      </c>
      <c r="J3" s="15">
        <f t="shared" si="3"/>
        <v>2492.5400000000009</v>
      </c>
      <c r="K3" s="19">
        <f t="shared" si="4"/>
        <v>0.17794375282884983</v>
      </c>
      <c r="L3" s="15" t="s">
        <v>217</v>
      </c>
      <c r="M3" s="15"/>
    </row>
    <row r="4" spans="1:13" x14ac:dyDescent="0.25">
      <c r="A4" s="16">
        <v>45999</v>
      </c>
      <c r="B4" s="17" t="s">
        <v>13</v>
      </c>
      <c r="C4" s="15">
        <v>1</v>
      </c>
      <c r="D4" s="18"/>
      <c r="E4" s="15">
        <v>11500</v>
      </c>
      <c r="F4" s="15">
        <v>9381.1299999999992</v>
      </c>
      <c r="G4" s="15">
        <f t="shared" si="0"/>
        <v>2118.8700000000008</v>
      </c>
      <c r="H4" s="15">
        <f t="shared" si="1"/>
        <v>11500</v>
      </c>
      <c r="I4" s="15">
        <f t="shared" si="2"/>
        <v>9381.1299999999992</v>
      </c>
      <c r="J4" s="15">
        <f t="shared" si="3"/>
        <v>2118.8700000000008</v>
      </c>
      <c r="K4" s="19">
        <f t="shared" si="4"/>
        <v>0.22586511433057649</v>
      </c>
      <c r="L4" s="15" t="s">
        <v>217</v>
      </c>
      <c r="M4" s="15"/>
    </row>
    <row r="5" spans="1:13" x14ac:dyDescent="0.25">
      <c r="A5" s="16">
        <v>46000</v>
      </c>
      <c r="B5" s="17" t="s">
        <v>13</v>
      </c>
      <c r="C5" s="15">
        <v>1</v>
      </c>
      <c r="D5" s="18"/>
      <c r="E5" s="15">
        <v>11450</v>
      </c>
      <c r="F5" s="15">
        <v>9381.1299999999992</v>
      </c>
      <c r="G5" s="15">
        <f t="shared" si="0"/>
        <v>2068.8700000000008</v>
      </c>
      <c r="H5" s="15">
        <f t="shared" si="1"/>
        <v>11450</v>
      </c>
      <c r="I5" s="15">
        <f t="shared" si="2"/>
        <v>9381.1299999999992</v>
      </c>
      <c r="J5" s="15">
        <f t="shared" si="3"/>
        <v>2068.8700000000008</v>
      </c>
      <c r="K5" s="19">
        <f t="shared" si="4"/>
        <v>0.22053526600740006</v>
      </c>
      <c r="L5" s="15" t="s">
        <v>217</v>
      </c>
      <c r="M5" s="15"/>
    </row>
    <row r="6" spans="1:13" x14ac:dyDescent="0.25">
      <c r="A6" s="16">
        <v>46000</v>
      </c>
      <c r="B6" s="17" t="s">
        <v>13</v>
      </c>
      <c r="C6" s="15">
        <v>2</v>
      </c>
      <c r="D6" s="18"/>
      <c r="E6" s="15">
        <v>8200</v>
      </c>
      <c r="F6" s="15">
        <v>7003.73</v>
      </c>
      <c r="G6" s="15">
        <f t="shared" si="0"/>
        <v>1196.2700000000004</v>
      </c>
      <c r="H6" s="15">
        <f t="shared" si="1"/>
        <v>16400</v>
      </c>
      <c r="I6" s="15">
        <f t="shared" si="2"/>
        <v>14007.46</v>
      </c>
      <c r="J6" s="15">
        <f t="shared" si="3"/>
        <v>2392.5400000000009</v>
      </c>
      <c r="K6" s="19">
        <f t="shared" si="4"/>
        <v>0.17080469978140228</v>
      </c>
      <c r="L6" s="15" t="s">
        <v>217</v>
      </c>
      <c r="M6" s="15"/>
    </row>
    <row r="7" spans="1:13" x14ac:dyDescent="0.25">
      <c r="A7" s="16">
        <v>46001</v>
      </c>
      <c r="B7" s="17" t="s">
        <v>13</v>
      </c>
      <c r="C7" s="15">
        <v>2</v>
      </c>
      <c r="D7" s="18"/>
      <c r="E7" s="15">
        <v>8200</v>
      </c>
      <c r="F7" s="15">
        <v>7003.73</v>
      </c>
      <c r="G7" s="15">
        <f t="shared" si="0"/>
        <v>1196.2700000000004</v>
      </c>
      <c r="H7" s="15">
        <f t="shared" si="1"/>
        <v>16400</v>
      </c>
      <c r="I7" s="15">
        <f t="shared" si="2"/>
        <v>14007.46</v>
      </c>
      <c r="J7" s="15">
        <f t="shared" si="3"/>
        <v>2392.5400000000009</v>
      </c>
      <c r="K7" s="19">
        <f t="shared" si="4"/>
        <v>0.17080469978140228</v>
      </c>
      <c r="L7" s="15" t="s">
        <v>217</v>
      </c>
      <c r="M7" s="15"/>
    </row>
    <row r="8" spans="1:13" x14ac:dyDescent="0.25">
      <c r="A8" s="16">
        <v>46002</v>
      </c>
      <c r="B8" s="17" t="s">
        <v>13</v>
      </c>
      <c r="C8" s="15">
        <v>2</v>
      </c>
      <c r="D8" s="18"/>
      <c r="E8" s="15">
        <v>8200</v>
      </c>
      <c r="F8" s="15">
        <v>7003.73</v>
      </c>
      <c r="G8" s="15">
        <f t="shared" si="0"/>
        <v>1196.2700000000004</v>
      </c>
      <c r="H8" s="15">
        <f t="shared" si="1"/>
        <v>16400</v>
      </c>
      <c r="I8" s="15">
        <f t="shared" si="2"/>
        <v>14007.46</v>
      </c>
      <c r="J8" s="15">
        <f t="shared" si="3"/>
        <v>2392.5400000000009</v>
      </c>
      <c r="K8" s="19">
        <f t="shared" si="4"/>
        <v>0.17080469978140228</v>
      </c>
      <c r="L8" s="15" t="s">
        <v>217</v>
      </c>
      <c r="M8" s="15"/>
    </row>
    <row r="9" spans="1:13" x14ac:dyDescent="0.25">
      <c r="A9" s="16">
        <v>46004</v>
      </c>
      <c r="B9" s="17" t="s">
        <v>13</v>
      </c>
      <c r="C9" s="15">
        <v>1</v>
      </c>
      <c r="D9" s="18"/>
      <c r="E9" s="15">
        <v>8200</v>
      </c>
      <c r="F9" s="15">
        <v>7003.73</v>
      </c>
      <c r="G9" s="15">
        <f t="shared" si="0"/>
        <v>1196.2700000000004</v>
      </c>
      <c r="H9" s="15">
        <f t="shared" si="1"/>
        <v>8200</v>
      </c>
      <c r="I9" s="15">
        <f t="shared" si="2"/>
        <v>7003.73</v>
      </c>
      <c r="J9" s="15">
        <f t="shared" si="3"/>
        <v>1196.2700000000004</v>
      </c>
      <c r="K9" s="19">
        <f t="shared" si="4"/>
        <v>0.17080469978140228</v>
      </c>
      <c r="L9" s="15" t="s">
        <v>217</v>
      </c>
      <c r="M9" s="15"/>
    </row>
    <row r="10" spans="1:13" x14ac:dyDescent="0.25">
      <c r="A10" s="16">
        <v>46004</v>
      </c>
      <c r="B10" s="17" t="s">
        <v>13</v>
      </c>
      <c r="C10" s="15">
        <v>3</v>
      </c>
      <c r="D10" s="18"/>
      <c r="E10" s="15">
        <v>8200</v>
      </c>
      <c r="F10" s="15">
        <v>7003.73</v>
      </c>
      <c r="G10" s="15">
        <f t="shared" si="0"/>
        <v>1196.2700000000004</v>
      </c>
      <c r="H10" s="15">
        <f t="shared" si="1"/>
        <v>24600</v>
      </c>
      <c r="I10" s="15">
        <f t="shared" si="2"/>
        <v>21011.19</v>
      </c>
      <c r="J10" s="15">
        <f t="shared" si="3"/>
        <v>3588.8100000000013</v>
      </c>
      <c r="K10" s="19">
        <f t="shared" si="4"/>
        <v>0.17080469978140228</v>
      </c>
      <c r="L10" s="15" t="s">
        <v>217</v>
      </c>
      <c r="M10" s="15"/>
    </row>
    <row r="11" spans="1:13" x14ac:dyDescent="0.25">
      <c r="A11" s="16">
        <v>46007</v>
      </c>
      <c r="B11" s="17" t="s">
        <v>13</v>
      </c>
      <c r="C11" s="15">
        <v>4</v>
      </c>
      <c r="D11" s="18"/>
      <c r="E11" s="15">
        <v>8200</v>
      </c>
      <c r="F11" s="15">
        <v>7003.73</v>
      </c>
      <c r="G11" s="15">
        <f t="shared" si="0"/>
        <v>1196.2700000000004</v>
      </c>
      <c r="H11" s="15">
        <f t="shared" si="1"/>
        <v>32800</v>
      </c>
      <c r="I11" s="15">
        <f t="shared" si="2"/>
        <v>28014.92</v>
      </c>
      <c r="J11" s="15">
        <f t="shared" si="3"/>
        <v>4785.0800000000017</v>
      </c>
      <c r="K11" s="19">
        <f t="shared" si="4"/>
        <v>0.17080469978140228</v>
      </c>
      <c r="L11" s="15" t="s">
        <v>217</v>
      </c>
      <c r="M11" s="15"/>
    </row>
    <row r="12" spans="1:13" x14ac:dyDescent="0.25">
      <c r="A12" s="16">
        <v>46008</v>
      </c>
      <c r="B12" s="17" t="s">
        <v>13</v>
      </c>
      <c r="C12" s="15">
        <v>1</v>
      </c>
      <c r="D12" s="18"/>
      <c r="E12" s="15">
        <v>11300</v>
      </c>
      <c r="F12" s="15">
        <v>9381.1299999999992</v>
      </c>
      <c r="G12" s="15">
        <f t="shared" si="0"/>
        <v>1918.8700000000008</v>
      </c>
      <c r="H12" s="15">
        <f t="shared" si="1"/>
        <v>11300</v>
      </c>
      <c r="I12" s="15">
        <f t="shared" si="2"/>
        <v>9381.1299999999992</v>
      </c>
      <c r="J12" s="15">
        <f t="shared" si="3"/>
        <v>1918.8700000000008</v>
      </c>
      <c r="K12" s="19">
        <f t="shared" si="4"/>
        <v>0.2045457210378708</v>
      </c>
      <c r="L12" s="15" t="s">
        <v>217</v>
      </c>
      <c r="M12" s="15"/>
    </row>
    <row r="13" spans="1:13" x14ac:dyDescent="0.25">
      <c r="A13" s="16">
        <v>46013</v>
      </c>
      <c r="B13" s="20" t="s">
        <v>13</v>
      </c>
      <c r="C13" s="15">
        <v>3</v>
      </c>
      <c r="D13" s="18"/>
      <c r="E13" s="15">
        <v>8200</v>
      </c>
      <c r="F13" s="15">
        <v>7003.73</v>
      </c>
      <c r="G13" s="15">
        <f t="shared" si="0"/>
        <v>1196.2700000000004</v>
      </c>
      <c r="H13" s="15">
        <f t="shared" si="1"/>
        <v>24600</v>
      </c>
      <c r="I13" s="15">
        <f t="shared" si="2"/>
        <v>21011.19</v>
      </c>
      <c r="J13" s="15">
        <f t="shared" si="3"/>
        <v>3588.8100000000013</v>
      </c>
      <c r="K13" s="19">
        <f t="shared" si="4"/>
        <v>0.17080469978140228</v>
      </c>
      <c r="L13" s="15" t="s">
        <v>217</v>
      </c>
      <c r="M13" s="15"/>
    </row>
    <row r="14" spans="1:13" x14ac:dyDescent="0.25">
      <c r="A14" s="16">
        <v>45992</v>
      </c>
      <c r="B14" s="20" t="s">
        <v>11</v>
      </c>
      <c r="C14" s="15">
        <v>4</v>
      </c>
      <c r="D14" s="18"/>
      <c r="E14" s="15">
        <v>6200</v>
      </c>
      <c r="F14" s="15">
        <v>5322.95</v>
      </c>
      <c r="G14" s="15">
        <f t="shared" si="0"/>
        <v>877.05000000000018</v>
      </c>
      <c r="H14" s="15">
        <f t="shared" si="1"/>
        <v>24800</v>
      </c>
      <c r="I14" s="15">
        <f t="shared" si="2"/>
        <v>21291.8</v>
      </c>
      <c r="J14" s="15">
        <f t="shared" si="3"/>
        <v>3508.2000000000007</v>
      </c>
      <c r="K14" s="19">
        <f t="shared" si="4"/>
        <v>0.16476765703228477</v>
      </c>
      <c r="L14" s="15" t="s">
        <v>217</v>
      </c>
      <c r="M14" s="15"/>
    </row>
    <row r="15" spans="1:13" x14ac:dyDescent="0.25">
      <c r="A15" s="16">
        <v>45997</v>
      </c>
      <c r="B15" s="20" t="s">
        <v>11</v>
      </c>
      <c r="C15" s="15">
        <v>1</v>
      </c>
      <c r="D15" s="18"/>
      <c r="E15" s="15">
        <v>6250</v>
      </c>
      <c r="F15" s="15">
        <v>5322.95</v>
      </c>
      <c r="G15" s="15">
        <f t="shared" si="0"/>
        <v>927.05000000000018</v>
      </c>
      <c r="H15" s="15">
        <f t="shared" si="1"/>
        <v>6250</v>
      </c>
      <c r="I15" s="15">
        <f t="shared" si="2"/>
        <v>5322.95</v>
      </c>
      <c r="J15" s="15">
        <f t="shared" si="3"/>
        <v>927.05000000000018</v>
      </c>
      <c r="K15" s="19">
        <f t="shared" si="4"/>
        <v>0.17416094458899675</v>
      </c>
      <c r="L15" s="15" t="s">
        <v>217</v>
      </c>
      <c r="M15" s="15"/>
    </row>
    <row r="16" spans="1:13" x14ac:dyDescent="0.25">
      <c r="A16" s="16">
        <v>46015</v>
      </c>
      <c r="B16" s="20" t="s">
        <v>11</v>
      </c>
      <c r="C16" s="15">
        <v>3</v>
      </c>
      <c r="D16" s="18"/>
      <c r="E16" s="15">
        <v>6250</v>
      </c>
      <c r="F16" s="15">
        <v>5322.95</v>
      </c>
      <c r="G16" s="15">
        <f t="shared" si="0"/>
        <v>927.05000000000018</v>
      </c>
      <c r="H16" s="15">
        <f t="shared" si="1"/>
        <v>18750</v>
      </c>
      <c r="I16" s="15">
        <f t="shared" si="2"/>
        <v>15968.849999999999</v>
      </c>
      <c r="J16" s="15">
        <f t="shared" si="3"/>
        <v>2781.1500000000015</v>
      </c>
      <c r="K16" s="19">
        <f t="shared" si="4"/>
        <v>0.17416094458899675</v>
      </c>
      <c r="L16" s="15" t="s">
        <v>217</v>
      </c>
      <c r="M16" s="15"/>
    </row>
    <row r="17" spans="1:13" x14ac:dyDescent="0.25">
      <c r="A17" s="16">
        <v>46015</v>
      </c>
      <c r="B17" s="20" t="s">
        <v>11</v>
      </c>
      <c r="C17" s="15">
        <v>3</v>
      </c>
      <c r="D17" s="18"/>
      <c r="E17" s="15">
        <v>6200</v>
      </c>
      <c r="F17" s="15">
        <v>5322.95</v>
      </c>
      <c r="G17" s="15">
        <f t="shared" si="0"/>
        <v>877.05000000000018</v>
      </c>
      <c r="H17" s="15">
        <f t="shared" si="1"/>
        <v>18600</v>
      </c>
      <c r="I17" s="15">
        <f t="shared" si="2"/>
        <v>15968.849999999999</v>
      </c>
      <c r="J17" s="15">
        <f t="shared" si="3"/>
        <v>2631.1500000000015</v>
      </c>
      <c r="K17" s="19">
        <f t="shared" si="4"/>
        <v>0.16476765703228477</v>
      </c>
      <c r="L17" s="15" t="s">
        <v>217</v>
      </c>
      <c r="M17" s="15"/>
    </row>
    <row r="18" spans="1:13" x14ac:dyDescent="0.25">
      <c r="A18" s="16">
        <v>45997</v>
      </c>
      <c r="B18" s="17" t="s">
        <v>16</v>
      </c>
      <c r="C18" s="15">
        <v>20</v>
      </c>
      <c r="D18" s="18"/>
      <c r="E18" s="15">
        <v>975</v>
      </c>
      <c r="F18" s="15">
        <v>880.8</v>
      </c>
      <c r="G18" s="15">
        <f t="shared" si="0"/>
        <v>94.200000000000045</v>
      </c>
      <c r="H18" s="15">
        <f t="shared" si="1"/>
        <v>19500</v>
      </c>
      <c r="I18" s="15">
        <f t="shared" si="2"/>
        <v>17616</v>
      </c>
      <c r="J18" s="15">
        <f t="shared" si="3"/>
        <v>1884</v>
      </c>
      <c r="K18" s="19">
        <f t="shared" si="4"/>
        <v>0.10694822888283384</v>
      </c>
      <c r="L18" s="15" t="s">
        <v>217</v>
      </c>
      <c r="M18" s="15"/>
    </row>
    <row r="19" spans="1:13" x14ac:dyDescent="0.25">
      <c r="A19" s="16">
        <v>46002</v>
      </c>
      <c r="B19" s="20" t="s">
        <v>16</v>
      </c>
      <c r="C19" s="15">
        <v>10</v>
      </c>
      <c r="D19" s="18"/>
      <c r="E19" s="15">
        <v>1000</v>
      </c>
      <c r="F19" s="15">
        <v>880.8</v>
      </c>
      <c r="G19" s="15">
        <f t="shared" si="0"/>
        <v>119.20000000000005</v>
      </c>
      <c r="H19" s="15">
        <f t="shared" si="1"/>
        <v>10000</v>
      </c>
      <c r="I19" s="15">
        <f t="shared" si="2"/>
        <v>8808</v>
      </c>
      <c r="J19" s="15">
        <f t="shared" si="3"/>
        <v>1192</v>
      </c>
      <c r="K19" s="19">
        <f t="shared" si="4"/>
        <v>0.1353315168029065</v>
      </c>
      <c r="L19" s="15" t="s">
        <v>217</v>
      </c>
      <c r="M19" s="15"/>
    </row>
    <row r="20" spans="1:13" x14ac:dyDescent="0.25">
      <c r="A20" s="16">
        <v>46010</v>
      </c>
      <c r="B20" s="20" t="s">
        <v>16</v>
      </c>
      <c r="C20" s="15">
        <v>10</v>
      </c>
      <c r="D20" s="18"/>
      <c r="E20" s="15">
        <v>995</v>
      </c>
      <c r="F20" s="15">
        <v>880.8</v>
      </c>
      <c r="G20" s="15">
        <f t="shared" si="0"/>
        <v>114.20000000000005</v>
      </c>
      <c r="H20" s="15">
        <f t="shared" si="1"/>
        <v>9950</v>
      </c>
      <c r="I20" s="15">
        <f t="shared" si="2"/>
        <v>8808</v>
      </c>
      <c r="J20" s="15">
        <f t="shared" si="3"/>
        <v>1142</v>
      </c>
      <c r="K20" s="19">
        <f t="shared" si="4"/>
        <v>0.12965485921889197</v>
      </c>
      <c r="L20" s="15" t="s">
        <v>217</v>
      </c>
      <c r="M20" s="15"/>
    </row>
    <row r="21" spans="1:13" x14ac:dyDescent="0.25">
      <c r="A21" s="16">
        <v>45997</v>
      </c>
      <c r="B21" s="17" t="s">
        <v>40</v>
      </c>
      <c r="C21" s="15">
        <v>8</v>
      </c>
      <c r="D21" s="18"/>
      <c r="E21" s="15">
        <v>265</v>
      </c>
      <c r="F21" s="15">
        <v>217.87</v>
      </c>
      <c r="G21" s="15">
        <f t="shared" si="0"/>
        <v>47.129999999999995</v>
      </c>
      <c r="H21" s="15">
        <f t="shared" si="1"/>
        <v>2120</v>
      </c>
      <c r="I21" s="15">
        <f t="shared" si="2"/>
        <v>1742.96</v>
      </c>
      <c r="J21" s="15">
        <f t="shared" si="3"/>
        <v>377.03999999999996</v>
      </c>
      <c r="K21" s="19">
        <f t="shared" si="4"/>
        <v>0.21632165970532885</v>
      </c>
      <c r="L21" s="15" t="s">
        <v>217</v>
      </c>
      <c r="M21" s="15"/>
    </row>
    <row r="22" spans="1:13" x14ac:dyDescent="0.25">
      <c r="A22" s="16">
        <v>46008</v>
      </c>
      <c r="B22" s="17" t="s">
        <v>93</v>
      </c>
      <c r="C22" s="15">
        <v>6</v>
      </c>
      <c r="D22" s="18"/>
      <c r="E22" s="15">
        <v>285</v>
      </c>
      <c r="F22" s="15">
        <v>217.87</v>
      </c>
      <c r="G22" s="15">
        <f t="shared" si="0"/>
        <v>67.13</v>
      </c>
      <c r="H22" s="15">
        <f t="shared" si="1"/>
        <v>1710</v>
      </c>
      <c r="I22" s="15">
        <f t="shared" si="2"/>
        <v>1307.22</v>
      </c>
      <c r="J22" s="15">
        <f t="shared" si="3"/>
        <v>402.78</v>
      </c>
      <c r="K22" s="19">
        <f t="shared" si="4"/>
        <v>0.30811952081516497</v>
      </c>
      <c r="L22" s="15" t="s">
        <v>217</v>
      </c>
      <c r="M22" s="15"/>
    </row>
    <row r="23" spans="1:13" x14ac:dyDescent="0.25">
      <c r="A23" s="16">
        <v>46002</v>
      </c>
      <c r="B23" s="20" t="s">
        <v>69</v>
      </c>
      <c r="C23" s="15">
        <v>2</v>
      </c>
      <c r="D23" s="18"/>
      <c r="E23" s="15">
        <v>2500</v>
      </c>
      <c r="F23" s="15">
        <v>2119.5300000000002</v>
      </c>
      <c r="G23" s="15">
        <f t="shared" si="0"/>
        <v>380.4699999999998</v>
      </c>
      <c r="H23" s="15">
        <f t="shared" si="1"/>
        <v>5000</v>
      </c>
      <c r="I23" s="15">
        <f t="shared" si="2"/>
        <v>4239.0600000000004</v>
      </c>
      <c r="J23" s="15">
        <f t="shared" si="3"/>
        <v>760.9399999999996</v>
      </c>
      <c r="K23" s="19">
        <f t="shared" si="4"/>
        <v>0.17950677744594309</v>
      </c>
      <c r="L23" s="15" t="s">
        <v>217</v>
      </c>
      <c r="M23" s="15"/>
    </row>
    <row r="24" spans="1:13" x14ac:dyDescent="0.25">
      <c r="A24" s="16">
        <v>46006</v>
      </c>
      <c r="B24" s="17" t="s">
        <v>69</v>
      </c>
      <c r="C24" s="15">
        <v>1</v>
      </c>
      <c r="D24" s="18"/>
      <c r="E24" s="15">
        <v>2580</v>
      </c>
      <c r="F24" s="15">
        <v>2119.5300000000002</v>
      </c>
      <c r="G24" s="15">
        <f t="shared" si="0"/>
        <v>460.4699999999998</v>
      </c>
      <c r="H24" s="15">
        <f t="shared" si="1"/>
        <v>2580</v>
      </c>
      <c r="I24" s="15">
        <f t="shared" si="2"/>
        <v>2119.5300000000002</v>
      </c>
      <c r="J24" s="15">
        <f t="shared" si="3"/>
        <v>460.4699999999998</v>
      </c>
      <c r="K24" s="19">
        <f t="shared" si="4"/>
        <v>0.21725099432421327</v>
      </c>
      <c r="L24" s="15" t="s">
        <v>217</v>
      </c>
      <c r="M24" s="15"/>
    </row>
    <row r="25" spans="1:13" x14ac:dyDescent="0.25">
      <c r="A25" s="16">
        <v>45995</v>
      </c>
      <c r="B25" s="17" t="s">
        <v>34</v>
      </c>
      <c r="C25" s="15">
        <v>2</v>
      </c>
      <c r="D25" s="18"/>
      <c r="E25" s="15">
        <v>2700</v>
      </c>
      <c r="F25" s="15">
        <v>2439.9</v>
      </c>
      <c r="G25" s="15">
        <f t="shared" si="0"/>
        <v>260.09999999999991</v>
      </c>
      <c r="H25" s="15">
        <f t="shared" si="1"/>
        <v>5400</v>
      </c>
      <c r="I25" s="15">
        <f t="shared" si="2"/>
        <v>4879.8</v>
      </c>
      <c r="J25" s="15">
        <f t="shared" si="3"/>
        <v>520.19999999999982</v>
      </c>
      <c r="K25" s="19">
        <f t="shared" si="4"/>
        <v>0.10660272962006635</v>
      </c>
      <c r="L25" s="15" t="s">
        <v>217</v>
      </c>
      <c r="M25" s="15"/>
    </row>
    <row r="26" spans="1:13" x14ac:dyDescent="0.25">
      <c r="A26" s="16">
        <v>46016</v>
      </c>
      <c r="B26" s="28" t="s">
        <v>142</v>
      </c>
      <c r="C26" s="15">
        <v>1</v>
      </c>
      <c r="D26" s="18"/>
      <c r="E26" s="15">
        <v>2700</v>
      </c>
      <c r="F26" s="15">
        <v>2439.9</v>
      </c>
      <c r="G26" s="15">
        <f t="shared" si="0"/>
        <v>260.09999999999991</v>
      </c>
      <c r="H26" s="15">
        <f t="shared" si="1"/>
        <v>2700</v>
      </c>
      <c r="I26" s="15">
        <f t="shared" si="2"/>
        <v>2439.9</v>
      </c>
      <c r="J26" s="15">
        <f t="shared" si="3"/>
        <v>260.09999999999991</v>
      </c>
      <c r="K26" s="19">
        <f t="shared" si="4"/>
        <v>0.10660272962006635</v>
      </c>
      <c r="L26" s="15" t="s">
        <v>217</v>
      </c>
      <c r="M26" s="15"/>
    </row>
    <row r="27" spans="1:13" x14ac:dyDescent="0.25">
      <c r="A27" s="16">
        <v>46000</v>
      </c>
      <c r="B27" s="17" t="s">
        <v>46</v>
      </c>
      <c r="C27" s="15">
        <v>1</v>
      </c>
      <c r="D27" s="18"/>
      <c r="E27" s="15">
        <v>2895</v>
      </c>
      <c r="F27" s="15">
        <v>2673.29</v>
      </c>
      <c r="G27" s="15">
        <f t="shared" si="0"/>
        <v>221.71000000000004</v>
      </c>
      <c r="H27" s="15">
        <f t="shared" si="1"/>
        <v>2895</v>
      </c>
      <c r="I27" s="15">
        <f t="shared" si="2"/>
        <v>2673.29</v>
      </c>
      <c r="J27" s="15">
        <f t="shared" si="3"/>
        <v>221.71000000000004</v>
      </c>
      <c r="K27" s="19">
        <f t="shared" si="4"/>
        <v>8.2935259549094947E-2</v>
      </c>
      <c r="L27" s="15" t="s">
        <v>217</v>
      </c>
      <c r="M27" s="15"/>
    </row>
    <row r="28" spans="1:13" x14ac:dyDescent="0.25">
      <c r="A28" s="16">
        <v>46017</v>
      </c>
      <c r="B28" s="29" t="s">
        <v>46</v>
      </c>
      <c r="C28" s="15">
        <v>2</v>
      </c>
      <c r="D28" s="18"/>
      <c r="E28" s="15">
        <v>2850</v>
      </c>
      <c r="F28" s="15">
        <v>2673.29</v>
      </c>
      <c r="G28" s="15">
        <f t="shared" si="0"/>
        <v>176.71000000000004</v>
      </c>
      <c r="H28" s="15">
        <f t="shared" si="1"/>
        <v>5700</v>
      </c>
      <c r="I28" s="15">
        <f t="shared" si="2"/>
        <v>5346.58</v>
      </c>
      <c r="J28" s="15">
        <f t="shared" si="3"/>
        <v>353.42000000000007</v>
      </c>
      <c r="K28" s="19">
        <f t="shared" si="4"/>
        <v>6.6102068986155657E-2</v>
      </c>
      <c r="L28" s="15" t="s">
        <v>217</v>
      </c>
      <c r="M28" s="15"/>
    </row>
    <row r="29" spans="1:13" x14ac:dyDescent="0.25">
      <c r="A29" s="16">
        <v>46018</v>
      </c>
      <c r="B29" s="29" t="s">
        <v>46</v>
      </c>
      <c r="C29" s="15">
        <v>3</v>
      </c>
      <c r="D29" s="18"/>
      <c r="E29" s="15">
        <v>2850</v>
      </c>
      <c r="F29" s="15">
        <v>2673.29</v>
      </c>
      <c r="G29" s="15">
        <f t="shared" si="0"/>
        <v>176.71000000000004</v>
      </c>
      <c r="H29" s="15">
        <f t="shared" si="1"/>
        <v>8550</v>
      </c>
      <c r="I29" s="15">
        <f t="shared" si="2"/>
        <v>8019.87</v>
      </c>
      <c r="J29" s="15">
        <f t="shared" si="3"/>
        <v>530.13000000000011</v>
      </c>
      <c r="K29" s="19">
        <f t="shared" si="4"/>
        <v>6.6102068986155657E-2</v>
      </c>
      <c r="L29" s="15" t="s">
        <v>217</v>
      </c>
      <c r="M29" s="15"/>
    </row>
    <row r="30" spans="1:13" x14ac:dyDescent="0.25">
      <c r="A30" s="16">
        <v>46018</v>
      </c>
      <c r="B30" s="29" t="s">
        <v>46</v>
      </c>
      <c r="C30" s="15">
        <v>1</v>
      </c>
      <c r="D30" s="18"/>
      <c r="E30" s="15">
        <v>2850</v>
      </c>
      <c r="F30" s="15">
        <v>2673.29</v>
      </c>
      <c r="G30" s="15">
        <f t="shared" si="0"/>
        <v>176.71000000000004</v>
      </c>
      <c r="H30" s="15">
        <f t="shared" si="1"/>
        <v>2850</v>
      </c>
      <c r="I30" s="15">
        <f t="shared" si="2"/>
        <v>2673.29</v>
      </c>
      <c r="J30" s="15">
        <f t="shared" si="3"/>
        <v>176.71000000000004</v>
      </c>
      <c r="K30" s="19">
        <f t="shared" si="4"/>
        <v>6.6102068986155657E-2</v>
      </c>
      <c r="L30" s="15" t="s">
        <v>217</v>
      </c>
      <c r="M30" s="15"/>
    </row>
    <row r="31" spans="1:13" x14ac:dyDescent="0.25">
      <c r="A31" s="16">
        <v>45997</v>
      </c>
      <c r="B31" s="17" t="s">
        <v>41</v>
      </c>
      <c r="C31" s="15">
        <v>3</v>
      </c>
      <c r="D31" s="18"/>
      <c r="E31" s="15">
        <v>1350</v>
      </c>
      <c r="F31" s="15">
        <v>1141.97</v>
      </c>
      <c r="G31" s="15">
        <f t="shared" si="0"/>
        <v>208.02999999999997</v>
      </c>
      <c r="H31" s="15">
        <f t="shared" si="1"/>
        <v>4050</v>
      </c>
      <c r="I31" s="15">
        <f t="shared" si="2"/>
        <v>3425.91</v>
      </c>
      <c r="J31" s="15">
        <f t="shared" si="3"/>
        <v>624.09000000000015</v>
      </c>
      <c r="K31" s="19">
        <f t="shared" si="4"/>
        <v>0.18216765764424631</v>
      </c>
      <c r="L31" s="15" t="s">
        <v>217</v>
      </c>
      <c r="M31" s="15"/>
    </row>
    <row r="32" spans="1:13" x14ac:dyDescent="0.25">
      <c r="A32" s="16">
        <v>46003</v>
      </c>
      <c r="B32" s="20" t="s">
        <v>41</v>
      </c>
      <c r="C32" s="15">
        <v>2</v>
      </c>
      <c r="D32" s="18"/>
      <c r="E32" s="15">
        <v>1400</v>
      </c>
      <c r="F32" s="15">
        <v>1141.97</v>
      </c>
      <c r="G32" s="15">
        <f t="shared" si="0"/>
        <v>258.02999999999997</v>
      </c>
      <c r="H32" s="15">
        <f t="shared" si="1"/>
        <v>2800</v>
      </c>
      <c r="I32" s="15">
        <f t="shared" si="2"/>
        <v>2283.94</v>
      </c>
      <c r="J32" s="15">
        <f t="shared" si="3"/>
        <v>516.05999999999995</v>
      </c>
      <c r="K32" s="19">
        <f t="shared" si="4"/>
        <v>0.22595164496440359</v>
      </c>
      <c r="L32" s="15" t="s">
        <v>217</v>
      </c>
      <c r="M32" s="15"/>
    </row>
    <row r="33" spans="1:13" x14ac:dyDescent="0.25">
      <c r="A33" s="16">
        <v>46006</v>
      </c>
      <c r="B33" s="17" t="s">
        <v>41</v>
      </c>
      <c r="C33" s="15">
        <v>3</v>
      </c>
      <c r="D33" s="18"/>
      <c r="E33" s="15">
        <v>1400</v>
      </c>
      <c r="F33" s="15">
        <v>1141.97</v>
      </c>
      <c r="G33" s="15">
        <f t="shared" si="0"/>
        <v>258.02999999999997</v>
      </c>
      <c r="H33" s="15">
        <f t="shared" si="1"/>
        <v>4200</v>
      </c>
      <c r="I33" s="15">
        <f t="shared" si="2"/>
        <v>3425.91</v>
      </c>
      <c r="J33" s="15">
        <f t="shared" si="3"/>
        <v>774.09000000000015</v>
      </c>
      <c r="K33" s="19">
        <f t="shared" si="4"/>
        <v>0.22595164496440359</v>
      </c>
      <c r="L33" s="15" t="s">
        <v>217</v>
      </c>
      <c r="M33" s="15"/>
    </row>
    <row r="34" spans="1:13" x14ac:dyDescent="0.25">
      <c r="A34" s="16">
        <v>46007</v>
      </c>
      <c r="B34" s="17" t="s">
        <v>41</v>
      </c>
      <c r="C34" s="15">
        <v>2</v>
      </c>
      <c r="D34" s="18"/>
      <c r="E34" s="15">
        <v>1400</v>
      </c>
      <c r="F34" s="15">
        <v>1141.97</v>
      </c>
      <c r="G34" s="15">
        <f t="shared" ref="G34:G65" si="5">E34-F34</f>
        <v>258.02999999999997</v>
      </c>
      <c r="H34" s="15">
        <f t="shared" ref="H34:H65" si="6">E34*C34</f>
        <v>2800</v>
      </c>
      <c r="I34" s="15">
        <f t="shared" ref="I34:I65" si="7">F34*C34</f>
        <v>2283.94</v>
      </c>
      <c r="J34" s="15">
        <f t="shared" ref="J34:J65" si="8">H34-I34</f>
        <v>516.05999999999995</v>
      </c>
      <c r="K34" s="19">
        <f t="shared" ref="K34:K65" si="9">(E34-F34)/F34</f>
        <v>0.22595164496440359</v>
      </c>
      <c r="L34" s="15" t="s">
        <v>217</v>
      </c>
      <c r="M34" s="15"/>
    </row>
    <row r="35" spans="1:13" x14ac:dyDescent="0.25">
      <c r="A35" s="16">
        <v>46011</v>
      </c>
      <c r="B35" s="17" t="s">
        <v>41</v>
      </c>
      <c r="C35" s="15">
        <v>3</v>
      </c>
      <c r="D35" s="18"/>
      <c r="E35" s="15">
        <v>1400</v>
      </c>
      <c r="F35" s="15">
        <v>1141.97</v>
      </c>
      <c r="G35" s="15">
        <f t="shared" si="5"/>
        <v>258.02999999999997</v>
      </c>
      <c r="H35" s="15">
        <f t="shared" si="6"/>
        <v>4200</v>
      </c>
      <c r="I35" s="15">
        <f t="shared" si="7"/>
        <v>3425.91</v>
      </c>
      <c r="J35" s="15">
        <f t="shared" si="8"/>
        <v>774.09000000000015</v>
      </c>
      <c r="K35" s="19">
        <f t="shared" si="9"/>
        <v>0.22595164496440359</v>
      </c>
      <c r="L35" s="15" t="s">
        <v>217</v>
      </c>
      <c r="M35" s="15"/>
    </row>
    <row r="36" spans="1:13" x14ac:dyDescent="0.25">
      <c r="A36" s="16">
        <v>46013</v>
      </c>
      <c r="B36" s="20" t="s">
        <v>41</v>
      </c>
      <c r="C36" s="15">
        <v>4</v>
      </c>
      <c r="D36" s="18"/>
      <c r="E36" s="15">
        <v>1400</v>
      </c>
      <c r="F36" s="15">
        <v>1141.97</v>
      </c>
      <c r="G36" s="15">
        <f t="shared" si="5"/>
        <v>258.02999999999997</v>
      </c>
      <c r="H36" s="15">
        <f t="shared" si="6"/>
        <v>5600</v>
      </c>
      <c r="I36" s="15">
        <f t="shared" si="7"/>
        <v>4567.88</v>
      </c>
      <c r="J36" s="15">
        <f t="shared" si="8"/>
        <v>1032.1199999999999</v>
      </c>
      <c r="K36" s="19">
        <f t="shared" si="9"/>
        <v>0.22595164496440359</v>
      </c>
      <c r="L36" s="15" t="s">
        <v>217</v>
      </c>
      <c r="M36" s="15"/>
    </row>
    <row r="37" spans="1:13" x14ac:dyDescent="0.25">
      <c r="A37" s="16">
        <v>46015</v>
      </c>
      <c r="B37" s="20" t="s">
        <v>41</v>
      </c>
      <c r="C37" s="15">
        <v>3</v>
      </c>
      <c r="D37" s="18"/>
      <c r="E37" s="15">
        <v>1400</v>
      </c>
      <c r="F37" s="15">
        <v>1141.97</v>
      </c>
      <c r="G37" s="15">
        <f t="shared" si="5"/>
        <v>258.02999999999997</v>
      </c>
      <c r="H37" s="15">
        <f t="shared" si="6"/>
        <v>4200</v>
      </c>
      <c r="I37" s="15">
        <f t="shared" si="7"/>
        <v>3425.91</v>
      </c>
      <c r="J37" s="15">
        <f t="shared" si="8"/>
        <v>774.09000000000015</v>
      </c>
      <c r="K37" s="19">
        <f t="shared" si="9"/>
        <v>0.22595164496440359</v>
      </c>
      <c r="L37" s="15" t="s">
        <v>217</v>
      </c>
      <c r="M37" s="15"/>
    </row>
    <row r="38" spans="1:13" x14ac:dyDescent="0.25">
      <c r="A38" s="16">
        <v>46015</v>
      </c>
      <c r="B38" s="20" t="s">
        <v>41</v>
      </c>
      <c r="C38" s="15">
        <v>3</v>
      </c>
      <c r="D38" s="18"/>
      <c r="E38" s="15">
        <v>1440</v>
      </c>
      <c r="F38" s="15">
        <v>1141.97</v>
      </c>
      <c r="G38" s="15">
        <f t="shared" si="5"/>
        <v>298.02999999999997</v>
      </c>
      <c r="H38" s="15">
        <f t="shared" si="6"/>
        <v>4320</v>
      </c>
      <c r="I38" s="15">
        <f t="shared" si="7"/>
        <v>3425.91</v>
      </c>
      <c r="J38" s="15">
        <f t="shared" si="8"/>
        <v>894.09000000000015</v>
      </c>
      <c r="K38" s="19">
        <f t="shared" si="9"/>
        <v>0.26097883482052942</v>
      </c>
      <c r="L38" s="15" t="s">
        <v>217</v>
      </c>
      <c r="M38" s="15"/>
    </row>
    <row r="39" spans="1:13" x14ac:dyDescent="0.25">
      <c r="A39" s="16">
        <v>45997</v>
      </c>
      <c r="B39" s="17" t="s">
        <v>39</v>
      </c>
      <c r="C39" s="15">
        <v>2</v>
      </c>
      <c r="D39" s="18"/>
      <c r="E39" s="30">
        <v>3520</v>
      </c>
      <c r="F39" s="15">
        <v>2954.8</v>
      </c>
      <c r="G39" s="15">
        <f t="shared" si="5"/>
        <v>565.19999999999982</v>
      </c>
      <c r="H39" s="15">
        <f t="shared" si="6"/>
        <v>7040</v>
      </c>
      <c r="I39" s="15">
        <f t="shared" si="7"/>
        <v>5909.6</v>
      </c>
      <c r="J39" s="15">
        <f t="shared" si="8"/>
        <v>1130.3999999999996</v>
      </c>
      <c r="K39" s="19">
        <f t="shared" si="9"/>
        <v>0.19128198186002429</v>
      </c>
      <c r="L39" s="15" t="s">
        <v>217</v>
      </c>
      <c r="M39" s="15"/>
    </row>
    <row r="40" spans="1:13" x14ac:dyDescent="0.25">
      <c r="A40" s="16">
        <v>46000</v>
      </c>
      <c r="B40" s="17" t="s">
        <v>39</v>
      </c>
      <c r="C40" s="15">
        <v>3</v>
      </c>
      <c r="D40" s="18"/>
      <c r="E40" s="15">
        <v>3520</v>
      </c>
      <c r="F40" s="15">
        <v>2954.8</v>
      </c>
      <c r="G40" s="15">
        <f t="shared" si="5"/>
        <v>565.19999999999982</v>
      </c>
      <c r="H40" s="15">
        <f t="shared" si="6"/>
        <v>10560</v>
      </c>
      <c r="I40" s="15">
        <f t="shared" si="7"/>
        <v>8864.4000000000015</v>
      </c>
      <c r="J40" s="15">
        <f t="shared" si="8"/>
        <v>1695.5999999999985</v>
      </c>
      <c r="K40" s="19">
        <f t="shared" si="9"/>
        <v>0.19128198186002429</v>
      </c>
      <c r="L40" s="15" t="s">
        <v>217</v>
      </c>
      <c r="M40" s="15"/>
    </row>
    <row r="41" spans="1:13" x14ac:dyDescent="0.25">
      <c r="A41" s="16">
        <v>46000</v>
      </c>
      <c r="B41" s="17" t="s">
        <v>39</v>
      </c>
      <c r="C41" s="15">
        <v>3</v>
      </c>
      <c r="D41" s="18"/>
      <c r="E41" s="15">
        <v>3520</v>
      </c>
      <c r="F41" s="15">
        <v>2954.8</v>
      </c>
      <c r="G41" s="15">
        <f t="shared" si="5"/>
        <v>565.19999999999982</v>
      </c>
      <c r="H41" s="15">
        <f t="shared" si="6"/>
        <v>10560</v>
      </c>
      <c r="I41" s="15">
        <f t="shared" si="7"/>
        <v>8864.4000000000015</v>
      </c>
      <c r="J41" s="15">
        <f t="shared" si="8"/>
        <v>1695.5999999999985</v>
      </c>
      <c r="K41" s="19">
        <f t="shared" si="9"/>
        <v>0.19128198186002429</v>
      </c>
      <c r="L41" s="15" t="s">
        <v>217</v>
      </c>
      <c r="M41" s="15"/>
    </row>
    <row r="42" spans="1:13" x14ac:dyDescent="0.25">
      <c r="A42" s="16">
        <v>46001</v>
      </c>
      <c r="B42" s="17" t="s">
        <v>39</v>
      </c>
      <c r="C42" s="15">
        <v>2</v>
      </c>
      <c r="D42" s="18"/>
      <c r="E42" s="15">
        <v>3520</v>
      </c>
      <c r="F42" s="15">
        <v>2954.8</v>
      </c>
      <c r="G42" s="15">
        <f t="shared" si="5"/>
        <v>565.19999999999982</v>
      </c>
      <c r="H42" s="15">
        <f t="shared" si="6"/>
        <v>7040</v>
      </c>
      <c r="I42" s="15">
        <f t="shared" si="7"/>
        <v>5909.6</v>
      </c>
      <c r="J42" s="15">
        <f t="shared" si="8"/>
        <v>1130.3999999999996</v>
      </c>
      <c r="K42" s="19">
        <f t="shared" si="9"/>
        <v>0.19128198186002429</v>
      </c>
      <c r="L42" s="15" t="s">
        <v>217</v>
      </c>
      <c r="M42" s="15"/>
    </row>
    <row r="43" spans="1:13" x14ac:dyDescent="0.25">
      <c r="A43" s="16">
        <v>46001</v>
      </c>
      <c r="B43" s="17" t="s">
        <v>39</v>
      </c>
      <c r="C43" s="15">
        <v>1</v>
      </c>
      <c r="D43" s="18"/>
      <c r="E43" s="30">
        <v>3550</v>
      </c>
      <c r="F43" s="15">
        <v>2954.8</v>
      </c>
      <c r="G43" s="15">
        <f t="shared" si="5"/>
        <v>595.19999999999982</v>
      </c>
      <c r="H43" s="15">
        <f t="shared" si="6"/>
        <v>3550</v>
      </c>
      <c r="I43" s="15">
        <f t="shared" si="7"/>
        <v>2954.8</v>
      </c>
      <c r="J43" s="15">
        <f t="shared" si="8"/>
        <v>595.19999999999982</v>
      </c>
      <c r="K43" s="19">
        <f t="shared" si="9"/>
        <v>0.20143495329633132</v>
      </c>
      <c r="L43" s="15" t="s">
        <v>217</v>
      </c>
      <c r="M43" s="15"/>
    </row>
    <row r="44" spans="1:13" x14ac:dyDescent="0.25">
      <c r="A44" s="16">
        <v>46000</v>
      </c>
      <c r="B44" s="17" t="s">
        <v>49</v>
      </c>
      <c r="C44" s="15">
        <v>7</v>
      </c>
      <c r="D44" s="18"/>
      <c r="E44" s="15">
        <v>1710</v>
      </c>
      <c r="F44" s="15">
        <v>1644.42</v>
      </c>
      <c r="G44" s="15">
        <f t="shared" si="5"/>
        <v>65.579999999999927</v>
      </c>
      <c r="H44" s="15">
        <f t="shared" si="6"/>
        <v>11970</v>
      </c>
      <c r="I44" s="15">
        <f t="shared" si="7"/>
        <v>11510.94</v>
      </c>
      <c r="J44" s="15">
        <f t="shared" si="8"/>
        <v>459.05999999999949</v>
      </c>
      <c r="K44" s="19">
        <f t="shared" si="9"/>
        <v>3.9880322545335085E-2</v>
      </c>
      <c r="L44" s="15" t="s">
        <v>217</v>
      </c>
      <c r="M44" s="15"/>
    </row>
    <row r="45" spans="1:13" x14ac:dyDescent="0.25">
      <c r="A45" s="16">
        <v>46022</v>
      </c>
      <c r="B45" s="17" t="s">
        <v>214</v>
      </c>
      <c r="C45" s="15">
        <v>1</v>
      </c>
      <c r="D45" s="18"/>
      <c r="E45" s="15">
        <v>1740</v>
      </c>
      <c r="F45" s="15">
        <v>1644.42</v>
      </c>
      <c r="G45" s="15">
        <f t="shared" si="5"/>
        <v>95.579999999999927</v>
      </c>
      <c r="H45" s="15">
        <f t="shared" si="6"/>
        <v>1740</v>
      </c>
      <c r="I45" s="15">
        <f t="shared" si="7"/>
        <v>1644.42</v>
      </c>
      <c r="J45" s="15">
        <f t="shared" si="8"/>
        <v>95.579999999999927</v>
      </c>
      <c r="K45" s="19">
        <f t="shared" si="9"/>
        <v>5.8123836975955002E-2</v>
      </c>
      <c r="L45" s="15" t="s">
        <v>217</v>
      </c>
      <c r="M45" s="15"/>
    </row>
    <row r="46" spans="1:13" x14ac:dyDescent="0.25">
      <c r="A46" s="16">
        <v>46016</v>
      </c>
      <c r="B46" s="24" t="s">
        <v>178</v>
      </c>
      <c r="C46" s="15">
        <v>1</v>
      </c>
      <c r="D46" s="22">
        <v>354512324696729</v>
      </c>
      <c r="E46" s="15">
        <v>4825</v>
      </c>
      <c r="F46" s="15">
        <v>4472.25</v>
      </c>
      <c r="G46" s="15">
        <f t="shared" si="5"/>
        <v>352.75</v>
      </c>
      <c r="H46" s="15">
        <f t="shared" si="6"/>
        <v>4825</v>
      </c>
      <c r="I46" s="15">
        <f t="shared" si="7"/>
        <v>4472.25</v>
      </c>
      <c r="J46" s="15">
        <f t="shared" si="8"/>
        <v>352.75</v>
      </c>
      <c r="K46" s="19">
        <f t="shared" si="9"/>
        <v>7.8875286488903795E-2</v>
      </c>
      <c r="L46" s="15" t="s">
        <v>217</v>
      </c>
      <c r="M46" s="15"/>
    </row>
    <row r="47" spans="1:13" x14ac:dyDescent="0.25">
      <c r="A47" s="16">
        <v>46016</v>
      </c>
      <c r="B47" s="24" t="s">
        <v>178</v>
      </c>
      <c r="C47" s="15">
        <v>1</v>
      </c>
      <c r="D47" s="22">
        <v>354512327329559</v>
      </c>
      <c r="E47" s="15">
        <v>4825</v>
      </c>
      <c r="F47" s="15">
        <v>4472.25</v>
      </c>
      <c r="G47" s="15">
        <f t="shared" si="5"/>
        <v>352.75</v>
      </c>
      <c r="H47" s="15">
        <f t="shared" si="6"/>
        <v>4825</v>
      </c>
      <c r="I47" s="15">
        <f t="shared" si="7"/>
        <v>4472.25</v>
      </c>
      <c r="J47" s="15">
        <f t="shared" si="8"/>
        <v>352.75</v>
      </c>
      <c r="K47" s="19">
        <f t="shared" si="9"/>
        <v>7.8875286488903795E-2</v>
      </c>
      <c r="L47" s="15" t="s">
        <v>217</v>
      </c>
      <c r="M47" s="15"/>
    </row>
    <row r="48" spans="1:13" x14ac:dyDescent="0.25">
      <c r="A48" s="16">
        <v>46016</v>
      </c>
      <c r="B48" s="24" t="s">
        <v>178</v>
      </c>
      <c r="C48" s="15">
        <v>1</v>
      </c>
      <c r="D48" s="22">
        <v>357778144921632</v>
      </c>
      <c r="E48" s="15">
        <v>4925</v>
      </c>
      <c r="F48" s="15">
        <v>4432.8599999999997</v>
      </c>
      <c r="G48" s="15">
        <f t="shared" si="5"/>
        <v>492.14000000000033</v>
      </c>
      <c r="H48" s="15">
        <f t="shared" si="6"/>
        <v>4925</v>
      </c>
      <c r="I48" s="15">
        <f t="shared" si="7"/>
        <v>4432.8599999999997</v>
      </c>
      <c r="J48" s="15">
        <f t="shared" si="8"/>
        <v>492.14000000000033</v>
      </c>
      <c r="K48" s="19">
        <f t="shared" si="9"/>
        <v>0.11102087591306749</v>
      </c>
      <c r="L48" s="15" t="s">
        <v>217</v>
      </c>
      <c r="M48" s="15"/>
    </row>
    <row r="49" spans="1:13" x14ac:dyDescent="0.25">
      <c r="A49" s="16">
        <v>46016</v>
      </c>
      <c r="B49" s="24" t="s">
        <v>178</v>
      </c>
      <c r="C49" s="15">
        <v>1</v>
      </c>
      <c r="D49" s="22">
        <v>357778142218593</v>
      </c>
      <c r="E49" s="15">
        <v>4925</v>
      </c>
      <c r="F49" s="15">
        <v>4432.8599999999997</v>
      </c>
      <c r="G49" s="15">
        <f t="shared" si="5"/>
        <v>492.14000000000033</v>
      </c>
      <c r="H49" s="15">
        <f t="shared" si="6"/>
        <v>4925</v>
      </c>
      <c r="I49" s="15">
        <f t="shared" si="7"/>
        <v>4432.8599999999997</v>
      </c>
      <c r="J49" s="15">
        <f t="shared" si="8"/>
        <v>492.14000000000033</v>
      </c>
      <c r="K49" s="19">
        <f t="shared" si="9"/>
        <v>0.11102087591306749</v>
      </c>
      <c r="L49" s="15" t="s">
        <v>217</v>
      </c>
      <c r="M49" s="15"/>
    </row>
    <row r="50" spans="1:13" x14ac:dyDescent="0.25">
      <c r="A50" s="16">
        <v>46015</v>
      </c>
      <c r="B50" s="20" t="s">
        <v>14</v>
      </c>
      <c r="C50" s="15">
        <v>1</v>
      </c>
      <c r="D50" s="18">
        <v>354512324908462</v>
      </c>
      <c r="E50" s="15">
        <v>5316.45</v>
      </c>
      <c r="F50" s="15">
        <v>4432.8599999999997</v>
      </c>
      <c r="G50" s="15">
        <f t="shared" si="5"/>
        <v>883.59000000000015</v>
      </c>
      <c r="H50" s="15">
        <f t="shared" si="6"/>
        <v>5316.45</v>
      </c>
      <c r="I50" s="15">
        <f t="shared" si="7"/>
        <v>4432.8599999999997</v>
      </c>
      <c r="J50" s="15">
        <f t="shared" si="8"/>
        <v>883.59000000000015</v>
      </c>
      <c r="K50" s="19">
        <f t="shared" si="9"/>
        <v>0.19932729659858425</v>
      </c>
      <c r="L50" s="15" t="s">
        <v>217</v>
      </c>
      <c r="M50" s="15"/>
    </row>
    <row r="51" spans="1:13" x14ac:dyDescent="0.25">
      <c r="A51" s="16">
        <v>45996</v>
      </c>
      <c r="B51" s="17" t="s">
        <v>36</v>
      </c>
      <c r="C51" s="15">
        <v>65</v>
      </c>
      <c r="D51" s="18"/>
      <c r="E51" s="15">
        <v>345</v>
      </c>
      <c r="F51" s="15">
        <v>263.76</v>
      </c>
      <c r="G51" s="15">
        <f t="shared" si="5"/>
        <v>81.240000000000009</v>
      </c>
      <c r="H51" s="15">
        <f t="shared" si="6"/>
        <v>22425</v>
      </c>
      <c r="I51" s="15">
        <f t="shared" si="7"/>
        <v>17144.399999999998</v>
      </c>
      <c r="J51" s="15">
        <f t="shared" si="8"/>
        <v>5280.6000000000022</v>
      </c>
      <c r="K51" s="19">
        <f t="shared" si="9"/>
        <v>0.308007279344859</v>
      </c>
      <c r="L51" s="15" t="s">
        <v>217</v>
      </c>
      <c r="M51" s="15"/>
    </row>
    <row r="52" spans="1:13" x14ac:dyDescent="0.25">
      <c r="A52" s="16">
        <v>46001</v>
      </c>
      <c r="B52" s="20" t="s">
        <v>36</v>
      </c>
      <c r="C52" s="15">
        <v>15</v>
      </c>
      <c r="D52" s="18"/>
      <c r="E52" s="15">
        <v>348</v>
      </c>
      <c r="F52" s="15">
        <v>263.76</v>
      </c>
      <c r="G52" s="15">
        <f t="shared" si="5"/>
        <v>84.240000000000009</v>
      </c>
      <c r="H52" s="15">
        <f t="shared" si="6"/>
        <v>5220</v>
      </c>
      <c r="I52" s="15">
        <f t="shared" si="7"/>
        <v>3956.3999999999996</v>
      </c>
      <c r="J52" s="15">
        <f t="shared" si="8"/>
        <v>1263.6000000000004</v>
      </c>
      <c r="K52" s="19">
        <f t="shared" si="9"/>
        <v>0.31938125568698822</v>
      </c>
      <c r="L52" s="15" t="s">
        <v>217</v>
      </c>
      <c r="M52" s="15"/>
    </row>
    <row r="53" spans="1:13" x14ac:dyDescent="0.25">
      <c r="A53" s="16">
        <v>46001</v>
      </c>
      <c r="B53" s="20" t="s">
        <v>36</v>
      </c>
      <c r="C53" s="15">
        <v>9</v>
      </c>
      <c r="D53" s="18"/>
      <c r="E53" s="15">
        <v>348</v>
      </c>
      <c r="F53" s="15">
        <v>263.76</v>
      </c>
      <c r="G53" s="15">
        <f t="shared" si="5"/>
        <v>84.240000000000009</v>
      </c>
      <c r="H53" s="15">
        <f t="shared" si="6"/>
        <v>3132</v>
      </c>
      <c r="I53" s="15">
        <f t="shared" si="7"/>
        <v>2373.84</v>
      </c>
      <c r="J53" s="15">
        <f t="shared" si="8"/>
        <v>758.15999999999985</v>
      </c>
      <c r="K53" s="19">
        <f t="shared" si="9"/>
        <v>0.31938125568698822</v>
      </c>
      <c r="L53" s="15" t="s">
        <v>217</v>
      </c>
      <c r="M53" s="15"/>
    </row>
    <row r="54" spans="1:13" x14ac:dyDescent="0.25">
      <c r="A54" s="16">
        <v>46010</v>
      </c>
      <c r="B54" s="20" t="s">
        <v>36</v>
      </c>
      <c r="C54" s="15">
        <v>64</v>
      </c>
      <c r="D54" s="18"/>
      <c r="E54" s="15">
        <v>345</v>
      </c>
      <c r="F54" s="15">
        <v>275.69</v>
      </c>
      <c r="G54" s="15">
        <f t="shared" si="5"/>
        <v>69.31</v>
      </c>
      <c r="H54" s="15">
        <f t="shared" si="6"/>
        <v>22080</v>
      </c>
      <c r="I54" s="15">
        <f t="shared" si="7"/>
        <v>17644.16</v>
      </c>
      <c r="J54" s="15">
        <f t="shared" si="8"/>
        <v>4435.84</v>
      </c>
      <c r="K54" s="19">
        <f t="shared" si="9"/>
        <v>0.25140556422068266</v>
      </c>
      <c r="L54" s="15" t="s">
        <v>217</v>
      </c>
      <c r="M54" s="15"/>
    </row>
    <row r="55" spans="1:13" x14ac:dyDescent="0.25">
      <c r="A55" s="16">
        <v>46022</v>
      </c>
      <c r="B55" s="29" t="s">
        <v>36</v>
      </c>
      <c r="C55" s="15">
        <v>31</v>
      </c>
      <c r="D55" s="18"/>
      <c r="E55" s="15">
        <v>343</v>
      </c>
      <c r="F55" s="15">
        <v>276.94</v>
      </c>
      <c r="G55" s="15">
        <f t="shared" si="5"/>
        <v>66.06</v>
      </c>
      <c r="H55" s="15">
        <f t="shared" si="6"/>
        <v>10633</v>
      </c>
      <c r="I55" s="15">
        <f t="shared" si="7"/>
        <v>8585.14</v>
      </c>
      <c r="J55" s="15">
        <f t="shared" si="8"/>
        <v>2047.8600000000006</v>
      </c>
      <c r="K55" s="19">
        <f t="shared" si="9"/>
        <v>0.23853542283527118</v>
      </c>
      <c r="L55" s="15" t="s">
        <v>217</v>
      </c>
      <c r="M55" s="15"/>
    </row>
    <row r="56" spans="1:13" x14ac:dyDescent="0.25">
      <c r="A56" s="16">
        <v>46022</v>
      </c>
      <c r="B56" s="29" t="s">
        <v>36</v>
      </c>
      <c r="C56" s="15">
        <v>42</v>
      </c>
      <c r="D56" s="18"/>
      <c r="E56" s="15">
        <v>343</v>
      </c>
      <c r="F56" s="15">
        <v>276.94</v>
      </c>
      <c r="G56" s="15">
        <f t="shared" si="5"/>
        <v>66.06</v>
      </c>
      <c r="H56" s="15">
        <f t="shared" si="6"/>
        <v>14406</v>
      </c>
      <c r="I56" s="15">
        <f t="shared" si="7"/>
        <v>11631.48</v>
      </c>
      <c r="J56" s="15">
        <f t="shared" si="8"/>
        <v>2774.5200000000004</v>
      </c>
      <c r="K56" s="19">
        <f t="shared" si="9"/>
        <v>0.23853542283527118</v>
      </c>
      <c r="L56" s="15" t="s">
        <v>217</v>
      </c>
      <c r="M56" s="15"/>
    </row>
    <row r="57" spans="1:13" x14ac:dyDescent="0.25">
      <c r="A57" s="16">
        <v>45996</v>
      </c>
      <c r="B57" s="17" t="s">
        <v>37</v>
      </c>
      <c r="C57" s="15">
        <v>10</v>
      </c>
      <c r="D57" s="18"/>
      <c r="E57" s="15">
        <v>1150</v>
      </c>
      <c r="F57" s="15">
        <v>958.53</v>
      </c>
      <c r="G57" s="15">
        <f t="shared" si="5"/>
        <v>191.47000000000003</v>
      </c>
      <c r="H57" s="15">
        <f t="shared" si="6"/>
        <v>11500</v>
      </c>
      <c r="I57" s="15">
        <f t="shared" si="7"/>
        <v>9585.2999999999993</v>
      </c>
      <c r="J57" s="15">
        <f t="shared" si="8"/>
        <v>1914.7000000000007</v>
      </c>
      <c r="K57" s="19">
        <f t="shared" si="9"/>
        <v>0.1997537896570791</v>
      </c>
      <c r="L57" s="15" t="s">
        <v>217</v>
      </c>
      <c r="M57" s="15"/>
    </row>
    <row r="58" spans="1:13" x14ac:dyDescent="0.25">
      <c r="A58" s="16">
        <v>46002</v>
      </c>
      <c r="B58" s="20" t="s">
        <v>70</v>
      </c>
      <c r="C58" s="15">
        <v>5</v>
      </c>
      <c r="D58" s="18"/>
      <c r="E58" s="15">
        <v>1350</v>
      </c>
      <c r="F58" s="15">
        <v>1074.42</v>
      </c>
      <c r="G58" s="15">
        <f t="shared" si="5"/>
        <v>275.57999999999993</v>
      </c>
      <c r="H58" s="15">
        <f t="shared" si="6"/>
        <v>6750</v>
      </c>
      <c r="I58" s="15">
        <f t="shared" si="7"/>
        <v>5372.1</v>
      </c>
      <c r="J58" s="15">
        <f t="shared" si="8"/>
        <v>1377.8999999999996</v>
      </c>
      <c r="K58" s="19">
        <f t="shared" si="9"/>
        <v>0.25649187468587692</v>
      </c>
      <c r="L58" s="15" t="s">
        <v>217</v>
      </c>
      <c r="M58" s="15"/>
    </row>
    <row r="59" spans="1:13" x14ac:dyDescent="0.25">
      <c r="A59" s="16">
        <v>45996</v>
      </c>
      <c r="B59" s="17" t="s">
        <v>35</v>
      </c>
      <c r="C59" s="15">
        <v>1</v>
      </c>
      <c r="D59" s="18"/>
      <c r="E59" s="15">
        <v>1220</v>
      </c>
      <c r="F59" s="15">
        <v>842.11</v>
      </c>
      <c r="G59" s="15">
        <f t="shared" si="5"/>
        <v>377.89</v>
      </c>
      <c r="H59" s="15">
        <f t="shared" si="6"/>
        <v>1220</v>
      </c>
      <c r="I59" s="15">
        <f t="shared" si="7"/>
        <v>842.11</v>
      </c>
      <c r="J59" s="15">
        <f t="shared" si="8"/>
        <v>377.89</v>
      </c>
      <c r="K59" s="19">
        <f t="shared" si="9"/>
        <v>0.44874185082708906</v>
      </c>
      <c r="L59" s="15" t="s">
        <v>217</v>
      </c>
      <c r="M59" s="15"/>
    </row>
    <row r="60" spans="1:13" x14ac:dyDescent="0.25">
      <c r="A60" s="16">
        <v>45996</v>
      </c>
      <c r="B60" s="17" t="s">
        <v>35</v>
      </c>
      <c r="C60" s="15">
        <v>2</v>
      </c>
      <c r="D60" s="18"/>
      <c r="E60" s="15">
        <v>1210</v>
      </c>
      <c r="F60" s="15">
        <v>842.11</v>
      </c>
      <c r="G60" s="15">
        <f t="shared" si="5"/>
        <v>367.89</v>
      </c>
      <c r="H60" s="15">
        <f t="shared" si="6"/>
        <v>2420</v>
      </c>
      <c r="I60" s="15">
        <f t="shared" si="7"/>
        <v>1684.22</v>
      </c>
      <c r="J60" s="15">
        <f t="shared" si="8"/>
        <v>735.78</v>
      </c>
      <c r="K60" s="19">
        <f t="shared" si="9"/>
        <v>0.43686691762358837</v>
      </c>
      <c r="L60" s="15" t="s">
        <v>217</v>
      </c>
      <c r="M60" s="15"/>
    </row>
    <row r="61" spans="1:13" x14ac:dyDescent="0.25">
      <c r="A61" s="16">
        <v>45997</v>
      </c>
      <c r="B61" s="17" t="s">
        <v>35</v>
      </c>
      <c r="C61" s="15">
        <v>20</v>
      </c>
      <c r="D61" s="18"/>
      <c r="E61" s="15">
        <v>1210</v>
      </c>
      <c r="F61" s="15">
        <v>842.11</v>
      </c>
      <c r="G61" s="15">
        <f t="shared" si="5"/>
        <v>367.89</v>
      </c>
      <c r="H61" s="15">
        <f t="shared" si="6"/>
        <v>24200</v>
      </c>
      <c r="I61" s="15">
        <f t="shared" si="7"/>
        <v>16842.2</v>
      </c>
      <c r="J61" s="15">
        <f t="shared" si="8"/>
        <v>7357.7999999999993</v>
      </c>
      <c r="K61" s="19">
        <f t="shared" si="9"/>
        <v>0.43686691762358837</v>
      </c>
      <c r="L61" s="15" t="s">
        <v>217</v>
      </c>
      <c r="M61" s="15"/>
    </row>
    <row r="62" spans="1:13" x14ac:dyDescent="0.25">
      <c r="A62" s="16">
        <v>45997</v>
      </c>
      <c r="B62" s="17" t="s">
        <v>35</v>
      </c>
      <c r="C62" s="15">
        <v>10</v>
      </c>
      <c r="D62" s="18"/>
      <c r="E62" s="15">
        <v>1210</v>
      </c>
      <c r="F62" s="15">
        <v>842.11</v>
      </c>
      <c r="G62" s="15">
        <f t="shared" si="5"/>
        <v>367.89</v>
      </c>
      <c r="H62" s="15">
        <f t="shared" si="6"/>
        <v>12100</v>
      </c>
      <c r="I62" s="15">
        <f t="shared" si="7"/>
        <v>8421.1</v>
      </c>
      <c r="J62" s="15">
        <f t="shared" si="8"/>
        <v>3678.8999999999996</v>
      </c>
      <c r="K62" s="19">
        <f t="shared" si="9"/>
        <v>0.43686691762358837</v>
      </c>
      <c r="L62" s="15" t="s">
        <v>217</v>
      </c>
      <c r="M62" s="15"/>
    </row>
    <row r="63" spans="1:13" x14ac:dyDescent="0.25">
      <c r="A63" s="16">
        <v>45997</v>
      </c>
      <c r="B63" s="17" t="s">
        <v>35</v>
      </c>
      <c r="C63" s="15">
        <v>100</v>
      </c>
      <c r="D63" s="18"/>
      <c r="E63" s="15">
        <v>1190</v>
      </c>
      <c r="F63" s="15">
        <v>842.11</v>
      </c>
      <c r="G63" s="15">
        <f t="shared" si="5"/>
        <v>347.89</v>
      </c>
      <c r="H63" s="15">
        <f t="shared" si="6"/>
        <v>119000</v>
      </c>
      <c r="I63" s="15">
        <f t="shared" si="7"/>
        <v>84211</v>
      </c>
      <c r="J63" s="15">
        <f t="shared" si="8"/>
        <v>34789</v>
      </c>
      <c r="K63" s="19">
        <f t="shared" si="9"/>
        <v>0.41311705121658687</v>
      </c>
      <c r="L63" s="15" t="s">
        <v>217</v>
      </c>
      <c r="M63" s="15"/>
    </row>
    <row r="64" spans="1:13" x14ac:dyDescent="0.25">
      <c r="A64" s="16">
        <v>45999</v>
      </c>
      <c r="B64" s="17" t="s">
        <v>35</v>
      </c>
      <c r="C64" s="15">
        <v>1</v>
      </c>
      <c r="D64" s="18"/>
      <c r="E64" s="15">
        <v>1210</v>
      </c>
      <c r="F64" s="15">
        <v>842.11</v>
      </c>
      <c r="G64" s="15">
        <f t="shared" si="5"/>
        <v>367.89</v>
      </c>
      <c r="H64" s="15">
        <f t="shared" si="6"/>
        <v>1210</v>
      </c>
      <c r="I64" s="15">
        <f t="shared" si="7"/>
        <v>842.11</v>
      </c>
      <c r="J64" s="15">
        <f t="shared" si="8"/>
        <v>367.89</v>
      </c>
      <c r="K64" s="19">
        <f t="shared" si="9"/>
        <v>0.43686691762358837</v>
      </c>
      <c r="L64" s="15" t="s">
        <v>217</v>
      </c>
      <c r="M64" s="15"/>
    </row>
    <row r="65" spans="1:13" x14ac:dyDescent="0.25">
      <c r="A65" s="16">
        <v>45999</v>
      </c>
      <c r="B65" s="17" t="s">
        <v>35</v>
      </c>
      <c r="C65" s="15">
        <v>5</v>
      </c>
      <c r="D65" s="18"/>
      <c r="E65" s="15">
        <v>1210</v>
      </c>
      <c r="F65" s="15">
        <v>842.11</v>
      </c>
      <c r="G65" s="15">
        <f t="shared" si="5"/>
        <v>367.89</v>
      </c>
      <c r="H65" s="15">
        <f t="shared" si="6"/>
        <v>6050</v>
      </c>
      <c r="I65" s="15">
        <f t="shared" si="7"/>
        <v>4210.55</v>
      </c>
      <c r="J65" s="15">
        <f t="shared" si="8"/>
        <v>1839.4499999999998</v>
      </c>
      <c r="K65" s="19">
        <f t="shared" si="9"/>
        <v>0.43686691762358837</v>
      </c>
      <c r="L65" s="15" t="s">
        <v>217</v>
      </c>
      <c r="M65" s="15"/>
    </row>
    <row r="66" spans="1:13" x14ac:dyDescent="0.25">
      <c r="A66" s="16">
        <v>45999</v>
      </c>
      <c r="B66" s="17" t="s">
        <v>35</v>
      </c>
      <c r="C66" s="15">
        <v>1</v>
      </c>
      <c r="D66" s="18"/>
      <c r="E66" s="15">
        <v>1210</v>
      </c>
      <c r="F66" s="15">
        <v>842.11</v>
      </c>
      <c r="G66" s="15">
        <f t="shared" ref="G66:G81" si="10">E66-F66</f>
        <v>367.89</v>
      </c>
      <c r="H66" s="15">
        <f t="shared" ref="H66:H81" si="11">E66*C66</f>
        <v>1210</v>
      </c>
      <c r="I66" s="15">
        <f t="shared" ref="I66:I81" si="12">F66*C66</f>
        <v>842.11</v>
      </c>
      <c r="J66" s="15">
        <f t="shared" ref="J66:J81" si="13">H66-I66</f>
        <v>367.89</v>
      </c>
      <c r="K66" s="19">
        <f t="shared" ref="K66:K81" si="14">(E66-F66)/F66</f>
        <v>0.43686691762358837</v>
      </c>
      <c r="L66" s="15" t="s">
        <v>217</v>
      </c>
      <c r="M66" s="15"/>
    </row>
    <row r="67" spans="1:13" x14ac:dyDescent="0.25">
      <c r="A67" s="16">
        <v>45999</v>
      </c>
      <c r="B67" s="17" t="s">
        <v>35</v>
      </c>
      <c r="C67" s="15">
        <v>2</v>
      </c>
      <c r="D67" s="18"/>
      <c r="E67" s="15">
        <v>1210</v>
      </c>
      <c r="F67" s="15">
        <v>842.11</v>
      </c>
      <c r="G67" s="15">
        <f t="shared" si="10"/>
        <v>367.89</v>
      </c>
      <c r="H67" s="15">
        <f t="shared" si="11"/>
        <v>2420</v>
      </c>
      <c r="I67" s="15">
        <f t="shared" si="12"/>
        <v>1684.22</v>
      </c>
      <c r="J67" s="15">
        <f t="shared" si="13"/>
        <v>735.78</v>
      </c>
      <c r="K67" s="19">
        <f t="shared" si="14"/>
        <v>0.43686691762358837</v>
      </c>
      <c r="L67" s="15" t="s">
        <v>217</v>
      </c>
      <c r="M67" s="15"/>
    </row>
    <row r="68" spans="1:13" x14ac:dyDescent="0.25">
      <c r="A68" s="16">
        <v>45999</v>
      </c>
      <c r="B68" s="17" t="s">
        <v>35</v>
      </c>
      <c r="C68" s="15">
        <v>15</v>
      </c>
      <c r="D68" s="18"/>
      <c r="E68" s="15">
        <v>1210</v>
      </c>
      <c r="F68" s="15">
        <v>842.11</v>
      </c>
      <c r="G68" s="15">
        <f t="shared" si="10"/>
        <v>367.89</v>
      </c>
      <c r="H68" s="15">
        <f t="shared" si="11"/>
        <v>18150</v>
      </c>
      <c r="I68" s="15">
        <f t="shared" si="12"/>
        <v>12631.65</v>
      </c>
      <c r="J68" s="15">
        <f t="shared" si="13"/>
        <v>5518.35</v>
      </c>
      <c r="K68" s="19">
        <f t="shared" si="14"/>
        <v>0.43686691762358837</v>
      </c>
      <c r="L68" s="15" t="s">
        <v>217</v>
      </c>
      <c r="M68" s="15"/>
    </row>
    <row r="69" spans="1:13" x14ac:dyDescent="0.25">
      <c r="A69" s="16">
        <v>46000</v>
      </c>
      <c r="B69" s="17" t="s">
        <v>35</v>
      </c>
      <c r="C69" s="15">
        <v>1</v>
      </c>
      <c r="D69" s="18"/>
      <c r="E69" s="15">
        <v>1210</v>
      </c>
      <c r="F69" s="15">
        <v>842.11</v>
      </c>
      <c r="G69" s="15">
        <f t="shared" si="10"/>
        <v>367.89</v>
      </c>
      <c r="H69" s="15">
        <f t="shared" si="11"/>
        <v>1210</v>
      </c>
      <c r="I69" s="15">
        <f t="shared" si="12"/>
        <v>842.11</v>
      </c>
      <c r="J69" s="15">
        <f t="shared" si="13"/>
        <v>367.89</v>
      </c>
      <c r="K69" s="19">
        <f t="shared" si="14"/>
        <v>0.43686691762358837</v>
      </c>
      <c r="L69" s="15" t="s">
        <v>217</v>
      </c>
      <c r="M69" s="15"/>
    </row>
    <row r="70" spans="1:13" x14ac:dyDescent="0.25">
      <c r="A70" s="16">
        <v>46000</v>
      </c>
      <c r="B70" s="17" t="s">
        <v>35</v>
      </c>
      <c r="C70" s="15">
        <v>1</v>
      </c>
      <c r="D70" s="18"/>
      <c r="E70" s="15">
        <v>1210</v>
      </c>
      <c r="F70" s="15">
        <v>842.11</v>
      </c>
      <c r="G70" s="15">
        <f t="shared" si="10"/>
        <v>367.89</v>
      </c>
      <c r="H70" s="15">
        <f t="shared" si="11"/>
        <v>1210</v>
      </c>
      <c r="I70" s="15">
        <f t="shared" si="12"/>
        <v>842.11</v>
      </c>
      <c r="J70" s="15">
        <f t="shared" si="13"/>
        <v>367.89</v>
      </c>
      <c r="K70" s="19">
        <f t="shared" si="14"/>
        <v>0.43686691762358837</v>
      </c>
      <c r="L70" s="15" t="s">
        <v>217</v>
      </c>
      <c r="M70" s="15"/>
    </row>
    <row r="71" spans="1:13" x14ac:dyDescent="0.25">
      <c r="A71" s="16">
        <v>46000</v>
      </c>
      <c r="B71" s="17" t="s">
        <v>35</v>
      </c>
      <c r="C71" s="15">
        <v>40</v>
      </c>
      <c r="D71" s="18"/>
      <c r="E71" s="15">
        <v>1205</v>
      </c>
      <c r="F71" s="15">
        <v>842.11</v>
      </c>
      <c r="G71" s="15">
        <f t="shared" si="10"/>
        <v>362.89</v>
      </c>
      <c r="H71" s="15">
        <f t="shared" si="11"/>
        <v>48200</v>
      </c>
      <c r="I71" s="15">
        <f t="shared" si="12"/>
        <v>33684.400000000001</v>
      </c>
      <c r="J71" s="15">
        <f t="shared" si="13"/>
        <v>14515.599999999999</v>
      </c>
      <c r="K71" s="19">
        <f t="shared" si="14"/>
        <v>0.43092945102183799</v>
      </c>
      <c r="L71" s="15" t="s">
        <v>217</v>
      </c>
      <c r="M71" s="15"/>
    </row>
    <row r="72" spans="1:13" x14ac:dyDescent="0.25">
      <c r="A72" s="16">
        <v>46000</v>
      </c>
      <c r="B72" s="17" t="s">
        <v>35</v>
      </c>
      <c r="C72" s="15">
        <v>1</v>
      </c>
      <c r="D72" s="18"/>
      <c r="E72" s="15">
        <v>1210</v>
      </c>
      <c r="F72" s="15">
        <v>842.11</v>
      </c>
      <c r="G72" s="15">
        <f t="shared" si="10"/>
        <v>367.89</v>
      </c>
      <c r="H72" s="15">
        <f t="shared" si="11"/>
        <v>1210</v>
      </c>
      <c r="I72" s="15">
        <f t="shared" si="12"/>
        <v>842.11</v>
      </c>
      <c r="J72" s="15">
        <f t="shared" si="13"/>
        <v>367.89</v>
      </c>
      <c r="K72" s="19">
        <f t="shared" si="14"/>
        <v>0.43686691762358837</v>
      </c>
      <c r="L72" s="15" t="s">
        <v>217</v>
      </c>
      <c r="M72" s="15"/>
    </row>
    <row r="73" spans="1:13" x14ac:dyDescent="0.25">
      <c r="A73" s="16">
        <v>46000</v>
      </c>
      <c r="B73" s="17" t="s">
        <v>35</v>
      </c>
      <c r="C73" s="15">
        <v>2</v>
      </c>
      <c r="D73" s="18"/>
      <c r="E73" s="15">
        <v>1210</v>
      </c>
      <c r="F73" s="15">
        <v>842.11</v>
      </c>
      <c r="G73" s="15">
        <f t="shared" si="10"/>
        <v>367.89</v>
      </c>
      <c r="H73" s="15">
        <f t="shared" si="11"/>
        <v>2420</v>
      </c>
      <c r="I73" s="15">
        <f t="shared" si="12"/>
        <v>1684.22</v>
      </c>
      <c r="J73" s="15">
        <f t="shared" si="13"/>
        <v>735.78</v>
      </c>
      <c r="K73" s="19">
        <f t="shared" si="14"/>
        <v>0.43686691762358837</v>
      </c>
      <c r="L73" s="15" t="s">
        <v>217</v>
      </c>
      <c r="M73" s="15"/>
    </row>
    <row r="74" spans="1:13" x14ac:dyDescent="0.25">
      <c r="A74" s="16">
        <v>46001</v>
      </c>
      <c r="B74" s="17" t="s">
        <v>35</v>
      </c>
      <c r="C74" s="15">
        <v>127</v>
      </c>
      <c r="D74" s="18"/>
      <c r="E74" s="15">
        <v>1210</v>
      </c>
      <c r="F74" s="15">
        <v>842.11</v>
      </c>
      <c r="G74" s="15">
        <f t="shared" si="10"/>
        <v>367.89</v>
      </c>
      <c r="H74" s="15">
        <f t="shared" si="11"/>
        <v>153670</v>
      </c>
      <c r="I74" s="15">
        <f t="shared" si="12"/>
        <v>106947.97</v>
      </c>
      <c r="J74" s="15">
        <f t="shared" si="13"/>
        <v>46722.03</v>
      </c>
      <c r="K74" s="19">
        <f t="shared" si="14"/>
        <v>0.43686691762358837</v>
      </c>
      <c r="L74" s="15" t="s">
        <v>217</v>
      </c>
      <c r="M74" s="15"/>
    </row>
    <row r="75" spans="1:13" x14ac:dyDescent="0.25">
      <c r="A75" s="16">
        <v>46005</v>
      </c>
      <c r="B75" s="17" t="s">
        <v>35</v>
      </c>
      <c r="C75" s="15">
        <v>3</v>
      </c>
      <c r="D75" s="18"/>
      <c r="E75" s="15">
        <v>1210</v>
      </c>
      <c r="F75" s="15">
        <v>842.11</v>
      </c>
      <c r="G75" s="15">
        <f t="shared" si="10"/>
        <v>367.89</v>
      </c>
      <c r="H75" s="15">
        <f t="shared" si="11"/>
        <v>3630</v>
      </c>
      <c r="I75" s="15">
        <f t="shared" si="12"/>
        <v>2526.33</v>
      </c>
      <c r="J75" s="15">
        <f t="shared" si="13"/>
        <v>1103.67</v>
      </c>
      <c r="K75" s="19">
        <f t="shared" si="14"/>
        <v>0.43686691762358837</v>
      </c>
      <c r="L75" s="15" t="s">
        <v>217</v>
      </c>
      <c r="M75" s="15"/>
    </row>
    <row r="76" spans="1:13" x14ac:dyDescent="0.25">
      <c r="A76" s="16">
        <v>46008</v>
      </c>
      <c r="B76" s="17" t="s">
        <v>35</v>
      </c>
      <c r="C76" s="15">
        <v>10</v>
      </c>
      <c r="D76" s="18"/>
      <c r="E76" s="15">
        <v>1300</v>
      </c>
      <c r="F76" s="15">
        <v>842.11</v>
      </c>
      <c r="G76" s="15">
        <f t="shared" si="10"/>
        <v>457.89</v>
      </c>
      <c r="H76" s="15">
        <f t="shared" si="11"/>
        <v>13000</v>
      </c>
      <c r="I76" s="15">
        <f t="shared" si="12"/>
        <v>8421.1</v>
      </c>
      <c r="J76" s="15">
        <f t="shared" si="13"/>
        <v>4578.8999999999996</v>
      </c>
      <c r="K76" s="19">
        <f t="shared" si="14"/>
        <v>0.54374131645509494</v>
      </c>
      <c r="L76" s="15" t="s">
        <v>217</v>
      </c>
      <c r="M76" s="15"/>
    </row>
    <row r="77" spans="1:13" x14ac:dyDescent="0.25">
      <c r="A77" s="16">
        <v>46008</v>
      </c>
      <c r="B77" s="17" t="s">
        <v>35</v>
      </c>
      <c r="C77" s="15">
        <v>100</v>
      </c>
      <c r="D77" s="18"/>
      <c r="E77" s="15">
        <v>1285</v>
      </c>
      <c r="F77" s="15">
        <v>587.74</v>
      </c>
      <c r="G77" s="15">
        <f t="shared" si="10"/>
        <v>697.26</v>
      </c>
      <c r="H77" s="15">
        <f t="shared" si="11"/>
        <v>128500</v>
      </c>
      <c r="I77" s="15">
        <f t="shared" si="12"/>
        <v>58774</v>
      </c>
      <c r="J77" s="15">
        <f t="shared" si="13"/>
        <v>69726</v>
      </c>
      <c r="K77" s="19">
        <f t="shared" si="14"/>
        <v>1.186340899036989</v>
      </c>
      <c r="L77" s="15" t="s">
        <v>217</v>
      </c>
      <c r="M77" s="15"/>
    </row>
    <row r="78" spans="1:13" x14ac:dyDescent="0.25">
      <c r="A78" s="16">
        <v>46009</v>
      </c>
      <c r="B78" s="17" t="s">
        <v>35</v>
      </c>
      <c r="C78" s="15">
        <v>38</v>
      </c>
      <c r="D78" s="18"/>
      <c r="E78" s="15">
        <v>1280</v>
      </c>
      <c r="F78" s="15">
        <v>842.11</v>
      </c>
      <c r="G78" s="15">
        <f t="shared" si="10"/>
        <v>437.89</v>
      </c>
      <c r="H78" s="15">
        <f t="shared" si="11"/>
        <v>48640</v>
      </c>
      <c r="I78" s="15">
        <f t="shared" si="12"/>
        <v>32000.18</v>
      </c>
      <c r="J78" s="15">
        <f t="shared" si="13"/>
        <v>16639.82</v>
      </c>
      <c r="K78" s="19">
        <f t="shared" si="14"/>
        <v>0.51999145004809344</v>
      </c>
      <c r="L78" s="15" t="s">
        <v>217</v>
      </c>
      <c r="M78" s="15"/>
    </row>
    <row r="79" spans="1:13" x14ac:dyDescent="0.25">
      <c r="A79" s="16">
        <v>46009</v>
      </c>
      <c r="B79" s="17" t="s">
        <v>35</v>
      </c>
      <c r="C79" s="15">
        <v>60</v>
      </c>
      <c r="D79" s="18"/>
      <c r="E79" s="15">
        <v>1285</v>
      </c>
      <c r="F79" s="15">
        <v>842.11</v>
      </c>
      <c r="G79" s="15">
        <f t="shared" si="10"/>
        <v>442.89</v>
      </c>
      <c r="H79" s="15">
        <f t="shared" si="11"/>
        <v>77100</v>
      </c>
      <c r="I79" s="15">
        <f t="shared" si="12"/>
        <v>50526.6</v>
      </c>
      <c r="J79" s="15">
        <f t="shared" si="13"/>
        <v>26573.4</v>
      </c>
      <c r="K79" s="19">
        <f t="shared" si="14"/>
        <v>0.52592891664984387</v>
      </c>
      <c r="L79" s="15" t="s">
        <v>217</v>
      </c>
      <c r="M79" s="15"/>
    </row>
    <row r="80" spans="1:13" x14ac:dyDescent="0.25">
      <c r="A80" s="16">
        <v>46009</v>
      </c>
      <c r="B80" s="17" t="s">
        <v>35</v>
      </c>
      <c r="C80" s="15">
        <v>25</v>
      </c>
      <c r="D80" s="18"/>
      <c r="E80" s="15">
        <v>1285</v>
      </c>
      <c r="F80" s="15">
        <v>630.12</v>
      </c>
      <c r="G80" s="15">
        <f t="shared" si="10"/>
        <v>654.88</v>
      </c>
      <c r="H80" s="15">
        <f t="shared" si="11"/>
        <v>32125</v>
      </c>
      <c r="I80" s="15">
        <f t="shared" si="12"/>
        <v>15753</v>
      </c>
      <c r="J80" s="15">
        <f t="shared" si="13"/>
        <v>16372</v>
      </c>
      <c r="K80" s="19">
        <f t="shared" si="14"/>
        <v>1.0392941027105949</v>
      </c>
      <c r="L80" s="15" t="s">
        <v>217</v>
      </c>
      <c r="M80" s="15"/>
    </row>
    <row r="81" spans="1:13" x14ac:dyDescent="0.25">
      <c r="A81" s="16">
        <v>46018</v>
      </c>
      <c r="B81" s="28" t="s">
        <v>35</v>
      </c>
      <c r="C81" s="15">
        <v>5</v>
      </c>
      <c r="D81" s="18"/>
      <c r="E81" s="15">
        <v>1260</v>
      </c>
      <c r="F81" s="15">
        <v>842.11</v>
      </c>
      <c r="G81" s="15">
        <f t="shared" si="10"/>
        <v>417.89</v>
      </c>
      <c r="H81" s="15">
        <f t="shared" si="11"/>
        <v>6300</v>
      </c>
      <c r="I81" s="15">
        <f t="shared" si="12"/>
        <v>4210.55</v>
      </c>
      <c r="J81" s="15">
        <f t="shared" si="13"/>
        <v>2089.4499999999998</v>
      </c>
      <c r="K81" s="19">
        <f t="shared" si="14"/>
        <v>0.496241583641092</v>
      </c>
      <c r="L81" s="15" t="s">
        <v>217</v>
      </c>
      <c r="M81" s="15"/>
    </row>
    <row r="82" spans="1:13" ht="18.75" x14ac:dyDescent="0.3">
      <c r="H82" s="2" t="s">
        <v>5</v>
      </c>
      <c r="I82" s="2" t="s">
        <v>6</v>
      </c>
      <c r="J82" s="2" t="s">
        <v>7</v>
      </c>
      <c r="K82" s="3" t="s">
        <v>8</v>
      </c>
      <c r="L82" s="61"/>
      <c r="M82" s="62"/>
    </row>
    <row r="83" spans="1:13" x14ac:dyDescent="0.25">
      <c r="H83" s="37">
        <f t="shared" ref="H83:J83" si="15">SUM(H2:H82)</f>
        <v>1253692.45</v>
      </c>
      <c r="I83" s="37">
        <f t="shared" si="15"/>
        <v>914343.1799999997</v>
      </c>
      <c r="J83" s="37">
        <f t="shared" si="15"/>
        <v>339349.27000000014</v>
      </c>
      <c r="K83" s="38">
        <f>AVERAGE(K2:K82)</f>
        <v>0.2759631440204669</v>
      </c>
      <c r="L83" s="63"/>
      <c r="M83" s="64"/>
    </row>
    <row r="85" spans="1:13" x14ac:dyDescent="0.25">
      <c r="B85" s="46" t="s">
        <v>268</v>
      </c>
      <c r="C85" s="46" t="s">
        <v>256</v>
      </c>
    </row>
    <row r="86" spans="1:13" x14ac:dyDescent="0.25">
      <c r="B86" s="15" t="s">
        <v>258</v>
      </c>
      <c r="C86" s="15">
        <v>529</v>
      </c>
    </row>
    <row r="87" spans="1:13" x14ac:dyDescent="0.25">
      <c r="B87" s="15" t="s">
        <v>259</v>
      </c>
      <c r="C87" s="15">
        <v>2443</v>
      </c>
    </row>
    <row r="88" spans="1:13" x14ac:dyDescent="0.25">
      <c r="B88" s="15" t="s">
        <v>260</v>
      </c>
      <c r="C88" s="15">
        <v>216</v>
      </c>
    </row>
    <row r="89" spans="1:13" x14ac:dyDescent="0.25">
      <c r="B89" s="15" t="s">
        <v>261</v>
      </c>
      <c r="C89" s="15">
        <v>265</v>
      </c>
    </row>
    <row r="90" spans="1:13" x14ac:dyDescent="0.25">
      <c r="B90" s="15" t="s">
        <v>262</v>
      </c>
      <c r="C90" s="15">
        <v>1077</v>
      </c>
    </row>
    <row r="91" spans="1:13" x14ac:dyDescent="0.25">
      <c r="B91" s="15" t="s">
        <v>263</v>
      </c>
      <c r="C91" s="15">
        <v>263</v>
      </c>
    </row>
    <row r="92" spans="1:13" x14ac:dyDescent="0.25">
      <c r="B92" s="15" t="s">
        <v>264</v>
      </c>
      <c r="C92" s="15">
        <v>1166</v>
      </c>
    </row>
    <row r="93" spans="1:13" x14ac:dyDescent="0.25">
      <c r="B93" s="15" t="s">
        <v>265</v>
      </c>
      <c r="C93" s="15">
        <v>3591</v>
      </c>
    </row>
    <row r="94" spans="1:13" x14ac:dyDescent="0.25">
      <c r="B94" s="15" t="s">
        <v>266</v>
      </c>
      <c r="C94" s="15">
        <v>383</v>
      </c>
    </row>
    <row r="95" spans="1:13" x14ac:dyDescent="0.25">
      <c r="B95" s="15" t="s">
        <v>267</v>
      </c>
      <c r="C95" s="15">
        <v>9624</v>
      </c>
    </row>
    <row r="96" spans="1:13" x14ac:dyDescent="0.25">
      <c r="B96" s="56" t="s">
        <v>285</v>
      </c>
      <c r="C96" s="57">
        <v>12843.2</v>
      </c>
    </row>
    <row r="97" spans="2:3" x14ac:dyDescent="0.25">
      <c r="B97" s="56" t="s">
        <v>286</v>
      </c>
      <c r="C97" s="57">
        <v>4947.5200000000004</v>
      </c>
    </row>
    <row r="98" spans="2:3" x14ac:dyDescent="0.25">
      <c r="B98" s="56" t="s">
        <v>287</v>
      </c>
      <c r="C98" s="57">
        <v>15269.31</v>
      </c>
    </row>
    <row r="99" spans="2:3" x14ac:dyDescent="0.25">
      <c r="B99" s="56" t="s">
        <v>288</v>
      </c>
      <c r="C99" s="57">
        <v>6970.03</v>
      </c>
    </row>
    <row r="100" spans="2:3" x14ac:dyDescent="0.25">
      <c r="B100" s="56" t="s">
        <v>289</v>
      </c>
      <c r="C100" s="57">
        <v>10248.540000000001</v>
      </c>
    </row>
    <row r="101" spans="2:3" x14ac:dyDescent="0.25">
      <c r="B101" s="56" t="s">
        <v>290</v>
      </c>
      <c r="C101" s="57">
        <v>11020.37</v>
      </c>
    </row>
    <row r="102" spans="2:3" x14ac:dyDescent="0.25">
      <c r="B102" s="58" t="s">
        <v>291</v>
      </c>
      <c r="C102" s="57">
        <v>19199.88</v>
      </c>
    </row>
    <row r="103" spans="2:3" x14ac:dyDescent="0.25">
      <c r="B103" s="60" t="s">
        <v>295</v>
      </c>
      <c r="C103" s="59">
        <f>SUM(C86:C102)</f>
        <v>100055.85</v>
      </c>
    </row>
    <row r="104" spans="2:3" x14ac:dyDescent="0.25">
      <c r="B104" s="15"/>
      <c r="C104" s="15"/>
    </row>
    <row r="105" spans="2:3" ht="15.75" x14ac:dyDescent="0.25">
      <c r="B105" s="47" t="s">
        <v>269</v>
      </c>
      <c r="C105" s="47">
        <f>J83-C103</f>
        <v>239293.42000000013</v>
      </c>
    </row>
  </sheetData>
  <mergeCells count="1">
    <mergeCell ref="L82:M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0ADD-5988-4C59-95EB-454296A62224}">
  <dimension ref="A1:M419"/>
  <sheetViews>
    <sheetView topLeftCell="A380" zoomScale="80" zoomScaleNormal="80" workbookViewId="0">
      <selection activeCell="C419" sqref="C419"/>
    </sheetView>
  </sheetViews>
  <sheetFormatPr defaultRowHeight="15" x14ac:dyDescent="0.25"/>
  <cols>
    <col min="1" max="1" width="15" customWidth="1"/>
    <col min="2" max="2" width="38.28515625" customWidth="1"/>
    <col min="3" max="3" width="19.85546875" customWidth="1"/>
    <col min="4" max="4" width="20.5703125" customWidth="1"/>
    <col min="5" max="12" width="16.28515625" customWidth="1"/>
    <col min="13" max="13" width="18.85546875" customWidth="1"/>
  </cols>
  <sheetData>
    <row r="1" spans="1:13" ht="18.75" x14ac:dyDescent="0.3">
      <c r="A1" s="1" t="s">
        <v>0</v>
      </c>
      <c r="B1" s="8" t="s">
        <v>1</v>
      </c>
      <c r="C1" s="1" t="s">
        <v>12</v>
      </c>
      <c r="D1" s="9" t="s">
        <v>10</v>
      </c>
      <c r="E1" s="2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4" t="s">
        <v>9</v>
      </c>
      <c r="M1" s="2" t="s">
        <v>247</v>
      </c>
    </row>
    <row r="2" spans="1:13" x14ac:dyDescent="0.25">
      <c r="A2" s="16">
        <v>46001</v>
      </c>
      <c r="B2" s="20" t="s">
        <v>58</v>
      </c>
      <c r="C2" s="15">
        <v>4</v>
      </c>
      <c r="D2" s="18" t="s">
        <v>59</v>
      </c>
      <c r="E2" s="15">
        <v>1980</v>
      </c>
      <c r="F2" s="15">
        <v>1950</v>
      </c>
      <c r="G2" s="15">
        <f t="shared" ref="G2:G65" si="0">E2-F2</f>
        <v>30</v>
      </c>
      <c r="H2" s="15">
        <f t="shared" ref="H2:H65" si="1">E2*C2</f>
        <v>7920</v>
      </c>
      <c r="I2" s="15">
        <f t="shared" ref="I2:I65" si="2">F2*C2</f>
        <v>7800</v>
      </c>
      <c r="J2" s="15">
        <f t="shared" ref="J2:J65" si="3">H2-I2</f>
        <v>120</v>
      </c>
      <c r="K2" s="19">
        <f t="shared" ref="K2:K65" si="4">(E2-F2)/F2</f>
        <v>1.5384615384615385E-2</v>
      </c>
      <c r="L2" s="15" t="s">
        <v>246</v>
      </c>
      <c r="M2" s="15"/>
    </row>
    <row r="3" spans="1:13" x14ac:dyDescent="0.25">
      <c r="A3" s="16">
        <v>46010</v>
      </c>
      <c r="B3" s="17" t="s">
        <v>81</v>
      </c>
      <c r="C3" s="15">
        <v>1</v>
      </c>
      <c r="D3" s="22">
        <v>355827872307043</v>
      </c>
      <c r="E3" s="15">
        <v>2420</v>
      </c>
      <c r="F3" s="15">
        <v>2380</v>
      </c>
      <c r="G3" s="15">
        <f t="shared" si="0"/>
        <v>40</v>
      </c>
      <c r="H3" s="15">
        <f t="shared" si="1"/>
        <v>2420</v>
      </c>
      <c r="I3" s="15">
        <f t="shared" si="2"/>
        <v>2380</v>
      </c>
      <c r="J3" s="15">
        <f t="shared" si="3"/>
        <v>40</v>
      </c>
      <c r="K3" s="19">
        <f t="shared" si="4"/>
        <v>1.680672268907563E-2</v>
      </c>
      <c r="L3" s="15" t="s">
        <v>232</v>
      </c>
      <c r="M3" s="15" t="s">
        <v>233</v>
      </c>
    </row>
    <row r="4" spans="1:13" x14ac:dyDescent="0.25">
      <c r="A4" s="16">
        <v>46010</v>
      </c>
      <c r="B4" s="17" t="s">
        <v>81</v>
      </c>
      <c r="C4" s="15">
        <v>1</v>
      </c>
      <c r="D4" s="22">
        <v>358135792350573</v>
      </c>
      <c r="E4" s="15">
        <v>2420</v>
      </c>
      <c r="F4" s="15">
        <v>2380</v>
      </c>
      <c r="G4" s="15">
        <f t="shared" si="0"/>
        <v>40</v>
      </c>
      <c r="H4" s="15">
        <f t="shared" si="1"/>
        <v>2420</v>
      </c>
      <c r="I4" s="15">
        <f t="shared" si="2"/>
        <v>2380</v>
      </c>
      <c r="J4" s="15">
        <f t="shared" si="3"/>
        <v>40</v>
      </c>
      <c r="K4" s="19">
        <f t="shared" si="4"/>
        <v>1.680672268907563E-2</v>
      </c>
      <c r="L4" s="15" t="s">
        <v>232</v>
      </c>
      <c r="M4" s="15" t="s">
        <v>233</v>
      </c>
    </row>
    <row r="5" spans="1:13" x14ac:dyDescent="0.25">
      <c r="A5" s="16">
        <v>46020</v>
      </c>
      <c r="B5" s="17" t="s">
        <v>199</v>
      </c>
      <c r="C5" s="15">
        <v>1</v>
      </c>
      <c r="D5" s="23">
        <v>350229401181392</v>
      </c>
      <c r="E5" s="15">
        <v>2200</v>
      </c>
      <c r="F5" s="15">
        <v>1600</v>
      </c>
      <c r="G5" s="15">
        <f t="shared" si="0"/>
        <v>600</v>
      </c>
      <c r="H5" s="15">
        <f t="shared" si="1"/>
        <v>2200</v>
      </c>
      <c r="I5" s="15">
        <f t="shared" si="2"/>
        <v>1600</v>
      </c>
      <c r="J5" s="15">
        <f t="shared" si="3"/>
        <v>600</v>
      </c>
      <c r="K5" s="19">
        <f t="shared" si="4"/>
        <v>0.375</v>
      </c>
      <c r="L5" s="15" t="s">
        <v>232</v>
      </c>
      <c r="M5" s="15"/>
    </row>
    <row r="6" spans="1:13" x14ac:dyDescent="0.25">
      <c r="A6" s="16">
        <v>46020</v>
      </c>
      <c r="B6" s="17" t="s">
        <v>196</v>
      </c>
      <c r="C6" s="15">
        <v>1</v>
      </c>
      <c r="D6" s="23">
        <v>351036684686396</v>
      </c>
      <c r="E6" s="15">
        <v>900</v>
      </c>
      <c r="F6" s="15">
        <v>800</v>
      </c>
      <c r="G6" s="15">
        <f t="shared" si="0"/>
        <v>100</v>
      </c>
      <c r="H6" s="15">
        <f t="shared" si="1"/>
        <v>900</v>
      </c>
      <c r="I6" s="15">
        <f t="shared" si="2"/>
        <v>800</v>
      </c>
      <c r="J6" s="15">
        <f t="shared" si="3"/>
        <v>100</v>
      </c>
      <c r="K6" s="19">
        <f t="shared" si="4"/>
        <v>0.125</v>
      </c>
      <c r="L6" s="15" t="s">
        <v>232</v>
      </c>
      <c r="M6" s="15" t="s">
        <v>234</v>
      </c>
    </row>
    <row r="7" spans="1:13" x14ac:dyDescent="0.25">
      <c r="A7" s="16">
        <v>46018</v>
      </c>
      <c r="B7" s="24" t="s">
        <v>195</v>
      </c>
      <c r="C7" s="15">
        <v>1</v>
      </c>
      <c r="D7" s="22">
        <v>351878870972449</v>
      </c>
      <c r="E7" s="15">
        <v>2000</v>
      </c>
      <c r="F7" s="15">
        <v>1900</v>
      </c>
      <c r="G7" s="15">
        <f t="shared" si="0"/>
        <v>100</v>
      </c>
      <c r="H7" s="15">
        <f t="shared" si="1"/>
        <v>2000</v>
      </c>
      <c r="I7" s="15">
        <f t="shared" si="2"/>
        <v>1900</v>
      </c>
      <c r="J7" s="15">
        <f t="shared" si="3"/>
        <v>100</v>
      </c>
      <c r="K7" s="19">
        <f t="shared" si="4"/>
        <v>5.2631578947368418E-2</v>
      </c>
      <c r="L7" s="15" t="s">
        <v>232</v>
      </c>
      <c r="M7" s="15" t="s">
        <v>233</v>
      </c>
    </row>
    <row r="8" spans="1:13" x14ac:dyDescent="0.25">
      <c r="A8" s="16">
        <v>46018</v>
      </c>
      <c r="B8" s="24" t="s">
        <v>195</v>
      </c>
      <c r="C8" s="15">
        <v>1</v>
      </c>
      <c r="D8" s="22">
        <v>359373962498331</v>
      </c>
      <c r="E8" s="15">
        <v>2000</v>
      </c>
      <c r="F8" s="15">
        <v>1900</v>
      </c>
      <c r="G8" s="15">
        <f t="shared" si="0"/>
        <v>100</v>
      </c>
      <c r="H8" s="15">
        <f t="shared" si="1"/>
        <v>2000</v>
      </c>
      <c r="I8" s="15">
        <f t="shared" si="2"/>
        <v>1900</v>
      </c>
      <c r="J8" s="15">
        <f t="shared" si="3"/>
        <v>100</v>
      </c>
      <c r="K8" s="19">
        <f t="shared" si="4"/>
        <v>5.2631578947368418E-2</v>
      </c>
      <c r="L8" s="15" t="s">
        <v>232</v>
      </c>
      <c r="M8" s="15" t="s">
        <v>233</v>
      </c>
    </row>
    <row r="9" spans="1:13" x14ac:dyDescent="0.25">
      <c r="A9" s="16">
        <v>46018</v>
      </c>
      <c r="B9" s="24" t="s">
        <v>195</v>
      </c>
      <c r="C9" s="15">
        <v>1</v>
      </c>
      <c r="D9" s="22">
        <v>351878871864918</v>
      </c>
      <c r="E9" s="15">
        <v>2000</v>
      </c>
      <c r="F9" s="15">
        <v>1900</v>
      </c>
      <c r="G9" s="15">
        <f t="shared" si="0"/>
        <v>100</v>
      </c>
      <c r="H9" s="15">
        <f t="shared" si="1"/>
        <v>2000</v>
      </c>
      <c r="I9" s="15">
        <f t="shared" si="2"/>
        <v>1900</v>
      </c>
      <c r="J9" s="15">
        <f t="shared" si="3"/>
        <v>100</v>
      </c>
      <c r="K9" s="19">
        <f t="shared" si="4"/>
        <v>5.2631578947368418E-2</v>
      </c>
      <c r="L9" s="15" t="s">
        <v>232</v>
      </c>
      <c r="M9" s="15" t="s">
        <v>233</v>
      </c>
    </row>
    <row r="10" spans="1:13" x14ac:dyDescent="0.25">
      <c r="A10" s="16">
        <v>46018</v>
      </c>
      <c r="B10" s="24" t="s">
        <v>195</v>
      </c>
      <c r="C10" s="15">
        <v>1</v>
      </c>
      <c r="D10" s="22">
        <v>351878870816828</v>
      </c>
      <c r="E10" s="15">
        <v>2000</v>
      </c>
      <c r="F10" s="15">
        <v>1900</v>
      </c>
      <c r="G10" s="15">
        <f t="shared" si="0"/>
        <v>100</v>
      </c>
      <c r="H10" s="15">
        <f t="shared" si="1"/>
        <v>2000</v>
      </c>
      <c r="I10" s="15">
        <f t="shared" si="2"/>
        <v>1900</v>
      </c>
      <c r="J10" s="15">
        <f t="shared" si="3"/>
        <v>100</v>
      </c>
      <c r="K10" s="19">
        <f t="shared" si="4"/>
        <v>5.2631578947368418E-2</v>
      </c>
      <c r="L10" s="15" t="s">
        <v>232</v>
      </c>
      <c r="M10" s="15" t="s">
        <v>233</v>
      </c>
    </row>
    <row r="11" spans="1:13" x14ac:dyDescent="0.25">
      <c r="A11" s="16">
        <v>46018</v>
      </c>
      <c r="B11" s="24" t="s">
        <v>195</v>
      </c>
      <c r="C11" s="15">
        <v>1</v>
      </c>
      <c r="D11" s="22">
        <v>351878870839440</v>
      </c>
      <c r="E11" s="15">
        <v>2000</v>
      </c>
      <c r="F11" s="15">
        <v>1900</v>
      </c>
      <c r="G11" s="15">
        <f t="shared" si="0"/>
        <v>100</v>
      </c>
      <c r="H11" s="15">
        <f t="shared" si="1"/>
        <v>2000</v>
      </c>
      <c r="I11" s="15">
        <f t="shared" si="2"/>
        <v>1900</v>
      </c>
      <c r="J11" s="15">
        <f t="shared" si="3"/>
        <v>100</v>
      </c>
      <c r="K11" s="19">
        <f t="shared" si="4"/>
        <v>5.2631578947368418E-2</v>
      </c>
      <c r="L11" s="15" t="s">
        <v>232</v>
      </c>
      <c r="M11" s="15" t="s">
        <v>233</v>
      </c>
    </row>
    <row r="12" spans="1:13" x14ac:dyDescent="0.25">
      <c r="A12" s="16">
        <v>46018</v>
      </c>
      <c r="B12" s="28" t="s">
        <v>194</v>
      </c>
      <c r="C12" s="15">
        <v>1</v>
      </c>
      <c r="D12" s="18"/>
      <c r="E12" s="15">
        <v>1600</v>
      </c>
      <c r="F12" s="15">
        <v>1400</v>
      </c>
      <c r="G12" s="15">
        <f t="shared" si="0"/>
        <v>200</v>
      </c>
      <c r="H12" s="15">
        <f t="shared" si="1"/>
        <v>1600</v>
      </c>
      <c r="I12" s="15">
        <f t="shared" si="2"/>
        <v>1400</v>
      </c>
      <c r="J12" s="15">
        <f t="shared" si="3"/>
        <v>200</v>
      </c>
      <c r="K12" s="19">
        <f t="shared" si="4"/>
        <v>0.14285714285714285</v>
      </c>
      <c r="L12" s="15" t="s">
        <v>232</v>
      </c>
      <c r="M12" s="15"/>
    </row>
    <row r="13" spans="1:13" x14ac:dyDescent="0.25">
      <c r="A13" s="16">
        <v>46007</v>
      </c>
      <c r="B13" s="20" t="s">
        <v>32</v>
      </c>
      <c r="C13" s="15">
        <v>1</v>
      </c>
      <c r="D13" s="23">
        <v>350158854209897</v>
      </c>
      <c r="E13" s="15">
        <v>1600</v>
      </c>
      <c r="F13" s="15">
        <v>1400</v>
      </c>
      <c r="G13" s="15">
        <f t="shared" si="0"/>
        <v>200</v>
      </c>
      <c r="H13" s="15">
        <f t="shared" si="1"/>
        <v>1600</v>
      </c>
      <c r="I13" s="15">
        <f t="shared" si="2"/>
        <v>1400</v>
      </c>
      <c r="J13" s="15">
        <f t="shared" si="3"/>
        <v>200</v>
      </c>
      <c r="K13" s="19">
        <f t="shared" si="4"/>
        <v>0.14285714285714285</v>
      </c>
      <c r="L13" s="15" t="s">
        <v>232</v>
      </c>
      <c r="M13" s="15"/>
    </row>
    <row r="14" spans="1:13" x14ac:dyDescent="0.25">
      <c r="A14" s="10">
        <v>46020</v>
      </c>
      <c r="B14" s="26" t="s">
        <v>198</v>
      </c>
      <c r="C14" s="12">
        <v>1</v>
      </c>
      <c r="D14" s="31">
        <v>351250615706591</v>
      </c>
      <c r="E14" s="12">
        <v>1200</v>
      </c>
      <c r="F14" s="12">
        <v>1400</v>
      </c>
      <c r="G14" s="12">
        <f t="shared" si="0"/>
        <v>-200</v>
      </c>
      <c r="H14" s="12">
        <f t="shared" si="1"/>
        <v>1200</v>
      </c>
      <c r="I14" s="12">
        <f t="shared" si="2"/>
        <v>1400</v>
      </c>
      <c r="J14" s="12">
        <f t="shared" si="3"/>
        <v>-200</v>
      </c>
      <c r="K14" s="14">
        <f t="shared" si="4"/>
        <v>-0.14285714285714285</v>
      </c>
      <c r="L14" s="12" t="s">
        <v>232</v>
      </c>
      <c r="M14" s="15"/>
    </row>
    <row r="15" spans="1:13" x14ac:dyDescent="0.25">
      <c r="A15" s="10">
        <v>46001</v>
      </c>
      <c r="B15" s="11" t="s">
        <v>14</v>
      </c>
      <c r="C15" s="12">
        <v>1</v>
      </c>
      <c r="D15" s="27">
        <v>357826995308308</v>
      </c>
      <c r="E15" s="12">
        <v>3380</v>
      </c>
      <c r="F15" s="12">
        <v>3417.72</v>
      </c>
      <c r="G15" s="12">
        <f t="shared" si="0"/>
        <v>-37.7199999999998</v>
      </c>
      <c r="H15" s="12">
        <f t="shared" si="1"/>
        <v>3380</v>
      </c>
      <c r="I15" s="12">
        <f t="shared" si="2"/>
        <v>3417.72</v>
      </c>
      <c r="J15" s="12">
        <f t="shared" si="3"/>
        <v>-37.7199999999998</v>
      </c>
      <c r="K15" s="14">
        <f t="shared" si="4"/>
        <v>-1.1036597497746978E-2</v>
      </c>
      <c r="L15" s="12" t="s">
        <v>232</v>
      </c>
      <c r="M15" s="15"/>
    </row>
    <row r="16" spans="1:13" x14ac:dyDescent="0.25">
      <c r="A16" s="16">
        <v>46022</v>
      </c>
      <c r="B16" s="17" t="s">
        <v>210</v>
      </c>
      <c r="C16" s="15">
        <v>1</v>
      </c>
      <c r="D16" s="22" t="s">
        <v>212</v>
      </c>
      <c r="E16" s="15">
        <v>5300</v>
      </c>
      <c r="F16" s="35">
        <v>5000</v>
      </c>
      <c r="G16" s="15">
        <f t="shared" si="0"/>
        <v>300</v>
      </c>
      <c r="H16" s="15">
        <f t="shared" si="1"/>
        <v>5300</v>
      </c>
      <c r="I16" s="15">
        <f t="shared" si="2"/>
        <v>5000</v>
      </c>
      <c r="J16" s="15">
        <f t="shared" si="3"/>
        <v>300</v>
      </c>
      <c r="K16" s="19">
        <f t="shared" si="4"/>
        <v>0.06</v>
      </c>
      <c r="L16" s="15" t="s">
        <v>232</v>
      </c>
      <c r="M16" s="15" t="s">
        <v>234</v>
      </c>
    </row>
    <row r="17" spans="1:13" x14ac:dyDescent="0.25">
      <c r="A17" s="10">
        <v>46020</v>
      </c>
      <c r="B17" s="26" t="s">
        <v>197</v>
      </c>
      <c r="C17" s="12">
        <v>1</v>
      </c>
      <c r="D17" s="27">
        <v>358625373128448</v>
      </c>
      <c r="E17" s="12">
        <v>600</v>
      </c>
      <c r="F17" s="12">
        <v>1250</v>
      </c>
      <c r="G17" s="12">
        <f t="shared" si="0"/>
        <v>-650</v>
      </c>
      <c r="H17" s="12">
        <f t="shared" si="1"/>
        <v>600</v>
      </c>
      <c r="I17" s="12">
        <f t="shared" si="2"/>
        <v>1250</v>
      </c>
      <c r="J17" s="12">
        <f t="shared" si="3"/>
        <v>-650</v>
      </c>
      <c r="K17" s="14">
        <f t="shared" si="4"/>
        <v>-0.52</v>
      </c>
      <c r="L17" s="12" t="s">
        <v>235</v>
      </c>
      <c r="M17" s="15"/>
    </row>
    <row r="18" spans="1:13" x14ac:dyDescent="0.25">
      <c r="A18" s="10">
        <v>46020</v>
      </c>
      <c r="B18" s="26" t="s">
        <v>197</v>
      </c>
      <c r="C18" s="12">
        <v>1</v>
      </c>
      <c r="D18" s="27">
        <v>358625373099649</v>
      </c>
      <c r="E18" s="12">
        <v>600</v>
      </c>
      <c r="F18" s="12">
        <v>1250</v>
      </c>
      <c r="G18" s="12">
        <f t="shared" si="0"/>
        <v>-650</v>
      </c>
      <c r="H18" s="12">
        <f t="shared" si="1"/>
        <v>600</v>
      </c>
      <c r="I18" s="12">
        <f t="shared" si="2"/>
        <v>1250</v>
      </c>
      <c r="J18" s="12">
        <f t="shared" si="3"/>
        <v>-650</v>
      </c>
      <c r="K18" s="14">
        <f t="shared" si="4"/>
        <v>-0.52</v>
      </c>
      <c r="L18" s="12" t="s">
        <v>235</v>
      </c>
      <c r="M18" s="15"/>
    </row>
    <row r="19" spans="1:13" x14ac:dyDescent="0.25">
      <c r="A19" s="10">
        <v>46016</v>
      </c>
      <c r="B19" s="11" t="s">
        <v>138</v>
      </c>
      <c r="C19" s="12">
        <v>1</v>
      </c>
      <c r="D19" s="31">
        <v>357120484073445</v>
      </c>
      <c r="E19" s="12">
        <v>470</v>
      </c>
      <c r="F19" s="12">
        <v>780</v>
      </c>
      <c r="G19" s="12">
        <f t="shared" si="0"/>
        <v>-310</v>
      </c>
      <c r="H19" s="12">
        <f t="shared" si="1"/>
        <v>470</v>
      </c>
      <c r="I19" s="12">
        <f t="shared" si="2"/>
        <v>780</v>
      </c>
      <c r="J19" s="12">
        <f t="shared" si="3"/>
        <v>-310</v>
      </c>
      <c r="K19" s="14">
        <f t="shared" si="4"/>
        <v>-0.39743589743589741</v>
      </c>
      <c r="L19" s="12" t="s">
        <v>235</v>
      </c>
      <c r="M19" s="15"/>
    </row>
    <row r="20" spans="1:13" x14ac:dyDescent="0.25">
      <c r="A20" s="10">
        <v>46016</v>
      </c>
      <c r="B20" s="11" t="s">
        <v>140</v>
      </c>
      <c r="C20" s="12">
        <v>1</v>
      </c>
      <c r="D20" s="31">
        <v>354820171099073</v>
      </c>
      <c r="E20" s="12">
        <v>980</v>
      </c>
      <c r="F20" s="12">
        <v>1450</v>
      </c>
      <c r="G20" s="12">
        <f t="shared" si="0"/>
        <v>-470</v>
      </c>
      <c r="H20" s="12">
        <f t="shared" si="1"/>
        <v>980</v>
      </c>
      <c r="I20" s="12">
        <f t="shared" si="2"/>
        <v>1450</v>
      </c>
      <c r="J20" s="12">
        <f t="shared" si="3"/>
        <v>-470</v>
      </c>
      <c r="K20" s="14">
        <f t="shared" si="4"/>
        <v>-0.32413793103448274</v>
      </c>
      <c r="L20" s="12" t="s">
        <v>235</v>
      </c>
      <c r="M20" s="15"/>
    </row>
    <row r="21" spans="1:13" x14ac:dyDescent="0.25">
      <c r="A21" s="10">
        <v>46020</v>
      </c>
      <c r="B21" s="34" t="s">
        <v>140</v>
      </c>
      <c r="C21" s="12">
        <v>1</v>
      </c>
      <c r="D21" s="31">
        <v>359800200442127</v>
      </c>
      <c r="E21" s="12">
        <v>1000</v>
      </c>
      <c r="F21" s="12">
        <v>1450</v>
      </c>
      <c r="G21" s="12">
        <f t="shared" si="0"/>
        <v>-450</v>
      </c>
      <c r="H21" s="12">
        <f t="shared" si="1"/>
        <v>1000</v>
      </c>
      <c r="I21" s="12">
        <f t="shared" si="2"/>
        <v>1450</v>
      </c>
      <c r="J21" s="12">
        <f t="shared" si="3"/>
        <v>-450</v>
      </c>
      <c r="K21" s="14">
        <f t="shared" si="4"/>
        <v>-0.31034482758620691</v>
      </c>
      <c r="L21" s="12" t="s">
        <v>235</v>
      </c>
      <c r="M21" s="15"/>
    </row>
    <row r="22" spans="1:13" x14ac:dyDescent="0.25">
      <c r="A22" s="10">
        <v>46003</v>
      </c>
      <c r="B22" s="26" t="s">
        <v>81</v>
      </c>
      <c r="C22" s="12">
        <v>1</v>
      </c>
      <c r="D22" s="27">
        <v>353938640498576</v>
      </c>
      <c r="E22" s="12">
        <v>2200</v>
      </c>
      <c r="F22" s="12">
        <v>2600</v>
      </c>
      <c r="G22" s="12">
        <f t="shared" si="0"/>
        <v>-400</v>
      </c>
      <c r="H22" s="12">
        <f t="shared" si="1"/>
        <v>2200</v>
      </c>
      <c r="I22" s="12">
        <f t="shared" si="2"/>
        <v>2600</v>
      </c>
      <c r="J22" s="12">
        <f t="shared" si="3"/>
        <v>-400</v>
      </c>
      <c r="K22" s="14">
        <f t="shared" si="4"/>
        <v>-0.15384615384615385</v>
      </c>
      <c r="L22" s="12" t="s">
        <v>229</v>
      </c>
      <c r="M22" s="15"/>
    </row>
    <row r="23" spans="1:13" x14ac:dyDescent="0.25">
      <c r="A23" s="16">
        <v>46003</v>
      </c>
      <c r="B23" s="17" t="s">
        <v>44</v>
      </c>
      <c r="C23" s="15">
        <v>1</v>
      </c>
      <c r="D23" s="22">
        <v>355469926647601</v>
      </c>
      <c r="E23" s="15">
        <v>2770</v>
      </c>
      <c r="F23" s="15">
        <v>2670</v>
      </c>
      <c r="G23" s="15">
        <f t="shared" si="0"/>
        <v>100</v>
      </c>
      <c r="H23" s="15">
        <f t="shared" si="1"/>
        <v>2770</v>
      </c>
      <c r="I23" s="15">
        <f t="shared" si="2"/>
        <v>2670</v>
      </c>
      <c r="J23" s="15">
        <f t="shared" si="3"/>
        <v>100</v>
      </c>
      <c r="K23" s="19">
        <f t="shared" si="4"/>
        <v>3.7453183520599252E-2</v>
      </c>
      <c r="L23" s="15" t="s">
        <v>243</v>
      </c>
      <c r="M23" s="15"/>
    </row>
    <row r="24" spans="1:13" x14ac:dyDescent="0.25">
      <c r="A24" s="10">
        <v>45995</v>
      </c>
      <c r="B24" s="11" t="s">
        <v>17</v>
      </c>
      <c r="C24" s="12">
        <v>1</v>
      </c>
      <c r="D24" s="31">
        <v>358112931587746</v>
      </c>
      <c r="E24" s="12">
        <v>3900</v>
      </c>
      <c r="F24" s="12">
        <v>4100</v>
      </c>
      <c r="G24" s="12">
        <f t="shared" si="0"/>
        <v>-200</v>
      </c>
      <c r="H24" s="12">
        <f t="shared" si="1"/>
        <v>3900</v>
      </c>
      <c r="I24" s="12">
        <f t="shared" si="2"/>
        <v>4100</v>
      </c>
      <c r="J24" s="12">
        <f t="shared" si="3"/>
        <v>-200</v>
      </c>
      <c r="K24" s="14">
        <f t="shared" si="4"/>
        <v>-4.878048780487805E-2</v>
      </c>
      <c r="L24" s="12" t="s">
        <v>238</v>
      </c>
      <c r="M24" s="15"/>
    </row>
    <row r="25" spans="1:13" x14ac:dyDescent="0.25">
      <c r="A25" s="16">
        <v>46003</v>
      </c>
      <c r="B25" s="17" t="s">
        <v>81</v>
      </c>
      <c r="C25" s="15">
        <v>1</v>
      </c>
      <c r="D25" s="22">
        <v>355827870063846</v>
      </c>
      <c r="E25" s="15">
        <v>2450</v>
      </c>
      <c r="F25" s="15">
        <v>2400</v>
      </c>
      <c r="G25" s="15">
        <f t="shared" si="0"/>
        <v>50</v>
      </c>
      <c r="H25" s="15">
        <f t="shared" si="1"/>
        <v>2450</v>
      </c>
      <c r="I25" s="15">
        <f t="shared" si="2"/>
        <v>2400</v>
      </c>
      <c r="J25" s="15">
        <f t="shared" si="3"/>
        <v>50</v>
      </c>
      <c r="K25" s="19">
        <f t="shared" si="4"/>
        <v>2.0833333333333332E-2</v>
      </c>
      <c r="L25" s="15" t="s">
        <v>227</v>
      </c>
      <c r="M25" s="15"/>
    </row>
    <row r="26" spans="1:13" x14ac:dyDescent="0.25">
      <c r="A26" s="16">
        <v>46003</v>
      </c>
      <c r="B26" s="17" t="s">
        <v>81</v>
      </c>
      <c r="C26" s="15">
        <v>1</v>
      </c>
      <c r="D26" s="25">
        <v>356187981344273</v>
      </c>
      <c r="E26" s="15">
        <v>2450</v>
      </c>
      <c r="F26" s="21">
        <v>2380</v>
      </c>
      <c r="G26" s="15">
        <f t="shared" si="0"/>
        <v>70</v>
      </c>
      <c r="H26" s="15">
        <f t="shared" si="1"/>
        <v>2450</v>
      </c>
      <c r="I26" s="15">
        <f t="shared" si="2"/>
        <v>2380</v>
      </c>
      <c r="J26" s="15">
        <f t="shared" si="3"/>
        <v>70</v>
      </c>
      <c r="K26" s="19">
        <f t="shared" si="4"/>
        <v>2.9411764705882353E-2</v>
      </c>
      <c r="L26" s="15" t="s">
        <v>228</v>
      </c>
      <c r="M26" s="15"/>
    </row>
    <row r="27" spans="1:13" x14ac:dyDescent="0.25">
      <c r="A27" s="16">
        <v>46003</v>
      </c>
      <c r="B27" s="17" t="s">
        <v>81</v>
      </c>
      <c r="C27" s="15">
        <v>1</v>
      </c>
      <c r="D27" s="25">
        <v>353938642499705</v>
      </c>
      <c r="E27" s="15">
        <v>2750</v>
      </c>
      <c r="F27" s="15">
        <v>2380</v>
      </c>
      <c r="G27" s="15">
        <f t="shared" si="0"/>
        <v>370</v>
      </c>
      <c r="H27" s="15">
        <f t="shared" si="1"/>
        <v>2750</v>
      </c>
      <c r="I27" s="15">
        <f t="shared" si="2"/>
        <v>2380</v>
      </c>
      <c r="J27" s="15">
        <f t="shared" si="3"/>
        <v>370</v>
      </c>
      <c r="K27" s="19">
        <f t="shared" si="4"/>
        <v>0.15546218487394958</v>
      </c>
      <c r="L27" s="15" t="s">
        <v>228</v>
      </c>
      <c r="M27" s="15" t="s">
        <v>230</v>
      </c>
    </row>
    <row r="28" spans="1:13" x14ac:dyDescent="0.25">
      <c r="A28" s="16">
        <v>46003</v>
      </c>
      <c r="B28" s="17" t="s">
        <v>81</v>
      </c>
      <c r="C28" s="15">
        <v>1</v>
      </c>
      <c r="D28" s="22">
        <v>356768328400587</v>
      </c>
      <c r="E28" s="15">
        <v>2450</v>
      </c>
      <c r="F28" s="21">
        <v>2380</v>
      </c>
      <c r="G28" s="15">
        <f t="shared" si="0"/>
        <v>70</v>
      </c>
      <c r="H28" s="15">
        <f t="shared" si="1"/>
        <v>2450</v>
      </c>
      <c r="I28" s="15">
        <f t="shared" si="2"/>
        <v>2380</v>
      </c>
      <c r="J28" s="15">
        <f t="shared" si="3"/>
        <v>70</v>
      </c>
      <c r="K28" s="19">
        <f t="shared" si="4"/>
        <v>2.9411764705882353E-2</v>
      </c>
      <c r="L28" s="15" t="s">
        <v>226</v>
      </c>
      <c r="M28" s="15"/>
    </row>
    <row r="29" spans="1:13" x14ac:dyDescent="0.25">
      <c r="A29" s="16">
        <v>46003</v>
      </c>
      <c r="B29" s="17" t="s">
        <v>81</v>
      </c>
      <c r="C29" s="15">
        <v>1</v>
      </c>
      <c r="D29" s="22">
        <v>356187981313302</v>
      </c>
      <c r="E29" s="15">
        <v>2450</v>
      </c>
      <c r="F29" s="15">
        <v>2380</v>
      </c>
      <c r="G29" s="15">
        <f t="shared" si="0"/>
        <v>70</v>
      </c>
      <c r="H29" s="15">
        <f t="shared" si="1"/>
        <v>2450</v>
      </c>
      <c r="I29" s="15">
        <f t="shared" si="2"/>
        <v>2380</v>
      </c>
      <c r="J29" s="15">
        <f t="shared" si="3"/>
        <v>70</v>
      </c>
      <c r="K29" s="19">
        <f t="shared" si="4"/>
        <v>2.9411764705882353E-2</v>
      </c>
      <c r="L29" s="15" t="s">
        <v>226</v>
      </c>
      <c r="M29" s="15"/>
    </row>
    <row r="30" spans="1:13" x14ac:dyDescent="0.25">
      <c r="A30" s="16">
        <v>46003</v>
      </c>
      <c r="B30" s="17" t="s">
        <v>81</v>
      </c>
      <c r="C30" s="15">
        <v>1</v>
      </c>
      <c r="D30" s="22">
        <v>353938641836493</v>
      </c>
      <c r="E30" s="15">
        <v>2400</v>
      </c>
      <c r="F30" s="15">
        <v>2380</v>
      </c>
      <c r="G30" s="15">
        <f t="shared" si="0"/>
        <v>20</v>
      </c>
      <c r="H30" s="15">
        <f t="shared" si="1"/>
        <v>2400</v>
      </c>
      <c r="I30" s="15">
        <f t="shared" si="2"/>
        <v>2380</v>
      </c>
      <c r="J30" s="15">
        <f t="shared" si="3"/>
        <v>20</v>
      </c>
      <c r="K30" s="19">
        <f t="shared" si="4"/>
        <v>8.4033613445378148E-3</v>
      </c>
      <c r="L30" s="15" t="s">
        <v>226</v>
      </c>
      <c r="M30" s="15"/>
    </row>
    <row r="31" spans="1:13" x14ac:dyDescent="0.25">
      <c r="A31" s="16">
        <v>46018</v>
      </c>
      <c r="B31" s="24" t="s">
        <v>195</v>
      </c>
      <c r="C31" s="15">
        <v>1</v>
      </c>
      <c r="D31" s="22">
        <v>351878871306704</v>
      </c>
      <c r="E31" s="15">
        <v>2000</v>
      </c>
      <c r="F31" s="15">
        <v>1900</v>
      </c>
      <c r="G31" s="15">
        <f t="shared" si="0"/>
        <v>100</v>
      </c>
      <c r="H31" s="15">
        <f t="shared" si="1"/>
        <v>2000</v>
      </c>
      <c r="I31" s="15">
        <f t="shared" si="2"/>
        <v>1900</v>
      </c>
      <c r="J31" s="15">
        <f t="shared" si="3"/>
        <v>100</v>
      </c>
      <c r="K31" s="19">
        <f t="shared" si="4"/>
        <v>5.2631578947368418E-2</v>
      </c>
      <c r="L31" s="15" t="s">
        <v>226</v>
      </c>
      <c r="M31" s="15"/>
    </row>
    <row r="32" spans="1:13" x14ac:dyDescent="0.25">
      <c r="A32" s="16">
        <v>46018</v>
      </c>
      <c r="B32" s="24" t="s">
        <v>195</v>
      </c>
      <c r="C32" s="15">
        <v>1</v>
      </c>
      <c r="D32" s="22">
        <v>358754772933834</v>
      </c>
      <c r="E32" s="15">
        <v>2000</v>
      </c>
      <c r="F32" s="15">
        <v>1900</v>
      </c>
      <c r="G32" s="15">
        <f t="shared" si="0"/>
        <v>100</v>
      </c>
      <c r="H32" s="15">
        <f t="shared" si="1"/>
        <v>2000</v>
      </c>
      <c r="I32" s="15">
        <f t="shared" si="2"/>
        <v>1900</v>
      </c>
      <c r="J32" s="15">
        <f t="shared" si="3"/>
        <v>100</v>
      </c>
      <c r="K32" s="19">
        <f t="shared" si="4"/>
        <v>5.2631578947368418E-2</v>
      </c>
      <c r="L32" s="15" t="s">
        <v>226</v>
      </c>
      <c r="M32" s="15"/>
    </row>
    <row r="33" spans="1:13" x14ac:dyDescent="0.25">
      <c r="A33" s="10">
        <v>46001</v>
      </c>
      <c r="B33" s="11" t="s">
        <v>50</v>
      </c>
      <c r="C33" s="12">
        <v>1</v>
      </c>
      <c r="D33" s="27">
        <v>352355702680986</v>
      </c>
      <c r="E33" s="12">
        <v>4000</v>
      </c>
      <c r="F33" s="12">
        <v>4100</v>
      </c>
      <c r="G33" s="12">
        <f t="shared" si="0"/>
        <v>-100</v>
      </c>
      <c r="H33" s="12">
        <f t="shared" si="1"/>
        <v>4000</v>
      </c>
      <c r="I33" s="12">
        <f t="shared" si="2"/>
        <v>4100</v>
      </c>
      <c r="J33" s="12">
        <f t="shared" si="3"/>
        <v>-100</v>
      </c>
      <c r="K33" s="14">
        <f t="shared" si="4"/>
        <v>-2.4390243902439025E-2</v>
      </c>
      <c r="L33" s="12" t="s">
        <v>226</v>
      </c>
      <c r="M33" s="15"/>
    </row>
    <row r="34" spans="1:13" x14ac:dyDescent="0.25">
      <c r="A34" s="10">
        <v>46001</v>
      </c>
      <c r="B34" s="11" t="s">
        <v>50</v>
      </c>
      <c r="C34" s="12">
        <v>1</v>
      </c>
      <c r="D34" s="27">
        <v>352355700093919</v>
      </c>
      <c r="E34" s="12">
        <v>4000</v>
      </c>
      <c r="F34" s="12">
        <v>4100</v>
      </c>
      <c r="G34" s="12">
        <f t="shared" si="0"/>
        <v>-100</v>
      </c>
      <c r="H34" s="12">
        <f t="shared" si="1"/>
        <v>4000</v>
      </c>
      <c r="I34" s="12">
        <f t="shared" si="2"/>
        <v>4100</v>
      </c>
      <c r="J34" s="12">
        <f t="shared" si="3"/>
        <v>-100</v>
      </c>
      <c r="K34" s="14">
        <f t="shared" si="4"/>
        <v>-2.4390243902439025E-2</v>
      </c>
      <c r="L34" s="12" t="s">
        <v>226</v>
      </c>
      <c r="M34" s="15"/>
    </row>
    <row r="35" spans="1:13" x14ac:dyDescent="0.25">
      <c r="A35" s="16">
        <v>46000</v>
      </c>
      <c r="B35" s="17" t="s">
        <v>48</v>
      </c>
      <c r="C35" s="15">
        <v>1</v>
      </c>
      <c r="D35" s="23">
        <v>356839672073906</v>
      </c>
      <c r="E35" s="15">
        <v>2700</v>
      </c>
      <c r="F35" s="15">
        <v>2600</v>
      </c>
      <c r="G35" s="15">
        <f t="shared" si="0"/>
        <v>100</v>
      </c>
      <c r="H35" s="15">
        <f t="shared" si="1"/>
        <v>2700</v>
      </c>
      <c r="I35" s="15">
        <f t="shared" si="2"/>
        <v>2600</v>
      </c>
      <c r="J35" s="15">
        <f t="shared" si="3"/>
        <v>100</v>
      </c>
      <c r="K35" s="19">
        <f t="shared" si="4"/>
        <v>3.8461538461538464E-2</v>
      </c>
      <c r="L35" s="15" t="s">
        <v>226</v>
      </c>
      <c r="M35" s="15"/>
    </row>
    <row r="36" spans="1:13" x14ac:dyDescent="0.25">
      <c r="A36" s="16">
        <v>46000</v>
      </c>
      <c r="B36" s="17" t="s">
        <v>48</v>
      </c>
      <c r="C36" s="15">
        <v>1</v>
      </c>
      <c r="D36" s="23">
        <v>354956978182801</v>
      </c>
      <c r="E36" s="15">
        <v>2700</v>
      </c>
      <c r="F36" s="15">
        <v>2600</v>
      </c>
      <c r="G36" s="15">
        <f t="shared" si="0"/>
        <v>100</v>
      </c>
      <c r="H36" s="15">
        <f t="shared" si="1"/>
        <v>2700</v>
      </c>
      <c r="I36" s="15">
        <f t="shared" si="2"/>
        <v>2600</v>
      </c>
      <c r="J36" s="15">
        <f t="shared" si="3"/>
        <v>100</v>
      </c>
      <c r="K36" s="19">
        <f t="shared" si="4"/>
        <v>3.8461538461538464E-2</v>
      </c>
      <c r="L36" s="15" t="s">
        <v>226</v>
      </c>
      <c r="M36" s="15"/>
    </row>
    <row r="37" spans="1:13" x14ac:dyDescent="0.25">
      <c r="A37" s="16">
        <v>46000</v>
      </c>
      <c r="B37" s="17" t="s">
        <v>48</v>
      </c>
      <c r="C37" s="15">
        <v>1</v>
      </c>
      <c r="D37" s="23">
        <v>353708842501760</v>
      </c>
      <c r="E37" s="15">
        <v>2700</v>
      </c>
      <c r="F37" s="15">
        <v>2600</v>
      </c>
      <c r="G37" s="15">
        <f t="shared" si="0"/>
        <v>100</v>
      </c>
      <c r="H37" s="15">
        <f t="shared" si="1"/>
        <v>2700</v>
      </c>
      <c r="I37" s="15">
        <f t="shared" si="2"/>
        <v>2600</v>
      </c>
      <c r="J37" s="15">
        <f t="shared" si="3"/>
        <v>100</v>
      </c>
      <c r="K37" s="19">
        <f t="shared" si="4"/>
        <v>3.8461538461538464E-2</v>
      </c>
      <c r="L37" s="15" t="s">
        <v>226</v>
      </c>
      <c r="M37" s="15"/>
    </row>
    <row r="38" spans="1:13" x14ac:dyDescent="0.25">
      <c r="A38" s="16">
        <v>46001</v>
      </c>
      <c r="B38" s="17" t="s">
        <v>48</v>
      </c>
      <c r="C38" s="15">
        <v>1</v>
      </c>
      <c r="D38" s="22">
        <v>359724855118883</v>
      </c>
      <c r="E38" s="15">
        <v>2720</v>
      </c>
      <c r="F38" s="15">
        <v>2600</v>
      </c>
      <c r="G38" s="15">
        <f t="shared" si="0"/>
        <v>120</v>
      </c>
      <c r="H38" s="15">
        <f t="shared" si="1"/>
        <v>2720</v>
      </c>
      <c r="I38" s="15">
        <f t="shared" si="2"/>
        <v>2600</v>
      </c>
      <c r="J38" s="15">
        <f t="shared" si="3"/>
        <v>120</v>
      </c>
      <c r="K38" s="19">
        <f t="shared" si="4"/>
        <v>4.6153846153846156E-2</v>
      </c>
      <c r="L38" s="15" t="s">
        <v>226</v>
      </c>
      <c r="M38" s="15"/>
    </row>
    <row r="39" spans="1:13" x14ac:dyDescent="0.25">
      <c r="A39" s="16">
        <v>46001</v>
      </c>
      <c r="B39" s="17" t="s">
        <v>48</v>
      </c>
      <c r="C39" s="15">
        <v>1</v>
      </c>
      <c r="D39" s="22">
        <v>350455776284608</v>
      </c>
      <c r="E39" s="15">
        <v>2720</v>
      </c>
      <c r="F39" s="15">
        <v>2600</v>
      </c>
      <c r="G39" s="15">
        <f t="shared" si="0"/>
        <v>120</v>
      </c>
      <c r="H39" s="15">
        <f t="shared" si="1"/>
        <v>2720</v>
      </c>
      <c r="I39" s="15">
        <f t="shared" si="2"/>
        <v>2600</v>
      </c>
      <c r="J39" s="15">
        <f t="shared" si="3"/>
        <v>120</v>
      </c>
      <c r="K39" s="19">
        <f t="shared" si="4"/>
        <v>4.6153846153846156E-2</v>
      </c>
      <c r="L39" s="15" t="s">
        <v>226</v>
      </c>
      <c r="M39" s="15"/>
    </row>
    <row r="40" spans="1:13" x14ac:dyDescent="0.25">
      <c r="A40" s="16">
        <v>46001</v>
      </c>
      <c r="B40" s="17" t="s">
        <v>48</v>
      </c>
      <c r="C40" s="15">
        <v>1</v>
      </c>
      <c r="D40" s="22">
        <v>359724858931795</v>
      </c>
      <c r="E40" s="15">
        <v>2720</v>
      </c>
      <c r="F40" s="15">
        <v>2600</v>
      </c>
      <c r="G40" s="15">
        <f t="shared" si="0"/>
        <v>120</v>
      </c>
      <c r="H40" s="15">
        <f t="shared" si="1"/>
        <v>2720</v>
      </c>
      <c r="I40" s="15">
        <f t="shared" si="2"/>
        <v>2600</v>
      </c>
      <c r="J40" s="15">
        <f t="shared" si="3"/>
        <v>120</v>
      </c>
      <c r="K40" s="19">
        <f t="shared" si="4"/>
        <v>4.6153846153846156E-2</v>
      </c>
      <c r="L40" s="15" t="s">
        <v>226</v>
      </c>
      <c r="M40" s="15"/>
    </row>
    <row r="41" spans="1:13" x14ac:dyDescent="0.25">
      <c r="A41" s="16">
        <v>46003</v>
      </c>
      <c r="B41" s="17" t="s">
        <v>48</v>
      </c>
      <c r="C41" s="15">
        <v>1</v>
      </c>
      <c r="D41" s="23">
        <v>359724859588214</v>
      </c>
      <c r="E41" s="15">
        <v>2700</v>
      </c>
      <c r="F41" s="15">
        <v>2550</v>
      </c>
      <c r="G41" s="15">
        <f t="shared" si="0"/>
        <v>150</v>
      </c>
      <c r="H41" s="15">
        <f t="shared" si="1"/>
        <v>2700</v>
      </c>
      <c r="I41" s="15">
        <f t="shared" si="2"/>
        <v>2550</v>
      </c>
      <c r="J41" s="15">
        <f t="shared" si="3"/>
        <v>150</v>
      </c>
      <c r="K41" s="19">
        <f t="shared" si="4"/>
        <v>5.8823529411764705E-2</v>
      </c>
      <c r="L41" s="15" t="s">
        <v>226</v>
      </c>
      <c r="M41" s="15"/>
    </row>
    <row r="42" spans="1:13" x14ac:dyDescent="0.25">
      <c r="A42" s="16">
        <v>46007</v>
      </c>
      <c r="B42" s="17" t="s">
        <v>48</v>
      </c>
      <c r="C42" s="15">
        <v>1</v>
      </c>
      <c r="D42" s="23">
        <v>353708842906761</v>
      </c>
      <c r="E42" s="15">
        <v>2670</v>
      </c>
      <c r="F42" s="15">
        <v>2550</v>
      </c>
      <c r="G42" s="15">
        <f t="shared" si="0"/>
        <v>120</v>
      </c>
      <c r="H42" s="15">
        <f t="shared" si="1"/>
        <v>2670</v>
      </c>
      <c r="I42" s="15">
        <f t="shared" si="2"/>
        <v>2550</v>
      </c>
      <c r="J42" s="15">
        <f t="shared" si="3"/>
        <v>120</v>
      </c>
      <c r="K42" s="19">
        <f t="shared" si="4"/>
        <v>4.7058823529411764E-2</v>
      </c>
      <c r="L42" s="15" t="s">
        <v>226</v>
      </c>
      <c r="M42" s="15"/>
    </row>
    <row r="43" spans="1:13" x14ac:dyDescent="0.25">
      <c r="A43" s="16">
        <v>46001</v>
      </c>
      <c r="B43" s="20" t="s">
        <v>14</v>
      </c>
      <c r="C43" s="15">
        <v>1</v>
      </c>
      <c r="D43" s="22">
        <v>352791396756379</v>
      </c>
      <c r="E43" s="15">
        <v>3500</v>
      </c>
      <c r="F43" s="15">
        <v>3360</v>
      </c>
      <c r="G43" s="15">
        <f t="shared" si="0"/>
        <v>140</v>
      </c>
      <c r="H43" s="15">
        <f t="shared" si="1"/>
        <v>3500</v>
      </c>
      <c r="I43" s="15">
        <f t="shared" si="2"/>
        <v>3360</v>
      </c>
      <c r="J43" s="15">
        <f t="shared" si="3"/>
        <v>140</v>
      </c>
      <c r="K43" s="19">
        <f t="shared" si="4"/>
        <v>4.1666666666666664E-2</v>
      </c>
      <c r="L43" s="15" t="s">
        <v>226</v>
      </c>
      <c r="M43" s="15"/>
    </row>
    <row r="44" spans="1:13" x14ac:dyDescent="0.25">
      <c r="A44" s="16">
        <v>46004</v>
      </c>
      <c r="B44" s="20" t="s">
        <v>79</v>
      </c>
      <c r="C44" s="15">
        <v>1</v>
      </c>
      <c r="D44" s="22">
        <v>357999604759060</v>
      </c>
      <c r="E44" s="15">
        <v>3400</v>
      </c>
      <c r="F44" s="15">
        <v>3250</v>
      </c>
      <c r="G44" s="15">
        <f t="shared" si="0"/>
        <v>150</v>
      </c>
      <c r="H44" s="15">
        <f t="shared" si="1"/>
        <v>3400</v>
      </c>
      <c r="I44" s="15">
        <f t="shared" si="2"/>
        <v>3250</v>
      </c>
      <c r="J44" s="15">
        <f t="shared" si="3"/>
        <v>150</v>
      </c>
      <c r="K44" s="19">
        <f t="shared" si="4"/>
        <v>4.6153846153846156E-2</v>
      </c>
      <c r="L44" s="15" t="s">
        <v>226</v>
      </c>
      <c r="M44" s="15"/>
    </row>
    <row r="45" spans="1:13" x14ac:dyDescent="0.25">
      <c r="A45" s="16">
        <v>46004</v>
      </c>
      <c r="B45" s="17" t="s">
        <v>43</v>
      </c>
      <c r="C45" s="15">
        <v>1</v>
      </c>
      <c r="D45" s="23">
        <v>357223742073445</v>
      </c>
      <c r="E45" s="15">
        <v>2030</v>
      </c>
      <c r="F45" s="15">
        <v>1900</v>
      </c>
      <c r="G45" s="15">
        <f t="shared" si="0"/>
        <v>130</v>
      </c>
      <c r="H45" s="15">
        <f t="shared" si="1"/>
        <v>2030</v>
      </c>
      <c r="I45" s="15">
        <f t="shared" si="2"/>
        <v>1900</v>
      </c>
      <c r="J45" s="15">
        <f t="shared" si="3"/>
        <v>130</v>
      </c>
      <c r="K45" s="19">
        <f t="shared" si="4"/>
        <v>6.8421052631578952E-2</v>
      </c>
      <c r="L45" s="15" t="s">
        <v>226</v>
      </c>
      <c r="M45" s="15"/>
    </row>
    <row r="46" spans="1:13" x14ac:dyDescent="0.25">
      <c r="A46" s="16">
        <v>46006</v>
      </c>
      <c r="B46" s="17" t="s">
        <v>43</v>
      </c>
      <c r="C46" s="15">
        <v>1</v>
      </c>
      <c r="D46" s="23">
        <v>355413810072484</v>
      </c>
      <c r="E46" s="15">
        <v>2000</v>
      </c>
      <c r="F46" s="15">
        <v>1900</v>
      </c>
      <c r="G46" s="15">
        <f t="shared" si="0"/>
        <v>100</v>
      </c>
      <c r="H46" s="15">
        <f t="shared" si="1"/>
        <v>2000</v>
      </c>
      <c r="I46" s="15">
        <f t="shared" si="2"/>
        <v>1900</v>
      </c>
      <c r="J46" s="15">
        <f t="shared" si="3"/>
        <v>100</v>
      </c>
      <c r="K46" s="19">
        <f t="shared" si="4"/>
        <v>5.2631578947368418E-2</v>
      </c>
      <c r="L46" s="15" t="s">
        <v>226</v>
      </c>
      <c r="M46" s="15"/>
    </row>
    <row r="47" spans="1:13" x14ac:dyDescent="0.25">
      <c r="A47" s="16">
        <v>46007</v>
      </c>
      <c r="B47" s="17" t="s">
        <v>43</v>
      </c>
      <c r="C47" s="15">
        <v>1</v>
      </c>
      <c r="D47" s="22">
        <v>355413810332201</v>
      </c>
      <c r="E47" s="15">
        <v>1940</v>
      </c>
      <c r="F47" s="15">
        <v>1900</v>
      </c>
      <c r="G47" s="15">
        <f t="shared" si="0"/>
        <v>40</v>
      </c>
      <c r="H47" s="15">
        <f t="shared" si="1"/>
        <v>1940</v>
      </c>
      <c r="I47" s="15">
        <f t="shared" si="2"/>
        <v>1900</v>
      </c>
      <c r="J47" s="15">
        <f t="shared" si="3"/>
        <v>40</v>
      </c>
      <c r="K47" s="19">
        <f t="shared" si="4"/>
        <v>2.1052631578947368E-2</v>
      </c>
      <c r="L47" s="15" t="s">
        <v>226</v>
      </c>
      <c r="M47" s="15"/>
    </row>
    <row r="48" spans="1:13" x14ac:dyDescent="0.25">
      <c r="A48" s="16">
        <v>46007</v>
      </c>
      <c r="B48" s="17" t="s">
        <v>43</v>
      </c>
      <c r="C48" s="15">
        <v>1</v>
      </c>
      <c r="D48" s="22">
        <v>353621713441422</v>
      </c>
      <c r="E48" s="15">
        <v>1940</v>
      </c>
      <c r="F48" s="15">
        <v>1900</v>
      </c>
      <c r="G48" s="15">
        <f t="shared" si="0"/>
        <v>40</v>
      </c>
      <c r="H48" s="15">
        <f t="shared" si="1"/>
        <v>1940</v>
      </c>
      <c r="I48" s="15">
        <f t="shared" si="2"/>
        <v>1900</v>
      </c>
      <c r="J48" s="15">
        <f t="shared" si="3"/>
        <v>40</v>
      </c>
      <c r="K48" s="19">
        <f t="shared" si="4"/>
        <v>2.1052631578947368E-2</v>
      </c>
      <c r="L48" s="15" t="s">
        <v>226</v>
      </c>
      <c r="M48" s="15"/>
    </row>
    <row r="49" spans="1:13" x14ac:dyDescent="0.25">
      <c r="A49" s="16">
        <v>46007</v>
      </c>
      <c r="B49" s="17" t="s">
        <v>43</v>
      </c>
      <c r="C49" s="15">
        <v>1</v>
      </c>
      <c r="D49" s="22">
        <v>355413810526489</v>
      </c>
      <c r="E49" s="15">
        <v>1940</v>
      </c>
      <c r="F49" s="15">
        <v>1900</v>
      </c>
      <c r="G49" s="15">
        <f t="shared" si="0"/>
        <v>40</v>
      </c>
      <c r="H49" s="15">
        <f t="shared" si="1"/>
        <v>1940</v>
      </c>
      <c r="I49" s="15">
        <f t="shared" si="2"/>
        <v>1900</v>
      </c>
      <c r="J49" s="15">
        <f t="shared" si="3"/>
        <v>40</v>
      </c>
      <c r="K49" s="19">
        <f t="shared" si="4"/>
        <v>2.1052631578947368E-2</v>
      </c>
      <c r="L49" s="15" t="s">
        <v>226</v>
      </c>
      <c r="M49" s="15"/>
    </row>
    <row r="50" spans="1:13" x14ac:dyDescent="0.25">
      <c r="A50" s="16">
        <v>46003</v>
      </c>
      <c r="B50" s="20" t="s">
        <v>80</v>
      </c>
      <c r="C50" s="15">
        <v>1</v>
      </c>
      <c r="D50" s="22">
        <v>351878870956988</v>
      </c>
      <c r="E50" s="15">
        <v>2020</v>
      </c>
      <c r="F50" s="15">
        <v>1900</v>
      </c>
      <c r="G50" s="15">
        <f t="shared" si="0"/>
        <v>120</v>
      </c>
      <c r="H50" s="15">
        <f t="shared" si="1"/>
        <v>2020</v>
      </c>
      <c r="I50" s="15">
        <f t="shared" si="2"/>
        <v>1900</v>
      </c>
      <c r="J50" s="15">
        <f t="shared" si="3"/>
        <v>120</v>
      </c>
      <c r="K50" s="19">
        <f t="shared" si="4"/>
        <v>6.3157894736842107E-2</v>
      </c>
      <c r="L50" s="15" t="s">
        <v>226</v>
      </c>
      <c r="M50" s="15"/>
    </row>
    <row r="51" spans="1:13" x14ac:dyDescent="0.25">
      <c r="A51" s="16">
        <v>46003</v>
      </c>
      <c r="B51" s="20" t="s">
        <v>80</v>
      </c>
      <c r="C51" s="15">
        <v>1</v>
      </c>
      <c r="D51" s="22">
        <v>351878871045781</v>
      </c>
      <c r="E51" s="15">
        <v>2020</v>
      </c>
      <c r="F51" s="15">
        <v>1900</v>
      </c>
      <c r="G51" s="15">
        <f t="shared" si="0"/>
        <v>120</v>
      </c>
      <c r="H51" s="15">
        <f t="shared" si="1"/>
        <v>2020</v>
      </c>
      <c r="I51" s="15">
        <f t="shared" si="2"/>
        <v>1900</v>
      </c>
      <c r="J51" s="15">
        <f t="shared" si="3"/>
        <v>120</v>
      </c>
      <c r="K51" s="19">
        <f t="shared" si="4"/>
        <v>6.3157894736842107E-2</v>
      </c>
      <c r="L51" s="15" t="s">
        <v>226</v>
      </c>
      <c r="M51" s="15"/>
    </row>
    <row r="52" spans="1:13" x14ac:dyDescent="0.25">
      <c r="A52" s="10">
        <v>46010</v>
      </c>
      <c r="B52" s="26" t="s">
        <v>115</v>
      </c>
      <c r="C52" s="12">
        <v>1</v>
      </c>
      <c r="D52" s="27">
        <v>352355709039319</v>
      </c>
      <c r="E52" s="12">
        <v>4030</v>
      </c>
      <c r="F52" s="12">
        <v>4100</v>
      </c>
      <c r="G52" s="12">
        <f t="shared" si="0"/>
        <v>-70</v>
      </c>
      <c r="H52" s="12">
        <f t="shared" si="1"/>
        <v>4030</v>
      </c>
      <c r="I52" s="12">
        <f t="shared" si="2"/>
        <v>4100</v>
      </c>
      <c r="J52" s="12">
        <f t="shared" si="3"/>
        <v>-70</v>
      </c>
      <c r="K52" s="14">
        <f t="shared" si="4"/>
        <v>-1.7073170731707318E-2</v>
      </c>
      <c r="L52" s="12" t="s">
        <v>239</v>
      </c>
      <c r="M52" s="15"/>
    </row>
    <row r="53" spans="1:13" x14ac:dyDescent="0.25">
      <c r="A53" s="16">
        <v>46009</v>
      </c>
      <c r="B53" s="17" t="s">
        <v>48</v>
      </c>
      <c r="C53" s="15">
        <v>1</v>
      </c>
      <c r="D53" s="22">
        <v>356839675260138</v>
      </c>
      <c r="E53" s="15">
        <v>2610</v>
      </c>
      <c r="F53" s="15">
        <v>2500</v>
      </c>
      <c r="G53" s="15">
        <f t="shared" si="0"/>
        <v>110</v>
      </c>
      <c r="H53" s="15">
        <f t="shared" si="1"/>
        <v>2610</v>
      </c>
      <c r="I53" s="15">
        <f t="shared" si="2"/>
        <v>2500</v>
      </c>
      <c r="J53" s="15">
        <f t="shared" si="3"/>
        <v>110</v>
      </c>
      <c r="K53" s="19">
        <f t="shared" si="4"/>
        <v>4.3999999999999997E-2</v>
      </c>
      <c r="L53" s="15" t="s">
        <v>239</v>
      </c>
      <c r="M53" s="15"/>
    </row>
    <row r="54" spans="1:13" x14ac:dyDescent="0.25">
      <c r="A54" s="16">
        <v>46009</v>
      </c>
      <c r="B54" s="17" t="s">
        <v>48</v>
      </c>
      <c r="C54" s="15">
        <v>1</v>
      </c>
      <c r="D54" s="22">
        <v>355500356853812</v>
      </c>
      <c r="E54" s="15">
        <v>2610</v>
      </c>
      <c r="F54" s="15">
        <v>2500</v>
      </c>
      <c r="G54" s="15">
        <f t="shared" si="0"/>
        <v>110</v>
      </c>
      <c r="H54" s="15">
        <f t="shared" si="1"/>
        <v>2610</v>
      </c>
      <c r="I54" s="15">
        <f t="shared" si="2"/>
        <v>2500</v>
      </c>
      <c r="J54" s="15">
        <f t="shared" si="3"/>
        <v>110</v>
      </c>
      <c r="K54" s="19">
        <f t="shared" si="4"/>
        <v>4.3999999999999997E-2</v>
      </c>
      <c r="L54" s="15" t="s">
        <v>239</v>
      </c>
      <c r="M54" s="15"/>
    </row>
    <row r="55" spans="1:13" x14ac:dyDescent="0.25">
      <c r="A55" s="16">
        <v>46010</v>
      </c>
      <c r="B55" s="17" t="s">
        <v>48</v>
      </c>
      <c r="C55" s="15">
        <v>1</v>
      </c>
      <c r="D55" s="22">
        <v>353708844049883</v>
      </c>
      <c r="E55" s="15">
        <v>2550</v>
      </c>
      <c r="F55" s="15">
        <v>2450</v>
      </c>
      <c r="G55" s="15">
        <f t="shared" si="0"/>
        <v>100</v>
      </c>
      <c r="H55" s="15">
        <f t="shared" si="1"/>
        <v>2550</v>
      </c>
      <c r="I55" s="15">
        <f t="shared" si="2"/>
        <v>2450</v>
      </c>
      <c r="J55" s="15">
        <f t="shared" si="3"/>
        <v>100</v>
      </c>
      <c r="K55" s="19">
        <f t="shared" si="4"/>
        <v>4.0816326530612242E-2</v>
      </c>
      <c r="L55" s="15" t="s">
        <v>239</v>
      </c>
      <c r="M55" s="15"/>
    </row>
    <row r="56" spans="1:13" x14ac:dyDescent="0.25">
      <c r="A56" s="16">
        <v>46010</v>
      </c>
      <c r="B56" s="17" t="s">
        <v>48</v>
      </c>
      <c r="C56" s="15">
        <v>1</v>
      </c>
      <c r="D56" s="22">
        <v>353748534011173</v>
      </c>
      <c r="E56" s="15">
        <v>2550</v>
      </c>
      <c r="F56" s="15">
        <v>2450</v>
      </c>
      <c r="G56" s="15">
        <f t="shared" si="0"/>
        <v>100</v>
      </c>
      <c r="H56" s="15">
        <f t="shared" si="1"/>
        <v>2550</v>
      </c>
      <c r="I56" s="15">
        <f t="shared" si="2"/>
        <v>2450</v>
      </c>
      <c r="J56" s="15">
        <f t="shared" si="3"/>
        <v>100</v>
      </c>
      <c r="K56" s="19">
        <f t="shared" si="4"/>
        <v>4.0816326530612242E-2</v>
      </c>
      <c r="L56" s="15" t="s">
        <v>239</v>
      </c>
      <c r="M56" s="15"/>
    </row>
    <row r="57" spans="1:13" x14ac:dyDescent="0.25">
      <c r="A57" s="16">
        <v>46010</v>
      </c>
      <c r="B57" s="17" t="s">
        <v>48</v>
      </c>
      <c r="C57" s="15">
        <v>1</v>
      </c>
      <c r="D57" s="22">
        <v>356250540327880</v>
      </c>
      <c r="E57" s="15">
        <v>2550</v>
      </c>
      <c r="F57" s="15">
        <v>2450</v>
      </c>
      <c r="G57" s="15">
        <f t="shared" si="0"/>
        <v>100</v>
      </c>
      <c r="H57" s="15">
        <f t="shared" si="1"/>
        <v>2550</v>
      </c>
      <c r="I57" s="15">
        <f t="shared" si="2"/>
        <v>2450</v>
      </c>
      <c r="J57" s="15">
        <f t="shared" si="3"/>
        <v>100</v>
      </c>
      <c r="K57" s="19">
        <f t="shared" si="4"/>
        <v>4.0816326530612242E-2</v>
      </c>
      <c r="L57" s="15" t="s">
        <v>239</v>
      </c>
      <c r="M57" s="15"/>
    </row>
    <row r="58" spans="1:13" x14ac:dyDescent="0.25">
      <c r="A58" s="16">
        <v>46010</v>
      </c>
      <c r="B58" s="20" t="s">
        <v>75</v>
      </c>
      <c r="C58" s="15">
        <v>1</v>
      </c>
      <c r="D58" s="23">
        <v>356839673448206</v>
      </c>
      <c r="E58" s="15">
        <v>2670</v>
      </c>
      <c r="F58" s="15">
        <v>2500</v>
      </c>
      <c r="G58" s="15">
        <f t="shared" si="0"/>
        <v>170</v>
      </c>
      <c r="H58" s="15">
        <f t="shared" si="1"/>
        <v>2670</v>
      </c>
      <c r="I58" s="15">
        <f t="shared" si="2"/>
        <v>2500</v>
      </c>
      <c r="J58" s="15">
        <f t="shared" si="3"/>
        <v>170</v>
      </c>
      <c r="K58" s="19">
        <f t="shared" si="4"/>
        <v>6.8000000000000005E-2</v>
      </c>
      <c r="L58" s="15" t="s">
        <v>239</v>
      </c>
      <c r="M58" s="15"/>
    </row>
    <row r="59" spans="1:13" x14ac:dyDescent="0.25">
      <c r="A59" s="16">
        <v>46009</v>
      </c>
      <c r="B59" s="20" t="s">
        <v>14</v>
      </c>
      <c r="C59" s="15">
        <v>1</v>
      </c>
      <c r="D59" s="23">
        <v>358482496936087</v>
      </c>
      <c r="E59" s="15">
        <v>3470</v>
      </c>
      <c r="F59" s="15">
        <v>3380</v>
      </c>
      <c r="G59" s="15">
        <f t="shared" si="0"/>
        <v>90</v>
      </c>
      <c r="H59" s="15">
        <f t="shared" si="1"/>
        <v>3470</v>
      </c>
      <c r="I59" s="15">
        <f t="shared" si="2"/>
        <v>3380</v>
      </c>
      <c r="J59" s="15">
        <f t="shared" si="3"/>
        <v>90</v>
      </c>
      <c r="K59" s="19">
        <f t="shared" si="4"/>
        <v>2.6627218934911243E-2</v>
      </c>
      <c r="L59" s="15" t="s">
        <v>239</v>
      </c>
      <c r="M59" s="15"/>
    </row>
    <row r="60" spans="1:13" x14ac:dyDescent="0.25">
      <c r="A60" s="16">
        <v>46009</v>
      </c>
      <c r="B60" s="20" t="s">
        <v>14</v>
      </c>
      <c r="C60" s="15">
        <v>1</v>
      </c>
      <c r="D60" s="23">
        <v>353837417592050</v>
      </c>
      <c r="E60" s="15">
        <v>3500</v>
      </c>
      <c r="F60" s="15">
        <v>3380</v>
      </c>
      <c r="G60" s="15">
        <f t="shared" si="0"/>
        <v>120</v>
      </c>
      <c r="H60" s="15">
        <f t="shared" si="1"/>
        <v>3500</v>
      </c>
      <c r="I60" s="15">
        <f t="shared" si="2"/>
        <v>3380</v>
      </c>
      <c r="J60" s="15">
        <f t="shared" si="3"/>
        <v>120</v>
      </c>
      <c r="K60" s="19">
        <f t="shared" si="4"/>
        <v>3.5502958579881658E-2</v>
      </c>
      <c r="L60" s="15" t="s">
        <v>239</v>
      </c>
      <c r="M60" s="15"/>
    </row>
    <row r="61" spans="1:13" x14ac:dyDescent="0.25">
      <c r="A61" s="16">
        <v>46009</v>
      </c>
      <c r="B61" s="20" t="s">
        <v>14</v>
      </c>
      <c r="C61" s="15">
        <v>1</v>
      </c>
      <c r="D61" s="22">
        <v>358482492103146</v>
      </c>
      <c r="E61" s="15">
        <v>3480</v>
      </c>
      <c r="F61" s="15">
        <v>3380</v>
      </c>
      <c r="G61" s="15">
        <f t="shared" si="0"/>
        <v>100</v>
      </c>
      <c r="H61" s="15">
        <f t="shared" si="1"/>
        <v>3480</v>
      </c>
      <c r="I61" s="15">
        <f t="shared" si="2"/>
        <v>3380</v>
      </c>
      <c r="J61" s="15">
        <f t="shared" si="3"/>
        <v>100</v>
      </c>
      <c r="K61" s="19">
        <f t="shared" si="4"/>
        <v>2.9585798816568046E-2</v>
      </c>
      <c r="L61" s="15" t="s">
        <v>239</v>
      </c>
      <c r="M61" s="15"/>
    </row>
    <row r="62" spans="1:13" x14ac:dyDescent="0.25">
      <c r="A62" s="16">
        <v>46009</v>
      </c>
      <c r="B62" s="20" t="s">
        <v>14</v>
      </c>
      <c r="C62" s="15">
        <v>1</v>
      </c>
      <c r="D62" s="22">
        <v>358482495279059</v>
      </c>
      <c r="E62" s="15">
        <v>3480</v>
      </c>
      <c r="F62" s="15">
        <v>3380</v>
      </c>
      <c r="G62" s="15">
        <f t="shared" si="0"/>
        <v>100</v>
      </c>
      <c r="H62" s="15">
        <f t="shared" si="1"/>
        <v>3480</v>
      </c>
      <c r="I62" s="15">
        <f t="shared" si="2"/>
        <v>3380</v>
      </c>
      <c r="J62" s="15">
        <f t="shared" si="3"/>
        <v>100</v>
      </c>
      <c r="K62" s="19">
        <f t="shared" si="4"/>
        <v>2.9585798816568046E-2</v>
      </c>
      <c r="L62" s="15" t="s">
        <v>239</v>
      </c>
      <c r="M62" s="15"/>
    </row>
    <row r="63" spans="1:13" x14ac:dyDescent="0.25">
      <c r="A63" s="16">
        <v>46009</v>
      </c>
      <c r="B63" s="20" t="s">
        <v>14</v>
      </c>
      <c r="C63" s="15">
        <v>1</v>
      </c>
      <c r="D63" s="22">
        <v>358482495474882</v>
      </c>
      <c r="E63" s="15">
        <v>3480</v>
      </c>
      <c r="F63" s="15">
        <v>3380</v>
      </c>
      <c r="G63" s="15">
        <f t="shared" si="0"/>
        <v>100</v>
      </c>
      <c r="H63" s="15">
        <f t="shared" si="1"/>
        <v>3480</v>
      </c>
      <c r="I63" s="15">
        <f t="shared" si="2"/>
        <v>3380</v>
      </c>
      <c r="J63" s="15">
        <f t="shared" si="3"/>
        <v>100</v>
      </c>
      <c r="K63" s="19">
        <f t="shared" si="4"/>
        <v>2.9585798816568046E-2</v>
      </c>
      <c r="L63" s="15" t="s">
        <v>239</v>
      </c>
      <c r="M63" s="15"/>
    </row>
    <row r="64" spans="1:13" x14ac:dyDescent="0.25">
      <c r="A64" s="16">
        <v>46009</v>
      </c>
      <c r="B64" s="20" t="s">
        <v>14</v>
      </c>
      <c r="C64" s="15">
        <v>1</v>
      </c>
      <c r="D64" s="22">
        <v>352791398319366</v>
      </c>
      <c r="E64" s="15">
        <v>3150</v>
      </c>
      <c r="F64" s="15">
        <v>3120</v>
      </c>
      <c r="G64" s="15">
        <f t="shared" si="0"/>
        <v>30</v>
      </c>
      <c r="H64" s="15">
        <f t="shared" si="1"/>
        <v>3150</v>
      </c>
      <c r="I64" s="15">
        <f t="shared" si="2"/>
        <v>3120</v>
      </c>
      <c r="J64" s="15">
        <f t="shared" si="3"/>
        <v>30</v>
      </c>
      <c r="K64" s="19">
        <f t="shared" si="4"/>
        <v>9.6153846153846159E-3</v>
      </c>
      <c r="L64" s="15" t="s">
        <v>239</v>
      </c>
      <c r="M64" s="15"/>
    </row>
    <row r="65" spans="1:13" x14ac:dyDescent="0.25">
      <c r="A65" s="16">
        <v>46009</v>
      </c>
      <c r="B65" s="20" t="s">
        <v>14</v>
      </c>
      <c r="C65" s="15">
        <v>1</v>
      </c>
      <c r="D65" s="22">
        <v>358482498890142</v>
      </c>
      <c r="E65" s="15">
        <v>3150</v>
      </c>
      <c r="F65" s="15">
        <v>3120</v>
      </c>
      <c r="G65" s="15">
        <f t="shared" si="0"/>
        <v>30</v>
      </c>
      <c r="H65" s="15">
        <f t="shared" si="1"/>
        <v>3150</v>
      </c>
      <c r="I65" s="15">
        <f t="shared" si="2"/>
        <v>3120</v>
      </c>
      <c r="J65" s="15">
        <f t="shared" si="3"/>
        <v>30</v>
      </c>
      <c r="K65" s="19">
        <f t="shared" si="4"/>
        <v>9.6153846153846159E-3</v>
      </c>
      <c r="L65" s="15" t="s">
        <v>239</v>
      </c>
      <c r="M65" s="15"/>
    </row>
    <row r="66" spans="1:13" x14ac:dyDescent="0.25">
      <c r="A66" s="16">
        <v>46009</v>
      </c>
      <c r="B66" s="20" t="s">
        <v>14</v>
      </c>
      <c r="C66" s="15">
        <v>1</v>
      </c>
      <c r="D66" s="22">
        <v>355450210168199</v>
      </c>
      <c r="E66" s="15">
        <v>3150</v>
      </c>
      <c r="F66" s="15">
        <v>3120</v>
      </c>
      <c r="G66" s="15">
        <f t="shared" ref="G66:G129" si="5">E66-F66</f>
        <v>30</v>
      </c>
      <c r="H66" s="15">
        <f t="shared" ref="H66:H129" si="6">E66*C66</f>
        <v>3150</v>
      </c>
      <c r="I66" s="15">
        <f t="shared" ref="I66:I129" si="7">F66*C66</f>
        <v>3120</v>
      </c>
      <c r="J66" s="15">
        <f t="shared" ref="J66:J129" si="8">H66-I66</f>
        <v>30</v>
      </c>
      <c r="K66" s="19">
        <f t="shared" ref="K66:K129" si="9">(E66-F66)/F66</f>
        <v>9.6153846153846159E-3</v>
      </c>
      <c r="L66" s="15" t="s">
        <v>239</v>
      </c>
      <c r="M66" s="15"/>
    </row>
    <row r="67" spans="1:13" x14ac:dyDescent="0.25">
      <c r="A67" s="16">
        <v>46009</v>
      </c>
      <c r="B67" s="17" t="s">
        <v>43</v>
      </c>
      <c r="C67" s="15">
        <v>1</v>
      </c>
      <c r="D67" s="23">
        <v>357223744839108</v>
      </c>
      <c r="E67" s="15">
        <v>1990</v>
      </c>
      <c r="F67" s="15">
        <v>1900</v>
      </c>
      <c r="G67" s="15">
        <f t="shared" si="5"/>
        <v>90</v>
      </c>
      <c r="H67" s="15">
        <f t="shared" si="6"/>
        <v>1990</v>
      </c>
      <c r="I67" s="15">
        <f t="shared" si="7"/>
        <v>1900</v>
      </c>
      <c r="J67" s="15">
        <f t="shared" si="8"/>
        <v>90</v>
      </c>
      <c r="K67" s="19">
        <f t="shared" si="9"/>
        <v>4.736842105263158E-2</v>
      </c>
      <c r="L67" s="15" t="s">
        <v>239</v>
      </c>
      <c r="M67" s="15"/>
    </row>
    <row r="68" spans="1:13" x14ac:dyDescent="0.25">
      <c r="A68" s="16">
        <v>46016</v>
      </c>
      <c r="B68" s="20" t="s">
        <v>139</v>
      </c>
      <c r="C68" s="15">
        <v>1</v>
      </c>
      <c r="D68" s="23">
        <v>351878871468132</v>
      </c>
      <c r="E68" s="15">
        <v>2160</v>
      </c>
      <c r="F68" s="15">
        <v>2000</v>
      </c>
      <c r="G68" s="15">
        <f t="shared" si="5"/>
        <v>160</v>
      </c>
      <c r="H68" s="15">
        <f t="shared" si="6"/>
        <v>2160</v>
      </c>
      <c r="I68" s="15">
        <f t="shared" si="7"/>
        <v>2000</v>
      </c>
      <c r="J68" s="15">
        <f t="shared" si="8"/>
        <v>160</v>
      </c>
      <c r="K68" s="19">
        <f t="shared" si="9"/>
        <v>0.08</v>
      </c>
      <c r="L68" s="15" t="s">
        <v>239</v>
      </c>
      <c r="M68" s="15"/>
    </row>
    <row r="69" spans="1:13" x14ac:dyDescent="0.25">
      <c r="A69" s="16">
        <v>46021</v>
      </c>
      <c r="B69" s="24" t="s">
        <v>153</v>
      </c>
      <c r="C69" s="15">
        <v>1</v>
      </c>
      <c r="D69" s="22">
        <v>356187983271318</v>
      </c>
      <c r="E69" s="15">
        <v>2800</v>
      </c>
      <c r="F69" s="21">
        <v>2380</v>
      </c>
      <c r="G69" s="15">
        <f t="shared" si="5"/>
        <v>420</v>
      </c>
      <c r="H69" s="15">
        <f t="shared" si="6"/>
        <v>2800</v>
      </c>
      <c r="I69" s="15">
        <f t="shared" si="7"/>
        <v>2380</v>
      </c>
      <c r="J69" s="15">
        <f t="shared" si="8"/>
        <v>420</v>
      </c>
      <c r="K69" s="19">
        <f t="shared" si="9"/>
        <v>0.17647058823529413</v>
      </c>
      <c r="L69" s="15" t="s">
        <v>225</v>
      </c>
      <c r="M69" s="15"/>
    </row>
    <row r="70" spans="1:13" x14ac:dyDescent="0.25">
      <c r="A70" s="16">
        <v>46021</v>
      </c>
      <c r="B70" s="24" t="s">
        <v>153</v>
      </c>
      <c r="C70" s="15">
        <v>1</v>
      </c>
      <c r="D70" s="22">
        <v>358135793204829</v>
      </c>
      <c r="E70" s="15">
        <v>2800</v>
      </c>
      <c r="F70" s="21">
        <v>2380</v>
      </c>
      <c r="G70" s="15">
        <f t="shared" si="5"/>
        <v>420</v>
      </c>
      <c r="H70" s="15">
        <f t="shared" si="6"/>
        <v>2800</v>
      </c>
      <c r="I70" s="15">
        <f t="shared" si="7"/>
        <v>2380</v>
      </c>
      <c r="J70" s="15">
        <f t="shared" si="8"/>
        <v>420</v>
      </c>
      <c r="K70" s="19">
        <f t="shared" si="9"/>
        <v>0.17647058823529413</v>
      </c>
      <c r="L70" s="15" t="s">
        <v>225</v>
      </c>
      <c r="M70" s="15"/>
    </row>
    <row r="71" spans="1:13" x14ac:dyDescent="0.25">
      <c r="A71" s="16">
        <v>46021</v>
      </c>
      <c r="B71" s="24" t="s">
        <v>153</v>
      </c>
      <c r="C71" s="15">
        <v>1</v>
      </c>
      <c r="D71" s="22">
        <v>358135793097124</v>
      </c>
      <c r="E71" s="15">
        <v>2480</v>
      </c>
      <c r="F71" s="21">
        <v>2380</v>
      </c>
      <c r="G71" s="15">
        <f t="shared" si="5"/>
        <v>100</v>
      </c>
      <c r="H71" s="15">
        <f t="shared" si="6"/>
        <v>2480</v>
      </c>
      <c r="I71" s="15">
        <f t="shared" si="7"/>
        <v>2380</v>
      </c>
      <c r="J71" s="15">
        <f t="shared" si="8"/>
        <v>100</v>
      </c>
      <c r="K71" s="19">
        <f t="shared" si="9"/>
        <v>4.2016806722689079E-2</v>
      </c>
      <c r="L71" s="15" t="s">
        <v>225</v>
      </c>
      <c r="M71" s="15"/>
    </row>
    <row r="72" spans="1:13" x14ac:dyDescent="0.25">
      <c r="A72" s="16">
        <v>46021</v>
      </c>
      <c r="B72" s="24" t="s">
        <v>153</v>
      </c>
      <c r="C72" s="15">
        <v>1</v>
      </c>
      <c r="D72" s="22">
        <v>358135793673171</v>
      </c>
      <c r="E72" s="15">
        <v>2480</v>
      </c>
      <c r="F72" s="21">
        <v>2380</v>
      </c>
      <c r="G72" s="15">
        <f t="shared" si="5"/>
        <v>100</v>
      </c>
      <c r="H72" s="15">
        <f t="shared" si="6"/>
        <v>2480</v>
      </c>
      <c r="I72" s="15">
        <f t="shared" si="7"/>
        <v>2380</v>
      </c>
      <c r="J72" s="15">
        <f t="shared" si="8"/>
        <v>100</v>
      </c>
      <c r="K72" s="19">
        <f t="shared" si="9"/>
        <v>4.2016806722689079E-2</v>
      </c>
      <c r="L72" s="15" t="s">
        <v>225</v>
      </c>
      <c r="M72" s="15"/>
    </row>
    <row r="73" spans="1:13" x14ac:dyDescent="0.25">
      <c r="A73" s="16">
        <v>46021</v>
      </c>
      <c r="B73" s="24" t="s">
        <v>153</v>
      </c>
      <c r="C73" s="15">
        <v>1</v>
      </c>
      <c r="D73" s="22">
        <v>358135791276969</v>
      </c>
      <c r="E73" s="15">
        <v>2480</v>
      </c>
      <c r="F73" s="21">
        <v>2380</v>
      </c>
      <c r="G73" s="15">
        <f t="shared" si="5"/>
        <v>100</v>
      </c>
      <c r="H73" s="15">
        <f t="shared" si="6"/>
        <v>2480</v>
      </c>
      <c r="I73" s="15">
        <f t="shared" si="7"/>
        <v>2380</v>
      </c>
      <c r="J73" s="15">
        <f t="shared" si="8"/>
        <v>100</v>
      </c>
      <c r="K73" s="19">
        <f t="shared" si="9"/>
        <v>4.2016806722689079E-2</v>
      </c>
      <c r="L73" s="15" t="s">
        <v>225</v>
      </c>
      <c r="M73" s="15"/>
    </row>
    <row r="74" spans="1:13" x14ac:dyDescent="0.25">
      <c r="A74" s="16">
        <v>46022</v>
      </c>
      <c r="B74" s="24" t="s">
        <v>195</v>
      </c>
      <c r="C74" s="15">
        <v>1</v>
      </c>
      <c r="D74" s="22">
        <v>356930604085157</v>
      </c>
      <c r="E74" s="15">
        <v>1920</v>
      </c>
      <c r="F74" s="15">
        <v>1900</v>
      </c>
      <c r="G74" s="15">
        <f t="shared" si="5"/>
        <v>20</v>
      </c>
      <c r="H74" s="15">
        <f t="shared" si="6"/>
        <v>1920</v>
      </c>
      <c r="I74" s="15">
        <f t="shared" si="7"/>
        <v>1900</v>
      </c>
      <c r="J74" s="15">
        <f t="shared" si="8"/>
        <v>20</v>
      </c>
      <c r="K74" s="19">
        <f t="shared" si="9"/>
        <v>1.0526315789473684E-2</v>
      </c>
      <c r="L74" s="15" t="s">
        <v>225</v>
      </c>
      <c r="M74" s="15"/>
    </row>
    <row r="75" spans="1:13" x14ac:dyDescent="0.25">
      <c r="A75" s="16">
        <v>46022</v>
      </c>
      <c r="B75" s="24" t="s">
        <v>195</v>
      </c>
      <c r="C75" s="15">
        <v>1</v>
      </c>
      <c r="D75" s="22">
        <v>356930604083582</v>
      </c>
      <c r="E75" s="15">
        <v>1920</v>
      </c>
      <c r="F75" s="15">
        <v>1900</v>
      </c>
      <c r="G75" s="15">
        <f t="shared" si="5"/>
        <v>20</v>
      </c>
      <c r="H75" s="15">
        <f t="shared" si="6"/>
        <v>1920</v>
      </c>
      <c r="I75" s="15">
        <f t="shared" si="7"/>
        <v>1900</v>
      </c>
      <c r="J75" s="15">
        <f t="shared" si="8"/>
        <v>20</v>
      </c>
      <c r="K75" s="19">
        <f t="shared" si="9"/>
        <v>1.0526315789473684E-2</v>
      </c>
      <c r="L75" s="15" t="s">
        <v>225</v>
      </c>
      <c r="M75" s="15"/>
    </row>
    <row r="76" spans="1:13" x14ac:dyDescent="0.25">
      <c r="A76" s="16">
        <v>46022</v>
      </c>
      <c r="B76" s="24" t="s">
        <v>195</v>
      </c>
      <c r="C76" s="15">
        <v>1</v>
      </c>
      <c r="D76" s="22">
        <v>351878870840984</v>
      </c>
      <c r="E76" s="15">
        <v>1920</v>
      </c>
      <c r="F76" s="15">
        <v>1900</v>
      </c>
      <c r="G76" s="15">
        <f t="shared" si="5"/>
        <v>20</v>
      </c>
      <c r="H76" s="15">
        <f t="shared" si="6"/>
        <v>1920</v>
      </c>
      <c r="I76" s="15">
        <f t="shared" si="7"/>
        <v>1900</v>
      </c>
      <c r="J76" s="15">
        <f t="shared" si="8"/>
        <v>20</v>
      </c>
      <c r="K76" s="19">
        <f t="shared" si="9"/>
        <v>1.0526315789473684E-2</v>
      </c>
      <c r="L76" s="15" t="s">
        <v>225</v>
      </c>
      <c r="M76" s="15"/>
    </row>
    <row r="77" spans="1:13" x14ac:dyDescent="0.25">
      <c r="A77" s="16">
        <v>46021</v>
      </c>
      <c r="B77" s="24" t="s">
        <v>202</v>
      </c>
      <c r="C77" s="15">
        <v>1</v>
      </c>
      <c r="D77" s="22">
        <v>351605721516327</v>
      </c>
      <c r="E77" s="15">
        <v>2010</v>
      </c>
      <c r="F77" s="15">
        <v>1900</v>
      </c>
      <c r="G77" s="15">
        <f t="shared" si="5"/>
        <v>110</v>
      </c>
      <c r="H77" s="15">
        <f t="shared" si="6"/>
        <v>2010</v>
      </c>
      <c r="I77" s="15">
        <f t="shared" si="7"/>
        <v>1900</v>
      </c>
      <c r="J77" s="15">
        <f t="shared" si="8"/>
        <v>110</v>
      </c>
      <c r="K77" s="19">
        <f t="shared" si="9"/>
        <v>5.7894736842105263E-2</v>
      </c>
      <c r="L77" s="15" t="s">
        <v>225</v>
      </c>
      <c r="M77" s="15"/>
    </row>
    <row r="78" spans="1:13" x14ac:dyDescent="0.25">
      <c r="A78" s="16">
        <v>46021</v>
      </c>
      <c r="B78" s="24" t="s">
        <v>202</v>
      </c>
      <c r="C78" s="15">
        <v>1</v>
      </c>
      <c r="D78" s="22">
        <v>358302114634163</v>
      </c>
      <c r="E78" s="15">
        <v>2010</v>
      </c>
      <c r="F78" s="15">
        <v>1900</v>
      </c>
      <c r="G78" s="15">
        <f t="shared" si="5"/>
        <v>110</v>
      </c>
      <c r="H78" s="15">
        <f t="shared" si="6"/>
        <v>2010</v>
      </c>
      <c r="I78" s="15">
        <f t="shared" si="7"/>
        <v>1900</v>
      </c>
      <c r="J78" s="15">
        <f t="shared" si="8"/>
        <v>110</v>
      </c>
      <c r="K78" s="19">
        <f t="shared" si="9"/>
        <v>5.7894736842105263E-2</v>
      </c>
      <c r="L78" s="15" t="s">
        <v>225</v>
      </c>
      <c r="M78" s="15"/>
    </row>
    <row r="79" spans="1:13" x14ac:dyDescent="0.25">
      <c r="A79" s="16">
        <v>46021</v>
      </c>
      <c r="B79" s="24" t="s">
        <v>202</v>
      </c>
      <c r="C79" s="15">
        <v>1</v>
      </c>
      <c r="D79" s="22">
        <v>351605725243233</v>
      </c>
      <c r="E79" s="15">
        <v>2010</v>
      </c>
      <c r="F79" s="15">
        <v>1900</v>
      </c>
      <c r="G79" s="15">
        <f t="shared" si="5"/>
        <v>110</v>
      </c>
      <c r="H79" s="15">
        <f t="shared" si="6"/>
        <v>2010</v>
      </c>
      <c r="I79" s="15">
        <f t="shared" si="7"/>
        <v>1900</v>
      </c>
      <c r="J79" s="15">
        <f t="shared" si="8"/>
        <v>110</v>
      </c>
      <c r="K79" s="19">
        <f t="shared" si="9"/>
        <v>5.7894736842105263E-2</v>
      </c>
      <c r="L79" s="15" t="s">
        <v>225</v>
      </c>
      <c r="M79" s="15"/>
    </row>
    <row r="80" spans="1:13" x14ac:dyDescent="0.25">
      <c r="A80" s="16">
        <v>46021</v>
      </c>
      <c r="B80" s="24" t="s">
        <v>202</v>
      </c>
      <c r="C80" s="15">
        <v>1</v>
      </c>
      <c r="D80" s="22">
        <v>358838945453216</v>
      </c>
      <c r="E80" s="15">
        <v>2010</v>
      </c>
      <c r="F80" s="15">
        <v>1900</v>
      </c>
      <c r="G80" s="15">
        <f t="shared" si="5"/>
        <v>110</v>
      </c>
      <c r="H80" s="15">
        <f t="shared" si="6"/>
        <v>2010</v>
      </c>
      <c r="I80" s="15">
        <f t="shared" si="7"/>
        <v>1900</v>
      </c>
      <c r="J80" s="15">
        <f t="shared" si="8"/>
        <v>110</v>
      </c>
      <c r="K80" s="19">
        <f t="shared" si="9"/>
        <v>5.7894736842105263E-2</v>
      </c>
      <c r="L80" s="15" t="s">
        <v>225</v>
      </c>
      <c r="M80" s="15"/>
    </row>
    <row r="81" spans="1:13" x14ac:dyDescent="0.25">
      <c r="A81" s="16">
        <v>46021</v>
      </c>
      <c r="B81" s="24" t="s">
        <v>202</v>
      </c>
      <c r="C81" s="15">
        <v>1</v>
      </c>
      <c r="D81" s="22">
        <v>357247594841112</v>
      </c>
      <c r="E81" s="15">
        <v>2010</v>
      </c>
      <c r="F81" s="15">
        <v>1900</v>
      </c>
      <c r="G81" s="15">
        <f t="shared" si="5"/>
        <v>110</v>
      </c>
      <c r="H81" s="15">
        <f t="shared" si="6"/>
        <v>2010</v>
      </c>
      <c r="I81" s="15">
        <f t="shared" si="7"/>
        <v>1900</v>
      </c>
      <c r="J81" s="15">
        <f t="shared" si="8"/>
        <v>110</v>
      </c>
      <c r="K81" s="19">
        <f t="shared" si="9"/>
        <v>5.7894736842105263E-2</v>
      </c>
      <c r="L81" s="15" t="s">
        <v>225</v>
      </c>
      <c r="M81" s="15"/>
    </row>
    <row r="82" spans="1:13" x14ac:dyDescent="0.25">
      <c r="A82" s="16">
        <v>46021</v>
      </c>
      <c r="B82" s="24" t="s">
        <v>201</v>
      </c>
      <c r="C82" s="15">
        <v>1</v>
      </c>
      <c r="D82" s="22">
        <v>352440638529299</v>
      </c>
      <c r="E82" s="15">
        <v>2560</v>
      </c>
      <c r="F82" s="15">
        <v>2500</v>
      </c>
      <c r="G82" s="15">
        <f t="shared" si="5"/>
        <v>60</v>
      </c>
      <c r="H82" s="15">
        <f t="shared" si="6"/>
        <v>2560</v>
      </c>
      <c r="I82" s="15">
        <f t="shared" si="7"/>
        <v>2500</v>
      </c>
      <c r="J82" s="15">
        <f t="shared" si="8"/>
        <v>60</v>
      </c>
      <c r="K82" s="19">
        <f t="shared" si="9"/>
        <v>2.4E-2</v>
      </c>
      <c r="L82" s="15" t="s">
        <v>225</v>
      </c>
      <c r="M82" s="15"/>
    </row>
    <row r="83" spans="1:13" x14ac:dyDescent="0.25">
      <c r="A83" s="16">
        <v>46021</v>
      </c>
      <c r="B83" s="24" t="s">
        <v>201</v>
      </c>
      <c r="C83" s="15">
        <v>1</v>
      </c>
      <c r="D83" s="22">
        <v>352440638658510</v>
      </c>
      <c r="E83" s="15">
        <v>2620</v>
      </c>
      <c r="F83" s="15">
        <v>2500</v>
      </c>
      <c r="G83" s="15">
        <f t="shared" si="5"/>
        <v>120</v>
      </c>
      <c r="H83" s="15">
        <f t="shared" si="6"/>
        <v>2620</v>
      </c>
      <c r="I83" s="15">
        <f t="shared" si="7"/>
        <v>2500</v>
      </c>
      <c r="J83" s="15">
        <f t="shared" si="8"/>
        <v>120</v>
      </c>
      <c r="K83" s="19">
        <f t="shared" si="9"/>
        <v>4.8000000000000001E-2</v>
      </c>
      <c r="L83" s="15" t="s">
        <v>225</v>
      </c>
      <c r="M83" s="15"/>
    </row>
    <row r="84" spans="1:13" x14ac:dyDescent="0.25">
      <c r="A84" s="16">
        <v>46021</v>
      </c>
      <c r="B84" s="24" t="s">
        <v>201</v>
      </c>
      <c r="C84" s="15">
        <v>1</v>
      </c>
      <c r="D84" s="22">
        <v>352190321356316</v>
      </c>
      <c r="E84" s="15">
        <v>2620</v>
      </c>
      <c r="F84" s="15">
        <v>2500</v>
      </c>
      <c r="G84" s="15">
        <f t="shared" si="5"/>
        <v>120</v>
      </c>
      <c r="H84" s="15">
        <f t="shared" si="6"/>
        <v>2620</v>
      </c>
      <c r="I84" s="15">
        <f t="shared" si="7"/>
        <v>2500</v>
      </c>
      <c r="J84" s="15">
        <f t="shared" si="8"/>
        <v>120</v>
      </c>
      <c r="K84" s="19">
        <f t="shared" si="9"/>
        <v>4.8000000000000001E-2</v>
      </c>
      <c r="L84" s="15" t="s">
        <v>225</v>
      </c>
      <c r="M84" s="15"/>
    </row>
    <row r="85" spans="1:13" x14ac:dyDescent="0.25">
      <c r="A85" s="16">
        <v>46022</v>
      </c>
      <c r="B85" s="24" t="s">
        <v>185</v>
      </c>
      <c r="C85" s="15">
        <v>1</v>
      </c>
      <c r="D85" s="22">
        <v>359614540205064</v>
      </c>
      <c r="E85" s="15">
        <v>3700</v>
      </c>
      <c r="F85" s="15">
        <v>3300</v>
      </c>
      <c r="G85" s="15">
        <f t="shared" si="5"/>
        <v>400</v>
      </c>
      <c r="H85" s="15">
        <f t="shared" si="6"/>
        <v>3700</v>
      </c>
      <c r="I85" s="15">
        <f t="shared" si="7"/>
        <v>3300</v>
      </c>
      <c r="J85" s="15">
        <f t="shared" si="8"/>
        <v>400</v>
      </c>
      <c r="K85" s="19">
        <f t="shared" si="9"/>
        <v>0.12121212121212122</v>
      </c>
      <c r="L85" s="15" t="s">
        <v>225</v>
      </c>
      <c r="M85" s="15"/>
    </row>
    <row r="86" spans="1:13" x14ac:dyDescent="0.25">
      <c r="A86" s="16">
        <v>46022</v>
      </c>
      <c r="B86" s="24" t="s">
        <v>185</v>
      </c>
      <c r="C86" s="15">
        <v>1</v>
      </c>
      <c r="D86" s="22">
        <v>353263422963410</v>
      </c>
      <c r="E86" s="15">
        <v>3700</v>
      </c>
      <c r="F86" s="15">
        <v>3300</v>
      </c>
      <c r="G86" s="15">
        <f t="shared" si="5"/>
        <v>400</v>
      </c>
      <c r="H86" s="15">
        <f t="shared" si="6"/>
        <v>3700</v>
      </c>
      <c r="I86" s="15">
        <f t="shared" si="7"/>
        <v>3300</v>
      </c>
      <c r="J86" s="15">
        <f t="shared" si="8"/>
        <v>400</v>
      </c>
      <c r="K86" s="19">
        <f t="shared" si="9"/>
        <v>0.12121212121212122</v>
      </c>
      <c r="L86" s="15" t="s">
        <v>225</v>
      </c>
      <c r="M86" s="15"/>
    </row>
    <row r="87" spans="1:13" x14ac:dyDescent="0.25">
      <c r="A87" s="16">
        <v>46022</v>
      </c>
      <c r="B87" s="24" t="s">
        <v>185</v>
      </c>
      <c r="C87" s="15">
        <v>1</v>
      </c>
      <c r="D87" s="22">
        <v>356605220869008</v>
      </c>
      <c r="E87" s="15">
        <v>3700</v>
      </c>
      <c r="F87" s="15">
        <v>3080</v>
      </c>
      <c r="G87" s="15">
        <f t="shared" si="5"/>
        <v>620</v>
      </c>
      <c r="H87" s="15">
        <f t="shared" si="6"/>
        <v>3700</v>
      </c>
      <c r="I87" s="15">
        <f t="shared" si="7"/>
        <v>3080</v>
      </c>
      <c r="J87" s="15">
        <f t="shared" si="8"/>
        <v>620</v>
      </c>
      <c r="K87" s="19">
        <f t="shared" si="9"/>
        <v>0.20129870129870131</v>
      </c>
      <c r="L87" s="15" t="s">
        <v>225</v>
      </c>
      <c r="M87" s="15"/>
    </row>
    <row r="88" spans="1:13" x14ac:dyDescent="0.25">
      <c r="A88" s="16">
        <v>46022</v>
      </c>
      <c r="B88" s="24" t="s">
        <v>185</v>
      </c>
      <c r="C88" s="15">
        <v>1</v>
      </c>
      <c r="D88" s="22">
        <v>358482492116395</v>
      </c>
      <c r="E88" s="15">
        <v>3700</v>
      </c>
      <c r="F88" s="15">
        <v>3080</v>
      </c>
      <c r="G88" s="15">
        <f t="shared" si="5"/>
        <v>620</v>
      </c>
      <c r="H88" s="15">
        <f t="shared" si="6"/>
        <v>3700</v>
      </c>
      <c r="I88" s="15">
        <f t="shared" si="7"/>
        <v>3080</v>
      </c>
      <c r="J88" s="15">
        <f t="shared" si="8"/>
        <v>620</v>
      </c>
      <c r="K88" s="19">
        <f t="shared" si="9"/>
        <v>0.20129870129870131</v>
      </c>
      <c r="L88" s="15" t="s">
        <v>225</v>
      </c>
      <c r="M88" s="15"/>
    </row>
    <row r="89" spans="1:13" x14ac:dyDescent="0.25">
      <c r="A89" s="16">
        <v>46022</v>
      </c>
      <c r="B89" s="24" t="s">
        <v>185</v>
      </c>
      <c r="C89" s="15">
        <v>1</v>
      </c>
      <c r="D89" s="22">
        <v>356188161192995</v>
      </c>
      <c r="E89" s="15">
        <v>3380</v>
      </c>
      <c r="F89" s="15">
        <v>3300</v>
      </c>
      <c r="G89" s="15">
        <f t="shared" si="5"/>
        <v>80</v>
      </c>
      <c r="H89" s="15">
        <f t="shared" si="6"/>
        <v>3380</v>
      </c>
      <c r="I89" s="15">
        <f t="shared" si="7"/>
        <v>3300</v>
      </c>
      <c r="J89" s="15">
        <f t="shared" si="8"/>
        <v>80</v>
      </c>
      <c r="K89" s="19">
        <f t="shared" si="9"/>
        <v>2.4242424242424242E-2</v>
      </c>
      <c r="L89" s="15" t="s">
        <v>225</v>
      </c>
      <c r="M89" s="15"/>
    </row>
    <row r="90" spans="1:13" x14ac:dyDescent="0.25">
      <c r="A90" s="16">
        <v>46022</v>
      </c>
      <c r="B90" s="24" t="s">
        <v>185</v>
      </c>
      <c r="C90" s="15">
        <v>1</v>
      </c>
      <c r="D90" s="22">
        <v>355478877711241</v>
      </c>
      <c r="E90" s="15">
        <v>3380</v>
      </c>
      <c r="F90" s="15">
        <v>3300</v>
      </c>
      <c r="G90" s="15">
        <f t="shared" si="5"/>
        <v>80</v>
      </c>
      <c r="H90" s="15">
        <f t="shared" si="6"/>
        <v>3380</v>
      </c>
      <c r="I90" s="15">
        <f t="shared" si="7"/>
        <v>3300</v>
      </c>
      <c r="J90" s="15">
        <f t="shared" si="8"/>
        <v>80</v>
      </c>
      <c r="K90" s="19">
        <f t="shared" si="9"/>
        <v>2.4242424242424242E-2</v>
      </c>
      <c r="L90" s="15" t="s">
        <v>225</v>
      </c>
      <c r="M90" s="15"/>
    </row>
    <row r="91" spans="1:13" x14ac:dyDescent="0.25">
      <c r="A91" s="16">
        <v>46022</v>
      </c>
      <c r="B91" s="24" t="s">
        <v>185</v>
      </c>
      <c r="C91" s="15">
        <v>1</v>
      </c>
      <c r="D91" s="22">
        <v>358482492772130</v>
      </c>
      <c r="E91" s="15">
        <v>3380</v>
      </c>
      <c r="F91" s="15">
        <v>3300</v>
      </c>
      <c r="G91" s="15">
        <f t="shared" si="5"/>
        <v>80</v>
      </c>
      <c r="H91" s="15">
        <f t="shared" si="6"/>
        <v>3380</v>
      </c>
      <c r="I91" s="15">
        <f t="shared" si="7"/>
        <v>3300</v>
      </c>
      <c r="J91" s="15">
        <f t="shared" si="8"/>
        <v>80</v>
      </c>
      <c r="K91" s="19">
        <f t="shared" si="9"/>
        <v>2.4242424242424242E-2</v>
      </c>
      <c r="L91" s="15" t="s">
        <v>225</v>
      </c>
      <c r="M91" s="15"/>
    </row>
    <row r="92" spans="1:13" x14ac:dyDescent="0.25">
      <c r="A92" s="16">
        <v>46022</v>
      </c>
      <c r="B92" s="24" t="s">
        <v>185</v>
      </c>
      <c r="C92" s="15">
        <v>1</v>
      </c>
      <c r="D92" s="22">
        <v>356764179559548</v>
      </c>
      <c r="E92" s="15">
        <v>3380</v>
      </c>
      <c r="F92" s="15">
        <v>3300</v>
      </c>
      <c r="G92" s="15">
        <f t="shared" si="5"/>
        <v>80</v>
      </c>
      <c r="H92" s="15">
        <f t="shared" si="6"/>
        <v>3380</v>
      </c>
      <c r="I92" s="15">
        <f t="shared" si="7"/>
        <v>3300</v>
      </c>
      <c r="J92" s="15">
        <f t="shared" si="8"/>
        <v>80</v>
      </c>
      <c r="K92" s="19">
        <f t="shared" si="9"/>
        <v>2.4242424242424242E-2</v>
      </c>
      <c r="L92" s="15" t="s">
        <v>225</v>
      </c>
      <c r="M92" s="15"/>
    </row>
    <row r="93" spans="1:13" x14ac:dyDescent="0.25">
      <c r="A93" s="16">
        <v>46022</v>
      </c>
      <c r="B93" s="24" t="s">
        <v>185</v>
      </c>
      <c r="C93" s="15">
        <v>1</v>
      </c>
      <c r="D93" s="22">
        <v>355450218827739</v>
      </c>
      <c r="E93" s="15">
        <v>3500</v>
      </c>
      <c r="F93" s="15">
        <v>3080</v>
      </c>
      <c r="G93" s="15">
        <f t="shared" si="5"/>
        <v>420</v>
      </c>
      <c r="H93" s="15">
        <f t="shared" si="6"/>
        <v>3500</v>
      </c>
      <c r="I93" s="15">
        <f t="shared" si="7"/>
        <v>3080</v>
      </c>
      <c r="J93" s="15">
        <f t="shared" si="8"/>
        <v>420</v>
      </c>
      <c r="K93" s="19">
        <f t="shared" si="9"/>
        <v>0.13636363636363635</v>
      </c>
      <c r="L93" s="15" t="s">
        <v>225</v>
      </c>
      <c r="M93" s="15"/>
    </row>
    <row r="94" spans="1:13" x14ac:dyDescent="0.25">
      <c r="A94" s="16">
        <v>46022</v>
      </c>
      <c r="B94" s="24" t="s">
        <v>185</v>
      </c>
      <c r="C94" s="15">
        <v>1</v>
      </c>
      <c r="D94" s="22">
        <v>355450218921904</v>
      </c>
      <c r="E94" s="15">
        <v>3130</v>
      </c>
      <c r="F94" s="15">
        <v>3080</v>
      </c>
      <c r="G94" s="15">
        <f t="shared" si="5"/>
        <v>50</v>
      </c>
      <c r="H94" s="15">
        <f t="shared" si="6"/>
        <v>3130</v>
      </c>
      <c r="I94" s="15">
        <f t="shared" si="7"/>
        <v>3080</v>
      </c>
      <c r="J94" s="15">
        <f t="shared" si="8"/>
        <v>50</v>
      </c>
      <c r="K94" s="19">
        <f t="shared" si="9"/>
        <v>1.6233766233766232E-2</v>
      </c>
      <c r="L94" s="15" t="s">
        <v>225</v>
      </c>
      <c r="M94" s="15"/>
    </row>
    <row r="95" spans="1:13" x14ac:dyDescent="0.25">
      <c r="A95" s="10">
        <v>46022</v>
      </c>
      <c r="B95" s="34" t="s">
        <v>185</v>
      </c>
      <c r="C95" s="12">
        <v>1</v>
      </c>
      <c r="D95" s="27">
        <v>359614541867763</v>
      </c>
      <c r="E95" s="12">
        <v>3130</v>
      </c>
      <c r="F95" s="12">
        <v>3350</v>
      </c>
      <c r="G95" s="12">
        <f t="shared" si="5"/>
        <v>-220</v>
      </c>
      <c r="H95" s="12">
        <f t="shared" si="6"/>
        <v>3130</v>
      </c>
      <c r="I95" s="12">
        <f t="shared" si="7"/>
        <v>3350</v>
      </c>
      <c r="J95" s="12">
        <f t="shared" si="8"/>
        <v>-220</v>
      </c>
      <c r="K95" s="14">
        <f t="shared" si="9"/>
        <v>-6.5671641791044774E-2</v>
      </c>
      <c r="L95" s="12" t="s">
        <v>225</v>
      </c>
      <c r="M95" s="15"/>
    </row>
    <row r="96" spans="1:13" x14ac:dyDescent="0.25">
      <c r="A96" s="10">
        <v>46010</v>
      </c>
      <c r="B96" s="11" t="s">
        <v>102</v>
      </c>
      <c r="C96" s="12">
        <v>1</v>
      </c>
      <c r="D96" s="13"/>
      <c r="E96" s="12">
        <v>250</v>
      </c>
      <c r="F96" s="12">
        <v>457.5</v>
      </c>
      <c r="G96" s="12">
        <f t="shared" si="5"/>
        <v>-207.5</v>
      </c>
      <c r="H96" s="12">
        <f t="shared" si="6"/>
        <v>250</v>
      </c>
      <c r="I96" s="12">
        <f t="shared" si="7"/>
        <v>457.5</v>
      </c>
      <c r="J96" s="12">
        <f t="shared" si="8"/>
        <v>-207.5</v>
      </c>
      <c r="K96" s="14">
        <f t="shared" si="9"/>
        <v>-0.45355191256830601</v>
      </c>
      <c r="L96" s="12" t="s">
        <v>216</v>
      </c>
      <c r="M96" s="15"/>
    </row>
    <row r="97" spans="1:13" x14ac:dyDescent="0.25">
      <c r="A97" s="16">
        <v>46010</v>
      </c>
      <c r="B97" s="17" t="s">
        <v>102</v>
      </c>
      <c r="C97" s="15">
        <v>2</v>
      </c>
      <c r="D97" s="18"/>
      <c r="E97" s="15">
        <v>465</v>
      </c>
      <c r="F97" s="15">
        <v>449.5</v>
      </c>
      <c r="G97" s="15">
        <f t="shared" si="5"/>
        <v>15.5</v>
      </c>
      <c r="H97" s="15">
        <f t="shared" si="6"/>
        <v>930</v>
      </c>
      <c r="I97" s="15">
        <f t="shared" si="7"/>
        <v>899</v>
      </c>
      <c r="J97" s="15">
        <f t="shared" si="8"/>
        <v>31</v>
      </c>
      <c r="K97" s="19">
        <f t="shared" si="9"/>
        <v>3.4482758620689655E-2</v>
      </c>
      <c r="L97" s="15" t="s">
        <v>216</v>
      </c>
      <c r="M97" s="15"/>
    </row>
    <row r="98" spans="1:13" x14ac:dyDescent="0.25">
      <c r="A98" s="16">
        <v>46015</v>
      </c>
      <c r="B98" s="20" t="s">
        <v>136</v>
      </c>
      <c r="C98" s="15">
        <v>1</v>
      </c>
      <c r="D98" s="18"/>
      <c r="E98" s="15">
        <v>1580</v>
      </c>
      <c r="F98" s="21">
        <v>1492</v>
      </c>
      <c r="G98" s="15">
        <f t="shared" si="5"/>
        <v>88</v>
      </c>
      <c r="H98" s="15">
        <f t="shared" si="6"/>
        <v>1580</v>
      </c>
      <c r="I98" s="15">
        <f t="shared" si="7"/>
        <v>1492</v>
      </c>
      <c r="J98" s="15">
        <f t="shared" si="8"/>
        <v>88</v>
      </c>
      <c r="K98" s="19">
        <f t="shared" si="9"/>
        <v>5.8981233243967826E-2</v>
      </c>
      <c r="L98" s="15" t="s">
        <v>216</v>
      </c>
      <c r="M98" s="15"/>
    </row>
    <row r="99" spans="1:13" x14ac:dyDescent="0.25">
      <c r="A99" s="10">
        <v>46002</v>
      </c>
      <c r="B99" s="11" t="s">
        <v>73</v>
      </c>
      <c r="C99" s="12">
        <v>1</v>
      </c>
      <c r="D99" s="13"/>
      <c r="E99" s="12">
        <v>530</v>
      </c>
      <c r="F99" s="12">
        <v>575</v>
      </c>
      <c r="G99" s="12">
        <f t="shared" si="5"/>
        <v>-45</v>
      </c>
      <c r="H99" s="12">
        <f t="shared" si="6"/>
        <v>530</v>
      </c>
      <c r="I99" s="12">
        <f t="shared" si="7"/>
        <v>575</v>
      </c>
      <c r="J99" s="12">
        <f t="shared" si="8"/>
        <v>-45</v>
      </c>
      <c r="K99" s="14">
        <f t="shared" si="9"/>
        <v>-7.8260869565217397E-2</v>
      </c>
      <c r="L99" s="12" t="s">
        <v>216</v>
      </c>
      <c r="M99" s="15"/>
    </row>
    <row r="100" spans="1:13" x14ac:dyDescent="0.25">
      <c r="A100" s="16">
        <v>46002</v>
      </c>
      <c r="B100" s="20" t="s">
        <v>72</v>
      </c>
      <c r="C100" s="15">
        <v>8</v>
      </c>
      <c r="D100" s="18"/>
      <c r="E100" s="15">
        <v>750</v>
      </c>
      <c r="F100" s="21">
        <v>728</v>
      </c>
      <c r="G100" s="15">
        <f t="shared" si="5"/>
        <v>22</v>
      </c>
      <c r="H100" s="15">
        <f t="shared" si="6"/>
        <v>6000</v>
      </c>
      <c r="I100" s="15">
        <f t="shared" si="7"/>
        <v>5824</v>
      </c>
      <c r="J100" s="15">
        <f t="shared" si="8"/>
        <v>176</v>
      </c>
      <c r="K100" s="19">
        <f t="shared" si="9"/>
        <v>3.021978021978022E-2</v>
      </c>
      <c r="L100" s="15" t="s">
        <v>216</v>
      </c>
      <c r="M100" s="15"/>
    </row>
    <row r="101" spans="1:13" x14ac:dyDescent="0.25">
      <c r="A101" s="16">
        <v>46022</v>
      </c>
      <c r="B101" s="17" t="s">
        <v>211</v>
      </c>
      <c r="C101" s="15">
        <v>1</v>
      </c>
      <c r="D101" s="22" t="s">
        <v>213</v>
      </c>
      <c r="E101" s="15">
        <v>1250</v>
      </c>
      <c r="F101" s="21">
        <v>773</v>
      </c>
      <c r="G101" s="15">
        <f t="shared" si="5"/>
        <v>477</v>
      </c>
      <c r="H101" s="15">
        <f t="shared" si="6"/>
        <v>1250</v>
      </c>
      <c r="I101" s="15">
        <f t="shared" si="7"/>
        <v>773</v>
      </c>
      <c r="J101" s="15">
        <f t="shared" si="8"/>
        <v>477</v>
      </c>
      <c r="K101" s="19">
        <f t="shared" si="9"/>
        <v>0.61707632600258733</v>
      </c>
      <c r="L101" s="15" t="s">
        <v>216</v>
      </c>
      <c r="M101" s="15"/>
    </row>
    <row r="102" spans="1:13" ht="13.9" customHeight="1" x14ac:dyDescent="0.25">
      <c r="A102" s="16">
        <v>46021</v>
      </c>
      <c r="B102" s="24" t="s">
        <v>203</v>
      </c>
      <c r="C102" s="15">
        <v>1</v>
      </c>
      <c r="D102" s="22" t="s">
        <v>204</v>
      </c>
      <c r="E102" s="15">
        <v>3306</v>
      </c>
      <c r="F102" s="15">
        <v>3055.83</v>
      </c>
      <c r="G102" s="15">
        <f t="shared" si="5"/>
        <v>250.17000000000007</v>
      </c>
      <c r="H102" s="15">
        <f t="shared" si="6"/>
        <v>3306</v>
      </c>
      <c r="I102" s="15">
        <f t="shared" si="7"/>
        <v>3055.83</v>
      </c>
      <c r="J102" s="15">
        <f t="shared" si="8"/>
        <v>250.17000000000007</v>
      </c>
      <c r="K102" s="19">
        <f t="shared" si="9"/>
        <v>8.1866465084772411E-2</v>
      </c>
      <c r="L102" s="15" t="s">
        <v>216</v>
      </c>
      <c r="M102" s="15"/>
    </row>
    <row r="103" spans="1:13" ht="16.899999999999999" customHeight="1" x14ac:dyDescent="0.25">
      <c r="A103" s="16">
        <v>46021</v>
      </c>
      <c r="B103" s="24" t="s">
        <v>203</v>
      </c>
      <c r="C103" s="15">
        <v>1</v>
      </c>
      <c r="D103" s="22" t="s">
        <v>205</v>
      </c>
      <c r="E103" s="15">
        <v>3306</v>
      </c>
      <c r="F103" s="15">
        <v>3055.83</v>
      </c>
      <c r="G103" s="15">
        <f t="shared" si="5"/>
        <v>250.17000000000007</v>
      </c>
      <c r="H103" s="15">
        <f t="shared" si="6"/>
        <v>3306</v>
      </c>
      <c r="I103" s="15">
        <f t="shared" si="7"/>
        <v>3055.83</v>
      </c>
      <c r="J103" s="15">
        <f t="shared" si="8"/>
        <v>250.17000000000007</v>
      </c>
      <c r="K103" s="19">
        <f t="shared" si="9"/>
        <v>8.1866465084772411E-2</v>
      </c>
      <c r="L103" s="15" t="s">
        <v>216</v>
      </c>
      <c r="M103" s="15"/>
    </row>
    <row r="104" spans="1:13" ht="15.6" customHeight="1" x14ac:dyDescent="0.25">
      <c r="A104" s="16">
        <v>46021</v>
      </c>
      <c r="B104" s="24" t="s">
        <v>203</v>
      </c>
      <c r="C104" s="15">
        <v>1</v>
      </c>
      <c r="D104" s="22" t="s">
        <v>206</v>
      </c>
      <c r="E104" s="15">
        <v>3306</v>
      </c>
      <c r="F104" s="15">
        <v>3055.83</v>
      </c>
      <c r="G104" s="15">
        <f t="shared" si="5"/>
        <v>250.17000000000007</v>
      </c>
      <c r="H104" s="15">
        <f t="shared" si="6"/>
        <v>3306</v>
      </c>
      <c r="I104" s="15">
        <f t="shared" si="7"/>
        <v>3055.83</v>
      </c>
      <c r="J104" s="15">
        <f t="shared" si="8"/>
        <v>250.17000000000007</v>
      </c>
      <c r="K104" s="19">
        <f t="shared" si="9"/>
        <v>8.1866465084772411E-2</v>
      </c>
      <c r="L104" s="15" t="s">
        <v>216</v>
      </c>
      <c r="M104" s="15"/>
    </row>
    <row r="105" spans="1:13" ht="16.149999999999999" customHeight="1" x14ac:dyDescent="0.25">
      <c r="A105" s="16">
        <v>46021</v>
      </c>
      <c r="B105" s="24" t="s">
        <v>203</v>
      </c>
      <c r="C105" s="15">
        <v>1</v>
      </c>
      <c r="D105" s="22" t="s">
        <v>207</v>
      </c>
      <c r="E105" s="15">
        <v>3306</v>
      </c>
      <c r="F105" s="15">
        <v>3055.83</v>
      </c>
      <c r="G105" s="15">
        <f t="shared" si="5"/>
        <v>250.17000000000007</v>
      </c>
      <c r="H105" s="15">
        <f t="shared" si="6"/>
        <v>3306</v>
      </c>
      <c r="I105" s="15">
        <f t="shared" si="7"/>
        <v>3055.83</v>
      </c>
      <c r="J105" s="15">
        <f t="shared" si="8"/>
        <v>250.17000000000007</v>
      </c>
      <c r="K105" s="19">
        <f t="shared" si="9"/>
        <v>8.1866465084772411E-2</v>
      </c>
      <c r="L105" s="15" t="s">
        <v>216</v>
      </c>
      <c r="M105" s="15"/>
    </row>
    <row r="106" spans="1:13" ht="15" customHeight="1" x14ac:dyDescent="0.25">
      <c r="A106" s="16">
        <v>46021</v>
      </c>
      <c r="B106" s="24" t="s">
        <v>203</v>
      </c>
      <c r="C106" s="15">
        <v>1</v>
      </c>
      <c r="D106" s="22" t="s">
        <v>208</v>
      </c>
      <c r="E106" s="15">
        <v>3306</v>
      </c>
      <c r="F106" s="15">
        <v>3055.83</v>
      </c>
      <c r="G106" s="15">
        <f t="shared" si="5"/>
        <v>250.17000000000007</v>
      </c>
      <c r="H106" s="15">
        <f t="shared" si="6"/>
        <v>3306</v>
      </c>
      <c r="I106" s="15">
        <f t="shared" si="7"/>
        <v>3055.83</v>
      </c>
      <c r="J106" s="15">
        <f t="shared" si="8"/>
        <v>250.17000000000007</v>
      </c>
      <c r="K106" s="19">
        <f t="shared" si="9"/>
        <v>8.1866465084772411E-2</v>
      </c>
      <c r="L106" s="15" t="s">
        <v>216</v>
      </c>
      <c r="M106" s="15"/>
    </row>
    <row r="107" spans="1:13" ht="15" customHeight="1" x14ac:dyDescent="0.25">
      <c r="A107" s="16">
        <v>46021</v>
      </c>
      <c r="B107" s="24" t="s">
        <v>203</v>
      </c>
      <c r="C107" s="15">
        <v>1</v>
      </c>
      <c r="D107" s="22" t="s">
        <v>209</v>
      </c>
      <c r="E107" s="15">
        <v>3306</v>
      </c>
      <c r="F107" s="15">
        <v>3055.83</v>
      </c>
      <c r="G107" s="15">
        <f t="shared" si="5"/>
        <v>250.17000000000007</v>
      </c>
      <c r="H107" s="15">
        <f t="shared" si="6"/>
        <v>3306</v>
      </c>
      <c r="I107" s="15">
        <f t="shared" si="7"/>
        <v>3055.83</v>
      </c>
      <c r="J107" s="15">
        <f t="shared" si="8"/>
        <v>250.17000000000007</v>
      </c>
      <c r="K107" s="19">
        <f t="shared" si="9"/>
        <v>8.1866465084772411E-2</v>
      </c>
      <c r="L107" s="15" t="s">
        <v>216</v>
      </c>
      <c r="M107" s="15"/>
    </row>
    <row r="108" spans="1:13" x14ac:dyDescent="0.25">
      <c r="A108" s="10">
        <v>46015</v>
      </c>
      <c r="B108" s="11" t="s">
        <v>137</v>
      </c>
      <c r="C108" s="12">
        <v>1</v>
      </c>
      <c r="D108" s="13"/>
      <c r="E108" s="12">
        <v>370</v>
      </c>
      <c r="F108" s="12">
        <v>467</v>
      </c>
      <c r="G108" s="12">
        <f t="shared" si="5"/>
        <v>-97</v>
      </c>
      <c r="H108" s="12">
        <f t="shared" si="6"/>
        <v>370</v>
      </c>
      <c r="I108" s="12">
        <f t="shared" si="7"/>
        <v>467</v>
      </c>
      <c r="J108" s="12">
        <f t="shared" si="8"/>
        <v>-97</v>
      </c>
      <c r="K108" s="14">
        <f t="shared" si="9"/>
        <v>-0.20770877944325483</v>
      </c>
      <c r="L108" s="12" t="s">
        <v>216</v>
      </c>
      <c r="M108" s="15"/>
    </row>
    <row r="109" spans="1:13" x14ac:dyDescent="0.25">
      <c r="A109" s="16">
        <v>46022</v>
      </c>
      <c r="B109" s="17" t="s">
        <v>215</v>
      </c>
      <c r="C109" s="15">
        <v>1</v>
      </c>
      <c r="D109" s="22">
        <v>352393410539442</v>
      </c>
      <c r="E109" s="15">
        <v>1200</v>
      </c>
      <c r="F109" s="15">
        <v>1000</v>
      </c>
      <c r="G109" s="15">
        <f t="shared" si="5"/>
        <v>200</v>
      </c>
      <c r="H109" s="15">
        <f t="shared" si="6"/>
        <v>1200</v>
      </c>
      <c r="I109" s="15">
        <f t="shared" si="7"/>
        <v>1000</v>
      </c>
      <c r="J109" s="15">
        <f t="shared" si="8"/>
        <v>200</v>
      </c>
      <c r="K109" s="19">
        <f t="shared" si="9"/>
        <v>0.2</v>
      </c>
      <c r="L109" s="15" t="s">
        <v>216</v>
      </c>
      <c r="M109" s="15" t="s">
        <v>236</v>
      </c>
    </row>
    <row r="110" spans="1:13" x14ac:dyDescent="0.25">
      <c r="A110" s="10">
        <v>46001</v>
      </c>
      <c r="B110" s="11" t="s">
        <v>14</v>
      </c>
      <c r="C110" s="12">
        <v>8</v>
      </c>
      <c r="D110" s="13" t="s">
        <v>59</v>
      </c>
      <c r="E110" s="12">
        <v>3380</v>
      </c>
      <c r="F110" s="12">
        <v>3469</v>
      </c>
      <c r="G110" s="12">
        <f t="shared" si="5"/>
        <v>-89</v>
      </c>
      <c r="H110" s="12">
        <f t="shared" si="6"/>
        <v>27040</v>
      </c>
      <c r="I110" s="12">
        <f t="shared" si="7"/>
        <v>27752</v>
      </c>
      <c r="J110" s="12">
        <f t="shared" si="8"/>
        <v>-712</v>
      </c>
      <c r="K110" s="14">
        <f t="shared" si="9"/>
        <v>-2.5655808590371865E-2</v>
      </c>
      <c r="L110" s="12" t="s">
        <v>216</v>
      </c>
      <c r="M110" s="15"/>
    </row>
    <row r="111" spans="1:13" x14ac:dyDescent="0.25">
      <c r="A111" s="16">
        <v>46006</v>
      </c>
      <c r="B111" s="17" t="s">
        <v>85</v>
      </c>
      <c r="C111" s="15">
        <v>12</v>
      </c>
      <c r="D111" s="18"/>
      <c r="E111" s="15">
        <v>1725</v>
      </c>
      <c r="F111" s="15">
        <v>1527.75</v>
      </c>
      <c r="G111" s="15">
        <f t="shared" si="5"/>
        <v>197.25</v>
      </c>
      <c r="H111" s="15">
        <f t="shared" si="6"/>
        <v>20700</v>
      </c>
      <c r="I111" s="15">
        <f t="shared" si="7"/>
        <v>18333</v>
      </c>
      <c r="J111" s="15">
        <f t="shared" si="8"/>
        <v>2367</v>
      </c>
      <c r="K111" s="19">
        <f t="shared" si="9"/>
        <v>0.12911143838978892</v>
      </c>
      <c r="L111" s="15" t="s">
        <v>216</v>
      </c>
      <c r="M111" s="15"/>
    </row>
    <row r="112" spans="1:13" x14ac:dyDescent="0.25">
      <c r="A112" s="16">
        <v>45997</v>
      </c>
      <c r="B112" s="17" t="s">
        <v>38</v>
      </c>
      <c r="C112" s="15">
        <v>1</v>
      </c>
      <c r="D112" s="18"/>
      <c r="E112" s="15">
        <v>1650</v>
      </c>
      <c r="F112" s="15">
        <v>1294</v>
      </c>
      <c r="G112" s="15">
        <f t="shared" si="5"/>
        <v>356</v>
      </c>
      <c r="H112" s="15">
        <f t="shared" si="6"/>
        <v>1650</v>
      </c>
      <c r="I112" s="15">
        <f t="shared" si="7"/>
        <v>1294</v>
      </c>
      <c r="J112" s="15">
        <f t="shared" si="8"/>
        <v>356</v>
      </c>
      <c r="K112" s="19">
        <f t="shared" si="9"/>
        <v>0.27511591962905718</v>
      </c>
      <c r="L112" s="15" t="s">
        <v>216</v>
      </c>
      <c r="M112" s="15"/>
    </row>
    <row r="113" spans="1:13" x14ac:dyDescent="0.25">
      <c r="A113" s="16">
        <v>46015</v>
      </c>
      <c r="B113" s="20" t="s">
        <v>38</v>
      </c>
      <c r="C113" s="15">
        <v>2</v>
      </c>
      <c r="D113" s="18"/>
      <c r="E113" s="15">
        <v>1640</v>
      </c>
      <c r="F113" s="15">
        <v>1348</v>
      </c>
      <c r="G113" s="15">
        <f t="shared" si="5"/>
        <v>292</v>
      </c>
      <c r="H113" s="15">
        <f t="shared" si="6"/>
        <v>3280</v>
      </c>
      <c r="I113" s="15">
        <f t="shared" si="7"/>
        <v>2696</v>
      </c>
      <c r="J113" s="15">
        <f t="shared" si="8"/>
        <v>584</v>
      </c>
      <c r="K113" s="19">
        <f t="shared" si="9"/>
        <v>0.21661721068249259</v>
      </c>
      <c r="L113" s="15" t="s">
        <v>216</v>
      </c>
      <c r="M113" s="15"/>
    </row>
    <row r="114" spans="1:13" x14ac:dyDescent="0.25">
      <c r="A114" s="16">
        <v>46015</v>
      </c>
      <c r="B114" s="20" t="s">
        <v>38</v>
      </c>
      <c r="C114" s="21">
        <v>1</v>
      </c>
      <c r="D114" s="18"/>
      <c r="E114" s="21">
        <v>1640</v>
      </c>
      <c r="F114" s="15">
        <v>1007</v>
      </c>
      <c r="G114" s="15">
        <f t="shared" si="5"/>
        <v>633</v>
      </c>
      <c r="H114" s="15">
        <f t="shared" si="6"/>
        <v>1640</v>
      </c>
      <c r="I114" s="15">
        <f t="shared" si="7"/>
        <v>1007</v>
      </c>
      <c r="J114" s="15">
        <f t="shared" si="8"/>
        <v>633</v>
      </c>
      <c r="K114" s="19">
        <f t="shared" si="9"/>
        <v>0.62859980139026816</v>
      </c>
      <c r="L114" s="15" t="s">
        <v>216</v>
      </c>
      <c r="M114" s="15"/>
    </row>
    <row r="115" spans="1:13" x14ac:dyDescent="0.25">
      <c r="A115" s="10">
        <v>46006</v>
      </c>
      <c r="B115" s="26" t="s">
        <v>86</v>
      </c>
      <c r="C115" s="12">
        <v>3</v>
      </c>
      <c r="D115" s="13"/>
      <c r="E115" s="12">
        <v>422</v>
      </c>
      <c r="F115" s="12">
        <v>503.33</v>
      </c>
      <c r="G115" s="12">
        <f t="shared" si="5"/>
        <v>-81.329999999999984</v>
      </c>
      <c r="H115" s="12">
        <f t="shared" si="6"/>
        <v>1266</v>
      </c>
      <c r="I115" s="12">
        <f t="shared" si="7"/>
        <v>1509.99</v>
      </c>
      <c r="J115" s="12">
        <f t="shared" si="8"/>
        <v>-243.99</v>
      </c>
      <c r="K115" s="14">
        <f t="shared" si="9"/>
        <v>-0.16158385154868574</v>
      </c>
      <c r="L115" s="12" t="s">
        <v>216</v>
      </c>
      <c r="M115" s="15"/>
    </row>
    <row r="116" spans="1:13" x14ac:dyDescent="0.25">
      <c r="A116" s="16">
        <v>46011</v>
      </c>
      <c r="B116" s="17" t="s">
        <v>131</v>
      </c>
      <c r="C116" s="15">
        <v>1</v>
      </c>
      <c r="D116" s="18"/>
      <c r="E116" s="15">
        <v>1980</v>
      </c>
      <c r="F116" s="15">
        <v>1725.5</v>
      </c>
      <c r="G116" s="15">
        <f t="shared" si="5"/>
        <v>254.5</v>
      </c>
      <c r="H116" s="15">
        <f t="shared" si="6"/>
        <v>1980</v>
      </c>
      <c r="I116" s="15">
        <f t="shared" si="7"/>
        <v>1725.5</v>
      </c>
      <c r="J116" s="15">
        <f t="shared" si="8"/>
        <v>254.5</v>
      </c>
      <c r="K116" s="19">
        <f t="shared" si="9"/>
        <v>0.14749348015068095</v>
      </c>
      <c r="L116" s="15" t="s">
        <v>216</v>
      </c>
      <c r="M116" s="15"/>
    </row>
    <row r="117" spans="1:13" x14ac:dyDescent="0.25">
      <c r="A117" s="16">
        <v>46011</v>
      </c>
      <c r="B117" s="17" t="s">
        <v>131</v>
      </c>
      <c r="C117" s="15">
        <v>1</v>
      </c>
      <c r="D117" s="18"/>
      <c r="E117" s="15">
        <v>1980</v>
      </c>
      <c r="F117" s="15">
        <v>1725.5</v>
      </c>
      <c r="G117" s="15">
        <f t="shared" si="5"/>
        <v>254.5</v>
      </c>
      <c r="H117" s="15">
        <f t="shared" si="6"/>
        <v>1980</v>
      </c>
      <c r="I117" s="15">
        <f t="shared" si="7"/>
        <v>1725.5</v>
      </c>
      <c r="J117" s="15">
        <f t="shared" si="8"/>
        <v>254.5</v>
      </c>
      <c r="K117" s="19">
        <f t="shared" si="9"/>
        <v>0.14749348015068095</v>
      </c>
      <c r="L117" s="15" t="s">
        <v>216</v>
      </c>
      <c r="M117" s="15"/>
    </row>
    <row r="118" spans="1:13" x14ac:dyDescent="0.25">
      <c r="A118" s="16">
        <v>46002</v>
      </c>
      <c r="B118" s="20" t="s">
        <v>74</v>
      </c>
      <c r="C118" s="15">
        <v>1</v>
      </c>
      <c r="D118" s="22">
        <v>354956979783102</v>
      </c>
      <c r="E118" s="15">
        <v>5000</v>
      </c>
      <c r="F118" s="15">
        <v>4918.3</v>
      </c>
      <c r="G118" s="15">
        <f t="shared" si="5"/>
        <v>81.699999999999818</v>
      </c>
      <c r="H118" s="15">
        <f t="shared" si="6"/>
        <v>5000</v>
      </c>
      <c r="I118" s="15">
        <f t="shared" si="7"/>
        <v>4918.3</v>
      </c>
      <c r="J118" s="15">
        <f t="shared" si="8"/>
        <v>81.699999999999818</v>
      </c>
      <c r="K118" s="19">
        <f t="shared" si="9"/>
        <v>1.6611430778927641E-2</v>
      </c>
      <c r="L118" s="15" t="s">
        <v>240</v>
      </c>
      <c r="M118" s="15"/>
    </row>
    <row r="119" spans="1:13" x14ac:dyDescent="0.25">
      <c r="A119" s="16">
        <v>46002</v>
      </c>
      <c r="B119" s="20" t="s">
        <v>74</v>
      </c>
      <c r="C119" s="15">
        <v>1</v>
      </c>
      <c r="D119" s="22">
        <v>354956979854473</v>
      </c>
      <c r="E119" s="15">
        <v>5000</v>
      </c>
      <c r="F119" s="15">
        <v>4918.3</v>
      </c>
      <c r="G119" s="15">
        <f t="shared" si="5"/>
        <v>81.699999999999818</v>
      </c>
      <c r="H119" s="15">
        <f t="shared" si="6"/>
        <v>5000</v>
      </c>
      <c r="I119" s="15">
        <f t="shared" si="7"/>
        <v>4918.3</v>
      </c>
      <c r="J119" s="15">
        <f t="shared" si="8"/>
        <v>81.699999999999818</v>
      </c>
      <c r="K119" s="19">
        <f t="shared" si="9"/>
        <v>1.6611430778927641E-2</v>
      </c>
      <c r="L119" s="15" t="s">
        <v>240</v>
      </c>
      <c r="M119" s="15"/>
    </row>
    <row r="120" spans="1:13" x14ac:dyDescent="0.25">
      <c r="A120" s="16">
        <v>46002</v>
      </c>
      <c r="B120" s="20" t="s">
        <v>74</v>
      </c>
      <c r="C120" s="15">
        <v>1</v>
      </c>
      <c r="D120" s="22">
        <v>356661408898848</v>
      </c>
      <c r="E120" s="15">
        <v>5000</v>
      </c>
      <c r="F120" s="15">
        <v>4918.3</v>
      </c>
      <c r="G120" s="15">
        <f t="shared" si="5"/>
        <v>81.699999999999818</v>
      </c>
      <c r="H120" s="15">
        <f t="shared" si="6"/>
        <v>5000</v>
      </c>
      <c r="I120" s="15">
        <f t="shared" si="7"/>
        <v>4918.3</v>
      </c>
      <c r="J120" s="15">
        <f t="shared" si="8"/>
        <v>81.699999999999818</v>
      </c>
      <c r="K120" s="19">
        <f t="shared" si="9"/>
        <v>1.6611430778927641E-2</v>
      </c>
      <c r="L120" s="15" t="s">
        <v>240</v>
      </c>
      <c r="M120" s="15"/>
    </row>
    <row r="121" spans="1:13" x14ac:dyDescent="0.25">
      <c r="A121" s="10">
        <v>46002</v>
      </c>
      <c r="B121" s="26" t="s">
        <v>44</v>
      </c>
      <c r="C121" s="12">
        <v>1</v>
      </c>
      <c r="D121" s="27">
        <v>355469924573247</v>
      </c>
      <c r="E121" s="12">
        <v>2650</v>
      </c>
      <c r="F121" s="12">
        <v>3625.9</v>
      </c>
      <c r="G121" s="12">
        <f t="shared" si="5"/>
        <v>-975.90000000000009</v>
      </c>
      <c r="H121" s="12">
        <f t="shared" si="6"/>
        <v>2650</v>
      </c>
      <c r="I121" s="12">
        <f t="shared" si="7"/>
        <v>3625.9</v>
      </c>
      <c r="J121" s="12">
        <f t="shared" si="8"/>
        <v>-975.90000000000009</v>
      </c>
      <c r="K121" s="14">
        <f t="shared" si="9"/>
        <v>-0.26914697040734714</v>
      </c>
      <c r="L121" s="12" t="s">
        <v>240</v>
      </c>
      <c r="M121" s="15"/>
    </row>
    <row r="122" spans="1:13" x14ac:dyDescent="0.25">
      <c r="A122" s="10">
        <v>46002</v>
      </c>
      <c r="B122" s="26" t="s">
        <v>44</v>
      </c>
      <c r="C122" s="12">
        <v>1</v>
      </c>
      <c r="D122" s="27">
        <v>351614404999834</v>
      </c>
      <c r="E122" s="12">
        <v>2650</v>
      </c>
      <c r="F122" s="12">
        <v>3625.9</v>
      </c>
      <c r="G122" s="12">
        <f t="shared" si="5"/>
        <v>-975.90000000000009</v>
      </c>
      <c r="H122" s="12">
        <f t="shared" si="6"/>
        <v>2650</v>
      </c>
      <c r="I122" s="12">
        <f t="shared" si="7"/>
        <v>3625.9</v>
      </c>
      <c r="J122" s="12">
        <f t="shared" si="8"/>
        <v>-975.90000000000009</v>
      </c>
      <c r="K122" s="14">
        <f t="shared" si="9"/>
        <v>-0.26914697040734714</v>
      </c>
      <c r="L122" s="12" t="s">
        <v>240</v>
      </c>
      <c r="M122" s="15"/>
    </row>
    <row r="123" spans="1:13" x14ac:dyDescent="0.25">
      <c r="A123" s="16">
        <v>46003</v>
      </c>
      <c r="B123" s="17" t="s">
        <v>44</v>
      </c>
      <c r="C123" s="15">
        <v>1</v>
      </c>
      <c r="D123" s="22">
        <v>354210970934243</v>
      </c>
      <c r="E123" s="15">
        <v>2770</v>
      </c>
      <c r="F123" s="15">
        <v>2602.75</v>
      </c>
      <c r="G123" s="15">
        <f t="shared" si="5"/>
        <v>167.25</v>
      </c>
      <c r="H123" s="15">
        <f t="shared" si="6"/>
        <v>2770</v>
      </c>
      <c r="I123" s="15">
        <f t="shared" si="7"/>
        <v>2602.75</v>
      </c>
      <c r="J123" s="15">
        <f t="shared" si="8"/>
        <v>167.25</v>
      </c>
      <c r="K123" s="19">
        <f t="shared" si="9"/>
        <v>6.4258956872538658E-2</v>
      </c>
      <c r="L123" s="15" t="s">
        <v>240</v>
      </c>
      <c r="M123" s="15"/>
    </row>
    <row r="124" spans="1:13" x14ac:dyDescent="0.25">
      <c r="A124" s="16">
        <v>46003</v>
      </c>
      <c r="B124" s="17" t="s">
        <v>83</v>
      </c>
      <c r="C124" s="15">
        <v>1</v>
      </c>
      <c r="D124" s="23">
        <v>357550242667940</v>
      </c>
      <c r="E124" s="15">
        <v>850</v>
      </c>
      <c r="F124" s="21">
        <v>719</v>
      </c>
      <c r="G124" s="15">
        <f t="shared" si="5"/>
        <v>131</v>
      </c>
      <c r="H124" s="15">
        <f t="shared" si="6"/>
        <v>850</v>
      </c>
      <c r="I124" s="15">
        <f t="shared" si="7"/>
        <v>719</v>
      </c>
      <c r="J124" s="15">
        <f t="shared" si="8"/>
        <v>131</v>
      </c>
      <c r="K124" s="19">
        <f t="shared" si="9"/>
        <v>0.18219749652294853</v>
      </c>
      <c r="L124" s="15" t="s">
        <v>223</v>
      </c>
      <c r="M124" s="15"/>
    </row>
    <row r="125" spans="1:13" x14ac:dyDescent="0.25">
      <c r="A125" s="16">
        <v>46003</v>
      </c>
      <c r="B125" s="17" t="s">
        <v>82</v>
      </c>
      <c r="C125" s="15">
        <v>1</v>
      </c>
      <c r="D125" s="23">
        <v>358911634583658</v>
      </c>
      <c r="E125" s="15">
        <v>1320</v>
      </c>
      <c r="F125" s="21">
        <v>1150.4000000000001</v>
      </c>
      <c r="G125" s="15">
        <f t="shared" si="5"/>
        <v>169.59999999999991</v>
      </c>
      <c r="H125" s="15">
        <f t="shared" si="6"/>
        <v>1320</v>
      </c>
      <c r="I125" s="15">
        <f t="shared" si="7"/>
        <v>1150.4000000000001</v>
      </c>
      <c r="J125" s="15">
        <f t="shared" si="8"/>
        <v>169.59999999999991</v>
      </c>
      <c r="K125" s="19">
        <f t="shared" si="9"/>
        <v>0.14742698191933232</v>
      </c>
      <c r="L125" s="15" t="s">
        <v>223</v>
      </c>
      <c r="M125" s="15"/>
    </row>
    <row r="126" spans="1:13" x14ac:dyDescent="0.25">
      <c r="A126" s="16">
        <v>46003</v>
      </c>
      <c r="B126" s="17" t="s">
        <v>81</v>
      </c>
      <c r="C126" s="15">
        <v>1</v>
      </c>
      <c r="D126" s="22">
        <v>356768322125404</v>
      </c>
      <c r="E126" s="15">
        <v>2450</v>
      </c>
      <c r="F126" s="21">
        <v>2354.7199999999998</v>
      </c>
      <c r="G126" s="15">
        <f t="shared" si="5"/>
        <v>95.2800000000002</v>
      </c>
      <c r="H126" s="15">
        <f t="shared" si="6"/>
        <v>2450</v>
      </c>
      <c r="I126" s="15">
        <f t="shared" si="7"/>
        <v>2354.7199999999998</v>
      </c>
      <c r="J126" s="15">
        <f t="shared" si="8"/>
        <v>95.2800000000002</v>
      </c>
      <c r="K126" s="19">
        <f t="shared" si="9"/>
        <v>4.0463409662295391E-2</v>
      </c>
      <c r="L126" s="15" t="s">
        <v>223</v>
      </c>
      <c r="M126" s="15"/>
    </row>
    <row r="127" spans="1:13" x14ac:dyDescent="0.25">
      <c r="A127" s="16">
        <v>46003</v>
      </c>
      <c r="B127" s="17" t="s">
        <v>81</v>
      </c>
      <c r="C127" s="15">
        <v>1</v>
      </c>
      <c r="D127" s="22">
        <v>356768325666800</v>
      </c>
      <c r="E127" s="15">
        <v>2450</v>
      </c>
      <c r="F127" s="21">
        <v>2354.7199999999998</v>
      </c>
      <c r="G127" s="15">
        <f t="shared" si="5"/>
        <v>95.2800000000002</v>
      </c>
      <c r="H127" s="15">
        <f t="shared" si="6"/>
        <v>2450</v>
      </c>
      <c r="I127" s="15">
        <f t="shared" si="7"/>
        <v>2354.7199999999998</v>
      </c>
      <c r="J127" s="15">
        <f t="shared" si="8"/>
        <v>95.2800000000002</v>
      </c>
      <c r="K127" s="19">
        <f t="shared" si="9"/>
        <v>4.0463409662295391E-2</v>
      </c>
      <c r="L127" s="15" t="s">
        <v>223</v>
      </c>
      <c r="M127" s="15"/>
    </row>
    <row r="128" spans="1:13" x14ac:dyDescent="0.25">
      <c r="A128" s="16">
        <v>46003</v>
      </c>
      <c r="B128" s="17" t="s">
        <v>81</v>
      </c>
      <c r="C128" s="15">
        <v>1</v>
      </c>
      <c r="D128" s="22">
        <v>355827870660336</v>
      </c>
      <c r="E128" s="15">
        <v>2450</v>
      </c>
      <c r="F128" s="21">
        <v>2354.7199999999998</v>
      </c>
      <c r="G128" s="15">
        <f t="shared" si="5"/>
        <v>95.2800000000002</v>
      </c>
      <c r="H128" s="15">
        <f t="shared" si="6"/>
        <v>2450</v>
      </c>
      <c r="I128" s="15">
        <f t="shared" si="7"/>
        <v>2354.7199999999998</v>
      </c>
      <c r="J128" s="15">
        <f t="shared" si="8"/>
        <v>95.2800000000002</v>
      </c>
      <c r="K128" s="19">
        <f t="shared" si="9"/>
        <v>4.0463409662295391E-2</v>
      </c>
      <c r="L128" s="15" t="s">
        <v>223</v>
      </c>
      <c r="M128" s="15"/>
    </row>
    <row r="129" spans="1:13" x14ac:dyDescent="0.25">
      <c r="A129" s="16">
        <v>46003</v>
      </c>
      <c r="B129" s="17" t="s">
        <v>81</v>
      </c>
      <c r="C129" s="15">
        <v>1</v>
      </c>
      <c r="D129" s="22">
        <v>358135792123921</v>
      </c>
      <c r="E129" s="15">
        <v>2450</v>
      </c>
      <c r="F129" s="21">
        <v>2354.7199999999998</v>
      </c>
      <c r="G129" s="15">
        <f t="shared" si="5"/>
        <v>95.2800000000002</v>
      </c>
      <c r="H129" s="15">
        <f t="shared" si="6"/>
        <v>2450</v>
      </c>
      <c r="I129" s="15">
        <f t="shared" si="7"/>
        <v>2354.7199999999998</v>
      </c>
      <c r="J129" s="15">
        <f t="shared" si="8"/>
        <v>95.2800000000002</v>
      </c>
      <c r="K129" s="19">
        <f t="shared" si="9"/>
        <v>4.0463409662295391E-2</v>
      </c>
      <c r="L129" s="15" t="s">
        <v>223</v>
      </c>
      <c r="M129" s="15"/>
    </row>
    <row r="130" spans="1:13" x14ac:dyDescent="0.25">
      <c r="A130" s="16">
        <v>46018</v>
      </c>
      <c r="B130" s="24" t="s">
        <v>195</v>
      </c>
      <c r="C130" s="15">
        <v>1</v>
      </c>
      <c r="D130" s="22">
        <v>350207461340041</v>
      </c>
      <c r="E130" s="15">
        <v>2000</v>
      </c>
      <c r="F130" s="15">
        <v>1617.75</v>
      </c>
      <c r="G130" s="15">
        <f t="shared" ref="G130:G193" si="10">E130-F130</f>
        <v>382.25</v>
      </c>
      <c r="H130" s="15">
        <f t="shared" ref="H130:H193" si="11">E130*C130</f>
        <v>2000</v>
      </c>
      <c r="I130" s="15">
        <f t="shared" ref="I130:I193" si="12">F130*C130</f>
        <v>1617.75</v>
      </c>
      <c r="J130" s="15">
        <f t="shared" ref="J130:J193" si="13">H130-I130</f>
        <v>382.25</v>
      </c>
      <c r="K130" s="19">
        <f t="shared" ref="K130:K193" si="14">(E130-F130)/F130</f>
        <v>0.23628496368412918</v>
      </c>
      <c r="L130" s="15" t="s">
        <v>223</v>
      </c>
      <c r="M130" s="15"/>
    </row>
    <row r="131" spans="1:13" x14ac:dyDescent="0.25">
      <c r="A131" s="16">
        <v>46001</v>
      </c>
      <c r="B131" s="20" t="s">
        <v>65</v>
      </c>
      <c r="C131" s="15">
        <v>1</v>
      </c>
      <c r="D131" s="23">
        <v>352628750569743</v>
      </c>
      <c r="E131" s="15">
        <v>3600</v>
      </c>
      <c r="F131" s="15">
        <v>3235.5</v>
      </c>
      <c r="G131" s="15">
        <f t="shared" si="10"/>
        <v>364.5</v>
      </c>
      <c r="H131" s="15">
        <f t="shared" si="11"/>
        <v>3600</v>
      </c>
      <c r="I131" s="15">
        <f t="shared" si="12"/>
        <v>3235.5</v>
      </c>
      <c r="J131" s="15">
        <f t="shared" si="13"/>
        <v>364.5</v>
      </c>
      <c r="K131" s="19">
        <f t="shared" si="14"/>
        <v>0.11265646731571627</v>
      </c>
      <c r="L131" s="15" t="s">
        <v>223</v>
      </c>
      <c r="M131" s="15"/>
    </row>
    <row r="132" spans="1:13" x14ac:dyDescent="0.25">
      <c r="A132" s="10">
        <v>46001</v>
      </c>
      <c r="B132" s="11" t="s">
        <v>17</v>
      </c>
      <c r="C132" s="12">
        <v>1</v>
      </c>
      <c r="D132" s="27">
        <v>358112930805859</v>
      </c>
      <c r="E132" s="12">
        <v>3100</v>
      </c>
      <c r="F132" s="12">
        <v>3954.5</v>
      </c>
      <c r="G132" s="12">
        <f t="shared" si="10"/>
        <v>-854.5</v>
      </c>
      <c r="H132" s="12">
        <f t="shared" si="11"/>
        <v>3100</v>
      </c>
      <c r="I132" s="12">
        <f t="shared" si="12"/>
        <v>3954.5</v>
      </c>
      <c r="J132" s="12">
        <f t="shared" si="13"/>
        <v>-854.5</v>
      </c>
      <c r="K132" s="14">
        <f t="shared" si="14"/>
        <v>-0.21608294348210899</v>
      </c>
      <c r="L132" s="12" t="s">
        <v>223</v>
      </c>
      <c r="M132" s="15"/>
    </row>
    <row r="133" spans="1:13" x14ac:dyDescent="0.25">
      <c r="A133" s="10">
        <v>46001</v>
      </c>
      <c r="B133" s="11" t="s">
        <v>17</v>
      </c>
      <c r="C133" s="12">
        <v>1</v>
      </c>
      <c r="D133" s="27">
        <v>358112931678883</v>
      </c>
      <c r="E133" s="12">
        <v>3100</v>
      </c>
      <c r="F133" s="12">
        <v>3954.5</v>
      </c>
      <c r="G133" s="12">
        <f t="shared" si="10"/>
        <v>-854.5</v>
      </c>
      <c r="H133" s="12">
        <f t="shared" si="11"/>
        <v>3100</v>
      </c>
      <c r="I133" s="12">
        <f t="shared" si="12"/>
        <v>3954.5</v>
      </c>
      <c r="J133" s="12">
        <f t="shared" si="13"/>
        <v>-854.5</v>
      </c>
      <c r="K133" s="14">
        <f t="shared" si="14"/>
        <v>-0.21608294348210899</v>
      </c>
      <c r="L133" s="12" t="s">
        <v>223</v>
      </c>
      <c r="M133" s="15"/>
    </row>
    <row r="134" spans="1:13" x14ac:dyDescent="0.25">
      <c r="A134" s="16">
        <v>46001</v>
      </c>
      <c r="B134" s="20" t="s">
        <v>60</v>
      </c>
      <c r="C134" s="15">
        <v>1</v>
      </c>
      <c r="D134" s="32" t="s">
        <v>62</v>
      </c>
      <c r="E134" s="15">
        <v>3350</v>
      </c>
      <c r="F134" s="15">
        <v>3235.5</v>
      </c>
      <c r="G134" s="15">
        <f t="shared" si="10"/>
        <v>114.5</v>
      </c>
      <c r="H134" s="15">
        <f t="shared" si="11"/>
        <v>3350</v>
      </c>
      <c r="I134" s="15">
        <f t="shared" si="12"/>
        <v>3235.5</v>
      </c>
      <c r="J134" s="15">
        <f t="shared" si="13"/>
        <v>114.5</v>
      </c>
      <c r="K134" s="19">
        <f t="shared" si="14"/>
        <v>3.53886570854582E-2</v>
      </c>
      <c r="L134" s="15" t="s">
        <v>223</v>
      </c>
      <c r="M134" s="15"/>
    </row>
    <row r="135" spans="1:13" x14ac:dyDescent="0.25">
      <c r="A135" s="16">
        <v>46001</v>
      </c>
      <c r="B135" s="20" t="s">
        <v>50</v>
      </c>
      <c r="C135" s="15">
        <v>1</v>
      </c>
      <c r="D135" s="22">
        <v>352355702660384</v>
      </c>
      <c r="E135" s="15">
        <v>4000</v>
      </c>
      <c r="F135" s="15">
        <v>3954.5</v>
      </c>
      <c r="G135" s="15">
        <f t="shared" si="10"/>
        <v>45.5</v>
      </c>
      <c r="H135" s="15">
        <f t="shared" si="11"/>
        <v>4000</v>
      </c>
      <c r="I135" s="15">
        <f t="shared" si="12"/>
        <v>3954.5</v>
      </c>
      <c r="J135" s="15">
        <f t="shared" si="13"/>
        <v>45.5</v>
      </c>
      <c r="K135" s="19">
        <f t="shared" si="14"/>
        <v>1.1505879377923885E-2</v>
      </c>
      <c r="L135" s="15" t="s">
        <v>223</v>
      </c>
      <c r="M135" s="15"/>
    </row>
    <row r="136" spans="1:13" x14ac:dyDescent="0.25">
      <c r="A136" s="16">
        <v>46001</v>
      </c>
      <c r="B136" s="20" t="s">
        <v>50</v>
      </c>
      <c r="C136" s="15">
        <v>1</v>
      </c>
      <c r="D136" s="22">
        <v>352355705598227</v>
      </c>
      <c r="E136" s="15">
        <v>4000</v>
      </c>
      <c r="F136" s="15">
        <v>3954.5</v>
      </c>
      <c r="G136" s="15">
        <f t="shared" si="10"/>
        <v>45.5</v>
      </c>
      <c r="H136" s="15">
        <f t="shared" si="11"/>
        <v>4000</v>
      </c>
      <c r="I136" s="15">
        <f t="shared" si="12"/>
        <v>3954.5</v>
      </c>
      <c r="J136" s="15">
        <f t="shared" si="13"/>
        <v>45.5</v>
      </c>
      <c r="K136" s="19">
        <f t="shared" si="14"/>
        <v>1.1505879377923885E-2</v>
      </c>
      <c r="L136" s="15" t="s">
        <v>223</v>
      </c>
      <c r="M136" s="15"/>
    </row>
    <row r="137" spans="1:13" x14ac:dyDescent="0.25">
      <c r="A137" s="16">
        <v>46001</v>
      </c>
      <c r="B137" s="20" t="s">
        <v>50</v>
      </c>
      <c r="C137" s="15">
        <v>1</v>
      </c>
      <c r="D137" s="22">
        <v>352355707128510</v>
      </c>
      <c r="E137" s="15">
        <v>4000</v>
      </c>
      <c r="F137" s="15">
        <v>3954.5</v>
      </c>
      <c r="G137" s="15">
        <f t="shared" si="10"/>
        <v>45.5</v>
      </c>
      <c r="H137" s="15">
        <f t="shared" si="11"/>
        <v>4000</v>
      </c>
      <c r="I137" s="15">
        <f t="shared" si="12"/>
        <v>3954.5</v>
      </c>
      <c r="J137" s="15">
        <f t="shared" si="13"/>
        <v>45.5</v>
      </c>
      <c r="K137" s="19">
        <f t="shared" si="14"/>
        <v>1.1505879377923885E-2</v>
      </c>
      <c r="L137" s="15" t="s">
        <v>223</v>
      </c>
      <c r="M137" s="15"/>
    </row>
    <row r="138" spans="1:13" x14ac:dyDescent="0.25">
      <c r="A138" s="16">
        <v>46001</v>
      </c>
      <c r="B138" s="20" t="s">
        <v>50</v>
      </c>
      <c r="C138" s="15">
        <v>1</v>
      </c>
      <c r="D138" s="22">
        <v>352355702701667</v>
      </c>
      <c r="E138" s="15">
        <v>4200</v>
      </c>
      <c r="F138" s="15">
        <v>3954.5</v>
      </c>
      <c r="G138" s="15">
        <f t="shared" si="10"/>
        <v>245.5</v>
      </c>
      <c r="H138" s="15">
        <f t="shared" si="11"/>
        <v>4200</v>
      </c>
      <c r="I138" s="15">
        <f t="shared" si="12"/>
        <v>3954.5</v>
      </c>
      <c r="J138" s="15">
        <f t="shared" si="13"/>
        <v>245.5</v>
      </c>
      <c r="K138" s="19">
        <f t="shared" si="14"/>
        <v>6.2081173346820076E-2</v>
      </c>
      <c r="L138" s="15" t="s">
        <v>223</v>
      </c>
      <c r="M138" s="15"/>
    </row>
    <row r="139" spans="1:13" x14ac:dyDescent="0.25">
      <c r="A139" s="16">
        <v>46001</v>
      </c>
      <c r="B139" s="20" t="s">
        <v>50</v>
      </c>
      <c r="C139" s="15">
        <v>1</v>
      </c>
      <c r="D139" s="22">
        <v>352355707823235</v>
      </c>
      <c r="E139" s="15">
        <v>4200</v>
      </c>
      <c r="F139" s="15">
        <v>3954.5</v>
      </c>
      <c r="G139" s="15">
        <f t="shared" si="10"/>
        <v>245.5</v>
      </c>
      <c r="H139" s="15">
        <f t="shared" si="11"/>
        <v>4200</v>
      </c>
      <c r="I139" s="15">
        <f t="shared" si="12"/>
        <v>3954.5</v>
      </c>
      <c r="J139" s="15">
        <f t="shared" si="13"/>
        <v>245.5</v>
      </c>
      <c r="K139" s="19">
        <f t="shared" si="14"/>
        <v>6.2081173346820076E-2</v>
      </c>
      <c r="L139" s="15" t="s">
        <v>223</v>
      </c>
      <c r="M139" s="15"/>
    </row>
    <row r="140" spans="1:13" x14ac:dyDescent="0.25">
      <c r="A140" s="16">
        <v>46001</v>
      </c>
      <c r="B140" s="20" t="s">
        <v>55</v>
      </c>
      <c r="C140" s="15">
        <v>1</v>
      </c>
      <c r="D140" s="23" t="s">
        <v>56</v>
      </c>
      <c r="E140" s="15">
        <v>4980</v>
      </c>
      <c r="F140" s="15">
        <v>4673.5</v>
      </c>
      <c r="G140" s="15">
        <f t="shared" si="10"/>
        <v>306.5</v>
      </c>
      <c r="H140" s="15">
        <f t="shared" si="11"/>
        <v>4980</v>
      </c>
      <c r="I140" s="15">
        <f t="shared" si="12"/>
        <v>4673.5</v>
      </c>
      <c r="J140" s="15">
        <f t="shared" si="13"/>
        <v>306.5</v>
      </c>
      <c r="K140" s="19">
        <f t="shared" si="14"/>
        <v>6.558253985235904E-2</v>
      </c>
      <c r="L140" s="15" t="s">
        <v>223</v>
      </c>
      <c r="M140" s="15"/>
    </row>
    <row r="141" spans="1:13" x14ac:dyDescent="0.25">
      <c r="A141" s="16">
        <v>46002</v>
      </c>
      <c r="B141" s="17" t="s">
        <v>77</v>
      </c>
      <c r="C141" s="15">
        <v>1</v>
      </c>
      <c r="D141" s="22">
        <v>356321259532190</v>
      </c>
      <c r="E141" s="15">
        <v>1660</v>
      </c>
      <c r="F141" s="15">
        <v>1581.8</v>
      </c>
      <c r="G141" s="15">
        <f t="shared" si="10"/>
        <v>78.200000000000045</v>
      </c>
      <c r="H141" s="15">
        <f t="shared" si="11"/>
        <v>1660</v>
      </c>
      <c r="I141" s="15">
        <f t="shared" si="12"/>
        <v>1581.8</v>
      </c>
      <c r="J141" s="15">
        <f t="shared" si="13"/>
        <v>78.200000000000045</v>
      </c>
      <c r="K141" s="19">
        <f t="shared" si="14"/>
        <v>4.9437349854596059E-2</v>
      </c>
      <c r="L141" s="15" t="s">
        <v>223</v>
      </c>
      <c r="M141" s="15"/>
    </row>
    <row r="142" spans="1:13" x14ac:dyDescent="0.25">
      <c r="A142" s="16">
        <v>46002</v>
      </c>
      <c r="B142" s="17" t="s">
        <v>77</v>
      </c>
      <c r="C142" s="15">
        <v>1</v>
      </c>
      <c r="D142" s="22">
        <v>356321259743011</v>
      </c>
      <c r="E142" s="15">
        <v>1660</v>
      </c>
      <c r="F142" s="15">
        <v>1581.8</v>
      </c>
      <c r="G142" s="15">
        <f t="shared" si="10"/>
        <v>78.200000000000045</v>
      </c>
      <c r="H142" s="15">
        <f t="shared" si="11"/>
        <v>1660</v>
      </c>
      <c r="I142" s="15">
        <f t="shared" si="12"/>
        <v>1581.8</v>
      </c>
      <c r="J142" s="15">
        <f t="shared" si="13"/>
        <v>78.200000000000045</v>
      </c>
      <c r="K142" s="19">
        <f t="shared" si="14"/>
        <v>4.9437349854596059E-2</v>
      </c>
      <c r="L142" s="15" t="s">
        <v>223</v>
      </c>
      <c r="M142" s="15"/>
    </row>
    <row r="143" spans="1:13" x14ac:dyDescent="0.25">
      <c r="A143" s="16">
        <v>46002</v>
      </c>
      <c r="B143" s="17" t="s">
        <v>77</v>
      </c>
      <c r="C143" s="15">
        <v>1</v>
      </c>
      <c r="D143" s="22">
        <v>356562915549967</v>
      </c>
      <c r="E143" s="15">
        <v>1660</v>
      </c>
      <c r="F143" s="15">
        <v>1581.8</v>
      </c>
      <c r="G143" s="15">
        <f t="shared" si="10"/>
        <v>78.200000000000045</v>
      </c>
      <c r="H143" s="15">
        <f t="shared" si="11"/>
        <v>1660</v>
      </c>
      <c r="I143" s="15">
        <f t="shared" si="12"/>
        <v>1581.8</v>
      </c>
      <c r="J143" s="15">
        <f t="shared" si="13"/>
        <v>78.200000000000045</v>
      </c>
      <c r="K143" s="19">
        <f t="shared" si="14"/>
        <v>4.9437349854596059E-2</v>
      </c>
      <c r="L143" s="15" t="s">
        <v>223</v>
      </c>
      <c r="M143" s="15"/>
    </row>
    <row r="144" spans="1:13" x14ac:dyDescent="0.25">
      <c r="A144" s="16">
        <v>46002</v>
      </c>
      <c r="B144" s="17" t="s">
        <v>77</v>
      </c>
      <c r="C144" s="15">
        <v>1</v>
      </c>
      <c r="D144" s="22">
        <v>356562915442197</v>
      </c>
      <c r="E144" s="15">
        <v>1660</v>
      </c>
      <c r="F144" s="15">
        <v>1581.8</v>
      </c>
      <c r="G144" s="15">
        <f t="shared" si="10"/>
        <v>78.200000000000045</v>
      </c>
      <c r="H144" s="15">
        <f t="shared" si="11"/>
        <v>1660</v>
      </c>
      <c r="I144" s="15">
        <f t="shared" si="12"/>
        <v>1581.8</v>
      </c>
      <c r="J144" s="15">
        <f t="shared" si="13"/>
        <v>78.200000000000045</v>
      </c>
      <c r="K144" s="19">
        <f t="shared" si="14"/>
        <v>4.9437349854596059E-2</v>
      </c>
      <c r="L144" s="15" t="s">
        <v>223</v>
      </c>
      <c r="M144" s="15"/>
    </row>
    <row r="145" spans="1:13" x14ac:dyDescent="0.25">
      <c r="A145" s="16">
        <v>46002</v>
      </c>
      <c r="B145" s="17" t="s">
        <v>77</v>
      </c>
      <c r="C145" s="15">
        <v>1</v>
      </c>
      <c r="D145" s="22">
        <v>356562915376528</v>
      </c>
      <c r="E145" s="15">
        <v>1660</v>
      </c>
      <c r="F145" s="15">
        <v>1581.8</v>
      </c>
      <c r="G145" s="15">
        <f t="shared" si="10"/>
        <v>78.200000000000045</v>
      </c>
      <c r="H145" s="15">
        <f t="shared" si="11"/>
        <v>1660</v>
      </c>
      <c r="I145" s="15">
        <f t="shared" si="12"/>
        <v>1581.8</v>
      </c>
      <c r="J145" s="15">
        <f t="shared" si="13"/>
        <v>78.200000000000045</v>
      </c>
      <c r="K145" s="19">
        <f t="shared" si="14"/>
        <v>4.9437349854596059E-2</v>
      </c>
      <c r="L145" s="15" t="s">
        <v>223</v>
      </c>
      <c r="M145" s="15"/>
    </row>
    <row r="146" spans="1:13" x14ac:dyDescent="0.25">
      <c r="A146" s="16">
        <v>46002</v>
      </c>
      <c r="B146" s="17" t="s">
        <v>77</v>
      </c>
      <c r="C146" s="15">
        <v>1</v>
      </c>
      <c r="D146" s="22">
        <v>356562915557325</v>
      </c>
      <c r="E146" s="15">
        <v>1660</v>
      </c>
      <c r="F146" s="15">
        <v>1581.8</v>
      </c>
      <c r="G146" s="15">
        <f t="shared" si="10"/>
        <v>78.200000000000045</v>
      </c>
      <c r="H146" s="15">
        <f t="shared" si="11"/>
        <v>1660</v>
      </c>
      <c r="I146" s="15">
        <f t="shared" si="12"/>
        <v>1581.8</v>
      </c>
      <c r="J146" s="15">
        <f t="shared" si="13"/>
        <v>78.200000000000045</v>
      </c>
      <c r="K146" s="19">
        <f t="shared" si="14"/>
        <v>4.9437349854596059E-2</v>
      </c>
      <c r="L146" s="15" t="s">
        <v>223</v>
      </c>
      <c r="M146" s="15"/>
    </row>
    <row r="147" spans="1:13" x14ac:dyDescent="0.25">
      <c r="A147" s="16">
        <v>46002</v>
      </c>
      <c r="B147" s="17" t="s">
        <v>77</v>
      </c>
      <c r="C147" s="15">
        <v>1</v>
      </c>
      <c r="D147" s="22">
        <v>357770208462892</v>
      </c>
      <c r="E147" s="15">
        <v>1660</v>
      </c>
      <c r="F147" s="15">
        <v>1581.8</v>
      </c>
      <c r="G147" s="15">
        <f t="shared" si="10"/>
        <v>78.200000000000045</v>
      </c>
      <c r="H147" s="15">
        <f t="shared" si="11"/>
        <v>1660</v>
      </c>
      <c r="I147" s="15">
        <f t="shared" si="12"/>
        <v>1581.8</v>
      </c>
      <c r="J147" s="15">
        <f t="shared" si="13"/>
        <v>78.200000000000045</v>
      </c>
      <c r="K147" s="19">
        <f t="shared" si="14"/>
        <v>4.9437349854596059E-2</v>
      </c>
      <c r="L147" s="15" t="s">
        <v>223</v>
      </c>
      <c r="M147" s="15"/>
    </row>
    <row r="148" spans="1:13" x14ac:dyDescent="0.25">
      <c r="A148" s="16">
        <v>46002</v>
      </c>
      <c r="B148" s="17" t="s">
        <v>77</v>
      </c>
      <c r="C148" s="15">
        <v>1</v>
      </c>
      <c r="D148" s="22">
        <v>356321258256528</v>
      </c>
      <c r="E148" s="15">
        <v>1660</v>
      </c>
      <c r="F148" s="15">
        <v>1581.8</v>
      </c>
      <c r="G148" s="15">
        <f t="shared" si="10"/>
        <v>78.200000000000045</v>
      </c>
      <c r="H148" s="15">
        <f t="shared" si="11"/>
        <v>1660</v>
      </c>
      <c r="I148" s="15">
        <f t="shared" si="12"/>
        <v>1581.8</v>
      </c>
      <c r="J148" s="15">
        <f t="shared" si="13"/>
        <v>78.200000000000045</v>
      </c>
      <c r="K148" s="19">
        <f t="shared" si="14"/>
        <v>4.9437349854596059E-2</v>
      </c>
      <c r="L148" s="15" t="s">
        <v>223</v>
      </c>
      <c r="M148" s="15"/>
    </row>
    <row r="149" spans="1:13" x14ac:dyDescent="0.25">
      <c r="A149" s="16">
        <v>46000</v>
      </c>
      <c r="B149" s="17" t="s">
        <v>44</v>
      </c>
      <c r="C149" s="15">
        <v>1</v>
      </c>
      <c r="D149" s="22">
        <v>359518870697263</v>
      </c>
      <c r="E149" s="15">
        <v>2740</v>
      </c>
      <c r="F149" s="15">
        <v>2606.27</v>
      </c>
      <c r="G149" s="15">
        <f t="shared" si="10"/>
        <v>133.73000000000002</v>
      </c>
      <c r="H149" s="15">
        <f t="shared" si="11"/>
        <v>2740</v>
      </c>
      <c r="I149" s="15">
        <f t="shared" si="12"/>
        <v>2606.27</v>
      </c>
      <c r="J149" s="15">
        <f t="shared" si="13"/>
        <v>133.73000000000002</v>
      </c>
      <c r="K149" s="19">
        <f t="shared" si="14"/>
        <v>5.1310877230678335E-2</v>
      </c>
      <c r="L149" s="15" t="s">
        <v>223</v>
      </c>
      <c r="M149" s="15"/>
    </row>
    <row r="150" spans="1:13" x14ac:dyDescent="0.25">
      <c r="A150" s="16">
        <v>46000</v>
      </c>
      <c r="B150" s="17" t="s">
        <v>44</v>
      </c>
      <c r="C150" s="15">
        <v>1</v>
      </c>
      <c r="D150" s="22">
        <v>359518870778956</v>
      </c>
      <c r="E150" s="15">
        <v>2740</v>
      </c>
      <c r="F150" s="15">
        <v>2606.27</v>
      </c>
      <c r="G150" s="15">
        <f t="shared" si="10"/>
        <v>133.73000000000002</v>
      </c>
      <c r="H150" s="15">
        <f t="shared" si="11"/>
        <v>2740</v>
      </c>
      <c r="I150" s="15">
        <f t="shared" si="12"/>
        <v>2606.27</v>
      </c>
      <c r="J150" s="15">
        <f t="shared" si="13"/>
        <v>133.73000000000002</v>
      </c>
      <c r="K150" s="19">
        <f t="shared" si="14"/>
        <v>5.1310877230678335E-2</v>
      </c>
      <c r="L150" s="15" t="s">
        <v>223</v>
      </c>
      <c r="M150" s="15"/>
    </row>
    <row r="151" spans="1:13" x14ac:dyDescent="0.25">
      <c r="A151" s="10">
        <v>46000</v>
      </c>
      <c r="B151" s="26" t="s">
        <v>48</v>
      </c>
      <c r="C151" s="12">
        <v>1</v>
      </c>
      <c r="D151" s="27">
        <v>355122366631896</v>
      </c>
      <c r="E151" s="12">
        <v>2650</v>
      </c>
      <c r="F151" s="12">
        <v>2678.27</v>
      </c>
      <c r="G151" s="12">
        <f t="shared" si="10"/>
        <v>-28.269999999999982</v>
      </c>
      <c r="H151" s="12">
        <f t="shared" si="11"/>
        <v>2650</v>
      </c>
      <c r="I151" s="12">
        <f t="shared" si="12"/>
        <v>2678.27</v>
      </c>
      <c r="J151" s="12">
        <f t="shared" si="13"/>
        <v>-28.269999999999982</v>
      </c>
      <c r="K151" s="14">
        <f t="shared" si="14"/>
        <v>-1.055532115880773E-2</v>
      </c>
      <c r="L151" s="12" t="s">
        <v>223</v>
      </c>
      <c r="M151" s="15"/>
    </row>
    <row r="152" spans="1:13" x14ac:dyDescent="0.25">
      <c r="A152" s="10">
        <v>46000</v>
      </c>
      <c r="B152" s="26" t="s">
        <v>48</v>
      </c>
      <c r="C152" s="12">
        <v>1</v>
      </c>
      <c r="D152" s="27">
        <v>356839672689537</v>
      </c>
      <c r="E152" s="12">
        <v>2650</v>
      </c>
      <c r="F152" s="12">
        <v>2678.27</v>
      </c>
      <c r="G152" s="12">
        <f t="shared" si="10"/>
        <v>-28.269999999999982</v>
      </c>
      <c r="H152" s="12">
        <f t="shared" si="11"/>
        <v>2650</v>
      </c>
      <c r="I152" s="12">
        <f t="shared" si="12"/>
        <v>2678.27</v>
      </c>
      <c r="J152" s="12">
        <f t="shared" si="13"/>
        <v>-28.269999999999982</v>
      </c>
      <c r="K152" s="14">
        <f t="shared" si="14"/>
        <v>-1.055532115880773E-2</v>
      </c>
      <c r="L152" s="12" t="s">
        <v>223</v>
      </c>
      <c r="M152" s="15"/>
    </row>
    <row r="153" spans="1:13" x14ac:dyDescent="0.25">
      <c r="A153" s="10">
        <v>46000</v>
      </c>
      <c r="B153" s="26" t="s">
        <v>48</v>
      </c>
      <c r="C153" s="12">
        <v>1</v>
      </c>
      <c r="D153" s="27">
        <v>352294446106216</v>
      </c>
      <c r="E153" s="12">
        <v>2650</v>
      </c>
      <c r="F153" s="12">
        <v>2678.27</v>
      </c>
      <c r="G153" s="12">
        <f t="shared" si="10"/>
        <v>-28.269999999999982</v>
      </c>
      <c r="H153" s="12">
        <f t="shared" si="11"/>
        <v>2650</v>
      </c>
      <c r="I153" s="12">
        <f t="shared" si="12"/>
        <v>2678.27</v>
      </c>
      <c r="J153" s="12">
        <f t="shared" si="13"/>
        <v>-28.269999999999982</v>
      </c>
      <c r="K153" s="14">
        <f t="shared" si="14"/>
        <v>-1.055532115880773E-2</v>
      </c>
      <c r="L153" s="12" t="s">
        <v>223</v>
      </c>
      <c r="M153" s="15"/>
    </row>
    <row r="154" spans="1:13" x14ac:dyDescent="0.25">
      <c r="A154" s="10">
        <v>46000</v>
      </c>
      <c r="B154" s="26" t="s">
        <v>48</v>
      </c>
      <c r="C154" s="12">
        <v>1</v>
      </c>
      <c r="D154" s="27">
        <v>352294447671135</v>
      </c>
      <c r="E154" s="12">
        <v>2650</v>
      </c>
      <c r="F154" s="12">
        <v>2678.27</v>
      </c>
      <c r="G154" s="12">
        <f t="shared" si="10"/>
        <v>-28.269999999999982</v>
      </c>
      <c r="H154" s="12">
        <f t="shared" si="11"/>
        <v>2650</v>
      </c>
      <c r="I154" s="12">
        <f t="shared" si="12"/>
        <v>2678.27</v>
      </c>
      <c r="J154" s="12">
        <f t="shared" si="13"/>
        <v>-28.269999999999982</v>
      </c>
      <c r="K154" s="14">
        <f t="shared" si="14"/>
        <v>-1.055532115880773E-2</v>
      </c>
      <c r="L154" s="12" t="s">
        <v>223</v>
      </c>
      <c r="M154" s="15"/>
    </row>
    <row r="155" spans="1:13" x14ac:dyDescent="0.25">
      <c r="A155" s="10">
        <v>46007</v>
      </c>
      <c r="B155" s="11" t="s">
        <v>75</v>
      </c>
      <c r="C155" s="12">
        <v>1</v>
      </c>
      <c r="D155" s="31">
        <v>354996269483815</v>
      </c>
      <c r="E155" s="12">
        <v>2770</v>
      </c>
      <c r="F155" s="12">
        <v>2876</v>
      </c>
      <c r="G155" s="12">
        <f t="shared" si="10"/>
        <v>-106</v>
      </c>
      <c r="H155" s="12">
        <f t="shared" si="11"/>
        <v>2770</v>
      </c>
      <c r="I155" s="12">
        <f t="shared" si="12"/>
        <v>2876</v>
      </c>
      <c r="J155" s="12">
        <f t="shared" si="13"/>
        <v>-106</v>
      </c>
      <c r="K155" s="14">
        <f t="shared" si="14"/>
        <v>-3.68567454798331E-2</v>
      </c>
      <c r="L155" s="12" t="s">
        <v>223</v>
      </c>
      <c r="M155" s="15"/>
    </row>
    <row r="156" spans="1:13" x14ac:dyDescent="0.25">
      <c r="A156" s="10">
        <v>46017</v>
      </c>
      <c r="B156" s="34" t="s">
        <v>178</v>
      </c>
      <c r="C156" s="12">
        <v>1</v>
      </c>
      <c r="D156" s="27">
        <v>356764171533632</v>
      </c>
      <c r="E156" s="12">
        <v>3244</v>
      </c>
      <c r="F156" s="12">
        <v>3451.2</v>
      </c>
      <c r="G156" s="12">
        <f t="shared" si="10"/>
        <v>-207.19999999999982</v>
      </c>
      <c r="H156" s="12">
        <f t="shared" si="11"/>
        <v>3244</v>
      </c>
      <c r="I156" s="12">
        <f t="shared" si="12"/>
        <v>3451.2</v>
      </c>
      <c r="J156" s="12">
        <f t="shared" si="13"/>
        <v>-207.19999999999982</v>
      </c>
      <c r="K156" s="14">
        <f t="shared" si="14"/>
        <v>-6.0037088548910475E-2</v>
      </c>
      <c r="L156" s="12" t="s">
        <v>223</v>
      </c>
      <c r="M156" s="15"/>
    </row>
    <row r="157" spans="1:13" x14ac:dyDescent="0.25">
      <c r="A157" s="16">
        <v>46018</v>
      </c>
      <c r="B157" s="24" t="s">
        <v>178</v>
      </c>
      <c r="C157" s="15">
        <v>1</v>
      </c>
      <c r="D157" s="23">
        <v>357999600507737</v>
      </c>
      <c r="E157" s="15">
        <v>4100</v>
      </c>
      <c r="F157" s="15">
        <v>3666.9</v>
      </c>
      <c r="G157" s="15">
        <f t="shared" si="10"/>
        <v>433.09999999999991</v>
      </c>
      <c r="H157" s="15">
        <f t="shared" si="11"/>
        <v>4100</v>
      </c>
      <c r="I157" s="15">
        <f t="shared" si="12"/>
        <v>3666.9</v>
      </c>
      <c r="J157" s="15">
        <f t="shared" si="13"/>
        <v>433.09999999999991</v>
      </c>
      <c r="K157" s="19">
        <f t="shared" si="14"/>
        <v>0.11811066568491094</v>
      </c>
      <c r="L157" s="15" t="s">
        <v>223</v>
      </c>
      <c r="M157" s="15"/>
    </row>
    <row r="158" spans="1:13" x14ac:dyDescent="0.25">
      <c r="A158" s="10">
        <v>46016</v>
      </c>
      <c r="B158" s="34" t="s">
        <v>141</v>
      </c>
      <c r="C158" s="12">
        <v>1</v>
      </c>
      <c r="D158" s="31">
        <v>356364245022033</v>
      </c>
      <c r="E158" s="12">
        <v>3250</v>
      </c>
      <c r="F158" s="12">
        <v>3451.2</v>
      </c>
      <c r="G158" s="12">
        <f t="shared" si="10"/>
        <v>-201.19999999999982</v>
      </c>
      <c r="H158" s="12">
        <f t="shared" si="11"/>
        <v>3250</v>
      </c>
      <c r="I158" s="12">
        <f t="shared" si="12"/>
        <v>3451.2</v>
      </c>
      <c r="J158" s="12">
        <f t="shared" si="13"/>
        <v>-201.19999999999982</v>
      </c>
      <c r="K158" s="14">
        <f t="shared" si="14"/>
        <v>-5.8298562818729666E-2</v>
      </c>
      <c r="L158" s="12" t="s">
        <v>223</v>
      </c>
      <c r="M158" s="15"/>
    </row>
    <row r="159" spans="1:13" x14ac:dyDescent="0.25">
      <c r="A159" s="16">
        <v>46018</v>
      </c>
      <c r="B159" s="24" t="s">
        <v>185</v>
      </c>
      <c r="C159" s="15">
        <v>1</v>
      </c>
      <c r="D159" s="23">
        <v>356364245480694</v>
      </c>
      <c r="E159" s="15">
        <v>3250</v>
      </c>
      <c r="F159" s="15">
        <v>3451.2</v>
      </c>
      <c r="G159" s="15">
        <f t="shared" si="10"/>
        <v>-201.19999999999982</v>
      </c>
      <c r="H159" s="15">
        <f t="shared" si="11"/>
        <v>3250</v>
      </c>
      <c r="I159" s="15">
        <f t="shared" si="12"/>
        <v>3451.2</v>
      </c>
      <c r="J159" s="15">
        <f t="shared" si="13"/>
        <v>-201.19999999999982</v>
      </c>
      <c r="K159" s="19">
        <f t="shared" si="14"/>
        <v>-5.8298562818729666E-2</v>
      </c>
      <c r="L159" s="15" t="s">
        <v>223</v>
      </c>
      <c r="M159" s="15"/>
    </row>
    <row r="160" spans="1:13" x14ac:dyDescent="0.25">
      <c r="A160" s="10">
        <v>46000</v>
      </c>
      <c r="B160" s="11" t="s">
        <v>14</v>
      </c>
      <c r="C160" s="12">
        <v>1</v>
      </c>
      <c r="D160" s="31">
        <v>357063605115994</v>
      </c>
      <c r="E160" s="12">
        <v>3440</v>
      </c>
      <c r="F160" s="12">
        <v>3451.2</v>
      </c>
      <c r="G160" s="12">
        <f t="shared" si="10"/>
        <v>-11.199999999999818</v>
      </c>
      <c r="H160" s="12">
        <f t="shared" si="11"/>
        <v>3440</v>
      </c>
      <c r="I160" s="12">
        <f t="shared" si="12"/>
        <v>3451.2</v>
      </c>
      <c r="J160" s="12">
        <f t="shared" si="13"/>
        <v>-11.199999999999818</v>
      </c>
      <c r="K160" s="14">
        <f t="shared" si="14"/>
        <v>-3.2452480296707867E-3</v>
      </c>
      <c r="L160" s="12" t="s">
        <v>223</v>
      </c>
      <c r="M160" s="15"/>
    </row>
    <row r="161" spans="1:13" x14ac:dyDescent="0.25">
      <c r="A161" s="10">
        <v>46001</v>
      </c>
      <c r="B161" s="11" t="s">
        <v>14</v>
      </c>
      <c r="C161" s="12">
        <v>1</v>
      </c>
      <c r="D161" s="27">
        <v>356364242289726</v>
      </c>
      <c r="E161" s="12">
        <v>3380</v>
      </c>
      <c r="F161" s="12">
        <v>3451.2</v>
      </c>
      <c r="G161" s="12">
        <f t="shared" si="10"/>
        <v>-71.199999999999818</v>
      </c>
      <c r="H161" s="12">
        <f t="shared" si="11"/>
        <v>3380</v>
      </c>
      <c r="I161" s="12">
        <f t="shared" si="12"/>
        <v>3451.2</v>
      </c>
      <c r="J161" s="12">
        <f t="shared" si="13"/>
        <v>-71.199999999999818</v>
      </c>
      <c r="K161" s="14">
        <f t="shared" si="14"/>
        <v>-2.0630505331478855E-2</v>
      </c>
      <c r="L161" s="12" t="s">
        <v>223</v>
      </c>
      <c r="M161" s="15"/>
    </row>
    <row r="162" spans="1:13" x14ac:dyDescent="0.25">
      <c r="A162" s="16">
        <v>46001</v>
      </c>
      <c r="B162" s="20" t="s">
        <v>14</v>
      </c>
      <c r="C162" s="15">
        <v>1</v>
      </c>
      <c r="D162" s="22">
        <v>359912581131433</v>
      </c>
      <c r="E162" s="15">
        <v>3510</v>
      </c>
      <c r="F162" s="15">
        <v>3451.2</v>
      </c>
      <c r="G162" s="15">
        <f t="shared" si="10"/>
        <v>58.800000000000182</v>
      </c>
      <c r="H162" s="15">
        <f t="shared" si="11"/>
        <v>3510</v>
      </c>
      <c r="I162" s="15">
        <f t="shared" si="12"/>
        <v>3451.2</v>
      </c>
      <c r="J162" s="15">
        <f t="shared" si="13"/>
        <v>58.800000000000182</v>
      </c>
      <c r="K162" s="19">
        <f t="shared" si="14"/>
        <v>1.7037552155771959E-2</v>
      </c>
      <c r="L162" s="15" t="s">
        <v>223</v>
      </c>
      <c r="M162" s="15"/>
    </row>
    <row r="163" spans="1:13" x14ac:dyDescent="0.25">
      <c r="A163" s="16">
        <v>46001</v>
      </c>
      <c r="B163" s="20" t="s">
        <v>14</v>
      </c>
      <c r="C163" s="15">
        <v>1</v>
      </c>
      <c r="D163" s="22">
        <v>359912582409614</v>
      </c>
      <c r="E163" s="15">
        <v>3510</v>
      </c>
      <c r="F163" s="15">
        <v>3451.2</v>
      </c>
      <c r="G163" s="15">
        <f t="shared" si="10"/>
        <v>58.800000000000182</v>
      </c>
      <c r="H163" s="15">
        <f t="shared" si="11"/>
        <v>3510</v>
      </c>
      <c r="I163" s="15">
        <f t="shared" si="12"/>
        <v>3451.2</v>
      </c>
      <c r="J163" s="15">
        <f t="shared" si="13"/>
        <v>58.800000000000182</v>
      </c>
      <c r="K163" s="19">
        <f t="shared" si="14"/>
        <v>1.7037552155771959E-2</v>
      </c>
      <c r="L163" s="15" t="s">
        <v>223</v>
      </c>
      <c r="M163" s="15"/>
    </row>
    <row r="164" spans="1:13" x14ac:dyDescent="0.25">
      <c r="A164" s="16">
        <v>46001</v>
      </c>
      <c r="B164" s="20" t="s">
        <v>14</v>
      </c>
      <c r="C164" s="15">
        <v>1</v>
      </c>
      <c r="D164" s="22">
        <v>359802893681995</v>
      </c>
      <c r="E164" s="15">
        <v>3500</v>
      </c>
      <c r="F164" s="15">
        <v>3451.2</v>
      </c>
      <c r="G164" s="15">
        <f t="shared" si="10"/>
        <v>48.800000000000182</v>
      </c>
      <c r="H164" s="15">
        <f t="shared" si="11"/>
        <v>3500</v>
      </c>
      <c r="I164" s="15">
        <f t="shared" si="12"/>
        <v>3451.2</v>
      </c>
      <c r="J164" s="15">
        <f t="shared" si="13"/>
        <v>48.800000000000182</v>
      </c>
      <c r="K164" s="19">
        <f t="shared" si="14"/>
        <v>1.4140009272137282E-2</v>
      </c>
      <c r="L164" s="15" t="s">
        <v>223</v>
      </c>
      <c r="M164" s="15"/>
    </row>
    <row r="165" spans="1:13" x14ac:dyDescent="0.25">
      <c r="A165" s="10">
        <v>46001</v>
      </c>
      <c r="B165" s="11" t="s">
        <v>14</v>
      </c>
      <c r="C165" s="12">
        <v>1</v>
      </c>
      <c r="D165" s="27">
        <v>355478875508847</v>
      </c>
      <c r="E165" s="12">
        <v>3225</v>
      </c>
      <c r="F165" s="12">
        <v>3451.2</v>
      </c>
      <c r="G165" s="12">
        <f t="shared" si="10"/>
        <v>-226.19999999999982</v>
      </c>
      <c r="H165" s="12">
        <f t="shared" si="11"/>
        <v>3225</v>
      </c>
      <c r="I165" s="12">
        <f t="shared" si="12"/>
        <v>3451.2</v>
      </c>
      <c r="J165" s="12">
        <f t="shared" si="13"/>
        <v>-226.19999999999982</v>
      </c>
      <c r="K165" s="14">
        <f t="shared" si="14"/>
        <v>-6.5542420027816364E-2</v>
      </c>
      <c r="L165" s="12" t="s">
        <v>223</v>
      </c>
      <c r="M165" s="15"/>
    </row>
    <row r="166" spans="1:13" x14ac:dyDescent="0.25">
      <c r="A166" s="10">
        <v>46001</v>
      </c>
      <c r="B166" s="11" t="s">
        <v>14</v>
      </c>
      <c r="C166" s="12">
        <v>1</v>
      </c>
      <c r="D166" s="27">
        <v>359426267059073</v>
      </c>
      <c r="E166" s="12">
        <v>3225</v>
      </c>
      <c r="F166" s="12">
        <v>3451.2</v>
      </c>
      <c r="G166" s="12">
        <f t="shared" si="10"/>
        <v>-226.19999999999982</v>
      </c>
      <c r="H166" s="12">
        <f t="shared" si="11"/>
        <v>3225</v>
      </c>
      <c r="I166" s="12">
        <f t="shared" si="12"/>
        <v>3451.2</v>
      </c>
      <c r="J166" s="12">
        <f t="shared" si="13"/>
        <v>-226.19999999999982</v>
      </c>
      <c r="K166" s="14">
        <f t="shared" si="14"/>
        <v>-6.5542420027816364E-2</v>
      </c>
      <c r="L166" s="12" t="s">
        <v>223</v>
      </c>
      <c r="M166" s="15"/>
    </row>
    <row r="167" spans="1:13" x14ac:dyDescent="0.25">
      <c r="A167" s="10">
        <v>46001</v>
      </c>
      <c r="B167" s="11" t="s">
        <v>14</v>
      </c>
      <c r="C167" s="12">
        <v>1</v>
      </c>
      <c r="D167" s="27">
        <v>353837412146753</v>
      </c>
      <c r="E167" s="12">
        <v>3400</v>
      </c>
      <c r="F167" s="12">
        <v>3451.2</v>
      </c>
      <c r="G167" s="12">
        <f t="shared" si="10"/>
        <v>-51.199999999999818</v>
      </c>
      <c r="H167" s="12">
        <f t="shared" si="11"/>
        <v>3400</v>
      </c>
      <c r="I167" s="12">
        <f t="shared" si="12"/>
        <v>3451.2</v>
      </c>
      <c r="J167" s="12">
        <f t="shared" si="13"/>
        <v>-51.199999999999818</v>
      </c>
      <c r="K167" s="14">
        <f t="shared" si="14"/>
        <v>-1.4835419564209498E-2</v>
      </c>
      <c r="L167" s="12" t="s">
        <v>223</v>
      </c>
      <c r="M167" s="15"/>
    </row>
    <row r="168" spans="1:13" x14ac:dyDescent="0.25">
      <c r="A168" s="10">
        <v>46002</v>
      </c>
      <c r="B168" s="11" t="s">
        <v>14</v>
      </c>
      <c r="C168" s="12">
        <v>1</v>
      </c>
      <c r="D168" s="27">
        <v>357826990715200</v>
      </c>
      <c r="E168" s="12">
        <v>3380</v>
      </c>
      <c r="F168" s="12">
        <v>3451.2</v>
      </c>
      <c r="G168" s="12">
        <f t="shared" si="10"/>
        <v>-71.199999999999818</v>
      </c>
      <c r="H168" s="12">
        <f t="shared" si="11"/>
        <v>3380</v>
      </c>
      <c r="I168" s="12">
        <f t="shared" si="12"/>
        <v>3451.2</v>
      </c>
      <c r="J168" s="12">
        <f t="shared" si="13"/>
        <v>-71.199999999999818</v>
      </c>
      <c r="K168" s="14">
        <f t="shared" si="14"/>
        <v>-2.0630505331478855E-2</v>
      </c>
      <c r="L168" s="12" t="s">
        <v>223</v>
      </c>
      <c r="M168" s="15"/>
    </row>
    <row r="169" spans="1:13" x14ac:dyDescent="0.25">
      <c r="A169" s="10">
        <v>46002</v>
      </c>
      <c r="B169" s="11" t="s">
        <v>14</v>
      </c>
      <c r="C169" s="12">
        <v>1</v>
      </c>
      <c r="D169" s="27">
        <v>357431265020145</v>
      </c>
      <c r="E169" s="12">
        <v>3380</v>
      </c>
      <c r="F169" s="12">
        <v>3451.2</v>
      </c>
      <c r="G169" s="12">
        <f t="shared" si="10"/>
        <v>-71.199999999999818</v>
      </c>
      <c r="H169" s="12">
        <f t="shared" si="11"/>
        <v>3380</v>
      </c>
      <c r="I169" s="12">
        <f t="shared" si="12"/>
        <v>3451.2</v>
      </c>
      <c r="J169" s="12">
        <f t="shared" si="13"/>
        <v>-71.199999999999818</v>
      </c>
      <c r="K169" s="14">
        <f t="shared" si="14"/>
        <v>-2.0630505331478855E-2</v>
      </c>
      <c r="L169" s="12" t="s">
        <v>223</v>
      </c>
      <c r="M169" s="15"/>
    </row>
    <row r="170" spans="1:13" x14ac:dyDescent="0.25">
      <c r="A170" s="10">
        <v>46002</v>
      </c>
      <c r="B170" s="11" t="s">
        <v>14</v>
      </c>
      <c r="C170" s="12">
        <v>1</v>
      </c>
      <c r="D170" s="27">
        <v>353837410619777</v>
      </c>
      <c r="E170" s="12">
        <v>3380</v>
      </c>
      <c r="F170" s="12">
        <v>3451.2</v>
      </c>
      <c r="G170" s="12">
        <f t="shared" si="10"/>
        <v>-71.199999999999818</v>
      </c>
      <c r="H170" s="12">
        <f t="shared" si="11"/>
        <v>3380</v>
      </c>
      <c r="I170" s="12">
        <f t="shared" si="12"/>
        <v>3451.2</v>
      </c>
      <c r="J170" s="12">
        <f t="shared" si="13"/>
        <v>-71.199999999999818</v>
      </c>
      <c r="K170" s="14">
        <f t="shared" si="14"/>
        <v>-2.0630505331478855E-2</v>
      </c>
      <c r="L170" s="12" t="s">
        <v>223</v>
      </c>
      <c r="M170" s="15"/>
    </row>
    <row r="171" spans="1:13" x14ac:dyDescent="0.25">
      <c r="A171" s="10">
        <v>46002</v>
      </c>
      <c r="B171" s="11" t="s">
        <v>14</v>
      </c>
      <c r="C171" s="12">
        <v>1</v>
      </c>
      <c r="D171" s="27">
        <v>359426266433568</v>
      </c>
      <c r="E171" s="12">
        <v>3380</v>
      </c>
      <c r="F171" s="12">
        <v>3451.2</v>
      </c>
      <c r="G171" s="12">
        <f t="shared" si="10"/>
        <v>-71.199999999999818</v>
      </c>
      <c r="H171" s="12">
        <f t="shared" si="11"/>
        <v>3380</v>
      </c>
      <c r="I171" s="12">
        <f t="shared" si="12"/>
        <v>3451.2</v>
      </c>
      <c r="J171" s="12">
        <f t="shared" si="13"/>
        <v>-71.199999999999818</v>
      </c>
      <c r="K171" s="14">
        <f t="shared" si="14"/>
        <v>-2.0630505331478855E-2</v>
      </c>
      <c r="L171" s="12" t="s">
        <v>223</v>
      </c>
      <c r="M171" s="15"/>
    </row>
    <row r="172" spans="1:13" x14ac:dyDescent="0.25">
      <c r="A172" s="10">
        <v>46002</v>
      </c>
      <c r="B172" s="11" t="s">
        <v>14</v>
      </c>
      <c r="C172" s="12">
        <v>1</v>
      </c>
      <c r="D172" s="27">
        <v>359426266831415</v>
      </c>
      <c r="E172" s="12">
        <v>3380</v>
      </c>
      <c r="F172" s="12">
        <v>3451.2</v>
      </c>
      <c r="G172" s="12">
        <f t="shared" si="10"/>
        <v>-71.199999999999818</v>
      </c>
      <c r="H172" s="12">
        <f t="shared" si="11"/>
        <v>3380</v>
      </c>
      <c r="I172" s="12">
        <f t="shared" si="12"/>
        <v>3451.2</v>
      </c>
      <c r="J172" s="12">
        <f t="shared" si="13"/>
        <v>-71.199999999999818</v>
      </c>
      <c r="K172" s="14">
        <f t="shared" si="14"/>
        <v>-2.0630505331478855E-2</v>
      </c>
      <c r="L172" s="12" t="s">
        <v>223</v>
      </c>
      <c r="M172" s="15"/>
    </row>
    <row r="173" spans="1:13" x14ac:dyDescent="0.25">
      <c r="A173" s="10">
        <v>46002</v>
      </c>
      <c r="B173" s="11" t="s">
        <v>14</v>
      </c>
      <c r="C173" s="12">
        <v>1</v>
      </c>
      <c r="D173" s="27">
        <v>357063605387353</v>
      </c>
      <c r="E173" s="12">
        <v>3380</v>
      </c>
      <c r="F173" s="12">
        <v>3451.2</v>
      </c>
      <c r="G173" s="12">
        <f t="shared" si="10"/>
        <v>-71.199999999999818</v>
      </c>
      <c r="H173" s="12">
        <f t="shared" si="11"/>
        <v>3380</v>
      </c>
      <c r="I173" s="12">
        <f t="shared" si="12"/>
        <v>3451.2</v>
      </c>
      <c r="J173" s="12">
        <f t="shared" si="13"/>
        <v>-71.199999999999818</v>
      </c>
      <c r="K173" s="14">
        <f t="shared" si="14"/>
        <v>-2.0630505331478855E-2</v>
      </c>
      <c r="L173" s="12" t="s">
        <v>223</v>
      </c>
      <c r="M173" s="15"/>
    </row>
    <row r="174" spans="1:13" x14ac:dyDescent="0.25">
      <c r="A174" s="10">
        <v>46002</v>
      </c>
      <c r="B174" s="11" t="s">
        <v>14</v>
      </c>
      <c r="C174" s="12">
        <v>1</v>
      </c>
      <c r="D174" s="27">
        <v>357826990397041</v>
      </c>
      <c r="E174" s="12">
        <v>3380</v>
      </c>
      <c r="F174" s="12">
        <v>3451.2</v>
      </c>
      <c r="G174" s="12">
        <f t="shared" si="10"/>
        <v>-71.199999999999818</v>
      </c>
      <c r="H174" s="12">
        <f t="shared" si="11"/>
        <v>3380</v>
      </c>
      <c r="I174" s="12">
        <f t="shared" si="12"/>
        <v>3451.2</v>
      </c>
      <c r="J174" s="12">
        <f t="shared" si="13"/>
        <v>-71.199999999999818</v>
      </c>
      <c r="K174" s="14">
        <f t="shared" si="14"/>
        <v>-2.0630505331478855E-2</v>
      </c>
      <c r="L174" s="12" t="s">
        <v>223</v>
      </c>
      <c r="M174" s="15"/>
    </row>
    <row r="175" spans="1:13" x14ac:dyDescent="0.25">
      <c r="A175" s="10">
        <v>46002</v>
      </c>
      <c r="B175" s="11" t="s">
        <v>14</v>
      </c>
      <c r="C175" s="12">
        <v>1</v>
      </c>
      <c r="D175" s="27">
        <v>358105436699255</v>
      </c>
      <c r="E175" s="12">
        <v>3380</v>
      </c>
      <c r="F175" s="12">
        <v>3451.2</v>
      </c>
      <c r="G175" s="12">
        <f t="shared" si="10"/>
        <v>-71.199999999999818</v>
      </c>
      <c r="H175" s="12">
        <f t="shared" si="11"/>
        <v>3380</v>
      </c>
      <c r="I175" s="12">
        <f t="shared" si="12"/>
        <v>3451.2</v>
      </c>
      <c r="J175" s="12">
        <f t="shared" si="13"/>
        <v>-71.199999999999818</v>
      </c>
      <c r="K175" s="14">
        <f t="shared" si="14"/>
        <v>-2.0630505331478855E-2</v>
      </c>
      <c r="L175" s="12" t="s">
        <v>223</v>
      </c>
      <c r="M175" s="15"/>
    </row>
    <row r="176" spans="1:13" x14ac:dyDescent="0.25">
      <c r="A176" s="10">
        <v>46002</v>
      </c>
      <c r="B176" s="11" t="s">
        <v>14</v>
      </c>
      <c r="C176" s="12">
        <v>1</v>
      </c>
      <c r="D176" s="27">
        <v>359426268884545</v>
      </c>
      <c r="E176" s="12">
        <v>3380</v>
      </c>
      <c r="F176" s="12">
        <v>3451.2</v>
      </c>
      <c r="G176" s="12">
        <f t="shared" si="10"/>
        <v>-71.199999999999818</v>
      </c>
      <c r="H176" s="12">
        <f t="shared" si="11"/>
        <v>3380</v>
      </c>
      <c r="I176" s="12">
        <f t="shared" si="12"/>
        <v>3451.2</v>
      </c>
      <c r="J176" s="12">
        <f t="shared" si="13"/>
        <v>-71.199999999999818</v>
      </c>
      <c r="K176" s="14">
        <f t="shared" si="14"/>
        <v>-2.0630505331478855E-2</v>
      </c>
      <c r="L176" s="12" t="s">
        <v>223</v>
      </c>
      <c r="M176" s="15"/>
    </row>
    <row r="177" spans="1:13" x14ac:dyDescent="0.25">
      <c r="A177" s="16">
        <v>46003</v>
      </c>
      <c r="B177" s="20" t="s">
        <v>14</v>
      </c>
      <c r="C177" s="15">
        <v>1</v>
      </c>
      <c r="D177" s="22">
        <v>359912581065896</v>
      </c>
      <c r="E177" s="15">
        <v>3565</v>
      </c>
      <c r="F177" s="15">
        <v>3451.2</v>
      </c>
      <c r="G177" s="15">
        <f t="shared" si="10"/>
        <v>113.80000000000018</v>
      </c>
      <c r="H177" s="15">
        <f t="shared" si="11"/>
        <v>3565</v>
      </c>
      <c r="I177" s="15">
        <f t="shared" si="12"/>
        <v>3451.2</v>
      </c>
      <c r="J177" s="15">
        <f t="shared" si="13"/>
        <v>113.80000000000018</v>
      </c>
      <c r="K177" s="19">
        <f t="shared" si="14"/>
        <v>3.2974038015762687E-2</v>
      </c>
      <c r="L177" s="15" t="s">
        <v>223</v>
      </c>
      <c r="M177" s="15"/>
    </row>
    <row r="178" spans="1:13" x14ac:dyDescent="0.25">
      <c r="A178" s="16">
        <v>46003</v>
      </c>
      <c r="B178" s="20" t="s">
        <v>14</v>
      </c>
      <c r="C178" s="15">
        <v>1</v>
      </c>
      <c r="D178" s="22">
        <v>359912582762673</v>
      </c>
      <c r="E178" s="15">
        <v>3565</v>
      </c>
      <c r="F178" s="15">
        <v>3451.2</v>
      </c>
      <c r="G178" s="15">
        <f t="shared" si="10"/>
        <v>113.80000000000018</v>
      </c>
      <c r="H178" s="15">
        <f t="shared" si="11"/>
        <v>3565</v>
      </c>
      <c r="I178" s="15">
        <f t="shared" si="12"/>
        <v>3451.2</v>
      </c>
      <c r="J178" s="15">
        <f t="shared" si="13"/>
        <v>113.80000000000018</v>
      </c>
      <c r="K178" s="19">
        <f t="shared" si="14"/>
        <v>3.2974038015762687E-2</v>
      </c>
      <c r="L178" s="15" t="s">
        <v>223</v>
      </c>
      <c r="M178" s="15"/>
    </row>
    <row r="179" spans="1:13" x14ac:dyDescent="0.25">
      <c r="A179" s="16">
        <v>46003</v>
      </c>
      <c r="B179" s="20" t="s">
        <v>14</v>
      </c>
      <c r="C179" s="15">
        <v>1</v>
      </c>
      <c r="D179" s="22">
        <v>359912580296203</v>
      </c>
      <c r="E179" s="15">
        <v>3565</v>
      </c>
      <c r="F179" s="15">
        <v>3451.2</v>
      </c>
      <c r="G179" s="15">
        <f t="shared" si="10"/>
        <v>113.80000000000018</v>
      </c>
      <c r="H179" s="15">
        <f t="shared" si="11"/>
        <v>3565</v>
      </c>
      <c r="I179" s="15">
        <f t="shared" si="12"/>
        <v>3451.2</v>
      </c>
      <c r="J179" s="15">
        <f t="shared" si="13"/>
        <v>113.80000000000018</v>
      </c>
      <c r="K179" s="19">
        <f t="shared" si="14"/>
        <v>3.2974038015762687E-2</v>
      </c>
      <c r="L179" s="15" t="s">
        <v>223</v>
      </c>
      <c r="M179" s="15"/>
    </row>
    <row r="180" spans="1:13" x14ac:dyDescent="0.25">
      <c r="A180" s="16">
        <v>46007</v>
      </c>
      <c r="B180" s="20" t="s">
        <v>14</v>
      </c>
      <c r="C180" s="15">
        <v>1</v>
      </c>
      <c r="D180" s="22">
        <v>356364245092952</v>
      </c>
      <c r="E180" s="15">
        <v>3475</v>
      </c>
      <c r="F180" s="15">
        <v>3451.2</v>
      </c>
      <c r="G180" s="15">
        <f t="shared" si="10"/>
        <v>23.800000000000182</v>
      </c>
      <c r="H180" s="15">
        <f t="shared" si="11"/>
        <v>3475</v>
      </c>
      <c r="I180" s="15">
        <f t="shared" si="12"/>
        <v>3451.2</v>
      </c>
      <c r="J180" s="15">
        <f t="shared" si="13"/>
        <v>23.800000000000182</v>
      </c>
      <c r="K180" s="19">
        <f t="shared" si="14"/>
        <v>6.8961520630505865E-3</v>
      </c>
      <c r="L180" s="15" t="s">
        <v>223</v>
      </c>
      <c r="M180" s="15"/>
    </row>
    <row r="181" spans="1:13" x14ac:dyDescent="0.25">
      <c r="A181" s="10">
        <v>46007</v>
      </c>
      <c r="B181" s="11" t="s">
        <v>14</v>
      </c>
      <c r="C181" s="12">
        <v>1</v>
      </c>
      <c r="D181" s="31">
        <v>356364245300447</v>
      </c>
      <c r="E181" s="12">
        <v>3375</v>
      </c>
      <c r="F181" s="12">
        <v>3451.2</v>
      </c>
      <c r="G181" s="12">
        <f t="shared" si="10"/>
        <v>-76.199999999999818</v>
      </c>
      <c r="H181" s="12">
        <f t="shared" si="11"/>
        <v>3375</v>
      </c>
      <c r="I181" s="12">
        <f t="shared" si="12"/>
        <v>3451.2</v>
      </c>
      <c r="J181" s="12">
        <f t="shared" si="13"/>
        <v>-76.199999999999818</v>
      </c>
      <c r="K181" s="14">
        <f t="shared" si="14"/>
        <v>-2.2079276773296193E-2</v>
      </c>
      <c r="L181" s="12" t="s">
        <v>223</v>
      </c>
      <c r="M181" s="15"/>
    </row>
    <row r="182" spans="1:13" x14ac:dyDescent="0.25">
      <c r="A182" s="10">
        <v>46008</v>
      </c>
      <c r="B182" s="11" t="s">
        <v>14</v>
      </c>
      <c r="C182" s="12">
        <v>1</v>
      </c>
      <c r="D182" s="27">
        <v>359912580081688</v>
      </c>
      <c r="E182" s="12">
        <v>3420</v>
      </c>
      <c r="F182" s="12">
        <v>3451.2</v>
      </c>
      <c r="G182" s="12">
        <f t="shared" si="10"/>
        <v>-31.199999999999818</v>
      </c>
      <c r="H182" s="12">
        <f t="shared" si="11"/>
        <v>3420</v>
      </c>
      <c r="I182" s="12">
        <f t="shared" si="12"/>
        <v>3451.2</v>
      </c>
      <c r="J182" s="12">
        <f t="shared" si="13"/>
        <v>-31.199999999999818</v>
      </c>
      <c r="K182" s="14">
        <f t="shared" si="14"/>
        <v>-9.0403337969401417E-3</v>
      </c>
      <c r="L182" s="12" t="s">
        <v>223</v>
      </c>
      <c r="M182" s="15"/>
    </row>
    <row r="183" spans="1:13" x14ac:dyDescent="0.25">
      <c r="A183" s="10">
        <v>46011</v>
      </c>
      <c r="B183" s="11" t="s">
        <v>14</v>
      </c>
      <c r="C183" s="12">
        <v>1</v>
      </c>
      <c r="D183" s="27">
        <v>359426262425188</v>
      </c>
      <c r="E183" s="12">
        <v>3260</v>
      </c>
      <c r="F183" s="12">
        <v>3451.2</v>
      </c>
      <c r="G183" s="12">
        <f t="shared" si="10"/>
        <v>-191.19999999999982</v>
      </c>
      <c r="H183" s="12">
        <f t="shared" si="11"/>
        <v>3260</v>
      </c>
      <c r="I183" s="12">
        <f t="shared" si="12"/>
        <v>3451.2</v>
      </c>
      <c r="J183" s="12">
        <f t="shared" si="13"/>
        <v>-191.19999999999982</v>
      </c>
      <c r="K183" s="14">
        <f t="shared" si="14"/>
        <v>-5.540101993509499E-2</v>
      </c>
      <c r="L183" s="12" t="s">
        <v>223</v>
      </c>
      <c r="M183" s="15"/>
    </row>
    <row r="184" spans="1:13" x14ac:dyDescent="0.25">
      <c r="A184" s="10">
        <v>46011</v>
      </c>
      <c r="B184" s="11" t="s">
        <v>14</v>
      </c>
      <c r="C184" s="12">
        <v>1</v>
      </c>
      <c r="D184" s="27">
        <v>351046979125349</v>
      </c>
      <c r="E184" s="12">
        <v>3260</v>
      </c>
      <c r="F184" s="12">
        <v>3451.2</v>
      </c>
      <c r="G184" s="12">
        <f t="shared" si="10"/>
        <v>-191.19999999999982</v>
      </c>
      <c r="H184" s="12">
        <f t="shared" si="11"/>
        <v>3260</v>
      </c>
      <c r="I184" s="12">
        <f t="shared" si="12"/>
        <v>3451.2</v>
      </c>
      <c r="J184" s="12">
        <f t="shared" si="13"/>
        <v>-191.19999999999982</v>
      </c>
      <c r="K184" s="14">
        <f t="shared" si="14"/>
        <v>-5.540101993509499E-2</v>
      </c>
      <c r="L184" s="12" t="s">
        <v>223</v>
      </c>
      <c r="M184" s="15"/>
    </row>
    <row r="185" spans="1:13" x14ac:dyDescent="0.25">
      <c r="A185" s="10">
        <v>46008</v>
      </c>
      <c r="B185" s="26" t="s">
        <v>87</v>
      </c>
      <c r="C185" s="12">
        <v>1</v>
      </c>
      <c r="D185" s="31">
        <v>353837411143785</v>
      </c>
      <c r="E185" s="12">
        <v>4050</v>
      </c>
      <c r="F185" s="12">
        <v>4493.75</v>
      </c>
      <c r="G185" s="12">
        <f t="shared" si="10"/>
        <v>-443.75</v>
      </c>
      <c r="H185" s="12">
        <f t="shared" si="11"/>
        <v>4050</v>
      </c>
      <c r="I185" s="12">
        <f t="shared" si="12"/>
        <v>4493.75</v>
      </c>
      <c r="J185" s="12">
        <f t="shared" si="13"/>
        <v>-443.75</v>
      </c>
      <c r="K185" s="14">
        <f t="shared" si="14"/>
        <v>-9.8748261474269822E-2</v>
      </c>
      <c r="L185" s="12" t="s">
        <v>223</v>
      </c>
      <c r="M185" s="15"/>
    </row>
    <row r="186" spans="1:13" x14ac:dyDescent="0.25">
      <c r="A186" s="16">
        <v>46003</v>
      </c>
      <c r="B186" s="20" t="s">
        <v>79</v>
      </c>
      <c r="C186" s="15">
        <v>1</v>
      </c>
      <c r="D186" s="22">
        <v>358419940804271</v>
      </c>
      <c r="E186" s="15">
        <v>3570</v>
      </c>
      <c r="F186" s="15">
        <v>3451.2</v>
      </c>
      <c r="G186" s="15">
        <f t="shared" si="10"/>
        <v>118.80000000000018</v>
      </c>
      <c r="H186" s="15">
        <f t="shared" si="11"/>
        <v>3570</v>
      </c>
      <c r="I186" s="15">
        <f t="shared" si="12"/>
        <v>3451.2</v>
      </c>
      <c r="J186" s="15">
        <f t="shared" si="13"/>
        <v>118.80000000000018</v>
      </c>
      <c r="K186" s="19">
        <f t="shared" si="14"/>
        <v>3.4422809457580028E-2</v>
      </c>
      <c r="L186" s="15" t="s">
        <v>223</v>
      </c>
      <c r="M186" s="15"/>
    </row>
    <row r="187" spans="1:13" x14ac:dyDescent="0.25">
      <c r="A187" s="10">
        <v>46003</v>
      </c>
      <c r="B187" s="11" t="s">
        <v>79</v>
      </c>
      <c r="C187" s="12">
        <v>1</v>
      </c>
      <c r="D187" s="27">
        <v>359426261726941</v>
      </c>
      <c r="E187" s="12">
        <v>3570</v>
      </c>
      <c r="F187" s="12">
        <v>3666.9</v>
      </c>
      <c r="G187" s="12">
        <f t="shared" si="10"/>
        <v>-96.900000000000091</v>
      </c>
      <c r="H187" s="12">
        <f t="shared" si="11"/>
        <v>3570</v>
      </c>
      <c r="I187" s="12">
        <f t="shared" si="12"/>
        <v>3666.9</v>
      </c>
      <c r="J187" s="12">
        <f t="shared" si="13"/>
        <v>-96.900000000000091</v>
      </c>
      <c r="K187" s="14">
        <f t="shared" si="14"/>
        <v>-2.6425591098748286E-2</v>
      </c>
      <c r="L187" s="12" t="s">
        <v>223</v>
      </c>
      <c r="M187" s="15"/>
    </row>
    <row r="188" spans="1:13" x14ac:dyDescent="0.25">
      <c r="A188" s="10">
        <v>46004</v>
      </c>
      <c r="B188" s="11" t="s">
        <v>79</v>
      </c>
      <c r="C188" s="12">
        <v>1</v>
      </c>
      <c r="D188" s="27">
        <v>351687747975943</v>
      </c>
      <c r="E188" s="12">
        <v>3600</v>
      </c>
      <c r="F188" s="12">
        <v>3666.9</v>
      </c>
      <c r="G188" s="12">
        <f t="shared" si="10"/>
        <v>-66.900000000000091</v>
      </c>
      <c r="H188" s="12">
        <f t="shared" si="11"/>
        <v>3600</v>
      </c>
      <c r="I188" s="12">
        <f t="shared" si="12"/>
        <v>3666.9</v>
      </c>
      <c r="J188" s="12">
        <f t="shared" si="13"/>
        <v>-66.900000000000091</v>
      </c>
      <c r="K188" s="14">
        <f t="shared" si="14"/>
        <v>-1.8244293544956255E-2</v>
      </c>
      <c r="L188" s="12" t="s">
        <v>223</v>
      </c>
      <c r="M188" s="15"/>
    </row>
    <row r="189" spans="1:13" x14ac:dyDescent="0.25">
      <c r="A189" s="10">
        <v>46017</v>
      </c>
      <c r="B189" s="34" t="s">
        <v>190</v>
      </c>
      <c r="C189" s="12">
        <v>1</v>
      </c>
      <c r="D189" s="27" t="s">
        <v>192</v>
      </c>
      <c r="E189" s="12">
        <v>3520</v>
      </c>
      <c r="F189" s="12">
        <v>3595</v>
      </c>
      <c r="G189" s="12">
        <f t="shared" si="10"/>
        <v>-75</v>
      </c>
      <c r="H189" s="12">
        <f t="shared" si="11"/>
        <v>3520</v>
      </c>
      <c r="I189" s="12">
        <f t="shared" si="12"/>
        <v>3595</v>
      </c>
      <c r="J189" s="12">
        <f t="shared" si="13"/>
        <v>-75</v>
      </c>
      <c r="K189" s="14">
        <f t="shared" si="14"/>
        <v>-2.0862308762169681E-2</v>
      </c>
      <c r="L189" s="12" t="s">
        <v>223</v>
      </c>
      <c r="M189" s="15"/>
    </row>
    <row r="190" spans="1:13" x14ac:dyDescent="0.25">
      <c r="A190" s="10">
        <v>46008</v>
      </c>
      <c r="B190" s="26" t="s">
        <v>88</v>
      </c>
      <c r="C190" s="12">
        <v>1</v>
      </c>
      <c r="D190" s="27" t="s">
        <v>89</v>
      </c>
      <c r="E190" s="12">
        <v>2800</v>
      </c>
      <c r="F190" s="12">
        <v>2804.1</v>
      </c>
      <c r="G190" s="12">
        <f t="shared" si="10"/>
        <v>-4.0999999999999091</v>
      </c>
      <c r="H190" s="12">
        <f t="shared" si="11"/>
        <v>2800</v>
      </c>
      <c r="I190" s="12">
        <f t="shared" si="12"/>
        <v>2804.1</v>
      </c>
      <c r="J190" s="12">
        <f t="shared" si="13"/>
        <v>-4.0999999999999091</v>
      </c>
      <c r="K190" s="14">
        <f t="shared" si="14"/>
        <v>-1.4621447166648512E-3</v>
      </c>
      <c r="L190" s="12" t="s">
        <v>223</v>
      </c>
      <c r="M190" s="15"/>
    </row>
    <row r="191" spans="1:13" x14ac:dyDescent="0.25">
      <c r="A191" s="10">
        <v>46008</v>
      </c>
      <c r="B191" s="26" t="s">
        <v>88</v>
      </c>
      <c r="C191" s="12">
        <v>1</v>
      </c>
      <c r="D191" s="27" t="s">
        <v>90</v>
      </c>
      <c r="E191" s="12">
        <v>2800</v>
      </c>
      <c r="F191" s="12">
        <v>2804.1</v>
      </c>
      <c r="G191" s="12">
        <f t="shared" si="10"/>
        <v>-4.0999999999999091</v>
      </c>
      <c r="H191" s="12">
        <f t="shared" si="11"/>
        <v>2800</v>
      </c>
      <c r="I191" s="12">
        <f t="shared" si="12"/>
        <v>2804.1</v>
      </c>
      <c r="J191" s="12">
        <f t="shared" si="13"/>
        <v>-4.0999999999999091</v>
      </c>
      <c r="K191" s="14">
        <f t="shared" si="14"/>
        <v>-1.4621447166648512E-3</v>
      </c>
      <c r="L191" s="12" t="s">
        <v>223</v>
      </c>
      <c r="M191" s="15"/>
    </row>
    <row r="192" spans="1:13" x14ac:dyDescent="0.25">
      <c r="A192" s="10">
        <v>46008</v>
      </c>
      <c r="B192" s="26" t="s">
        <v>88</v>
      </c>
      <c r="C192" s="12">
        <v>1</v>
      </c>
      <c r="D192" s="27" t="s">
        <v>91</v>
      </c>
      <c r="E192" s="12">
        <v>2800</v>
      </c>
      <c r="F192" s="12">
        <v>2804.1</v>
      </c>
      <c r="G192" s="12">
        <f t="shared" si="10"/>
        <v>-4.0999999999999091</v>
      </c>
      <c r="H192" s="12">
        <f t="shared" si="11"/>
        <v>2800</v>
      </c>
      <c r="I192" s="12">
        <f t="shared" si="12"/>
        <v>2804.1</v>
      </c>
      <c r="J192" s="12">
        <f t="shared" si="13"/>
        <v>-4.0999999999999091</v>
      </c>
      <c r="K192" s="14">
        <f t="shared" si="14"/>
        <v>-1.4621447166648512E-3</v>
      </c>
      <c r="L192" s="12" t="s">
        <v>223</v>
      </c>
      <c r="M192" s="15"/>
    </row>
    <row r="193" spans="1:13" x14ac:dyDescent="0.25">
      <c r="A193" s="10">
        <v>46016</v>
      </c>
      <c r="B193" s="34" t="s">
        <v>154</v>
      </c>
      <c r="C193" s="12">
        <v>1</v>
      </c>
      <c r="D193" s="27" t="s">
        <v>155</v>
      </c>
      <c r="E193" s="12">
        <v>5150</v>
      </c>
      <c r="F193" s="12">
        <v>5212.75</v>
      </c>
      <c r="G193" s="12">
        <f t="shared" si="10"/>
        <v>-62.75</v>
      </c>
      <c r="H193" s="12">
        <f t="shared" si="11"/>
        <v>5150</v>
      </c>
      <c r="I193" s="12">
        <f t="shared" si="12"/>
        <v>5212.75</v>
      </c>
      <c r="J193" s="12">
        <f t="shared" si="13"/>
        <v>-62.75</v>
      </c>
      <c r="K193" s="14">
        <f t="shared" si="14"/>
        <v>-1.2037791952424343E-2</v>
      </c>
      <c r="L193" s="12" t="s">
        <v>223</v>
      </c>
      <c r="M193" s="15"/>
    </row>
    <row r="194" spans="1:13" x14ac:dyDescent="0.25">
      <c r="A194" s="10">
        <v>46002</v>
      </c>
      <c r="B194" s="11" t="s">
        <v>71</v>
      </c>
      <c r="C194" s="12">
        <v>78</v>
      </c>
      <c r="D194" s="13"/>
      <c r="E194" s="12">
        <v>319</v>
      </c>
      <c r="F194" s="12">
        <v>323.55</v>
      </c>
      <c r="G194" s="12">
        <f t="shared" ref="G194:G257" si="15">E194-F194</f>
        <v>-4.5500000000000114</v>
      </c>
      <c r="H194" s="12">
        <f t="shared" ref="H194:H257" si="16">E194*C194</f>
        <v>24882</v>
      </c>
      <c r="I194" s="12">
        <f t="shared" ref="I194:I257" si="17">F194*C194</f>
        <v>25236.9</v>
      </c>
      <c r="J194" s="12">
        <f t="shared" ref="J194:J257" si="18">H194-I194</f>
        <v>-354.90000000000146</v>
      </c>
      <c r="K194" s="14">
        <f t="shared" ref="K194:K257" si="19">(E194-F194)/F194</f>
        <v>-1.4062741461907004E-2</v>
      </c>
      <c r="L194" s="12" t="s">
        <v>222</v>
      </c>
      <c r="M194" s="15"/>
    </row>
    <row r="195" spans="1:13" x14ac:dyDescent="0.25">
      <c r="A195" s="16">
        <v>46003</v>
      </c>
      <c r="B195" s="17" t="s">
        <v>84</v>
      </c>
      <c r="C195" s="15">
        <v>1</v>
      </c>
      <c r="D195" s="23">
        <v>359132191039260</v>
      </c>
      <c r="E195" s="15">
        <v>750</v>
      </c>
      <c r="F195" s="21">
        <v>629.12</v>
      </c>
      <c r="G195" s="15">
        <f t="shared" si="15"/>
        <v>120.88</v>
      </c>
      <c r="H195" s="15">
        <f t="shared" si="16"/>
        <v>750</v>
      </c>
      <c r="I195" s="15">
        <f t="shared" si="17"/>
        <v>629.12</v>
      </c>
      <c r="J195" s="15">
        <f t="shared" si="18"/>
        <v>120.88</v>
      </c>
      <c r="K195" s="19">
        <f t="shared" si="19"/>
        <v>0.19214140386571718</v>
      </c>
      <c r="L195" s="15" t="s">
        <v>222</v>
      </c>
      <c r="M195" s="15"/>
    </row>
    <row r="196" spans="1:13" x14ac:dyDescent="0.25">
      <c r="A196" s="16">
        <v>46003</v>
      </c>
      <c r="B196" s="17" t="s">
        <v>81</v>
      </c>
      <c r="C196" s="15">
        <v>1</v>
      </c>
      <c r="D196" s="22">
        <v>356187981484582</v>
      </c>
      <c r="E196" s="15">
        <v>2450</v>
      </c>
      <c r="F196" s="15">
        <v>2354.7199999999998</v>
      </c>
      <c r="G196" s="15">
        <f t="shared" si="15"/>
        <v>95.2800000000002</v>
      </c>
      <c r="H196" s="15">
        <f t="shared" si="16"/>
        <v>2450</v>
      </c>
      <c r="I196" s="15">
        <f t="shared" si="17"/>
        <v>2354.7199999999998</v>
      </c>
      <c r="J196" s="15">
        <f t="shared" si="18"/>
        <v>95.2800000000002</v>
      </c>
      <c r="K196" s="19">
        <f t="shared" si="19"/>
        <v>4.0463409662295391E-2</v>
      </c>
      <c r="L196" s="15" t="s">
        <v>222</v>
      </c>
      <c r="M196" s="15"/>
    </row>
    <row r="197" spans="1:13" x14ac:dyDescent="0.25">
      <c r="A197" s="16">
        <v>46003</v>
      </c>
      <c r="B197" s="17" t="s">
        <v>81</v>
      </c>
      <c r="C197" s="15">
        <v>1</v>
      </c>
      <c r="D197" s="22">
        <v>356187981828937</v>
      </c>
      <c r="E197" s="15">
        <v>2450</v>
      </c>
      <c r="F197" s="15">
        <v>2354.7199999999998</v>
      </c>
      <c r="G197" s="15">
        <f t="shared" si="15"/>
        <v>95.2800000000002</v>
      </c>
      <c r="H197" s="15">
        <f t="shared" si="16"/>
        <v>2450</v>
      </c>
      <c r="I197" s="15">
        <f t="shared" si="17"/>
        <v>2354.7199999999998</v>
      </c>
      <c r="J197" s="15">
        <f t="shared" si="18"/>
        <v>95.2800000000002</v>
      </c>
      <c r="K197" s="19">
        <f t="shared" si="19"/>
        <v>4.0463409662295391E-2</v>
      </c>
      <c r="L197" s="15" t="s">
        <v>222</v>
      </c>
      <c r="M197" s="15"/>
    </row>
    <row r="198" spans="1:13" x14ac:dyDescent="0.25">
      <c r="A198" s="10">
        <v>46001</v>
      </c>
      <c r="B198" s="11" t="s">
        <v>68</v>
      </c>
      <c r="C198" s="12">
        <v>1</v>
      </c>
      <c r="D198" s="27">
        <v>351159276364022</v>
      </c>
      <c r="E198" s="12">
        <v>1130</v>
      </c>
      <c r="F198" s="12">
        <v>1294.2</v>
      </c>
      <c r="G198" s="12">
        <f t="shared" si="15"/>
        <v>-164.20000000000005</v>
      </c>
      <c r="H198" s="12">
        <f t="shared" si="16"/>
        <v>1130</v>
      </c>
      <c r="I198" s="12">
        <f t="shared" si="17"/>
        <v>1294.2</v>
      </c>
      <c r="J198" s="12">
        <f t="shared" si="18"/>
        <v>-164.20000000000005</v>
      </c>
      <c r="K198" s="14">
        <f t="shared" si="19"/>
        <v>-0.1268737443980838</v>
      </c>
      <c r="L198" s="12" t="s">
        <v>222</v>
      </c>
      <c r="M198" s="15"/>
    </row>
    <row r="199" spans="1:13" x14ac:dyDescent="0.25">
      <c r="A199" s="10">
        <v>46001</v>
      </c>
      <c r="B199" s="11" t="s">
        <v>68</v>
      </c>
      <c r="C199" s="12">
        <v>1</v>
      </c>
      <c r="D199" s="27">
        <v>355205568480582</v>
      </c>
      <c r="E199" s="12">
        <v>1130</v>
      </c>
      <c r="F199" s="12">
        <v>1294.2</v>
      </c>
      <c r="G199" s="12">
        <f t="shared" si="15"/>
        <v>-164.20000000000005</v>
      </c>
      <c r="H199" s="12">
        <f t="shared" si="16"/>
        <v>1130</v>
      </c>
      <c r="I199" s="12">
        <f t="shared" si="17"/>
        <v>1294.2</v>
      </c>
      <c r="J199" s="12">
        <f t="shared" si="18"/>
        <v>-164.20000000000005</v>
      </c>
      <c r="K199" s="14">
        <f t="shared" si="19"/>
        <v>-0.1268737443980838</v>
      </c>
      <c r="L199" s="12" t="s">
        <v>222</v>
      </c>
      <c r="M199" s="15"/>
    </row>
    <row r="200" spans="1:13" x14ac:dyDescent="0.25">
      <c r="A200" s="10">
        <v>46001</v>
      </c>
      <c r="B200" s="11" t="s">
        <v>68</v>
      </c>
      <c r="C200" s="12">
        <v>1</v>
      </c>
      <c r="D200" s="27">
        <v>351159278028948</v>
      </c>
      <c r="E200" s="12">
        <v>1130</v>
      </c>
      <c r="F200" s="12">
        <v>1294.2</v>
      </c>
      <c r="G200" s="12">
        <f t="shared" si="15"/>
        <v>-164.20000000000005</v>
      </c>
      <c r="H200" s="12">
        <f t="shared" si="16"/>
        <v>1130</v>
      </c>
      <c r="I200" s="12">
        <f t="shared" si="17"/>
        <v>1294.2</v>
      </c>
      <c r="J200" s="12">
        <f t="shared" si="18"/>
        <v>-164.20000000000005</v>
      </c>
      <c r="K200" s="14">
        <f t="shared" si="19"/>
        <v>-0.1268737443980838</v>
      </c>
      <c r="L200" s="12" t="s">
        <v>222</v>
      </c>
      <c r="M200" s="15"/>
    </row>
    <row r="201" spans="1:13" x14ac:dyDescent="0.25">
      <c r="A201" s="10">
        <v>46001</v>
      </c>
      <c r="B201" s="11" t="s">
        <v>68</v>
      </c>
      <c r="C201" s="12">
        <v>1</v>
      </c>
      <c r="D201" s="27">
        <v>351159273475003</v>
      </c>
      <c r="E201" s="12">
        <v>1130</v>
      </c>
      <c r="F201" s="12">
        <v>1294.2</v>
      </c>
      <c r="G201" s="12">
        <f t="shared" si="15"/>
        <v>-164.20000000000005</v>
      </c>
      <c r="H201" s="12">
        <f t="shared" si="16"/>
        <v>1130</v>
      </c>
      <c r="I201" s="12">
        <f t="shared" si="17"/>
        <v>1294.2</v>
      </c>
      <c r="J201" s="12">
        <f t="shared" si="18"/>
        <v>-164.20000000000005</v>
      </c>
      <c r="K201" s="14">
        <f t="shared" si="19"/>
        <v>-0.1268737443980838</v>
      </c>
      <c r="L201" s="12" t="s">
        <v>222</v>
      </c>
      <c r="M201" s="15"/>
    </row>
    <row r="202" spans="1:13" x14ac:dyDescent="0.25">
      <c r="A202" s="10">
        <v>46001</v>
      </c>
      <c r="B202" s="11" t="s">
        <v>68</v>
      </c>
      <c r="C202" s="12">
        <v>1</v>
      </c>
      <c r="D202" s="27">
        <v>356196188572180</v>
      </c>
      <c r="E202" s="12">
        <v>1110</v>
      </c>
      <c r="F202" s="12">
        <v>1294.2</v>
      </c>
      <c r="G202" s="12">
        <f t="shared" si="15"/>
        <v>-184.20000000000005</v>
      </c>
      <c r="H202" s="12">
        <f t="shared" si="16"/>
        <v>1110</v>
      </c>
      <c r="I202" s="12">
        <f t="shared" si="17"/>
        <v>1294.2</v>
      </c>
      <c r="J202" s="12">
        <f t="shared" si="18"/>
        <v>-184.20000000000005</v>
      </c>
      <c r="K202" s="14">
        <f t="shared" si="19"/>
        <v>-0.14232730644413541</v>
      </c>
      <c r="L202" s="12" t="s">
        <v>222</v>
      </c>
      <c r="M202" s="15"/>
    </row>
    <row r="203" spans="1:13" x14ac:dyDescent="0.25">
      <c r="A203" s="16">
        <v>46001</v>
      </c>
      <c r="B203" s="20" t="s">
        <v>66</v>
      </c>
      <c r="C203" s="15">
        <v>1</v>
      </c>
      <c r="D203" s="23" t="s">
        <v>67</v>
      </c>
      <c r="E203" s="15">
        <v>2975</v>
      </c>
      <c r="F203" s="15">
        <v>2804.1</v>
      </c>
      <c r="G203" s="15">
        <f t="shared" si="15"/>
        <v>170.90000000000009</v>
      </c>
      <c r="H203" s="15">
        <f t="shared" si="16"/>
        <v>2975</v>
      </c>
      <c r="I203" s="15">
        <f t="shared" si="17"/>
        <v>2804.1</v>
      </c>
      <c r="J203" s="15">
        <f t="shared" si="18"/>
        <v>170.90000000000009</v>
      </c>
      <c r="K203" s="19">
        <f t="shared" si="19"/>
        <v>6.0946471238543597E-2</v>
      </c>
      <c r="L203" s="15" t="s">
        <v>222</v>
      </c>
      <c r="M203" s="15"/>
    </row>
    <row r="204" spans="1:13" x14ac:dyDescent="0.25">
      <c r="A204" s="16">
        <v>46001</v>
      </c>
      <c r="B204" s="20" t="s">
        <v>17</v>
      </c>
      <c r="C204" s="15">
        <v>1</v>
      </c>
      <c r="D204" s="22">
        <v>358112930906087</v>
      </c>
      <c r="E204" s="15">
        <v>3900</v>
      </c>
      <c r="F204" s="15">
        <v>3882.6</v>
      </c>
      <c r="G204" s="15">
        <f t="shared" si="15"/>
        <v>17.400000000000091</v>
      </c>
      <c r="H204" s="15">
        <f t="shared" si="16"/>
        <v>3900</v>
      </c>
      <c r="I204" s="15">
        <f t="shared" si="17"/>
        <v>3882.6</v>
      </c>
      <c r="J204" s="15">
        <f t="shared" si="18"/>
        <v>17.400000000000091</v>
      </c>
      <c r="K204" s="19">
        <f t="shared" si="19"/>
        <v>4.4815329933549919E-3</v>
      </c>
      <c r="L204" s="15" t="s">
        <v>222</v>
      </c>
      <c r="M204" s="15"/>
    </row>
    <row r="205" spans="1:13" x14ac:dyDescent="0.25">
      <c r="A205" s="16">
        <v>46001</v>
      </c>
      <c r="B205" s="20" t="s">
        <v>60</v>
      </c>
      <c r="C205" s="15">
        <v>1</v>
      </c>
      <c r="D205" s="32" t="s">
        <v>61</v>
      </c>
      <c r="E205" s="15">
        <v>3350</v>
      </c>
      <c r="F205" s="15">
        <v>3235.5</v>
      </c>
      <c r="G205" s="15">
        <f t="shared" si="15"/>
        <v>114.5</v>
      </c>
      <c r="H205" s="15">
        <f t="shared" si="16"/>
        <v>3350</v>
      </c>
      <c r="I205" s="15">
        <f t="shared" si="17"/>
        <v>3235.5</v>
      </c>
      <c r="J205" s="15">
        <f t="shared" si="18"/>
        <v>114.5</v>
      </c>
      <c r="K205" s="19">
        <f t="shared" si="19"/>
        <v>3.53886570854582E-2</v>
      </c>
      <c r="L205" s="15" t="s">
        <v>222</v>
      </c>
      <c r="M205" s="15"/>
    </row>
    <row r="206" spans="1:13" x14ac:dyDescent="0.25">
      <c r="A206" s="10">
        <v>46001</v>
      </c>
      <c r="B206" s="11" t="s">
        <v>63</v>
      </c>
      <c r="C206" s="12">
        <v>1</v>
      </c>
      <c r="D206" s="33" t="s">
        <v>64</v>
      </c>
      <c r="E206" s="12">
        <v>4050</v>
      </c>
      <c r="F206" s="12">
        <v>4673.5</v>
      </c>
      <c r="G206" s="12">
        <f t="shared" si="15"/>
        <v>-623.5</v>
      </c>
      <c r="H206" s="12">
        <f t="shared" si="16"/>
        <v>4050</v>
      </c>
      <c r="I206" s="12">
        <f t="shared" si="17"/>
        <v>4673.5</v>
      </c>
      <c r="J206" s="12">
        <f t="shared" si="18"/>
        <v>-623.5</v>
      </c>
      <c r="K206" s="14">
        <f t="shared" si="19"/>
        <v>-0.1334117898791056</v>
      </c>
      <c r="L206" s="12" t="s">
        <v>222</v>
      </c>
      <c r="M206" s="15"/>
    </row>
    <row r="207" spans="1:13" x14ac:dyDescent="0.25">
      <c r="A207" s="10">
        <v>46001</v>
      </c>
      <c r="B207" s="11" t="s">
        <v>50</v>
      </c>
      <c r="C207" s="12">
        <v>1</v>
      </c>
      <c r="D207" s="27">
        <v>352355707895431</v>
      </c>
      <c r="E207" s="12">
        <v>4000</v>
      </c>
      <c r="F207" s="12">
        <v>4134.25</v>
      </c>
      <c r="G207" s="12">
        <f t="shared" si="15"/>
        <v>-134.25</v>
      </c>
      <c r="H207" s="12">
        <f t="shared" si="16"/>
        <v>4000</v>
      </c>
      <c r="I207" s="12">
        <f t="shared" si="17"/>
        <v>4134.25</v>
      </c>
      <c r="J207" s="12">
        <f t="shared" si="18"/>
        <v>-134.25</v>
      </c>
      <c r="K207" s="14">
        <f t="shared" si="19"/>
        <v>-3.2472637116768462E-2</v>
      </c>
      <c r="L207" s="12" t="s">
        <v>222</v>
      </c>
      <c r="M207" s="15"/>
    </row>
    <row r="208" spans="1:13" x14ac:dyDescent="0.25">
      <c r="A208" s="16">
        <v>46001</v>
      </c>
      <c r="B208" s="20" t="s">
        <v>52</v>
      </c>
      <c r="C208" s="15">
        <v>1</v>
      </c>
      <c r="D208" s="22" t="s">
        <v>53</v>
      </c>
      <c r="E208" s="15">
        <v>4080</v>
      </c>
      <c r="F208" s="15">
        <v>3882.6</v>
      </c>
      <c r="G208" s="15">
        <f t="shared" si="15"/>
        <v>197.40000000000009</v>
      </c>
      <c r="H208" s="15">
        <f t="shared" si="16"/>
        <v>4080</v>
      </c>
      <c r="I208" s="15">
        <f t="shared" si="17"/>
        <v>3882.6</v>
      </c>
      <c r="J208" s="15">
        <f t="shared" si="18"/>
        <v>197.40000000000009</v>
      </c>
      <c r="K208" s="19">
        <f t="shared" si="19"/>
        <v>5.0842219131509839E-2</v>
      </c>
      <c r="L208" s="15" t="s">
        <v>222</v>
      </c>
      <c r="M208" s="15"/>
    </row>
    <row r="209" spans="1:13" x14ac:dyDescent="0.25">
      <c r="A209" s="16">
        <v>46001</v>
      </c>
      <c r="B209" s="20" t="s">
        <v>52</v>
      </c>
      <c r="C209" s="15">
        <v>1</v>
      </c>
      <c r="D209" s="22" t="s">
        <v>54</v>
      </c>
      <c r="E209" s="15">
        <v>4080</v>
      </c>
      <c r="F209" s="15">
        <v>3882.6</v>
      </c>
      <c r="G209" s="15">
        <f t="shared" si="15"/>
        <v>197.40000000000009</v>
      </c>
      <c r="H209" s="15">
        <f t="shared" si="16"/>
        <v>4080</v>
      </c>
      <c r="I209" s="15">
        <f t="shared" si="17"/>
        <v>3882.6</v>
      </c>
      <c r="J209" s="15">
        <f t="shared" si="18"/>
        <v>197.40000000000009</v>
      </c>
      <c r="K209" s="19">
        <f t="shared" si="19"/>
        <v>5.0842219131509839E-2</v>
      </c>
      <c r="L209" s="15" t="s">
        <v>222</v>
      </c>
      <c r="M209" s="15"/>
    </row>
    <row r="210" spans="1:13" x14ac:dyDescent="0.25">
      <c r="A210" s="16">
        <v>46001</v>
      </c>
      <c r="B210" s="20" t="s">
        <v>51</v>
      </c>
      <c r="C210" s="15">
        <v>1</v>
      </c>
      <c r="D210" s="23">
        <v>352355703977985</v>
      </c>
      <c r="E210" s="15">
        <v>4900</v>
      </c>
      <c r="F210" s="15">
        <v>4314</v>
      </c>
      <c r="G210" s="15">
        <f t="shared" si="15"/>
        <v>586</v>
      </c>
      <c r="H210" s="15">
        <f t="shared" si="16"/>
        <v>4900</v>
      </c>
      <c r="I210" s="15">
        <f t="shared" si="17"/>
        <v>4314</v>
      </c>
      <c r="J210" s="15">
        <f t="shared" si="18"/>
        <v>586</v>
      </c>
      <c r="K210" s="19">
        <f t="shared" si="19"/>
        <v>0.1358368103847937</v>
      </c>
      <c r="L210" s="15" t="s">
        <v>222</v>
      </c>
      <c r="M210" s="15"/>
    </row>
    <row r="211" spans="1:13" x14ac:dyDescent="0.25">
      <c r="A211" s="10">
        <v>46016</v>
      </c>
      <c r="B211" s="26" t="s">
        <v>57</v>
      </c>
      <c r="C211" s="12">
        <v>1</v>
      </c>
      <c r="D211" s="31">
        <v>352066341954183</v>
      </c>
      <c r="E211" s="12">
        <v>4080</v>
      </c>
      <c r="F211" s="12">
        <v>4170.2</v>
      </c>
      <c r="G211" s="12">
        <f t="shared" si="15"/>
        <v>-90.199999999999818</v>
      </c>
      <c r="H211" s="12">
        <f t="shared" si="16"/>
        <v>4080</v>
      </c>
      <c r="I211" s="12">
        <f t="shared" si="17"/>
        <v>4170.2</v>
      </c>
      <c r="J211" s="12">
        <f t="shared" si="18"/>
        <v>-90.199999999999818</v>
      </c>
      <c r="K211" s="14">
        <f t="shared" si="19"/>
        <v>-2.162965804997358E-2</v>
      </c>
      <c r="L211" s="12" t="s">
        <v>222</v>
      </c>
      <c r="M211" s="15"/>
    </row>
    <row r="212" spans="1:13" x14ac:dyDescent="0.25">
      <c r="A212" s="16">
        <v>46002</v>
      </c>
      <c r="B212" s="17" t="s">
        <v>78</v>
      </c>
      <c r="C212" s="15">
        <v>1</v>
      </c>
      <c r="D212" s="22">
        <v>356767769616453</v>
      </c>
      <c r="E212" s="15">
        <v>1450</v>
      </c>
      <c r="F212" s="15">
        <v>1402.05</v>
      </c>
      <c r="G212" s="15">
        <f t="shared" si="15"/>
        <v>47.950000000000045</v>
      </c>
      <c r="H212" s="15">
        <f t="shared" si="16"/>
        <v>1450</v>
      </c>
      <c r="I212" s="15">
        <f t="shared" si="17"/>
        <v>1402.05</v>
      </c>
      <c r="J212" s="15">
        <f t="shared" si="18"/>
        <v>47.950000000000045</v>
      </c>
      <c r="K212" s="19">
        <f t="shared" si="19"/>
        <v>3.4199921543454262E-2</v>
      </c>
      <c r="L212" s="15" t="s">
        <v>222</v>
      </c>
      <c r="M212" s="15"/>
    </row>
    <row r="213" spans="1:13" x14ac:dyDescent="0.25">
      <c r="A213" s="16">
        <v>46002</v>
      </c>
      <c r="B213" s="17" t="s">
        <v>78</v>
      </c>
      <c r="C213" s="15">
        <v>1</v>
      </c>
      <c r="D213" s="22">
        <v>356321743909004</v>
      </c>
      <c r="E213" s="15">
        <v>1450</v>
      </c>
      <c r="F213" s="15">
        <v>1402.05</v>
      </c>
      <c r="G213" s="15">
        <f t="shared" si="15"/>
        <v>47.950000000000045</v>
      </c>
      <c r="H213" s="15">
        <f t="shared" si="16"/>
        <v>1450</v>
      </c>
      <c r="I213" s="15">
        <f t="shared" si="17"/>
        <v>1402.05</v>
      </c>
      <c r="J213" s="15">
        <f t="shared" si="18"/>
        <v>47.950000000000045</v>
      </c>
      <c r="K213" s="19">
        <f t="shared" si="19"/>
        <v>3.4199921543454262E-2</v>
      </c>
      <c r="L213" s="15" t="s">
        <v>222</v>
      </c>
      <c r="M213" s="15"/>
    </row>
    <row r="214" spans="1:13" x14ac:dyDescent="0.25">
      <c r="A214" s="16">
        <v>46002</v>
      </c>
      <c r="B214" s="17" t="s">
        <v>78</v>
      </c>
      <c r="C214" s="15">
        <v>1</v>
      </c>
      <c r="D214" s="22">
        <v>356321743658676</v>
      </c>
      <c r="E214" s="15">
        <v>1450</v>
      </c>
      <c r="F214" s="15">
        <v>1402.05</v>
      </c>
      <c r="G214" s="15">
        <f t="shared" si="15"/>
        <v>47.950000000000045</v>
      </c>
      <c r="H214" s="15">
        <f t="shared" si="16"/>
        <v>1450</v>
      </c>
      <c r="I214" s="15">
        <f t="shared" si="17"/>
        <v>1402.05</v>
      </c>
      <c r="J214" s="15">
        <f t="shared" si="18"/>
        <v>47.950000000000045</v>
      </c>
      <c r="K214" s="19">
        <f t="shared" si="19"/>
        <v>3.4199921543454262E-2</v>
      </c>
      <c r="L214" s="15" t="s">
        <v>222</v>
      </c>
      <c r="M214" s="15"/>
    </row>
    <row r="215" spans="1:13" x14ac:dyDescent="0.25">
      <c r="A215" s="10">
        <v>46009</v>
      </c>
      <c r="B215" s="11" t="s">
        <v>101</v>
      </c>
      <c r="C215" s="12">
        <v>1</v>
      </c>
      <c r="D215" s="27">
        <v>351016865103346</v>
      </c>
      <c r="E215" s="12">
        <v>1680</v>
      </c>
      <c r="F215" s="12">
        <v>1833.45</v>
      </c>
      <c r="G215" s="12">
        <f t="shared" si="15"/>
        <v>-153.45000000000005</v>
      </c>
      <c r="H215" s="12">
        <f t="shared" si="16"/>
        <v>1680</v>
      </c>
      <c r="I215" s="12">
        <f t="shared" si="17"/>
        <v>1833.45</v>
      </c>
      <c r="J215" s="12">
        <f t="shared" si="18"/>
        <v>-153.45000000000005</v>
      </c>
      <c r="K215" s="14">
        <f t="shared" si="19"/>
        <v>-8.3694673975292511E-2</v>
      </c>
      <c r="L215" s="12" t="s">
        <v>222</v>
      </c>
      <c r="M215" s="15"/>
    </row>
    <row r="216" spans="1:13" x14ac:dyDescent="0.25">
      <c r="A216" s="10">
        <v>46000</v>
      </c>
      <c r="B216" s="26" t="s">
        <v>48</v>
      </c>
      <c r="C216" s="12">
        <v>1</v>
      </c>
      <c r="D216" s="27">
        <v>352440632579340</v>
      </c>
      <c r="E216" s="12">
        <v>2650</v>
      </c>
      <c r="F216" s="12">
        <v>2678.27</v>
      </c>
      <c r="G216" s="12">
        <f t="shared" si="15"/>
        <v>-28.269999999999982</v>
      </c>
      <c r="H216" s="12">
        <f t="shared" si="16"/>
        <v>2650</v>
      </c>
      <c r="I216" s="12">
        <f t="shared" si="17"/>
        <v>2678.27</v>
      </c>
      <c r="J216" s="12">
        <f t="shared" si="18"/>
        <v>-28.269999999999982</v>
      </c>
      <c r="K216" s="14">
        <f t="shared" si="19"/>
        <v>-1.055532115880773E-2</v>
      </c>
      <c r="L216" s="12" t="s">
        <v>222</v>
      </c>
      <c r="M216" s="15"/>
    </row>
    <row r="217" spans="1:13" x14ac:dyDescent="0.25">
      <c r="A217" s="10">
        <v>46000</v>
      </c>
      <c r="B217" s="26" t="s">
        <v>48</v>
      </c>
      <c r="C217" s="12">
        <v>1</v>
      </c>
      <c r="D217" s="27">
        <v>355122369796605</v>
      </c>
      <c r="E217" s="12">
        <v>2650</v>
      </c>
      <c r="F217" s="12">
        <v>2678.27</v>
      </c>
      <c r="G217" s="12">
        <f t="shared" si="15"/>
        <v>-28.269999999999982</v>
      </c>
      <c r="H217" s="12">
        <f t="shared" si="16"/>
        <v>2650</v>
      </c>
      <c r="I217" s="12">
        <f t="shared" si="17"/>
        <v>2678.27</v>
      </c>
      <c r="J217" s="12">
        <f t="shared" si="18"/>
        <v>-28.269999999999982</v>
      </c>
      <c r="K217" s="14">
        <f t="shared" si="19"/>
        <v>-1.055532115880773E-2</v>
      </c>
      <c r="L217" s="12" t="s">
        <v>222</v>
      </c>
      <c r="M217" s="15"/>
    </row>
    <row r="218" spans="1:13" x14ac:dyDescent="0.25">
      <c r="A218" s="10">
        <v>46000</v>
      </c>
      <c r="B218" s="26" t="s">
        <v>48</v>
      </c>
      <c r="C218" s="12">
        <v>1</v>
      </c>
      <c r="D218" s="27">
        <v>352440632151728</v>
      </c>
      <c r="E218" s="12">
        <v>2650</v>
      </c>
      <c r="F218" s="12">
        <v>2678.27</v>
      </c>
      <c r="G218" s="12">
        <f t="shared" si="15"/>
        <v>-28.269999999999982</v>
      </c>
      <c r="H218" s="12">
        <f t="shared" si="16"/>
        <v>2650</v>
      </c>
      <c r="I218" s="12">
        <f t="shared" si="17"/>
        <v>2678.27</v>
      </c>
      <c r="J218" s="12">
        <f t="shared" si="18"/>
        <v>-28.269999999999982</v>
      </c>
      <c r="K218" s="14">
        <f t="shared" si="19"/>
        <v>-1.055532115880773E-2</v>
      </c>
      <c r="L218" s="12" t="s">
        <v>222</v>
      </c>
      <c r="M218" s="15"/>
    </row>
    <row r="219" spans="1:13" x14ac:dyDescent="0.25">
      <c r="A219" s="10">
        <v>46000</v>
      </c>
      <c r="B219" s="26" t="s">
        <v>48</v>
      </c>
      <c r="C219" s="12">
        <v>1</v>
      </c>
      <c r="D219" s="27">
        <v>352440632449874</v>
      </c>
      <c r="E219" s="12">
        <v>2500</v>
      </c>
      <c r="F219" s="12">
        <v>2552.4499999999998</v>
      </c>
      <c r="G219" s="12">
        <f t="shared" si="15"/>
        <v>-52.449999999999818</v>
      </c>
      <c r="H219" s="12">
        <f t="shared" si="16"/>
        <v>2500</v>
      </c>
      <c r="I219" s="12">
        <f t="shared" si="17"/>
        <v>2552.4499999999998</v>
      </c>
      <c r="J219" s="12">
        <f t="shared" si="18"/>
        <v>-52.449999999999818</v>
      </c>
      <c r="K219" s="14">
        <f t="shared" si="19"/>
        <v>-2.0548884405179269E-2</v>
      </c>
      <c r="L219" s="12" t="s">
        <v>222</v>
      </c>
      <c r="M219" s="15"/>
    </row>
    <row r="220" spans="1:13" x14ac:dyDescent="0.25">
      <c r="A220" s="16">
        <v>46002</v>
      </c>
      <c r="B220" s="17" t="s">
        <v>48</v>
      </c>
      <c r="C220" s="15">
        <v>1</v>
      </c>
      <c r="D220" s="23">
        <v>359724857896353</v>
      </c>
      <c r="E220" s="15">
        <v>3900</v>
      </c>
      <c r="F220" s="15">
        <v>3055.75</v>
      </c>
      <c r="G220" s="15">
        <f t="shared" si="15"/>
        <v>844.25</v>
      </c>
      <c r="H220" s="15">
        <f t="shared" si="16"/>
        <v>3900</v>
      </c>
      <c r="I220" s="15">
        <f t="shared" si="17"/>
        <v>3055.75</v>
      </c>
      <c r="J220" s="15">
        <f t="shared" si="18"/>
        <v>844.25</v>
      </c>
      <c r="K220" s="19">
        <f t="shared" si="19"/>
        <v>0.27628241839155693</v>
      </c>
      <c r="L220" s="15" t="s">
        <v>222</v>
      </c>
      <c r="M220" s="15"/>
    </row>
    <row r="221" spans="1:13" x14ac:dyDescent="0.25">
      <c r="A221" s="10">
        <v>46002</v>
      </c>
      <c r="B221" s="11" t="s">
        <v>75</v>
      </c>
      <c r="C221" s="12">
        <v>1</v>
      </c>
      <c r="D221" s="27">
        <v>355122368907583</v>
      </c>
      <c r="E221" s="12">
        <v>4350</v>
      </c>
      <c r="F221" s="12">
        <v>4385.8999999999996</v>
      </c>
      <c r="G221" s="12">
        <f t="shared" si="15"/>
        <v>-35.899999999999636</v>
      </c>
      <c r="H221" s="12">
        <f t="shared" si="16"/>
        <v>4350</v>
      </c>
      <c r="I221" s="12">
        <f t="shared" si="17"/>
        <v>4385.8999999999996</v>
      </c>
      <c r="J221" s="12">
        <f t="shared" si="18"/>
        <v>-35.899999999999636</v>
      </c>
      <c r="K221" s="14">
        <f t="shared" si="19"/>
        <v>-8.185321142752831E-3</v>
      </c>
      <c r="L221" s="12" t="s">
        <v>222</v>
      </c>
      <c r="M221" s="15"/>
    </row>
    <row r="222" spans="1:13" x14ac:dyDescent="0.25">
      <c r="A222" s="10">
        <v>46002</v>
      </c>
      <c r="B222" s="11" t="s">
        <v>75</v>
      </c>
      <c r="C222" s="12">
        <v>1</v>
      </c>
      <c r="D222" s="27">
        <v>352294449966848</v>
      </c>
      <c r="E222" s="12">
        <v>4350</v>
      </c>
      <c r="F222" s="12">
        <v>4385.8999999999996</v>
      </c>
      <c r="G222" s="12">
        <f t="shared" si="15"/>
        <v>-35.899999999999636</v>
      </c>
      <c r="H222" s="12">
        <f t="shared" si="16"/>
        <v>4350</v>
      </c>
      <c r="I222" s="12">
        <f t="shared" si="17"/>
        <v>4385.8999999999996</v>
      </c>
      <c r="J222" s="12">
        <f t="shared" si="18"/>
        <v>-35.899999999999636</v>
      </c>
      <c r="K222" s="14">
        <f t="shared" si="19"/>
        <v>-8.185321142752831E-3</v>
      </c>
      <c r="L222" s="12" t="s">
        <v>222</v>
      </c>
      <c r="M222" s="15"/>
    </row>
    <row r="223" spans="1:13" x14ac:dyDescent="0.25">
      <c r="A223" s="16">
        <v>46002</v>
      </c>
      <c r="B223" s="20" t="s">
        <v>75</v>
      </c>
      <c r="C223" s="15">
        <v>1</v>
      </c>
      <c r="D223" s="23">
        <v>352294445158531</v>
      </c>
      <c r="E223" s="15">
        <v>4430</v>
      </c>
      <c r="F223" s="15">
        <v>4385.8999999999996</v>
      </c>
      <c r="G223" s="15">
        <f t="shared" si="15"/>
        <v>44.100000000000364</v>
      </c>
      <c r="H223" s="15">
        <f t="shared" si="16"/>
        <v>4430</v>
      </c>
      <c r="I223" s="15">
        <f t="shared" si="17"/>
        <v>4385.8999999999996</v>
      </c>
      <c r="J223" s="15">
        <f t="shared" si="18"/>
        <v>44.100000000000364</v>
      </c>
      <c r="K223" s="19">
        <f t="shared" si="19"/>
        <v>1.005494881324252E-2</v>
      </c>
      <c r="L223" s="15" t="s">
        <v>222</v>
      </c>
      <c r="M223" s="15"/>
    </row>
    <row r="224" spans="1:13" x14ac:dyDescent="0.25">
      <c r="A224" s="10">
        <v>46017</v>
      </c>
      <c r="B224" s="34" t="s">
        <v>178</v>
      </c>
      <c r="C224" s="12">
        <v>1</v>
      </c>
      <c r="D224" s="27">
        <v>356364245633508</v>
      </c>
      <c r="E224" s="12">
        <v>3244</v>
      </c>
      <c r="F224" s="12">
        <v>3487.15</v>
      </c>
      <c r="G224" s="12">
        <f t="shared" si="15"/>
        <v>-243.15000000000009</v>
      </c>
      <c r="H224" s="12">
        <f t="shared" si="16"/>
        <v>3244</v>
      </c>
      <c r="I224" s="12">
        <f t="shared" si="17"/>
        <v>3487.15</v>
      </c>
      <c r="J224" s="12">
        <f t="shared" si="18"/>
        <v>-243.15000000000009</v>
      </c>
      <c r="K224" s="14">
        <f t="shared" si="19"/>
        <v>-6.9727427842220746E-2</v>
      </c>
      <c r="L224" s="12" t="s">
        <v>222</v>
      </c>
      <c r="M224" s="15"/>
    </row>
    <row r="225" spans="1:13" x14ac:dyDescent="0.25">
      <c r="A225" s="10">
        <v>46008</v>
      </c>
      <c r="B225" s="26" t="s">
        <v>94</v>
      </c>
      <c r="C225" s="12">
        <v>1</v>
      </c>
      <c r="D225" s="27">
        <v>351687749365200</v>
      </c>
      <c r="E225" s="12">
        <v>3770</v>
      </c>
      <c r="F225" s="12">
        <v>3882.6</v>
      </c>
      <c r="G225" s="12">
        <f t="shared" si="15"/>
        <v>-112.59999999999991</v>
      </c>
      <c r="H225" s="12">
        <f t="shared" si="16"/>
        <v>3770</v>
      </c>
      <c r="I225" s="12">
        <f t="shared" si="17"/>
        <v>3882.6</v>
      </c>
      <c r="J225" s="12">
        <f t="shared" si="18"/>
        <v>-112.59999999999991</v>
      </c>
      <c r="K225" s="14">
        <f t="shared" si="19"/>
        <v>-2.9001184773090175E-2</v>
      </c>
      <c r="L225" s="12" t="s">
        <v>222</v>
      </c>
      <c r="M225" s="15"/>
    </row>
    <row r="226" spans="1:13" x14ac:dyDescent="0.25">
      <c r="A226" s="16">
        <v>46001</v>
      </c>
      <c r="B226" s="20" t="s">
        <v>14</v>
      </c>
      <c r="C226" s="15">
        <v>1</v>
      </c>
      <c r="D226" s="22">
        <v>357063601799148</v>
      </c>
      <c r="E226" s="15">
        <v>3500</v>
      </c>
      <c r="F226" s="15">
        <v>3487.14</v>
      </c>
      <c r="G226" s="15">
        <f t="shared" si="15"/>
        <v>12.860000000000127</v>
      </c>
      <c r="H226" s="15">
        <f t="shared" si="16"/>
        <v>3500</v>
      </c>
      <c r="I226" s="15">
        <f t="shared" si="17"/>
        <v>3487.14</v>
      </c>
      <c r="J226" s="15">
        <f t="shared" si="18"/>
        <v>12.860000000000127</v>
      </c>
      <c r="K226" s="19">
        <f t="shared" si="19"/>
        <v>3.6878358769651142E-3</v>
      </c>
      <c r="L226" s="15" t="s">
        <v>222</v>
      </c>
      <c r="M226" s="15"/>
    </row>
    <row r="227" spans="1:13" x14ac:dyDescent="0.25">
      <c r="A227" s="10">
        <v>46001</v>
      </c>
      <c r="B227" s="11" t="s">
        <v>14</v>
      </c>
      <c r="C227" s="12">
        <v>1</v>
      </c>
      <c r="D227" s="27">
        <v>359802893569216</v>
      </c>
      <c r="E227" s="12">
        <v>3400</v>
      </c>
      <c r="F227" s="12">
        <v>3487.14</v>
      </c>
      <c r="G227" s="12">
        <f t="shared" si="15"/>
        <v>-87.139999999999873</v>
      </c>
      <c r="H227" s="12">
        <f t="shared" si="16"/>
        <v>3400</v>
      </c>
      <c r="I227" s="12">
        <f t="shared" si="17"/>
        <v>3487.14</v>
      </c>
      <c r="J227" s="12">
        <f t="shared" si="18"/>
        <v>-87.139999999999873</v>
      </c>
      <c r="K227" s="14">
        <f t="shared" si="19"/>
        <v>-2.4988959433805316E-2</v>
      </c>
      <c r="L227" s="12" t="s">
        <v>222</v>
      </c>
      <c r="M227" s="15"/>
    </row>
    <row r="228" spans="1:13" x14ac:dyDescent="0.25">
      <c r="A228" s="10">
        <v>46001</v>
      </c>
      <c r="B228" s="11" t="s">
        <v>14</v>
      </c>
      <c r="C228" s="12">
        <v>1</v>
      </c>
      <c r="D228" s="27">
        <v>357063604677408</v>
      </c>
      <c r="E228" s="12">
        <v>3400</v>
      </c>
      <c r="F228" s="12">
        <v>3487.14</v>
      </c>
      <c r="G228" s="12">
        <f t="shared" si="15"/>
        <v>-87.139999999999873</v>
      </c>
      <c r="H228" s="12">
        <f t="shared" si="16"/>
        <v>3400</v>
      </c>
      <c r="I228" s="12">
        <f t="shared" si="17"/>
        <v>3487.14</v>
      </c>
      <c r="J228" s="12">
        <f t="shared" si="18"/>
        <v>-87.139999999999873</v>
      </c>
      <c r="K228" s="14">
        <f t="shared" si="19"/>
        <v>-2.4988959433805316E-2</v>
      </c>
      <c r="L228" s="12" t="s">
        <v>222</v>
      </c>
      <c r="M228" s="15"/>
    </row>
    <row r="229" spans="1:13" x14ac:dyDescent="0.25">
      <c r="A229" s="10">
        <v>46001</v>
      </c>
      <c r="B229" s="11" t="s">
        <v>14</v>
      </c>
      <c r="C229" s="12">
        <v>1</v>
      </c>
      <c r="D229" s="27">
        <v>356764175315853</v>
      </c>
      <c r="E229" s="12">
        <v>3400</v>
      </c>
      <c r="F229" s="12">
        <v>3487.14</v>
      </c>
      <c r="G229" s="12">
        <f t="shared" si="15"/>
        <v>-87.139999999999873</v>
      </c>
      <c r="H229" s="12">
        <f t="shared" si="16"/>
        <v>3400</v>
      </c>
      <c r="I229" s="12">
        <f t="shared" si="17"/>
        <v>3487.14</v>
      </c>
      <c r="J229" s="12">
        <f t="shared" si="18"/>
        <v>-87.139999999999873</v>
      </c>
      <c r="K229" s="14">
        <f t="shared" si="19"/>
        <v>-2.4988959433805316E-2</v>
      </c>
      <c r="L229" s="12" t="s">
        <v>222</v>
      </c>
      <c r="M229" s="15"/>
    </row>
    <row r="230" spans="1:13" x14ac:dyDescent="0.25">
      <c r="A230" s="10">
        <v>46001</v>
      </c>
      <c r="B230" s="11" t="s">
        <v>14</v>
      </c>
      <c r="C230" s="12">
        <v>1</v>
      </c>
      <c r="D230" s="27">
        <v>359426265632582</v>
      </c>
      <c r="E230" s="12">
        <v>3400</v>
      </c>
      <c r="F230" s="12">
        <v>3487.14</v>
      </c>
      <c r="G230" s="12">
        <f t="shared" si="15"/>
        <v>-87.139999999999873</v>
      </c>
      <c r="H230" s="12">
        <f t="shared" si="16"/>
        <v>3400</v>
      </c>
      <c r="I230" s="12">
        <f t="shared" si="17"/>
        <v>3487.14</v>
      </c>
      <c r="J230" s="12">
        <f t="shared" si="18"/>
        <v>-87.139999999999873</v>
      </c>
      <c r="K230" s="14">
        <f t="shared" si="19"/>
        <v>-2.4988959433805316E-2</v>
      </c>
      <c r="L230" s="12" t="s">
        <v>222</v>
      </c>
      <c r="M230" s="15"/>
    </row>
    <row r="231" spans="1:13" x14ac:dyDescent="0.25">
      <c r="A231" s="10">
        <v>46002</v>
      </c>
      <c r="B231" s="11" t="s">
        <v>14</v>
      </c>
      <c r="C231" s="12">
        <v>1</v>
      </c>
      <c r="D231" s="27">
        <v>356364244968392</v>
      </c>
      <c r="E231" s="12">
        <v>3380</v>
      </c>
      <c r="F231" s="12">
        <v>3487.14</v>
      </c>
      <c r="G231" s="12">
        <f t="shared" si="15"/>
        <v>-107.13999999999987</v>
      </c>
      <c r="H231" s="12">
        <f t="shared" si="16"/>
        <v>3380</v>
      </c>
      <c r="I231" s="12">
        <f t="shared" si="17"/>
        <v>3487.14</v>
      </c>
      <c r="J231" s="12">
        <f t="shared" si="18"/>
        <v>-107.13999999999987</v>
      </c>
      <c r="K231" s="14">
        <f t="shared" si="19"/>
        <v>-3.0724318495959402E-2</v>
      </c>
      <c r="L231" s="12" t="s">
        <v>222</v>
      </c>
      <c r="M231" s="15"/>
    </row>
    <row r="232" spans="1:13" x14ac:dyDescent="0.25">
      <c r="A232" s="10">
        <v>46002</v>
      </c>
      <c r="B232" s="11" t="s">
        <v>14</v>
      </c>
      <c r="C232" s="12">
        <v>1</v>
      </c>
      <c r="D232" s="27">
        <v>356764171146146</v>
      </c>
      <c r="E232" s="12">
        <v>3380</v>
      </c>
      <c r="F232" s="12">
        <v>3487.14</v>
      </c>
      <c r="G232" s="12">
        <f t="shared" si="15"/>
        <v>-107.13999999999987</v>
      </c>
      <c r="H232" s="12">
        <f t="shared" si="16"/>
        <v>3380</v>
      </c>
      <c r="I232" s="12">
        <f t="shared" si="17"/>
        <v>3487.14</v>
      </c>
      <c r="J232" s="12">
        <f t="shared" si="18"/>
        <v>-107.13999999999987</v>
      </c>
      <c r="K232" s="14">
        <f t="shared" si="19"/>
        <v>-3.0724318495959402E-2</v>
      </c>
      <c r="L232" s="12" t="s">
        <v>222</v>
      </c>
      <c r="M232" s="15"/>
    </row>
    <row r="233" spans="1:13" x14ac:dyDescent="0.25">
      <c r="A233" s="10">
        <v>46002</v>
      </c>
      <c r="B233" s="11" t="s">
        <v>14</v>
      </c>
      <c r="C233" s="12">
        <v>1</v>
      </c>
      <c r="D233" s="27">
        <v>357063601850297</v>
      </c>
      <c r="E233" s="12">
        <v>3380</v>
      </c>
      <c r="F233" s="12">
        <v>3487.14</v>
      </c>
      <c r="G233" s="12">
        <f t="shared" si="15"/>
        <v>-107.13999999999987</v>
      </c>
      <c r="H233" s="12">
        <f t="shared" si="16"/>
        <v>3380</v>
      </c>
      <c r="I233" s="12">
        <f t="shared" si="17"/>
        <v>3487.14</v>
      </c>
      <c r="J233" s="12">
        <f t="shared" si="18"/>
        <v>-107.13999999999987</v>
      </c>
      <c r="K233" s="14">
        <f t="shared" si="19"/>
        <v>-3.0724318495959402E-2</v>
      </c>
      <c r="L233" s="12" t="s">
        <v>222</v>
      </c>
      <c r="M233" s="15"/>
    </row>
    <row r="234" spans="1:13" x14ac:dyDescent="0.25">
      <c r="A234" s="10">
        <v>46007</v>
      </c>
      <c r="B234" s="11" t="s">
        <v>14</v>
      </c>
      <c r="C234" s="12">
        <v>1</v>
      </c>
      <c r="D234" s="27">
        <v>359912581996223</v>
      </c>
      <c r="E234" s="12">
        <v>3475</v>
      </c>
      <c r="F234" s="12">
        <v>3487.15</v>
      </c>
      <c r="G234" s="12">
        <f t="shared" si="15"/>
        <v>-12.150000000000091</v>
      </c>
      <c r="H234" s="12">
        <f t="shared" si="16"/>
        <v>3475</v>
      </c>
      <c r="I234" s="12">
        <f t="shared" si="17"/>
        <v>3487.15</v>
      </c>
      <c r="J234" s="12">
        <f t="shared" si="18"/>
        <v>-12.150000000000091</v>
      </c>
      <c r="K234" s="14">
        <f t="shared" si="19"/>
        <v>-3.484220638630426E-3</v>
      </c>
      <c r="L234" s="12" t="s">
        <v>222</v>
      </c>
      <c r="M234" s="15"/>
    </row>
    <row r="235" spans="1:13" x14ac:dyDescent="0.25">
      <c r="A235" s="10">
        <v>46007</v>
      </c>
      <c r="B235" s="11" t="s">
        <v>14</v>
      </c>
      <c r="C235" s="12">
        <v>1</v>
      </c>
      <c r="D235" s="27">
        <v>357063608837784</v>
      </c>
      <c r="E235" s="12">
        <v>3475</v>
      </c>
      <c r="F235" s="12">
        <v>3487.15</v>
      </c>
      <c r="G235" s="12">
        <f t="shared" si="15"/>
        <v>-12.150000000000091</v>
      </c>
      <c r="H235" s="12">
        <f t="shared" si="16"/>
        <v>3475</v>
      </c>
      <c r="I235" s="12">
        <f t="shared" si="17"/>
        <v>3487.15</v>
      </c>
      <c r="J235" s="12">
        <f t="shared" si="18"/>
        <v>-12.150000000000091</v>
      </c>
      <c r="K235" s="14">
        <f t="shared" si="19"/>
        <v>-3.484220638630426E-3</v>
      </c>
      <c r="L235" s="12" t="s">
        <v>222</v>
      </c>
      <c r="M235" s="15"/>
    </row>
    <row r="236" spans="1:13" x14ac:dyDescent="0.25">
      <c r="A236" s="10">
        <v>46011</v>
      </c>
      <c r="B236" s="11" t="s">
        <v>14</v>
      </c>
      <c r="C236" s="12">
        <v>1</v>
      </c>
      <c r="D236" s="27">
        <v>353837410842189</v>
      </c>
      <c r="E236" s="12">
        <v>3260</v>
      </c>
      <c r="F236" s="12">
        <v>3487.15</v>
      </c>
      <c r="G236" s="12">
        <f t="shared" si="15"/>
        <v>-227.15000000000009</v>
      </c>
      <c r="H236" s="12">
        <f t="shared" si="16"/>
        <v>3260</v>
      </c>
      <c r="I236" s="12">
        <f t="shared" si="17"/>
        <v>3487.15</v>
      </c>
      <c r="J236" s="12">
        <f t="shared" si="18"/>
        <v>-227.15000000000009</v>
      </c>
      <c r="K236" s="14">
        <f t="shared" si="19"/>
        <v>-6.5139153750197173E-2</v>
      </c>
      <c r="L236" s="12" t="s">
        <v>222</v>
      </c>
      <c r="M236" s="15"/>
    </row>
    <row r="237" spans="1:13" x14ac:dyDescent="0.25">
      <c r="A237" s="10">
        <v>46011</v>
      </c>
      <c r="B237" s="11" t="s">
        <v>14</v>
      </c>
      <c r="C237" s="12">
        <v>1</v>
      </c>
      <c r="D237" s="27">
        <v>356764171257612</v>
      </c>
      <c r="E237" s="12">
        <v>3260</v>
      </c>
      <c r="F237" s="12">
        <v>3487.15</v>
      </c>
      <c r="G237" s="12">
        <f t="shared" si="15"/>
        <v>-227.15000000000009</v>
      </c>
      <c r="H237" s="12">
        <f t="shared" si="16"/>
        <v>3260</v>
      </c>
      <c r="I237" s="12">
        <f t="shared" si="17"/>
        <v>3487.15</v>
      </c>
      <c r="J237" s="12">
        <f t="shared" si="18"/>
        <v>-227.15000000000009</v>
      </c>
      <c r="K237" s="14">
        <f t="shared" si="19"/>
        <v>-6.5139153750197173E-2</v>
      </c>
      <c r="L237" s="12" t="s">
        <v>222</v>
      </c>
      <c r="M237" s="15"/>
    </row>
    <row r="238" spans="1:13" x14ac:dyDescent="0.25">
      <c r="A238" s="10">
        <v>46011</v>
      </c>
      <c r="B238" s="11" t="s">
        <v>14</v>
      </c>
      <c r="C238" s="12">
        <v>1</v>
      </c>
      <c r="D238" s="27">
        <v>356764176732619</v>
      </c>
      <c r="E238" s="12">
        <v>3260</v>
      </c>
      <c r="F238" s="12">
        <v>3487.15</v>
      </c>
      <c r="G238" s="12">
        <f t="shared" si="15"/>
        <v>-227.15000000000009</v>
      </c>
      <c r="H238" s="12">
        <f t="shared" si="16"/>
        <v>3260</v>
      </c>
      <c r="I238" s="12">
        <f t="shared" si="17"/>
        <v>3487.15</v>
      </c>
      <c r="J238" s="12">
        <f t="shared" si="18"/>
        <v>-227.15000000000009</v>
      </c>
      <c r="K238" s="14">
        <f t="shared" si="19"/>
        <v>-6.5139153750197173E-2</v>
      </c>
      <c r="L238" s="12" t="s">
        <v>222</v>
      </c>
      <c r="M238" s="15"/>
    </row>
    <row r="239" spans="1:13" x14ac:dyDescent="0.25">
      <c r="A239" s="10">
        <v>46011</v>
      </c>
      <c r="B239" s="11" t="s">
        <v>14</v>
      </c>
      <c r="C239" s="12">
        <v>1</v>
      </c>
      <c r="D239" s="27">
        <v>357063604391745</v>
      </c>
      <c r="E239" s="12">
        <v>3260</v>
      </c>
      <c r="F239" s="12">
        <v>3487.15</v>
      </c>
      <c r="G239" s="12">
        <f t="shared" si="15"/>
        <v>-227.15000000000009</v>
      </c>
      <c r="H239" s="12">
        <f t="shared" si="16"/>
        <v>3260</v>
      </c>
      <c r="I239" s="12">
        <f t="shared" si="17"/>
        <v>3487.15</v>
      </c>
      <c r="J239" s="12">
        <f t="shared" si="18"/>
        <v>-227.15000000000009</v>
      </c>
      <c r="K239" s="14">
        <f t="shared" si="19"/>
        <v>-6.5139153750197173E-2</v>
      </c>
      <c r="L239" s="12" t="s">
        <v>222</v>
      </c>
      <c r="M239" s="15"/>
    </row>
    <row r="240" spans="1:13" x14ac:dyDescent="0.25">
      <c r="A240" s="10">
        <v>46011</v>
      </c>
      <c r="B240" s="11" t="s">
        <v>14</v>
      </c>
      <c r="C240" s="12">
        <v>1</v>
      </c>
      <c r="D240" s="27">
        <v>356364243640117</v>
      </c>
      <c r="E240" s="12">
        <v>3260</v>
      </c>
      <c r="F240" s="12">
        <v>3487.15</v>
      </c>
      <c r="G240" s="12">
        <f t="shared" si="15"/>
        <v>-227.15000000000009</v>
      </c>
      <c r="H240" s="12">
        <f t="shared" si="16"/>
        <v>3260</v>
      </c>
      <c r="I240" s="12">
        <f t="shared" si="17"/>
        <v>3487.15</v>
      </c>
      <c r="J240" s="12">
        <f t="shared" si="18"/>
        <v>-227.15000000000009</v>
      </c>
      <c r="K240" s="14">
        <f t="shared" si="19"/>
        <v>-6.5139153750197173E-2</v>
      </c>
      <c r="L240" s="12" t="s">
        <v>222</v>
      </c>
      <c r="M240" s="15"/>
    </row>
    <row r="241" spans="1:13" x14ac:dyDescent="0.25">
      <c r="A241" s="10">
        <v>46011</v>
      </c>
      <c r="B241" s="11" t="s">
        <v>14</v>
      </c>
      <c r="C241" s="12">
        <v>1</v>
      </c>
      <c r="D241" s="27">
        <v>356364244916425</v>
      </c>
      <c r="E241" s="12">
        <v>3260</v>
      </c>
      <c r="F241" s="12">
        <v>3487.15</v>
      </c>
      <c r="G241" s="12">
        <f t="shared" si="15"/>
        <v>-227.15000000000009</v>
      </c>
      <c r="H241" s="12">
        <f t="shared" si="16"/>
        <v>3260</v>
      </c>
      <c r="I241" s="12">
        <f t="shared" si="17"/>
        <v>3487.15</v>
      </c>
      <c r="J241" s="12">
        <f t="shared" si="18"/>
        <v>-227.15000000000009</v>
      </c>
      <c r="K241" s="14">
        <f t="shared" si="19"/>
        <v>-6.5139153750197173E-2</v>
      </c>
      <c r="L241" s="12" t="s">
        <v>222</v>
      </c>
      <c r="M241" s="15"/>
    </row>
    <row r="242" spans="1:13" x14ac:dyDescent="0.25">
      <c r="A242" s="10">
        <v>46015</v>
      </c>
      <c r="B242" s="11" t="s">
        <v>87</v>
      </c>
      <c r="C242" s="12">
        <v>1</v>
      </c>
      <c r="D242" s="31">
        <v>357063607396063</v>
      </c>
      <c r="E242" s="12">
        <v>4160</v>
      </c>
      <c r="F242" s="12">
        <v>4385.8999999999996</v>
      </c>
      <c r="G242" s="12">
        <f t="shared" si="15"/>
        <v>-225.89999999999964</v>
      </c>
      <c r="H242" s="12">
        <f t="shared" si="16"/>
        <v>4160</v>
      </c>
      <c r="I242" s="12">
        <f t="shared" si="17"/>
        <v>4385.8999999999996</v>
      </c>
      <c r="J242" s="12">
        <f t="shared" si="18"/>
        <v>-225.89999999999964</v>
      </c>
      <c r="K242" s="14">
        <f t="shared" si="19"/>
        <v>-5.1505962288241787E-2</v>
      </c>
      <c r="L242" s="12" t="s">
        <v>222</v>
      </c>
      <c r="M242" s="15"/>
    </row>
    <row r="243" spans="1:13" x14ac:dyDescent="0.25">
      <c r="A243" s="16">
        <v>46010</v>
      </c>
      <c r="B243" s="17" t="s">
        <v>81</v>
      </c>
      <c r="C243" s="15">
        <v>1</v>
      </c>
      <c r="D243" s="22">
        <v>356187980378553</v>
      </c>
      <c r="E243" s="15">
        <v>2420</v>
      </c>
      <c r="F243" s="15">
        <v>2336.75</v>
      </c>
      <c r="G243" s="15">
        <f t="shared" si="15"/>
        <v>83.25</v>
      </c>
      <c r="H243" s="15">
        <f t="shared" si="16"/>
        <v>2420</v>
      </c>
      <c r="I243" s="15">
        <f t="shared" si="17"/>
        <v>2336.75</v>
      </c>
      <c r="J243" s="15">
        <f t="shared" si="18"/>
        <v>83.25</v>
      </c>
      <c r="K243" s="19">
        <f t="shared" si="19"/>
        <v>3.5626404193858992E-2</v>
      </c>
      <c r="L243" s="15" t="s">
        <v>231</v>
      </c>
      <c r="M243" s="15"/>
    </row>
    <row r="244" spans="1:13" x14ac:dyDescent="0.25">
      <c r="A244" s="16">
        <v>46010</v>
      </c>
      <c r="B244" s="17" t="s">
        <v>26</v>
      </c>
      <c r="C244" s="15">
        <v>1</v>
      </c>
      <c r="D244" s="22" t="s">
        <v>112</v>
      </c>
      <c r="E244" s="15">
        <v>1090</v>
      </c>
      <c r="F244" s="15">
        <v>1024.57</v>
      </c>
      <c r="G244" s="15">
        <f t="shared" si="15"/>
        <v>65.430000000000064</v>
      </c>
      <c r="H244" s="15">
        <f t="shared" si="16"/>
        <v>1090</v>
      </c>
      <c r="I244" s="15">
        <f t="shared" si="17"/>
        <v>1024.57</v>
      </c>
      <c r="J244" s="15">
        <f t="shared" si="18"/>
        <v>65.430000000000064</v>
      </c>
      <c r="K244" s="19">
        <f t="shared" si="19"/>
        <v>6.3860936783235955E-2</v>
      </c>
      <c r="L244" s="15" t="s">
        <v>231</v>
      </c>
      <c r="M244" s="15"/>
    </row>
    <row r="245" spans="1:13" x14ac:dyDescent="0.25">
      <c r="A245" s="16">
        <v>46010</v>
      </c>
      <c r="B245" s="17" t="s">
        <v>26</v>
      </c>
      <c r="C245" s="15">
        <v>1</v>
      </c>
      <c r="D245" s="22" t="s">
        <v>113</v>
      </c>
      <c r="E245" s="15">
        <v>1090</v>
      </c>
      <c r="F245" s="15">
        <v>1024.57</v>
      </c>
      <c r="G245" s="15">
        <f t="shared" si="15"/>
        <v>65.430000000000064</v>
      </c>
      <c r="H245" s="15">
        <f t="shared" si="16"/>
        <v>1090</v>
      </c>
      <c r="I245" s="15">
        <f t="shared" si="17"/>
        <v>1024.57</v>
      </c>
      <c r="J245" s="15">
        <f t="shared" si="18"/>
        <v>65.430000000000064</v>
      </c>
      <c r="K245" s="19">
        <f t="shared" si="19"/>
        <v>6.3860936783235955E-2</v>
      </c>
      <c r="L245" s="15" t="s">
        <v>231</v>
      </c>
      <c r="M245" s="15"/>
    </row>
    <row r="246" spans="1:13" x14ac:dyDescent="0.25">
      <c r="A246" s="16">
        <v>46010</v>
      </c>
      <c r="B246" s="17" t="s">
        <v>26</v>
      </c>
      <c r="C246" s="15">
        <v>1</v>
      </c>
      <c r="D246" s="22" t="s">
        <v>114</v>
      </c>
      <c r="E246" s="15">
        <v>1090</v>
      </c>
      <c r="F246" s="15">
        <v>1024.57</v>
      </c>
      <c r="G246" s="15">
        <f t="shared" si="15"/>
        <v>65.430000000000064</v>
      </c>
      <c r="H246" s="15">
        <f t="shared" si="16"/>
        <v>1090</v>
      </c>
      <c r="I246" s="15">
        <f t="shared" si="17"/>
        <v>1024.57</v>
      </c>
      <c r="J246" s="15">
        <f t="shared" si="18"/>
        <v>65.430000000000064</v>
      </c>
      <c r="K246" s="19">
        <f t="shared" si="19"/>
        <v>6.3860936783235955E-2</v>
      </c>
      <c r="L246" s="15" t="s">
        <v>231</v>
      </c>
      <c r="M246" s="15"/>
    </row>
    <row r="247" spans="1:13" x14ac:dyDescent="0.25">
      <c r="A247" s="16">
        <v>46016</v>
      </c>
      <c r="B247" s="24" t="s">
        <v>26</v>
      </c>
      <c r="C247" s="15">
        <v>1</v>
      </c>
      <c r="D247" s="22" t="s">
        <v>145</v>
      </c>
      <c r="E247" s="15">
        <v>1120</v>
      </c>
      <c r="F247" s="15">
        <v>1024.57</v>
      </c>
      <c r="G247" s="15">
        <f t="shared" si="15"/>
        <v>95.430000000000064</v>
      </c>
      <c r="H247" s="15">
        <f t="shared" si="16"/>
        <v>1120</v>
      </c>
      <c r="I247" s="15">
        <f t="shared" si="17"/>
        <v>1024.57</v>
      </c>
      <c r="J247" s="15">
        <f t="shared" si="18"/>
        <v>95.430000000000064</v>
      </c>
      <c r="K247" s="19">
        <f t="shared" si="19"/>
        <v>9.3141513024976405E-2</v>
      </c>
      <c r="L247" s="15" t="s">
        <v>231</v>
      </c>
      <c r="M247" s="15"/>
    </row>
    <row r="248" spans="1:13" x14ac:dyDescent="0.25">
      <c r="A248" s="16">
        <v>46016</v>
      </c>
      <c r="B248" s="24" t="s">
        <v>149</v>
      </c>
      <c r="C248" s="15">
        <v>1</v>
      </c>
      <c r="D248" s="22" t="s">
        <v>148</v>
      </c>
      <c r="E248" s="15">
        <v>1390</v>
      </c>
      <c r="F248" s="15">
        <v>1258.25</v>
      </c>
      <c r="G248" s="15">
        <f t="shared" si="15"/>
        <v>131.75</v>
      </c>
      <c r="H248" s="15">
        <f t="shared" si="16"/>
        <v>1390</v>
      </c>
      <c r="I248" s="15">
        <f t="shared" si="17"/>
        <v>1258.25</v>
      </c>
      <c r="J248" s="15">
        <f t="shared" si="18"/>
        <v>131.75</v>
      </c>
      <c r="K248" s="19">
        <f t="shared" si="19"/>
        <v>0.10470892112060401</v>
      </c>
      <c r="L248" s="15" t="s">
        <v>231</v>
      </c>
      <c r="M248" s="15"/>
    </row>
    <row r="249" spans="1:13" x14ac:dyDescent="0.25">
      <c r="A249" s="16">
        <v>46010</v>
      </c>
      <c r="B249" s="17" t="s">
        <v>111</v>
      </c>
      <c r="C249" s="15">
        <v>1</v>
      </c>
      <c r="D249" s="23">
        <v>356196188452292</v>
      </c>
      <c r="E249" s="15">
        <v>1320</v>
      </c>
      <c r="F249" s="15">
        <v>1294.2</v>
      </c>
      <c r="G249" s="15">
        <f t="shared" si="15"/>
        <v>25.799999999999955</v>
      </c>
      <c r="H249" s="15">
        <f t="shared" si="16"/>
        <v>1320</v>
      </c>
      <c r="I249" s="15">
        <f t="shared" si="17"/>
        <v>1294.2</v>
      </c>
      <c r="J249" s="15">
        <f t="shared" si="18"/>
        <v>25.799999999999955</v>
      </c>
      <c r="K249" s="19">
        <f t="shared" si="19"/>
        <v>1.9935095039406547E-2</v>
      </c>
      <c r="L249" s="15" t="s">
        <v>231</v>
      </c>
      <c r="M249" s="15"/>
    </row>
    <row r="250" spans="1:13" x14ac:dyDescent="0.25">
      <c r="A250" s="16">
        <v>46010</v>
      </c>
      <c r="B250" s="17" t="s">
        <v>125</v>
      </c>
      <c r="C250" s="15">
        <v>1</v>
      </c>
      <c r="D250" s="22" t="s">
        <v>126</v>
      </c>
      <c r="E250" s="15">
        <v>1625</v>
      </c>
      <c r="F250" s="15">
        <v>1545.85</v>
      </c>
      <c r="G250" s="15">
        <f t="shared" si="15"/>
        <v>79.150000000000091</v>
      </c>
      <c r="H250" s="15">
        <f t="shared" si="16"/>
        <v>1625</v>
      </c>
      <c r="I250" s="15">
        <f t="shared" si="17"/>
        <v>1545.85</v>
      </c>
      <c r="J250" s="15">
        <f t="shared" si="18"/>
        <v>79.150000000000091</v>
      </c>
      <c r="K250" s="19">
        <f t="shared" si="19"/>
        <v>5.1201604295371538E-2</v>
      </c>
      <c r="L250" s="15" t="s">
        <v>231</v>
      </c>
      <c r="M250" s="15"/>
    </row>
    <row r="251" spans="1:13" x14ac:dyDescent="0.25">
      <c r="A251" s="16">
        <v>46010</v>
      </c>
      <c r="B251" s="17" t="s">
        <v>125</v>
      </c>
      <c r="C251" s="15">
        <v>1</v>
      </c>
      <c r="D251" s="22" t="s">
        <v>127</v>
      </c>
      <c r="E251" s="15">
        <v>1625</v>
      </c>
      <c r="F251" s="15">
        <v>1545.85</v>
      </c>
      <c r="G251" s="15">
        <f t="shared" si="15"/>
        <v>79.150000000000091</v>
      </c>
      <c r="H251" s="15">
        <f t="shared" si="16"/>
        <v>1625</v>
      </c>
      <c r="I251" s="15">
        <f t="shared" si="17"/>
        <v>1545.85</v>
      </c>
      <c r="J251" s="15">
        <f t="shared" si="18"/>
        <v>79.150000000000091</v>
      </c>
      <c r="K251" s="19">
        <f t="shared" si="19"/>
        <v>5.1201604295371538E-2</v>
      </c>
      <c r="L251" s="15" t="s">
        <v>231</v>
      </c>
      <c r="M251" s="15"/>
    </row>
    <row r="252" spans="1:13" x14ac:dyDescent="0.25">
      <c r="A252" s="16">
        <v>46010</v>
      </c>
      <c r="B252" s="17" t="s">
        <v>106</v>
      </c>
      <c r="C252" s="15">
        <v>1</v>
      </c>
      <c r="D252" s="22" t="s">
        <v>107</v>
      </c>
      <c r="E252" s="15">
        <v>2070</v>
      </c>
      <c r="F252" s="15">
        <v>1869.4</v>
      </c>
      <c r="G252" s="15">
        <f t="shared" si="15"/>
        <v>200.59999999999991</v>
      </c>
      <c r="H252" s="15">
        <f t="shared" si="16"/>
        <v>2070</v>
      </c>
      <c r="I252" s="15">
        <f t="shared" si="17"/>
        <v>1869.4</v>
      </c>
      <c r="J252" s="15">
        <f t="shared" si="18"/>
        <v>200.59999999999991</v>
      </c>
      <c r="K252" s="19">
        <f t="shared" si="19"/>
        <v>0.10730715737669835</v>
      </c>
      <c r="L252" s="15" t="s">
        <v>231</v>
      </c>
      <c r="M252" s="15"/>
    </row>
    <row r="253" spans="1:13" x14ac:dyDescent="0.25">
      <c r="A253" s="16">
        <v>46010</v>
      </c>
      <c r="B253" s="17" t="s">
        <v>106</v>
      </c>
      <c r="C253" s="15">
        <v>1</v>
      </c>
      <c r="D253" s="22" t="s">
        <v>108</v>
      </c>
      <c r="E253" s="15">
        <v>2070</v>
      </c>
      <c r="F253" s="15">
        <v>1869.4</v>
      </c>
      <c r="G253" s="15">
        <f t="shared" si="15"/>
        <v>200.59999999999991</v>
      </c>
      <c r="H253" s="15">
        <f t="shared" si="16"/>
        <v>2070</v>
      </c>
      <c r="I253" s="15">
        <f t="shared" si="17"/>
        <v>1869.4</v>
      </c>
      <c r="J253" s="15">
        <f t="shared" si="18"/>
        <v>200.59999999999991</v>
      </c>
      <c r="K253" s="19">
        <f t="shared" si="19"/>
        <v>0.10730715737669835</v>
      </c>
      <c r="L253" s="15" t="s">
        <v>231</v>
      </c>
      <c r="M253" s="15"/>
    </row>
    <row r="254" spans="1:13" x14ac:dyDescent="0.25">
      <c r="A254" s="16">
        <v>46010</v>
      </c>
      <c r="B254" s="17" t="s">
        <v>23</v>
      </c>
      <c r="C254" s="15">
        <v>1</v>
      </c>
      <c r="D254" s="23" t="s">
        <v>105</v>
      </c>
      <c r="E254" s="15">
        <v>2320</v>
      </c>
      <c r="F254" s="15">
        <v>2157</v>
      </c>
      <c r="G254" s="15">
        <f t="shared" si="15"/>
        <v>163</v>
      </c>
      <c r="H254" s="15">
        <f t="shared" si="16"/>
        <v>2320</v>
      </c>
      <c r="I254" s="15">
        <f t="shared" si="17"/>
        <v>2157</v>
      </c>
      <c r="J254" s="15">
        <f t="shared" si="18"/>
        <v>163</v>
      </c>
      <c r="K254" s="19">
        <f t="shared" si="19"/>
        <v>7.5567918405192391E-2</v>
      </c>
      <c r="L254" s="15" t="s">
        <v>231</v>
      </c>
      <c r="M254" s="15"/>
    </row>
    <row r="255" spans="1:13" x14ac:dyDescent="0.25">
      <c r="A255" s="16">
        <v>46010</v>
      </c>
      <c r="B255" s="17" t="s">
        <v>123</v>
      </c>
      <c r="C255" s="15">
        <v>1</v>
      </c>
      <c r="D255" s="23" t="s">
        <v>124</v>
      </c>
      <c r="E255" s="15">
        <v>3120</v>
      </c>
      <c r="F255" s="15">
        <v>2696.25</v>
      </c>
      <c r="G255" s="15">
        <f t="shared" si="15"/>
        <v>423.75</v>
      </c>
      <c r="H255" s="15">
        <f t="shared" si="16"/>
        <v>3120</v>
      </c>
      <c r="I255" s="15">
        <f t="shared" si="17"/>
        <v>2696.25</v>
      </c>
      <c r="J255" s="15">
        <f t="shared" si="18"/>
        <v>423.75</v>
      </c>
      <c r="K255" s="19">
        <f t="shared" si="19"/>
        <v>0.15716272600834491</v>
      </c>
      <c r="L255" s="15" t="s">
        <v>231</v>
      </c>
      <c r="M255" s="15"/>
    </row>
    <row r="256" spans="1:13" x14ac:dyDescent="0.25">
      <c r="A256" s="16">
        <v>46010</v>
      </c>
      <c r="B256" s="29" t="s">
        <v>109</v>
      </c>
      <c r="C256" s="15">
        <v>1</v>
      </c>
      <c r="D256" s="23" t="s">
        <v>110</v>
      </c>
      <c r="E256" s="15">
        <v>1275</v>
      </c>
      <c r="F256" s="15">
        <v>1150.4000000000001</v>
      </c>
      <c r="G256" s="15">
        <f t="shared" si="15"/>
        <v>124.59999999999991</v>
      </c>
      <c r="H256" s="15">
        <f t="shared" si="16"/>
        <v>1275</v>
      </c>
      <c r="I256" s="15">
        <f t="shared" si="17"/>
        <v>1150.4000000000001</v>
      </c>
      <c r="J256" s="15">
        <f t="shared" si="18"/>
        <v>124.59999999999991</v>
      </c>
      <c r="K256" s="19">
        <f t="shared" si="19"/>
        <v>0.10831015299026417</v>
      </c>
      <c r="L256" s="15" t="s">
        <v>231</v>
      </c>
      <c r="M256" s="15"/>
    </row>
    <row r="257" spans="1:13" x14ac:dyDescent="0.25">
      <c r="A257" s="16">
        <v>46010</v>
      </c>
      <c r="B257" s="24" t="s">
        <v>28</v>
      </c>
      <c r="C257" s="15">
        <v>1</v>
      </c>
      <c r="D257" s="22" t="s">
        <v>103</v>
      </c>
      <c r="E257" s="15">
        <v>2940</v>
      </c>
      <c r="F257" s="15">
        <v>2750.17</v>
      </c>
      <c r="G257" s="15">
        <f t="shared" si="15"/>
        <v>189.82999999999993</v>
      </c>
      <c r="H257" s="15">
        <f t="shared" si="16"/>
        <v>2940</v>
      </c>
      <c r="I257" s="15">
        <f t="shared" si="17"/>
        <v>2750.17</v>
      </c>
      <c r="J257" s="15">
        <f t="shared" si="18"/>
        <v>189.82999999999993</v>
      </c>
      <c r="K257" s="19">
        <f t="shared" si="19"/>
        <v>6.9024823919975831E-2</v>
      </c>
      <c r="L257" s="15" t="s">
        <v>231</v>
      </c>
      <c r="M257" s="15"/>
    </row>
    <row r="258" spans="1:13" x14ac:dyDescent="0.25">
      <c r="A258" s="16">
        <v>46010</v>
      </c>
      <c r="B258" s="24" t="s">
        <v>28</v>
      </c>
      <c r="C258" s="15">
        <v>1</v>
      </c>
      <c r="D258" s="22" t="s">
        <v>104</v>
      </c>
      <c r="E258" s="15">
        <v>2940</v>
      </c>
      <c r="F258" s="15">
        <v>2750.17</v>
      </c>
      <c r="G258" s="15">
        <f t="shared" ref="G258:G321" si="20">E258-F258</f>
        <v>189.82999999999993</v>
      </c>
      <c r="H258" s="15">
        <f t="shared" ref="H258:H321" si="21">E258*C258</f>
        <v>2940</v>
      </c>
      <c r="I258" s="15">
        <f t="shared" ref="I258:I321" si="22">F258*C258</f>
        <v>2750.17</v>
      </c>
      <c r="J258" s="15">
        <f t="shared" ref="J258:J321" si="23">H258-I258</f>
        <v>189.82999999999993</v>
      </c>
      <c r="K258" s="19">
        <f t="shared" ref="K258:K321" si="24">(E258-F258)/F258</f>
        <v>6.9024823919975831E-2</v>
      </c>
      <c r="L258" s="15" t="s">
        <v>231</v>
      </c>
      <c r="M258" s="15"/>
    </row>
    <row r="259" spans="1:13" x14ac:dyDescent="0.25">
      <c r="A259" s="16">
        <v>46010</v>
      </c>
      <c r="B259" s="17" t="s">
        <v>122</v>
      </c>
      <c r="C259" s="15">
        <v>1</v>
      </c>
      <c r="D259" s="22">
        <v>358112930814539</v>
      </c>
      <c r="E259" s="15">
        <v>3270</v>
      </c>
      <c r="F259" s="15">
        <v>3109.67</v>
      </c>
      <c r="G259" s="15">
        <f t="shared" si="20"/>
        <v>160.32999999999993</v>
      </c>
      <c r="H259" s="15">
        <f t="shared" si="21"/>
        <v>3270</v>
      </c>
      <c r="I259" s="15">
        <f t="shared" si="22"/>
        <v>3109.67</v>
      </c>
      <c r="J259" s="15">
        <f t="shared" si="23"/>
        <v>160.32999999999993</v>
      </c>
      <c r="K259" s="19">
        <f t="shared" si="24"/>
        <v>5.1558525502706051E-2</v>
      </c>
      <c r="L259" s="15" t="s">
        <v>231</v>
      </c>
      <c r="M259" s="15"/>
    </row>
    <row r="260" spans="1:13" x14ac:dyDescent="0.25">
      <c r="A260" s="16">
        <v>46010</v>
      </c>
      <c r="B260" s="17" t="s">
        <v>122</v>
      </c>
      <c r="C260" s="15">
        <v>1</v>
      </c>
      <c r="D260" s="22">
        <v>358112932318000</v>
      </c>
      <c r="E260" s="15">
        <v>3270</v>
      </c>
      <c r="F260" s="15">
        <v>3109.67</v>
      </c>
      <c r="G260" s="15">
        <f t="shared" si="20"/>
        <v>160.32999999999993</v>
      </c>
      <c r="H260" s="15">
        <f t="shared" si="21"/>
        <v>3270</v>
      </c>
      <c r="I260" s="15">
        <f t="shared" si="22"/>
        <v>3109.67</v>
      </c>
      <c r="J260" s="15">
        <f t="shared" si="23"/>
        <v>160.32999999999993</v>
      </c>
      <c r="K260" s="19">
        <f t="shared" si="24"/>
        <v>5.1558525502706051E-2</v>
      </c>
      <c r="L260" s="15" t="s">
        <v>231</v>
      </c>
      <c r="M260" s="15"/>
    </row>
    <row r="261" spans="1:13" x14ac:dyDescent="0.25">
      <c r="A261" s="16">
        <v>46010</v>
      </c>
      <c r="B261" s="17" t="s">
        <v>122</v>
      </c>
      <c r="C261" s="15">
        <v>1</v>
      </c>
      <c r="D261" s="22">
        <v>358112930191748</v>
      </c>
      <c r="E261" s="15">
        <v>3270</v>
      </c>
      <c r="F261" s="15">
        <v>3109.67</v>
      </c>
      <c r="G261" s="15">
        <f t="shared" si="20"/>
        <v>160.32999999999993</v>
      </c>
      <c r="H261" s="15">
        <f t="shared" si="21"/>
        <v>3270</v>
      </c>
      <c r="I261" s="15">
        <f t="shared" si="22"/>
        <v>3109.67</v>
      </c>
      <c r="J261" s="15">
        <f t="shared" si="23"/>
        <v>160.32999999999993</v>
      </c>
      <c r="K261" s="19">
        <f t="shared" si="24"/>
        <v>5.1558525502706051E-2</v>
      </c>
      <c r="L261" s="15" t="s">
        <v>231</v>
      </c>
      <c r="M261" s="15"/>
    </row>
    <row r="262" spans="1:13" x14ac:dyDescent="0.25">
      <c r="A262" s="16">
        <v>46010</v>
      </c>
      <c r="B262" s="17" t="s">
        <v>122</v>
      </c>
      <c r="C262" s="15">
        <v>1</v>
      </c>
      <c r="D262" s="23">
        <v>358112931925649</v>
      </c>
      <c r="E262" s="15">
        <v>3920</v>
      </c>
      <c r="F262" s="15">
        <v>3595</v>
      </c>
      <c r="G262" s="15">
        <f t="shared" si="20"/>
        <v>325</v>
      </c>
      <c r="H262" s="15">
        <f t="shared" si="21"/>
        <v>3920</v>
      </c>
      <c r="I262" s="15">
        <f t="shared" si="22"/>
        <v>3595</v>
      </c>
      <c r="J262" s="15">
        <f t="shared" si="23"/>
        <v>325</v>
      </c>
      <c r="K262" s="19">
        <f t="shared" si="24"/>
        <v>9.0403337969401948E-2</v>
      </c>
      <c r="L262" s="15" t="s">
        <v>231</v>
      </c>
      <c r="M262" s="15"/>
    </row>
    <row r="263" spans="1:13" x14ac:dyDescent="0.25">
      <c r="A263" s="16">
        <v>46010</v>
      </c>
      <c r="B263" s="17" t="s">
        <v>117</v>
      </c>
      <c r="C263" s="15">
        <v>1</v>
      </c>
      <c r="D263" s="22" t="s">
        <v>118</v>
      </c>
      <c r="E263" s="15">
        <v>5120</v>
      </c>
      <c r="F263" s="15">
        <v>4565.6499999999996</v>
      </c>
      <c r="G263" s="15">
        <f t="shared" si="20"/>
        <v>554.35000000000036</v>
      </c>
      <c r="H263" s="15">
        <f t="shared" si="21"/>
        <v>5120</v>
      </c>
      <c r="I263" s="15">
        <f t="shared" si="22"/>
        <v>4565.6499999999996</v>
      </c>
      <c r="J263" s="15">
        <f t="shared" si="23"/>
        <v>554.35000000000036</v>
      </c>
      <c r="K263" s="19">
        <f t="shared" si="24"/>
        <v>0.12141754186150941</v>
      </c>
      <c r="L263" s="15" t="s">
        <v>231</v>
      </c>
      <c r="M263" s="15"/>
    </row>
    <row r="264" spans="1:13" x14ac:dyDescent="0.25">
      <c r="A264" s="16">
        <v>46010</v>
      </c>
      <c r="B264" s="17" t="s">
        <v>117</v>
      </c>
      <c r="C264" s="15">
        <v>1</v>
      </c>
      <c r="D264" s="22" t="s">
        <v>119</v>
      </c>
      <c r="E264" s="15">
        <v>5120</v>
      </c>
      <c r="F264" s="15">
        <v>4565.6499999999996</v>
      </c>
      <c r="G264" s="15">
        <f t="shared" si="20"/>
        <v>554.35000000000036</v>
      </c>
      <c r="H264" s="15">
        <f t="shared" si="21"/>
        <v>5120</v>
      </c>
      <c r="I264" s="15">
        <f t="shared" si="22"/>
        <v>4565.6499999999996</v>
      </c>
      <c r="J264" s="15">
        <f t="shared" si="23"/>
        <v>554.35000000000036</v>
      </c>
      <c r="K264" s="19">
        <f t="shared" si="24"/>
        <v>0.12141754186150941</v>
      </c>
      <c r="L264" s="15" t="s">
        <v>231</v>
      </c>
      <c r="M264" s="15"/>
    </row>
    <row r="265" spans="1:13" x14ac:dyDescent="0.25">
      <c r="A265" s="16">
        <v>46010</v>
      </c>
      <c r="B265" s="17" t="s">
        <v>117</v>
      </c>
      <c r="C265" s="15">
        <v>1</v>
      </c>
      <c r="D265" s="22" t="s">
        <v>120</v>
      </c>
      <c r="E265" s="15">
        <v>5120</v>
      </c>
      <c r="F265" s="15">
        <v>4565.6499999999996</v>
      </c>
      <c r="G265" s="15">
        <f t="shared" si="20"/>
        <v>554.35000000000036</v>
      </c>
      <c r="H265" s="15">
        <f t="shared" si="21"/>
        <v>5120</v>
      </c>
      <c r="I265" s="15">
        <f t="shared" si="22"/>
        <v>4565.6499999999996</v>
      </c>
      <c r="J265" s="15">
        <f t="shared" si="23"/>
        <v>554.35000000000036</v>
      </c>
      <c r="K265" s="19">
        <f t="shared" si="24"/>
        <v>0.12141754186150941</v>
      </c>
      <c r="L265" s="15" t="s">
        <v>231</v>
      </c>
      <c r="M265" s="15"/>
    </row>
    <row r="266" spans="1:13" x14ac:dyDescent="0.25">
      <c r="A266" s="16">
        <v>46010</v>
      </c>
      <c r="B266" s="17" t="s">
        <v>117</v>
      </c>
      <c r="C266" s="15">
        <v>1</v>
      </c>
      <c r="D266" s="22" t="s">
        <v>121</v>
      </c>
      <c r="E266" s="15">
        <v>5120</v>
      </c>
      <c r="F266" s="15">
        <v>4565.6499999999996</v>
      </c>
      <c r="G266" s="15">
        <f t="shared" si="20"/>
        <v>554.35000000000036</v>
      </c>
      <c r="H266" s="15">
        <f t="shared" si="21"/>
        <v>5120</v>
      </c>
      <c r="I266" s="15">
        <f t="shared" si="22"/>
        <v>4565.6499999999996</v>
      </c>
      <c r="J266" s="15">
        <f t="shared" si="23"/>
        <v>554.35000000000036</v>
      </c>
      <c r="K266" s="19">
        <f t="shared" si="24"/>
        <v>0.12141754186150941</v>
      </c>
      <c r="L266" s="15" t="s">
        <v>231</v>
      </c>
      <c r="M266" s="15"/>
    </row>
    <row r="267" spans="1:13" x14ac:dyDescent="0.25">
      <c r="A267" s="16">
        <v>46010</v>
      </c>
      <c r="B267" s="17" t="s">
        <v>115</v>
      </c>
      <c r="C267" s="15">
        <v>1</v>
      </c>
      <c r="D267" s="22">
        <v>352355707903631</v>
      </c>
      <c r="E267" s="15">
        <v>4320</v>
      </c>
      <c r="F267" s="15">
        <v>4026.4</v>
      </c>
      <c r="G267" s="15">
        <f t="shared" si="20"/>
        <v>293.59999999999991</v>
      </c>
      <c r="H267" s="15">
        <f t="shared" si="21"/>
        <v>4320</v>
      </c>
      <c r="I267" s="15">
        <f t="shared" si="22"/>
        <v>4026.4</v>
      </c>
      <c r="J267" s="15">
        <f t="shared" si="23"/>
        <v>293.59999999999991</v>
      </c>
      <c r="K267" s="19">
        <f t="shared" si="24"/>
        <v>7.2918736340154958E-2</v>
      </c>
      <c r="L267" s="15" t="s">
        <v>231</v>
      </c>
      <c r="M267" s="15"/>
    </row>
    <row r="268" spans="1:13" x14ac:dyDescent="0.25">
      <c r="A268" s="16">
        <v>46010</v>
      </c>
      <c r="B268" s="17" t="s">
        <v>115</v>
      </c>
      <c r="C268" s="15">
        <v>1</v>
      </c>
      <c r="D268" s="22">
        <v>352355704754318</v>
      </c>
      <c r="E268" s="15">
        <v>4320</v>
      </c>
      <c r="F268" s="15">
        <v>4026.4</v>
      </c>
      <c r="G268" s="15">
        <f t="shared" si="20"/>
        <v>293.59999999999991</v>
      </c>
      <c r="H268" s="15">
        <f t="shared" si="21"/>
        <v>4320</v>
      </c>
      <c r="I268" s="15">
        <f t="shared" si="22"/>
        <v>4026.4</v>
      </c>
      <c r="J268" s="15">
        <f t="shared" si="23"/>
        <v>293.59999999999991</v>
      </c>
      <c r="K268" s="19">
        <f t="shared" si="24"/>
        <v>7.2918736340154958E-2</v>
      </c>
      <c r="L268" s="15" t="s">
        <v>231</v>
      </c>
      <c r="M268" s="15"/>
    </row>
    <row r="269" spans="1:13" x14ac:dyDescent="0.25">
      <c r="A269" s="16">
        <v>46010</v>
      </c>
      <c r="B269" s="17" t="s">
        <v>115</v>
      </c>
      <c r="C269" s="15">
        <v>1</v>
      </c>
      <c r="D269" s="22">
        <v>352355700132477</v>
      </c>
      <c r="E269" s="15">
        <v>4320</v>
      </c>
      <c r="F269" s="15">
        <v>4026.4</v>
      </c>
      <c r="G269" s="15">
        <f t="shared" si="20"/>
        <v>293.59999999999991</v>
      </c>
      <c r="H269" s="15">
        <f t="shared" si="21"/>
        <v>4320</v>
      </c>
      <c r="I269" s="15">
        <f t="shared" si="22"/>
        <v>4026.4</v>
      </c>
      <c r="J269" s="15">
        <f t="shared" si="23"/>
        <v>293.59999999999991</v>
      </c>
      <c r="K269" s="19">
        <f t="shared" si="24"/>
        <v>7.2918736340154958E-2</v>
      </c>
      <c r="L269" s="15" t="s">
        <v>231</v>
      </c>
      <c r="M269" s="15"/>
    </row>
    <row r="270" spans="1:13" x14ac:dyDescent="0.25">
      <c r="A270" s="16">
        <v>46010</v>
      </c>
      <c r="B270" s="17" t="s">
        <v>115</v>
      </c>
      <c r="C270" s="15">
        <v>1</v>
      </c>
      <c r="D270" s="22">
        <v>352355707470938</v>
      </c>
      <c r="E270" s="15">
        <v>4320</v>
      </c>
      <c r="F270" s="15">
        <v>4026.4</v>
      </c>
      <c r="G270" s="15">
        <f t="shared" si="20"/>
        <v>293.59999999999991</v>
      </c>
      <c r="H270" s="15">
        <f t="shared" si="21"/>
        <v>4320</v>
      </c>
      <c r="I270" s="15">
        <f t="shared" si="22"/>
        <v>4026.4</v>
      </c>
      <c r="J270" s="15">
        <f t="shared" si="23"/>
        <v>293.59999999999991</v>
      </c>
      <c r="K270" s="19">
        <f t="shared" si="24"/>
        <v>7.2918736340154958E-2</v>
      </c>
      <c r="L270" s="15" t="s">
        <v>231</v>
      </c>
      <c r="M270" s="15"/>
    </row>
    <row r="271" spans="1:13" x14ac:dyDescent="0.25">
      <c r="A271" s="16">
        <v>46010</v>
      </c>
      <c r="B271" s="17" t="s">
        <v>115</v>
      </c>
      <c r="C271" s="15">
        <v>1</v>
      </c>
      <c r="D271" s="22">
        <v>352355701488209</v>
      </c>
      <c r="E271" s="15">
        <v>4030</v>
      </c>
      <c r="F271" s="15">
        <v>4026.4</v>
      </c>
      <c r="G271" s="15">
        <f t="shared" si="20"/>
        <v>3.5999999999999091</v>
      </c>
      <c r="H271" s="15">
        <f t="shared" si="21"/>
        <v>4030</v>
      </c>
      <c r="I271" s="15">
        <f t="shared" si="22"/>
        <v>4026.4</v>
      </c>
      <c r="J271" s="15">
        <f t="shared" si="23"/>
        <v>3.5999999999999091</v>
      </c>
      <c r="K271" s="19">
        <f t="shared" si="24"/>
        <v>8.9409894695010651E-4</v>
      </c>
      <c r="L271" s="15" t="s">
        <v>231</v>
      </c>
      <c r="M271" s="15"/>
    </row>
    <row r="272" spans="1:13" x14ac:dyDescent="0.25">
      <c r="A272" s="16">
        <v>46010</v>
      </c>
      <c r="B272" s="17" t="s">
        <v>115</v>
      </c>
      <c r="C272" s="15">
        <v>1</v>
      </c>
      <c r="D272" s="22">
        <v>352355702529191</v>
      </c>
      <c r="E272" s="15">
        <v>4030</v>
      </c>
      <c r="F272" s="15">
        <v>4026.4</v>
      </c>
      <c r="G272" s="15">
        <f t="shared" si="20"/>
        <v>3.5999999999999091</v>
      </c>
      <c r="H272" s="15">
        <f t="shared" si="21"/>
        <v>4030</v>
      </c>
      <c r="I272" s="15">
        <f t="shared" si="22"/>
        <v>4026.4</v>
      </c>
      <c r="J272" s="15">
        <f t="shared" si="23"/>
        <v>3.5999999999999091</v>
      </c>
      <c r="K272" s="19">
        <f t="shared" si="24"/>
        <v>8.9409894695010651E-4</v>
      </c>
      <c r="L272" s="15" t="s">
        <v>231</v>
      </c>
      <c r="M272" s="15"/>
    </row>
    <row r="273" spans="1:13" x14ac:dyDescent="0.25">
      <c r="A273" s="16">
        <v>46010</v>
      </c>
      <c r="B273" s="17" t="s">
        <v>115</v>
      </c>
      <c r="C273" s="15">
        <v>1</v>
      </c>
      <c r="D273" s="22">
        <v>352355700072509</v>
      </c>
      <c r="E273" s="15">
        <v>4030</v>
      </c>
      <c r="F273" s="15">
        <v>4026.4</v>
      </c>
      <c r="G273" s="15">
        <f t="shared" si="20"/>
        <v>3.5999999999999091</v>
      </c>
      <c r="H273" s="15">
        <f t="shared" si="21"/>
        <v>4030</v>
      </c>
      <c r="I273" s="15">
        <f t="shared" si="22"/>
        <v>4026.4</v>
      </c>
      <c r="J273" s="15">
        <f t="shared" si="23"/>
        <v>3.5999999999999091</v>
      </c>
      <c r="K273" s="19">
        <f t="shared" si="24"/>
        <v>8.9409894695010651E-4</v>
      </c>
      <c r="L273" s="15" t="s">
        <v>231</v>
      </c>
      <c r="M273" s="15"/>
    </row>
    <row r="274" spans="1:13" x14ac:dyDescent="0.25">
      <c r="A274" s="10">
        <v>46010</v>
      </c>
      <c r="B274" s="26" t="s">
        <v>115</v>
      </c>
      <c r="C274" s="12">
        <v>1</v>
      </c>
      <c r="D274" s="27">
        <v>352355704704099</v>
      </c>
      <c r="E274" s="12">
        <v>4100</v>
      </c>
      <c r="F274" s="12">
        <v>4170.2</v>
      </c>
      <c r="G274" s="12">
        <f t="shared" si="20"/>
        <v>-70.199999999999818</v>
      </c>
      <c r="H274" s="12">
        <f t="shared" si="21"/>
        <v>4100</v>
      </c>
      <c r="I274" s="12">
        <f t="shared" si="22"/>
        <v>4170.2</v>
      </c>
      <c r="J274" s="12">
        <f t="shared" si="23"/>
        <v>-70.199999999999818</v>
      </c>
      <c r="K274" s="14">
        <f t="shared" si="24"/>
        <v>-1.6833725001198941E-2</v>
      </c>
      <c r="L274" s="12" t="s">
        <v>231</v>
      </c>
      <c r="M274" s="15"/>
    </row>
    <row r="275" spans="1:13" x14ac:dyDescent="0.25">
      <c r="A275" s="10">
        <v>46010</v>
      </c>
      <c r="B275" s="26" t="s">
        <v>115</v>
      </c>
      <c r="C275" s="12">
        <v>1</v>
      </c>
      <c r="D275" s="27">
        <v>352355703332264</v>
      </c>
      <c r="E275" s="12">
        <v>4100</v>
      </c>
      <c r="F275" s="12">
        <v>4170.2</v>
      </c>
      <c r="G275" s="12">
        <f t="shared" si="20"/>
        <v>-70.199999999999818</v>
      </c>
      <c r="H275" s="12">
        <f t="shared" si="21"/>
        <v>4100</v>
      </c>
      <c r="I275" s="12">
        <f t="shared" si="22"/>
        <v>4170.2</v>
      </c>
      <c r="J275" s="12">
        <f t="shared" si="23"/>
        <v>-70.199999999999818</v>
      </c>
      <c r="K275" s="14">
        <f t="shared" si="24"/>
        <v>-1.6833725001198941E-2</v>
      </c>
      <c r="L275" s="12" t="s">
        <v>231</v>
      </c>
      <c r="M275" s="15"/>
    </row>
    <row r="276" spans="1:13" x14ac:dyDescent="0.25">
      <c r="A276" s="16">
        <v>46010</v>
      </c>
      <c r="B276" s="17" t="s">
        <v>116</v>
      </c>
      <c r="C276" s="15">
        <v>1</v>
      </c>
      <c r="D276" s="22">
        <v>352355708488814</v>
      </c>
      <c r="E276" s="15">
        <v>5220</v>
      </c>
      <c r="F276" s="15">
        <v>4853.25</v>
      </c>
      <c r="G276" s="15">
        <f t="shared" si="20"/>
        <v>366.75</v>
      </c>
      <c r="H276" s="15">
        <f t="shared" si="21"/>
        <v>5220</v>
      </c>
      <c r="I276" s="15">
        <f t="shared" si="22"/>
        <v>4853.25</v>
      </c>
      <c r="J276" s="15">
        <f t="shared" si="23"/>
        <v>366.75</v>
      </c>
      <c r="K276" s="19">
        <f t="shared" si="24"/>
        <v>7.5567918405192391E-2</v>
      </c>
      <c r="L276" s="15" t="s">
        <v>231</v>
      </c>
      <c r="M276" s="15"/>
    </row>
    <row r="277" spans="1:13" x14ac:dyDescent="0.25">
      <c r="A277" s="16">
        <v>46010</v>
      </c>
      <c r="B277" s="17" t="s">
        <v>116</v>
      </c>
      <c r="C277" s="15">
        <v>1</v>
      </c>
      <c r="D277" s="22">
        <v>352355705132647</v>
      </c>
      <c r="E277" s="15">
        <v>5220</v>
      </c>
      <c r="F277" s="15">
        <v>4853.25</v>
      </c>
      <c r="G277" s="15">
        <f t="shared" si="20"/>
        <v>366.75</v>
      </c>
      <c r="H277" s="15">
        <f t="shared" si="21"/>
        <v>5220</v>
      </c>
      <c r="I277" s="15">
        <f t="shared" si="22"/>
        <v>4853.25</v>
      </c>
      <c r="J277" s="15">
        <f t="shared" si="23"/>
        <v>366.75</v>
      </c>
      <c r="K277" s="19">
        <f t="shared" si="24"/>
        <v>7.5567918405192391E-2</v>
      </c>
      <c r="L277" s="15" t="s">
        <v>231</v>
      </c>
      <c r="M277" s="15"/>
    </row>
    <row r="278" spans="1:13" x14ac:dyDescent="0.25">
      <c r="A278" s="10">
        <v>46009</v>
      </c>
      <c r="B278" s="11" t="s">
        <v>101</v>
      </c>
      <c r="C278" s="12">
        <v>1</v>
      </c>
      <c r="D278" s="27">
        <v>352676529052194</v>
      </c>
      <c r="E278" s="12">
        <v>1680</v>
      </c>
      <c r="F278" s="12">
        <v>1779.52</v>
      </c>
      <c r="G278" s="12">
        <f t="shared" si="20"/>
        <v>-99.519999999999982</v>
      </c>
      <c r="H278" s="12">
        <f t="shared" si="21"/>
        <v>1680</v>
      </c>
      <c r="I278" s="12">
        <f t="shared" si="22"/>
        <v>1779.52</v>
      </c>
      <c r="J278" s="12">
        <f t="shared" si="23"/>
        <v>-99.519999999999982</v>
      </c>
      <c r="K278" s="14">
        <f t="shared" si="24"/>
        <v>-5.5925193310555649E-2</v>
      </c>
      <c r="L278" s="12" t="s">
        <v>231</v>
      </c>
      <c r="M278" s="15"/>
    </row>
    <row r="279" spans="1:13" x14ac:dyDescent="0.25">
      <c r="A279" s="10">
        <v>46009</v>
      </c>
      <c r="B279" s="11" t="s">
        <v>101</v>
      </c>
      <c r="C279" s="12">
        <v>1</v>
      </c>
      <c r="D279" s="27">
        <v>354379774644850</v>
      </c>
      <c r="E279" s="12">
        <v>1680</v>
      </c>
      <c r="F279" s="12">
        <v>1779.52</v>
      </c>
      <c r="G279" s="12">
        <f t="shared" si="20"/>
        <v>-99.519999999999982</v>
      </c>
      <c r="H279" s="12">
        <f t="shared" si="21"/>
        <v>1680</v>
      </c>
      <c r="I279" s="12">
        <f t="shared" si="22"/>
        <v>1779.52</v>
      </c>
      <c r="J279" s="12">
        <f t="shared" si="23"/>
        <v>-99.519999999999982</v>
      </c>
      <c r="K279" s="14">
        <f t="shared" si="24"/>
        <v>-5.5925193310555649E-2</v>
      </c>
      <c r="L279" s="12" t="s">
        <v>231</v>
      </c>
      <c r="M279" s="15"/>
    </row>
    <row r="280" spans="1:13" x14ac:dyDescent="0.25">
      <c r="A280" s="16">
        <v>46016</v>
      </c>
      <c r="B280" s="17" t="s">
        <v>179</v>
      </c>
      <c r="C280" s="15">
        <v>1</v>
      </c>
      <c r="D280" s="23">
        <v>359696883982359</v>
      </c>
      <c r="E280" s="15">
        <v>1990</v>
      </c>
      <c r="F280" s="15">
        <v>1258.25</v>
      </c>
      <c r="G280" s="15">
        <f t="shared" si="20"/>
        <v>731.75</v>
      </c>
      <c r="H280" s="15">
        <f t="shared" si="21"/>
        <v>1990</v>
      </c>
      <c r="I280" s="15">
        <f t="shared" si="22"/>
        <v>1258.25</v>
      </c>
      <c r="J280" s="15">
        <f t="shared" si="23"/>
        <v>731.75</v>
      </c>
      <c r="K280" s="19">
        <f t="shared" si="24"/>
        <v>0.5815616928273396</v>
      </c>
      <c r="L280" s="15" t="s">
        <v>231</v>
      </c>
      <c r="M280" s="15"/>
    </row>
    <row r="281" spans="1:13" x14ac:dyDescent="0.25">
      <c r="A281" s="16">
        <v>46016</v>
      </c>
      <c r="B281" s="24" t="s">
        <v>180</v>
      </c>
      <c r="C281" s="15">
        <v>1</v>
      </c>
      <c r="D281" s="22">
        <v>355413810000188</v>
      </c>
      <c r="E281" s="15">
        <v>3700</v>
      </c>
      <c r="F281" s="15">
        <v>3559.05</v>
      </c>
      <c r="G281" s="15">
        <f t="shared" si="20"/>
        <v>140.94999999999982</v>
      </c>
      <c r="H281" s="15">
        <f t="shared" si="21"/>
        <v>3700</v>
      </c>
      <c r="I281" s="15">
        <f t="shared" si="22"/>
        <v>3559.05</v>
      </c>
      <c r="J281" s="15">
        <f t="shared" si="23"/>
        <v>140.94999999999982</v>
      </c>
      <c r="K281" s="19">
        <f t="shared" si="24"/>
        <v>3.9603264916199497E-2</v>
      </c>
      <c r="L281" s="15" t="s">
        <v>231</v>
      </c>
      <c r="M281" s="15"/>
    </row>
    <row r="282" spans="1:13" x14ac:dyDescent="0.25">
      <c r="A282" s="16">
        <v>46016</v>
      </c>
      <c r="B282" s="24" t="s">
        <v>180</v>
      </c>
      <c r="C282" s="15">
        <v>1</v>
      </c>
      <c r="D282" s="22">
        <v>355413810148284</v>
      </c>
      <c r="E282" s="15">
        <v>3700</v>
      </c>
      <c r="F282" s="15">
        <v>3559.05</v>
      </c>
      <c r="G282" s="15">
        <f t="shared" si="20"/>
        <v>140.94999999999982</v>
      </c>
      <c r="H282" s="15">
        <f t="shared" si="21"/>
        <v>3700</v>
      </c>
      <c r="I282" s="15">
        <f t="shared" si="22"/>
        <v>3559.05</v>
      </c>
      <c r="J282" s="15">
        <f t="shared" si="23"/>
        <v>140.94999999999982</v>
      </c>
      <c r="K282" s="19">
        <f t="shared" si="24"/>
        <v>3.9603264916199497E-2</v>
      </c>
      <c r="L282" s="15" t="s">
        <v>231</v>
      </c>
      <c r="M282" s="15"/>
    </row>
    <row r="283" spans="1:13" x14ac:dyDescent="0.25">
      <c r="A283" s="16">
        <v>46006</v>
      </c>
      <c r="B283" s="17" t="s">
        <v>48</v>
      </c>
      <c r="C283" s="15">
        <v>1</v>
      </c>
      <c r="D283" s="23">
        <v>352190326484519</v>
      </c>
      <c r="E283" s="15">
        <v>2750</v>
      </c>
      <c r="F283" s="15">
        <v>2588.4</v>
      </c>
      <c r="G283" s="15">
        <f t="shared" si="20"/>
        <v>161.59999999999991</v>
      </c>
      <c r="H283" s="15">
        <f t="shared" si="21"/>
        <v>2750</v>
      </c>
      <c r="I283" s="15">
        <f t="shared" si="22"/>
        <v>2588.4</v>
      </c>
      <c r="J283" s="15">
        <f t="shared" si="23"/>
        <v>161.59999999999991</v>
      </c>
      <c r="K283" s="19">
        <f t="shared" si="24"/>
        <v>6.2432390666048485E-2</v>
      </c>
      <c r="L283" s="15" t="s">
        <v>231</v>
      </c>
      <c r="M283" s="15"/>
    </row>
    <row r="284" spans="1:13" x14ac:dyDescent="0.25">
      <c r="A284" s="16">
        <v>46006</v>
      </c>
      <c r="B284" s="20" t="s">
        <v>14</v>
      </c>
      <c r="C284" s="15">
        <v>1</v>
      </c>
      <c r="D284" s="22">
        <v>352791398703148</v>
      </c>
      <c r="E284" s="15">
        <v>3410</v>
      </c>
      <c r="F284" s="15">
        <v>3199.5</v>
      </c>
      <c r="G284" s="15">
        <f t="shared" si="20"/>
        <v>210.5</v>
      </c>
      <c r="H284" s="15">
        <f t="shared" si="21"/>
        <v>3410</v>
      </c>
      <c r="I284" s="15">
        <f t="shared" si="22"/>
        <v>3199.5</v>
      </c>
      <c r="J284" s="15">
        <f t="shared" si="23"/>
        <v>210.5</v>
      </c>
      <c r="K284" s="19">
        <f t="shared" si="24"/>
        <v>6.5791529926551018E-2</v>
      </c>
      <c r="L284" s="15" t="s">
        <v>231</v>
      </c>
      <c r="M284" s="15"/>
    </row>
    <row r="285" spans="1:13" x14ac:dyDescent="0.25">
      <c r="A285" s="16">
        <v>46006</v>
      </c>
      <c r="B285" s="20" t="s">
        <v>14</v>
      </c>
      <c r="C285" s="15">
        <v>1</v>
      </c>
      <c r="D285" s="22">
        <v>357826999757468</v>
      </c>
      <c r="E285" s="15">
        <v>3410</v>
      </c>
      <c r="F285" s="15">
        <v>3199.5</v>
      </c>
      <c r="G285" s="15">
        <f t="shared" si="20"/>
        <v>210.5</v>
      </c>
      <c r="H285" s="15">
        <f t="shared" si="21"/>
        <v>3410</v>
      </c>
      <c r="I285" s="15">
        <f t="shared" si="22"/>
        <v>3199.5</v>
      </c>
      <c r="J285" s="15">
        <f t="shared" si="23"/>
        <v>210.5</v>
      </c>
      <c r="K285" s="19">
        <f t="shared" si="24"/>
        <v>6.5791529926551018E-2</v>
      </c>
      <c r="L285" s="15" t="s">
        <v>231</v>
      </c>
      <c r="M285" s="15"/>
    </row>
    <row r="286" spans="1:13" x14ac:dyDescent="0.25">
      <c r="A286" s="16">
        <v>46006</v>
      </c>
      <c r="B286" s="20" t="s">
        <v>14</v>
      </c>
      <c r="C286" s="15">
        <v>1</v>
      </c>
      <c r="D286" s="22">
        <v>358482494828708</v>
      </c>
      <c r="E286" s="15">
        <v>3470</v>
      </c>
      <c r="F286" s="15">
        <v>3217.52</v>
      </c>
      <c r="G286" s="15">
        <f t="shared" si="20"/>
        <v>252.48000000000002</v>
      </c>
      <c r="H286" s="15">
        <f t="shared" si="21"/>
        <v>3470</v>
      </c>
      <c r="I286" s="15">
        <f t="shared" si="22"/>
        <v>3217.52</v>
      </c>
      <c r="J286" s="15">
        <f t="shared" si="23"/>
        <v>252.48000000000002</v>
      </c>
      <c r="K286" s="19">
        <f t="shared" si="24"/>
        <v>7.847037469852558E-2</v>
      </c>
      <c r="L286" s="15" t="s">
        <v>231</v>
      </c>
      <c r="M286" s="15"/>
    </row>
    <row r="287" spans="1:13" x14ac:dyDescent="0.25">
      <c r="A287" s="16">
        <v>46006</v>
      </c>
      <c r="B287" s="20" t="s">
        <v>14</v>
      </c>
      <c r="C287" s="15">
        <v>1</v>
      </c>
      <c r="D287" s="22">
        <v>359802898520883</v>
      </c>
      <c r="E287" s="15">
        <v>3470</v>
      </c>
      <c r="F287" s="15">
        <v>3217.52</v>
      </c>
      <c r="G287" s="15">
        <f t="shared" si="20"/>
        <v>252.48000000000002</v>
      </c>
      <c r="H287" s="15">
        <f t="shared" si="21"/>
        <v>3470</v>
      </c>
      <c r="I287" s="15">
        <f t="shared" si="22"/>
        <v>3217.52</v>
      </c>
      <c r="J287" s="15">
        <f t="shared" si="23"/>
        <v>252.48000000000002</v>
      </c>
      <c r="K287" s="19">
        <f t="shared" si="24"/>
        <v>7.847037469852558E-2</v>
      </c>
      <c r="L287" s="15" t="s">
        <v>231</v>
      </c>
      <c r="M287" s="15"/>
    </row>
    <row r="288" spans="1:13" x14ac:dyDescent="0.25">
      <c r="A288" s="16">
        <v>46006</v>
      </c>
      <c r="B288" s="20" t="s">
        <v>14</v>
      </c>
      <c r="C288" s="15">
        <v>1</v>
      </c>
      <c r="D288" s="22">
        <v>358482495129767</v>
      </c>
      <c r="E288" s="15">
        <v>3480</v>
      </c>
      <c r="F288" s="15">
        <v>3217.52</v>
      </c>
      <c r="G288" s="15">
        <f t="shared" si="20"/>
        <v>262.48</v>
      </c>
      <c r="H288" s="15">
        <f t="shared" si="21"/>
        <v>3480</v>
      </c>
      <c r="I288" s="15">
        <f t="shared" si="22"/>
        <v>3217.52</v>
      </c>
      <c r="J288" s="15">
        <f t="shared" si="23"/>
        <v>262.48</v>
      </c>
      <c r="K288" s="19">
        <f t="shared" si="24"/>
        <v>8.1578358487282135E-2</v>
      </c>
      <c r="L288" s="15" t="s">
        <v>231</v>
      </c>
      <c r="M288" s="15"/>
    </row>
    <row r="289" spans="1:13" x14ac:dyDescent="0.25">
      <c r="A289" s="16">
        <v>46006</v>
      </c>
      <c r="B289" s="20" t="s">
        <v>14</v>
      </c>
      <c r="C289" s="15">
        <v>1</v>
      </c>
      <c r="D289" s="22">
        <v>359802898534702</v>
      </c>
      <c r="E289" s="15">
        <v>3480</v>
      </c>
      <c r="F289" s="15">
        <v>3217.52</v>
      </c>
      <c r="G289" s="15">
        <f t="shared" si="20"/>
        <v>262.48</v>
      </c>
      <c r="H289" s="15">
        <f t="shared" si="21"/>
        <v>3480</v>
      </c>
      <c r="I289" s="15">
        <f t="shared" si="22"/>
        <v>3217.52</v>
      </c>
      <c r="J289" s="15">
        <f t="shared" si="23"/>
        <v>262.48</v>
      </c>
      <c r="K289" s="19">
        <f t="shared" si="24"/>
        <v>8.1578358487282135E-2</v>
      </c>
      <c r="L289" s="15" t="s">
        <v>231</v>
      </c>
      <c r="M289" s="15"/>
    </row>
    <row r="290" spans="1:13" x14ac:dyDescent="0.25">
      <c r="A290" s="16">
        <v>46006</v>
      </c>
      <c r="B290" s="20" t="s">
        <v>14</v>
      </c>
      <c r="C290" s="15">
        <v>1</v>
      </c>
      <c r="D290" s="22">
        <v>359802898127846</v>
      </c>
      <c r="E290" s="15">
        <v>3480</v>
      </c>
      <c r="F290" s="15">
        <v>3217.52</v>
      </c>
      <c r="G290" s="15">
        <f t="shared" si="20"/>
        <v>262.48</v>
      </c>
      <c r="H290" s="15">
        <f t="shared" si="21"/>
        <v>3480</v>
      </c>
      <c r="I290" s="15">
        <f t="shared" si="22"/>
        <v>3217.52</v>
      </c>
      <c r="J290" s="15">
        <f t="shared" si="23"/>
        <v>262.48</v>
      </c>
      <c r="K290" s="19">
        <f t="shared" si="24"/>
        <v>8.1578358487282135E-2</v>
      </c>
      <c r="L290" s="15" t="s">
        <v>231</v>
      </c>
      <c r="M290" s="15"/>
    </row>
    <row r="291" spans="1:13" x14ac:dyDescent="0.25">
      <c r="A291" s="16">
        <v>46008</v>
      </c>
      <c r="B291" s="20" t="s">
        <v>14</v>
      </c>
      <c r="C291" s="15">
        <v>1</v>
      </c>
      <c r="D291" s="23">
        <v>355450211936594</v>
      </c>
      <c r="E291" s="15">
        <v>3130</v>
      </c>
      <c r="F291" s="15">
        <v>3073.72</v>
      </c>
      <c r="G291" s="15">
        <f t="shared" si="20"/>
        <v>56.2800000000002</v>
      </c>
      <c r="H291" s="15">
        <f t="shared" si="21"/>
        <v>3130</v>
      </c>
      <c r="I291" s="15">
        <f t="shared" si="22"/>
        <v>3073.72</v>
      </c>
      <c r="J291" s="15">
        <f t="shared" si="23"/>
        <v>56.2800000000002</v>
      </c>
      <c r="K291" s="19">
        <f t="shared" si="24"/>
        <v>1.8310060773265035E-2</v>
      </c>
      <c r="L291" s="15" t="s">
        <v>231</v>
      </c>
      <c r="M291" s="15"/>
    </row>
    <row r="292" spans="1:13" x14ac:dyDescent="0.25">
      <c r="A292" s="16">
        <v>46009</v>
      </c>
      <c r="B292" s="20" t="s">
        <v>14</v>
      </c>
      <c r="C292" s="15">
        <v>1</v>
      </c>
      <c r="D292" s="22">
        <v>355450219448865</v>
      </c>
      <c r="E292" s="15">
        <v>3390</v>
      </c>
      <c r="F292" s="15">
        <v>3199.5</v>
      </c>
      <c r="G292" s="15">
        <f t="shared" si="20"/>
        <v>190.5</v>
      </c>
      <c r="H292" s="15">
        <f t="shared" si="21"/>
        <v>3390</v>
      </c>
      <c r="I292" s="15">
        <f t="shared" si="22"/>
        <v>3199.5</v>
      </c>
      <c r="J292" s="15">
        <f t="shared" si="23"/>
        <v>190.5</v>
      </c>
      <c r="K292" s="19">
        <f t="shared" si="24"/>
        <v>5.9540553211439286E-2</v>
      </c>
      <c r="L292" s="15" t="s">
        <v>231</v>
      </c>
      <c r="M292" s="15"/>
    </row>
    <row r="293" spans="1:13" x14ac:dyDescent="0.25">
      <c r="A293" s="16">
        <v>46009</v>
      </c>
      <c r="B293" s="20" t="s">
        <v>14</v>
      </c>
      <c r="C293" s="15">
        <v>1</v>
      </c>
      <c r="D293" s="22">
        <v>352791399627452</v>
      </c>
      <c r="E293" s="15">
        <v>3390</v>
      </c>
      <c r="F293" s="15">
        <v>3199.5</v>
      </c>
      <c r="G293" s="15">
        <f t="shared" si="20"/>
        <v>190.5</v>
      </c>
      <c r="H293" s="15">
        <f t="shared" si="21"/>
        <v>3390</v>
      </c>
      <c r="I293" s="15">
        <f t="shared" si="22"/>
        <v>3199.5</v>
      </c>
      <c r="J293" s="15">
        <f t="shared" si="23"/>
        <v>190.5</v>
      </c>
      <c r="K293" s="19">
        <f t="shared" si="24"/>
        <v>5.9540553211439286E-2</v>
      </c>
      <c r="L293" s="15" t="s">
        <v>231</v>
      </c>
      <c r="M293" s="15"/>
    </row>
    <row r="294" spans="1:13" x14ac:dyDescent="0.25">
      <c r="A294" s="16">
        <v>46009</v>
      </c>
      <c r="B294" s="20" t="s">
        <v>14</v>
      </c>
      <c r="C294" s="15">
        <v>1</v>
      </c>
      <c r="D294" s="22">
        <v>350889860283367</v>
      </c>
      <c r="E294" s="15">
        <v>3390</v>
      </c>
      <c r="F294" s="15">
        <v>3199.5</v>
      </c>
      <c r="G294" s="15">
        <f t="shared" si="20"/>
        <v>190.5</v>
      </c>
      <c r="H294" s="15">
        <f t="shared" si="21"/>
        <v>3390</v>
      </c>
      <c r="I294" s="15">
        <f t="shared" si="22"/>
        <v>3199.5</v>
      </c>
      <c r="J294" s="15">
        <f t="shared" si="23"/>
        <v>190.5</v>
      </c>
      <c r="K294" s="19">
        <f t="shared" si="24"/>
        <v>5.9540553211439286E-2</v>
      </c>
      <c r="L294" s="15" t="s">
        <v>231</v>
      </c>
      <c r="M294" s="15"/>
    </row>
    <row r="295" spans="1:13" x14ac:dyDescent="0.25">
      <c r="A295" s="16">
        <v>46011</v>
      </c>
      <c r="B295" s="20" t="s">
        <v>14</v>
      </c>
      <c r="C295" s="15">
        <v>1</v>
      </c>
      <c r="D295" s="22">
        <v>355450218712279</v>
      </c>
      <c r="E295" s="15">
        <v>3260</v>
      </c>
      <c r="F295" s="15">
        <v>3199.5</v>
      </c>
      <c r="G295" s="15">
        <f t="shared" si="20"/>
        <v>60.5</v>
      </c>
      <c r="H295" s="15">
        <f t="shared" si="21"/>
        <v>3260</v>
      </c>
      <c r="I295" s="15">
        <f t="shared" si="22"/>
        <v>3199.5</v>
      </c>
      <c r="J295" s="15">
        <f t="shared" si="23"/>
        <v>60.5</v>
      </c>
      <c r="K295" s="19">
        <f t="shared" si="24"/>
        <v>1.8909204563213003E-2</v>
      </c>
      <c r="L295" s="15" t="s">
        <v>231</v>
      </c>
      <c r="M295" s="15"/>
    </row>
    <row r="296" spans="1:13" x14ac:dyDescent="0.25">
      <c r="A296" s="16">
        <v>46011</v>
      </c>
      <c r="B296" s="20" t="s">
        <v>14</v>
      </c>
      <c r="C296" s="15">
        <v>1</v>
      </c>
      <c r="D296" s="22">
        <v>355450216568806</v>
      </c>
      <c r="E296" s="15">
        <v>3260</v>
      </c>
      <c r="F296" s="15">
        <v>3199.5</v>
      </c>
      <c r="G296" s="15">
        <f t="shared" si="20"/>
        <v>60.5</v>
      </c>
      <c r="H296" s="15">
        <f t="shared" si="21"/>
        <v>3260</v>
      </c>
      <c r="I296" s="15">
        <f t="shared" si="22"/>
        <v>3199.5</v>
      </c>
      <c r="J296" s="15">
        <f t="shared" si="23"/>
        <v>60.5</v>
      </c>
      <c r="K296" s="19">
        <f t="shared" si="24"/>
        <v>1.8909204563213003E-2</v>
      </c>
      <c r="L296" s="15" t="s">
        <v>231</v>
      </c>
      <c r="M296" s="15"/>
    </row>
    <row r="297" spans="1:13" x14ac:dyDescent="0.25">
      <c r="A297" s="16">
        <v>46011</v>
      </c>
      <c r="B297" s="20" t="s">
        <v>14</v>
      </c>
      <c r="C297" s="15">
        <v>1</v>
      </c>
      <c r="D297" s="22">
        <v>359912588274988</v>
      </c>
      <c r="E297" s="15">
        <v>3260</v>
      </c>
      <c r="F297" s="15">
        <v>3199.5</v>
      </c>
      <c r="G297" s="15">
        <f t="shared" si="20"/>
        <v>60.5</v>
      </c>
      <c r="H297" s="15">
        <f t="shared" si="21"/>
        <v>3260</v>
      </c>
      <c r="I297" s="15">
        <f t="shared" si="22"/>
        <v>3199.5</v>
      </c>
      <c r="J297" s="15">
        <f t="shared" si="23"/>
        <v>60.5</v>
      </c>
      <c r="K297" s="19">
        <f t="shared" si="24"/>
        <v>1.8909204563213003E-2</v>
      </c>
      <c r="L297" s="15" t="s">
        <v>231</v>
      </c>
      <c r="M297" s="15"/>
    </row>
    <row r="298" spans="1:13" x14ac:dyDescent="0.25">
      <c r="A298" s="16">
        <v>46011</v>
      </c>
      <c r="B298" s="20" t="s">
        <v>14</v>
      </c>
      <c r="C298" s="15">
        <v>1</v>
      </c>
      <c r="D298" s="22">
        <v>359912587293161</v>
      </c>
      <c r="E298" s="15">
        <v>3260</v>
      </c>
      <c r="F298" s="15">
        <v>3199.5</v>
      </c>
      <c r="G298" s="15">
        <f t="shared" si="20"/>
        <v>60.5</v>
      </c>
      <c r="H298" s="15">
        <f t="shared" si="21"/>
        <v>3260</v>
      </c>
      <c r="I298" s="15">
        <f t="shared" si="22"/>
        <v>3199.5</v>
      </c>
      <c r="J298" s="15">
        <f t="shared" si="23"/>
        <v>60.5</v>
      </c>
      <c r="K298" s="19">
        <f t="shared" si="24"/>
        <v>1.8909204563213003E-2</v>
      </c>
      <c r="L298" s="15" t="s">
        <v>231</v>
      </c>
      <c r="M298" s="15"/>
    </row>
    <row r="299" spans="1:13" x14ac:dyDescent="0.25">
      <c r="A299" s="16">
        <v>46011</v>
      </c>
      <c r="B299" s="20" t="s">
        <v>14</v>
      </c>
      <c r="C299" s="15">
        <v>1</v>
      </c>
      <c r="D299" s="22">
        <v>355450218827515</v>
      </c>
      <c r="E299" s="15">
        <v>3260</v>
      </c>
      <c r="F299" s="15">
        <v>3199.5</v>
      </c>
      <c r="G299" s="15">
        <f t="shared" si="20"/>
        <v>60.5</v>
      </c>
      <c r="H299" s="15">
        <f t="shared" si="21"/>
        <v>3260</v>
      </c>
      <c r="I299" s="15">
        <f t="shared" si="22"/>
        <v>3199.5</v>
      </c>
      <c r="J299" s="15">
        <f t="shared" si="23"/>
        <v>60.5</v>
      </c>
      <c r="K299" s="19">
        <f t="shared" si="24"/>
        <v>1.8909204563213003E-2</v>
      </c>
      <c r="L299" s="15" t="s">
        <v>231</v>
      </c>
      <c r="M299" s="15"/>
    </row>
    <row r="300" spans="1:13" x14ac:dyDescent="0.25">
      <c r="A300" s="16">
        <v>46011</v>
      </c>
      <c r="B300" s="20" t="s">
        <v>14</v>
      </c>
      <c r="C300" s="15">
        <v>1</v>
      </c>
      <c r="D300" s="23">
        <v>355190202855318</v>
      </c>
      <c r="E300" s="15">
        <v>4170</v>
      </c>
      <c r="F300" s="15">
        <v>3810.7</v>
      </c>
      <c r="G300" s="15">
        <f t="shared" si="20"/>
        <v>359.30000000000018</v>
      </c>
      <c r="H300" s="15">
        <f t="shared" si="21"/>
        <v>4170</v>
      </c>
      <c r="I300" s="15">
        <f t="shared" si="22"/>
        <v>3810.7</v>
      </c>
      <c r="J300" s="15">
        <f t="shared" si="23"/>
        <v>359.30000000000018</v>
      </c>
      <c r="K300" s="19">
        <f t="shared" si="24"/>
        <v>9.4287138845881385E-2</v>
      </c>
      <c r="L300" s="15" t="s">
        <v>231</v>
      </c>
      <c r="M300" s="15"/>
    </row>
    <row r="301" spans="1:13" x14ac:dyDescent="0.25">
      <c r="A301" s="16">
        <v>46015</v>
      </c>
      <c r="B301" s="20" t="s">
        <v>14</v>
      </c>
      <c r="C301" s="15">
        <v>1</v>
      </c>
      <c r="D301" s="22">
        <v>350247150882671</v>
      </c>
      <c r="E301" s="15">
        <v>3570</v>
      </c>
      <c r="F301" s="15">
        <v>3199.55</v>
      </c>
      <c r="G301" s="15">
        <f t="shared" si="20"/>
        <v>370.44999999999982</v>
      </c>
      <c r="H301" s="15">
        <f t="shared" si="21"/>
        <v>3570</v>
      </c>
      <c r="I301" s="15">
        <f t="shared" si="22"/>
        <v>3199.55</v>
      </c>
      <c r="J301" s="15">
        <f t="shared" si="23"/>
        <v>370.44999999999982</v>
      </c>
      <c r="K301" s="19">
        <f t="shared" si="24"/>
        <v>0.115781906830648</v>
      </c>
      <c r="L301" s="15" t="s">
        <v>231</v>
      </c>
      <c r="M301" s="15"/>
    </row>
    <row r="302" spans="1:13" x14ac:dyDescent="0.25">
      <c r="A302" s="16">
        <v>46017</v>
      </c>
      <c r="B302" s="24" t="s">
        <v>191</v>
      </c>
      <c r="C302" s="15">
        <v>1</v>
      </c>
      <c r="D302" s="22" t="s">
        <v>193</v>
      </c>
      <c r="E302" s="15">
        <v>3320</v>
      </c>
      <c r="F302" s="15">
        <v>3163.6</v>
      </c>
      <c r="G302" s="15">
        <f t="shared" si="20"/>
        <v>156.40000000000009</v>
      </c>
      <c r="H302" s="15">
        <f t="shared" si="21"/>
        <v>3320</v>
      </c>
      <c r="I302" s="15">
        <f t="shared" si="22"/>
        <v>3163.6</v>
      </c>
      <c r="J302" s="15">
        <f t="shared" si="23"/>
        <v>156.40000000000009</v>
      </c>
      <c r="K302" s="19">
        <f t="shared" si="24"/>
        <v>4.9437349854596059E-2</v>
      </c>
      <c r="L302" s="15" t="s">
        <v>231</v>
      </c>
      <c r="M302" s="15"/>
    </row>
    <row r="303" spans="1:13" x14ac:dyDescent="0.25">
      <c r="A303" s="16">
        <v>46011</v>
      </c>
      <c r="B303" s="17" t="s">
        <v>128</v>
      </c>
      <c r="C303" s="15">
        <v>1</v>
      </c>
      <c r="D303" s="22" t="s">
        <v>129</v>
      </c>
      <c r="E303" s="15">
        <v>6180</v>
      </c>
      <c r="F303" s="15">
        <v>5859.85</v>
      </c>
      <c r="G303" s="15">
        <f t="shared" si="20"/>
        <v>320.14999999999964</v>
      </c>
      <c r="H303" s="15">
        <f t="shared" si="21"/>
        <v>6180</v>
      </c>
      <c r="I303" s="15">
        <f t="shared" si="22"/>
        <v>5859.85</v>
      </c>
      <c r="J303" s="15">
        <f t="shared" si="23"/>
        <v>320.14999999999964</v>
      </c>
      <c r="K303" s="19">
        <f t="shared" si="24"/>
        <v>5.4634504296184994E-2</v>
      </c>
      <c r="L303" s="15" t="s">
        <v>231</v>
      </c>
      <c r="M303" s="15"/>
    </row>
    <row r="304" spans="1:13" x14ac:dyDescent="0.25">
      <c r="A304" s="16">
        <v>46011</v>
      </c>
      <c r="B304" s="17" t="s">
        <v>128</v>
      </c>
      <c r="C304" s="15">
        <v>1</v>
      </c>
      <c r="D304" s="22" t="s">
        <v>130</v>
      </c>
      <c r="E304" s="15">
        <v>6180</v>
      </c>
      <c r="F304" s="15">
        <v>5895.8</v>
      </c>
      <c r="G304" s="15">
        <f t="shared" si="20"/>
        <v>284.19999999999982</v>
      </c>
      <c r="H304" s="15">
        <f t="shared" si="21"/>
        <v>6180</v>
      </c>
      <c r="I304" s="15">
        <f t="shared" si="22"/>
        <v>5895.8</v>
      </c>
      <c r="J304" s="15">
        <f t="shared" si="23"/>
        <v>284.19999999999982</v>
      </c>
      <c r="K304" s="19">
        <f t="shared" si="24"/>
        <v>4.8203806099257063E-2</v>
      </c>
      <c r="L304" s="15" t="s">
        <v>231</v>
      </c>
      <c r="M304" s="15"/>
    </row>
    <row r="305" spans="1:13" x14ac:dyDescent="0.25">
      <c r="A305" s="16">
        <v>46016</v>
      </c>
      <c r="B305" s="24" t="s">
        <v>161</v>
      </c>
      <c r="C305" s="15">
        <v>1</v>
      </c>
      <c r="D305" s="22" t="s">
        <v>165</v>
      </c>
      <c r="E305" s="15">
        <v>5930</v>
      </c>
      <c r="F305" s="15">
        <v>5662.12</v>
      </c>
      <c r="G305" s="15">
        <f t="shared" si="20"/>
        <v>267.88000000000011</v>
      </c>
      <c r="H305" s="15">
        <f t="shared" si="21"/>
        <v>5930</v>
      </c>
      <c r="I305" s="15">
        <f t="shared" si="22"/>
        <v>5662.12</v>
      </c>
      <c r="J305" s="15">
        <f t="shared" si="23"/>
        <v>267.88000000000011</v>
      </c>
      <c r="K305" s="19">
        <f t="shared" si="24"/>
        <v>4.7310901217211945E-2</v>
      </c>
      <c r="L305" s="15" t="s">
        <v>231</v>
      </c>
      <c r="M305" s="15"/>
    </row>
    <row r="306" spans="1:13" x14ac:dyDescent="0.25">
      <c r="A306" s="16">
        <v>46016</v>
      </c>
      <c r="B306" s="24" t="s">
        <v>154</v>
      </c>
      <c r="C306" s="15">
        <v>1</v>
      </c>
      <c r="D306" s="22" t="s">
        <v>156</v>
      </c>
      <c r="E306" s="15">
        <v>5150</v>
      </c>
      <c r="F306" s="15">
        <v>4907.17</v>
      </c>
      <c r="G306" s="15">
        <f t="shared" si="20"/>
        <v>242.82999999999993</v>
      </c>
      <c r="H306" s="15">
        <f t="shared" si="21"/>
        <v>5150</v>
      </c>
      <c r="I306" s="15">
        <f t="shared" si="22"/>
        <v>4907.17</v>
      </c>
      <c r="J306" s="15">
        <f t="shared" si="23"/>
        <v>242.82999999999993</v>
      </c>
      <c r="K306" s="19">
        <f t="shared" si="24"/>
        <v>4.9484733563336901E-2</v>
      </c>
      <c r="L306" s="15" t="s">
        <v>231</v>
      </c>
      <c r="M306" s="15"/>
    </row>
    <row r="307" spans="1:13" x14ac:dyDescent="0.25">
      <c r="A307" s="16">
        <v>46016</v>
      </c>
      <c r="B307" s="24" t="s">
        <v>154</v>
      </c>
      <c r="C307" s="15">
        <v>1</v>
      </c>
      <c r="D307" s="22" t="s">
        <v>157</v>
      </c>
      <c r="E307" s="15">
        <v>5150</v>
      </c>
      <c r="F307" s="15">
        <v>4907.17</v>
      </c>
      <c r="G307" s="15">
        <f t="shared" si="20"/>
        <v>242.82999999999993</v>
      </c>
      <c r="H307" s="15">
        <f t="shared" si="21"/>
        <v>5150</v>
      </c>
      <c r="I307" s="15">
        <f t="shared" si="22"/>
        <v>4907.17</v>
      </c>
      <c r="J307" s="15">
        <f t="shared" si="23"/>
        <v>242.82999999999993</v>
      </c>
      <c r="K307" s="19">
        <f t="shared" si="24"/>
        <v>4.9484733563336901E-2</v>
      </c>
      <c r="L307" s="15" t="s">
        <v>231</v>
      </c>
      <c r="M307" s="15"/>
    </row>
    <row r="308" spans="1:13" x14ac:dyDescent="0.25">
      <c r="A308" s="16">
        <v>46016</v>
      </c>
      <c r="B308" s="24" t="s">
        <v>154</v>
      </c>
      <c r="C308" s="15">
        <v>1</v>
      </c>
      <c r="D308" s="22" t="s">
        <v>158</v>
      </c>
      <c r="E308" s="15">
        <v>5150</v>
      </c>
      <c r="F308" s="15">
        <v>4907.17</v>
      </c>
      <c r="G308" s="15">
        <f t="shared" si="20"/>
        <v>242.82999999999993</v>
      </c>
      <c r="H308" s="15">
        <f t="shared" si="21"/>
        <v>5150</v>
      </c>
      <c r="I308" s="15">
        <f t="shared" si="22"/>
        <v>4907.17</v>
      </c>
      <c r="J308" s="15">
        <f t="shared" si="23"/>
        <v>242.82999999999993</v>
      </c>
      <c r="K308" s="19">
        <f t="shared" si="24"/>
        <v>4.9484733563336901E-2</v>
      </c>
      <c r="L308" s="15" t="s">
        <v>231</v>
      </c>
      <c r="M308" s="15"/>
    </row>
    <row r="309" spans="1:13" x14ac:dyDescent="0.25">
      <c r="A309" s="16">
        <v>46016</v>
      </c>
      <c r="B309" s="24" t="s">
        <v>154</v>
      </c>
      <c r="C309" s="15">
        <v>1</v>
      </c>
      <c r="D309" s="22" t="s">
        <v>159</v>
      </c>
      <c r="E309" s="15">
        <v>5150</v>
      </c>
      <c r="F309" s="15">
        <v>4907.17</v>
      </c>
      <c r="G309" s="15">
        <f t="shared" si="20"/>
        <v>242.82999999999993</v>
      </c>
      <c r="H309" s="15">
        <f t="shared" si="21"/>
        <v>5150</v>
      </c>
      <c r="I309" s="15">
        <f t="shared" si="22"/>
        <v>4907.17</v>
      </c>
      <c r="J309" s="15">
        <f t="shared" si="23"/>
        <v>242.82999999999993</v>
      </c>
      <c r="K309" s="19">
        <f t="shared" si="24"/>
        <v>4.9484733563336901E-2</v>
      </c>
      <c r="L309" s="15" t="s">
        <v>231</v>
      </c>
      <c r="M309" s="15"/>
    </row>
    <row r="310" spans="1:13" x14ac:dyDescent="0.25">
      <c r="A310" s="16">
        <v>46016</v>
      </c>
      <c r="B310" s="24" t="s">
        <v>173</v>
      </c>
      <c r="C310" s="15">
        <v>1</v>
      </c>
      <c r="D310" s="22" t="s">
        <v>175</v>
      </c>
      <c r="E310" s="15">
        <v>5150</v>
      </c>
      <c r="F310" s="15">
        <v>4907.17</v>
      </c>
      <c r="G310" s="15">
        <f t="shared" si="20"/>
        <v>242.82999999999993</v>
      </c>
      <c r="H310" s="15">
        <f t="shared" si="21"/>
        <v>5150</v>
      </c>
      <c r="I310" s="15">
        <f t="shared" si="22"/>
        <v>4907.17</v>
      </c>
      <c r="J310" s="15">
        <f t="shared" si="23"/>
        <v>242.82999999999993</v>
      </c>
      <c r="K310" s="19">
        <f t="shared" si="24"/>
        <v>4.9484733563336901E-2</v>
      </c>
      <c r="L310" s="15" t="s">
        <v>231</v>
      </c>
      <c r="M310" s="15"/>
    </row>
    <row r="311" spans="1:13" x14ac:dyDescent="0.25">
      <c r="A311" s="16">
        <v>46016</v>
      </c>
      <c r="B311" s="24" t="s">
        <v>173</v>
      </c>
      <c r="C311" s="15">
        <v>1</v>
      </c>
      <c r="D311" s="22" t="s">
        <v>176</v>
      </c>
      <c r="E311" s="15">
        <v>5150</v>
      </c>
      <c r="F311" s="15">
        <v>4907.17</v>
      </c>
      <c r="G311" s="15">
        <f t="shared" si="20"/>
        <v>242.82999999999993</v>
      </c>
      <c r="H311" s="15">
        <f t="shared" si="21"/>
        <v>5150</v>
      </c>
      <c r="I311" s="15">
        <f t="shared" si="22"/>
        <v>4907.17</v>
      </c>
      <c r="J311" s="15">
        <f t="shared" si="23"/>
        <v>242.82999999999993</v>
      </c>
      <c r="K311" s="19">
        <f t="shared" si="24"/>
        <v>4.9484733563336901E-2</v>
      </c>
      <c r="L311" s="15" t="s">
        <v>231</v>
      </c>
      <c r="M311" s="15"/>
    </row>
    <row r="312" spans="1:13" x14ac:dyDescent="0.25">
      <c r="A312" s="16">
        <v>46008</v>
      </c>
      <c r="B312" s="17" t="s">
        <v>96</v>
      </c>
      <c r="C312" s="15">
        <v>1</v>
      </c>
      <c r="D312" s="23" t="s">
        <v>97</v>
      </c>
      <c r="E312" s="15">
        <v>5150</v>
      </c>
      <c r="F312" s="15">
        <v>4907.17</v>
      </c>
      <c r="G312" s="15">
        <f t="shared" si="20"/>
        <v>242.82999999999993</v>
      </c>
      <c r="H312" s="15">
        <f t="shared" si="21"/>
        <v>5150</v>
      </c>
      <c r="I312" s="15">
        <f t="shared" si="22"/>
        <v>4907.17</v>
      </c>
      <c r="J312" s="15">
        <f t="shared" si="23"/>
        <v>242.82999999999993</v>
      </c>
      <c r="K312" s="19">
        <f t="shared" si="24"/>
        <v>4.9484733563336901E-2</v>
      </c>
      <c r="L312" s="15" t="s">
        <v>231</v>
      </c>
      <c r="M312" s="15"/>
    </row>
    <row r="313" spans="1:13" x14ac:dyDescent="0.25">
      <c r="A313" s="16">
        <v>46009</v>
      </c>
      <c r="B313" s="17" t="s">
        <v>100</v>
      </c>
      <c r="C313" s="15">
        <v>1</v>
      </c>
      <c r="D313" s="32" t="s">
        <v>220</v>
      </c>
      <c r="E313" s="15">
        <v>1550</v>
      </c>
      <c r="F313" s="15">
        <v>1258.25</v>
      </c>
      <c r="G313" s="15">
        <f t="shared" si="20"/>
        <v>291.75</v>
      </c>
      <c r="H313" s="15">
        <f t="shared" si="21"/>
        <v>1550</v>
      </c>
      <c r="I313" s="15">
        <f t="shared" si="22"/>
        <v>1258.25</v>
      </c>
      <c r="J313" s="15">
        <f t="shared" si="23"/>
        <v>291.75</v>
      </c>
      <c r="K313" s="19">
        <f t="shared" si="24"/>
        <v>0.23186966024240016</v>
      </c>
      <c r="L313" s="15" t="s">
        <v>231</v>
      </c>
      <c r="M313" s="15"/>
    </row>
    <row r="314" spans="1:13" x14ac:dyDescent="0.25">
      <c r="A314" s="16">
        <v>46009</v>
      </c>
      <c r="B314" s="17" t="s">
        <v>100</v>
      </c>
      <c r="C314" s="15">
        <v>1</v>
      </c>
      <c r="D314" s="32" t="s">
        <v>221</v>
      </c>
      <c r="E314" s="15">
        <v>1550</v>
      </c>
      <c r="F314" s="15">
        <v>1258.25</v>
      </c>
      <c r="G314" s="15">
        <f t="shared" si="20"/>
        <v>291.75</v>
      </c>
      <c r="H314" s="15">
        <f t="shared" si="21"/>
        <v>1550</v>
      </c>
      <c r="I314" s="15">
        <f t="shared" si="22"/>
        <v>1258.25</v>
      </c>
      <c r="J314" s="15">
        <f t="shared" si="23"/>
        <v>291.75</v>
      </c>
      <c r="K314" s="19">
        <f t="shared" si="24"/>
        <v>0.23186966024240016</v>
      </c>
      <c r="L314" s="15" t="s">
        <v>231</v>
      </c>
      <c r="M314" s="15"/>
    </row>
    <row r="315" spans="1:13" x14ac:dyDescent="0.25">
      <c r="A315" s="16">
        <v>46016</v>
      </c>
      <c r="B315" s="17" t="s">
        <v>152</v>
      </c>
      <c r="C315" s="15">
        <v>1</v>
      </c>
      <c r="D315" s="22">
        <v>351737750706808</v>
      </c>
      <c r="E315" s="15">
        <v>1430</v>
      </c>
      <c r="F315" s="21">
        <v>1222.3</v>
      </c>
      <c r="G315" s="15">
        <f t="shared" si="20"/>
        <v>207.70000000000005</v>
      </c>
      <c r="H315" s="15">
        <f t="shared" si="21"/>
        <v>1430</v>
      </c>
      <c r="I315" s="15">
        <f t="shared" si="22"/>
        <v>1222.3</v>
      </c>
      <c r="J315" s="15">
        <f t="shared" si="23"/>
        <v>207.70000000000005</v>
      </c>
      <c r="K315" s="19">
        <f t="shared" si="24"/>
        <v>0.16992555019226055</v>
      </c>
      <c r="L315" s="15" t="s">
        <v>224</v>
      </c>
      <c r="M315" s="15"/>
    </row>
    <row r="316" spans="1:13" x14ac:dyDescent="0.25">
      <c r="A316" s="16">
        <v>46016</v>
      </c>
      <c r="B316" s="17" t="s">
        <v>152</v>
      </c>
      <c r="C316" s="15">
        <v>1</v>
      </c>
      <c r="D316" s="22">
        <v>351737750735823</v>
      </c>
      <c r="E316" s="15">
        <v>1430</v>
      </c>
      <c r="F316" s="21">
        <v>1222.3</v>
      </c>
      <c r="G316" s="15">
        <f t="shared" si="20"/>
        <v>207.70000000000005</v>
      </c>
      <c r="H316" s="15">
        <f t="shared" si="21"/>
        <v>1430</v>
      </c>
      <c r="I316" s="15">
        <f t="shared" si="22"/>
        <v>1222.3</v>
      </c>
      <c r="J316" s="15">
        <f t="shared" si="23"/>
        <v>207.70000000000005</v>
      </c>
      <c r="K316" s="19">
        <f t="shared" si="24"/>
        <v>0.16992555019226055</v>
      </c>
      <c r="L316" s="15" t="s">
        <v>224</v>
      </c>
      <c r="M316" s="15"/>
    </row>
    <row r="317" spans="1:13" x14ac:dyDescent="0.25">
      <c r="A317" s="16">
        <v>46016</v>
      </c>
      <c r="B317" s="17" t="s">
        <v>152</v>
      </c>
      <c r="C317" s="15">
        <v>1</v>
      </c>
      <c r="D317" s="22">
        <v>358086871044738</v>
      </c>
      <c r="E317" s="15">
        <v>1400</v>
      </c>
      <c r="F317" s="21">
        <v>1222.3</v>
      </c>
      <c r="G317" s="15">
        <f t="shared" si="20"/>
        <v>177.70000000000005</v>
      </c>
      <c r="H317" s="15">
        <f t="shared" si="21"/>
        <v>1400</v>
      </c>
      <c r="I317" s="15">
        <f t="shared" si="22"/>
        <v>1222.3</v>
      </c>
      <c r="J317" s="15">
        <f t="shared" si="23"/>
        <v>177.70000000000005</v>
      </c>
      <c r="K317" s="19">
        <f t="shared" si="24"/>
        <v>0.14538165753088444</v>
      </c>
      <c r="L317" s="15" t="s">
        <v>224</v>
      </c>
      <c r="M317" s="15"/>
    </row>
    <row r="318" spans="1:13" x14ac:dyDescent="0.25">
      <c r="A318" s="16">
        <v>46016</v>
      </c>
      <c r="B318" s="17" t="s">
        <v>152</v>
      </c>
      <c r="C318" s="15">
        <v>1</v>
      </c>
      <c r="D318" s="22">
        <v>357324130096202</v>
      </c>
      <c r="E318" s="15">
        <v>1400</v>
      </c>
      <c r="F318" s="21">
        <v>1222.3</v>
      </c>
      <c r="G318" s="15">
        <f t="shared" si="20"/>
        <v>177.70000000000005</v>
      </c>
      <c r="H318" s="15">
        <f t="shared" si="21"/>
        <v>1400</v>
      </c>
      <c r="I318" s="15">
        <f t="shared" si="22"/>
        <v>1222.3</v>
      </c>
      <c r="J318" s="15">
        <f t="shared" si="23"/>
        <v>177.70000000000005</v>
      </c>
      <c r="K318" s="19">
        <f t="shared" si="24"/>
        <v>0.14538165753088444</v>
      </c>
      <c r="L318" s="15" t="s">
        <v>224</v>
      </c>
      <c r="M318" s="15"/>
    </row>
    <row r="319" spans="1:13" x14ac:dyDescent="0.25">
      <c r="A319" s="16">
        <v>46016</v>
      </c>
      <c r="B319" s="17" t="s">
        <v>81</v>
      </c>
      <c r="C319" s="15">
        <v>1</v>
      </c>
      <c r="D319" s="23">
        <v>356768326388206</v>
      </c>
      <c r="E319" s="15">
        <v>2460</v>
      </c>
      <c r="F319" s="15">
        <v>2300.8000000000002</v>
      </c>
      <c r="G319" s="15">
        <f t="shared" si="20"/>
        <v>159.19999999999982</v>
      </c>
      <c r="H319" s="15">
        <f t="shared" si="21"/>
        <v>2460</v>
      </c>
      <c r="I319" s="15">
        <f t="shared" si="22"/>
        <v>2300.8000000000002</v>
      </c>
      <c r="J319" s="15">
        <f t="shared" si="23"/>
        <v>159.19999999999982</v>
      </c>
      <c r="K319" s="19">
        <f t="shared" si="24"/>
        <v>6.9193324061196021E-2</v>
      </c>
      <c r="L319" s="15" t="s">
        <v>224</v>
      </c>
      <c r="M319" s="15"/>
    </row>
    <row r="320" spans="1:13" x14ac:dyDescent="0.25">
      <c r="A320" s="16">
        <v>46015</v>
      </c>
      <c r="B320" s="17" t="s">
        <v>26</v>
      </c>
      <c r="C320" s="15">
        <v>1</v>
      </c>
      <c r="D320" s="23" t="s">
        <v>135</v>
      </c>
      <c r="E320" s="15">
        <v>1140</v>
      </c>
      <c r="F320" s="15">
        <v>1024.57</v>
      </c>
      <c r="G320" s="15">
        <f t="shared" si="20"/>
        <v>115.43000000000006</v>
      </c>
      <c r="H320" s="15">
        <f t="shared" si="21"/>
        <v>1140</v>
      </c>
      <c r="I320" s="15">
        <f t="shared" si="22"/>
        <v>1024.57</v>
      </c>
      <c r="J320" s="15">
        <f t="shared" si="23"/>
        <v>115.43000000000006</v>
      </c>
      <c r="K320" s="19">
        <f t="shared" si="24"/>
        <v>0.11266189718613669</v>
      </c>
      <c r="L320" s="15" t="s">
        <v>224</v>
      </c>
      <c r="M320" s="15"/>
    </row>
    <row r="321" spans="1:13" x14ac:dyDescent="0.25">
      <c r="A321" s="16">
        <v>46016</v>
      </c>
      <c r="B321" s="24" t="s">
        <v>26</v>
      </c>
      <c r="C321" s="15">
        <v>1</v>
      </c>
      <c r="D321" s="22" t="s">
        <v>143</v>
      </c>
      <c r="E321" s="15">
        <v>1120</v>
      </c>
      <c r="F321" s="15">
        <v>1024.57</v>
      </c>
      <c r="G321" s="15">
        <f t="shared" si="20"/>
        <v>95.430000000000064</v>
      </c>
      <c r="H321" s="15">
        <f t="shared" si="21"/>
        <v>1120</v>
      </c>
      <c r="I321" s="15">
        <f t="shared" si="22"/>
        <v>1024.57</v>
      </c>
      <c r="J321" s="15">
        <f t="shared" si="23"/>
        <v>95.430000000000064</v>
      </c>
      <c r="K321" s="19">
        <f t="shared" si="24"/>
        <v>9.3141513024976405E-2</v>
      </c>
      <c r="L321" s="15" t="s">
        <v>224</v>
      </c>
      <c r="M321" s="15"/>
    </row>
    <row r="322" spans="1:13" x14ac:dyDescent="0.25">
      <c r="A322" s="16">
        <v>46016</v>
      </c>
      <c r="B322" s="24" t="s">
        <v>26</v>
      </c>
      <c r="C322" s="15">
        <v>1</v>
      </c>
      <c r="D322" s="22" t="s">
        <v>144</v>
      </c>
      <c r="E322" s="15">
        <v>1120</v>
      </c>
      <c r="F322" s="15">
        <v>1024.57</v>
      </c>
      <c r="G322" s="15">
        <f t="shared" ref="G322:G385" si="25">E322-F322</f>
        <v>95.430000000000064</v>
      </c>
      <c r="H322" s="15">
        <f t="shared" ref="H322:H385" si="26">E322*C322</f>
        <v>1120</v>
      </c>
      <c r="I322" s="15">
        <f t="shared" ref="I322:I385" si="27">F322*C322</f>
        <v>1024.57</v>
      </c>
      <c r="J322" s="15">
        <f t="shared" ref="J322:J385" si="28">H322-I322</f>
        <v>95.430000000000064</v>
      </c>
      <c r="K322" s="19">
        <f t="shared" ref="K322:K385" si="29">(E322-F322)/F322</f>
        <v>9.3141513024976405E-2</v>
      </c>
      <c r="L322" s="15" t="s">
        <v>224</v>
      </c>
      <c r="M322" s="15"/>
    </row>
    <row r="323" spans="1:13" x14ac:dyDescent="0.25">
      <c r="A323" s="16">
        <v>46016</v>
      </c>
      <c r="B323" s="24" t="s">
        <v>26</v>
      </c>
      <c r="C323" s="15">
        <v>1</v>
      </c>
      <c r="D323" s="22" t="s">
        <v>146</v>
      </c>
      <c r="E323" s="15">
        <v>1120</v>
      </c>
      <c r="F323" s="15">
        <v>1024.57</v>
      </c>
      <c r="G323" s="15">
        <f t="shared" si="25"/>
        <v>95.430000000000064</v>
      </c>
      <c r="H323" s="15">
        <f t="shared" si="26"/>
        <v>1120</v>
      </c>
      <c r="I323" s="15">
        <f t="shared" si="27"/>
        <v>1024.57</v>
      </c>
      <c r="J323" s="15">
        <f t="shared" si="28"/>
        <v>95.430000000000064</v>
      </c>
      <c r="K323" s="19">
        <f t="shared" si="29"/>
        <v>9.3141513024976405E-2</v>
      </c>
      <c r="L323" s="15" t="s">
        <v>224</v>
      </c>
      <c r="M323" s="15"/>
    </row>
    <row r="324" spans="1:13" x14ac:dyDescent="0.25">
      <c r="A324" s="16">
        <v>46016</v>
      </c>
      <c r="B324" s="24" t="s">
        <v>26</v>
      </c>
      <c r="C324" s="15">
        <v>1</v>
      </c>
      <c r="D324" s="22" t="s">
        <v>147</v>
      </c>
      <c r="E324" s="15">
        <v>1120</v>
      </c>
      <c r="F324" s="15">
        <v>1024.57</v>
      </c>
      <c r="G324" s="15">
        <f t="shared" si="25"/>
        <v>95.430000000000064</v>
      </c>
      <c r="H324" s="15">
        <f t="shared" si="26"/>
        <v>1120</v>
      </c>
      <c r="I324" s="15">
        <f t="shared" si="27"/>
        <v>1024.57</v>
      </c>
      <c r="J324" s="15">
        <f t="shared" si="28"/>
        <v>95.430000000000064</v>
      </c>
      <c r="K324" s="19">
        <f t="shared" si="29"/>
        <v>9.3141513024976405E-2</v>
      </c>
      <c r="L324" s="15" t="s">
        <v>224</v>
      </c>
      <c r="M324" s="15"/>
    </row>
    <row r="325" spans="1:13" x14ac:dyDescent="0.25">
      <c r="A325" s="16">
        <v>46015</v>
      </c>
      <c r="B325" s="17" t="s">
        <v>111</v>
      </c>
      <c r="C325" s="15">
        <v>1</v>
      </c>
      <c r="D325" s="23">
        <v>351159020501473</v>
      </c>
      <c r="E325" s="15">
        <v>1340</v>
      </c>
      <c r="F325" s="15">
        <v>1222.3</v>
      </c>
      <c r="G325" s="15">
        <f t="shared" si="25"/>
        <v>117.70000000000005</v>
      </c>
      <c r="H325" s="15">
        <f t="shared" si="26"/>
        <v>1340</v>
      </c>
      <c r="I325" s="15">
        <f t="shared" si="27"/>
        <v>1222.3</v>
      </c>
      <c r="J325" s="15">
        <f t="shared" si="28"/>
        <v>117.70000000000005</v>
      </c>
      <c r="K325" s="19">
        <f t="shared" si="29"/>
        <v>9.629387220813225E-2</v>
      </c>
      <c r="L325" s="15" t="s">
        <v>224</v>
      </c>
      <c r="M325" s="15"/>
    </row>
    <row r="326" spans="1:13" x14ac:dyDescent="0.25">
      <c r="A326" s="16">
        <v>46016</v>
      </c>
      <c r="B326" s="24" t="s">
        <v>111</v>
      </c>
      <c r="C326" s="15">
        <v>1</v>
      </c>
      <c r="D326" s="22">
        <v>351159277520127</v>
      </c>
      <c r="E326" s="15">
        <v>1340</v>
      </c>
      <c r="F326" s="15">
        <v>1222.3</v>
      </c>
      <c r="G326" s="15">
        <f t="shared" si="25"/>
        <v>117.70000000000005</v>
      </c>
      <c r="H326" s="15">
        <f t="shared" si="26"/>
        <v>1340</v>
      </c>
      <c r="I326" s="15">
        <f t="shared" si="27"/>
        <v>1222.3</v>
      </c>
      <c r="J326" s="15">
        <f t="shared" si="28"/>
        <v>117.70000000000005</v>
      </c>
      <c r="K326" s="19">
        <f t="shared" si="29"/>
        <v>9.629387220813225E-2</v>
      </c>
      <c r="L326" s="15" t="s">
        <v>224</v>
      </c>
      <c r="M326" s="15"/>
    </row>
    <row r="327" spans="1:13" x14ac:dyDescent="0.25">
      <c r="A327" s="16">
        <v>46016</v>
      </c>
      <c r="B327" s="24" t="s">
        <v>111</v>
      </c>
      <c r="C327" s="15">
        <v>1</v>
      </c>
      <c r="D327" s="22">
        <v>356196188900894</v>
      </c>
      <c r="E327" s="15">
        <v>1340</v>
      </c>
      <c r="F327" s="15">
        <v>1222.3</v>
      </c>
      <c r="G327" s="15">
        <f t="shared" si="25"/>
        <v>117.70000000000005</v>
      </c>
      <c r="H327" s="15">
        <f t="shared" si="26"/>
        <v>1340</v>
      </c>
      <c r="I327" s="15">
        <f t="shared" si="27"/>
        <v>1222.3</v>
      </c>
      <c r="J327" s="15">
        <f t="shared" si="28"/>
        <v>117.70000000000005</v>
      </c>
      <c r="K327" s="19">
        <f t="shared" si="29"/>
        <v>9.629387220813225E-2</v>
      </c>
      <c r="L327" s="15" t="s">
        <v>224</v>
      </c>
      <c r="M327" s="15"/>
    </row>
    <row r="328" spans="1:13" x14ac:dyDescent="0.25">
      <c r="A328" s="16">
        <v>46016</v>
      </c>
      <c r="B328" s="24" t="s">
        <v>111</v>
      </c>
      <c r="C328" s="15">
        <v>1</v>
      </c>
      <c r="D328" s="22">
        <v>351159278800882</v>
      </c>
      <c r="E328" s="15">
        <v>1340</v>
      </c>
      <c r="F328" s="15">
        <v>1222.3</v>
      </c>
      <c r="G328" s="15">
        <f t="shared" si="25"/>
        <v>117.70000000000005</v>
      </c>
      <c r="H328" s="15">
        <f t="shared" si="26"/>
        <v>1340</v>
      </c>
      <c r="I328" s="15">
        <f t="shared" si="27"/>
        <v>1222.3</v>
      </c>
      <c r="J328" s="15">
        <f t="shared" si="28"/>
        <v>117.70000000000005</v>
      </c>
      <c r="K328" s="19">
        <f t="shared" si="29"/>
        <v>9.629387220813225E-2</v>
      </c>
      <c r="L328" s="15" t="s">
        <v>224</v>
      </c>
      <c r="M328" s="15"/>
    </row>
    <row r="329" spans="1:13" x14ac:dyDescent="0.25">
      <c r="A329" s="16">
        <v>46016</v>
      </c>
      <c r="B329" s="24" t="s">
        <v>111</v>
      </c>
      <c r="C329" s="15">
        <v>1</v>
      </c>
      <c r="D329" s="22">
        <v>351159278789325</v>
      </c>
      <c r="E329" s="15">
        <v>1340</v>
      </c>
      <c r="F329" s="15">
        <v>1222.3</v>
      </c>
      <c r="G329" s="15">
        <f t="shared" si="25"/>
        <v>117.70000000000005</v>
      </c>
      <c r="H329" s="15">
        <f t="shared" si="26"/>
        <v>1340</v>
      </c>
      <c r="I329" s="15">
        <f t="shared" si="27"/>
        <v>1222.3</v>
      </c>
      <c r="J329" s="15">
        <f t="shared" si="28"/>
        <v>117.70000000000005</v>
      </c>
      <c r="K329" s="19">
        <f t="shared" si="29"/>
        <v>9.629387220813225E-2</v>
      </c>
      <c r="L329" s="15" t="s">
        <v>224</v>
      </c>
      <c r="M329" s="15"/>
    </row>
    <row r="330" spans="1:13" x14ac:dyDescent="0.25">
      <c r="A330" s="16">
        <v>46016</v>
      </c>
      <c r="B330" s="24" t="s">
        <v>111</v>
      </c>
      <c r="C330" s="15">
        <v>1</v>
      </c>
      <c r="D330" s="22">
        <v>350094260422786</v>
      </c>
      <c r="E330" s="15">
        <v>1340</v>
      </c>
      <c r="F330" s="15">
        <v>1222.3</v>
      </c>
      <c r="G330" s="15">
        <f t="shared" si="25"/>
        <v>117.70000000000005</v>
      </c>
      <c r="H330" s="15">
        <f t="shared" si="26"/>
        <v>1340</v>
      </c>
      <c r="I330" s="15">
        <f t="shared" si="27"/>
        <v>1222.3</v>
      </c>
      <c r="J330" s="15">
        <f t="shared" si="28"/>
        <v>117.70000000000005</v>
      </c>
      <c r="K330" s="19">
        <f t="shared" si="29"/>
        <v>9.629387220813225E-2</v>
      </c>
      <c r="L330" s="15" t="s">
        <v>224</v>
      </c>
      <c r="M330" s="15"/>
    </row>
    <row r="331" spans="1:13" x14ac:dyDescent="0.25">
      <c r="A331" s="16">
        <v>46016</v>
      </c>
      <c r="B331" s="24" t="s">
        <v>111</v>
      </c>
      <c r="C331" s="15">
        <v>1</v>
      </c>
      <c r="D331" s="22">
        <v>350094260189484</v>
      </c>
      <c r="E331" s="15">
        <v>1340</v>
      </c>
      <c r="F331" s="15">
        <v>1222.3</v>
      </c>
      <c r="G331" s="15">
        <f t="shared" si="25"/>
        <v>117.70000000000005</v>
      </c>
      <c r="H331" s="15">
        <f t="shared" si="26"/>
        <v>1340</v>
      </c>
      <c r="I331" s="15">
        <f t="shared" si="27"/>
        <v>1222.3</v>
      </c>
      <c r="J331" s="15">
        <f t="shared" si="28"/>
        <v>117.70000000000005</v>
      </c>
      <c r="K331" s="19">
        <f t="shared" si="29"/>
        <v>9.629387220813225E-2</v>
      </c>
      <c r="L331" s="15" t="s">
        <v>224</v>
      </c>
      <c r="M331" s="15"/>
    </row>
    <row r="332" spans="1:13" x14ac:dyDescent="0.25">
      <c r="A332" s="16">
        <v>46016</v>
      </c>
      <c r="B332" s="17" t="s">
        <v>111</v>
      </c>
      <c r="C332" s="15">
        <v>1</v>
      </c>
      <c r="D332" s="23">
        <v>352302618532836</v>
      </c>
      <c r="E332" s="15">
        <v>1070</v>
      </c>
      <c r="F332" s="15">
        <v>1033.56</v>
      </c>
      <c r="G332" s="15">
        <f t="shared" si="25"/>
        <v>36.440000000000055</v>
      </c>
      <c r="H332" s="15">
        <f t="shared" si="26"/>
        <v>1070</v>
      </c>
      <c r="I332" s="15">
        <f t="shared" si="27"/>
        <v>1033.56</v>
      </c>
      <c r="J332" s="15">
        <f t="shared" si="28"/>
        <v>36.440000000000055</v>
      </c>
      <c r="K332" s="19">
        <f t="shared" si="29"/>
        <v>3.5256782383219221E-2</v>
      </c>
      <c r="L332" s="15" t="s">
        <v>224</v>
      </c>
      <c r="M332" s="15"/>
    </row>
    <row r="333" spans="1:13" x14ac:dyDescent="0.25">
      <c r="A333" s="10">
        <v>46016</v>
      </c>
      <c r="B333" s="26" t="s">
        <v>150</v>
      </c>
      <c r="C333" s="12">
        <v>1</v>
      </c>
      <c r="D333" s="31" t="s">
        <v>151</v>
      </c>
      <c r="E333" s="12">
        <v>1730</v>
      </c>
      <c r="F333" s="12">
        <v>1869.4</v>
      </c>
      <c r="G333" s="12">
        <f t="shared" si="25"/>
        <v>-139.40000000000009</v>
      </c>
      <c r="H333" s="12">
        <f t="shared" si="26"/>
        <v>1730</v>
      </c>
      <c r="I333" s="12">
        <f t="shared" si="27"/>
        <v>1869.4</v>
      </c>
      <c r="J333" s="12">
        <f t="shared" si="28"/>
        <v>-139.40000000000009</v>
      </c>
      <c r="K333" s="14">
        <f t="shared" si="29"/>
        <v>-7.4569380549909109E-2</v>
      </c>
      <c r="L333" s="12" t="s">
        <v>224</v>
      </c>
      <c r="M333" s="15"/>
    </row>
    <row r="334" spans="1:13" x14ac:dyDescent="0.25">
      <c r="A334" s="16">
        <v>46016</v>
      </c>
      <c r="B334" s="17" t="s">
        <v>182</v>
      </c>
      <c r="C334" s="15">
        <v>1</v>
      </c>
      <c r="D334" s="23">
        <v>355031538786472</v>
      </c>
      <c r="E334" s="15">
        <v>2900</v>
      </c>
      <c r="F334" s="15">
        <v>2588.4</v>
      </c>
      <c r="G334" s="15">
        <f t="shared" si="25"/>
        <v>311.59999999999991</v>
      </c>
      <c r="H334" s="15">
        <f t="shared" si="26"/>
        <v>2900</v>
      </c>
      <c r="I334" s="15">
        <f t="shared" si="27"/>
        <v>2588.4</v>
      </c>
      <c r="J334" s="15">
        <f t="shared" si="28"/>
        <v>311.59999999999991</v>
      </c>
      <c r="K334" s="19">
        <f t="shared" si="29"/>
        <v>0.12038324833874205</v>
      </c>
      <c r="L334" s="15" t="s">
        <v>224</v>
      </c>
      <c r="M334" s="15"/>
    </row>
    <row r="335" spans="1:13" x14ac:dyDescent="0.25">
      <c r="A335" s="16">
        <v>46016</v>
      </c>
      <c r="B335" s="17" t="s">
        <v>181</v>
      </c>
      <c r="C335" s="15">
        <v>1</v>
      </c>
      <c r="D335" s="22">
        <v>355500351043112</v>
      </c>
      <c r="E335" s="15">
        <v>4450</v>
      </c>
      <c r="F335" s="15">
        <v>3451.2</v>
      </c>
      <c r="G335" s="15">
        <f t="shared" si="25"/>
        <v>998.80000000000018</v>
      </c>
      <c r="H335" s="15">
        <f t="shared" si="26"/>
        <v>4450</v>
      </c>
      <c r="I335" s="15">
        <f t="shared" si="27"/>
        <v>3451.2</v>
      </c>
      <c r="J335" s="15">
        <f t="shared" si="28"/>
        <v>998.80000000000018</v>
      </c>
      <c r="K335" s="19">
        <f t="shared" si="29"/>
        <v>0.28940658321743168</v>
      </c>
      <c r="L335" s="15" t="s">
        <v>224</v>
      </c>
      <c r="M335" s="15"/>
    </row>
    <row r="336" spans="1:13" x14ac:dyDescent="0.25">
      <c r="A336" s="16">
        <v>46016</v>
      </c>
      <c r="B336" s="17" t="s">
        <v>181</v>
      </c>
      <c r="C336" s="15">
        <v>1</v>
      </c>
      <c r="D336" s="22">
        <v>359572765265728</v>
      </c>
      <c r="E336" s="15">
        <v>4300</v>
      </c>
      <c r="F336" s="15">
        <v>3451.2</v>
      </c>
      <c r="G336" s="15">
        <f t="shared" si="25"/>
        <v>848.80000000000018</v>
      </c>
      <c r="H336" s="15">
        <f t="shared" si="26"/>
        <v>4300</v>
      </c>
      <c r="I336" s="15">
        <f t="shared" si="27"/>
        <v>3451.2</v>
      </c>
      <c r="J336" s="15">
        <f t="shared" si="28"/>
        <v>848.80000000000018</v>
      </c>
      <c r="K336" s="19">
        <f t="shared" si="29"/>
        <v>0.24594343996291151</v>
      </c>
      <c r="L336" s="15" t="s">
        <v>224</v>
      </c>
      <c r="M336" s="15"/>
    </row>
    <row r="337" spans="1:13" x14ac:dyDescent="0.25">
      <c r="A337" s="10">
        <v>46016</v>
      </c>
      <c r="B337" s="26" t="s">
        <v>181</v>
      </c>
      <c r="C337" s="12">
        <v>1</v>
      </c>
      <c r="D337" s="27">
        <v>352190321797592</v>
      </c>
      <c r="E337" s="12">
        <v>4300</v>
      </c>
      <c r="F337" s="12">
        <v>4314</v>
      </c>
      <c r="G337" s="12">
        <f t="shared" si="25"/>
        <v>-14</v>
      </c>
      <c r="H337" s="12">
        <f t="shared" si="26"/>
        <v>4300</v>
      </c>
      <c r="I337" s="12">
        <f t="shared" si="27"/>
        <v>4314</v>
      </c>
      <c r="J337" s="12">
        <f t="shared" si="28"/>
        <v>-14</v>
      </c>
      <c r="K337" s="14">
        <f t="shared" si="29"/>
        <v>-3.2452480296708392E-3</v>
      </c>
      <c r="L337" s="12" t="s">
        <v>224</v>
      </c>
      <c r="M337" s="15"/>
    </row>
    <row r="338" spans="1:13" x14ac:dyDescent="0.25">
      <c r="A338" s="16">
        <v>46016</v>
      </c>
      <c r="B338" s="24" t="s">
        <v>178</v>
      </c>
      <c r="C338" s="15">
        <v>1</v>
      </c>
      <c r="D338" s="22">
        <v>357063600359415</v>
      </c>
      <c r="E338" s="15">
        <v>4300</v>
      </c>
      <c r="F338" s="15">
        <v>3756.77</v>
      </c>
      <c r="G338" s="15">
        <f t="shared" si="25"/>
        <v>543.23</v>
      </c>
      <c r="H338" s="15">
        <f t="shared" si="26"/>
        <v>4300</v>
      </c>
      <c r="I338" s="15">
        <f t="shared" si="27"/>
        <v>3756.77</v>
      </c>
      <c r="J338" s="15">
        <f t="shared" si="28"/>
        <v>543.23</v>
      </c>
      <c r="K338" s="19">
        <f t="shared" si="29"/>
        <v>0.14460028162490651</v>
      </c>
      <c r="L338" s="15" t="s">
        <v>224</v>
      </c>
      <c r="M338" s="15"/>
    </row>
    <row r="339" spans="1:13" x14ac:dyDescent="0.25">
      <c r="A339" s="16">
        <v>46016</v>
      </c>
      <c r="B339" s="24" t="s">
        <v>178</v>
      </c>
      <c r="C339" s="15">
        <v>1</v>
      </c>
      <c r="D339" s="22">
        <v>356364249463894</v>
      </c>
      <c r="E339" s="15">
        <v>4300</v>
      </c>
      <c r="F339" s="15">
        <v>4026.4</v>
      </c>
      <c r="G339" s="15">
        <f t="shared" si="25"/>
        <v>273.59999999999991</v>
      </c>
      <c r="H339" s="15">
        <f t="shared" si="26"/>
        <v>4300</v>
      </c>
      <c r="I339" s="15">
        <f t="shared" si="27"/>
        <v>4026.4</v>
      </c>
      <c r="J339" s="15">
        <f t="shared" si="28"/>
        <v>273.59999999999991</v>
      </c>
      <c r="K339" s="19">
        <f t="shared" si="29"/>
        <v>6.7951519968209792E-2</v>
      </c>
      <c r="L339" s="15" t="s">
        <v>224</v>
      </c>
      <c r="M339" s="15"/>
    </row>
    <row r="340" spans="1:13" x14ac:dyDescent="0.25">
      <c r="A340" s="16">
        <v>46016</v>
      </c>
      <c r="B340" s="24" t="s">
        <v>178</v>
      </c>
      <c r="C340" s="15">
        <v>1</v>
      </c>
      <c r="D340" s="22">
        <v>356605223751146</v>
      </c>
      <c r="E340" s="15">
        <v>4200</v>
      </c>
      <c r="F340" s="15">
        <v>3756.77</v>
      </c>
      <c r="G340" s="15">
        <f t="shared" si="25"/>
        <v>443.23</v>
      </c>
      <c r="H340" s="15">
        <f t="shared" si="26"/>
        <v>4200</v>
      </c>
      <c r="I340" s="15">
        <f t="shared" si="27"/>
        <v>3756.77</v>
      </c>
      <c r="J340" s="15">
        <f t="shared" si="28"/>
        <v>443.23</v>
      </c>
      <c r="K340" s="19">
        <f t="shared" si="29"/>
        <v>0.11798167042432729</v>
      </c>
      <c r="L340" s="15" t="s">
        <v>224</v>
      </c>
      <c r="M340" s="15"/>
    </row>
    <row r="341" spans="1:13" x14ac:dyDescent="0.25">
      <c r="A341" s="16">
        <v>46016</v>
      </c>
      <c r="B341" s="24" t="s">
        <v>178</v>
      </c>
      <c r="C341" s="15">
        <v>1</v>
      </c>
      <c r="D341" s="22">
        <v>356605223694601</v>
      </c>
      <c r="E341" s="15">
        <v>4200</v>
      </c>
      <c r="F341" s="15">
        <v>3756.77</v>
      </c>
      <c r="G341" s="15">
        <f t="shared" si="25"/>
        <v>443.23</v>
      </c>
      <c r="H341" s="15">
        <f t="shared" si="26"/>
        <v>4200</v>
      </c>
      <c r="I341" s="15">
        <f t="shared" si="27"/>
        <v>3756.77</v>
      </c>
      <c r="J341" s="15">
        <f t="shared" si="28"/>
        <v>443.23</v>
      </c>
      <c r="K341" s="19">
        <f t="shared" si="29"/>
        <v>0.11798167042432729</v>
      </c>
      <c r="L341" s="15" t="s">
        <v>224</v>
      </c>
      <c r="M341" s="15"/>
    </row>
    <row r="342" spans="1:13" x14ac:dyDescent="0.25">
      <c r="A342" s="16">
        <v>46016</v>
      </c>
      <c r="B342" s="24" t="s">
        <v>178</v>
      </c>
      <c r="C342" s="15">
        <v>1</v>
      </c>
      <c r="D342" s="22">
        <v>350889864416468</v>
      </c>
      <c r="E342" s="15">
        <v>4300</v>
      </c>
      <c r="F342" s="15">
        <v>3756.77</v>
      </c>
      <c r="G342" s="15">
        <f t="shared" si="25"/>
        <v>543.23</v>
      </c>
      <c r="H342" s="15">
        <f t="shared" si="26"/>
        <v>4300</v>
      </c>
      <c r="I342" s="15">
        <f t="shared" si="27"/>
        <v>3756.77</v>
      </c>
      <c r="J342" s="15">
        <f t="shared" si="28"/>
        <v>543.23</v>
      </c>
      <c r="K342" s="19">
        <f t="shared" si="29"/>
        <v>0.14460028162490651</v>
      </c>
      <c r="L342" s="15" t="s">
        <v>224</v>
      </c>
      <c r="M342" s="15"/>
    </row>
    <row r="343" spans="1:13" x14ac:dyDescent="0.25">
      <c r="A343" s="16">
        <v>46016</v>
      </c>
      <c r="B343" s="24" t="s">
        <v>178</v>
      </c>
      <c r="C343" s="15">
        <v>1</v>
      </c>
      <c r="D343" s="22">
        <v>356605220743344</v>
      </c>
      <c r="E343" s="15">
        <v>4300</v>
      </c>
      <c r="F343" s="15">
        <v>3756.77</v>
      </c>
      <c r="G343" s="15">
        <f t="shared" si="25"/>
        <v>543.23</v>
      </c>
      <c r="H343" s="15">
        <f t="shared" si="26"/>
        <v>4300</v>
      </c>
      <c r="I343" s="15">
        <f t="shared" si="27"/>
        <v>3756.77</v>
      </c>
      <c r="J343" s="15">
        <f t="shared" si="28"/>
        <v>543.23</v>
      </c>
      <c r="K343" s="19">
        <f t="shared" si="29"/>
        <v>0.14460028162490651</v>
      </c>
      <c r="L343" s="15" t="s">
        <v>224</v>
      </c>
      <c r="M343" s="15"/>
    </row>
    <row r="344" spans="1:13" x14ac:dyDescent="0.25">
      <c r="A344" s="16">
        <v>46016</v>
      </c>
      <c r="B344" s="24" t="s">
        <v>178</v>
      </c>
      <c r="C344" s="15">
        <v>1</v>
      </c>
      <c r="D344" s="22">
        <v>356605220860395</v>
      </c>
      <c r="E344" s="15">
        <v>4200</v>
      </c>
      <c r="F344" s="15">
        <v>3756.77</v>
      </c>
      <c r="G344" s="15">
        <f t="shared" si="25"/>
        <v>443.23</v>
      </c>
      <c r="H344" s="15">
        <f t="shared" si="26"/>
        <v>4200</v>
      </c>
      <c r="I344" s="15">
        <f t="shared" si="27"/>
        <v>3756.77</v>
      </c>
      <c r="J344" s="15">
        <f t="shared" si="28"/>
        <v>443.23</v>
      </c>
      <c r="K344" s="19">
        <f t="shared" si="29"/>
        <v>0.11798167042432729</v>
      </c>
      <c r="L344" s="15" t="s">
        <v>224</v>
      </c>
      <c r="M344" s="15"/>
    </row>
    <row r="345" spans="1:13" x14ac:dyDescent="0.25">
      <c r="A345" s="16">
        <v>46016</v>
      </c>
      <c r="B345" s="24" t="s">
        <v>178</v>
      </c>
      <c r="C345" s="15">
        <v>1</v>
      </c>
      <c r="D345" s="22">
        <v>359802891369346</v>
      </c>
      <c r="E345" s="15">
        <v>4200</v>
      </c>
      <c r="F345" s="15">
        <v>3756.77</v>
      </c>
      <c r="G345" s="15">
        <f t="shared" si="25"/>
        <v>443.23</v>
      </c>
      <c r="H345" s="15">
        <f t="shared" si="26"/>
        <v>4200</v>
      </c>
      <c r="I345" s="15">
        <f t="shared" si="27"/>
        <v>3756.77</v>
      </c>
      <c r="J345" s="15">
        <f t="shared" si="28"/>
        <v>443.23</v>
      </c>
      <c r="K345" s="19">
        <f t="shared" si="29"/>
        <v>0.11798167042432729</v>
      </c>
      <c r="L345" s="15" t="s">
        <v>224</v>
      </c>
      <c r="M345" s="15"/>
    </row>
    <row r="346" spans="1:13" x14ac:dyDescent="0.25">
      <c r="A346" s="16">
        <v>46016</v>
      </c>
      <c r="B346" s="24" t="s">
        <v>178</v>
      </c>
      <c r="C346" s="15">
        <v>1</v>
      </c>
      <c r="D346" s="22">
        <v>356605220593343</v>
      </c>
      <c r="E346" s="15">
        <v>4200</v>
      </c>
      <c r="F346" s="15">
        <v>3756.77</v>
      </c>
      <c r="G346" s="15">
        <f t="shared" si="25"/>
        <v>443.23</v>
      </c>
      <c r="H346" s="15">
        <f t="shared" si="26"/>
        <v>4200</v>
      </c>
      <c r="I346" s="15">
        <f t="shared" si="27"/>
        <v>3756.77</v>
      </c>
      <c r="J346" s="15">
        <f t="shared" si="28"/>
        <v>443.23</v>
      </c>
      <c r="K346" s="19">
        <f t="shared" si="29"/>
        <v>0.11798167042432729</v>
      </c>
      <c r="L346" s="15" t="s">
        <v>224</v>
      </c>
      <c r="M346" s="15"/>
    </row>
    <row r="347" spans="1:13" x14ac:dyDescent="0.25">
      <c r="A347" s="16">
        <v>46016</v>
      </c>
      <c r="B347" s="24" t="s">
        <v>178</v>
      </c>
      <c r="C347" s="15">
        <v>1</v>
      </c>
      <c r="D347" s="22">
        <v>350889862035831</v>
      </c>
      <c r="E347" s="15">
        <v>4200</v>
      </c>
      <c r="F347" s="15">
        <v>4026.4</v>
      </c>
      <c r="G347" s="15">
        <f t="shared" si="25"/>
        <v>173.59999999999991</v>
      </c>
      <c r="H347" s="15">
        <f t="shared" si="26"/>
        <v>4200</v>
      </c>
      <c r="I347" s="15">
        <f t="shared" si="27"/>
        <v>4026.4</v>
      </c>
      <c r="J347" s="15">
        <f t="shared" si="28"/>
        <v>173.59999999999991</v>
      </c>
      <c r="K347" s="19">
        <f t="shared" si="29"/>
        <v>4.3115438108483985E-2</v>
      </c>
      <c r="L347" s="15" t="s">
        <v>224</v>
      </c>
      <c r="M347" s="15"/>
    </row>
    <row r="348" spans="1:13" x14ac:dyDescent="0.25">
      <c r="A348" s="16">
        <v>46017</v>
      </c>
      <c r="B348" s="24" t="s">
        <v>178</v>
      </c>
      <c r="C348" s="15">
        <v>1</v>
      </c>
      <c r="D348" s="22">
        <v>359614544313369</v>
      </c>
      <c r="E348" s="15">
        <v>3244</v>
      </c>
      <c r="F348" s="15">
        <v>3145.62</v>
      </c>
      <c r="G348" s="15">
        <f t="shared" si="25"/>
        <v>98.380000000000109</v>
      </c>
      <c r="H348" s="15">
        <f t="shared" si="26"/>
        <v>3244</v>
      </c>
      <c r="I348" s="15">
        <f t="shared" si="27"/>
        <v>3145.62</v>
      </c>
      <c r="J348" s="15">
        <f t="shared" si="28"/>
        <v>98.380000000000109</v>
      </c>
      <c r="K348" s="19">
        <f t="shared" si="29"/>
        <v>3.1275233499278396E-2</v>
      </c>
      <c r="L348" s="15" t="s">
        <v>224</v>
      </c>
      <c r="M348" s="15"/>
    </row>
    <row r="349" spans="1:13" x14ac:dyDescent="0.25">
      <c r="A349" s="16">
        <v>46016</v>
      </c>
      <c r="B349" s="24" t="s">
        <v>141</v>
      </c>
      <c r="C349" s="15">
        <v>1</v>
      </c>
      <c r="D349" s="22">
        <v>359614544940914</v>
      </c>
      <c r="E349" s="15">
        <v>3330</v>
      </c>
      <c r="F349" s="15">
        <v>3163.6</v>
      </c>
      <c r="G349" s="15">
        <f t="shared" si="25"/>
        <v>166.40000000000009</v>
      </c>
      <c r="H349" s="15">
        <f t="shared" si="26"/>
        <v>3330</v>
      </c>
      <c r="I349" s="15">
        <f t="shared" si="27"/>
        <v>3163.6</v>
      </c>
      <c r="J349" s="15">
        <f t="shared" si="28"/>
        <v>166.40000000000009</v>
      </c>
      <c r="K349" s="19">
        <f t="shared" si="29"/>
        <v>5.2598305727652075E-2</v>
      </c>
      <c r="L349" s="15" t="s">
        <v>224</v>
      </c>
      <c r="M349" s="15"/>
    </row>
    <row r="350" spans="1:13" x14ac:dyDescent="0.25">
      <c r="A350" s="16">
        <v>46016</v>
      </c>
      <c r="B350" s="24" t="s">
        <v>141</v>
      </c>
      <c r="C350" s="15">
        <v>1</v>
      </c>
      <c r="D350" s="22">
        <v>359614544890705</v>
      </c>
      <c r="E350" s="15">
        <v>3330</v>
      </c>
      <c r="F350" s="15">
        <v>3163.6</v>
      </c>
      <c r="G350" s="15">
        <f t="shared" si="25"/>
        <v>166.40000000000009</v>
      </c>
      <c r="H350" s="15">
        <f t="shared" si="26"/>
        <v>3330</v>
      </c>
      <c r="I350" s="15">
        <f t="shared" si="27"/>
        <v>3163.6</v>
      </c>
      <c r="J350" s="15">
        <f t="shared" si="28"/>
        <v>166.40000000000009</v>
      </c>
      <c r="K350" s="19">
        <f t="shared" si="29"/>
        <v>5.2598305727652075E-2</v>
      </c>
      <c r="L350" s="15" t="s">
        <v>224</v>
      </c>
      <c r="M350" s="15"/>
    </row>
    <row r="351" spans="1:13" x14ac:dyDescent="0.25">
      <c r="A351" s="16">
        <v>46016</v>
      </c>
      <c r="B351" s="24" t="s">
        <v>141</v>
      </c>
      <c r="C351" s="15">
        <v>1</v>
      </c>
      <c r="D351" s="22">
        <v>350889861445460</v>
      </c>
      <c r="E351" s="15">
        <v>3330</v>
      </c>
      <c r="F351" s="15">
        <v>3163.6</v>
      </c>
      <c r="G351" s="15">
        <f t="shared" si="25"/>
        <v>166.40000000000009</v>
      </c>
      <c r="H351" s="15">
        <f t="shared" si="26"/>
        <v>3330</v>
      </c>
      <c r="I351" s="15">
        <f t="shared" si="27"/>
        <v>3163.6</v>
      </c>
      <c r="J351" s="15">
        <f t="shared" si="28"/>
        <v>166.40000000000009</v>
      </c>
      <c r="K351" s="19">
        <f t="shared" si="29"/>
        <v>5.2598305727652075E-2</v>
      </c>
      <c r="L351" s="15" t="s">
        <v>224</v>
      </c>
      <c r="M351" s="15"/>
    </row>
    <row r="352" spans="1:13" x14ac:dyDescent="0.25">
      <c r="A352" s="16">
        <v>46016</v>
      </c>
      <c r="B352" s="24" t="s">
        <v>141</v>
      </c>
      <c r="C352" s="15">
        <v>1</v>
      </c>
      <c r="D352" s="22">
        <v>350889860087818</v>
      </c>
      <c r="E352" s="15">
        <v>3330</v>
      </c>
      <c r="F352" s="15">
        <v>3163.6</v>
      </c>
      <c r="G352" s="15">
        <f t="shared" si="25"/>
        <v>166.40000000000009</v>
      </c>
      <c r="H352" s="15">
        <f t="shared" si="26"/>
        <v>3330</v>
      </c>
      <c r="I352" s="15">
        <f t="shared" si="27"/>
        <v>3163.6</v>
      </c>
      <c r="J352" s="15">
        <f t="shared" si="28"/>
        <v>166.40000000000009</v>
      </c>
      <c r="K352" s="19">
        <f t="shared" si="29"/>
        <v>5.2598305727652075E-2</v>
      </c>
      <c r="L352" s="15" t="s">
        <v>224</v>
      </c>
      <c r="M352" s="15"/>
    </row>
    <row r="353" spans="1:13" x14ac:dyDescent="0.25">
      <c r="A353" s="16">
        <v>46016</v>
      </c>
      <c r="B353" s="24" t="s">
        <v>141</v>
      </c>
      <c r="C353" s="15">
        <v>1</v>
      </c>
      <c r="D353" s="22">
        <v>355450219930565</v>
      </c>
      <c r="E353" s="15">
        <v>3330</v>
      </c>
      <c r="F353" s="15">
        <v>3163.6</v>
      </c>
      <c r="G353" s="15">
        <f t="shared" si="25"/>
        <v>166.40000000000009</v>
      </c>
      <c r="H353" s="15">
        <f t="shared" si="26"/>
        <v>3330</v>
      </c>
      <c r="I353" s="15">
        <f t="shared" si="27"/>
        <v>3163.6</v>
      </c>
      <c r="J353" s="15">
        <f t="shared" si="28"/>
        <v>166.40000000000009</v>
      </c>
      <c r="K353" s="19">
        <f t="shared" si="29"/>
        <v>5.2598305727652075E-2</v>
      </c>
      <c r="L353" s="15" t="s">
        <v>224</v>
      </c>
      <c r="M353" s="15"/>
    </row>
    <row r="354" spans="1:13" x14ac:dyDescent="0.25">
      <c r="A354" s="16">
        <v>46016</v>
      </c>
      <c r="B354" s="24" t="s">
        <v>141</v>
      </c>
      <c r="C354" s="15">
        <v>1</v>
      </c>
      <c r="D354" s="22">
        <v>355450219315593</v>
      </c>
      <c r="E354" s="15">
        <v>3330</v>
      </c>
      <c r="F354" s="15">
        <v>3163.6</v>
      </c>
      <c r="G354" s="15">
        <f t="shared" si="25"/>
        <v>166.40000000000009</v>
      </c>
      <c r="H354" s="15">
        <f t="shared" si="26"/>
        <v>3330</v>
      </c>
      <c r="I354" s="15">
        <f t="shared" si="27"/>
        <v>3163.6</v>
      </c>
      <c r="J354" s="15">
        <f t="shared" si="28"/>
        <v>166.40000000000009</v>
      </c>
      <c r="K354" s="19">
        <f t="shared" si="29"/>
        <v>5.2598305727652075E-2</v>
      </c>
      <c r="L354" s="15" t="s">
        <v>224</v>
      </c>
      <c r="M354" s="15"/>
    </row>
    <row r="355" spans="1:13" x14ac:dyDescent="0.25">
      <c r="A355" s="16">
        <v>46016</v>
      </c>
      <c r="B355" s="24" t="s">
        <v>141</v>
      </c>
      <c r="C355" s="15">
        <v>1</v>
      </c>
      <c r="D355" s="22">
        <v>355450219821582</v>
      </c>
      <c r="E355" s="15">
        <v>3330</v>
      </c>
      <c r="F355" s="15">
        <v>3163.6</v>
      </c>
      <c r="G355" s="15">
        <f t="shared" si="25"/>
        <v>166.40000000000009</v>
      </c>
      <c r="H355" s="15">
        <f t="shared" si="26"/>
        <v>3330</v>
      </c>
      <c r="I355" s="15">
        <f t="shared" si="27"/>
        <v>3163.6</v>
      </c>
      <c r="J355" s="15">
        <f t="shared" si="28"/>
        <v>166.40000000000009</v>
      </c>
      <c r="K355" s="19">
        <f t="shared" si="29"/>
        <v>5.2598305727652075E-2</v>
      </c>
      <c r="L355" s="15" t="s">
        <v>224</v>
      </c>
      <c r="M355" s="15"/>
    </row>
    <row r="356" spans="1:13" x14ac:dyDescent="0.25">
      <c r="A356" s="16">
        <v>46016</v>
      </c>
      <c r="B356" s="24" t="s">
        <v>141</v>
      </c>
      <c r="C356" s="15">
        <v>1</v>
      </c>
      <c r="D356" s="22">
        <v>350889860189838</v>
      </c>
      <c r="E356" s="15">
        <v>3330</v>
      </c>
      <c r="F356" s="15">
        <v>3163.6</v>
      </c>
      <c r="G356" s="15">
        <f t="shared" si="25"/>
        <v>166.40000000000009</v>
      </c>
      <c r="H356" s="15">
        <f t="shared" si="26"/>
        <v>3330</v>
      </c>
      <c r="I356" s="15">
        <f t="shared" si="27"/>
        <v>3163.6</v>
      </c>
      <c r="J356" s="15">
        <f t="shared" si="28"/>
        <v>166.40000000000009</v>
      </c>
      <c r="K356" s="19">
        <f t="shared" si="29"/>
        <v>5.2598305727652075E-2</v>
      </c>
      <c r="L356" s="15" t="s">
        <v>224</v>
      </c>
      <c r="M356" s="15"/>
    </row>
    <row r="357" spans="1:13" x14ac:dyDescent="0.25">
      <c r="A357" s="16">
        <v>46016</v>
      </c>
      <c r="B357" s="24" t="s">
        <v>141</v>
      </c>
      <c r="C357" s="15">
        <v>1</v>
      </c>
      <c r="D357" s="22">
        <v>350889860125113</v>
      </c>
      <c r="E357" s="15">
        <v>3330</v>
      </c>
      <c r="F357" s="15">
        <v>3163.6</v>
      </c>
      <c r="G357" s="15">
        <f t="shared" si="25"/>
        <v>166.40000000000009</v>
      </c>
      <c r="H357" s="15">
        <f t="shared" si="26"/>
        <v>3330</v>
      </c>
      <c r="I357" s="15">
        <f t="shared" si="27"/>
        <v>3163.6</v>
      </c>
      <c r="J357" s="15">
        <f t="shared" si="28"/>
        <v>166.40000000000009</v>
      </c>
      <c r="K357" s="19">
        <f t="shared" si="29"/>
        <v>5.2598305727652075E-2</v>
      </c>
      <c r="L357" s="15" t="s">
        <v>224</v>
      </c>
      <c r="M357" s="15"/>
    </row>
    <row r="358" spans="1:13" x14ac:dyDescent="0.25">
      <c r="A358" s="16">
        <v>46016</v>
      </c>
      <c r="B358" s="24" t="s">
        <v>141</v>
      </c>
      <c r="C358" s="15">
        <v>1</v>
      </c>
      <c r="D358" s="22">
        <v>356605223984903</v>
      </c>
      <c r="E358" s="15">
        <v>3330</v>
      </c>
      <c r="F358" s="15">
        <v>3163.6</v>
      </c>
      <c r="G358" s="15">
        <f t="shared" si="25"/>
        <v>166.40000000000009</v>
      </c>
      <c r="H358" s="15">
        <f t="shared" si="26"/>
        <v>3330</v>
      </c>
      <c r="I358" s="15">
        <f t="shared" si="27"/>
        <v>3163.6</v>
      </c>
      <c r="J358" s="15">
        <f t="shared" si="28"/>
        <v>166.40000000000009</v>
      </c>
      <c r="K358" s="19">
        <f t="shared" si="29"/>
        <v>5.2598305727652075E-2</v>
      </c>
      <c r="L358" s="15" t="s">
        <v>224</v>
      </c>
      <c r="M358" s="15"/>
    </row>
    <row r="359" spans="1:13" x14ac:dyDescent="0.25">
      <c r="A359" s="16">
        <v>46016</v>
      </c>
      <c r="B359" s="24" t="s">
        <v>141</v>
      </c>
      <c r="C359" s="15">
        <v>1</v>
      </c>
      <c r="D359" s="22">
        <v>359912586208582</v>
      </c>
      <c r="E359" s="15">
        <v>3330</v>
      </c>
      <c r="F359" s="15">
        <v>3163.6</v>
      </c>
      <c r="G359" s="15">
        <f t="shared" si="25"/>
        <v>166.40000000000009</v>
      </c>
      <c r="H359" s="15">
        <f t="shared" si="26"/>
        <v>3330</v>
      </c>
      <c r="I359" s="15">
        <f t="shared" si="27"/>
        <v>3163.6</v>
      </c>
      <c r="J359" s="15">
        <f t="shared" si="28"/>
        <v>166.40000000000009</v>
      </c>
      <c r="K359" s="19">
        <f t="shared" si="29"/>
        <v>5.2598305727652075E-2</v>
      </c>
      <c r="L359" s="15" t="s">
        <v>224</v>
      </c>
      <c r="M359" s="15"/>
    </row>
    <row r="360" spans="1:13" x14ac:dyDescent="0.25">
      <c r="A360" s="16">
        <v>46016</v>
      </c>
      <c r="B360" s="24" t="s">
        <v>141</v>
      </c>
      <c r="C360" s="15">
        <v>1</v>
      </c>
      <c r="D360" s="22">
        <v>359614544886224</v>
      </c>
      <c r="E360" s="15">
        <v>3330</v>
      </c>
      <c r="F360" s="15">
        <v>3163.6</v>
      </c>
      <c r="G360" s="15">
        <f t="shared" si="25"/>
        <v>166.40000000000009</v>
      </c>
      <c r="H360" s="15">
        <f t="shared" si="26"/>
        <v>3330</v>
      </c>
      <c r="I360" s="15">
        <f t="shared" si="27"/>
        <v>3163.6</v>
      </c>
      <c r="J360" s="15">
        <f t="shared" si="28"/>
        <v>166.40000000000009</v>
      </c>
      <c r="K360" s="19">
        <f t="shared" si="29"/>
        <v>5.2598305727652075E-2</v>
      </c>
      <c r="L360" s="15" t="s">
        <v>224</v>
      </c>
      <c r="M360" s="15"/>
    </row>
    <row r="361" spans="1:13" x14ac:dyDescent="0.25">
      <c r="A361" s="16">
        <v>46016</v>
      </c>
      <c r="B361" s="24" t="s">
        <v>141</v>
      </c>
      <c r="C361" s="15">
        <v>1</v>
      </c>
      <c r="D361" s="22">
        <v>355450218923249</v>
      </c>
      <c r="E361" s="15">
        <v>3330</v>
      </c>
      <c r="F361" s="15">
        <v>3163.6</v>
      </c>
      <c r="G361" s="15">
        <f t="shared" si="25"/>
        <v>166.40000000000009</v>
      </c>
      <c r="H361" s="15">
        <f t="shared" si="26"/>
        <v>3330</v>
      </c>
      <c r="I361" s="15">
        <f t="shared" si="27"/>
        <v>3163.6</v>
      </c>
      <c r="J361" s="15">
        <f t="shared" si="28"/>
        <v>166.40000000000009</v>
      </c>
      <c r="K361" s="19">
        <f t="shared" si="29"/>
        <v>5.2598305727652075E-2</v>
      </c>
      <c r="L361" s="15" t="s">
        <v>224</v>
      </c>
      <c r="M361" s="15"/>
    </row>
    <row r="362" spans="1:13" x14ac:dyDescent="0.25">
      <c r="A362" s="16">
        <v>46013</v>
      </c>
      <c r="B362" s="20" t="s">
        <v>14</v>
      </c>
      <c r="C362" s="15">
        <v>1</v>
      </c>
      <c r="D362" s="22">
        <v>357586343895675</v>
      </c>
      <c r="E362" s="15">
        <v>3490</v>
      </c>
      <c r="F362" s="15">
        <v>3199.55</v>
      </c>
      <c r="G362" s="15">
        <f t="shared" si="25"/>
        <v>290.44999999999982</v>
      </c>
      <c r="H362" s="15">
        <f t="shared" si="26"/>
        <v>3490</v>
      </c>
      <c r="I362" s="15">
        <f t="shared" si="27"/>
        <v>3199.55</v>
      </c>
      <c r="J362" s="15">
        <f t="shared" si="28"/>
        <v>290.44999999999982</v>
      </c>
      <c r="K362" s="19">
        <f t="shared" si="29"/>
        <v>9.0778390711193702E-2</v>
      </c>
      <c r="L362" s="15" t="s">
        <v>224</v>
      </c>
      <c r="M362" s="15"/>
    </row>
    <row r="363" spans="1:13" x14ac:dyDescent="0.25">
      <c r="A363" s="16">
        <v>46013</v>
      </c>
      <c r="B363" s="20" t="s">
        <v>14</v>
      </c>
      <c r="C363" s="15">
        <v>1</v>
      </c>
      <c r="D363" s="22">
        <v>359614544784700</v>
      </c>
      <c r="E363" s="15">
        <v>3490</v>
      </c>
      <c r="F363" s="15">
        <v>3199.55</v>
      </c>
      <c r="G363" s="15">
        <f t="shared" si="25"/>
        <v>290.44999999999982</v>
      </c>
      <c r="H363" s="15">
        <f t="shared" si="26"/>
        <v>3490</v>
      </c>
      <c r="I363" s="15">
        <f t="shared" si="27"/>
        <v>3199.55</v>
      </c>
      <c r="J363" s="15">
        <f t="shared" si="28"/>
        <v>290.44999999999982</v>
      </c>
      <c r="K363" s="19">
        <f t="shared" si="29"/>
        <v>9.0778390711193702E-2</v>
      </c>
      <c r="L363" s="15" t="s">
        <v>224</v>
      </c>
      <c r="M363" s="15"/>
    </row>
    <row r="364" spans="1:13" x14ac:dyDescent="0.25">
      <c r="A364" s="16">
        <v>46015</v>
      </c>
      <c r="B364" s="20" t="s">
        <v>14</v>
      </c>
      <c r="C364" s="15">
        <v>1</v>
      </c>
      <c r="D364" s="22">
        <v>355450219302278</v>
      </c>
      <c r="E364" s="15">
        <v>3350</v>
      </c>
      <c r="F364" s="15">
        <v>3163.6</v>
      </c>
      <c r="G364" s="15">
        <f t="shared" si="25"/>
        <v>186.40000000000009</v>
      </c>
      <c r="H364" s="15">
        <f t="shared" si="26"/>
        <v>3350</v>
      </c>
      <c r="I364" s="15">
        <f t="shared" si="27"/>
        <v>3163.6</v>
      </c>
      <c r="J364" s="15">
        <f t="shared" si="28"/>
        <v>186.40000000000009</v>
      </c>
      <c r="K364" s="19">
        <f t="shared" si="29"/>
        <v>5.8920217473764094E-2</v>
      </c>
      <c r="L364" s="15" t="s">
        <v>224</v>
      </c>
      <c r="M364" s="15"/>
    </row>
    <row r="365" spans="1:13" x14ac:dyDescent="0.25">
      <c r="A365" s="16">
        <v>46015</v>
      </c>
      <c r="B365" s="20" t="s">
        <v>14</v>
      </c>
      <c r="C365" s="15">
        <v>1</v>
      </c>
      <c r="D365" s="22">
        <v>357586343218183</v>
      </c>
      <c r="E365" s="15">
        <v>3350</v>
      </c>
      <c r="F365" s="15">
        <v>3163.6</v>
      </c>
      <c r="G365" s="15">
        <f t="shared" si="25"/>
        <v>186.40000000000009</v>
      </c>
      <c r="H365" s="15">
        <f t="shared" si="26"/>
        <v>3350</v>
      </c>
      <c r="I365" s="15">
        <f t="shared" si="27"/>
        <v>3163.6</v>
      </c>
      <c r="J365" s="15">
        <f t="shared" si="28"/>
        <v>186.40000000000009</v>
      </c>
      <c r="K365" s="19">
        <f t="shared" si="29"/>
        <v>5.8920217473764094E-2</v>
      </c>
      <c r="L365" s="15" t="s">
        <v>224</v>
      </c>
      <c r="M365" s="15"/>
    </row>
    <row r="366" spans="1:13" x14ac:dyDescent="0.25">
      <c r="A366" s="16">
        <v>46015</v>
      </c>
      <c r="B366" s="20" t="s">
        <v>14</v>
      </c>
      <c r="C366" s="15">
        <v>1</v>
      </c>
      <c r="D366" s="22">
        <v>359614544773133</v>
      </c>
      <c r="E366" s="15">
        <v>3350</v>
      </c>
      <c r="F366" s="15">
        <v>3163.6</v>
      </c>
      <c r="G366" s="15">
        <f t="shared" si="25"/>
        <v>186.40000000000009</v>
      </c>
      <c r="H366" s="15">
        <f t="shared" si="26"/>
        <v>3350</v>
      </c>
      <c r="I366" s="15">
        <f t="shared" si="27"/>
        <v>3163.6</v>
      </c>
      <c r="J366" s="15">
        <f t="shared" si="28"/>
        <v>186.40000000000009</v>
      </c>
      <c r="K366" s="19">
        <f t="shared" si="29"/>
        <v>5.8920217473764094E-2</v>
      </c>
      <c r="L366" s="15" t="s">
        <v>224</v>
      </c>
      <c r="M366" s="15"/>
    </row>
    <row r="367" spans="1:13" x14ac:dyDescent="0.25">
      <c r="A367" s="16">
        <v>46015</v>
      </c>
      <c r="B367" s="20" t="s">
        <v>14</v>
      </c>
      <c r="C367" s="15">
        <v>1</v>
      </c>
      <c r="D367" s="22">
        <v>353263422779766</v>
      </c>
      <c r="E367" s="15">
        <v>3130</v>
      </c>
      <c r="F367" s="15">
        <v>3055.75</v>
      </c>
      <c r="G367" s="15">
        <f t="shared" si="25"/>
        <v>74.25</v>
      </c>
      <c r="H367" s="15">
        <f t="shared" si="26"/>
        <v>3130</v>
      </c>
      <c r="I367" s="15">
        <f t="shared" si="27"/>
        <v>3055.75</v>
      </c>
      <c r="J367" s="15">
        <f t="shared" si="28"/>
        <v>74.25</v>
      </c>
      <c r="K367" s="19">
        <f t="shared" si="29"/>
        <v>2.4298453734762332E-2</v>
      </c>
      <c r="L367" s="15" t="s">
        <v>224</v>
      </c>
      <c r="M367" s="15"/>
    </row>
    <row r="368" spans="1:13" x14ac:dyDescent="0.25">
      <c r="A368" s="16">
        <v>46014</v>
      </c>
      <c r="B368" s="20" t="s">
        <v>132</v>
      </c>
      <c r="C368" s="15">
        <v>1</v>
      </c>
      <c r="D368" s="23" t="s">
        <v>133</v>
      </c>
      <c r="E368" s="15">
        <v>2830</v>
      </c>
      <c r="F368" s="15">
        <v>2624.35</v>
      </c>
      <c r="G368" s="15">
        <f t="shared" si="25"/>
        <v>205.65000000000009</v>
      </c>
      <c r="H368" s="15">
        <f t="shared" si="26"/>
        <v>2830</v>
      </c>
      <c r="I368" s="15">
        <f t="shared" si="27"/>
        <v>2624.35</v>
      </c>
      <c r="J368" s="15">
        <f t="shared" si="28"/>
        <v>205.65000000000009</v>
      </c>
      <c r="K368" s="19">
        <f t="shared" si="29"/>
        <v>7.8362261131327798E-2</v>
      </c>
      <c r="L368" s="15" t="s">
        <v>224</v>
      </c>
      <c r="M368" s="15"/>
    </row>
    <row r="369" spans="1:13" x14ac:dyDescent="0.25">
      <c r="A369" s="16">
        <v>46016</v>
      </c>
      <c r="B369" s="24" t="s">
        <v>174</v>
      </c>
      <c r="C369" s="15">
        <v>1</v>
      </c>
      <c r="D369" s="22" t="s">
        <v>177</v>
      </c>
      <c r="E369" s="15">
        <v>4900</v>
      </c>
      <c r="F369" s="15">
        <v>4493.75</v>
      </c>
      <c r="G369" s="15">
        <f t="shared" si="25"/>
        <v>406.25</v>
      </c>
      <c r="H369" s="15">
        <f t="shared" si="26"/>
        <v>4900</v>
      </c>
      <c r="I369" s="15">
        <f t="shared" si="27"/>
        <v>4493.75</v>
      </c>
      <c r="J369" s="15">
        <f t="shared" si="28"/>
        <v>406.25</v>
      </c>
      <c r="K369" s="19">
        <f t="shared" si="29"/>
        <v>9.0403337969401948E-2</v>
      </c>
      <c r="L369" s="15" t="s">
        <v>224</v>
      </c>
      <c r="M369" s="15"/>
    </row>
    <row r="370" spans="1:13" x14ac:dyDescent="0.25">
      <c r="A370" s="16">
        <v>46017</v>
      </c>
      <c r="B370" s="17" t="s">
        <v>183</v>
      </c>
      <c r="C370" s="15">
        <v>1</v>
      </c>
      <c r="D370" s="23" t="s">
        <v>184</v>
      </c>
      <c r="E370" s="15">
        <v>7380</v>
      </c>
      <c r="F370" s="15">
        <v>7190</v>
      </c>
      <c r="G370" s="15">
        <f t="shared" si="25"/>
        <v>190</v>
      </c>
      <c r="H370" s="15">
        <f t="shared" si="26"/>
        <v>7380</v>
      </c>
      <c r="I370" s="15">
        <f t="shared" si="27"/>
        <v>7190</v>
      </c>
      <c r="J370" s="15">
        <f t="shared" si="28"/>
        <v>190</v>
      </c>
      <c r="K370" s="19">
        <f t="shared" si="29"/>
        <v>2.6425591098748261E-2</v>
      </c>
      <c r="L370" s="15" t="s">
        <v>224</v>
      </c>
      <c r="M370" s="15"/>
    </row>
    <row r="371" spans="1:13" ht="26.25" x14ac:dyDescent="0.25">
      <c r="A371" s="16">
        <v>46017</v>
      </c>
      <c r="B371" s="24" t="s">
        <v>183</v>
      </c>
      <c r="C371" s="15">
        <v>1</v>
      </c>
      <c r="D371" s="22" t="s">
        <v>188</v>
      </c>
      <c r="E371" s="15">
        <v>7400</v>
      </c>
      <c r="F371" s="15">
        <v>7190</v>
      </c>
      <c r="G371" s="15">
        <f t="shared" si="25"/>
        <v>210</v>
      </c>
      <c r="H371" s="15">
        <f t="shared" si="26"/>
        <v>7400</v>
      </c>
      <c r="I371" s="15">
        <f t="shared" si="27"/>
        <v>7190</v>
      </c>
      <c r="J371" s="15">
        <f t="shared" si="28"/>
        <v>210</v>
      </c>
      <c r="K371" s="19">
        <f t="shared" si="29"/>
        <v>2.9207232267037551E-2</v>
      </c>
      <c r="L371" s="15" t="s">
        <v>224</v>
      </c>
      <c r="M371" s="15"/>
    </row>
    <row r="372" spans="1:13" ht="26.25" x14ac:dyDescent="0.25">
      <c r="A372" s="16">
        <v>46017</v>
      </c>
      <c r="B372" s="24" t="s">
        <v>183</v>
      </c>
      <c r="C372" s="15">
        <v>1</v>
      </c>
      <c r="D372" s="22" t="s">
        <v>189</v>
      </c>
      <c r="E372" s="15">
        <v>7400</v>
      </c>
      <c r="F372" s="15">
        <v>7190</v>
      </c>
      <c r="G372" s="15">
        <f t="shared" si="25"/>
        <v>210</v>
      </c>
      <c r="H372" s="15">
        <f t="shared" si="26"/>
        <v>7400</v>
      </c>
      <c r="I372" s="15">
        <f t="shared" si="27"/>
        <v>7190</v>
      </c>
      <c r="J372" s="15">
        <f t="shared" si="28"/>
        <v>210</v>
      </c>
      <c r="K372" s="19">
        <f t="shared" si="29"/>
        <v>2.9207232267037551E-2</v>
      </c>
      <c r="L372" s="15" t="s">
        <v>224</v>
      </c>
      <c r="M372" s="15"/>
    </row>
    <row r="373" spans="1:13" x14ac:dyDescent="0.25">
      <c r="A373" s="16">
        <v>46016</v>
      </c>
      <c r="B373" s="24" t="s">
        <v>161</v>
      </c>
      <c r="C373" s="15">
        <v>1</v>
      </c>
      <c r="D373" s="22" t="s">
        <v>162</v>
      </c>
      <c r="E373" s="15">
        <v>5930</v>
      </c>
      <c r="F373" s="15">
        <v>5608.2</v>
      </c>
      <c r="G373" s="15">
        <f t="shared" si="25"/>
        <v>321.80000000000018</v>
      </c>
      <c r="H373" s="15">
        <f t="shared" si="26"/>
        <v>5930</v>
      </c>
      <c r="I373" s="15">
        <f t="shared" si="27"/>
        <v>5608.2</v>
      </c>
      <c r="J373" s="15">
        <f t="shared" si="28"/>
        <v>321.80000000000018</v>
      </c>
      <c r="K373" s="19">
        <f t="shared" si="29"/>
        <v>5.7380264612531685E-2</v>
      </c>
      <c r="L373" s="15" t="s">
        <v>224</v>
      </c>
      <c r="M373" s="15"/>
    </row>
    <row r="374" spans="1:13" x14ac:dyDescent="0.25">
      <c r="A374" s="16">
        <v>46016</v>
      </c>
      <c r="B374" s="24" t="s">
        <v>161</v>
      </c>
      <c r="C374" s="15">
        <v>1</v>
      </c>
      <c r="D374" s="22" t="s">
        <v>163</v>
      </c>
      <c r="E374" s="15">
        <v>5930</v>
      </c>
      <c r="F374" s="15">
        <v>5608.2</v>
      </c>
      <c r="G374" s="15">
        <f t="shared" si="25"/>
        <v>321.80000000000018</v>
      </c>
      <c r="H374" s="15">
        <f t="shared" si="26"/>
        <v>5930</v>
      </c>
      <c r="I374" s="15">
        <f t="shared" si="27"/>
        <v>5608.2</v>
      </c>
      <c r="J374" s="15">
        <f t="shared" si="28"/>
        <v>321.80000000000018</v>
      </c>
      <c r="K374" s="19">
        <f t="shared" si="29"/>
        <v>5.7380264612531685E-2</v>
      </c>
      <c r="L374" s="15" t="s">
        <v>224</v>
      </c>
      <c r="M374" s="15"/>
    </row>
    <row r="375" spans="1:13" x14ac:dyDescent="0.25">
      <c r="A375" s="16">
        <v>46016</v>
      </c>
      <c r="B375" s="24" t="s">
        <v>161</v>
      </c>
      <c r="C375" s="15">
        <v>1</v>
      </c>
      <c r="D375" s="22" t="s">
        <v>164</v>
      </c>
      <c r="E375" s="15">
        <v>5930</v>
      </c>
      <c r="F375" s="15">
        <v>5608.2</v>
      </c>
      <c r="G375" s="15">
        <f t="shared" si="25"/>
        <v>321.80000000000018</v>
      </c>
      <c r="H375" s="15">
        <f t="shared" si="26"/>
        <v>5930</v>
      </c>
      <c r="I375" s="15">
        <f t="shared" si="27"/>
        <v>5608.2</v>
      </c>
      <c r="J375" s="15">
        <f t="shared" si="28"/>
        <v>321.80000000000018</v>
      </c>
      <c r="K375" s="19">
        <f t="shared" si="29"/>
        <v>5.7380264612531685E-2</v>
      </c>
      <c r="L375" s="15" t="s">
        <v>224</v>
      </c>
      <c r="M375" s="15"/>
    </row>
    <row r="376" spans="1:13" x14ac:dyDescent="0.25">
      <c r="A376" s="16">
        <v>46016</v>
      </c>
      <c r="B376" s="24" t="s">
        <v>161</v>
      </c>
      <c r="C376" s="15">
        <v>1</v>
      </c>
      <c r="D376" s="22" t="s">
        <v>166</v>
      </c>
      <c r="E376" s="15">
        <v>5930</v>
      </c>
      <c r="F376" s="15">
        <v>5608.2</v>
      </c>
      <c r="G376" s="15">
        <f t="shared" si="25"/>
        <v>321.80000000000018</v>
      </c>
      <c r="H376" s="15">
        <f t="shared" si="26"/>
        <v>5930</v>
      </c>
      <c r="I376" s="15">
        <f t="shared" si="27"/>
        <v>5608.2</v>
      </c>
      <c r="J376" s="15">
        <f t="shared" si="28"/>
        <v>321.80000000000018</v>
      </c>
      <c r="K376" s="19">
        <f t="shared" si="29"/>
        <v>5.7380264612531685E-2</v>
      </c>
      <c r="L376" s="15" t="s">
        <v>224</v>
      </c>
      <c r="M376" s="15"/>
    </row>
    <row r="377" spans="1:13" x14ac:dyDescent="0.25">
      <c r="A377" s="16">
        <v>46016</v>
      </c>
      <c r="B377" s="24" t="s">
        <v>161</v>
      </c>
      <c r="C377" s="15">
        <v>1</v>
      </c>
      <c r="D377" s="22" t="s">
        <v>167</v>
      </c>
      <c r="E377" s="15">
        <v>5930</v>
      </c>
      <c r="F377" s="15">
        <v>5608.2</v>
      </c>
      <c r="G377" s="15">
        <f t="shared" si="25"/>
        <v>321.80000000000018</v>
      </c>
      <c r="H377" s="15">
        <f t="shared" si="26"/>
        <v>5930</v>
      </c>
      <c r="I377" s="15">
        <f t="shared" si="27"/>
        <v>5608.2</v>
      </c>
      <c r="J377" s="15">
        <f t="shared" si="28"/>
        <v>321.80000000000018</v>
      </c>
      <c r="K377" s="19">
        <f t="shared" si="29"/>
        <v>5.7380264612531685E-2</v>
      </c>
      <c r="L377" s="15" t="s">
        <v>224</v>
      </c>
      <c r="M377" s="15"/>
    </row>
    <row r="378" spans="1:13" x14ac:dyDescent="0.25">
      <c r="A378" s="16">
        <v>46016</v>
      </c>
      <c r="B378" s="24" t="s">
        <v>161</v>
      </c>
      <c r="C378" s="15">
        <v>1</v>
      </c>
      <c r="D378" s="22" t="s">
        <v>168</v>
      </c>
      <c r="E378" s="15">
        <v>5930</v>
      </c>
      <c r="F378" s="15">
        <v>5608.2</v>
      </c>
      <c r="G378" s="15">
        <f t="shared" si="25"/>
        <v>321.80000000000018</v>
      </c>
      <c r="H378" s="15">
        <f t="shared" si="26"/>
        <v>5930</v>
      </c>
      <c r="I378" s="15">
        <f t="shared" si="27"/>
        <v>5608.2</v>
      </c>
      <c r="J378" s="15">
        <f t="shared" si="28"/>
        <v>321.80000000000018</v>
      </c>
      <c r="K378" s="19">
        <f t="shared" si="29"/>
        <v>5.7380264612531685E-2</v>
      </c>
      <c r="L378" s="15" t="s">
        <v>224</v>
      </c>
      <c r="M378" s="15"/>
    </row>
    <row r="379" spans="1:13" x14ac:dyDescent="0.25">
      <c r="A379" s="16">
        <v>46016</v>
      </c>
      <c r="B379" s="24" t="s">
        <v>161</v>
      </c>
      <c r="C379" s="15">
        <v>1</v>
      </c>
      <c r="D379" s="22" t="s">
        <v>169</v>
      </c>
      <c r="E379" s="15">
        <v>5930</v>
      </c>
      <c r="F379" s="15">
        <v>5608.2</v>
      </c>
      <c r="G379" s="15">
        <f t="shared" si="25"/>
        <v>321.80000000000018</v>
      </c>
      <c r="H379" s="15">
        <f t="shared" si="26"/>
        <v>5930</v>
      </c>
      <c r="I379" s="15">
        <f t="shared" si="27"/>
        <v>5608.2</v>
      </c>
      <c r="J379" s="15">
        <f t="shared" si="28"/>
        <v>321.80000000000018</v>
      </c>
      <c r="K379" s="19">
        <f t="shared" si="29"/>
        <v>5.7380264612531685E-2</v>
      </c>
      <c r="L379" s="15" t="s">
        <v>224</v>
      </c>
      <c r="M379" s="15"/>
    </row>
    <row r="380" spans="1:13" x14ac:dyDescent="0.25">
      <c r="A380" s="16">
        <v>46016</v>
      </c>
      <c r="B380" s="24" t="s">
        <v>161</v>
      </c>
      <c r="C380" s="15">
        <v>1</v>
      </c>
      <c r="D380" s="22" t="s">
        <v>170</v>
      </c>
      <c r="E380" s="15">
        <v>5930</v>
      </c>
      <c r="F380" s="15">
        <v>5608.2</v>
      </c>
      <c r="G380" s="15">
        <f t="shared" si="25"/>
        <v>321.80000000000018</v>
      </c>
      <c r="H380" s="15">
        <f t="shared" si="26"/>
        <v>5930</v>
      </c>
      <c r="I380" s="15">
        <f t="shared" si="27"/>
        <v>5608.2</v>
      </c>
      <c r="J380" s="15">
        <f t="shared" si="28"/>
        <v>321.80000000000018</v>
      </c>
      <c r="K380" s="19">
        <f t="shared" si="29"/>
        <v>5.7380264612531685E-2</v>
      </c>
      <c r="L380" s="15" t="s">
        <v>224</v>
      </c>
      <c r="M380" s="15"/>
    </row>
    <row r="381" spans="1:13" x14ac:dyDescent="0.25">
      <c r="A381" s="16">
        <v>46016</v>
      </c>
      <c r="B381" s="24" t="s">
        <v>154</v>
      </c>
      <c r="C381" s="15">
        <v>1</v>
      </c>
      <c r="D381" s="22" t="s">
        <v>160</v>
      </c>
      <c r="E381" s="15">
        <v>5150</v>
      </c>
      <c r="F381" s="15">
        <v>4889.2</v>
      </c>
      <c r="G381" s="15">
        <f t="shared" si="25"/>
        <v>260.80000000000018</v>
      </c>
      <c r="H381" s="15">
        <f t="shared" si="26"/>
        <v>5150</v>
      </c>
      <c r="I381" s="15">
        <f t="shared" si="27"/>
        <v>4889.2</v>
      </c>
      <c r="J381" s="15">
        <f t="shared" si="28"/>
        <v>260.80000000000018</v>
      </c>
      <c r="K381" s="19">
        <f t="shared" si="29"/>
        <v>5.3342060050724081E-2</v>
      </c>
      <c r="L381" s="15" t="s">
        <v>224</v>
      </c>
      <c r="M381" s="15"/>
    </row>
    <row r="382" spans="1:13" x14ac:dyDescent="0.25">
      <c r="A382" s="16">
        <v>46016</v>
      </c>
      <c r="B382" s="17" t="s">
        <v>171</v>
      </c>
      <c r="C382" s="15">
        <v>1</v>
      </c>
      <c r="D382" s="23" t="s">
        <v>172</v>
      </c>
      <c r="E382" s="15">
        <v>6300</v>
      </c>
      <c r="F382" s="15">
        <v>6021.62</v>
      </c>
      <c r="G382" s="15">
        <f t="shared" si="25"/>
        <v>278.38000000000011</v>
      </c>
      <c r="H382" s="15">
        <f t="shared" si="26"/>
        <v>6300</v>
      </c>
      <c r="I382" s="15">
        <f t="shared" si="27"/>
        <v>6021.62</v>
      </c>
      <c r="J382" s="15">
        <f t="shared" si="28"/>
        <v>278.38000000000011</v>
      </c>
      <c r="K382" s="19">
        <f t="shared" si="29"/>
        <v>4.6230084263038866E-2</v>
      </c>
      <c r="L382" s="15" t="s">
        <v>224</v>
      </c>
      <c r="M382" s="15"/>
    </row>
    <row r="383" spans="1:13" x14ac:dyDescent="0.25">
      <c r="A383" s="16">
        <v>46001</v>
      </c>
      <c r="B383" s="20" t="s">
        <v>14</v>
      </c>
      <c r="C383" s="15">
        <v>1</v>
      </c>
      <c r="D383" s="22">
        <v>355190203370036</v>
      </c>
      <c r="E383" s="15">
        <v>3400</v>
      </c>
      <c r="F383" s="15">
        <v>3379.3</v>
      </c>
      <c r="G383" s="15">
        <f t="shared" si="25"/>
        <v>20.699999999999818</v>
      </c>
      <c r="H383" s="15">
        <f t="shared" si="26"/>
        <v>3400</v>
      </c>
      <c r="I383" s="15">
        <f t="shared" si="27"/>
        <v>3379.3</v>
      </c>
      <c r="J383" s="15">
        <f t="shared" si="28"/>
        <v>20.699999999999818</v>
      </c>
      <c r="K383" s="19">
        <f t="shared" si="29"/>
        <v>6.1255289557008308E-3</v>
      </c>
      <c r="L383" s="15" t="s">
        <v>245</v>
      </c>
      <c r="M383" s="15"/>
    </row>
    <row r="384" spans="1:13" x14ac:dyDescent="0.25">
      <c r="A384" s="10">
        <v>46001</v>
      </c>
      <c r="B384" s="11" t="s">
        <v>14</v>
      </c>
      <c r="C384" s="12">
        <v>1</v>
      </c>
      <c r="D384" s="27">
        <v>357063600515933</v>
      </c>
      <c r="E384" s="12">
        <v>3400</v>
      </c>
      <c r="F384" s="12">
        <v>3487.14</v>
      </c>
      <c r="G384" s="12">
        <f t="shared" si="25"/>
        <v>-87.139999999999873</v>
      </c>
      <c r="H384" s="12">
        <f t="shared" si="26"/>
        <v>3400</v>
      </c>
      <c r="I384" s="12">
        <f t="shared" si="27"/>
        <v>3487.14</v>
      </c>
      <c r="J384" s="12">
        <f t="shared" si="28"/>
        <v>-87.139999999999873</v>
      </c>
      <c r="K384" s="14">
        <f t="shared" si="29"/>
        <v>-2.4988959433805316E-2</v>
      </c>
      <c r="L384" s="12" t="s">
        <v>245</v>
      </c>
      <c r="M384" s="15"/>
    </row>
    <row r="385" spans="1:13" x14ac:dyDescent="0.25">
      <c r="A385" s="16">
        <v>46002</v>
      </c>
      <c r="B385" s="20" t="s">
        <v>14</v>
      </c>
      <c r="C385" s="15">
        <v>1</v>
      </c>
      <c r="D385" s="23">
        <v>359912580620568</v>
      </c>
      <c r="E385" s="15">
        <v>4250</v>
      </c>
      <c r="F385" s="15">
        <v>4062.35</v>
      </c>
      <c r="G385" s="15">
        <f t="shared" si="25"/>
        <v>187.65000000000009</v>
      </c>
      <c r="H385" s="15">
        <f t="shared" si="26"/>
        <v>4250</v>
      </c>
      <c r="I385" s="15">
        <f t="shared" si="27"/>
        <v>4062.35</v>
      </c>
      <c r="J385" s="15">
        <f t="shared" si="28"/>
        <v>187.65000000000009</v>
      </c>
      <c r="K385" s="19">
        <f t="shared" si="29"/>
        <v>4.619247479906953E-2</v>
      </c>
      <c r="L385" s="15" t="s">
        <v>245</v>
      </c>
      <c r="M385" s="15"/>
    </row>
    <row r="386" spans="1:13" x14ac:dyDescent="0.25">
      <c r="A386" s="10">
        <v>46003</v>
      </c>
      <c r="B386" s="11" t="s">
        <v>14</v>
      </c>
      <c r="C386" s="12">
        <v>1</v>
      </c>
      <c r="D386" s="31">
        <v>358419944245901</v>
      </c>
      <c r="E386" s="12">
        <v>3100</v>
      </c>
      <c r="F386" s="12">
        <v>3271.45</v>
      </c>
      <c r="G386" s="12">
        <f t="shared" ref="G386:G403" si="30">E386-F386</f>
        <v>-171.44999999999982</v>
      </c>
      <c r="H386" s="12">
        <f t="shared" ref="H386:H403" si="31">E386*C386</f>
        <v>3100</v>
      </c>
      <c r="I386" s="12">
        <f t="shared" ref="I386:I403" si="32">F386*C386</f>
        <v>3271.45</v>
      </c>
      <c r="J386" s="12">
        <f t="shared" ref="J386:J403" si="33">H386-I386</f>
        <v>-171.44999999999982</v>
      </c>
      <c r="K386" s="14">
        <f t="shared" ref="K386:K403" si="34">(E386-F386)/F386</f>
        <v>-5.2407953659692134E-2</v>
      </c>
      <c r="L386" s="12" t="s">
        <v>245</v>
      </c>
      <c r="M386" s="15"/>
    </row>
    <row r="387" spans="1:13" x14ac:dyDescent="0.25">
      <c r="A387" s="10">
        <v>46007</v>
      </c>
      <c r="B387" s="11" t="s">
        <v>87</v>
      </c>
      <c r="C387" s="12">
        <v>1</v>
      </c>
      <c r="D387" s="31">
        <v>351046972571721</v>
      </c>
      <c r="E387" s="12">
        <v>4090</v>
      </c>
      <c r="F387" s="12">
        <v>4313</v>
      </c>
      <c r="G387" s="12">
        <f t="shared" si="30"/>
        <v>-223</v>
      </c>
      <c r="H387" s="12">
        <f t="shared" si="31"/>
        <v>4090</v>
      </c>
      <c r="I387" s="12">
        <f t="shared" si="32"/>
        <v>4313</v>
      </c>
      <c r="J387" s="12">
        <f t="shared" si="33"/>
        <v>-223</v>
      </c>
      <c r="K387" s="14">
        <f t="shared" si="34"/>
        <v>-5.1704150243450035E-2</v>
      </c>
      <c r="L387" s="12" t="s">
        <v>245</v>
      </c>
      <c r="M387" s="15"/>
    </row>
    <row r="388" spans="1:13" x14ac:dyDescent="0.25">
      <c r="A388" s="16">
        <v>46008</v>
      </c>
      <c r="B388" s="17" t="s">
        <v>88</v>
      </c>
      <c r="C388" s="15">
        <v>1</v>
      </c>
      <c r="D388" s="22" t="s">
        <v>92</v>
      </c>
      <c r="E388" s="15">
        <v>2800</v>
      </c>
      <c r="F388" s="15">
        <v>2696.25</v>
      </c>
      <c r="G388" s="15">
        <f t="shared" si="30"/>
        <v>103.75</v>
      </c>
      <c r="H388" s="15">
        <f t="shared" si="31"/>
        <v>2800</v>
      </c>
      <c r="I388" s="15">
        <f t="shared" si="32"/>
        <v>2696.25</v>
      </c>
      <c r="J388" s="15">
        <f t="shared" si="33"/>
        <v>103.75</v>
      </c>
      <c r="K388" s="19">
        <f t="shared" si="34"/>
        <v>3.8479369494668521E-2</v>
      </c>
      <c r="L388" s="15" t="s">
        <v>245</v>
      </c>
      <c r="M388" s="15"/>
    </row>
    <row r="389" spans="1:13" x14ac:dyDescent="0.25">
      <c r="A389" s="16">
        <v>46002</v>
      </c>
      <c r="B389" s="20" t="s">
        <v>75</v>
      </c>
      <c r="C389" s="15">
        <v>1</v>
      </c>
      <c r="D389" s="22">
        <v>355122366765991</v>
      </c>
      <c r="E389" s="15">
        <v>4350</v>
      </c>
      <c r="F389" s="15">
        <v>4308</v>
      </c>
      <c r="G389" s="15">
        <f t="shared" si="30"/>
        <v>42</v>
      </c>
      <c r="H389" s="15">
        <f t="shared" si="31"/>
        <v>4350</v>
      </c>
      <c r="I389" s="15">
        <f t="shared" si="32"/>
        <v>4308</v>
      </c>
      <c r="J389" s="15">
        <f t="shared" si="33"/>
        <v>42</v>
      </c>
      <c r="K389" s="19">
        <f t="shared" si="34"/>
        <v>9.7493036211699167E-3</v>
      </c>
      <c r="L389" s="15" t="s">
        <v>244</v>
      </c>
      <c r="M389" s="15"/>
    </row>
    <row r="390" spans="1:13" x14ac:dyDescent="0.25">
      <c r="A390" s="16">
        <v>46002</v>
      </c>
      <c r="B390" s="20" t="s">
        <v>75</v>
      </c>
      <c r="C390" s="15">
        <v>1</v>
      </c>
      <c r="D390" s="22">
        <v>354996269786894</v>
      </c>
      <c r="E390" s="15">
        <v>4350</v>
      </c>
      <c r="F390" s="15">
        <v>4308</v>
      </c>
      <c r="G390" s="15">
        <f t="shared" si="30"/>
        <v>42</v>
      </c>
      <c r="H390" s="15">
        <f t="shared" si="31"/>
        <v>4350</v>
      </c>
      <c r="I390" s="15">
        <f t="shared" si="32"/>
        <v>4308</v>
      </c>
      <c r="J390" s="15">
        <f t="shared" si="33"/>
        <v>42</v>
      </c>
      <c r="K390" s="19">
        <f t="shared" si="34"/>
        <v>9.7493036211699167E-3</v>
      </c>
      <c r="L390" s="15" t="s">
        <v>244</v>
      </c>
      <c r="M390" s="15"/>
    </row>
    <row r="391" spans="1:13" x14ac:dyDescent="0.25">
      <c r="A391" s="16">
        <v>45994</v>
      </c>
      <c r="B391" s="17" t="s">
        <v>26</v>
      </c>
      <c r="C391" s="15">
        <v>1</v>
      </c>
      <c r="D391" s="23" t="s">
        <v>27</v>
      </c>
      <c r="E391" s="15">
        <v>1070</v>
      </c>
      <c r="F391" s="15">
        <v>1042.55</v>
      </c>
      <c r="G391" s="15">
        <f t="shared" si="30"/>
        <v>27.450000000000045</v>
      </c>
      <c r="H391" s="15">
        <f t="shared" si="31"/>
        <v>1070</v>
      </c>
      <c r="I391" s="15">
        <f t="shared" si="32"/>
        <v>1042.55</v>
      </c>
      <c r="J391" s="15">
        <f t="shared" si="33"/>
        <v>27.450000000000045</v>
      </c>
      <c r="K391" s="19">
        <f t="shared" si="34"/>
        <v>2.6329672437772813E-2</v>
      </c>
      <c r="L391" s="15" t="s">
        <v>237</v>
      </c>
      <c r="M391" s="15"/>
    </row>
    <row r="392" spans="1:13" x14ac:dyDescent="0.25">
      <c r="A392" s="16">
        <v>45994</v>
      </c>
      <c r="B392" s="17" t="s">
        <v>25</v>
      </c>
      <c r="C392" s="15">
        <v>1</v>
      </c>
      <c r="D392" s="23">
        <v>357241832571441</v>
      </c>
      <c r="E392" s="15">
        <v>2700</v>
      </c>
      <c r="F392" s="15">
        <v>2157</v>
      </c>
      <c r="G392" s="15">
        <f t="shared" si="30"/>
        <v>543</v>
      </c>
      <c r="H392" s="15">
        <f t="shared" si="31"/>
        <v>2700</v>
      </c>
      <c r="I392" s="15">
        <f t="shared" si="32"/>
        <v>2157</v>
      </c>
      <c r="J392" s="15">
        <f t="shared" si="33"/>
        <v>543</v>
      </c>
      <c r="K392" s="19">
        <f t="shared" si="34"/>
        <v>0.2517385257301808</v>
      </c>
      <c r="L392" s="15" t="s">
        <v>237</v>
      </c>
      <c r="M392" s="15"/>
    </row>
    <row r="393" spans="1:13" x14ac:dyDescent="0.25">
      <c r="A393" s="16">
        <v>45994</v>
      </c>
      <c r="B393" s="17" t="s">
        <v>23</v>
      </c>
      <c r="C393" s="15">
        <v>1</v>
      </c>
      <c r="D393" s="23" t="s">
        <v>24</v>
      </c>
      <c r="E393" s="15">
        <v>2350</v>
      </c>
      <c r="F393" s="15">
        <v>2157</v>
      </c>
      <c r="G393" s="15">
        <f t="shared" si="30"/>
        <v>193</v>
      </c>
      <c r="H393" s="15">
        <f t="shared" si="31"/>
        <v>2350</v>
      </c>
      <c r="I393" s="15">
        <f t="shared" si="32"/>
        <v>2157</v>
      </c>
      <c r="J393" s="15">
        <f t="shared" si="33"/>
        <v>193</v>
      </c>
      <c r="K393" s="19">
        <f t="shared" si="34"/>
        <v>8.9476124246638852E-2</v>
      </c>
      <c r="L393" s="15" t="s">
        <v>237</v>
      </c>
      <c r="M393" s="15"/>
    </row>
    <row r="394" spans="1:13" x14ac:dyDescent="0.25">
      <c r="A394" s="10">
        <v>45994</v>
      </c>
      <c r="B394" s="11" t="s">
        <v>17</v>
      </c>
      <c r="C394" s="12">
        <v>1</v>
      </c>
      <c r="D394" s="31">
        <v>358112931600960</v>
      </c>
      <c r="E394" s="12">
        <v>3550</v>
      </c>
      <c r="F394" s="12">
        <v>3595</v>
      </c>
      <c r="G394" s="12">
        <f t="shared" si="30"/>
        <v>-45</v>
      </c>
      <c r="H394" s="12">
        <f t="shared" si="31"/>
        <v>3550</v>
      </c>
      <c r="I394" s="12">
        <f t="shared" si="32"/>
        <v>3595</v>
      </c>
      <c r="J394" s="12">
        <f t="shared" si="33"/>
        <v>-45</v>
      </c>
      <c r="K394" s="14">
        <f t="shared" si="34"/>
        <v>-1.2517385257301807E-2</v>
      </c>
      <c r="L394" s="12" t="s">
        <v>237</v>
      </c>
      <c r="M394" s="15"/>
    </row>
    <row r="395" spans="1:13" x14ac:dyDescent="0.25">
      <c r="A395" s="16">
        <v>46001</v>
      </c>
      <c r="B395" s="20" t="s">
        <v>17</v>
      </c>
      <c r="C395" s="15">
        <v>1</v>
      </c>
      <c r="D395" s="22">
        <v>358112930502035</v>
      </c>
      <c r="E395" s="15">
        <v>3900</v>
      </c>
      <c r="F395" s="15">
        <v>3954.5</v>
      </c>
      <c r="G395" s="15">
        <f t="shared" si="30"/>
        <v>-54.5</v>
      </c>
      <c r="H395" s="15">
        <f t="shared" si="31"/>
        <v>3900</v>
      </c>
      <c r="I395" s="15">
        <f t="shared" si="32"/>
        <v>3954.5</v>
      </c>
      <c r="J395" s="15">
        <f t="shared" si="33"/>
        <v>-54.5</v>
      </c>
      <c r="K395" s="19">
        <f t="shared" si="34"/>
        <v>-1.3781767606524213E-2</v>
      </c>
      <c r="L395" s="15" t="s">
        <v>237</v>
      </c>
      <c r="M395" s="15"/>
    </row>
    <row r="396" spans="1:13" x14ac:dyDescent="0.25">
      <c r="A396" s="16">
        <v>45994</v>
      </c>
      <c r="B396" s="20" t="s">
        <v>18</v>
      </c>
      <c r="C396" s="15">
        <v>1</v>
      </c>
      <c r="D396" s="23">
        <v>352066342255499</v>
      </c>
      <c r="E396" s="15">
        <v>3800</v>
      </c>
      <c r="F396" s="15">
        <v>3595</v>
      </c>
      <c r="G396" s="15">
        <f t="shared" si="30"/>
        <v>205</v>
      </c>
      <c r="H396" s="15">
        <f t="shared" si="31"/>
        <v>3800</v>
      </c>
      <c r="I396" s="15">
        <f t="shared" si="32"/>
        <v>3595</v>
      </c>
      <c r="J396" s="15">
        <f t="shared" si="33"/>
        <v>205</v>
      </c>
      <c r="K396" s="19">
        <f t="shared" si="34"/>
        <v>5.702364394993046E-2</v>
      </c>
      <c r="L396" s="15" t="s">
        <v>237</v>
      </c>
      <c r="M396" s="15"/>
    </row>
    <row r="397" spans="1:13" x14ac:dyDescent="0.25">
      <c r="A397" s="16">
        <v>45994</v>
      </c>
      <c r="B397" s="20" t="s">
        <v>19</v>
      </c>
      <c r="C397" s="15">
        <v>1</v>
      </c>
      <c r="D397" s="23" t="s">
        <v>20</v>
      </c>
      <c r="E397" s="15">
        <v>3750</v>
      </c>
      <c r="F397" s="15">
        <v>3595</v>
      </c>
      <c r="G397" s="15">
        <f t="shared" si="30"/>
        <v>155</v>
      </c>
      <c r="H397" s="15">
        <f t="shared" si="31"/>
        <v>3750</v>
      </c>
      <c r="I397" s="15">
        <f t="shared" si="32"/>
        <v>3595</v>
      </c>
      <c r="J397" s="15">
        <f t="shared" si="33"/>
        <v>155</v>
      </c>
      <c r="K397" s="19">
        <f t="shared" si="34"/>
        <v>4.3115438108484005E-2</v>
      </c>
      <c r="L397" s="15" t="s">
        <v>237</v>
      </c>
      <c r="M397" s="15"/>
    </row>
    <row r="398" spans="1:13" x14ac:dyDescent="0.25">
      <c r="A398" s="16">
        <v>45994</v>
      </c>
      <c r="B398" s="20" t="s">
        <v>19</v>
      </c>
      <c r="C398" s="15">
        <v>1</v>
      </c>
      <c r="D398" s="23" t="s">
        <v>21</v>
      </c>
      <c r="E398" s="15">
        <v>3750</v>
      </c>
      <c r="F398" s="15">
        <v>3595</v>
      </c>
      <c r="G398" s="15">
        <f t="shared" si="30"/>
        <v>155</v>
      </c>
      <c r="H398" s="15">
        <f t="shared" si="31"/>
        <v>3750</v>
      </c>
      <c r="I398" s="15">
        <f t="shared" si="32"/>
        <v>3595</v>
      </c>
      <c r="J398" s="15">
        <f t="shared" si="33"/>
        <v>155</v>
      </c>
      <c r="K398" s="19">
        <f t="shared" si="34"/>
        <v>4.3115438108484005E-2</v>
      </c>
      <c r="L398" s="15" t="s">
        <v>237</v>
      </c>
      <c r="M398" s="15"/>
    </row>
    <row r="399" spans="1:13" x14ac:dyDescent="0.25">
      <c r="A399" s="16">
        <v>45994</v>
      </c>
      <c r="B399" s="20" t="s">
        <v>19</v>
      </c>
      <c r="C399" s="15">
        <v>1</v>
      </c>
      <c r="D399" s="23" t="s">
        <v>22</v>
      </c>
      <c r="E399" s="15">
        <v>3750</v>
      </c>
      <c r="F399" s="15">
        <v>3595</v>
      </c>
      <c r="G399" s="15">
        <f t="shared" si="30"/>
        <v>155</v>
      </c>
      <c r="H399" s="15">
        <f t="shared" si="31"/>
        <v>3750</v>
      </c>
      <c r="I399" s="15">
        <f t="shared" si="32"/>
        <v>3595</v>
      </c>
      <c r="J399" s="15">
        <f t="shared" si="33"/>
        <v>155</v>
      </c>
      <c r="K399" s="19">
        <f t="shared" si="34"/>
        <v>4.3115438108484005E-2</v>
      </c>
      <c r="L399" s="15" t="s">
        <v>237</v>
      </c>
      <c r="M399" s="15"/>
    </row>
    <row r="400" spans="1:13" x14ac:dyDescent="0.25">
      <c r="A400" s="16">
        <v>45994</v>
      </c>
      <c r="B400" s="17" t="s">
        <v>28</v>
      </c>
      <c r="C400" s="15">
        <v>1</v>
      </c>
      <c r="D400" s="23" t="s">
        <v>29</v>
      </c>
      <c r="E400" s="15">
        <v>2950</v>
      </c>
      <c r="F400" s="15">
        <v>2876</v>
      </c>
      <c r="G400" s="15">
        <f t="shared" si="30"/>
        <v>74</v>
      </c>
      <c r="H400" s="15">
        <f t="shared" si="31"/>
        <v>2950</v>
      </c>
      <c r="I400" s="15">
        <f t="shared" si="32"/>
        <v>2876</v>
      </c>
      <c r="J400" s="15">
        <f t="shared" si="33"/>
        <v>74</v>
      </c>
      <c r="K400" s="19">
        <f t="shared" si="34"/>
        <v>2.573018080667594E-2</v>
      </c>
      <c r="L400" s="15" t="s">
        <v>237</v>
      </c>
      <c r="M400" s="15"/>
    </row>
    <row r="401" spans="1:13" x14ac:dyDescent="0.25">
      <c r="A401" s="16">
        <v>45994</v>
      </c>
      <c r="B401" s="17" t="s">
        <v>30</v>
      </c>
      <c r="C401" s="15">
        <v>1</v>
      </c>
      <c r="D401" s="23" t="s">
        <v>31</v>
      </c>
      <c r="E401" s="15">
        <v>3550</v>
      </c>
      <c r="F401" s="15">
        <v>3235.5</v>
      </c>
      <c r="G401" s="15">
        <f t="shared" si="30"/>
        <v>314.5</v>
      </c>
      <c r="H401" s="15">
        <f t="shared" si="31"/>
        <v>3550</v>
      </c>
      <c r="I401" s="15">
        <f t="shared" si="32"/>
        <v>3235.5</v>
      </c>
      <c r="J401" s="15">
        <f t="shared" si="33"/>
        <v>314.5</v>
      </c>
      <c r="K401" s="19">
        <f t="shared" si="34"/>
        <v>9.7202905269664658E-2</v>
      </c>
      <c r="L401" s="15" t="s">
        <v>237</v>
      </c>
      <c r="M401" s="15"/>
    </row>
    <row r="402" spans="1:13" x14ac:dyDescent="0.25">
      <c r="A402" s="16">
        <v>46002</v>
      </c>
      <c r="B402" s="17" t="s">
        <v>76</v>
      </c>
      <c r="C402" s="15">
        <v>1</v>
      </c>
      <c r="D402" s="23">
        <v>352254480127866</v>
      </c>
      <c r="E402" s="15">
        <v>3650</v>
      </c>
      <c r="F402" s="15">
        <v>3523.1</v>
      </c>
      <c r="G402" s="15">
        <f t="shared" si="30"/>
        <v>126.90000000000009</v>
      </c>
      <c r="H402" s="15">
        <f t="shared" si="31"/>
        <v>3650</v>
      </c>
      <c r="I402" s="15">
        <f t="shared" si="32"/>
        <v>3523.1</v>
      </c>
      <c r="J402" s="15">
        <f t="shared" si="33"/>
        <v>126.90000000000009</v>
      </c>
      <c r="K402" s="19">
        <f t="shared" si="34"/>
        <v>3.6019414719990941E-2</v>
      </c>
      <c r="L402" s="15" t="s">
        <v>237</v>
      </c>
      <c r="M402" s="15"/>
    </row>
    <row r="403" spans="1:13" x14ac:dyDescent="0.25">
      <c r="A403" s="10">
        <v>46008</v>
      </c>
      <c r="B403" s="26" t="s">
        <v>95</v>
      </c>
      <c r="C403" s="12">
        <v>1</v>
      </c>
      <c r="D403" s="31">
        <v>356250540549210</v>
      </c>
      <c r="E403" s="12">
        <v>2900</v>
      </c>
      <c r="F403" s="12">
        <v>3235.5</v>
      </c>
      <c r="G403" s="12">
        <f t="shared" si="30"/>
        <v>-335.5</v>
      </c>
      <c r="H403" s="12">
        <f t="shared" si="31"/>
        <v>2900</v>
      </c>
      <c r="I403" s="12">
        <f t="shared" si="32"/>
        <v>3235.5</v>
      </c>
      <c r="J403" s="12">
        <f t="shared" si="33"/>
        <v>-335.5</v>
      </c>
      <c r="K403" s="14">
        <f t="shared" si="34"/>
        <v>-0.10369340132900634</v>
      </c>
      <c r="L403" s="12" t="s">
        <v>237</v>
      </c>
      <c r="M403" s="15"/>
    </row>
    <row r="404" spans="1:13" ht="18.75" x14ac:dyDescent="0.3">
      <c r="H404" s="2" t="s">
        <v>5</v>
      </c>
      <c r="I404" s="2" t="s">
        <v>6</v>
      </c>
      <c r="J404" s="2" t="s">
        <v>7</v>
      </c>
      <c r="K404" s="3" t="s">
        <v>8</v>
      </c>
      <c r="L404" s="61"/>
      <c r="M404" s="62"/>
    </row>
    <row r="405" spans="1:13" x14ac:dyDescent="0.25">
      <c r="H405" s="37">
        <f t="shared" ref="H405:J405" si="35">SUM(H2:H404)</f>
        <v>1306831</v>
      </c>
      <c r="I405" s="37">
        <f t="shared" si="35"/>
        <v>1265822.6800000027</v>
      </c>
      <c r="J405" s="37">
        <f t="shared" si="35"/>
        <v>41008.320000000051</v>
      </c>
      <c r="K405" s="38">
        <f>AVERAGE(K2:K404)</f>
        <v>3.6608873731069441E-2</v>
      </c>
      <c r="L405" s="63"/>
      <c r="M405" s="64"/>
    </row>
    <row r="409" spans="1:13" x14ac:dyDescent="0.25">
      <c r="B409" s="46" t="s">
        <v>248</v>
      </c>
      <c r="C409" s="46" t="s">
        <v>256</v>
      </c>
    </row>
    <row r="410" spans="1:13" x14ac:dyDescent="0.25">
      <c r="B410" s="15" t="s">
        <v>249</v>
      </c>
      <c r="C410" s="15">
        <v>7090.89</v>
      </c>
    </row>
    <row r="411" spans="1:13" x14ac:dyDescent="0.25">
      <c r="B411" s="15" t="s">
        <v>250</v>
      </c>
      <c r="C411" s="15">
        <v>10176.94</v>
      </c>
    </row>
    <row r="412" spans="1:13" x14ac:dyDescent="0.25">
      <c r="B412" s="15" t="s">
        <v>251</v>
      </c>
      <c r="C412" s="15">
        <v>1967</v>
      </c>
    </row>
    <row r="413" spans="1:13" x14ac:dyDescent="0.25">
      <c r="B413" s="15" t="s">
        <v>252</v>
      </c>
      <c r="C413" s="15">
        <v>1438</v>
      </c>
    </row>
    <row r="414" spans="1:13" x14ac:dyDescent="0.25">
      <c r="B414" s="15" t="s">
        <v>253</v>
      </c>
      <c r="C414" s="15">
        <v>130</v>
      </c>
    </row>
    <row r="415" spans="1:13" x14ac:dyDescent="0.25">
      <c r="B415" s="15" t="s">
        <v>254</v>
      </c>
      <c r="C415" s="15">
        <v>112</v>
      </c>
    </row>
    <row r="416" spans="1:13" x14ac:dyDescent="0.25">
      <c r="B416" s="15" t="s">
        <v>255</v>
      </c>
      <c r="C416" s="15">
        <v>90</v>
      </c>
    </row>
    <row r="417" spans="2:3" x14ac:dyDescent="0.25">
      <c r="B417" s="15"/>
      <c r="C417" s="37">
        <f>SUM(C410:C416)</f>
        <v>21004.83</v>
      </c>
    </row>
    <row r="418" spans="2:3" x14ac:dyDescent="0.25">
      <c r="B418" s="15"/>
      <c r="C418" s="15"/>
    </row>
    <row r="419" spans="2:3" ht="21" x14ac:dyDescent="0.35">
      <c r="B419" s="48" t="s">
        <v>257</v>
      </c>
      <c r="C419" s="48">
        <f>J405-C417</f>
        <v>20003.490000000049</v>
      </c>
    </row>
  </sheetData>
  <mergeCells count="1">
    <mergeCell ref="L404:M4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B207-BC27-4620-901A-12698D980CC3}">
  <dimension ref="A1:M44"/>
  <sheetViews>
    <sheetView tabSelected="1" topLeftCell="A9" zoomScale="90" zoomScaleNormal="90" workbookViewId="0">
      <selection activeCell="F39" sqref="F39"/>
    </sheetView>
  </sheetViews>
  <sheetFormatPr defaultRowHeight="15" x14ac:dyDescent="0.25"/>
  <cols>
    <col min="1" max="1" width="11.7109375" customWidth="1"/>
    <col min="2" max="2" width="35.28515625" customWidth="1"/>
    <col min="3" max="3" width="14.5703125" customWidth="1"/>
    <col min="4" max="4" width="17.7109375" customWidth="1"/>
    <col min="5" max="8" width="16" customWidth="1"/>
    <col min="9" max="9" width="20.5703125" customWidth="1"/>
    <col min="10" max="12" width="16" customWidth="1"/>
    <col min="13" max="13" width="19" customWidth="1"/>
  </cols>
  <sheetData>
    <row r="1" spans="1:13" ht="18.75" x14ac:dyDescent="0.3">
      <c r="A1" s="1" t="s">
        <v>0</v>
      </c>
      <c r="B1" s="8" t="s">
        <v>1</v>
      </c>
      <c r="C1" s="1" t="s">
        <v>12</v>
      </c>
      <c r="D1" s="9" t="s">
        <v>10</v>
      </c>
      <c r="E1" s="2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4" t="s">
        <v>9</v>
      </c>
      <c r="M1" s="2" t="s">
        <v>247</v>
      </c>
    </row>
    <row r="2" spans="1:13" x14ac:dyDescent="0.25">
      <c r="A2" s="16">
        <v>45994</v>
      </c>
      <c r="B2" s="20" t="s">
        <v>16</v>
      </c>
      <c r="C2" s="15">
        <v>20</v>
      </c>
      <c r="D2" s="18"/>
      <c r="E2" s="15">
        <v>995</v>
      </c>
      <c r="F2" s="15">
        <v>990</v>
      </c>
      <c r="G2" s="15">
        <f t="shared" ref="G2:G30" si="0">E2-F2</f>
        <v>5</v>
      </c>
      <c r="H2" s="15">
        <f t="shared" ref="H2:H30" si="1">E2*C2</f>
        <v>19900</v>
      </c>
      <c r="I2" s="15">
        <f t="shared" ref="I2:I30" si="2">F2*C2</f>
        <v>19800</v>
      </c>
      <c r="J2" s="15">
        <f t="shared" ref="J2:J30" si="3">H2-I2</f>
        <v>100</v>
      </c>
      <c r="K2" s="19">
        <f t="shared" ref="K2:K30" si="4">(E2-F2)/F2</f>
        <v>5.0505050505050509E-3</v>
      </c>
      <c r="L2" s="15" t="s">
        <v>219</v>
      </c>
      <c r="M2" s="15"/>
    </row>
    <row r="3" spans="1:13" x14ac:dyDescent="0.25">
      <c r="A3" s="10">
        <v>46009</v>
      </c>
      <c r="B3" s="26" t="s">
        <v>35</v>
      </c>
      <c r="C3" s="12">
        <v>5</v>
      </c>
      <c r="D3" s="13"/>
      <c r="E3" s="12">
        <v>1280</v>
      </c>
      <c r="F3" s="12">
        <v>1300</v>
      </c>
      <c r="G3" s="12">
        <f t="shared" si="0"/>
        <v>-20</v>
      </c>
      <c r="H3" s="12">
        <f t="shared" si="1"/>
        <v>6400</v>
      </c>
      <c r="I3" s="12">
        <f t="shared" si="2"/>
        <v>6500</v>
      </c>
      <c r="J3" s="12">
        <f t="shared" si="3"/>
        <v>-100</v>
      </c>
      <c r="K3" s="14">
        <f t="shared" si="4"/>
        <v>-1.5384615384615385E-2</v>
      </c>
      <c r="L3" s="12" t="s">
        <v>219</v>
      </c>
      <c r="M3" s="15"/>
    </row>
    <row r="4" spans="1:13" x14ac:dyDescent="0.25">
      <c r="A4" s="16">
        <v>46017</v>
      </c>
      <c r="B4" s="28" t="s">
        <v>187</v>
      </c>
      <c r="C4" s="15">
        <v>1</v>
      </c>
      <c r="D4" s="18">
        <v>352051377549644</v>
      </c>
      <c r="E4" s="15">
        <v>1721.51</v>
      </c>
      <c r="F4" s="15">
        <v>1509.5</v>
      </c>
      <c r="G4" s="15">
        <f t="shared" si="0"/>
        <v>212.01</v>
      </c>
      <c r="H4" s="15">
        <f t="shared" si="1"/>
        <v>1721.51</v>
      </c>
      <c r="I4" s="15">
        <f t="shared" si="2"/>
        <v>1509.5</v>
      </c>
      <c r="J4" s="15">
        <f t="shared" si="3"/>
        <v>212.01</v>
      </c>
      <c r="K4" s="19">
        <f t="shared" si="4"/>
        <v>0.14045048029148724</v>
      </c>
      <c r="L4" s="15" t="s">
        <v>15</v>
      </c>
      <c r="M4" s="15"/>
    </row>
    <row r="5" spans="1:13" x14ac:dyDescent="0.25">
      <c r="A5" s="16">
        <v>46017</v>
      </c>
      <c r="B5" s="28" t="s">
        <v>101</v>
      </c>
      <c r="C5" s="15">
        <v>1</v>
      </c>
      <c r="D5" s="18">
        <v>354068587980748</v>
      </c>
      <c r="E5" s="15">
        <v>2088.6</v>
      </c>
      <c r="F5" s="15">
        <v>1779.52</v>
      </c>
      <c r="G5" s="15">
        <f t="shared" si="0"/>
        <v>309.07999999999993</v>
      </c>
      <c r="H5" s="15">
        <f t="shared" si="1"/>
        <v>2088.6</v>
      </c>
      <c r="I5" s="15">
        <f t="shared" si="2"/>
        <v>1779.52</v>
      </c>
      <c r="J5" s="15">
        <f t="shared" si="3"/>
        <v>309.07999999999993</v>
      </c>
      <c r="K5" s="19">
        <f t="shared" si="4"/>
        <v>0.17368728645926987</v>
      </c>
      <c r="L5" s="15" t="s">
        <v>15</v>
      </c>
      <c r="M5" s="15"/>
    </row>
    <row r="6" spans="1:13" x14ac:dyDescent="0.25">
      <c r="A6" s="16">
        <v>46008</v>
      </c>
      <c r="B6" s="17" t="s">
        <v>98</v>
      </c>
      <c r="C6" s="15">
        <v>1</v>
      </c>
      <c r="D6" s="18">
        <v>356422163370659</v>
      </c>
      <c r="E6" s="15">
        <v>1759.49</v>
      </c>
      <c r="F6" s="15">
        <v>1400</v>
      </c>
      <c r="G6" s="15">
        <f t="shared" si="0"/>
        <v>359.49</v>
      </c>
      <c r="H6" s="15">
        <f t="shared" si="1"/>
        <v>1759.49</v>
      </c>
      <c r="I6" s="15">
        <f t="shared" si="2"/>
        <v>1400</v>
      </c>
      <c r="J6" s="15">
        <f t="shared" si="3"/>
        <v>359.49</v>
      </c>
      <c r="K6" s="19">
        <f t="shared" si="4"/>
        <v>0.25677857142857141</v>
      </c>
      <c r="L6" s="15" t="s">
        <v>15</v>
      </c>
      <c r="M6" s="15"/>
    </row>
    <row r="7" spans="1:13" x14ac:dyDescent="0.25">
      <c r="A7" s="16">
        <v>46008</v>
      </c>
      <c r="B7" s="17" t="s">
        <v>98</v>
      </c>
      <c r="C7" s="15">
        <v>1</v>
      </c>
      <c r="D7" s="18">
        <v>352306398773718</v>
      </c>
      <c r="E7" s="15">
        <v>1848.1</v>
      </c>
      <c r="F7" s="15">
        <v>1500</v>
      </c>
      <c r="G7" s="15">
        <f t="shared" si="0"/>
        <v>348.09999999999991</v>
      </c>
      <c r="H7" s="15">
        <f t="shared" si="1"/>
        <v>1848.1</v>
      </c>
      <c r="I7" s="15">
        <f t="shared" si="2"/>
        <v>1500</v>
      </c>
      <c r="J7" s="15">
        <f t="shared" si="3"/>
        <v>348.09999999999991</v>
      </c>
      <c r="K7" s="19">
        <f t="shared" si="4"/>
        <v>0.23206666666666662</v>
      </c>
      <c r="L7" s="15" t="s">
        <v>15</v>
      </c>
      <c r="M7" s="15"/>
    </row>
    <row r="8" spans="1:13" x14ac:dyDescent="0.25">
      <c r="A8" s="16">
        <v>46008</v>
      </c>
      <c r="B8" s="17" t="s">
        <v>99</v>
      </c>
      <c r="C8" s="15">
        <v>1</v>
      </c>
      <c r="D8" s="18">
        <v>359896928148079</v>
      </c>
      <c r="E8" s="15">
        <v>2443.0300000000002</v>
      </c>
      <c r="F8" s="15">
        <v>1938.6</v>
      </c>
      <c r="G8" s="15">
        <f t="shared" si="0"/>
        <v>504.43000000000029</v>
      </c>
      <c r="H8" s="15">
        <f t="shared" si="1"/>
        <v>2443.0300000000002</v>
      </c>
      <c r="I8" s="15">
        <f t="shared" si="2"/>
        <v>1938.6</v>
      </c>
      <c r="J8" s="15">
        <f t="shared" si="3"/>
        <v>504.43000000000029</v>
      </c>
      <c r="K8" s="19">
        <f t="shared" si="4"/>
        <v>0.26020323945115048</v>
      </c>
      <c r="L8" s="15" t="s">
        <v>15</v>
      </c>
      <c r="M8" s="15"/>
    </row>
    <row r="9" spans="1:13" x14ac:dyDescent="0.25">
      <c r="A9" s="16">
        <v>46021</v>
      </c>
      <c r="B9" s="17" t="s">
        <v>200</v>
      </c>
      <c r="C9" s="15">
        <v>1</v>
      </c>
      <c r="D9" s="18">
        <v>355688666289239</v>
      </c>
      <c r="E9" s="15">
        <v>2405</v>
      </c>
      <c r="F9" s="15">
        <v>2000</v>
      </c>
      <c r="G9" s="15">
        <f t="shared" si="0"/>
        <v>405</v>
      </c>
      <c r="H9" s="15">
        <f t="shared" si="1"/>
        <v>2405</v>
      </c>
      <c r="I9" s="15">
        <f t="shared" si="2"/>
        <v>2000</v>
      </c>
      <c r="J9" s="15">
        <f t="shared" si="3"/>
        <v>405</v>
      </c>
      <c r="K9" s="19">
        <f t="shared" si="4"/>
        <v>0.20250000000000001</v>
      </c>
      <c r="L9" s="15" t="s">
        <v>15</v>
      </c>
      <c r="M9" s="15" t="s">
        <v>242</v>
      </c>
    </row>
    <row r="10" spans="1:13" x14ac:dyDescent="0.25">
      <c r="A10" s="16">
        <v>45997</v>
      </c>
      <c r="B10" s="17" t="s">
        <v>44</v>
      </c>
      <c r="C10" s="15">
        <v>1</v>
      </c>
      <c r="D10" s="18">
        <v>357590872878102</v>
      </c>
      <c r="E10" s="15">
        <v>2683.54</v>
      </c>
      <c r="F10" s="15">
        <v>2450</v>
      </c>
      <c r="G10" s="15">
        <f t="shared" si="0"/>
        <v>233.53999999999996</v>
      </c>
      <c r="H10" s="15">
        <f t="shared" si="1"/>
        <v>2683.54</v>
      </c>
      <c r="I10" s="15">
        <f t="shared" si="2"/>
        <v>2450</v>
      </c>
      <c r="J10" s="15">
        <f t="shared" si="3"/>
        <v>233.53999999999996</v>
      </c>
      <c r="K10" s="19">
        <f t="shared" si="4"/>
        <v>9.5322448979591828E-2</v>
      </c>
      <c r="L10" s="15" t="s">
        <v>15</v>
      </c>
      <c r="M10" s="15"/>
    </row>
    <row r="11" spans="1:13" x14ac:dyDescent="0.25">
      <c r="A11" s="16">
        <v>46000</v>
      </c>
      <c r="B11" s="17" t="s">
        <v>44</v>
      </c>
      <c r="C11" s="15">
        <v>1</v>
      </c>
      <c r="D11" s="18">
        <v>358536509832102</v>
      </c>
      <c r="E11" s="15">
        <v>2784.81</v>
      </c>
      <c r="F11" s="15">
        <v>2450</v>
      </c>
      <c r="G11" s="15">
        <f t="shared" si="0"/>
        <v>334.80999999999995</v>
      </c>
      <c r="H11" s="15">
        <f t="shared" si="1"/>
        <v>2784.81</v>
      </c>
      <c r="I11" s="15">
        <f t="shared" si="2"/>
        <v>2450</v>
      </c>
      <c r="J11" s="15">
        <f t="shared" si="3"/>
        <v>334.80999999999995</v>
      </c>
      <c r="K11" s="19">
        <f t="shared" si="4"/>
        <v>0.13665714285714284</v>
      </c>
      <c r="L11" s="15" t="s">
        <v>15</v>
      </c>
      <c r="M11" s="15"/>
    </row>
    <row r="12" spans="1:13" x14ac:dyDescent="0.25">
      <c r="A12" s="16">
        <v>46010</v>
      </c>
      <c r="B12" s="17" t="s">
        <v>44</v>
      </c>
      <c r="C12" s="15">
        <v>1</v>
      </c>
      <c r="D12" s="18">
        <v>357590875104589</v>
      </c>
      <c r="E12" s="15">
        <v>3164.55</v>
      </c>
      <c r="F12" s="15">
        <v>2300</v>
      </c>
      <c r="G12" s="15">
        <f t="shared" si="0"/>
        <v>864.55000000000018</v>
      </c>
      <c r="H12" s="15">
        <f t="shared" si="1"/>
        <v>3164.55</v>
      </c>
      <c r="I12" s="15">
        <f t="shared" si="2"/>
        <v>2300</v>
      </c>
      <c r="J12" s="15">
        <f t="shared" si="3"/>
        <v>864.55000000000018</v>
      </c>
      <c r="K12" s="19">
        <f t="shared" si="4"/>
        <v>0.37589130434782614</v>
      </c>
      <c r="L12" s="15" t="s">
        <v>15</v>
      </c>
      <c r="M12" s="15"/>
    </row>
    <row r="13" spans="1:13" x14ac:dyDescent="0.25">
      <c r="A13" s="16">
        <v>46014</v>
      </c>
      <c r="B13" s="17" t="s">
        <v>44</v>
      </c>
      <c r="C13" s="15">
        <v>1</v>
      </c>
      <c r="D13" s="18">
        <v>358594363895913</v>
      </c>
      <c r="E13" s="15">
        <v>2430.37</v>
      </c>
      <c r="F13" s="15">
        <v>2336.75</v>
      </c>
      <c r="G13" s="15">
        <f t="shared" si="0"/>
        <v>93.619999999999891</v>
      </c>
      <c r="H13" s="15">
        <f t="shared" si="1"/>
        <v>2430.37</v>
      </c>
      <c r="I13" s="15">
        <f t="shared" si="2"/>
        <v>2336.75</v>
      </c>
      <c r="J13" s="15">
        <f t="shared" si="3"/>
        <v>93.619999999999891</v>
      </c>
      <c r="K13" s="19">
        <f t="shared" si="4"/>
        <v>4.0064191719268165E-2</v>
      </c>
      <c r="L13" s="15" t="s">
        <v>15</v>
      </c>
      <c r="M13" s="15"/>
    </row>
    <row r="14" spans="1:13" x14ac:dyDescent="0.25">
      <c r="A14" s="16">
        <v>45997</v>
      </c>
      <c r="B14" s="17" t="s">
        <v>45</v>
      </c>
      <c r="C14" s="15">
        <v>1</v>
      </c>
      <c r="D14" s="18">
        <v>351614405880207</v>
      </c>
      <c r="E14" s="15">
        <v>2873.41</v>
      </c>
      <c r="F14" s="15">
        <v>2500</v>
      </c>
      <c r="G14" s="15">
        <f t="shared" si="0"/>
        <v>373.40999999999985</v>
      </c>
      <c r="H14" s="15">
        <f t="shared" si="1"/>
        <v>2873.41</v>
      </c>
      <c r="I14" s="15">
        <f t="shared" si="2"/>
        <v>2500</v>
      </c>
      <c r="J14" s="15">
        <f t="shared" si="3"/>
        <v>373.40999999999985</v>
      </c>
      <c r="K14" s="19">
        <f t="shared" si="4"/>
        <v>0.14936399999999994</v>
      </c>
      <c r="L14" s="15" t="s">
        <v>15</v>
      </c>
      <c r="M14" s="15"/>
    </row>
    <row r="15" spans="1:13" x14ac:dyDescent="0.25">
      <c r="A15" s="16">
        <v>46014</v>
      </c>
      <c r="B15" s="20" t="s">
        <v>45</v>
      </c>
      <c r="C15" s="15">
        <v>1</v>
      </c>
      <c r="D15" s="18">
        <v>357590877788512</v>
      </c>
      <c r="E15" s="15">
        <v>2746.83</v>
      </c>
      <c r="F15" s="15">
        <v>2500</v>
      </c>
      <c r="G15" s="15">
        <f t="shared" si="0"/>
        <v>246.82999999999993</v>
      </c>
      <c r="H15" s="15">
        <f t="shared" si="1"/>
        <v>2746.83</v>
      </c>
      <c r="I15" s="15">
        <f t="shared" si="2"/>
        <v>2500</v>
      </c>
      <c r="J15" s="15">
        <f t="shared" si="3"/>
        <v>246.82999999999993</v>
      </c>
      <c r="K15" s="19">
        <f t="shared" si="4"/>
        <v>9.8731999999999973E-2</v>
      </c>
      <c r="L15" s="15" t="s">
        <v>15</v>
      </c>
      <c r="M15" s="15"/>
    </row>
    <row r="16" spans="1:13" x14ac:dyDescent="0.25">
      <c r="A16" s="16">
        <v>46000</v>
      </c>
      <c r="B16" s="17" t="s">
        <v>47</v>
      </c>
      <c r="C16" s="15">
        <v>1</v>
      </c>
      <c r="D16" s="18">
        <v>358619223211355</v>
      </c>
      <c r="E16" s="15">
        <v>2341.77</v>
      </c>
      <c r="F16" s="15">
        <v>1920</v>
      </c>
      <c r="G16" s="15">
        <f t="shared" si="0"/>
        <v>421.77</v>
      </c>
      <c r="H16" s="15">
        <f t="shared" si="1"/>
        <v>2341.77</v>
      </c>
      <c r="I16" s="15">
        <f t="shared" si="2"/>
        <v>1920</v>
      </c>
      <c r="J16" s="15">
        <f t="shared" si="3"/>
        <v>421.77</v>
      </c>
      <c r="K16" s="19">
        <f t="shared" si="4"/>
        <v>0.21967187499999999</v>
      </c>
      <c r="L16" s="15" t="s">
        <v>15</v>
      </c>
      <c r="M16" s="15"/>
    </row>
    <row r="17" spans="1:13" x14ac:dyDescent="0.25">
      <c r="A17" s="16">
        <v>46017</v>
      </c>
      <c r="B17" s="28" t="s">
        <v>186</v>
      </c>
      <c r="C17" s="15">
        <v>1</v>
      </c>
      <c r="D17" s="18">
        <v>352440634883294</v>
      </c>
      <c r="E17" s="15">
        <v>2784.81</v>
      </c>
      <c r="F17" s="15">
        <v>2444.6</v>
      </c>
      <c r="G17" s="15">
        <f t="shared" si="0"/>
        <v>340.21000000000004</v>
      </c>
      <c r="H17" s="15">
        <f t="shared" si="1"/>
        <v>2784.81</v>
      </c>
      <c r="I17" s="15">
        <f t="shared" si="2"/>
        <v>2444.6</v>
      </c>
      <c r="J17" s="15">
        <f t="shared" si="3"/>
        <v>340.21000000000004</v>
      </c>
      <c r="K17" s="19">
        <f t="shared" si="4"/>
        <v>0.13916796203877937</v>
      </c>
      <c r="L17" s="15" t="s">
        <v>15</v>
      </c>
      <c r="M17" s="15"/>
    </row>
    <row r="18" spans="1:13" x14ac:dyDescent="0.25">
      <c r="A18" s="16">
        <v>46010</v>
      </c>
      <c r="B18" s="17" t="s">
        <v>48</v>
      </c>
      <c r="C18" s="15">
        <v>1</v>
      </c>
      <c r="D18" s="18">
        <v>355122361879748</v>
      </c>
      <c r="E18" s="15">
        <v>2822.78</v>
      </c>
      <c r="F18" s="15">
        <v>2444.6</v>
      </c>
      <c r="G18" s="15">
        <f t="shared" si="0"/>
        <v>378.18000000000029</v>
      </c>
      <c r="H18" s="15">
        <f t="shared" si="1"/>
        <v>2822.78</v>
      </c>
      <c r="I18" s="15">
        <f t="shared" si="2"/>
        <v>2444.6</v>
      </c>
      <c r="J18" s="15">
        <f t="shared" si="3"/>
        <v>378.18000000000029</v>
      </c>
      <c r="K18" s="19">
        <f t="shared" si="4"/>
        <v>0.15470015544465365</v>
      </c>
      <c r="L18" s="15" t="s">
        <v>15</v>
      </c>
      <c r="M18" s="15"/>
    </row>
    <row r="19" spans="1:13" x14ac:dyDescent="0.25">
      <c r="A19" s="16">
        <v>46010</v>
      </c>
      <c r="B19" s="17" t="s">
        <v>48</v>
      </c>
      <c r="C19" s="15">
        <v>1</v>
      </c>
      <c r="D19" s="18">
        <v>356250543515705</v>
      </c>
      <c r="E19" s="15">
        <v>3037.97</v>
      </c>
      <c r="F19" s="15">
        <v>2444.6</v>
      </c>
      <c r="G19" s="15">
        <f t="shared" si="0"/>
        <v>593.36999999999989</v>
      </c>
      <c r="H19" s="15">
        <f t="shared" si="1"/>
        <v>3037.97</v>
      </c>
      <c r="I19" s="15">
        <f t="shared" si="2"/>
        <v>2444.6</v>
      </c>
      <c r="J19" s="15">
        <f t="shared" si="3"/>
        <v>593.36999999999989</v>
      </c>
      <c r="K19" s="19">
        <f t="shared" si="4"/>
        <v>0.24272682647467886</v>
      </c>
      <c r="L19" s="15" t="s">
        <v>15</v>
      </c>
      <c r="M19" s="15"/>
    </row>
    <row r="20" spans="1:13" x14ac:dyDescent="0.25">
      <c r="A20" s="16">
        <v>46014</v>
      </c>
      <c r="B20" s="20" t="s">
        <v>48</v>
      </c>
      <c r="C20" s="15">
        <v>1</v>
      </c>
      <c r="D20" s="18">
        <v>350455772813251</v>
      </c>
      <c r="E20" s="15">
        <v>2936.7</v>
      </c>
      <c r="F20" s="15">
        <v>2678.27</v>
      </c>
      <c r="G20" s="15">
        <f t="shared" si="0"/>
        <v>258.42999999999984</v>
      </c>
      <c r="H20" s="15">
        <f t="shared" si="1"/>
        <v>2936.7</v>
      </c>
      <c r="I20" s="15">
        <f t="shared" si="2"/>
        <v>2678.27</v>
      </c>
      <c r="J20" s="15">
        <f t="shared" si="3"/>
        <v>258.42999999999984</v>
      </c>
      <c r="K20" s="19">
        <f t="shared" si="4"/>
        <v>9.6491391831294016E-2</v>
      </c>
      <c r="L20" s="15" t="s">
        <v>15</v>
      </c>
      <c r="M20" s="15"/>
    </row>
    <row r="21" spans="1:13" x14ac:dyDescent="0.25">
      <c r="A21" s="16">
        <v>46016</v>
      </c>
      <c r="B21" s="24" t="s">
        <v>185</v>
      </c>
      <c r="C21" s="15">
        <v>1</v>
      </c>
      <c r="D21" s="18">
        <v>358419949083596</v>
      </c>
      <c r="E21" s="15">
        <v>3164.55</v>
      </c>
      <c r="F21" s="15">
        <v>2876</v>
      </c>
      <c r="G21" s="15">
        <f t="shared" si="0"/>
        <v>288.55000000000018</v>
      </c>
      <c r="H21" s="15">
        <f t="shared" si="1"/>
        <v>3164.55</v>
      </c>
      <c r="I21" s="15">
        <f t="shared" si="2"/>
        <v>2876</v>
      </c>
      <c r="J21" s="15">
        <f t="shared" si="3"/>
        <v>288.55000000000018</v>
      </c>
      <c r="K21" s="19">
        <f t="shared" si="4"/>
        <v>0.10033031988873442</v>
      </c>
      <c r="L21" s="15" t="s">
        <v>15</v>
      </c>
      <c r="M21" s="15"/>
    </row>
    <row r="22" spans="1:13" x14ac:dyDescent="0.25">
      <c r="A22" s="16">
        <v>46017</v>
      </c>
      <c r="B22" s="24" t="s">
        <v>185</v>
      </c>
      <c r="C22" s="15">
        <v>1</v>
      </c>
      <c r="D22" s="18">
        <v>357778145090882</v>
      </c>
      <c r="E22" s="15">
        <v>5405.06</v>
      </c>
      <c r="F22" s="15">
        <v>4432.8599999999997</v>
      </c>
      <c r="G22" s="15">
        <f t="shared" si="0"/>
        <v>972.20000000000073</v>
      </c>
      <c r="H22" s="15">
        <f t="shared" si="1"/>
        <v>5405.06</v>
      </c>
      <c r="I22" s="15">
        <f t="shared" si="2"/>
        <v>4432.8599999999997</v>
      </c>
      <c r="J22" s="15">
        <f t="shared" si="3"/>
        <v>972.20000000000073</v>
      </c>
      <c r="K22" s="19">
        <f t="shared" si="4"/>
        <v>0.21931664884521523</v>
      </c>
      <c r="L22" s="15" t="s">
        <v>15</v>
      </c>
      <c r="M22" s="15"/>
    </row>
    <row r="23" spans="1:13" x14ac:dyDescent="0.25">
      <c r="A23" s="16">
        <v>45993</v>
      </c>
      <c r="B23" s="20" t="s">
        <v>14</v>
      </c>
      <c r="C23" s="15">
        <v>1</v>
      </c>
      <c r="D23" s="18">
        <v>356364241281864</v>
      </c>
      <c r="E23" s="15">
        <v>4050.63</v>
      </c>
      <c r="F23" s="15">
        <v>3650</v>
      </c>
      <c r="G23" s="15">
        <f t="shared" si="0"/>
        <v>400.63000000000011</v>
      </c>
      <c r="H23" s="15">
        <f t="shared" si="1"/>
        <v>4050.63</v>
      </c>
      <c r="I23" s="15">
        <f t="shared" si="2"/>
        <v>3650</v>
      </c>
      <c r="J23" s="15">
        <f t="shared" si="3"/>
        <v>400.63000000000011</v>
      </c>
      <c r="K23" s="19">
        <f t="shared" si="4"/>
        <v>0.10976164383561647</v>
      </c>
      <c r="L23" s="15" t="s">
        <v>15</v>
      </c>
      <c r="M23" s="15"/>
    </row>
    <row r="24" spans="1:13" x14ac:dyDescent="0.25">
      <c r="A24" s="16">
        <v>45996</v>
      </c>
      <c r="B24" s="20" t="s">
        <v>14</v>
      </c>
      <c r="C24" s="15">
        <v>1</v>
      </c>
      <c r="D24" s="18">
        <v>355190202813101</v>
      </c>
      <c r="E24" s="15">
        <v>3607.59</v>
      </c>
      <c r="F24" s="15">
        <v>3338.7</v>
      </c>
      <c r="G24" s="15">
        <f t="shared" si="0"/>
        <v>268.89000000000033</v>
      </c>
      <c r="H24" s="15">
        <f t="shared" si="1"/>
        <v>3607.59</v>
      </c>
      <c r="I24" s="15">
        <f t="shared" si="2"/>
        <v>3338.7</v>
      </c>
      <c r="J24" s="15">
        <f t="shared" si="3"/>
        <v>268.89000000000033</v>
      </c>
      <c r="K24" s="19">
        <f t="shared" si="4"/>
        <v>8.0537334890825873E-2</v>
      </c>
      <c r="L24" s="15" t="s">
        <v>15</v>
      </c>
      <c r="M24" s="15"/>
    </row>
    <row r="25" spans="1:13" x14ac:dyDescent="0.25">
      <c r="A25" s="16">
        <v>46010</v>
      </c>
      <c r="B25" s="20" t="s">
        <v>14</v>
      </c>
      <c r="C25" s="15">
        <v>1</v>
      </c>
      <c r="D25" s="18">
        <v>355450219958756</v>
      </c>
      <c r="E25" s="15">
        <v>3835.44</v>
      </c>
      <c r="F25" s="15">
        <v>3199.5</v>
      </c>
      <c r="G25" s="15">
        <f t="shared" si="0"/>
        <v>635.94000000000005</v>
      </c>
      <c r="H25" s="15">
        <f t="shared" si="1"/>
        <v>3835.44</v>
      </c>
      <c r="I25" s="15">
        <f t="shared" si="2"/>
        <v>3199.5</v>
      </c>
      <c r="J25" s="15">
        <f t="shared" si="3"/>
        <v>635.94000000000005</v>
      </c>
      <c r="K25" s="19">
        <f t="shared" si="4"/>
        <v>0.19876230661040789</v>
      </c>
      <c r="L25" s="15" t="s">
        <v>15</v>
      </c>
      <c r="M25" s="15"/>
    </row>
    <row r="26" spans="1:13" x14ac:dyDescent="0.25">
      <c r="A26" s="16">
        <v>46014</v>
      </c>
      <c r="B26" s="20" t="s">
        <v>14</v>
      </c>
      <c r="C26" s="15">
        <v>1</v>
      </c>
      <c r="D26" s="18">
        <v>358452496582196</v>
      </c>
      <c r="E26" s="15">
        <v>3835.44</v>
      </c>
      <c r="F26" s="15">
        <v>3217.52</v>
      </c>
      <c r="G26" s="15">
        <f t="shared" si="0"/>
        <v>617.92000000000007</v>
      </c>
      <c r="H26" s="15">
        <f t="shared" si="1"/>
        <v>3835.44</v>
      </c>
      <c r="I26" s="15">
        <f t="shared" si="2"/>
        <v>3217.52</v>
      </c>
      <c r="J26" s="15">
        <f t="shared" si="3"/>
        <v>617.92000000000007</v>
      </c>
      <c r="K26" s="19">
        <f t="shared" si="4"/>
        <v>0.19204853427484525</v>
      </c>
      <c r="L26" s="15" t="s">
        <v>15</v>
      </c>
      <c r="M26" s="15"/>
    </row>
    <row r="27" spans="1:13" x14ac:dyDescent="0.25">
      <c r="A27" s="16">
        <v>46014</v>
      </c>
      <c r="B27" s="20" t="s">
        <v>14</v>
      </c>
      <c r="C27" s="15">
        <v>1</v>
      </c>
      <c r="D27" s="18">
        <v>356364248919656</v>
      </c>
      <c r="E27" s="15">
        <v>3898.73</v>
      </c>
      <c r="F27" s="15">
        <v>3217.52</v>
      </c>
      <c r="G27" s="15">
        <f t="shared" si="0"/>
        <v>681.21</v>
      </c>
      <c r="H27" s="15">
        <f t="shared" si="1"/>
        <v>3898.73</v>
      </c>
      <c r="I27" s="15">
        <f t="shared" si="2"/>
        <v>3217.52</v>
      </c>
      <c r="J27" s="15">
        <f t="shared" si="3"/>
        <v>681.21</v>
      </c>
      <c r="K27" s="19">
        <f t="shared" si="4"/>
        <v>0.21171896367388549</v>
      </c>
      <c r="L27" s="15" t="s">
        <v>15</v>
      </c>
      <c r="M27" s="15"/>
    </row>
    <row r="28" spans="1:13" x14ac:dyDescent="0.25">
      <c r="A28" s="16">
        <v>46015</v>
      </c>
      <c r="B28" s="20" t="s">
        <v>14</v>
      </c>
      <c r="C28" s="15">
        <v>1</v>
      </c>
      <c r="D28" s="18">
        <v>359802892958030</v>
      </c>
      <c r="E28" s="15">
        <v>3898.73</v>
      </c>
      <c r="F28" s="15">
        <v>3217.52</v>
      </c>
      <c r="G28" s="15">
        <f t="shared" si="0"/>
        <v>681.21</v>
      </c>
      <c r="H28" s="15">
        <f t="shared" si="1"/>
        <v>3898.73</v>
      </c>
      <c r="I28" s="15">
        <f t="shared" si="2"/>
        <v>3217.52</v>
      </c>
      <c r="J28" s="15">
        <f t="shared" si="3"/>
        <v>681.21</v>
      </c>
      <c r="K28" s="19">
        <f t="shared" si="4"/>
        <v>0.21171896367388549</v>
      </c>
      <c r="L28" s="15" t="s">
        <v>15</v>
      </c>
      <c r="M28" s="15"/>
    </row>
    <row r="29" spans="1:13" x14ac:dyDescent="0.25">
      <c r="A29" s="16">
        <v>45997</v>
      </c>
      <c r="B29" s="17" t="s">
        <v>43</v>
      </c>
      <c r="C29" s="15">
        <v>1</v>
      </c>
      <c r="D29" s="18">
        <v>350795041810137</v>
      </c>
      <c r="E29" s="15">
        <v>2037.97</v>
      </c>
      <c r="F29" s="15">
        <v>1820</v>
      </c>
      <c r="G29" s="15">
        <f t="shared" si="0"/>
        <v>217.97000000000003</v>
      </c>
      <c r="H29" s="15">
        <f t="shared" si="1"/>
        <v>2037.97</v>
      </c>
      <c r="I29" s="15">
        <f t="shared" si="2"/>
        <v>1820</v>
      </c>
      <c r="J29" s="15">
        <f t="shared" si="3"/>
        <v>217.97000000000003</v>
      </c>
      <c r="K29" s="19">
        <f t="shared" si="4"/>
        <v>0.11976373626373628</v>
      </c>
      <c r="L29" s="15" t="s">
        <v>15</v>
      </c>
      <c r="M29" s="15"/>
    </row>
    <row r="30" spans="1:13" x14ac:dyDescent="0.25">
      <c r="A30" s="16">
        <v>46015</v>
      </c>
      <c r="B30" s="20" t="s">
        <v>134</v>
      </c>
      <c r="C30" s="15">
        <v>1</v>
      </c>
      <c r="D30" s="18">
        <v>354035830382634</v>
      </c>
      <c r="E30" s="15">
        <v>1898.73</v>
      </c>
      <c r="F30" s="15">
        <v>1400</v>
      </c>
      <c r="G30" s="15">
        <f t="shared" si="0"/>
        <v>498.73</v>
      </c>
      <c r="H30" s="15">
        <f t="shared" si="1"/>
        <v>1898.73</v>
      </c>
      <c r="I30" s="15">
        <f t="shared" si="2"/>
        <v>1400</v>
      </c>
      <c r="J30" s="15">
        <f t="shared" si="3"/>
        <v>498.73</v>
      </c>
      <c r="K30" s="19">
        <f t="shared" si="4"/>
        <v>0.35623571428571432</v>
      </c>
      <c r="L30" s="15" t="s">
        <v>241</v>
      </c>
      <c r="M30" s="15"/>
    </row>
    <row r="31" spans="1:13" ht="18.75" x14ac:dyDescent="0.3">
      <c r="H31" s="2" t="s">
        <v>5</v>
      </c>
      <c r="I31" s="2" t="s">
        <v>6</v>
      </c>
      <c r="J31" s="2" t="s">
        <v>7</v>
      </c>
      <c r="K31" s="3" t="s">
        <v>8</v>
      </c>
      <c r="L31" s="61"/>
      <c r="M31" s="62"/>
    </row>
    <row r="32" spans="1:13" x14ac:dyDescent="0.25">
      <c r="H32" s="37">
        <f t="shared" ref="H32:J32" si="5">SUM(H2:H31)</f>
        <v>104806.13999999998</v>
      </c>
      <c r="I32" s="37">
        <f t="shared" si="5"/>
        <v>93266.060000000012</v>
      </c>
      <c r="J32" s="37">
        <f t="shared" si="5"/>
        <v>11540.08</v>
      </c>
      <c r="K32" s="38">
        <f>AVERAGE(K2:K31)</f>
        <v>0.16566674478962543</v>
      </c>
      <c r="L32" s="63"/>
      <c r="M32" s="64"/>
    </row>
    <row r="34" spans="2:3" x14ac:dyDescent="0.25">
      <c r="B34" s="49" t="s">
        <v>277</v>
      </c>
      <c r="C34" s="49" t="s">
        <v>256</v>
      </c>
    </row>
    <row r="35" spans="2:3" x14ac:dyDescent="0.25">
      <c r="B35" s="15" t="s">
        <v>270</v>
      </c>
      <c r="C35" s="15">
        <v>26219.4</v>
      </c>
    </row>
    <row r="36" spans="2:3" x14ac:dyDescent="0.25">
      <c r="B36" s="15" t="s">
        <v>271</v>
      </c>
      <c r="C36" s="15">
        <v>1825</v>
      </c>
    </row>
    <row r="37" spans="2:3" x14ac:dyDescent="0.25">
      <c r="B37" s="15" t="s">
        <v>272</v>
      </c>
      <c r="C37" s="15">
        <v>15000</v>
      </c>
    </row>
    <row r="38" spans="2:3" x14ac:dyDescent="0.25">
      <c r="B38" s="15" t="s">
        <v>273</v>
      </c>
      <c r="C38" s="15">
        <v>18000</v>
      </c>
    </row>
    <row r="39" spans="2:3" x14ac:dyDescent="0.25">
      <c r="B39" s="15" t="s">
        <v>274</v>
      </c>
      <c r="C39" s="15">
        <v>480</v>
      </c>
    </row>
    <row r="40" spans="2:3" x14ac:dyDescent="0.25">
      <c r="B40" s="15" t="s">
        <v>275</v>
      </c>
      <c r="C40" s="15">
        <v>70</v>
      </c>
    </row>
    <row r="41" spans="2:3" x14ac:dyDescent="0.25">
      <c r="B41" s="15" t="s">
        <v>276</v>
      </c>
      <c r="C41" s="15">
        <v>15770</v>
      </c>
    </row>
    <row r="42" spans="2:3" x14ac:dyDescent="0.25">
      <c r="B42" s="15"/>
      <c r="C42" s="37">
        <f>SUM(C35:C41)</f>
        <v>77364.399999999994</v>
      </c>
    </row>
    <row r="43" spans="2:3" x14ac:dyDescent="0.25">
      <c r="B43" s="15"/>
      <c r="C43" s="15"/>
    </row>
    <row r="44" spans="2:3" ht="15.75" x14ac:dyDescent="0.25">
      <c r="B44" s="50" t="s">
        <v>278</v>
      </c>
      <c r="C44" s="50">
        <f>J32-C42</f>
        <v>-65824.319999999992</v>
      </c>
    </row>
  </sheetData>
  <mergeCells count="1">
    <mergeCell ref="L31:M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D05E-FA21-4DA1-92DD-ADB4E4D3649F}">
  <dimension ref="A1:M20"/>
  <sheetViews>
    <sheetView zoomScale="90" zoomScaleNormal="90" workbookViewId="0">
      <selection activeCell="C20" sqref="C20"/>
    </sheetView>
  </sheetViews>
  <sheetFormatPr defaultRowHeight="15" x14ac:dyDescent="0.25"/>
  <cols>
    <col min="1" max="1" width="14" customWidth="1"/>
    <col min="2" max="2" width="31.28515625" customWidth="1"/>
    <col min="3" max="3" width="16.85546875" customWidth="1"/>
    <col min="4" max="13" width="17" customWidth="1"/>
  </cols>
  <sheetData>
    <row r="1" spans="1:13" ht="18.75" x14ac:dyDescent="0.3">
      <c r="A1" s="1" t="s">
        <v>0</v>
      </c>
      <c r="B1" s="8" t="s">
        <v>1</v>
      </c>
      <c r="C1" s="1" t="s">
        <v>12</v>
      </c>
      <c r="D1" s="9" t="s">
        <v>10</v>
      </c>
      <c r="E1" s="2" t="s">
        <v>2</v>
      </c>
      <c r="F1" s="2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4" t="s">
        <v>9</v>
      </c>
      <c r="M1" s="2" t="s">
        <v>247</v>
      </c>
    </row>
    <row r="2" spans="1:13" x14ac:dyDescent="0.25">
      <c r="A2" s="16">
        <v>45995</v>
      </c>
      <c r="B2" s="17" t="s">
        <v>33</v>
      </c>
      <c r="C2" s="15">
        <v>4</v>
      </c>
      <c r="D2" s="18"/>
      <c r="E2" s="15">
        <v>3500</v>
      </c>
      <c r="F2" s="15">
        <v>2515.5500000000002</v>
      </c>
      <c r="G2" s="15">
        <f t="shared" ref="G2:G8" si="0">E2-F2</f>
        <v>984.44999999999982</v>
      </c>
      <c r="H2" s="15">
        <f t="shared" ref="H2:H8" si="1">E2*C2</f>
        <v>14000</v>
      </c>
      <c r="I2" s="15">
        <f t="shared" ref="I2:I8" si="2">F2*C2</f>
        <v>10062.200000000001</v>
      </c>
      <c r="J2" s="15">
        <f t="shared" ref="J2:J8" si="3">H2-I2</f>
        <v>3937.7999999999993</v>
      </c>
      <c r="K2" s="19">
        <f t="shared" ref="K2:K8" si="4">(E2-F2)/F2</f>
        <v>0.39134582894396841</v>
      </c>
      <c r="L2" s="15" t="s">
        <v>218</v>
      </c>
      <c r="M2" s="15"/>
    </row>
    <row r="3" spans="1:13" x14ac:dyDescent="0.25">
      <c r="A3" s="16">
        <v>45995</v>
      </c>
      <c r="B3" s="17" t="s">
        <v>33</v>
      </c>
      <c r="C3" s="15">
        <v>10</v>
      </c>
      <c r="D3" s="18"/>
      <c r="E3" s="15">
        <v>3500</v>
      </c>
      <c r="F3" s="15">
        <v>2515.5500000000002</v>
      </c>
      <c r="G3" s="15">
        <f t="shared" si="0"/>
        <v>984.44999999999982</v>
      </c>
      <c r="H3" s="15">
        <f t="shared" si="1"/>
        <v>35000</v>
      </c>
      <c r="I3" s="15">
        <f t="shared" si="2"/>
        <v>25155.5</v>
      </c>
      <c r="J3" s="15">
        <f t="shared" si="3"/>
        <v>9844.5</v>
      </c>
      <c r="K3" s="19">
        <f t="shared" si="4"/>
        <v>0.39134582894396841</v>
      </c>
      <c r="L3" s="15" t="s">
        <v>218</v>
      </c>
      <c r="M3" s="15"/>
    </row>
    <row r="4" spans="1:13" x14ac:dyDescent="0.25">
      <c r="A4" s="16">
        <v>46002</v>
      </c>
      <c r="B4" s="20" t="s">
        <v>33</v>
      </c>
      <c r="C4" s="15">
        <v>3</v>
      </c>
      <c r="D4" s="18"/>
      <c r="E4" s="15">
        <v>3550</v>
      </c>
      <c r="F4" s="15">
        <v>2515.5500000000002</v>
      </c>
      <c r="G4" s="15">
        <f t="shared" si="0"/>
        <v>1034.4499999999998</v>
      </c>
      <c r="H4" s="15">
        <f t="shared" si="1"/>
        <v>10650</v>
      </c>
      <c r="I4" s="15">
        <f t="shared" si="2"/>
        <v>7546.6500000000005</v>
      </c>
      <c r="J4" s="15">
        <f t="shared" si="3"/>
        <v>3103.3499999999995</v>
      </c>
      <c r="K4" s="19">
        <f t="shared" si="4"/>
        <v>0.41122219792888226</v>
      </c>
      <c r="L4" s="15" t="s">
        <v>218</v>
      </c>
      <c r="M4" s="15"/>
    </row>
    <row r="5" spans="1:13" x14ac:dyDescent="0.25">
      <c r="A5" s="16">
        <v>46007</v>
      </c>
      <c r="B5" s="20" t="s">
        <v>33</v>
      </c>
      <c r="C5" s="15">
        <v>8</v>
      </c>
      <c r="D5" s="18"/>
      <c r="E5" s="15">
        <v>3590</v>
      </c>
      <c r="F5" s="15">
        <v>2515.5500000000002</v>
      </c>
      <c r="G5" s="15">
        <f t="shared" si="0"/>
        <v>1074.4499999999998</v>
      </c>
      <c r="H5" s="15">
        <f t="shared" si="1"/>
        <v>28720</v>
      </c>
      <c r="I5" s="15">
        <f t="shared" si="2"/>
        <v>20124.400000000001</v>
      </c>
      <c r="J5" s="15">
        <f t="shared" si="3"/>
        <v>8595.5999999999985</v>
      </c>
      <c r="K5" s="19">
        <f t="shared" si="4"/>
        <v>0.4271232931168133</v>
      </c>
      <c r="L5" s="15" t="s">
        <v>218</v>
      </c>
      <c r="M5" s="15"/>
    </row>
    <row r="6" spans="1:13" x14ac:dyDescent="0.25">
      <c r="A6" s="16">
        <v>46007</v>
      </c>
      <c r="B6" s="20" t="s">
        <v>33</v>
      </c>
      <c r="C6" s="15">
        <v>3</v>
      </c>
      <c r="D6" s="18"/>
      <c r="E6" s="15">
        <v>3500</v>
      </c>
      <c r="F6" s="15">
        <v>2515.5500000000002</v>
      </c>
      <c r="G6" s="15">
        <f t="shared" si="0"/>
        <v>984.44999999999982</v>
      </c>
      <c r="H6" s="15">
        <f t="shared" si="1"/>
        <v>10500</v>
      </c>
      <c r="I6" s="15">
        <f t="shared" si="2"/>
        <v>7546.6500000000005</v>
      </c>
      <c r="J6" s="15">
        <f t="shared" si="3"/>
        <v>2953.3499999999995</v>
      </c>
      <c r="K6" s="19">
        <f t="shared" si="4"/>
        <v>0.39134582894396841</v>
      </c>
      <c r="L6" s="15" t="s">
        <v>218</v>
      </c>
      <c r="M6" s="15"/>
    </row>
    <row r="7" spans="1:13" x14ac:dyDescent="0.25">
      <c r="A7" s="16">
        <v>46010</v>
      </c>
      <c r="B7" s="20" t="s">
        <v>33</v>
      </c>
      <c r="C7" s="15">
        <v>2</v>
      </c>
      <c r="D7" s="18"/>
      <c r="E7" s="15">
        <v>3550</v>
      </c>
      <c r="F7" s="15">
        <v>2515.5500000000002</v>
      </c>
      <c r="G7" s="15">
        <f t="shared" si="0"/>
        <v>1034.4499999999998</v>
      </c>
      <c r="H7" s="15">
        <f t="shared" si="1"/>
        <v>7100</v>
      </c>
      <c r="I7" s="15">
        <f t="shared" si="2"/>
        <v>5031.1000000000004</v>
      </c>
      <c r="J7" s="15">
        <f t="shared" si="3"/>
        <v>2068.8999999999996</v>
      </c>
      <c r="K7" s="19">
        <f t="shared" si="4"/>
        <v>0.41122219792888226</v>
      </c>
      <c r="L7" s="15" t="s">
        <v>218</v>
      </c>
      <c r="M7" s="15"/>
    </row>
    <row r="8" spans="1:13" x14ac:dyDescent="0.25">
      <c r="A8" s="16">
        <v>45997</v>
      </c>
      <c r="B8" s="17" t="s">
        <v>42</v>
      </c>
      <c r="C8" s="15">
        <v>4</v>
      </c>
      <c r="D8" s="18"/>
      <c r="E8" s="15">
        <v>1800</v>
      </c>
      <c r="F8" s="15">
        <v>1458.99</v>
      </c>
      <c r="G8" s="15">
        <f t="shared" si="0"/>
        <v>341.01</v>
      </c>
      <c r="H8" s="15">
        <f t="shared" si="1"/>
        <v>7200</v>
      </c>
      <c r="I8" s="15">
        <f t="shared" si="2"/>
        <v>5835.96</v>
      </c>
      <c r="J8" s="15">
        <f t="shared" si="3"/>
        <v>1364.04</v>
      </c>
      <c r="K8" s="19">
        <f t="shared" si="4"/>
        <v>0.23373018320893219</v>
      </c>
      <c r="L8" s="15" t="s">
        <v>218</v>
      </c>
      <c r="M8" s="15"/>
    </row>
    <row r="9" spans="1:13" ht="18.75" x14ac:dyDescent="0.3">
      <c r="H9" s="2" t="s">
        <v>5</v>
      </c>
      <c r="I9" s="2" t="s">
        <v>6</v>
      </c>
      <c r="J9" s="2" t="s">
        <v>7</v>
      </c>
      <c r="K9" s="3" t="s">
        <v>8</v>
      </c>
      <c r="L9" s="61"/>
      <c r="M9" s="62"/>
    </row>
    <row r="10" spans="1:13" x14ac:dyDescent="0.25">
      <c r="H10" s="37">
        <f t="shared" ref="H10:J10" si="5">SUM(H2:H9)</f>
        <v>113170</v>
      </c>
      <c r="I10" s="37">
        <f t="shared" si="5"/>
        <v>81302.460000000006</v>
      </c>
      <c r="J10" s="37">
        <f t="shared" si="5"/>
        <v>31867.539999999994</v>
      </c>
      <c r="K10" s="38">
        <f>AVERAGE(K2:K9)</f>
        <v>0.37961933700220213</v>
      </c>
      <c r="L10" s="63"/>
      <c r="M10" s="64"/>
    </row>
    <row r="17" spans="2:3" x14ac:dyDescent="0.25">
      <c r="B17" s="46" t="s">
        <v>292</v>
      </c>
      <c r="C17" s="46" t="s">
        <v>256</v>
      </c>
    </row>
    <row r="18" spans="2:3" x14ac:dyDescent="0.25">
      <c r="B18" s="58" t="s">
        <v>293</v>
      </c>
      <c r="C18" s="15">
        <v>5211.25</v>
      </c>
    </row>
    <row r="19" spans="2:3" x14ac:dyDescent="0.25">
      <c r="B19" s="15"/>
      <c r="C19" s="15"/>
    </row>
    <row r="20" spans="2:3" ht="15.75" x14ac:dyDescent="0.25">
      <c r="B20" s="50" t="s">
        <v>294</v>
      </c>
      <c r="C20" s="50">
        <f>J10-C18</f>
        <v>26656.289999999994</v>
      </c>
    </row>
  </sheetData>
  <mergeCells count="1">
    <mergeCell ref="L9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Australia</vt:lpstr>
      <vt:lpstr>Usa</vt:lpstr>
      <vt:lpstr>Karachi &amp; Dxb</vt:lpstr>
      <vt:lpstr>Newzealand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2026-01-06T17:07:07Z</cp:lastPrinted>
  <dcterms:created xsi:type="dcterms:W3CDTF">2025-12-13T13:03:15Z</dcterms:created>
  <dcterms:modified xsi:type="dcterms:W3CDTF">2026-05-09T15:55:08Z</dcterms:modified>
</cp:coreProperties>
</file>