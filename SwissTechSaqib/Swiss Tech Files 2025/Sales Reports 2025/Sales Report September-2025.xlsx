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Sales Reports 2025\"/>
    </mc:Choice>
  </mc:AlternateContent>
  <xr:revisionPtr revIDLastSave="0" documentId="13_ncr:1_{2F136BB3-B071-4A0C-AD84-75F197E54BA4}" xr6:coauthVersionLast="47" xr6:coauthVersionMax="47" xr10:uidLastSave="{00000000-0000-0000-0000-000000000000}"/>
  <bookViews>
    <workbookView xWindow="-120" yWindow="-120" windowWidth="29040" windowHeight="15720" activeTab="4" xr2:uid="{4F14DA21-A2C6-4198-998C-29250C4851F8}"/>
  </bookViews>
  <sheets>
    <sheet name="Sheet1" sheetId="1" r:id="rId1"/>
    <sheet name="AUSTRALIA" sheetId="3" r:id="rId2"/>
    <sheet name="USA" sheetId="2" r:id="rId3"/>
    <sheet name="NEWZEALAND" sheetId="5" r:id="rId4"/>
    <sheet name="DUBAI &amp; KARACHI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4" i="3" l="1"/>
  <c r="C23" i="5"/>
  <c r="J3" i="5"/>
  <c r="J4" i="5"/>
  <c r="J5" i="5"/>
  <c r="J6" i="5"/>
  <c r="J7" i="5"/>
  <c r="J8" i="5"/>
  <c r="J9" i="5"/>
  <c r="J10" i="5"/>
  <c r="J11" i="5"/>
  <c r="J2" i="5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2" i="3"/>
  <c r="C30" i="4"/>
  <c r="C51" i="3"/>
  <c r="G3" i="2" l="1"/>
  <c r="H3" i="2"/>
  <c r="G4" i="2"/>
  <c r="I4" i="2" s="1"/>
  <c r="H4" i="2"/>
  <c r="G5" i="2"/>
  <c r="H5" i="2"/>
  <c r="G6" i="2"/>
  <c r="I6" i="2" s="1"/>
  <c r="H6" i="2"/>
  <c r="G7" i="2"/>
  <c r="H7" i="2"/>
  <c r="I7" i="2"/>
  <c r="G8" i="2"/>
  <c r="H8" i="2"/>
  <c r="I8" i="2"/>
  <c r="G9" i="2"/>
  <c r="I9" i="2" s="1"/>
  <c r="H9" i="2"/>
  <c r="G10" i="2"/>
  <c r="H10" i="2"/>
  <c r="G11" i="2"/>
  <c r="H11" i="2"/>
  <c r="G12" i="2"/>
  <c r="H12" i="2"/>
  <c r="G13" i="2"/>
  <c r="I13" i="2" s="1"/>
  <c r="H13" i="2"/>
  <c r="G14" i="2"/>
  <c r="H14" i="2"/>
  <c r="G15" i="2"/>
  <c r="I15" i="2" s="1"/>
  <c r="H15" i="2"/>
  <c r="G16" i="2"/>
  <c r="I16" i="2" s="1"/>
  <c r="H16" i="2"/>
  <c r="G17" i="2"/>
  <c r="H17" i="2"/>
  <c r="G18" i="2"/>
  <c r="I18" i="2" s="1"/>
  <c r="H18" i="2"/>
  <c r="G19" i="2"/>
  <c r="H19" i="2"/>
  <c r="I19" i="2" s="1"/>
  <c r="G20" i="2"/>
  <c r="I20" i="2" s="1"/>
  <c r="H20" i="2"/>
  <c r="G21" i="2"/>
  <c r="H21" i="2"/>
  <c r="G22" i="2"/>
  <c r="I22" i="2" s="1"/>
  <c r="H22" i="2"/>
  <c r="G23" i="2"/>
  <c r="H23" i="2"/>
  <c r="I23" i="2" s="1"/>
  <c r="G24" i="2"/>
  <c r="H24" i="2"/>
  <c r="I24" i="2"/>
  <c r="G25" i="2"/>
  <c r="I25" i="2" s="1"/>
  <c r="H25" i="2"/>
  <c r="G26" i="2"/>
  <c r="H26" i="2"/>
  <c r="G27" i="2"/>
  <c r="H27" i="2"/>
  <c r="G28" i="2"/>
  <c r="H28" i="2"/>
  <c r="G29" i="2"/>
  <c r="I29" i="2" s="1"/>
  <c r="H29" i="2"/>
  <c r="G30" i="2"/>
  <c r="H30" i="2"/>
  <c r="G31" i="2"/>
  <c r="H31" i="2"/>
  <c r="I31" i="2"/>
  <c r="G32" i="2"/>
  <c r="I32" i="2" s="1"/>
  <c r="H32" i="2"/>
  <c r="G33" i="2"/>
  <c r="H33" i="2"/>
  <c r="G34" i="2"/>
  <c r="I34" i="2" s="1"/>
  <c r="H34" i="2"/>
  <c r="G35" i="2"/>
  <c r="H35" i="2"/>
  <c r="I35" i="2" s="1"/>
  <c r="G36" i="2"/>
  <c r="I36" i="2" s="1"/>
  <c r="H36" i="2"/>
  <c r="G37" i="2"/>
  <c r="H37" i="2"/>
  <c r="G38" i="2"/>
  <c r="I38" i="2" s="1"/>
  <c r="H38" i="2"/>
  <c r="G39" i="2"/>
  <c r="H39" i="2"/>
  <c r="I39" i="2"/>
  <c r="G40" i="2"/>
  <c r="H40" i="2"/>
  <c r="I40" i="2"/>
  <c r="G41" i="2"/>
  <c r="I41" i="2" s="1"/>
  <c r="H41" i="2"/>
  <c r="G42" i="2"/>
  <c r="H42" i="2"/>
  <c r="G43" i="2"/>
  <c r="H43" i="2"/>
  <c r="G44" i="2"/>
  <c r="H44" i="2"/>
  <c r="G45" i="2"/>
  <c r="I45" i="2" s="1"/>
  <c r="H45" i="2"/>
  <c r="G46" i="2"/>
  <c r="H46" i="2"/>
  <c r="G47" i="2"/>
  <c r="I47" i="2" s="1"/>
  <c r="H47" i="2"/>
  <c r="G48" i="2"/>
  <c r="I48" i="2" s="1"/>
  <c r="H48" i="2"/>
  <c r="G49" i="2"/>
  <c r="H49" i="2"/>
  <c r="G50" i="2"/>
  <c r="I50" i="2" s="1"/>
  <c r="H50" i="2"/>
  <c r="G51" i="2"/>
  <c r="H51" i="2"/>
  <c r="I51" i="2" s="1"/>
  <c r="G52" i="2"/>
  <c r="I52" i="2" s="1"/>
  <c r="H52" i="2"/>
  <c r="G53" i="2"/>
  <c r="H53" i="2"/>
  <c r="G54" i="2"/>
  <c r="I54" i="2" s="1"/>
  <c r="H54" i="2"/>
  <c r="G55" i="2"/>
  <c r="H55" i="2"/>
  <c r="I55" i="2" s="1"/>
  <c r="G56" i="2"/>
  <c r="H56" i="2"/>
  <c r="I56" i="2"/>
  <c r="G57" i="2"/>
  <c r="I57" i="2" s="1"/>
  <c r="H57" i="2"/>
  <c r="G58" i="2"/>
  <c r="H58" i="2"/>
  <c r="G59" i="2"/>
  <c r="H59" i="2"/>
  <c r="G60" i="2"/>
  <c r="H60" i="2"/>
  <c r="G61" i="2"/>
  <c r="I61" i="2" s="1"/>
  <c r="H61" i="2"/>
  <c r="G62" i="2"/>
  <c r="H62" i="2"/>
  <c r="G63" i="2"/>
  <c r="H63" i="2"/>
  <c r="I63" i="2"/>
  <c r="G64" i="2"/>
  <c r="I64" i="2" s="1"/>
  <c r="H64" i="2"/>
  <c r="G65" i="2"/>
  <c r="H65" i="2"/>
  <c r="G66" i="2"/>
  <c r="I66" i="2" s="1"/>
  <c r="H66" i="2"/>
  <c r="G67" i="2"/>
  <c r="H67" i="2"/>
  <c r="I67" i="2" s="1"/>
  <c r="G68" i="2"/>
  <c r="I68" i="2" s="1"/>
  <c r="H68" i="2"/>
  <c r="G69" i="2"/>
  <c r="H69" i="2"/>
  <c r="G70" i="2"/>
  <c r="I70" i="2" s="1"/>
  <c r="H70" i="2"/>
  <c r="G71" i="2"/>
  <c r="H71" i="2"/>
  <c r="I71" i="2"/>
  <c r="G72" i="2"/>
  <c r="H72" i="2"/>
  <c r="I72" i="2"/>
  <c r="G73" i="2"/>
  <c r="I73" i="2" s="1"/>
  <c r="H73" i="2"/>
  <c r="G74" i="2"/>
  <c r="H74" i="2"/>
  <c r="G75" i="2"/>
  <c r="H75" i="2"/>
  <c r="G76" i="2"/>
  <c r="H76" i="2"/>
  <c r="G77" i="2"/>
  <c r="I77" i="2" s="1"/>
  <c r="H77" i="2"/>
  <c r="G78" i="2"/>
  <c r="H78" i="2"/>
  <c r="G79" i="2"/>
  <c r="I79" i="2" s="1"/>
  <c r="H79" i="2"/>
  <c r="G80" i="2"/>
  <c r="I80" i="2" s="1"/>
  <c r="H80" i="2"/>
  <c r="G81" i="2"/>
  <c r="H81" i="2"/>
  <c r="G82" i="2"/>
  <c r="I82" i="2" s="1"/>
  <c r="H82" i="2"/>
  <c r="G83" i="2"/>
  <c r="H83" i="2"/>
  <c r="I83" i="2" s="1"/>
  <c r="G84" i="2"/>
  <c r="I84" i="2" s="1"/>
  <c r="H84" i="2"/>
  <c r="G85" i="2"/>
  <c r="H85" i="2"/>
  <c r="G86" i="2"/>
  <c r="I86" i="2" s="1"/>
  <c r="H86" i="2"/>
  <c r="G87" i="2"/>
  <c r="H87" i="2"/>
  <c r="I87" i="2" s="1"/>
  <c r="G88" i="2"/>
  <c r="H88" i="2"/>
  <c r="I88" i="2"/>
  <c r="G89" i="2"/>
  <c r="I89" i="2" s="1"/>
  <c r="H89" i="2"/>
  <c r="G90" i="2"/>
  <c r="H90" i="2"/>
  <c r="G91" i="2"/>
  <c r="H91" i="2"/>
  <c r="G92" i="2"/>
  <c r="H92" i="2"/>
  <c r="G93" i="2"/>
  <c r="I93" i="2" s="1"/>
  <c r="H93" i="2"/>
  <c r="G94" i="2"/>
  <c r="H94" i="2"/>
  <c r="G95" i="2"/>
  <c r="H95" i="2"/>
  <c r="I95" i="2"/>
  <c r="G96" i="2"/>
  <c r="I96" i="2" s="1"/>
  <c r="H96" i="2"/>
  <c r="G97" i="2"/>
  <c r="H97" i="2"/>
  <c r="G98" i="2"/>
  <c r="I98" i="2" s="1"/>
  <c r="H98" i="2"/>
  <c r="G99" i="2"/>
  <c r="H99" i="2"/>
  <c r="I99" i="2" s="1"/>
  <c r="G100" i="2"/>
  <c r="I100" i="2" s="1"/>
  <c r="H100" i="2"/>
  <c r="G101" i="2"/>
  <c r="H101" i="2"/>
  <c r="G102" i="2"/>
  <c r="I102" i="2" s="1"/>
  <c r="H102" i="2"/>
  <c r="G103" i="2"/>
  <c r="H103" i="2"/>
  <c r="I103" i="2"/>
  <c r="G104" i="2"/>
  <c r="H104" i="2"/>
  <c r="I104" i="2"/>
  <c r="G105" i="2"/>
  <c r="I105" i="2" s="1"/>
  <c r="H105" i="2"/>
  <c r="G106" i="2"/>
  <c r="H106" i="2"/>
  <c r="G107" i="2"/>
  <c r="H107" i="2"/>
  <c r="G108" i="2"/>
  <c r="H108" i="2"/>
  <c r="G109" i="2"/>
  <c r="I109" i="2" s="1"/>
  <c r="H109" i="2"/>
  <c r="G110" i="2"/>
  <c r="H110" i="2"/>
  <c r="G111" i="2"/>
  <c r="I111" i="2" s="1"/>
  <c r="H111" i="2"/>
  <c r="G112" i="2"/>
  <c r="I112" i="2" s="1"/>
  <c r="H112" i="2"/>
  <c r="G113" i="2"/>
  <c r="H113" i="2"/>
  <c r="G114" i="2"/>
  <c r="I114" i="2" s="1"/>
  <c r="H114" i="2"/>
  <c r="G115" i="2"/>
  <c r="H115" i="2"/>
  <c r="I115" i="2" s="1"/>
  <c r="G116" i="2"/>
  <c r="I116" i="2" s="1"/>
  <c r="H116" i="2"/>
  <c r="G117" i="2"/>
  <c r="H117" i="2"/>
  <c r="G118" i="2"/>
  <c r="I118" i="2" s="1"/>
  <c r="H118" i="2"/>
  <c r="G119" i="2"/>
  <c r="H119" i="2"/>
  <c r="I119" i="2" s="1"/>
  <c r="G120" i="2"/>
  <c r="H120" i="2"/>
  <c r="I120" i="2"/>
  <c r="G121" i="2"/>
  <c r="I121" i="2" s="1"/>
  <c r="H121" i="2"/>
  <c r="G122" i="2"/>
  <c r="H122" i="2"/>
  <c r="G123" i="2"/>
  <c r="H123" i="2"/>
  <c r="G124" i="2"/>
  <c r="H124" i="2"/>
  <c r="G125" i="2"/>
  <c r="I125" i="2" s="1"/>
  <c r="H125" i="2"/>
  <c r="G126" i="2"/>
  <c r="H126" i="2"/>
  <c r="G127" i="2"/>
  <c r="H127" i="2"/>
  <c r="I127" i="2"/>
  <c r="G128" i="2"/>
  <c r="I128" i="2" s="1"/>
  <c r="H128" i="2"/>
  <c r="H11" i="5"/>
  <c r="I11" i="5" s="1"/>
  <c r="G11" i="5"/>
  <c r="F11" i="5"/>
  <c r="H10" i="5"/>
  <c r="G10" i="5"/>
  <c r="I10" i="5" s="1"/>
  <c r="F10" i="5"/>
  <c r="H9" i="5"/>
  <c r="G9" i="5"/>
  <c r="F9" i="5"/>
  <c r="H8" i="5"/>
  <c r="G8" i="5"/>
  <c r="I8" i="5" s="1"/>
  <c r="F8" i="5"/>
  <c r="H7" i="5"/>
  <c r="G7" i="5"/>
  <c r="F7" i="5"/>
  <c r="H6" i="5"/>
  <c r="G6" i="5"/>
  <c r="I6" i="5" s="1"/>
  <c r="F6" i="5"/>
  <c r="H5" i="5"/>
  <c r="I5" i="5" s="1"/>
  <c r="G5" i="5"/>
  <c r="F5" i="5"/>
  <c r="H4" i="5"/>
  <c r="G4" i="5"/>
  <c r="I4" i="5" s="1"/>
  <c r="F4" i="5"/>
  <c r="H3" i="5"/>
  <c r="I3" i="5" s="1"/>
  <c r="G3" i="5"/>
  <c r="F3" i="5"/>
  <c r="H2" i="5"/>
  <c r="H13" i="5" s="1"/>
  <c r="G2" i="5"/>
  <c r="I2" i="5" s="1"/>
  <c r="F2" i="5"/>
  <c r="H13" i="4"/>
  <c r="I13" i="4" s="1"/>
  <c r="G13" i="4"/>
  <c r="F13" i="4"/>
  <c r="H12" i="4"/>
  <c r="G12" i="4"/>
  <c r="F12" i="4"/>
  <c r="H11" i="4"/>
  <c r="G11" i="4"/>
  <c r="I11" i="4" s="1"/>
  <c r="F11" i="4"/>
  <c r="H10" i="4"/>
  <c r="G10" i="4"/>
  <c r="I10" i="4" s="1"/>
  <c r="F10" i="4"/>
  <c r="I9" i="4"/>
  <c r="H9" i="4"/>
  <c r="G9" i="4"/>
  <c r="F9" i="4"/>
  <c r="H8" i="4"/>
  <c r="G8" i="4"/>
  <c r="I8" i="4" s="1"/>
  <c r="F8" i="4"/>
  <c r="H7" i="4"/>
  <c r="G7" i="4"/>
  <c r="I7" i="4" s="1"/>
  <c r="F7" i="4"/>
  <c r="H6" i="4"/>
  <c r="G6" i="4"/>
  <c r="F6" i="4"/>
  <c r="H5" i="4"/>
  <c r="G5" i="4"/>
  <c r="I5" i="4" s="1"/>
  <c r="F5" i="4"/>
  <c r="H4" i="4"/>
  <c r="G4" i="4"/>
  <c r="I4" i="4" s="1"/>
  <c r="F4" i="4"/>
  <c r="H3" i="4"/>
  <c r="G3" i="4"/>
  <c r="I3" i="4" s="1"/>
  <c r="F3" i="4"/>
  <c r="H2" i="4"/>
  <c r="H15" i="4" s="1"/>
  <c r="G2" i="4"/>
  <c r="I2" i="4" s="1"/>
  <c r="F2" i="4"/>
  <c r="H39" i="3"/>
  <c r="I39" i="3" s="1"/>
  <c r="G39" i="3"/>
  <c r="F39" i="3"/>
  <c r="H38" i="3"/>
  <c r="G38" i="3"/>
  <c r="F38" i="3"/>
  <c r="H37" i="3"/>
  <c r="G37" i="3"/>
  <c r="F37" i="3"/>
  <c r="H36" i="3"/>
  <c r="G36" i="3"/>
  <c r="I36" i="3" s="1"/>
  <c r="F36" i="3"/>
  <c r="H35" i="3"/>
  <c r="G35" i="3"/>
  <c r="F35" i="3"/>
  <c r="H34" i="3"/>
  <c r="G34" i="3"/>
  <c r="F34" i="3"/>
  <c r="H33" i="3"/>
  <c r="G33" i="3"/>
  <c r="F33" i="3"/>
  <c r="H32" i="3"/>
  <c r="G32" i="3"/>
  <c r="I32" i="3" s="1"/>
  <c r="F32" i="3"/>
  <c r="H31" i="3"/>
  <c r="I31" i="3" s="1"/>
  <c r="G31" i="3"/>
  <c r="F31" i="3"/>
  <c r="H30" i="3"/>
  <c r="G30" i="3"/>
  <c r="F30" i="3"/>
  <c r="H29" i="3"/>
  <c r="G29" i="3"/>
  <c r="F29" i="3"/>
  <c r="H28" i="3"/>
  <c r="G28" i="3"/>
  <c r="I28" i="3" s="1"/>
  <c r="F28" i="3"/>
  <c r="H27" i="3"/>
  <c r="G27" i="3"/>
  <c r="F27" i="3"/>
  <c r="H26" i="3"/>
  <c r="G26" i="3"/>
  <c r="F26" i="3"/>
  <c r="H25" i="3"/>
  <c r="G25" i="3"/>
  <c r="F25" i="3"/>
  <c r="H24" i="3"/>
  <c r="G24" i="3"/>
  <c r="I24" i="3" s="1"/>
  <c r="F24" i="3"/>
  <c r="H23" i="3"/>
  <c r="I23" i="3" s="1"/>
  <c r="G23" i="3"/>
  <c r="F23" i="3"/>
  <c r="H22" i="3"/>
  <c r="G22" i="3"/>
  <c r="F22" i="3"/>
  <c r="H21" i="3"/>
  <c r="G21" i="3"/>
  <c r="F21" i="3"/>
  <c r="H20" i="3"/>
  <c r="G20" i="3"/>
  <c r="I20" i="3" s="1"/>
  <c r="F20" i="3"/>
  <c r="H19" i="3"/>
  <c r="G19" i="3"/>
  <c r="F19" i="3"/>
  <c r="H18" i="3"/>
  <c r="G18" i="3"/>
  <c r="F18" i="3"/>
  <c r="H17" i="3"/>
  <c r="G17" i="3"/>
  <c r="F17" i="3"/>
  <c r="H16" i="3"/>
  <c r="G16" i="3"/>
  <c r="I16" i="3" s="1"/>
  <c r="F16" i="3"/>
  <c r="H15" i="3"/>
  <c r="I15" i="3" s="1"/>
  <c r="G15" i="3"/>
  <c r="F15" i="3"/>
  <c r="H14" i="3"/>
  <c r="G14" i="3"/>
  <c r="F14" i="3"/>
  <c r="H13" i="3"/>
  <c r="G13" i="3"/>
  <c r="F13" i="3"/>
  <c r="H12" i="3"/>
  <c r="G12" i="3"/>
  <c r="I12" i="3" s="1"/>
  <c r="F12" i="3"/>
  <c r="H11" i="3"/>
  <c r="G11" i="3"/>
  <c r="F11" i="3"/>
  <c r="H10" i="3"/>
  <c r="G10" i="3"/>
  <c r="F10" i="3"/>
  <c r="H9" i="3"/>
  <c r="G9" i="3"/>
  <c r="F9" i="3"/>
  <c r="H8" i="3"/>
  <c r="G8" i="3"/>
  <c r="I8" i="3" s="1"/>
  <c r="F8" i="3"/>
  <c r="H7" i="3"/>
  <c r="I7" i="3" s="1"/>
  <c r="G7" i="3"/>
  <c r="F7" i="3"/>
  <c r="H6" i="3"/>
  <c r="G6" i="3"/>
  <c r="F6" i="3"/>
  <c r="H5" i="3"/>
  <c r="G5" i="3"/>
  <c r="F5" i="3"/>
  <c r="H4" i="3"/>
  <c r="G4" i="3"/>
  <c r="I4" i="3" s="1"/>
  <c r="F4" i="3"/>
  <c r="H3" i="3"/>
  <c r="G3" i="3"/>
  <c r="G41" i="3" s="1"/>
  <c r="F3" i="3"/>
  <c r="H2" i="3"/>
  <c r="H41" i="3" s="1"/>
  <c r="G2" i="3"/>
  <c r="F2" i="3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H2" i="2"/>
  <c r="H130" i="2" s="1"/>
  <c r="G2" i="2"/>
  <c r="I2" i="2" s="1"/>
  <c r="F2" i="2"/>
  <c r="I69" i="1"/>
  <c r="I70" i="1"/>
  <c r="I71" i="1"/>
  <c r="I75" i="1"/>
  <c r="I10" i="1"/>
  <c r="I40" i="1"/>
  <c r="I44" i="1"/>
  <c r="I79" i="1"/>
  <c r="I80" i="1"/>
  <c r="I86" i="1"/>
  <c r="I87" i="1"/>
  <c r="I88" i="1"/>
  <c r="I94" i="1"/>
  <c r="I95" i="1"/>
  <c r="I96" i="1"/>
  <c r="I102" i="1"/>
  <c r="I104" i="1"/>
  <c r="I110" i="1"/>
  <c r="I111" i="1"/>
  <c r="I112" i="1"/>
  <c r="I11" i="1"/>
  <c r="I118" i="1"/>
  <c r="I119" i="1"/>
  <c r="I122" i="1"/>
  <c r="I14" i="1"/>
  <c r="I123" i="1"/>
  <c r="I128" i="1"/>
  <c r="I129" i="1"/>
  <c r="I130" i="1"/>
  <c r="I136" i="1"/>
  <c r="I137" i="1"/>
  <c r="I47" i="1"/>
  <c r="I19" i="1"/>
  <c r="I20" i="1"/>
  <c r="I52" i="1"/>
  <c r="I25" i="1"/>
  <c r="I26" i="1"/>
  <c r="I27" i="1"/>
  <c r="I142" i="1"/>
  <c r="I143" i="1"/>
  <c r="I147" i="1"/>
  <c r="I148" i="1"/>
  <c r="I149" i="1"/>
  <c r="I154" i="1"/>
  <c r="I155" i="1"/>
  <c r="I156" i="1"/>
  <c r="I57" i="1"/>
  <c r="I32" i="1"/>
  <c r="I33" i="1"/>
  <c r="I164" i="1"/>
  <c r="I165" i="1"/>
  <c r="I166" i="1"/>
  <c r="I172" i="1"/>
  <c r="I173" i="1"/>
  <c r="I174" i="1"/>
  <c r="I181" i="1"/>
  <c r="I182" i="1"/>
  <c r="I50" i="1"/>
  <c r="I51" i="1"/>
  <c r="I34" i="1"/>
  <c r="I38" i="1"/>
  <c r="I188" i="1"/>
  <c r="I60" i="1"/>
  <c r="H62" i="1"/>
  <c r="H3" i="1"/>
  <c r="H4" i="1"/>
  <c r="H5" i="1"/>
  <c r="H63" i="1"/>
  <c r="H6" i="1"/>
  <c r="H64" i="1"/>
  <c r="H7" i="1"/>
  <c r="H8" i="1"/>
  <c r="H65" i="1"/>
  <c r="H66" i="1"/>
  <c r="H67" i="1"/>
  <c r="H68" i="1"/>
  <c r="H69" i="1"/>
  <c r="H70" i="1"/>
  <c r="H71" i="1"/>
  <c r="H9" i="1"/>
  <c r="H43" i="1"/>
  <c r="H72" i="1"/>
  <c r="H73" i="1"/>
  <c r="H74" i="1"/>
  <c r="H75" i="1"/>
  <c r="H10" i="1"/>
  <c r="H40" i="1"/>
  <c r="H41" i="1"/>
  <c r="H76" i="1"/>
  <c r="H42" i="1"/>
  <c r="H77" i="1"/>
  <c r="H78" i="1"/>
  <c r="H44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" i="1"/>
  <c r="H118" i="1"/>
  <c r="H119" i="1"/>
  <c r="H120" i="1"/>
  <c r="H45" i="1"/>
  <c r="H12" i="1"/>
  <c r="H13" i="1"/>
  <c r="H121" i="1"/>
  <c r="H122" i="1"/>
  <c r="H14" i="1"/>
  <c r="H123" i="1"/>
  <c r="H124" i="1"/>
  <c r="H125" i="1"/>
  <c r="H46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47" i="1"/>
  <c r="H48" i="1"/>
  <c r="H15" i="1"/>
  <c r="H16" i="1"/>
  <c r="H17" i="1"/>
  <c r="H18" i="1"/>
  <c r="H19" i="1"/>
  <c r="H20" i="1"/>
  <c r="H52" i="1"/>
  <c r="H21" i="1"/>
  <c r="H22" i="1"/>
  <c r="H49" i="1"/>
  <c r="H23" i="1"/>
  <c r="H24" i="1"/>
  <c r="H25" i="1"/>
  <c r="H26" i="1"/>
  <c r="H27" i="1"/>
  <c r="H28" i="1"/>
  <c r="H29" i="1"/>
  <c r="H138" i="1"/>
  <c r="H139" i="1"/>
  <c r="H140" i="1"/>
  <c r="H190" i="1" s="1"/>
  <c r="H141" i="1"/>
  <c r="I141" i="1" s="1"/>
  <c r="H142" i="1"/>
  <c r="H143" i="1"/>
  <c r="H30" i="1"/>
  <c r="H144" i="1"/>
  <c r="H145" i="1"/>
  <c r="H146" i="1"/>
  <c r="H31" i="1"/>
  <c r="H147" i="1"/>
  <c r="H148" i="1"/>
  <c r="H149" i="1"/>
  <c r="H150" i="1"/>
  <c r="H53" i="1"/>
  <c r="H151" i="1"/>
  <c r="H152" i="1"/>
  <c r="H153" i="1"/>
  <c r="H154" i="1"/>
  <c r="H155" i="1"/>
  <c r="H156" i="1"/>
  <c r="H157" i="1"/>
  <c r="H158" i="1"/>
  <c r="H54" i="1"/>
  <c r="H55" i="1"/>
  <c r="H56" i="1"/>
  <c r="H57" i="1"/>
  <c r="H32" i="1"/>
  <c r="H33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50" i="1"/>
  <c r="H51" i="1"/>
  <c r="H34" i="1"/>
  <c r="H58" i="1"/>
  <c r="H35" i="1"/>
  <c r="H36" i="1"/>
  <c r="H37" i="1"/>
  <c r="H59" i="1"/>
  <c r="H38" i="1"/>
  <c r="H188" i="1"/>
  <c r="H60" i="1"/>
  <c r="H61" i="1"/>
  <c r="H39" i="1"/>
  <c r="H2" i="1"/>
  <c r="G62" i="1"/>
  <c r="I62" i="1" s="1"/>
  <c r="G3" i="1"/>
  <c r="I3" i="1" s="1"/>
  <c r="G4" i="1"/>
  <c r="I4" i="1" s="1"/>
  <c r="G5" i="1"/>
  <c r="I5" i="1" s="1"/>
  <c r="G63" i="1"/>
  <c r="I63" i="1" s="1"/>
  <c r="G6" i="1"/>
  <c r="I6" i="1" s="1"/>
  <c r="G64" i="1"/>
  <c r="I64" i="1" s="1"/>
  <c r="G7" i="1"/>
  <c r="I7" i="1" s="1"/>
  <c r="G8" i="1"/>
  <c r="I8" i="1" s="1"/>
  <c r="G65" i="1"/>
  <c r="I65" i="1" s="1"/>
  <c r="G66" i="1"/>
  <c r="I66" i="1" s="1"/>
  <c r="G67" i="1"/>
  <c r="I67" i="1" s="1"/>
  <c r="G68" i="1"/>
  <c r="I68" i="1" s="1"/>
  <c r="G69" i="1"/>
  <c r="G70" i="1"/>
  <c r="G71" i="1"/>
  <c r="G9" i="1"/>
  <c r="I9" i="1" s="1"/>
  <c r="G43" i="1"/>
  <c r="I43" i="1" s="1"/>
  <c r="G72" i="1"/>
  <c r="I72" i="1" s="1"/>
  <c r="G73" i="1"/>
  <c r="I73" i="1" s="1"/>
  <c r="G74" i="1"/>
  <c r="I74" i="1" s="1"/>
  <c r="G75" i="1"/>
  <c r="G10" i="1"/>
  <c r="G40" i="1"/>
  <c r="G41" i="1"/>
  <c r="I41" i="1" s="1"/>
  <c r="G76" i="1"/>
  <c r="I76" i="1" s="1"/>
  <c r="G42" i="1"/>
  <c r="I42" i="1" s="1"/>
  <c r="G77" i="1"/>
  <c r="I77" i="1" s="1"/>
  <c r="G78" i="1"/>
  <c r="I78" i="1" s="1"/>
  <c r="G44" i="1"/>
  <c r="G79" i="1"/>
  <c r="G80" i="1"/>
  <c r="G81" i="1"/>
  <c r="I81" i="1" s="1"/>
  <c r="G82" i="1"/>
  <c r="I82" i="1" s="1"/>
  <c r="G83" i="1"/>
  <c r="I83" i="1" s="1"/>
  <c r="G84" i="1"/>
  <c r="I84" i="1" s="1"/>
  <c r="G85" i="1"/>
  <c r="I85" i="1" s="1"/>
  <c r="G86" i="1"/>
  <c r="G87" i="1"/>
  <c r="G88" i="1"/>
  <c r="G89" i="1"/>
  <c r="I89" i="1" s="1"/>
  <c r="G90" i="1"/>
  <c r="I90" i="1" s="1"/>
  <c r="G91" i="1"/>
  <c r="I91" i="1" s="1"/>
  <c r="G92" i="1"/>
  <c r="I92" i="1" s="1"/>
  <c r="G93" i="1"/>
  <c r="I93" i="1" s="1"/>
  <c r="G94" i="1"/>
  <c r="G95" i="1"/>
  <c r="G96" i="1"/>
  <c r="G97" i="1"/>
  <c r="I97" i="1" s="1"/>
  <c r="G98" i="1"/>
  <c r="I98" i="1" s="1"/>
  <c r="G99" i="1"/>
  <c r="I99" i="1" s="1"/>
  <c r="G100" i="1"/>
  <c r="I100" i="1" s="1"/>
  <c r="G101" i="1"/>
  <c r="I101" i="1" s="1"/>
  <c r="G102" i="1"/>
  <c r="G103" i="1"/>
  <c r="G104" i="1"/>
  <c r="G105" i="1"/>
  <c r="I105" i="1" s="1"/>
  <c r="G106" i="1"/>
  <c r="I106" i="1" s="1"/>
  <c r="G107" i="1"/>
  <c r="I107" i="1" s="1"/>
  <c r="G108" i="1"/>
  <c r="I108" i="1" s="1"/>
  <c r="G109" i="1"/>
  <c r="I109" i="1" s="1"/>
  <c r="G110" i="1"/>
  <c r="G111" i="1"/>
  <c r="G112" i="1"/>
  <c r="G113" i="1"/>
  <c r="I113" i="1" s="1"/>
  <c r="G114" i="1"/>
  <c r="I114" i="1" s="1"/>
  <c r="G115" i="1"/>
  <c r="I115" i="1" s="1"/>
  <c r="G116" i="1"/>
  <c r="I116" i="1" s="1"/>
  <c r="G117" i="1"/>
  <c r="I117" i="1" s="1"/>
  <c r="G11" i="1"/>
  <c r="G118" i="1"/>
  <c r="G119" i="1"/>
  <c r="G120" i="1"/>
  <c r="I120" i="1" s="1"/>
  <c r="G45" i="1"/>
  <c r="I45" i="1" s="1"/>
  <c r="G12" i="1"/>
  <c r="I12" i="1" s="1"/>
  <c r="G13" i="1"/>
  <c r="I13" i="1" s="1"/>
  <c r="G121" i="1"/>
  <c r="I121" i="1" s="1"/>
  <c r="G122" i="1"/>
  <c r="G14" i="1"/>
  <c r="G123" i="1"/>
  <c r="G124" i="1"/>
  <c r="I124" i="1" s="1"/>
  <c r="G125" i="1"/>
  <c r="I125" i="1" s="1"/>
  <c r="G46" i="1"/>
  <c r="I46" i="1" s="1"/>
  <c r="G126" i="1"/>
  <c r="I126" i="1" s="1"/>
  <c r="G127" i="1"/>
  <c r="I127" i="1" s="1"/>
  <c r="G128" i="1"/>
  <c r="G129" i="1"/>
  <c r="G130" i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G137" i="1"/>
  <c r="G47" i="1"/>
  <c r="G48" i="1"/>
  <c r="I48" i="1" s="1"/>
  <c r="G15" i="1"/>
  <c r="I15" i="1" s="1"/>
  <c r="G16" i="1"/>
  <c r="I16" i="1" s="1"/>
  <c r="G17" i="1"/>
  <c r="I17" i="1" s="1"/>
  <c r="G18" i="1"/>
  <c r="I18" i="1" s="1"/>
  <c r="G19" i="1"/>
  <c r="G20" i="1"/>
  <c r="G52" i="1"/>
  <c r="G21" i="1"/>
  <c r="I21" i="1" s="1"/>
  <c r="G22" i="1"/>
  <c r="I22" i="1" s="1"/>
  <c r="G49" i="1"/>
  <c r="I49" i="1" s="1"/>
  <c r="G23" i="1"/>
  <c r="I23" i="1" s="1"/>
  <c r="G24" i="1"/>
  <c r="I24" i="1" s="1"/>
  <c r="G25" i="1"/>
  <c r="G26" i="1"/>
  <c r="G27" i="1"/>
  <c r="G28" i="1"/>
  <c r="I28" i="1" s="1"/>
  <c r="G29" i="1"/>
  <c r="I29" i="1" s="1"/>
  <c r="G138" i="1"/>
  <c r="I138" i="1" s="1"/>
  <c r="G139" i="1"/>
  <c r="I139" i="1" s="1"/>
  <c r="G140" i="1"/>
  <c r="G141" i="1"/>
  <c r="G142" i="1"/>
  <c r="G143" i="1"/>
  <c r="G30" i="1"/>
  <c r="I30" i="1" s="1"/>
  <c r="G144" i="1"/>
  <c r="I144" i="1" s="1"/>
  <c r="G145" i="1"/>
  <c r="I145" i="1" s="1"/>
  <c r="G146" i="1"/>
  <c r="I146" i="1" s="1"/>
  <c r="G31" i="1"/>
  <c r="I31" i="1" s="1"/>
  <c r="G147" i="1"/>
  <c r="G148" i="1"/>
  <c r="G149" i="1"/>
  <c r="G150" i="1"/>
  <c r="I150" i="1" s="1"/>
  <c r="G53" i="1"/>
  <c r="I53" i="1" s="1"/>
  <c r="G151" i="1"/>
  <c r="I151" i="1" s="1"/>
  <c r="G152" i="1"/>
  <c r="I152" i="1" s="1"/>
  <c r="G153" i="1"/>
  <c r="I153" i="1" s="1"/>
  <c r="G154" i="1"/>
  <c r="G155" i="1"/>
  <c r="G156" i="1"/>
  <c r="G157" i="1"/>
  <c r="I157" i="1" s="1"/>
  <c r="G158" i="1"/>
  <c r="I158" i="1" s="1"/>
  <c r="G54" i="1"/>
  <c r="I54" i="1" s="1"/>
  <c r="G55" i="1"/>
  <c r="I55" i="1" s="1"/>
  <c r="G56" i="1"/>
  <c r="I56" i="1" s="1"/>
  <c r="G57" i="1"/>
  <c r="G32" i="1"/>
  <c r="G33" i="1"/>
  <c r="G159" i="1"/>
  <c r="I159" i="1" s="1"/>
  <c r="G160" i="1"/>
  <c r="I160" i="1" s="1"/>
  <c r="G161" i="1"/>
  <c r="I161" i="1" s="1"/>
  <c r="G162" i="1"/>
  <c r="I162" i="1" s="1"/>
  <c r="G163" i="1"/>
  <c r="I163" i="1" s="1"/>
  <c r="G164" i="1"/>
  <c r="G165" i="1"/>
  <c r="G166" i="1"/>
  <c r="G167" i="1"/>
  <c r="I167" i="1" s="1"/>
  <c r="G168" i="1"/>
  <c r="I168" i="1" s="1"/>
  <c r="G169" i="1"/>
  <c r="I169" i="1" s="1"/>
  <c r="G170" i="1"/>
  <c r="I170" i="1" s="1"/>
  <c r="G171" i="1"/>
  <c r="I171" i="1" s="1"/>
  <c r="G172" i="1"/>
  <c r="G173" i="1"/>
  <c r="G174" i="1"/>
  <c r="G175" i="1"/>
  <c r="I175" i="1" s="1"/>
  <c r="G176" i="1"/>
  <c r="I176" i="1" s="1"/>
  <c r="G177" i="1"/>
  <c r="I177" i="1" s="1"/>
  <c r="G178" i="1"/>
  <c r="G179" i="1"/>
  <c r="I179" i="1" s="1"/>
  <c r="G180" i="1"/>
  <c r="I180" i="1" s="1"/>
  <c r="G181" i="1"/>
  <c r="G182" i="1"/>
  <c r="G183" i="1"/>
  <c r="I183" i="1" s="1"/>
  <c r="G184" i="1"/>
  <c r="I184" i="1" s="1"/>
  <c r="G185" i="1"/>
  <c r="I185" i="1" s="1"/>
  <c r="G186" i="1"/>
  <c r="I186" i="1" s="1"/>
  <c r="G187" i="1"/>
  <c r="I187" i="1" s="1"/>
  <c r="G50" i="1"/>
  <c r="G51" i="1"/>
  <c r="G34" i="1"/>
  <c r="G58" i="1"/>
  <c r="I58" i="1" s="1"/>
  <c r="G35" i="1"/>
  <c r="I35" i="1" s="1"/>
  <c r="G36" i="1"/>
  <c r="I36" i="1" s="1"/>
  <c r="G37" i="1"/>
  <c r="I37" i="1" s="1"/>
  <c r="G59" i="1"/>
  <c r="I59" i="1" s="1"/>
  <c r="G38" i="1"/>
  <c r="G188" i="1"/>
  <c r="G60" i="1"/>
  <c r="G61" i="1"/>
  <c r="I61" i="1" s="1"/>
  <c r="G39" i="1"/>
  <c r="I39" i="1" s="1"/>
  <c r="G2" i="1"/>
  <c r="I2" i="1" s="1"/>
  <c r="F62" i="1"/>
  <c r="F3" i="1"/>
  <c r="F4" i="1"/>
  <c r="F5" i="1"/>
  <c r="F63" i="1"/>
  <c r="F6" i="1"/>
  <c r="F64" i="1"/>
  <c r="F7" i="1"/>
  <c r="F8" i="1"/>
  <c r="F65" i="1"/>
  <c r="F66" i="1"/>
  <c r="F67" i="1"/>
  <c r="F68" i="1"/>
  <c r="F69" i="1"/>
  <c r="F70" i="1"/>
  <c r="F71" i="1"/>
  <c r="F9" i="1"/>
  <c r="F43" i="1"/>
  <c r="F72" i="1"/>
  <c r="F73" i="1"/>
  <c r="F74" i="1"/>
  <c r="F75" i="1"/>
  <c r="F10" i="1"/>
  <c r="F40" i="1"/>
  <c r="F41" i="1"/>
  <c r="F76" i="1"/>
  <c r="F42" i="1"/>
  <c r="F77" i="1"/>
  <c r="F78" i="1"/>
  <c r="F44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" i="1"/>
  <c r="F118" i="1"/>
  <c r="F119" i="1"/>
  <c r="F120" i="1"/>
  <c r="F45" i="1"/>
  <c r="F12" i="1"/>
  <c r="F13" i="1"/>
  <c r="F121" i="1"/>
  <c r="F122" i="1"/>
  <c r="F14" i="1"/>
  <c r="F123" i="1"/>
  <c r="F124" i="1"/>
  <c r="F125" i="1"/>
  <c r="F46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47" i="1"/>
  <c r="F48" i="1"/>
  <c r="F15" i="1"/>
  <c r="F16" i="1"/>
  <c r="F17" i="1"/>
  <c r="F18" i="1"/>
  <c r="F19" i="1"/>
  <c r="F20" i="1"/>
  <c r="F52" i="1"/>
  <c r="F21" i="1"/>
  <c r="F22" i="1"/>
  <c r="F49" i="1"/>
  <c r="F23" i="1"/>
  <c r="F24" i="1"/>
  <c r="F25" i="1"/>
  <c r="F26" i="1"/>
  <c r="F27" i="1"/>
  <c r="F28" i="1"/>
  <c r="F29" i="1"/>
  <c r="F138" i="1"/>
  <c r="F139" i="1"/>
  <c r="F140" i="1"/>
  <c r="F141" i="1"/>
  <c r="F142" i="1"/>
  <c r="F143" i="1"/>
  <c r="F30" i="1"/>
  <c r="F144" i="1"/>
  <c r="F145" i="1"/>
  <c r="F146" i="1"/>
  <c r="F31" i="1"/>
  <c r="F147" i="1"/>
  <c r="F148" i="1"/>
  <c r="F149" i="1"/>
  <c r="F150" i="1"/>
  <c r="F53" i="1"/>
  <c r="F151" i="1"/>
  <c r="F152" i="1"/>
  <c r="F153" i="1"/>
  <c r="F154" i="1"/>
  <c r="F155" i="1"/>
  <c r="F156" i="1"/>
  <c r="F157" i="1"/>
  <c r="F158" i="1"/>
  <c r="F54" i="1"/>
  <c r="F55" i="1"/>
  <c r="F56" i="1"/>
  <c r="F57" i="1"/>
  <c r="F32" i="1"/>
  <c r="F33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50" i="1"/>
  <c r="F51" i="1"/>
  <c r="F34" i="1"/>
  <c r="F58" i="1"/>
  <c r="F35" i="1"/>
  <c r="F36" i="1"/>
  <c r="F37" i="1"/>
  <c r="F59" i="1"/>
  <c r="F38" i="1"/>
  <c r="F188" i="1"/>
  <c r="F60" i="1"/>
  <c r="F61" i="1"/>
  <c r="F39" i="1"/>
  <c r="F2" i="1"/>
  <c r="I7" i="5" l="1"/>
  <c r="I13" i="5" s="1"/>
  <c r="I9" i="5"/>
  <c r="G13" i="5"/>
  <c r="I123" i="2"/>
  <c r="I91" i="2"/>
  <c r="I59" i="2"/>
  <c r="I27" i="2"/>
  <c r="I124" i="2"/>
  <c r="I117" i="2"/>
  <c r="I78" i="2"/>
  <c r="I60" i="2"/>
  <c r="I46" i="2"/>
  <c r="I42" i="2"/>
  <c r="I28" i="2"/>
  <c r="I21" i="2"/>
  <c r="I17" i="2"/>
  <c r="I3" i="2"/>
  <c r="I110" i="2"/>
  <c r="I81" i="2"/>
  <c r="I14" i="2"/>
  <c r="G130" i="2"/>
  <c r="I113" i="2"/>
  <c r="I92" i="2"/>
  <c r="I74" i="2"/>
  <c r="I49" i="2"/>
  <c r="I126" i="2"/>
  <c r="I122" i="2"/>
  <c r="I108" i="2"/>
  <c r="I101" i="2"/>
  <c r="I97" i="2"/>
  <c r="I94" i="2"/>
  <c r="I90" i="2"/>
  <c r="I76" i="2"/>
  <c r="I69" i="2"/>
  <c r="I65" i="2"/>
  <c r="I62" i="2"/>
  <c r="I58" i="2"/>
  <c r="I44" i="2"/>
  <c r="I37" i="2"/>
  <c r="I33" i="2"/>
  <c r="I30" i="2"/>
  <c r="I26" i="2"/>
  <c r="I12" i="2"/>
  <c r="I130" i="2" s="1"/>
  <c r="I5" i="2"/>
  <c r="I106" i="2"/>
  <c r="I85" i="2"/>
  <c r="I53" i="2"/>
  <c r="I10" i="2"/>
  <c r="I107" i="2"/>
  <c r="I75" i="2"/>
  <c r="I43" i="2"/>
  <c r="I11" i="2"/>
  <c r="I3" i="3"/>
  <c r="I6" i="3"/>
  <c r="I11" i="3"/>
  <c r="I14" i="3"/>
  <c r="I19" i="3"/>
  <c r="I22" i="3"/>
  <c r="I27" i="3"/>
  <c r="I30" i="3"/>
  <c r="I35" i="3"/>
  <c r="I38" i="3"/>
  <c r="I37" i="3"/>
  <c r="I9" i="3"/>
  <c r="I17" i="3"/>
  <c r="I25" i="3"/>
  <c r="I33" i="3"/>
  <c r="I29" i="3"/>
  <c r="I5" i="3"/>
  <c r="I13" i="3"/>
  <c r="I21" i="3"/>
  <c r="I2" i="3"/>
  <c r="I10" i="3"/>
  <c r="I18" i="3"/>
  <c r="I26" i="3"/>
  <c r="I34" i="3"/>
  <c r="I12" i="4"/>
  <c r="I6" i="4"/>
  <c r="I15" i="4" s="1"/>
  <c r="G15" i="4"/>
  <c r="I140" i="1"/>
  <c r="I190" i="1" s="1"/>
  <c r="I178" i="1"/>
  <c r="I103" i="1"/>
  <c r="G190" i="1"/>
  <c r="I41" i="3" l="1"/>
  <c r="C144" i="2" l="1"/>
</calcChain>
</file>

<file path=xl/sharedStrings.xml><?xml version="1.0" encoding="utf-8"?>
<sst xmlns="http://schemas.openxmlformats.org/spreadsheetml/2006/main" count="848" uniqueCount="97">
  <si>
    <t>DATE</t>
  </si>
  <si>
    <t>Product Name</t>
  </si>
  <si>
    <t>Qty</t>
  </si>
  <si>
    <t>Per Unit Sale</t>
  </si>
  <si>
    <t>Per unit Purchase</t>
  </si>
  <si>
    <t>Per Unit Profit</t>
  </si>
  <si>
    <t>Total Sale</t>
  </si>
  <si>
    <t>Total Purhcase</t>
  </si>
  <si>
    <t>Total Profit</t>
  </si>
  <si>
    <t>Country</t>
  </si>
  <si>
    <t>Starlink V4</t>
  </si>
  <si>
    <t>Macbook M4 pro chip 16'' 24-512</t>
  </si>
  <si>
    <t>USA</t>
  </si>
  <si>
    <t>Instax wide 400</t>
  </si>
  <si>
    <t>PS5 Pro</t>
  </si>
  <si>
    <t>iphone 16 pro max 256gb</t>
  </si>
  <si>
    <t>Starlink HP KIT</t>
  </si>
  <si>
    <t>ipad pro 11'' M4 256gb</t>
  </si>
  <si>
    <t>ipad pro 13'' M4 256gb</t>
  </si>
  <si>
    <t>ipad pro 13'' M4 512gb</t>
  </si>
  <si>
    <t>Airpod max</t>
  </si>
  <si>
    <t>Macbook M4 14'' 16-512</t>
  </si>
  <si>
    <t>Meta Quest 3s 128gb</t>
  </si>
  <si>
    <t>Meta Quest Pro 256gb</t>
  </si>
  <si>
    <t>Meta Quest 3s 256gb</t>
  </si>
  <si>
    <t>Meta Quest 3s 512gb</t>
  </si>
  <si>
    <t>Australia</t>
  </si>
  <si>
    <t>Dubai</t>
  </si>
  <si>
    <t>Ipad 10 Gen 64gb wifi</t>
  </si>
  <si>
    <t xml:space="preserve">Iphone 16 pro max 512gb </t>
  </si>
  <si>
    <t>Karachi</t>
  </si>
  <si>
    <t>Iphone 16 pro 128gb</t>
  </si>
  <si>
    <t>Iphone 16 pro 256gb</t>
  </si>
  <si>
    <t>Iphone 16 pro 512gb</t>
  </si>
  <si>
    <t xml:space="preserve">Iphone 16 128gb </t>
  </si>
  <si>
    <t>Iphone 16 plus 256gb</t>
  </si>
  <si>
    <t xml:space="preserve">Watch Ultra 2 49mm </t>
  </si>
  <si>
    <t>iwatch series 10 42mm</t>
  </si>
  <si>
    <t>ipad pro 11'' M4 256gb wifi</t>
  </si>
  <si>
    <t>Ipad A16 128gb</t>
  </si>
  <si>
    <t xml:space="preserve">Ipad Air 13''M3 128gb </t>
  </si>
  <si>
    <t>Ipad A16 256gb</t>
  </si>
  <si>
    <t>Samsung S25 Ultra 256gb</t>
  </si>
  <si>
    <t>Meta Quest 3 512gb</t>
  </si>
  <si>
    <t>Macbook Air 24/512</t>
  </si>
  <si>
    <t>Macbook Air 13 M3 24/512</t>
  </si>
  <si>
    <t>Macbook M4 pro chipd 14''24-512</t>
  </si>
  <si>
    <t>Macbook pro M3 14'' 18-512</t>
  </si>
  <si>
    <t>Watch SE Gen 2</t>
  </si>
  <si>
    <t>Iphone 13 pro max 256gb kit</t>
  </si>
  <si>
    <t>Dji Mini 4 Pro</t>
  </si>
  <si>
    <t>Dji Mini 4 Pro FMC 35MIN</t>
  </si>
  <si>
    <t>Canon IXUS 285</t>
  </si>
  <si>
    <t>Iphone 17 pro max 256gb</t>
  </si>
  <si>
    <t>Iphone 17 pro max 512gb</t>
  </si>
  <si>
    <t>Ps5 Disc</t>
  </si>
  <si>
    <t>Ps5 Controller</t>
  </si>
  <si>
    <t>PS Portal</t>
  </si>
  <si>
    <t>Samsung Z Fold 7 256gb</t>
  </si>
  <si>
    <t>Dji Osmo Pocket 3</t>
  </si>
  <si>
    <t xml:space="preserve">Dji Mavic 4 Pro </t>
  </si>
  <si>
    <t>Iphone 16-E 256gb</t>
  </si>
  <si>
    <t>iwatch series 10 46mm</t>
  </si>
  <si>
    <t xml:space="preserve">Ipad Air 11''M3 128gb </t>
  </si>
  <si>
    <t>Ipad A16 128gb wifi only</t>
  </si>
  <si>
    <t>Canon G7X Mark iii</t>
  </si>
  <si>
    <t>Iphone 17 Pro 256gb</t>
  </si>
  <si>
    <t>AUSTRALIA</t>
  </si>
  <si>
    <t>NEWZEALAND</t>
  </si>
  <si>
    <t>Canon G7X Mark ii</t>
  </si>
  <si>
    <t>TOTAL SALE</t>
  </si>
  <si>
    <t>TOTAL PURCHSAE</t>
  </si>
  <si>
    <t>TOTAL PROFIT</t>
  </si>
  <si>
    <t>AMOUNT</t>
  </si>
  <si>
    <t>TOTAL EXPENSE</t>
  </si>
  <si>
    <t>4000 AUD @2.3956</t>
  </si>
  <si>
    <t>884048881509 Pallet 661.59</t>
  </si>
  <si>
    <t>884350071489 Master 335.74</t>
  </si>
  <si>
    <t>884395762147 Pallet 1307.11</t>
  </si>
  <si>
    <t>884577616314 Pallet 2260.15</t>
  </si>
  <si>
    <t>884584171886 124.3</t>
  </si>
  <si>
    <t>884804442640 Master 247.91</t>
  </si>
  <si>
    <t>{ 3 delivery charges noel leeming 267 NZD @2.18 }</t>
  </si>
  <si>
    <t>DUBAI &amp; KARACHI</t>
  </si>
  <si>
    <t>{ paid to Khalid for Visa (Abdullah) }</t>
  </si>
  <si>
    <t>{ Online Purchase of AED (internet) }</t>
  </si>
  <si>
    <t>{ paid dubai office bill by AR }</t>
  </si>
  <si>
    <t>{ name plate office }</t>
  </si>
  <si>
    <t>Miscellaneous Exp</t>
  </si>
  <si>
    <t>Commission Charges</t>
  </si>
  <si>
    <t>Karachi Office Exp</t>
  </si>
  <si>
    <t>Salary Exp (tipu bhai)</t>
  </si>
  <si>
    <t>Discount</t>
  </si>
  <si>
    <t>Abubaker Salary 30K@79</t>
  </si>
  <si>
    <t>Percentage</t>
  </si>
  <si>
    <t xml:space="preserve"> { 10000 AUD @2.3956 Paid to Megatop by WB }</t>
  </si>
  <si>
    <t>{ 24799 NZD @2.18 paid to CT Freight by WB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</si>
</sst>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AED&quot;* #,##0.00_-;\-&quot;AED&quot;* #,##0.00_-;_-&quot;AED&quot;* &quot;-&quot;??_-;_-@_-"/>
    <numFmt numFmtId="164" formatCode="0_ ;\-0\ "/>
  </numFmts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4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4" borderId="1" xfId="0" applyNumberFormat="1" applyFill="1" applyBorder="1"/>
    <xf numFmtId="0" fontId="0" fillId="4" borderId="1" xfId="0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14" fontId="0" fillId="5" borderId="0" xfId="0" applyNumberFormat="1" applyFill="1"/>
    <xf numFmtId="0" fontId="0" fillId="5" borderId="0" xfId="0" applyFill="1"/>
    <xf numFmtId="44" fontId="0" fillId="5" borderId="0" xfId="0" applyNumberFormat="1" applyFill="1"/>
    <xf numFmtId="0" fontId="4" fillId="2" borderId="0" xfId="0" applyFont="1" applyFill="1"/>
    <xf numFmtId="14" fontId="0" fillId="0" borderId="0" xfId="0" applyNumberFormat="1"/>
    <xf numFmtId="14" fontId="0" fillId="5" borderId="1" xfId="0" applyNumberFormat="1" applyFill="1" applyBorder="1"/>
    <xf numFmtId="0" fontId="4" fillId="2" borderId="1" xfId="0" applyFont="1" applyFill="1" applyBorder="1"/>
    <xf numFmtId="0" fontId="0" fillId="5" borderId="1" xfId="0" applyFill="1" applyBorder="1" applyAlignment="1">
      <alignment horizontal="center"/>
    </xf>
    <xf numFmtId="44" fontId="0" fillId="5" borderId="1" xfId="0" applyNumberFormat="1" applyFill="1" applyBorder="1" applyAlignment="1">
      <alignment horizontal="center"/>
    </xf>
    <xf numFmtId="15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5" fontId="0" fillId="0" borderId="1" xfId="0" applyNumberFormat="1" applyBorder="1"/>
    <xf numFmtId="0" fontId="2" fillId="0" borderId="1" xfId="0" applyFont="1" applyBorder="1"/>
    <xf numFmtId="44" fontId="0" fillId="0" borderId="1" xfId="0" applyNumberFormat="1" applyBorder="1"/>
    <xf numFmtId="44" fontId="0" fillId="4" borderId="1" xfId="0" applyNumberFormat="1" applyFill="1" applyBorder="1"/>
    <xf numFmtId="44" fontId="3" fillId="3" borderId="1" xfId="0" applyNumberFormat="1" applyFont="1" applyFill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44" fontId="0" fillId="0" borderId="0" xfId="0" applyNumberFormat="1"/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10" fontId="0" fillId="6" borderId="1" xfId="0" applyNumberFormat="1" applyFill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4" borderId="1" xfId="0" applyNumberFormat="1" applyFill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597A-7F75-458C-9B02-B97F0599F2C4}">
  <dimension ref="A1:J190"/>
  <sheetViews>
    <sheetView topLeftCell="A177" zoomScale="90" zoomScaleNormal="90" workbookViewId="0">
      <selection activeCell="B15" sqref="B15"/>
    </sheetView>
  </sheetViews>
  <sheetFormatPr defaultRowHeight="15" x14ac:dyDescent="0.25"/>
  <cols>
    <col min="1" max="1" width="12.28515625" customWidth="1"/>
    <col min="2" max="2" width="34.28515625" customWidth="1"/>
    <col min="3" max="3" width="13.7109375" customWidth="1"/>
    <col min="4" max="4" width="17.140625" customWidth="1"/>
    <col min="5" max="5" width="21" customWidth="1"/>
    <col min="6" max="6" width="20.28515625" customWidth="1"/>
    <col min="7" max="7" width="24.42578125" customWidth="1"/>
    <col min="8" max="8" width="21.42578125" customWidth="1"/>
    <col min="9" max="9" width="17.7109375" style="34" customWidth="1"/>
    <col min="10" max="10" width="17.5703125" customWidth="1"/>
  </cols>
  <sheetData>
    <row r="1" spans="1:10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5">
        <v>45901</v>
      </c>
      <c r="B2" s="6" t="s">
        <v>10</v>
      </c>
      <c r="C2" s="6">
        <v>1</v>
      </c>
      <c r="D2" s="6">
        <v>800</v>
      </c>
      <c r="E2" s="6">
        <v>572.5</v>
      </c>
      <c r="F2" s="6">
        <f t="shared" ref="F2:F33" si="0">D2-E2</f>
        <v>227.5</v>
      </c>
      <c r="G2" s="6">
        <f t="shared" ref="G2:G33" si="1">C2*D2</f>
        <v>800</v>
      </c>
      <c r="H2" s="6">
        <f t="shared" ref="H2:H33" si="2">C2*E2</f>
        <v>572.5</v>
      </c>
      <c r="I2" s="30">
        <f t="shared" ref="I2:I33" si="3">G2-H2</f>
        <v>227.5</v>
      </c>
      <c r="J2" s="6" t="s">
        <v>26</v>
      </c>
    </row>
    <row r="3" spans="1:10" x14ac:dyDescent="0.25">
      <c r="A3" s="5">
        <v>45901</v>
      </c>
      <c r="B3" s="6" t="s">
        <v>13</v>
      </c>
      <c r="C3" s="6">
        <v>35</v>
      </c>
      <c r="D3" s="6">
        <v>510</v>
      </c>
      <c r="E3" s="6">
        <v>450.42</v>
      </c>
      <c r="F3" s="6">
        <f t="shared" si="0"/>
        <v>59.579999999999984</v>
      </c>
      <c r="G3" s="6">
        <f t="shared" si="1"/>
        <v>17850</v>
      </c>
      <c r="H3" s="6">
        <f t="shared" si="2"/>
        <v>15764.7</v>
      </c>
      <c r="I3" s="30">
        <f t="shared" si="3"/>
        <v>2085.2999999999993</v>
      </c>
      <c r="J3" s="6" t="s">
        <v>26</v>
      </c>
    </row>
    <row r="4" spans="1:10" x14ac:dyDescent="0.25">
      <c r="A4" s="5">
        <v>45901</v>
      </c>
      <c r="B4" s="6" t="s">
        <v>10</v>
      </c>
      <c r="C4" s="6">
        <v>10</v>
      </c>
      <c r="D4" s="6">
        <v>805</v>
      </c>
      <c r="E4" s="6">
        <v>572.5</v>
      </c>
      <c r="F4" s="6">
        <f t="shared" si="0"/>
        <v>232.5</v>
      </c>
      <c r="G4" s="6">
        <f t="shared" si="1"/>
        <v>8050</v>
      </c>
      <c r="H4" s="6">
        <f t="shared" si="2"/>
        <v>5725</v>
      </c>
      <c r="I4" s="30">
        <f t="shared" si="3"/>
        <v>2325</v>
      </c>
      <c r="J4" s="6" t="s">
        <v>26</v>
      </c>
    </row>
    <row r="5" spans="1:10" x14ac:dyDescent="0.25">
      <c r="A5" s="5">
        <v>45901</v>
      </c>
      <c r="B5" s="6" t="s">
        <v>10</v>
      </c>
      <c r="C5" s="6">
        <v>1</v>
      </c>
      <c r="D5" s="6">
        <v>330</v>
      </c>
      <c r="E5" s="6">
        <v>572.5</v>
      </c>
      <c r="F5" s="6">
        <f t="shared" si="0"/>
        <v>-242.5</v>
      </c>
      <c r="G5" s="6">
        <f t="shared" si="1"/>
        <v>330</v>
      </c>
      <c r="H5" s="6">
        <f t="shared" si="2"/>
        <v>572.5</v>
      </c>
      <c r="I5" s="30">
        <f t="shared" si="3"/>
        <v>-242.5</v>
      </c>
      <c r="J5" s="6" t="s">
        <v>26</v>
      </c>
    </row>
    <row r="6" spans="1:10" x14ac:dyDescent="0.25">
      <c r="A6" s="5">
        <v>45902</v>
      </c>
      <c r="B6" s="6" t="s">
        <v>10</v>
      </c>
      <c r="C6" s="6">
        <v>20</v>
      </c>
      <c r="D6" s="6">
        <v>805</v>
      </c>
      <c r="E6" s="6">
        <v>572.5</v>
      </c>
      <c r="F6" s="6">
        <f t="shared" si="0"/>
        <v>232.5</v>
      </c>
      <c r="G6" s="6">
        <f t="shared" si="1"/>
        <v>16100</v>
      </c>
      <c r="H6" s="6">
        <f t="shared" si="2"/>
        <v>11450</v>
      </c>
      <c r="I6" s="30">
        <f t="shared" si="3"/>
        <v>4650</v>
      </c>
      <c r="J6" s="6" t="s">
        <v>26</v>
      </c>
    </row>
    <row r="7" spans="1:10" x14ac:dyDescent="0.25">
      <c r="A7" s="5">
        <v>45902</v>
      </c>
      <c r="B7" s="6" t="s">
        <v>10</v>
      </c>
      <c r="C7" s="6">
        <v>10</v>
      </c>
      <c r="D7" s="6">
        <v>810</v>
      </c>
      <c r="E7" s="6">
        <v>572.5</v>
      </c>
      <c r="F7" s="6">
        <f t="shared" si="0"/>
        <v>237.5</v>
      </c>
      <c r="G7" s="6">
        <f t="shared" si="1"/>
        <v>8100</v>
      </c>
      <c r="H7" s="6">
        <f t="shared" si="2"/>
        <v>5725</v>
      </c>
      <c r="I7" s="30">
        <f t="shared" si="3"/>
        <v>2375</v>
      </c>
      <c r="J7" s="6" t="s">
        <v>26</v>
      </c>
    </row>
    <row r="8" spans="1:10" x14ac:dyDescent="0.25">
      <c r="A8" s="5">
        <v>45903</v>
      </c>
      <c r="B8" s="6" t="s">
        <v>16</v>
      </c>
      <c r="C8" s="6">
        <v>2</v>
      </c>
      <c r="D8" s="6">
        <v>5400</v>
      </c>
      <c r="E8" s="6">
        <v>3340.73</v>
      </c>
      <c r="F8" s="6">
        <f t="shared" si="0"/>
        <v>2059.27</v>
      </c>
      <c r="G8" s="6">
        <f t="shared" si="1"/>
        <v>10800</v>
      </c>
      <c r="H8" s="6">
        <f t="shared" si="2"/>
        <v>6681.46</v>
      </c>
      <c r="I8" s="30">
        <f t="shared" si="3"/>
        <v>4118.54</v>
      </c>
      <c r="J8" s="6" t="s">
        <v>26</v>
      </c>
    </row>
    <row r="9" spans="1:10" x14ac:dyDescent="0.25">
      <c r="A9" s="5">
        <v>45904</v>
      </c>
      <c r="B9" s="6" t="s">
        <v>10</v>
      </c>
      <c r="C9" s="6">
        <v>4</v>
      </c>
      <c r="D9" s="6">
        <v>800</v>
      </c>
      <c r="E9" s="6">
        <v>572.5</v>
      </c>
      <c r="F9" s="6">
        <f t="shared" si="0"/>
        <v>227.5</v>
      </c>
      <c r="G9" s="6">
        <f t="shared" si="1"/>
        <v>3200</v>
      </c>
      <c r="H9" s="6">
        <f t="shared" si="2"/>
        <v>2290</v>
      </c>
      <c r="I9" s="30">
        <f t="shared" si="3"/>
        <v>910</v>
      </c>
      <c r="J9" s="6" t="s">
        <v>26</v>
      </c>
    </row>
    <row r="10" spans="1:10" x14ac:dyDescent="0.25">
      <c r="A10" s="5">
        <v>45908</v>
      </c>
      <c r="B10" s="6" t="s">
        <v>10</v>
      </c>
      <c r="C10" s="6">
        <v>90</v>
      </c>
      <c r="D10" s="6">
        <v>810</v>
      </c>
      <c r="E10" s="6">
        <v>647.33000000000004</v>
      </c>
      <c r="F10" s="6">
        <f t="shared" si="0"/>
        <v>162.66999999999996</v>
      </c>
      <c r="G10" s="6">
        <f t="shared" si="1"/>
        <v>72900</v>
      </c>
      <c r="H10" s="6">
        <f t="shared" si="2"/>
        <v>58259.700000000004</v>
      </c>
      <c r="I10" s="30">
        <f t="shared" si="3"/>
        <v>14640.299999999996</v>
      </c>
      <c r="J10" s="6" t="s">
        <v>26</v>
      </c>
    </row>
    <row r="11" spans="1:10" x14ac:dyDescent="0.25">
      <c r="A11" s="5">
        <v>45910</v>
      </c>
      <c r="B11" s="6" t="s">
        <v>16</v>
      </c>
      <c r="C11" s="6">
        <v>2</v>
      </c>
      <c r="D11" s="6">
        <v>5000</v>
      </c>
      <c r="E11" s="6">
        <v>3340.73</v>
      </c>
      <c r="F11" s="6">
        <f t="shared" si="0"/>
        <v>1659.27</v>
      </c>
      <c r="G11" s="6">
        <f t="shared" si="1"/>
        <v>10000</v>
      </c>
      <c r="H11" s="6">
        <f t="shared" si="2"/>
        <v>6681.46</v>
      </c>
      <c r="I11" s="30">
        <f t="shared" si="3"/>
        <v>3318.54</v>
      </c>
      <c r="J11" s="6" t="s">
        <v>26</v>
      </c>
    </row>
    <row r="12" spans="1:10" x14ac:dyDescent="0.25">
      <c r="A12" s="5">
        <v>45911</v>
      </c>
      <c r="B12" s="6" t="s">
        <v>44</v>
      </c>
      <c r="C12" s="6">
        <v>2</v>
      </c>
      <c r="D12" s="6">
        <v>4400</v>
      </c>
      <c r="E12" s="6">
        <v>4477.1400000000003</v>
      </c>
      <c r="F12" s="6">
        <f t="shared" si="0"/>
        <v>-77.140000000000327</v>
      </c>
      <c r="G12" s="6">
        <f t="shared" si="1"/>
        <v>8800</v>
      </c>
      <c r="H12" s="6">
        <f t="shared" si="2"/>
        <v>8954.2800000000007</v>
      </c>
      <c r="I12" s="30">
        <f t="shared" si="3"/>
        <v>-154.28000000000065</v>
      </c>
      <c r="J12" s="6" t="s">
        <v>26</v>
      </c>
    </row>
    <row r="13" spans="1:10" x14ac:dyDescent="0.25">
      <c r="A13" s="5">
        <v>45911</v>
      </c>
      <c r="B13" s="6" t="s">
        <v>45</v>
      </c>
      <c r="C13" s="6">
        <v>1</v>
      </c>
      <c r="D13" s="6">
        <v>3100</v>
      </c>
      <c r="E13" s="6">
        <v>3566.23</v>
      </c>
      <c r="F13" s="6">
        <f t="shared" si="0"/>
        <v>-466.23</v>
      </c>
      <c r="G13" s="6">
        <f t="shared" si="1"/>
        <v>3100</v>
      </c>
      <c r="H13" s="6">
        <f t="shared" si="2"/>
        <v>3566.23</v>
      </c>
      <c r="I13" s="30">
        <f t="shared" si="3"/>
        <v>-466.23</v>
      </c>
      <c r="J13" s="6" t="s">
        <v>26</v>
      </c>
    </row>
    <row r="14" spans="1:10" x14ac:dyDescent="0.25">
      <c r="A14" s="5">
        <v>45913</v>
      </c>
      <c r="B14" s="6" t="s">
        <v>16</v>
      </c>
      <c r="C14" s="6">
        <v>1</v>
      </c>
      <c r="D14" s="6">
        <v>5500</v>
      </c>
      <c r="E14" s="6">
        <v>3340.73</v>
      </c>
      <c r="F14" s="6">
        <f t="shared" si="0"/>
        <v>2159.27</v>
      </c>
      <c r="G14" s="6">
        <f t="shared" si="1"/>
        <v>5500</v>
      </c>
      <c r="H14" s="6">
        <f t="shared" si="2"/>
        <v>3340.73</v>
      </c>
      <c r="I14" s="30">
        <f t="shared" si="3"/>
        <v>2159.27</v>
      </c>
      <c r="J14" s="6" t="s">
        <v>26</v>
      </c>
    </row>
    <row r="15" spans="1:10" x14ac:dyDescent="0.25">
      <c r="A15" s="5">
        <v>45916</v>
      </c>
      <c r="B15" s="6" t="s">
        <v>16</v>
      </c>
      <c r="C15" s="6">
        <v>1</v>
      </c>
      <c r="D15" s="6">
        <v>6200</v>
      </c>
      <c r="E15" s="6">
        <v>3340.73</v>
      </c>
      <c r="F15" s="6">
        <f t="shared" si="0"/>
        <v>2859.27</v>
      </c>
      <c r="G15" s="6">
        <f t="shared" si="1"/>
        <v>6200</v>
      </c>
      <c r="H15" s="6">
        <f t="shared" si="2"/>
        <v>3340.73</v>
      </c>
      <c r="I15" s="30">
        <f t="shared" si="3"/>
        <v>2859.27</v>
      </c>
      <c r="J15" s="6" t="s">
        <v>26</v>
      </c>
    </row>
    <row r="16" spans="1:10" x14ac:dyDescent="0.25">
      <c r="A16" s="5">
        <v>45916</v>
      </c>
      <c r="B16" s="6" t="s">
        <v>50</v>
      </c>
      <c r="C16" s="6">
        <v>5</v>
      </c>
      <c r="D16" s="6">
        <v>2700</v>
      </c>
      <c r="E16" s="6">
        <v>2187.4299999999998</v>
      </c>
      <c r="F16" s="6">
        <f t="shared" si="0"/>
        <v>512.57000000000016</v>
      </c>
      <c r="G16" s="6">
        <f t="shared" si="1"/>
        <v>13500</v>
      </c>
      <c r="H16" s="6">
        <f t="shared" si="2"/>
        <v>10937.15</v>
      </c>
      <c r="I16" s="30">
        <f t="shared" si="3"/>
        <v>2562.8500000000004</v>
      </c>
      <c r="J16" s="6" t="s">
        <v>67</v>
      </c>
    </row>
    <row r="17" spans="1:10" x14ac:dyDescent="0.25">
      <c r="A17" s="5">
        <v>45917</v>
      </c>
      <c r="B17" s="6" t="s">
        <v>51</v>
      </c>
      <c r="C17" s="6">
        <v>6</v>
      </c>
      <c r="D17" s="6">
        <v>3075</v>
      </c>
      <c r="E17" s="6">
        <v>2439.91</v>
      </c>
      <c r="F17" s="6">
        <f t="shared" si="0"/>
        <v>635.09000000000015</v>
      </c>
      <c r="G17" s="6">
        <f t="shared" si="1"/>
        <v>18450</v>
      </c>
      <c r="H17" s="6">
        <f t="shared" si="2"/>
        <v>14639.46</v>
      </c>
      <c r="I17" s="30">
        <f t="shared" si="3"/>
        <v>3810.5400000000009</v>
      </c>
      <c r="J17" s="6" t="s">
        <v>67</v>
      </c>
    </row>
    <row r="18" spans="1:10" x14ac:dyDescent="0.25">
      <c r="A18" s="5">
        <v>45917</v>
      </c>
      <c r="B18" s="6" t="s">
        <v>10</v>
      </c>
      <c r="C18" s="6">
        <v>3</v>
      </c>
      <c r="D18" s="6">
        <v>775</v>
      </c>
      <c r="E18" s="6">
        <v>576.35</v>
      </c>
      <c r="F18" s="6">
        <f t="shared" si="0"/>
        <v>198.64999999999998</v>
      </c>
      <c r="G18" s="6">
        <f t="shared" si="1"/>
        <v>2325</v>
      </c>
      <c r="H18" s="6">
        <f t="shared" si="2"/>
        <v>1729.0500000000002</v>
      </c>
      <c r="I18" s="30">
        <f t="shared" si="3"/>
        <v>595.94999999999982</v>
      </c>
      <c r="J18" s="6" t="s">
        <v>67</v>
      </c>
    </row>
    <row r="19" spans="1:10" x14ac:dyDescent="0.25">
      <c r="A19" s="5">
        <v>45917</v>
      </c>
      <c r="B19" s="6" t="s">
        <v>10</v>
      </c>
      <c r="C19" s="6">
        <v>33</v>
      </c>
      <c r="D19" s="6">
        <v>775</v>
      </c>
      <c r="E19" s="6">
        <v>576.35</v>
      </c>
      <c r="F19" s="6">
        <f t="shared" si="0"/>
        <v>198.64999999999998</v>
      </c>
      <c r="G19" s="6">
        <f t="shared" si="1"/>
        <v>25575</v>
      </c>
      <c r="H19" s="6">
        <f t="shared" si="2"/>
        <v>19019.55</v>
      </c>
      <c r="I19" s="30">
        <f t="shared" si="3"/>
        <v>6555.4500000000007</v>
      </c>
      <c r="J19" s="6" t="s">
        <v>67</v>
      </c>
    </row>
    <row r="20" spans="1:10" x14ac:dyDescent="0.25">
      <c r="A20" s="5">
        <v>45917</v>
      </c>
      <c r="B20" s="6" t="s">
        <v>10</v>
      </c>
      <c r="C20" s="6">
        <v>3</v>
      </c>
      <c r="D20" s="6">
        <v>770</v>
      </c>
      <c r="E20" s="6">
        <v>576.35</v>
      </c>
      <c r="F20" s="6">
        <f t="shared" si="0"/>
        <v>193.64999999999998</v>
      </c>
      <c r="G20" s="6">
        <f t="shared" si="1"/>
        <v>2310</v>
      </c>
      <c r="H20" s="6">
        <f t="shared" si="2"/>
        <v>1729.0500000000002</v>
      </c>
      <c r="I20" s="30">
        <f t="shared" si="3"/>
        <v>580.94999999999982</v>
      </c>
      <c r="J20" s="6" t="s">
        <v>67</v>
      </c>
    </row>
    <row r="21" spans="1:10" x14ac:dyDescent="0.25">
      <c r="A21" s="5">
        <v>45918</v>
      </c>
      <c r="B21" s="6" t="s">
        <v>10</v>
      </c>
      <c r="C21" s="6">
        <v>3</v>
      </c>
      <c r="D21" s="6">
        <v>770</v>
      </c>
      <c r="E21" s="6">
        <v>576.35</v>
      </c>
      <c r="F21" s="6">
        <f t="shared" si="0"/>
        <v>193.64999999999998</v>
      </c>
      <c r="G21" s="6">
        <f t="shared" si="1"/>
        <v>2310</v>
      </c>
      <c r="H21" s="6">
        <f t="shared" si="2"/>
        <v>1729.0500000000002</v>
      </c>
      <c r="I21" s="30">
        <f t="shared" si="3"/>
        <v>580.94999999999982</v>
      </c>
      <c r="J21" s="6" t="s">
        <v>67</v>
      </c>
    </row>
    <row r="22" spans="1:10" x14ac:dyDescent="0.25">
      <c r="A22" s="5">
        <v>45918</v>
      </c>
      <c r="B22" s="6" t="s">
        <v>10</v>
      </c>
      <c r="C22" s="6">
        <v>30</v>
      </c>
      <c r="D22" s="6">
        <v>775</v>
      </c>
      <c r="E22" s="6">
        <v>576.35</v>
      </c>
      <c r="F22" s="6">
        <f t="shared" si="0"/>
        <v>198.64999999999998</v>
      </c>
      <c r="G22" s="6">
        <f t="shared" si="1"/>
        <v>23250</v>
      </c>
      <c r="H22" s="6">
        <f t="shared" si="2"/>
        <v>17290.5</v>
      </c>
      <c r="I22" s="30">
        <f t="shared" si="3"/>
        <v>5959.5</v>
      </c>
      <c r="J22" s="6" t="s">
        <v>67</v>
      </c>
    </row>
    <row r="23" spans="1:10" x14ac:dyDescent="0.25">
      <c r="A23" s="5">
        <v>45919</v>
      </c>
      <c r="B23" s="6" t="s">
        <v>10</v>
      </c>
      <c r="C23" s="6">
        <v>20</v>
      </c>
      <c r="D23" s="6">
        <v>770</v>
      </c>
      <c r="E23" s="6">
        <v>576.35</v>
      </c>
      <c r="F23" s="6">
        <f t="shared" si="0"/>
        <v>193.64999999999998</v>
      </c>
      <c r="G23" s="6">
        <f t="shared" si="1"/>
        <v>15400</v>
      </c>
      <c r="H23" s="6">
        <f t="shared" si="2"/>
        <v>11527</v>
      </c>
      <c r="I23" s="30">
        <f t="shared" si="3"/>
        <v>3873</v>
      </c>
      <c r="J23" s="6" t="s">
        <v>67</v>
      </c>
    </row>
    <row r="24" spans="1:10" x14ac:dyDescent="0.25">
      <c r="A24" s="5">
        <v>45919</v>
      </c>
      <c r="B24" s="6" t="s">
        <v>10</v>
      </c>
      <c r="C24" s="6">
        <v>50</v>
      </c>
      <c r="D24" s="6">
        <v>765</v>
      </c>
      <c r="E24" s="6">
        <v>576.35</v>
      </c>
      <c r="F24" s="6">
        <f t="shared" si="0"/>
        <v>188.64999999999998</v>
      </c>
      <c r="G24" s="6">
        <f t="shared" si="1"/>
        <v>38250</v>
      </c>
      <c r="H24" s="6">
        <f t="shared" si="2"/>
        <v>28817.5</v>
      </c>
      <c r="I24" s="30">
        <f t="shared" si="3"/>
        <v>9432.5</v>
      </c>
      <c r="J24" s="6" t="s">
        <v>67</v>
      </c>
    </row>
    <row r="25" spans="1:10" x14ac:dyDescent="0.25">
      <c r="A25" s="5">
        <v>45920</v>
      </c>
      <c r="B25" s="6" t="s">
        <v>52</v>
      </c>
      <c r="C25" s="6">
        <v>2</v>
      </c>
      <c r="D25" s="6">
        <v>1600</v>
      </c>
      <c r="E25" s="6">
        <v>918.67</v>
      </c>
      <c r="F25" s="6">
        <f t="shared" si="0"/>
        <v>681.33</v>
      </c>
      <c r="G25" s="6">
        <f t="shared" si="1"/>
        <v>3200</v>
      </c>
      <c r="H25" s="6">
        <f t="shared" si="2"/>
        <v>1837.34</v>
      </c>
      <c r="I25" s="30">
        <f t="shared" si="3"/>
        <v>1362.66</v>
      </c>
      <c r="J25" s="6" t="s">
        <v>67</v>
      </c>
    </row>
    <row r="26" spans="1:10" x14ac:dyDescent="0.25">
      <c r="A26" s="5">
        <v>45920</v>
      </c>
      <c r="B26" s="6" t="s">
        <v>53</v>
      </c>
      <c r="C26" s="6">
        <v>27</v>
      </c>
      <c r="D26" s="6">
        <v>6600</v>
      </c>
      <c r="E26" s="6">
        <v>4726.41</v>
      </c>
      <c r="F26" s="6">
        <f t="shared" si="0"/>
        <v>1873.5900000000001</v>
      </c>
      <c r="G26" s="6">
        <f t="shared" si="1"/>
        <v>178200</v>
      </c>
      <c r="H26" s="6">
        <f t="shared" si="2"/>
        <v>127613.06999999999</v>
      </c>
      <c r="I26" s="30">
        <f t="shared" si="3"/>
        <v>50586.930000000008</v>
      </c>
      <c r="J26" s="6" t="s">
        <v>67</v>
      </c>
    </row>
    <row r="27" spans="1:10" x14ac:dyDescent="0.25">
      <c r="A27" s="5">
        <v>45920</v>
      </c>
      <c r="B27" s="6" t="s">
        <v>54</v>
      </c>
      <c r="C27" s="6">
        <v>6</v>
      </c>
      <c r="D27" s="6">
        <v>6900</v>
      </c>
      <c r="E27" s="6">
        <v>5586.15</v>
      </c>
      <c r="F27" s="6">
        <f t="shared" si="0"/>
        <v>1313.8500000000004</v>
      </c>
      <c r="G27" s="6">
        <f t="shared" si="1"/>
        <v>41400</v>
      </c>
      <c r="H27" s="6">
        <f t="shared" si="2"/>
        <v>33516.899999999994</v>
      </c>
      <c r="I27" s="30">
        <f t="shared" si="3"/>
        <v>7883.1000000000058</v>
      </c>
      <c r="J27" s="6" t="s">
        <v>67</v>
      </c>
    </row>
    <row r="28" spans="1:10" x14ac:dyDescent="0.25">
      <c r="A28" s="5">
        <v>45920</v>
      </c>
      <c r="B28" s="6" t="s">
        <v>53</v>
      </c>
      <c r="C28" s="6">
        <v>4</v>
      </c>
      <c r="D28" s="6">
        <v>6200</v>
      </c>
      <c r="E28" s="6">
        <v>4726.41</v>
      </c>
      <c r="F28" s="6">
        <f t="shared" si="0"/>
        <v>1473.5900000000001</v>
      </c>
      <c r="G28" s="6">
        <f t="shared" si="1"/>
        <v>24800</v>
      </c>
      <c r="H28" s="6">
        <f t="shared" si="2"/>
        <v>18905.64</v>
      </c>
      <c r="I28" s="30">
        <f t="shared" si="3"/>
        <v>5894.3600000000006</v>
      </c>
      <c r="J28" s="6" t="s">
        <v>67</v>
      </c>
    </row>
    <row r="29" spans="1:10" x14ac:dyDescent="0.25">
      <c r="A29" s="5">
        <v>45920</v>
      </c>
      <c r="B29" s="6" t="s">
        <v>53</v>
      </c>
      <c r="C29" s="6">
        <v>1</v>
      </c>
      <c r="D29" s="6">
        <v>6600</v>
      </c>
      <c r="E29" s="6">
        <v>4726.41</v>
      </c>
      <c r="F29" s="6">
        <f t="shared" si="0"/>
        <v>1873.5900000000001</v>
      </c>
      <c r="G29" s="6">
        <f t="shared" si="1"/>
        <v>6600</v>
      </c>
      <c r="H29" s="6">
        <f t="shared" si="2"/>
        <v>4726.41</v>
      </c>
      <c r="I29" s="30">
        <f t="shared" si="3"/>
        <v>1873.5900000000001</v>
      </c>
      <c r="J29" s="6" t="s">
        <v>67</v>
      </c>
    </row>
    <row r="30" spans="1:10" x14ac:dyDescent="0.25">
      <c r="A30" s="5">
        <v>45920</v>
      </c>
      <c r="B30" s="6" t="s">
        <v>55</v>
      </c>
      <c r="C30" s="6">
        <v>2</v>
      </c>
      <c r="D30" s="6">
        <v>1660</v>
      </c>
      <c r="E30" s="6">
        <v>1321.98</v>
      </c>
      <c r="F30" s="6">
        <f t="shared" si="0"/>
        <v>338.02</v>
      </c>
      <c r="G30" s="6">
        <f t="shared" si="1"/>
        <v>3320</v>
      </c>
      <c r="H30" s="6">
        <f t="shared" si="2"/>
        <v>2643.96</v>
      </c>
      <c r="I30" s="30">
        <f t="shared" si="3"/>
        <v>676.04</v>
      </c>
      <c r="J30" s="6" t="s">
        <v>67</v>
      </c>
    </row>
    <row r="31" spans="1:10" x14ac:dyDescent="0.25">
      <c r="A31" s="5">
        <v>45922</v>
      </c>
      <c r="B31" s="6" t="s">
        <v>16</v>
      </c>
      <c r="C31" s="6">
        <v>1</v>
      </c>
      <c r="D31" s="6">
        <v>5400</v>
      </c>
      <c r="E31" s="6">
        <v>3340.73</v>
      </c>
      <c r="F31" s="6">
        <f t="shared" si="0"/>
        <v>2059.27</v>
      </c>
      <c r="G31" s="6">
        <f t="shared" si="1"/>
        <v>5400</v>
      </c>
      <c r="H31" s="6">
        <f t="shared" si="2"/>
        <v>3340.73</v>
      </c>
      <c r="I31" s="30">
        <f t="shared" si="3"/>
        <v>2059.27</v>
      </c>
      <c r="J31" s="6" t="s">
        <v>26</v>
      </c>
    </row>
    <row r="32" spans="1:10" x14ac:dyDescent="0.25">
      <c r="A32" s="5">
        <v>45925</v>
      </c>
      <c r="B32" s="6" t="s">
        <v>59</v>
      </c>
      <c r="C32" s="6">
        <v>2</v>
      </c>
      <c r="D32" s="6">
        <v>1630</v>
      </c>
      <c r="E32" s="6">
        <v>1434.03</v>
      </c>
      <c r="F32" s="6">
        <f t="shared" si="0"/>
        <v>195.97000000000003</v>
      </c>
      <c r="G32" s="6">
        <f t="shared" si="1"/>
        <v>3260</v>
      </c>
      <c r="H32" s="6">
        <f t="shared" si="2"/>
        <v>2868.06</v>
      </c>
      <c r="I32" s="30">
        <f t="shared" si="3"/>
        <v>391.94000000000005</v>
      </c>
      <c r="J32" s="6" t="s">
        <v>67</v>
      </c>
    </row>
    <row r="33" spans="1:10" x14ac:dyDescent="0.25">
      <c r="A33" s="5">
        <v>45926</v>
      </c>
      <c r="B33" s="6" t="s">
        <v>60</v>
      </c>
      <c r="C33" s="6">
        <v>1</v>
      </c>
      <c r="D33" s="6">
        <v>6550</v>
      </c>
      <c r="E33" s="6">
        <v>5346.6</v>
      </c>
      <c r="F33" s="6">
        <f t="shared" si="0"/>
        <v>1203.3999999999996</v>
      </c>
      <c r="G33" s="6">
        <f t="shared" si="1"/>
        <v>6550</v>
      </c>
      <c r="H33" s="6">
        <f t="shared" si="2"/>
        <v>5346.6</v>
      </c>
      <c r="I33" s="30">
        <f t="shared" si="3"/>
        <v>1203.3999999999996</v>
      </c>
      <c r="J33" s="6" t="s">
        <v>67</v>
      </c>
    </row>
    <row r="34" spans="1:10" x14ac:dyDescent="0.25">
      <c r="A34" s="5">
        <v>45927</v>
      </c>
      <c r="B34" s="6" t="s">
        <v>59</v>
      </c>
      <c r="C34" s="6">
        <v>3</v>
      </c>
      <c r="D34" s="6">
        <v>1630</v>
      </c>
      <c r="E34" s="6">
        <v>1434.03</v>
      </c>
      <c r="F34" s="6">
        <f t="shared" ref="F34:F65" si="4">D34-E34</f>
        <v>195.97000000000003</v>
      </c>
      <c r="G34" s="6">
        <f t="shared" ref="G34:G65" si="5">C34*D34</f>
        <v>4890</v>
      </c>
      <c r="H34" s="6">
        <f t="shared" ref="H34:H65" si="6">C34*E34</f>
        <v>4302.09</v>
      </c>
      <c r="I34" s="30">
        <f t="shared" ref="I34:I65" si="7">G34-H34</f>
        <v>587.90999999999985</v>
      </c>
      <c r="J34" s="6" t="s">
        <v>67</v>
      </c>
    </row>
    <row r="35" spans="1:10" x14ac:dyDescent="0.25">
      <c r="A35" s="5">
        <v>45929</v>
      </c>
      <c r="B35" s="6" t="s">
        <v>53</v>
      </c>
      <c r="C35" s="6">
        <v>25</v>
      </c>
      <c r="D35" s="6">
        <v>5450</v>
      </c>
      <c r="E35" s="6">
        <v>4688.4399999999996</v>
      </c>
      <c r="F35" s="6">
        <f t="shared" si="4"/>
        <v>761.5600000000004</v>
      </c>
      <c r="G35" s="6">
        <f t="shared" si="5"/>
        <v>136250</v>
      </c>
      <c r="H35" s="6">
        <f t="shared" si="6"/>
        <v>117210.99999999999</v>
      </c>
      <c r="I35" s="30">
        <f t="shared" si="7"/>
        <v>19039.000000000015</v>
      </c>
      <c r="J35" s="6" t="s">
        <v>67</v>
      </c>
    </row>
    <row r="36" spans="1:10" x14ac:dyDescent="0.25">
      <c r="A36" s="5">
        <v>45929</v>
      </c>
      <c r="B36" s="6" t="s">
        <v>66</v>
      </c>
      <c r="C36" s="6">
        <v>2</v>
      </c>
      <c r="D36" s="6">
        <v>4800</v>
      </c>
      <c r="E36" s="6">
        <v>4262.0320000000002</v>
      </c>
      <c r="F36" s="6">
        <f t="shared" si="4"/>
        <v>537.96799999999985</v>
      </c>
      <c r="G36" s="6">
        <f t="shared" si="5"/>
        <v>9600</v>
      </c>
      <c r="H36" s="6">
        <f t="shared" si="6"/>
        <v>8524.0640000000003</v>
      </c>
      <c r="I36" s="30">
        <f t="shared" si="7"/>
        <v>1075.9359999999997</v>
      </c>
      <c r="J36" s="6" t="s">
        <v>67</v>
      </c>
    </row>
    <row r="37" spans="1:10" x14ac:dyDescent="0.25">
      <c r="A37" s="5">
        <v>45929</v>
      </c>
      <c r="B37" s="6" t="s">
        <v>53</v>
      </c>
      <c r="C37" s="6">
        <v>1</v>
      </c>
      <c r="D37" s="6">
        <v>5700</v>
      </c>
      <c r="E37" s="6">
        <v>4688.4399999999996</v>
      </c>
      <c r="F37" s="6">
        <f t="shared" si="4"/>
        <v>1011.5600000000004</v>
      </c>
      <c r="G37" s="6">
        <f t="shared" si="5"/>
        <v>5700</v>
      </c>
      <c r="H37" s="6">
        <f t="shared" si="6"/>
        <v>4688.4399999999996</v>
      </c>
      <c r="I37" s="30">
        <f t="shared" si="7"/>
        <v>1011.5600000000004</v>
      </c>
      <c r="J37" s="6" t="s">
        <v>67</v>
      </c>
    </row>
    <row r="38" spans="1:10" x14ac:dyDescent="0.25">
      <c r="A38" s="5">
        <v>45929</v>
      </c>
      <c r="B38" s="6" t="s">
        <v>53</v>
      </c>
      <c r="C38" s="6">
        <v>7</v>
      </c>
      <c r="D38" s="6">
        <v>5600</v>
      </c>
      <c r="E38" s="6">
        <v>4688.4399999999996</v>
      </c>
      <c r="F38" s="6">
        <f t="shared" si="4"/>
        <v>911.5600000000004</v>
      </c>
      <c r="G38" s="6">
        <f t="shared" si="5"/>
        <v>39200</v>
      </c>
      <c r="H38" s="6">
        <f t="shared" si="6"/>
        <v>32819.079999999994</v>
      </c>
      <c r="I38" s="30">
        <f t="shared" si="7"/>
        <v>6380.9200000000055</v>
      </c>
      <c r="J38" s="6" t="s">
        <v>67</v>
      </c>
    </row>
    <row r="39" spans="1:10" x14ac:dyDescent="0.25">
      <c r="A39" s="5">
        <v>45930</v>
      </c>
      <c r="B39" s="6" t="s">
        <v>60</v>
      </c>
      <c r="C39" s="6">
        <v>1</v>
      </c>
      <c r="D39" s="6">
        <v>6450</v>
      </c>
      <c r="E39" s="6">
        <v>5346.6</v>
      </c>
      <c r="F39" s="6">
        <f t="shared" si="4"/>
        <v>1103.3999999999996</v>
      </c>
      <c r="G39" s="6">
        <f t="shared" si="5"/>
        <v>6450</v>
      </c>
      <c r="H39" s="6">
        <f t="shared" si="6"/>
        <v>5346.6</v>
      </c>
      <c r="I39" s="30">
        <f t="shared" si="7"/>
        <v>1103.3999999999996</v>
      </c>
      <c r="J39" s="6" t="s">
        <v>67</v>
      </c>
    </row>
    <row r="40" spans="1:10" x14ac:dyDescent="0.25">
      <c r="A40" s="5">
        <v>45908</v>
      </c>
      <c r="B40" s="6" t="s">
        <v>10</v>
      </c>
      <c r="C40" s="6">
        <v>10</v>
      </c>
      <c r="D40" s="6">
        <v>810</v>
      </c>
      <c r="E40" s="6">
        <v>785</v>
      </c>
      <c r="F40" s="6">
        <f t="shared" si="4"/>
        <v>25</v>
      </c>
      <c r="G40" s="6">
        <f t="shared" si="5"/>
        <v>8100</v>
      </c>
      <c r="H40" s="6">
        <f t="shared" si="6"/>
        <v>7850</v>
      </c>
      <c r="I40" s="30">
        <f t="shared" si="7"/>
        <v>250</v>
      </c>
      <c r="J40" s="6" t="s">
        <v>27</v>
      </c>
    </row>
    <row r="41" spans="1:10" x14ac:dyDescent="0.25">
      <c r="A41" s="5">
        <v>45908</v>
      </c>
      <c r="B41" s="6" t="s">
        <v>10</v>
      </c>
      <c r="C41" s="6">
        <v>5</v>
      </c>
      <c r="D41" s="6">
        <v>800</v>
      </c>
      <c r="E41" s="6">
        <v>785</v>
      </c>
      <c r="F41" s="6">
        <f t="shared" si="4"/>
        <v>15</v>
      </c>
      <c r="G41" s="6">
        <f t="shared" si="5"/>
        <v>4000</v>
      </c>
      <c r="H41" s="6">
        <f t="shared" si="6"/>
        <v>3925</v>
      </c>
      <c r="I41" s="30">
        <f t="shared" si="7"/>
        <v>75</v>
      </c>
      <c r="J41" s="6" t="s">
        <v>27</v>
      </c>
    </row>
    <row r="42" spans="1:10" x14ac:dyDescent="0.25">
      <c r="A42" s="5">
        <v>45908</v>
      </c>
      <c r="B42" s="6" t="s">
        <v>10</v>
      </c>
      <c r="C42" s="6">
        <v>15</v>
      </c>
      <c r="D42" s="6">
        <v>800</v>
      </c>
      <c r="E42" s="6">
        <v>785</v>
      </c>
      <c r="F42" s="6">
        <f t="shared" si="4"/>
        <v>15</v>
      </c>
      <c r="G42" s="6">
        <f t="shared" si="5"/>
        <v>12000</v>
      </c>
      <c r="H42" s="6">
        <f t="shared" si="6"/>
        <v>11775</v>
      </c>
      <c r="I42" s="30">
        <f t="shared" si="7"/>
        <v>225</v>
      </c>
      <c r="J42" s="6" t="s">
        <v>27</v>
      </c>
    </row>
    <row r="43" spans="1:10" x14ac:dyDescent="0.25">
      <c r="A43" s="5">
        <v>45904</v>
      </c>
      <c r="B43" s="6" t="s">
        <v>28</v>
      </c>
      <c r="C43" s="6">
        <v>1</v>
      </c>
      <c r="D43" s="6">
        <v>1150</v>
      </c>
      <c r="E43" s="6">
        <v>937.5</v>
      </c>
      <c r="F43" s="6">
        <f t="shared" si="4"/>
        <v>212.5</v>
      </c>
      <c r="G43" s="6">
        <f t="shared" si="5"/>
        <v>1150</v>
      </c>
      <c r="H43" s="6">
        <f t="shared" si="6"/>
        <v>937.5</v>
      </c>
      <c r="I43" s="30">
        <f t="shared" si="7"/>
        <v>212.5</v>
      </c>
      <c r="J43" s="6" t="s">
        <v>30</v>
      </c>
    </row>
    <row r="44" spans="1:10" x14ac:dyDescent="0.25">
      <c r="A44" s="5">
        <v>45909</v>
      </c>
      <c r="B44" s="6" t="s">
        <v>29</v>
      </c>
      <c r="C44" s="6">
        <v>1</v>
      </c>
      <c r="D44" s="6">
        <v>2993.78</v>
      </c>
      <c r="E44" s="6">
        <v>2650</v>
      </c>
      <c r="F44" s="6">
        <f t="shared" si="4"/>
        <v>343.7800000000002</v>
      </c>
      <c r="G44" s="6">
        <f t="shared" si="5"/>
        <v>2993.78</v>
      </c>
      <c r="H44" s="6">
        <f t="shared" si="6"/>
        <v>2650</v>
      </c>
      <c r="I44" s="30">
        <f t="shared" si="7"/>
        <v>343.7800000000002</v>
      </c>
      <c r="J44" s="6" t="s">
        <v>30</v>
      </c>
    </row>
    <row r="45" spans="1:10" x14ac:dyDescent="0.25">
      <c r="A45" s="5">
        <v>45911</v>
      </c>
      <c r="B45" s="6" t="s">
        <v>15</v>
      </c>
      <c r="C45" s="6">
        <v>1</v>
      </c>
      <c r="D45" s="6">
        <v>1677.01</v>
      </c>
      <c r="E45" s="6">
        <v>1450</v>
      </c>
      <c r="F45" s="6">
        <f t="shared" si="4"/>
        <v>227.01</v>
      </c>
      <c r="G45" s="6">
        <f t="shared" si="5"/>
        <v>1677.01</v>
      </c>
      <c r="H45" s="6">
        <f t="shared" si="6"/>
        <v>1450</v>
      </c>
      <c r="I45" s="30">
        <f t="shared" si="7"/>
        <v>227.01</v>
      </c>
      <c r="J45" s="6" t="s">
        <v>30</v>
      </c>
    </row>
    <row r="46" spans="1:10" x14ac:dyDescent="0.25">
      <c r="A46" s="5">
        <v>45913</v>
      </c>
      <c r="B46" s="6" t="s">
        <v>49</v>
      </c>
      <c r="C46" s="6">
        <v>1</v>
      </c>
      <c r="D46" s="6">
        <v>2665.62</v>
      </c>
      <c r="E46" s="6">
        <v>2487.5</v>
      </c>
      <c r="F46" s="6">
        <f t="shared" si="4"/>
        <v>178.11999999999989</v>
      </c>
      <c r="G46" s="6">
        <f t="shared" si="5"/>
        <v>2665.62</v>
      </c>
      <c r="H46" s="6">
        <f t="shared" si="6"/>
        <v>2487.5</v>
      </c>
      <c r="I46" s="30">
        <f t="shared" si="7"/>
        <v>178.11999999999989</v>
      </c>
      <c r="J46" s="6" t="s">
        <v>30</v>
      </c>
    </row>
    <row r="47" spans="1:10" x14ac:dyDescent="0.25">
      <c r="A47" s="5">
        <v>45915</v>
      </c>
      <c r="B47" s="6" t="s">
        <v>15</v>
      </c>
      <c r="C47" s="6">
        <v>1</v>
      </c>
      <c r="D47" s="6">
        <v>2944.09</v>
      </c>
      <c r="E47" s="6">
        <v>2600</v>
      </c>
      <c r="F47" s="6">
        <f t="shared" si="4"/>
        <v>344.09000000000015</v>
      </c>
      <c r="G47" s="6">
        <f t="shared" si="5"/>
        <v>2944.09</v>
      </c>
      <c r="H47" s="6">
        <f t="shared" si="6"/>
        <v>2600</v>
      </c>
      <c r="I47" s="30">
        <f t="shared" si="7"/>
        <v>344.09000000000015</v>
      </c>
      <c r="J47" s="6" t="s">
        <v>30</v>
      </c>
    </row>
    <row r="48" spans="1:10" x14ac:dyDescent="0.25">
      <c r="A48" s="5">
        <v>45915</v>
      </c>
      <c r="B48" s="6" t="s">
        <v>15</v>
      </c>
      <c r="C48" s="6">
        <v>1</v>
      </c>
      <c r="D48" s="6">
        <v>2913.02</v>
      </c>
      <c r="E48" s="6">
        <v>2600</v>
      </c>
      <c r="F48" s="6">
        <f t="shared" si="4"/>
        <v>313.02</v>
      </c>
      <c r="G48" s="6">
        <f t="shared" si="5"/>
        <v>2913.02</v>
      </c>
      <c r="H48" s="6">
        <f t="shared" si="6"/>
        <v>2600</v>
      </c>
      <c r="I48" s="30">
        <f t="shared" si="7"/>
        <v>313.02</v>
      </c>
      <c r="J48" s="6" t="s">
        <v>30</v>
      </c>
    </row>
    <row r="49" spans="1:10" x14ac:dyDescent="0.25">
      <c r="A49" s="5">
        <v>45918</v>
      </c>
      <c r="B49" s="6" t="s">
        <v>29</v>
      </c>
      <c r="C49" s="6">
        <v>1</v>
      </c>
      <c r="D49" s="6">
        <v>2987.5</v>
      </c>
      <c r="E49" s="6">
        <v>2600</v>
      </c>
      <c r="F49" s="6">
        <f t="shared" si="4"/>
        <v>387.5</v>
      </c>
      <c r="G49" s="6">
        <f t="shared" si="5"/>
        <v>2987.5</v>
      </c>
      <c r="H49" s="6">
        <f t="shared" si="6"/>
        <v>2600</v>
      </c>
      <c r="I49" s="30">
        <f t="shared" si="7"/>
        <v>387.5</v>
      </c>
      <c r="J49" s="6" t="s">
        <v>30</v>
      </c>
    </row>
    <row r="50" spans="1:10" x14ac:dyDescent="0.25">
      <c r="A50" s="5">
        <v>45926</v>
      </c>
      <c r="B50" s="6" t="s">
        <v>53</v>
      </c>
      <c r="C50" s="6">
        <v>2</v>
      </c>
      <c r="D50" s="6">
        <v>7278.48</v>
      </c>
      <c r="E50" s="6">
        <v>6850</v>
      </c>
      <c r="F50" s="6">
        <f t="shared" si="4"/>
        <v>428.47999999999956</v>
      </c>
      <c r="G50" s="6">
        <f t="shared" si="5"/>
        <v>14556.96</v>
      </c>
      <c r="H50" s="6">
        <f t="shared" si="6"/>
        <v>13700</v>
      </c>
      <c r="I50" s="30">
        <f t="shared" si="7"/>
        <v>856.95999999999913</v>
      </c>
      <c r="J50" s="6" t="s">
        <v>30</v>
      </c>
    </row>
    <row r="51" spans="1:10" x14ac:dyDescent="0.25">
      <c r="A51" s="5">
        <v>45926</v>
      </c>
      <c r="B51" s="6" t="s">
        <v>53</v>
      </c>
      <c r="C51" s="6">
        <v>1</v>
      </c>
      <c r="D51" s="6">
        <v>7341.77</v>
      </c>
      <c r="E51" s="6">
        <v>6850</v>
      </c>
      <c r="F51" s="6">
        <f t="shared" si="4"/>
        <v>491.77000000000044</v>
      </c>
      <c r="G51" s="6">
        <f t="shared" si="5"/>
        <v>7341.77</v>
      </c>
      <c r="H51" s="6">
        <f t="shared" si="6"/>
        <v>6850</v>
      </c>
      <c r="I51" s="30">
        <f t="shared" si="7"/>
        <v>491.77000000000044</v>
      </c>
      <c r="J51" s="6" t="s">
        <v>30</v>
      </c>
    </row>
    <row r="52" spans="1:10" x14ac:dyDescent="0.25">
      <c r="A52" s="5">
        <v>45917</v>
      </c>
      <c r="B52" s="6" t="s">
        <v>10</v>
      </c>
      <c r="C52" s="6">
        <v>200</v>
      </c>
      <c r="D52" s="6">
        <v>770</v>
      </c>
      <c r="E52" s="6">
        <v>566.54</v>
      </c>
      <c r="F52" s="6">
        <f t="shared" si="4"/>
        <v>203.46000000000004</v>
      </c>
      <c r="G52" s="6">
        <f t="shared" si="5"/>
        <v>154000</v>
      </c>
      <c r="H52" s="6">
        <f t="shared" si="6"/>
        <v>113308</v>
      </c>
      <c r="I52" s="30">
        <f t="shared" si="7"/>
        <v>40692</v>
      </c>
      <c r="J52" s="6" t="s">
        <v>68</v>
      </c>
    </row>
    <row r="53" spans="1:10" x14ac:dyDescent="0.25">
      <c r="A53" s="5">
        <v>45922</v>
      </c>
      <c r="B53" s="6" t="s">
        <v>10</v>
      </c>
      <c r="C53" s="6">
        <v>2</v>
      </c>
      <c r="D53" s="6">
        <v>775</v>
      </c>
      <c r="E53" s="6">
        <v>566.54</v>
      </c>
      <c r="F53" s="6">
        <f t="shared" si="4"/>
        <v>208.46000000000004</v>
      </c>
      <c r="G53" s="6">
        <f t="shared" si="5"/>
        <v>1550</v>
      </c>
      <c r="H53" s="6">
        <f t="shared" si="6"/>
        <v>1133.08</v>
      </c>
      <c r="I53" s="30">
        <f t="shared" si="7"/>
        <v>416.92000000000007</v>
      </c>
      <c r="J53" s="6" t="s">
        <v>68</v>
      </c>
    </row>
    <row r="54" spans="1:10" x14ac:dyDescent="0.25">
      <c r="A54" s="5">
        <v>45923</v>
      </c>
      <c r="B54" s="6" t="s">
        <v>10</v>
      </c>
      <c r="C54" s="6">
        <v>150</v>
      </c>
      <c r="D54" s="6">
        <v>765</v>
      </c>
      <c r="E54" s="6">
        <v>566.54</v>
      </c>
      <c r="F54" s="6">
        <f t="shared" si="4"/>
        <v>198.46000000000004</v>
      </c>
      <c r="G54" s="6">
        <f t="shared" si="5"/>
        <v>114750</v>
      </c>
      <c r="H54" s="6">
        <f t="shared" si="6"/>
        <v>84981</v>
      </c>
      <c r="I54" s="30">
        <f t="shared" si="7"/>
        <v>29769</v>
      </c>
      <c r="J54" s="6" t="s">
        <v>68</v>
      </c>
    </row>
    <row r="55" spans="1:10" x14ac:dyDescent="0.25">
      <c r="A55" s="5">
        <v>45923</v>
      </c>
      <c r="B55" s="6" t="s">
        <v>10</v>
      </c>
      <c r="C55" s="6">
        <v>5</v>
      </c>
      <c r="D55" s="6">
        <v>775</v>
      </c>
      <c r="E55" s="6">
        <v>566.54</v>
      </c>
      <c r="F55" s="6">
        <f t="shared" si="4"/>
        <v>208.46000000000004</v>
      </c>
      <c r="G55" s="6">
        <f t="shared" si="5"/>
        <v>3875</v>
      </c>
      <c r="H55" s="6">
        <f t="shared" si="6"/>
        <v>2832.7</v>
      </c>
      <c r="I55" s="30">
        <f t="shared" si="7"/>
        <v>1042.3000000000002</v>
      </c>
      <c r="J55" s="6" t="s">
        <v>68</v>
      </c>
    </row>
    <row r="56" spans="1:10" x14ac:dyDescent="0.25">
      <c r="A56" s="5">
        <v>45924</v>
      </c>
      <c r="B56" s="6" t="s">
        <v>10</v>
      </c>
      <c r="C56" s="6">
        <v>5</v>
      </c>
      <c r="D56" s="6">
        <v>775</v>
      </c>
      <c r="E56" s="6">
        <v>566.54</v>
      </c>
      <c r="F56" s="6">
        <f t="shared" si="4"/>
        <v>208.46000000000004</v>
      </c>
      <c r="G56" s="6">
        <f t="shared" si="5"/>
        <v>3875</v>
      </c>
      <c r="H56" s="6">
        <f t="shared" si="6"/>
        <v>2832.7</v>
      </c>
      <c r="I56" s="30">
        <f t="shared" si="7"/>
        <v>1042.3000000000002</v>
      </c>
      <c r="J56" s="6" t="s">
        <v>68</v>
      </c>
    </row>
    <row r="57" spans="1:10" x14ac:dyDescent="0.25">
      <c r="A57" s="5">
        <v>45925</v>
      </c>
      <c r="B57" s="6" t="s">
        <v>10</v>
      </c>
      <c r="C57" s="6">
        <v>20</v>
      </c>
      <c r="D57" s="6">
        <v>772</v>
      </c>
      <c r="E57" s="6">
        <v>566.54</v>
      </c>
      <c r="F57" s="6">
        <f t="shared" si="4"/>
        <v>205.46000000000004</v>
      </c>
      <c r="G57" s="6">
        <f t="shared" si="5"/>
        <v>15440</v>
      </c>
      <c r="H57" s="6">
        <f t="shared" si="6"/>
        <v>11330.8</v>
      </c>
      <c r="I57" s="30">
        <f t="shared" si="7"/>
        <v>4109.2000000000007</v>
      </c>
      <c r="J57" s="6" t="s">
        <v>68</v>
      </c>
    </row>
    <row r="58" spans="1:10" x14ac:dyDescent="0.25">
      <c r="A58" s="5">
        <v>45929</v>
      </c>
      <c r="B58" s="6" t="s">
        <v>65</v>
      </c>
      <c r="C58" s="6">
        <v>5</v>
      </c>
      <c r="D58" s="6">
        <v>4175</v>
      </c>
      <c r="E58" s="6">
        <v>2810.97</v>
      </c>
      <c r="F58" s="6">
        <f t="shared" si="4"/>
        <v>1364.0300000000002</v>
      </c>
      <c r="G58" s="6">
        <f t="shared" si="5"/>
        <v>20875</v>
      </c>
      <c r="H58" s="6">
        <f t="shared" si="6"/>
        <v>14054.849999999999</v>
      </c>
      <c r="I58" s="30">
        <f t="shared" si="7"/>
        <v>6820.1500000000015</v>
      </c>
      <c r="J58" s="6" t="s">
        <v>68</v>
      </c>
    </row>
    <row r="59" spans="1:10" x14ac:dyDescent="0.25">
      <c r="A59" s="5">
        <v>45929</v>
      </c>
      <c r="B59" s="6" t="s">
        <v>10</v>
      </c>
      <c r="C59" s="6">
        <v>6</v>
      </c>
      <c r="D59" s="6">
        <v>775</v>
      </c>
      <c r="E59" s="6">
        <v>566.54</v>
      </c>
      <c r="F59" s="6">
        <f t="shared" si="4"/>
        <v>208.46000000000004</v>
      </c>
      <c r="G59" s="6">
        <f t="shared" si="5"/>
        <v>4650</v>
      </c>
      <c r="H59" s="6">
        <f t="shared" si="6"/>
        <v>3399.24</v>
      </c>
      <c r="I59" s="30">
        <f t="shared" si="7"/>
        <v>1250.7600000000002</v>
      </c>
      <c r="J59" s="6" t="s">
        <v>68</v>
      </c>
    </row>
    <row r="60" spans="1:10" x14ac:dyDescent="0.25">
      <c r="A60" s="5">
        <v>45930</v>
      </c>
      <c r="B60" s="6" t="s">
        <v>69</v>
      </c>
      <c r="C60" s="6">
        <v>1</v>
      </c>
      <c r="D60" s="6">
        <v>4050</v>
      </c>
      <c r="E60" s="6">
        <v>2361.0700000000002</v>
      </c>
      <c r="F60" s="6">
        <f t="shared" si="4"/>
        <v>1688.9299999999998</v>
      </c>
      <c r="G60" s="6">
        <f t="shared" si="5"/>
        <v>4050</v>
      </c>
      <c r="H60" s="6">
        <f t="shared" si="6"/>
        <v>2361.0700000000002</v>
      </c>
      <c r="I60" s="30">
        <f t="shared" si="7"/>
        <v>1688.9299999999998</v>
      </c>
      <c r="J60" s="6" t="s">
        <v>68</v>
      </c>
    </row>
    <row r="61" spans="1:10" x14ac:dyDescent="0.25">
      <c r="A61" s="5">
        <v>45930</v>
      </c>
      <c r="B61" s="6" t="s">
        <v>65</v>
      </c>
      <c r="C61" s="6">
        <v>2</v>
      </c>
      <c r="D61" s="6">
        <v>4175</v>
      </c>
      <c r="E61" s="6">
        <v>2810.97</v>
      </c>
      <c r="F61" s="6">
        <f t="shared" si="4"/>
        <v>1364.0300000000002</v>
      </c>
      <c r="G61" s="6">
        <f t="shared" si="5"/>
        <v>8350</v>
      </c>
      <c r="H61" s="6">
        <f t="shared" si="6"/>
        <v>5621.94</v>
      </c>
      <c r="I61" s="30">
        <f t="shared" si="7"/>
        <v>2728.0600000000004</v>
      </c>
      <c r="J61" s="6" t="s">
        <v>68</v>
      </c>
    </row>
    <row r="62" spans="1:10" x14ac:dyDescent="0.25">
      <c r="A62" s="5">
        <v>45901</v>
      </c>
      <c r="B62" s="6" t="s">
        <v>11</v>
      </c>
      <c r="C62" s="6">
        <v>2</v>
      </c>
      <c r="D62" s="6">
        <v>7450</v>
      </c>
      <c r="E62" s="6">
        <v>7056</v>
      </c>
      <c r="F62" s="6">
        <f t="shared" si="4"/>
        <v>394</v>
      </c>
      <c r="G62" s="6">
        <f t="shared" si="5"/>
        <v>14900</v>
      </c>
      <c r="H62" s="6">
        <f t="shared" si="6"/>
        <v>14112</v>
      </c>
      <c r="I62" s="30">
        <f t="shared" si="7"/>
        <v>788</v>
      </c>
      <c r="J62" s="6" t="s">
        <v>12</v>
      </c>
    </row>
    <row r="63" spans="1:10" x14ac:dyDescent="0.25">
      <c r="A63" s="5">
        <v>45902</v>
      </c>
      <c r="B63" s="6" t="s">
        <v>14</v>
      </c>
      <c r="C63" s="6">
        <v>3</v>
      </c>
      <c r="D63" s="6">
        <v>2440</v>
      </c>
      <c r="E63" s="6">
        <v>1879.85</v>
      </c>
      <c r="F63" s="6">
        <f t="shared" si="4"/>
        <v>560.15000000000009</v>
      </c>
      <c r="G63" s="6">
        <f t="shared" si="5"/>
        <v>7320</v>
      </c>
      <c r="H63" s="6">
        <f t="shared" si="6"/>
        <v>5639.5499999999993</v>
      </c>
      <c r="I63" s="30">
        <f t="shared" si="7"/>
        <v>1680.4500000000007</v>
      </c>
      <c r="J63" s="6" t="s">
        <v>12</v>
      </c>
    </row>
    <row r="64" spans="1:10" x14ac:dyDescent="0.25">
      <c r="A64" s="5">
        <v>45902</v>
      </c>
      <c r="B64" s="6" t="s">
        <v>15</v>
      </c>
      <c r="C64" s="6">
        <v>2</v>
      </c>
      <c r="D64" s="6">
        <v>2740</v>
      </c>
      <c r="E64" s="6">
        <v>2580</v>
      </c>
      <c r="F64" s="6">
        <f t="shared" si="4"/>
        <v>160</v>
      </c>
      <c r="G64" s="6">
        <f t="shared" si="5"/>
        <v>5480</v>
      </c>
      <c r="H64" s="6">
        <f t="shared" si="6"/>
        <v>5160</v>
      </c>
      <c r="I64" s="30">
        <f t="shared" si="7"/>
        <v>320</v>
      </c>
      <c r="J64" s="6" t="s">
        <v>12</v>
      </c>
    </row>
    <row r="65" spans="1:10" x14ac:dyDescent="0.25">
      <c r="A65" s="5">
        <v>45903</v>
      </c>
      <c r="B65" s="6" t="s">
        <v>17</v>
      </c>
      <c r="C65" s="6">
        <v>3</v>
      </c>
      <c r="D65" s="6">
        <v>3000</v>
      </c>
      <c r="E65" s="6">
        <v>2935.6</v>
      </c>
      <c r="F65" s="6">
        <f t="shared" si="4"/>
        <v>64.400000000000091</v>
      </c>
      <c r="G65" s="6">
        <f t="shared" si="5"/>
        <v>9000</v>
      </c>
      <c r="H65" s="6">
        <f t="shared" si="6"/>
        <v>8806.7999999999993</v>
      </c>
      <c r="I65" s="30">
        <f t="shared" si="7"/>
        <v>193.20000000000073</v>
      </c>
      <c r="J65" s="6" t="s">
        <v>12</v>
      </c>
    </row>
    <row r="66" spans="1:10" x14ac:dyDescent="0.25">
      <c r="A66" s="5">
        <v>45903</v>
      </c>
      <c r="B66" s="6" t="s">
        <v>18</v>
      </c>
      <c r="C66" s="6">
        <v>2</v>
      </c>
      <c r="D66" s="6">
        <v>3880</v>
      </c>
      <c r="E66" s="6">
        <v>3580</v>
      </c>
      <c r="F66" s="6">
        <f t="shared" ref="F66:F97" si="8">D66-E66</f>
        <v>300</v>
      </c>
      <c r="G66" s="6">
        <f t="shared" ref="G66:G97" si="9">C66*D66</f>
        <v>7760</v>
      </c>
      <c r="H66" s="6">
        <f t="shared" ref="H66:H97" si="10">C66*E66</f>
        <v>7160</v>
      </c>
      <c r="I66" s="30">
        <f t="shared" ref="I66:I97" si="11">G66-H66</f>
        <v>600</v>
      </c>
      <c r="J66" s="6" t="s">
        <v>12</v>
      </c>
    </row>
    <row r="67" spans="1:10" x14ac:dyDescent="0.25">
      <c r="A67" s="5">
        <v>45903</v>
      </c>
      <c r="B67" s="6" t="s">
        <v>18</v>
      </c>
      <c r="C67" s="6">
        <v>1</v>
      </c>
      <c r="D67" s="6">
        <v>3700</v>
      </c>
      <c r="E67" s="6">
        <v>3580</v>
      </c>
      <c r="F67" s="6">
        <f t="shared" si="8"/>
        <v>120</v>
      </c>
      <c r="G67" s="6">
        <f t="shared" si="9"/>
        <v>3700</v>
      </c>
      <c r="H67" s="6">
        <f t="shared" si="10"/>
        <v>3580</v>
      </c>
      <c r="I67" s="30">
        <f t="shared" si="11"/>
        <v>120</v>
      </c>
      <c r="J67" s="6" t="s">
        <v>12</v>
      </c>
    </row>
    <row r="68" spans="1:10" x14ac:dyDescent="0.25">
      <c r="A68" s="5">
        <v>45903</v>
      </c>
      <c r="B68" s="6" t="s">
        <v>18</v>
      </c>
      <c r="C68" s="6">
        <v>1</v>
      </c>
      <c r="D68" s="6">
        <v>3650</v>
      </c>
      <c r="E68" s="6">
        <v>3600</v>
      </c>
      <c r="F68" s="6">
        <f t="shared" si="8"/>
        <v>50</v>
      </c>
      <c r="G68" s="6">
        <f t="shared" si="9"/>
        <v>3650</v>
      </c>
      <c r="H68" s="6">
        <f t="shared" si="10"/>
        <v>3600</v>
      </c>
      <c r="I68" s="30">
        <f t="shared" si="11"/>
        <v>50</v>
      </c>
      <c r="J68" s="6" t="s">
        <v>12</v>
      </c>
    </row>
    <row r="69" spans="1:10" x14ac:dyDescent="0.25">
      <c r="A69" s="5">
        <v>45903</v>
      </c>
      <c r="B69" s="6" t="s">
        <v>19</v>
      </c>
      <c r="C69" s="6">
        <v>1</v>
      </c>
      <c r="D69" s="6">
        <v>4800</v>
      </c>
      <c r="E69" s="6">
        <v>4224.3999999999996</v>
      </c>
      <c r="F69" s="6">
        <f t="shared" si="8"/>
        <v>575.60000000000036</v>
      </c>
      <c r="G69" s="6">
        <f t="shared" si="9"/>
        <v>4800</v>
      </c>
      <c r="H69" s="6">
        <f t="shared" si="10"/>
        <v>4224.3999999999996</v>
      </c>
      <c r="I69" s="30">
        <f t="shared" si="11"/>
        <v>575.60000000000036</v>
      </c>
      <c r="J69" s="6" t="s">
        <v>12</v>
      </c>
    </row>
    <row r="70" spans="1:10" x14ac:dyDescent="0.25">
      <c r="A70" s="5">
        <v>45904</v>
      </c>
      <c r="B70" s="6" t="s">
        <v>20</v>
      </c>
      <c r="C70" s="6">
        <v>1</v>
      </c>
      <c r="D70" s="6">
        <v>1600</v>
      </c>
      <c r="E70" s="6">
        <v>1516</v>
      </c>
      <c r="F70" s="6">
        <f t="shared" si="8"/>
        <v>84</v>
      </c>
      <c r="G70" s="6">
        <f t="shared" si="9"/>
        <v>1600</v>
      </c>
      <c r="H70" s="6">
        <f t="shared" si="10"/>
        <v>1516</v>
      </c>
      <c r="I70" s="30">
        <f t="shared" si="11"/>
        <v>84</v>
      </c>
      <c r="J70" s="6" t="s">
        <v>12</v>
      </c>
    </row>
    <row r="71" spans="1:10" x14ac:dyDescent="0.25">
      <c r="A71" s="5">
        <v>45904</v>
      </c>
      <c r="B71" s="6" t="s">
        <v>21</v>
      </c>
      <c r="C71" s="6">
        <v>1</v>
      </c>
      <c r="D71" s="6">
        <v>4730</v>
      </c>
      <c r="E71" s="6">
        <v>4752</v>
      </c>
      <c r="F71" s="6">
        <f t="shared" si="8"/>
        <v>-22</v>
      </c>
      <c r="G71" s="6">
        <f t="shared" si="9"/>
        <v>4730</v>
      </c>
      <c r="H71" s="6">
        <f t="shared" si="10"/>
        <v>4752</v>
      </c>
      <c r="I71" s="30">
        <f t="shared" si="11"/>
        <v>-22</v>
      </c>
      <c r="J71" s="6" t="s">
        <v>12</v>
      </c>
    </row>
    <row r="72" spans="1:10" x14ac:dyDescent="0.25">
      <c r="A72" s="5">
        <v>45906</v>
      </c>
      <c r="B72" s="6" t="s">
        <v>22</v>
      </c>
      <c r="C72" s="6">
        <v>116</v>
      </c>
      <c r="D72" s="6">
        <v>962.58</v>
      </c>
      <c r="E72" s="6">
        <v>700.96</v>
      </c>
      <c r="F72" s="6">
        <f t="shared" si="8"/>
        <v>261.62</v>
      </c>
      <c r="G72" s="6">
        <f t="shared" si="9"/>
        <v>111659.28</v>
      </c>
      <c r="H72" s="6">
        <f t="shared" si="10"/>
        <v>81311.360000000001</v>
      </c>
      <c r="I72" s="30">
        <f t="shared" si="11"/>
        <v>30347.919999999998</v>
      </c>
      <c r="J72" s="6" t="s">
        <v>12</v>
      </c>
    </row>
    <row r="73" spans="1:10" x14ac:dyDescent="0.25">
      <c r="A73" s="5">
        <v>45906</v>
      </c>
      <c r="B73" s="6" t="s">
        <v>23</v>
      </c>
      <c r="C73" s="6">
        <v>1</v>
      </c>
      <c r="D73" s="6">
        <v>1</v>
      </c>
      <c r="E73" s="6">
        <v>1</v>
      </c>
      <c r="F73" s="6">
        <f t="shared" si="8"/>
        <v>0</v>
      </c>
      <c r="G73" s="6">
        <f t="shared" si="9"/>
        <v>1</v>
      </c>
      <c r="H73" s="6">
        <f t="shared" si="10"/>
        <v>1</v>
      </c>
      <c r="I73" s="30">
        <f t="shared" si="11"/>
        <v>0</v>
      </c>
      <c r="J73" s="6" t="s">
        <v>12</v>
      </c>
    </row>
    <row r="74" spans="1:10" x14ac:dyDescent="0.25">
      <c r="A74" s="5">
        <v>45906</v>
      </c>
      <c r="B74" s="6" t="s">
        <v>24</v>
      </c>
      <c r="C74" s="6">
        <v>1</v>
      </c>
      <c r="D74" s="6">
        <v>1160</v>
      </c>
      <c r="E74" s="6">
        <v>955.86</v>
      </c>
      <c r="F74" s="6">
        <f t="shared" si="8"/>
        <v>204.14</v>
      </c>
      <c r="G74" s="6">
        <f t="shared" si="9"/>
        <v>1160</v>
      </c>
      <c r="H74" s="6">
        <f t="shared" si="10"/>
        <v>955.86</v>
      </c>
      <c r="I74" s="30">
        <f t="shared" si="11"/>
        <v>204.14</v>
      </c>
      <c r="J74" s="6" t="s">
        <v>12</v>
      </c>
    </row>
    <row r="75" spans="1:10" x14ac:dyDescent="0.25">
      <c r="A75" s="5">
        <v>45906</v>
      </c>
      <c r="B75" s="6" t="s">
        <v>25</v>
      </c>
      <c r="C75" s="6">
        <v>7</v>
      </c>
      <c r="D75" s="6">
        <v>1727</v>
      </c>
      <c r="E75" s="6">
        <v>1354.13</v>
      </c>
      <c r="F75" s="6">
        <f t="shared" si="8"/>
        <v>372.86999999999989</v>
      </c>
      <c r="G75" s="6">
        <f t="shared" si="9"/>
        <v>12089</v>
      </c>
      <c r="H75" s="6">
        <f t="shared" si="10"/>
        <v>9478.91</v>
      </c>
      <c r="I75" s="30">
        <f t="shared" si="11"/>
        <v>2610.09</v>
      </c>
      <c r="J75" s="6" t="s">
        <v>12</v>
      </c>
    </row>
    <row r="76" spans="1:10" x14ac:dyDescent="0.25">
      <c r="A76" s="5">
        <v>45908</v>
      </c>
      <c r="B76" s="6" t="s">
        <v>14</v>
      </c>
      <c r="C76" s="6">
        <v>1</v>
      </c>
      <c r="D76" s="6">
        <v>2570</v>
      </c>
      <c r="E76" s="6">
        <v>1879.85</v>
      </c>
      <c r="F76" s="6">
        <f t="shared" si="8"/>
        <v>690.15000000000009</v>
      </c>
      <c r="G76" s="6">
        <f t="shared" si="9"/>
        <v>2570</v>
      </c>
      <c r="H76" s="6">
        <f t="shared" si="10"/>
        <v>1879.85</v>
      </c>
      <c r="I76" s="30">
        <f t="shared" si="11"/>
        <v>690.15000000000009</v>
      </c>
      <c r="J76" s="6" t="s">
        <v>12</v>
      </c>
    </row>
    <row r="77" spans="1:10" x14ac:dyDescent="0.25">
      <c r="A77" s="5">
        <v>45908</v>
      </c>
      <c r="B77" s="6" t="s">
        <v>18</v>
      </c>
      <c r="C77" s="6">
        <v>1</v>
      </c>
      <c r="D77" s="6">
        <v>3880</v>
      </c>
      <c r="E77" s="6">
        <v>3600</v>
      </c>
      <c r="F77" s="6">
        <f t="shared" si="8"/>
        <v>280</v>
      </c>
      <c r="G77" s="6">
        <f t="shared" si="9"/>
        <v>3880</v>
      </c>
      <c r="H77" s="6">
        <f t="shared" si="10"/>
        <v>3600</v>
      </c>
      <c r="I77" s="30">
        <f t="shared" si="11"/>
        <v>280</v>
      </c>
      <c r="J77" s="6" t="s">
        <v>12</v>
      </c>
    </row>
    <row r="78" spans="1:10" x14ac:dyDescent="0.25">
      <c r="A78" s="5">
        <v>45909</v>
      </c>
      <c r="B78" s="6" t="s">
        <v>11</v>
      </c>
      <c r="C78" s="6">
        <v>6</v>
      </c>
      <c r="D78" s="6">
        <v>7200</v>
      </c>
      <c r="E78" s="6">
        <v>7056</v>
      </c>
      <c r="F78" s="6">
        <f t="shared" si="8"/>
        <v>144</v>
      </c>
      <c r="G78" s="6">
        <f t="shared" si="9"/>
        <v>43200</v>
      </c>
      <c r="H78" s="6">
        <f t="shared" si="10"/>
        <v>42336</v>
      </c>
      <c r="I78" s="30">
        <f t="shared" si="11"/>
        <v>864</v>
      </c>
      <c r="J78" s="6" t="s">
        <v>12</v>
      </c>
    </row>
    <row r="79" spans="1:10" x14ac:dyDescent="0.25">
      <c r="A79" s="5">
        <v>45910</v>
      </c>
      <c r="B79" s="6" t="s">
        <v>15</v>
      </c>
      <c r="C79" s="6">
        <v>6</v>
      </c>
      <c r="D79" s="6">
        <v>2670</v>
      </c>
      <c r="E79" s="6">
        <v>2600</v>
      </c>
      <c r="F79" s="6">
        <f t="shared" si="8"/>
        <v>70</v>
      </c>
      <c r="G79" s="6">
        <f t="shared" si="9"/>
        <v>16020</v>
      </c>
      <c r="H79" s="6">
        <f t="shared" si="10"/>
        <v>15600</v>
      </c>
      <c r="I79" s="30">
        <f t="shared" si="11"/>
        <v>420</v>
      </c>
      <c r="J79" s="6" t="s">
        <v>12</v>
      </c>
    </row>
    <row r="80" spans="1:10" x14ac:dyDescent="0.25">
      <c r="A80" s="5">
        <v>45910</v>
      </c>
      <c r="B80" s="6" t="s">
        <v>15</v>
      </c>
      <c r="C80" s="6">
        <v>8</v>
      </c>
      <c r="D80" s="6">
        <v>2530</v>
      </c>
      <c r="E80" s="6">
        <v>2400</v>
      </c>
      <c r="F80" s="6">
        <f t="shared" si="8"/>
        <v>130</v>
      </c>
      <c r="G80" s="6">
        <f t="shared" si="9"/>
        <v>20240</v>
      </c>
      <c r="H80" s="6">
        <f t="shared" si="10"/>
        <v>19200</v>
      </c>
      <c r="I80" s="30">
        <f t="shared" si="11"/>
        <v>1040</v>
      </c>
      <c r="J80" s="6" t="s">
        <v>12</v>
      </c>
    </row>
    <row r="81" spans="1:10" x14ac:dyDescent="0.25">
      <c r="A81" s="5">
        <v>45910</v>
      </c>
      <c r="B81" s="6" t="s">
        <v>29</v>
      </c>
      <c r="C81" s="6">
        <v>2</v>
      </c>
      <c r="D81" s="6">
        <v>2940</v>
      </c>
      <c r="E81" s="6">
        <v>2600</v>
      </c>
      <c r="F81" s="6">
        <f t="shared" si="8"/>
        <v>340</v>
      </c>
      <c r="G81" s="6">
        <f t="shared" si="9"/>
        <v>5880</v>
      </c>
      <c r="H81" s="6">
        <f t="shared" si="10"/>
        <v>5200</v>
      </c>
      <c r="I81" s="30">
        <f t="shared" si="11"/>
        <v>680</v>
      </c>
      <c r="J81" s="6" t="s">
        <v>12</v>
      </c>
    </row>
    <row r="82" spans="1:10" x14ac:dyDescent="0.25">
      <c r="A82" s="5">
        <v>45910</v>
      </c>
      <c r="B82" s="6" t="s">
        <v>31</v>
      </c>
      <c r="C82" s="6">
        <v>2</v>
      </c>
      <c r="D82" s="6">
        <v>2130</v>
      </c>
      <c r="E82" s="6">
        <v>2070</v>
      </c>
      <c r="F82" s="6">
        <f t="shared" si="8"/>
        <v>60</v>
      </c>
      <c r="G82" s="6">
        <f t="shared" si="9"/>
        <v>4260</v>
      </c>
      <c r="H82" s="6">
        <f t="shared" si="10"/>
        <v>4140</v>
      </c>
      <c r="I82" s="30">
        <f t="shared" si="11"/>
        <v>120</v>
      </c>
      <c r="J82" s="6" t="s">
        <v>12</v>
      </c>
    </row>
    <row r="83" spans="1:10" x14ac:dyDescent="0.25">
      <c r="A83" s="5">
        <v>45910</v>
      </c>
      <c r="B83" s="6" t="s">
        <v>32</v>
      </c>
      <c r="C83" s="6">
        <v>1</v>
      </c>
      <c r="D83" s="6">
        <v>2340</v>
      </c>
      <c r="E83" s="6">
        <v>2200</v>
      </c>
      <c r="F83" s="6">
        <f t="shared" si="8"/>
        <v>140</v>
      </c>
      <c r="G83" s="6">
        <f t="shared" si="9"/>
        <v>2340</v>
      </c>
      <c r="H83" s="6">
        <f t="shared" si="10"/>
        <v>2200</v>
      </c>
      <c r="I83" s="30">
        <f t="shared" si="11"/>
        <v>140</v>
      </c>
      <c r="J83" s="6" t="s">
        <v>12</v>
      </c>
    </row>
    <row r="84" spans="1:10" x14ac:dyDescent="0.25">
      <c r="A84" s="5">
        <v>45910</v>
      </c>
      <c r="B84" s="6" t="s">
        <v>31</v>
      </c>
      <c r="C84" s="6">
        <v>8</v>
      </c>
      <c r="D84" s="6">
        <v>2130</v>
      </c>
      <c r="E84" s="6">
        <v>2070</v>
      </c>
      <c r="F84" s="6">
        <f t="shared" si="8"/>
        <v>60</v>
      </c>
      <c r="G84" s="6">
        <f t="shared" si="9"/>
        <v>17040</v>
      </c>
      <c r="H84" s="6">
        <f t="shared" si="10"/>
        <v>16560</v>
      </c>
      <c r="I84" s="30">
        <f t="shared" si="11"/>
        <v>480</v>
      </c>
      <c r="J84" s="6" t="s">
        <v>12</v>
      </c>
    </row>
    <row r="85" spans="1:10" x14ac:dyDescent="0.25">
      <c r="A85" s="5">
        <v>45910</v>
      </c>
      <c r="B85" s="6" t="s">
        <v>31</v>
      </c>
      <c r="C85" s="6">
        <v>3</v>
      </c>
      <c r="D85" s="6">
        <v>2130</v>
      </c>
      <c r="E85" s="6">
        <v>2070</v>
      </c>
      <c r="F85" s="6">
        <f t="shared" si="8"/>
        <v>60</v>
      </c>
      <c r="G85" s="6">
        <f t="shared" si="9"/>
        <v>6390</v>
      </c>
      <c r="H85" s="6">
        <f t="shared" si="10"/>
        <v>6210</v>
      </c>
      <c r="I85" s="30">
        <f t="shared" si="11"/>
        <v>180</v>
      </c>
      <c r="J85" s="6" t="s">
        <v>12</v>
      </c>
    </row>
    <row r="86" spans="1:10" x14ac:dyDescent="0.25">
      <c r="A86" s="5">
        <v>45910</v>
      </c>
      <c r="B86" s="6" t="s">
        <v>32</v>
      </c>
      <c r="C86" s="6">
        <v>2</v>
      </c>
      <c r="D86" s="6">
        <v>2340</v>
      </c>
      <c r="E86" s="6">
        <v>2200</v>
      </c>
      <c r="F86" s="6">
        <f t="shared" si="8"/>
        <v>140</v>
      </c>
      <c r="G86" s="6">
        <f t="shared" si="9"/>
        <v>4680</v>
      </c>
      <c r="H86" s="6">
        <f t="shared" si="10"/>
        <v>4400</v>
      </c>
      <c r="I86" s="30">
        <f t="shared" si="11"/>
        <v>280</v>
      </c>
      <c r="J86" s="6" t="s">
        <v>12</v>
      </c>
    </row>
    <row r="87" spans="1:10" x14ac:dyDescent="0.25">
      <c r="A87" s="5">
        <v>45910</v>
      </c>
      <c r="B87" s="6" t="s">
        <v>32</v>
      </c>
      <c r="C87" s="6">
        <v>1</v>
      </c>
      <c r="D87" s="6">
        <v>2340</v>
      </c>
      <c r="E87" s="6">
        <v>2200</v>
      </c>
      <c r="F87" s="6">
        <f t="shared" si="8"/>
        <v>140</v>
      </c>
      <c r="G87" s="6">
        <f t="shared" si="9"/>
        <v>2340</v>
      </c>
      <c r="H87" s="6">
        <f t="shared" si="10"/>
        <v>2200</v>
      </c>
      <c r="I87" s="30">
        <f t="shared" si="11"/>
        <v>140</v>
      </c>
      <c r="J87" s="6" t="s">
        <v>12</v>
      </c>
    </row>
    <row r="88" spans="1:10" x14ac:dyDescent="0.25">
      <c r="A88" s="5">
        <v>45910</v>
      </c>
      <c r="B88" s="6" t="s">
        <v>32</v>
      </c>
      <c r="C88" s="6">
        <v>2</v>
      </c>
      <c r="D88" s="6">
        <v>2340</v>
      </c>
      <c r="E88" s="6">
        <v>2250</v>
      </c>
      <c r="F88" s="6">
        <f t="shared" si="8"/>
        <v>90</v>
      </c>
      <c r="G88" s="6">
        <f t="shared" si="9"/>
        <v>4680</v>
      </c>
      <c r="H88" s="6">
        <f t="shared" si="10"/>
        <v>4500</v>
      </c>
      <c r="I88" s="30">
        <f t="shared" si="11"/>
        <v>180</v>
      </c>
      <c r="J88" s="6" t="s">
        <v>12</v>
      </c>
    </row>
    <row r="89" spans="1:10" x14ac:dyDescent="0.25">
      <c r="A89" s="5">
        <v>45910</v>
      </c>
      <c r="B89" s="6" t="s">
        <v>33</v>
      </c>
      <c r="C89" s="6">
        <v>2</v>
      </c>
      <c r="D89" s="6">
        <v>2575</v>
      </c>
      <c r="E89" s="6">
        <v>2300</v>
      </c>
      <c r="F89" s="6">
        <f t="shared" si="8"/>
        <v>275</v>
      </c>
      <c r="G89" s="6">
        <f t="shared" si="9"/>
        <v>5150</v>
      </c>
      <c r="H89" s="6">
        <f t="shared" si="10"/>
        <v>4600</v>
      </c>
      <c r="I89" s="30">
        <f t="shared" si="11"/>
        <v>550</v>
      </c>
      <c r="J89" s="6" t="s">
        <v>12</v>
      </c>
    </row>
    <row r="90" spans="1:10" x14ac:dyDescent="0.25">
      <c r="A90" s="5">
        <v>45910</v>
      </c>
      <c r="B90" s="6" t="s">
        <v>33</v>
      </c>
      <c r="C90" s="6">
        <v>1</v>
      </c>
      <c r="D90" s="6">
        <v>2575</v>
      </c>
      <c r="E90" s="6">
        <v>2150</v>
      </c>
      <c r="F90" s="6">
        <f t="shared" si="8"/>
        <v>425</v>
      </c>
      <c r="G90" s="6">
        <f t="shared" si="9"/>
        <v>2575</v>
      </c>
      <c r="H90" s="6">
        <f t="shared" si="10"/>
        <v>2150</v>
      </c>
      <c r="I90" s="30">
        <f t="shared" si="11"/>
        <v>425</v>
      </c>
      <c r="J90" s="6" t="s">
        <v>12</v>
      </c>
    </row>
    <row r="91" spans="1:10" x14ac:dyDescent="0.25">
      <c r="A91" s="5">
        <v>45910</v>
      </c>
      <c r="B91" s="6" t="s">
        <v>34</v>
      </c>
      <c r="C91" s="6">
        <v>2</v>
      </c>
      <c r="D91" s="6">
        <v>1475</v>
      </c>
      <c r="E91" s="6">
        <v>1400</v>
      </c>
      <c r="F91" s="6">
        <f t="shared" si="8"/>
        <v>75</v>
      </c>
      <c r="G91" s="6">
        <f t="shared" si="9"/>
        <v>2950</v>
      </c>
      <c r="H91" s="6">
        <f t="shared" si="10"/>
        <v>2800</v>
      </c>
      <c r="I91" s="30">
        <f t="shared" si="11"/>
        <v>150</v>
      </c>
      <c r="J91" s="6" t="s">
        <v>12</v>
      </c>
    </row>
    <row r="92" spans="1:10" x14ac:dyDescent="0.25">
      <c r="A92" s="5">
        <v>45910</v>
      </c>
      <c r="B92" s="6" t="s">
        <v>35</v>
      </c>
      <c r="C92" s="6">
        <v>1</v>
      </c>
      <c r="D92" s="6">
        <v>1800</v>
      </c>
      <c r="E92" s="6">
        <v>1650</v>
      </c>
      <c r="F92" s="6">
        <f t="shared" si="8"/>
        <v>150</v>
      </c>
      <c r="G92" s="6">
        <f t="shared" si="9"/>
        <v>1800</v>
      </c>
      <c r="H92" s="6">
        <f t="shared" si="10"/>
        <v>1650</v>
      </c>
      <c r="I92" s="30">
        <f t="shared" si="11"/>
        <v>150</v>
      </c>
      <c r="J92" s="6" t="s">
        <v>12</v>
      </c>
    </row>
    <row r="93" spans="1:10" x14ac:dyDescent="0.25">
      <c r="A93" s="5">
        <v>45910</v>
      </c>
      <c r="B93" s="6" t="s">
        <v>15</v>
      </c>
      <c r="C93" s="6">
        <v>2</v>
      </c>
      <c r="D93" s="6">
        <v>2500</v>
      </c>
      <c r="E93" s="6">
        <v>2400</v>
      </c>
      <c r="F93" s="6">
        <f t="shared" si="8"/>
        <v>100</v>
      </c>
      <c r="G93" s="6">
        <f t="shared" si="9"/>
        <v>5000</v>
      </c>
      <c r="H93" s="6">
        <f t="shared" si="10"/>
        <v>4800</v>
      </c>
      <c r="I93" s="30">
        <f t="shared" si="11"/>
        <v>200</v>
      </c>
      <c r="J93" s="6" t="s">
        <v>12</v>
      </c>
    </row>
    <row r="94" spans="1:10" x14ac:dyDescent="0.25">
      <c r="A94" s="5">
        <v>45910</v>
      </c>
      <c r="B94" s="6" t="s">
        <v>15</v>
      </c>
      <c r="C94" s="6">
        <v>3</v>
      </c>
      <c r="D94" s="6">
        <v>2740</v>
      </c>
      <c r="E94" s="6">
        <v>2600</v>
      </c>
      <c r="F94" s="6">
        <f t="shared" si="8"/>
        <v>140</v>
      </c>
      <c r="G94" s="6">
        <f t="shared" si="9"/>
        <v>8220</v>
      </c>
      <c r="H94" s="6">
        <f t="shared" si="10"/>
        <v>7800</v>
      </c>
      <c r="I94" s="30">
        <f t="shared" si="11"/>
        <v>420</v>
      </c>
      <c r="J94" s="6" t="s">
        <v>12</v>
      </c>
    </row>
    <row r="95" spans="1:10" x14ac:dyDescent="0.25">
      <c r="A95" s="5">
        <v>45910</v>
      </c>
      <c r="B95" s="6" t="s">
        <v>15</v>
      </c>
      <c r="C95" s="6">
        <v>4</v>
      </c>
      <c r="D95" s="6">
        <v>2680</v>
      </c>
      <c r="E95" s="6">
        <v>2570</v>
      </c>
      <c r="F95" s="6">
        <f t="shared" si="8"/>
        <v>110</v>
      </c>
      <c r="G95" s="6">
        <f t="shared" si="9"/>
        <v>10720</v>
      </c>
      <c r="H95" s="6">
        <f t="shared" si="10"/>
        <v>10280</v>
      </c>
      <c r="I95" s="30">
        <f t="shared" si="11"/>
        <v>440</v>
      </c>
      <c r="J95" s="6" t="s">
        <v>12</v>
      </c>
    </row>
    <row r="96" spans="1:10" x14ac:dyDescent="0.25">
      <c r="A96" s="5">
        <v>45910</v>
      </c>
      <c r="B96" s="6" t="s">
        <v>29</v>
      </c>
      <c r="C96" s="6">
        <v>2</v>
      </c>
      <c r="D96" s="6">
        <v>3100</v>
      </c>
      <c r="E96" s="6">
        <v>2750</v>
      </c>
      <c r="F96" s="6">
        <f t="shared" si="8"/>
        <v>350</v>
      </c>
      <c r="G96" s="6">
        <f t="shared" si="9"/>
        <v>6200</v>
      </c>
      <c r="H96" s="6">
        <f t="shared" si="10"/>
        <v>5500</v>
      </c>
      <c r="I96" s="30">
        <f t="shared" si="11"/>
        <v>700</v>
      </c>
      <c r="J96" s="6" t="s">
        <v>12</v>
      </c>
    </row>
    <row r="97" spans="1:10" x14ac:dyDescent="0.25">
      <c r="A97" s="5">
        <v>45910</v>
      </c>
      <c r="B97" s="6" t="s">
        <v>29</v>
      </c>
      <c r="C97" s="6">
        <v>1</v>
      </c>
      <c r="D97" s="6">
        <v>4260</v>
      </c>
      <c r="E97" s="6">
        <v>4176</v>
      </c>
      <c r="F97" s="6">
        <f t="shared" si="8"/>
        <v>84</v>
      </c>
      <c r="G97" s="6">
        <f t="shared" si="9"/>
        <v>4260</v>
      </c>
      <c r="H97" s="6">
        <f t="shared" si="10"/>
        <v>4176</v>
      </c>
      <c r="I97" s="30">
        <f t="shared" si="11"/>
        <v>84</v>
      </c>
      <c r="J97" s="6" t="s">
        <v>12</v>
      </c>
    </row>
    <row r="98" spans="1:10" x14ac:dyDescent="0.25">
      <c r="A98" s="5">
        <v>45910</v>
      </c>
      <c r="B98" s="6" t="s">
        <v>15</v>
      </c>
      <c r="C98" s="6">
        <v>1</v>
      </c>
      <c r="D98" s="6">
        <v>3700</v>
      </c>
      <c r="E98" s="6">
        <v>3600</v>
      </c>
      <c r="F98" s="6">
        <f t="shared" ref="F98:F129" si="12">D98-E98</f>
        <v>100</v>
      </c>
      <c r="G98" s="6">
        <f t="shared" ref="G98:G129" si="13">C98*D98</f>
        <v>3700</v>
      </c>
      <c r="H98" s="6">
        <f t="shared" ref="H98:H129" si="14">C98*E98</f>
        <v>3600</v>
      </c>
      <c r="I98" s="30">
        <f t="shared" ref="I98:I129" si="15">G98-H98</f>
        <v>100</v>
      </c>
      <c r="J98" s="6" t="s">
        <v>12</v>
      </c>
    </row>
    <row r="99" spans="1:10" x14ac:dyDescent="0.25">
      <c r="A99" s="5">
        <v>45910</v>
      </c>
      <c r="B99" s="6" t="s">
        <v>15</v>
      </c>
      <c r="C99" s="6">
        <v>1</v>
      </c>
      <c r="D99" s="6">
        <v>3700</v>
      </c>
      <c r="E99" s="6">
        <v>3600</v>
      </c>
      <c r="F99" s="6">
        <f t="shared" si="12"/>
        <v>100</v>
      </c>
      <c r="G99" s="6">
        <f t="shared" si="13"/>
        <v>3700</v>
      </c>
      <c r="H99" s="6">
        <f t="shared" si="14"/>
        <v>3600</v>
      </c>
      <c r="I99" s="30">
        <f t="shared" si="15"/>
        <v>100</v>
      </c>
      <c r="J99" s="6" t="s">
        <v>12</v>
      </c>
    </row>
    <row r="100" spans="1:10" x14ac:dyDescent="0.25">
      <c r="A100" s="5">
        <v>45910</v>
      </c>
      <c r="B100" s="6" t="s">
        <v>31</v>
      </c>
      <c r="C100" s="6">
        <v>1</v>
      </c>
      <c r="D100" s="6">
        <v>3100</v>
      </c>
      <c r="E100" s="6">
        <v>2988</v>
      </c>
      <c r="F100" s="6">
        <f t="shared" si="12"/>
        <v>112</v>
      </c>
      <c r="G100" s="6">
        <f t="shared" si="13"/>
        <v>3100</v>
      </c>
      <c r="H100" s="6">
        <f t="shared" si="14"/>
        <v>2988</v>
      </c>
      <c r="I100" s="30">
        <f t="shared" si="15"/>
        <v>112</v>
      </c>
      <c r="J100" s="6" t="s">
        <v>12</v>
      </c>
    </row>
    <row r="101" spans="1:10" x14ac:dyDescent="0.25">
      <c r="A101" s="5">
        <v>45910</v>
      </c>
      <c r="B101" s="6" t="s">
        <v>36</v>
      </c>
      <c r="C101" s="6">
        <v>3</v>
      </c>
      <c r="D101" s="6">
        <v>2200</v>
      </c>
      <c r="E101" s="6">
        <v>2220</v>
      </c>
      <c r="F101" s="6">
        <f t="shared" si="12"/>
        <v>-20</v>
      </c>
      <c r="G101" s="6">
        <f t="shared" si="13"/>
        <v>6600</v>
      </c>
      <c r="H101" s="6">
        <f t="shared" si="14"/>
        <v>6660</v>
      </c>
      <c r="I101" s="30">
        <f t="shared" si="15"/>
        <v>-60</v>
      </c>
      <c r="J101" s="6" t="s">
        <v>12</v>
      </c>
    </row>
    <row r="102" spans="1:10" x14ac:dyDescent="0.25">
      <c r="A102" s="5">
        <v>45910</v>
      </c>
      <c r="B102" s="6" t="s">
        <v>36</v>
      </c>
      <c r="C102" s="6">
        <v>3</v>
      </c>
      <c r="D102" s="6">
        <v>2090</v>
      </c>
      <c r="E102" s="6">
        <v>2220</v>
      </c>
      <c r="F102" s="6">
        <f t="shared" si="12"/>
        <v>-130</v>
      </c>
      <c r="G102" s="6">
        <f t="shared" si="13"/>
        <v>6270</v>
      </c>
      <c r="H102" s="6">
        <f t="shared" si="14"/>
        <v>6660</v>
      </c>
      <c r="I102" s="30">
        <f t="shared" si="15"/>
        <v>-390</v>
      </c>
      <c r="J102" s="6" t="s">
        <v>12</v>
      </c>
    </row>
    <row r="103" spans="1:10" x14ac:dyDescent="0.25">
      <c r="A103" s="5">
        <v>45910</v>
      </c>
      <c r="B103" s="6" t="s">
        <v>37</v>
      </c>
      <c r="C103" s="6">
        <v>1</v>
      </c>
      <c r="D103" s="6">
        <v>1</v>
      </c>
      <c r="E103" s="6">
        <v>1</v>
      </c>
      <c r="F103" s="6">
        <f t="shared" si="12"/>
        <v>0</v>
      </c>
      <c r="G103" s="6">
        <f t="shared" si="13"/>
        <v>1</v>
      </c>
      <c r="H103" s="6">
        <f t="shared" si="14"/>
        <v>1</v>
      </c>
      <c r="I103" s="30">
        <f t="shared" si="15"/>
        <v>0</v>
      </c>
      <c r="J103" s="6" t="s">
        <v>12</v>
      </c>
    </row>
    <row r="104" spans="1:10" x14ac:dyDescent="0.25">
      <c r="A104" s="5">
        <v>45910</v>
      </c>
      <c r="B104" s="6" t="s">
        <v>18</v>
      </c>
      <c r="C104" s="6">
        <v>5</v>
      </c>
      <c r="D104" s="6">
        <v>3600</v>
      </c>
      <c r="E104" s="6">
        <v>3580</v>
      </c>
      <c r="F104" s="6">
        <f t="shared" si="12"/>
        <v>20</v>
      </c>
      <c r="G104" s="6">
        <f t="shared" si="13"/>
        <v>18000</v>
      </c>
      <c r="H104" s="6">
        <f t="shared" si="14"/>
        <v>17900</v>
      </c>
      <c r="I104" s="30">
        <f t="shared" si="15"/>
        <v>100</v>
      </c>
      <c r="J104" s="6" t="s">
        <v>12</v>
      </c>
    </row>
    <row r="105" spans="1:10" x14ac:dyDescent="0.25">
      <c r="A105" s="5">
        <v>45910</v>
      </c>
      <c r="B105" s="6" t="s">
        <v>19</v>
      </c>
      <c r="C105" s="6">
        <v>1</v>
      </c>
      <c r="D105" s="6">
        <v>4830</v>
      </c>
      <c r="E105" s="6">
        <v>3700</v>
      </c>
      <c r="F105" s="6">
        <f t="shared" si="12"/>
        <v>1130</v>
      </c>
      <c r="G105" s="6">
        <f t="shared" si="13"/>
        <v>4830</v>
      </c>
      <c r="H105" s="6">
        <f t="shared" si="14"/>
        <v>3700</v>
      </c>
      <c r="I105" s="30">
        <f t="shared" si="15"/>
        <v>1130</v>
      </c>
      <c r="J105" s="6" t="s">
        <v>12</v>
      </c>
    </row>
    <row r="106" spans="1:10" x14ac:dyDescent="0.25">
      <c r="A106" s="5">
        <v>45910</v>
      </c>
      <c r="B106" s="6" t="s">
        <v>17</v>
      </c>
      <c r="C106" s="6">
        <v>1</v>
      </c>
      <c r="D106" s="6">
        <v>3700</v>
      </c>
      <c r="E106" s="6">
        <v>2935</v>
      </c>
      <c r="F106" s="6">
        <f t="shared" si="12"/>
        <v>765</v>
      </c>
      <c r="G106" s="6">
        <f t="shared" si="13"/>
        <v>3700</v>
      </c>
      <c r="H106" s="6">
        <f t="shared" si="14"/>
        <v>2935</v>
      </c>
      <c r="I106" s="30">
        <f t="shared" si="15"/>
        <v>765</v>
      </c>
      <c r="J106" s="6" t="s">
        <v>12</v>
      </c>
    </row>
    <row r="107" spans="1:10" x14ac:dyDescent="0.25">
      <c r="A107" s="5">
        <v>45910</v>
      </c>
      <c r="B107" s="6" t="s">
        <v>38</v>
      </c>
      <c r="C107" s="6">
        <v>1</v>
      </c>
      <c r="D107" s="6">
        <v>3000</v>
      </c>
      <c r="E107" s="6">
        <v>2971.4</v>
      </c>
      <c r="F107" s="6">
        <f t="shared" si="12"/>
        <v>28.599999999999909</v>
      </c>
      <c r="G107" s="6">
        <f t="shared" si="13"/>
        <v>3000</v>
      </c>
      <c r="H107" s="6">
        <f t="shared" si="14"/>
        <v>2971.4</v>
      </c>
      <c r="I107" s="30">
        <f t="shared" si="15"/>
        <v>28.599999999999909</v>
      </c>
      <c r="J107" s="6" t="s">
        <v>12</v>
      </c>
    </row>
    <row r="108" spans="1:10" x14ac:dyDescent="0.25">
      <c r="A108" s="5">
        <v>45910</v>
      </c>
      <c r="B108" s="6" t="s">
        <v>39</v>
      </c>
      <c r="C108" s="6">
        <v>1</v>
      </c>
      <c r="D108" s="6">
        <v>1300</v>
      </c>
      <c r="E108" s="6">
        <v>1181.4000000000001</v>
      </c>
      <c r="F108" s="6">
        <f t="shared" si="12"/>
        <v>118.59999999999991</v>
      </c>
      <c r="G108" s="6">
        <f t="shared" si="13"/>
        <v>1300</v>
      </c>
      <c r="H108" s="6">
        <f t="shared" si="14"/>
        <v>1181.4000000000001</v>
      </c>
      <c r="I108" s="30">
        <f t="shared" si="15"/>
        <v>118.59999999999991</v>
      </c>
      <c r="J108" s="6" t="s">
        <v>12</v>
      </c>
    </row>
    <row r="109" spans="1:10" x14ac:dyDescent="0.25">
      <c r="A109" s="5">
        <v>45910</v>
      </c>
      <c r="B109" s="6" t="s">
        <v>40</v>
      </c>
      <c r="C109" s="6">
        <v>1</v>
      </c>
      <c r="D109" s="6">
        <v>2400</v>
      </c>
      <c r="E109" s="6">
        <v>2219.6</v>
      </c>
      <c r="F109" s="6">
        <f t="shared" si="12"/>
        <v>180.40000000000009</v>
      </c>
      <c r="G109" s="6">
        <f t="shared" si="13"/>
        <v>2400</v>
      </c>
      <c r="H109" s="6">
        <f t="shared" si="14"/>
        <v>2219.6</v>
      </c>
      <c r="I109" s="30">
        <f t="shared" si="15"/>
        <v>180.40000000000009</v>
      </c>
      <c r="J109" s="6" t="s">
        <v>12</v>
      </c>
    </row>
    <row r="110" spans="1:10" x14ac:dyDescent="0.25">
      <c r="A110" s="5">
        <v>45910</v>
      </c>
      <c r="B110" s="6" t="s">
        <v>41</v>
      </c>
      <c r="C110" s="6">
        <v>1</v>
      </c>
      <c r="D110" s="6">
        <v>2050</v>
      </c>
      <c r="E110" s="6">
        <v>1575.2</v>
      </c>
      <c r="F110" s="6">
        <f t="shared" si="12"/>
        <v>474.79999999999995</v>
      </c>
      <c r="G110" s="6">
        <f t="shared" si="13"/>
        <v>2050</v>
      </c>
      <c r="H110" s="6">
        <f t="shared" si="14"/>
        <v>1575.2</v>
      </c>
      <c r="I110" s="30">
        <f t="shared" si="15"/>
        <v>474.79999999999995</v>
      </c>
      <c r="J110" s="6" t="s">
        <v>12</v>
      </c>
    </row>
    <row r="111" spans="1:10" x14ac:dyDescent="0.25">
      <c r="A111" s="5">
        <v>45910</v>
      </c>
      <c r="B111" s="6" t="s">
        <v>36</v>
      </c>
      <c r="C111" s="6">
        <v>2</v>
      </c>
      <c r="D111" s="6">
        <v>2590</v>
      </c>
      <c r="E111" s="6">
        <v>2220</v>
      </c>
      <c r="F111" s="6">
        <f t="shared" si="12"/>
        <v>370</v>
      </c>
      <c r="G111" s="6">
        <f t="shared" si="13"/>
        <v>5180</v>
      </c>
      <c r="H111" s="6">
        <f t="shared" si="14"/>
        <v>4440</v>
      </c>
      <c r="I111" s="30">
        <f t="shared" si="15"/>
        <v>740</v>
      </c>
      <c r="J111" s="6" t="s">
        <v>12</v>
      </c>
    </row>
    <row r="112" spans="1:10" x14ac:dyDescent="0.25">
      <c r="A112" s="5">
        <v>45910</v>
      </c>
      <c r="B112" s="6" t="s">
        <v>36</v>
      </c>
      <c r="C112" s="6">
        <v>2</v>
      </c>
      <c r="D112" s="6">
        <v>2100</v>
      </c>
      <c r="E112" s="6">
        <v>2170</v>
      </c>
      <c r="F112" s="6">
        <f t="shared" si="12"/>
        <v>-70</v>
      </c>
      <c r="G112" s="6">
        <f t="shared" si="13"/>
        <v>4200</v>
      </c>
      <c r="H112" s="6">
        <f t="shared" si="14"/>
        <v>4340</v>
      </c>
      <c r="I112" s="30">
        <f t="shared" si="15"/>
        <v>-140</v>
      </c>
      <c r="J112" s="6" t="s">
        <v>12</v>
      </c>
    </row>
    <row r="113" spans="1:10" x14ac:dyDescent="0.25">
      <c r="A113" s="5">
        <v>45910</v>
      </c>
      <c r="B113" s="6" t="s">
        <v>36</v>
      </c>
      <c r="C113" s="6">
        <v>1</v>
      </c>
      <c r="D113" s="6">
        <v>2120</v>
      </c>
      <c r="E113" s="6">
        <v>2220</v>
      </c>
      <c r="F113" s="6">
        <f t="shared" si="12"/>
        <v>-100</v>
      </c>
      <c r="G113" s="6">
        <f t="shared" si="13"/>
        <v>2120</v>
      </c>
      <c r="H113" s="6">
        <f t="shared" si="14"/>
        <v>2220</v>
      </c>
      <c r="I113" s="30">
        <f t="shared" si="15"/>
        <v>-100</v>
      </c>
      <c r="J113" s="6" t="s">
        <v>12</v>
      </c>
    </row>
    <row r="114" spans="1:10" x14ac:dyDescent="0.25">
      <c r="A114" s="5">
        <v>45910</v>
      </c>
      <c r="B114" s="6" t="s">
        <v>36</v>
      </c>
      <c r="C114" s="6">
        <v>1</v>
      </c>
      <c r="D114" s="6">
        <v>2190</v>
      </c>
      <c r="E114" s="6">
        <v>2220</v>
      </c>
      <c r="F114" s="6">
        <f t="shared" si="12"/>
        <v>-30</v>
      </c>
      <c r="G114" s="6">
        <f t="shared" si="13"/>
        <v>2190</v>
      </c>
      <c r="H114" s="6">
        <f t="shared" si="14"/>
        <v>2220</v>
      </c>
      <c r="I114" s="30">
        <f t="shared" si="15"/>
        <v>-30</v>
      </c>
      <c r="J114" s="6" t="s">
        <v>12</v>
      </c>
    </row>
    <row r="115" spans="1:10" x14ac:dyDescent="0.25">
      <c r="A115" s="5">
        <v>45910</v>
      </c>
      <c r="B115" s="6" t="s">
        <v>18</v>
      </c>
      <c r="C115" s="6">
        <v>2</v>
      </c>
      <c r="D115" s="6">
        <v>3880</v>
      </c>
      <c r="E115" s="6">
        <v>3600</v>
      </c>
      <c r="F115" s="6">
        <f t="shared" si="12"/>
        <v>280</v>
      </c>
      <c r="G115" s="6">
        <f t="shared" si="13"/>
        <v>7760</v>
      </c>
      <c r="H115" s="6">
        <f t="shared" si="14"/>
        <v>7200</v>
      </c>
      <c r="I115" s="30">
        <f t="shared" si="15"/>
        <v>560</v>
      </c>
      <c r="J115" s="6" t="s">
        <v>12</v>
      </c>
    </row>
    <row r="116" spans="1:10" x14ac:dyDescent="0.25">
      <c r="A116" s="5">
        <v>45910</v>
      </c>
      <c r="B116" s="6" t="s">
        <v>17</v>
      </c>
      <c r="C116" s="6">
        <v>1</v>
      </c>
      <c r="D116" s="6">
        <v>2970</v>
      </c>
      <c r="E116" s="6">
        <v>3350</v>
      </c>
      <c r="F116" s="6">
        <f t="shared" si="12"/>
        <v>-380</v>
      </c>
      <c r="G116" s="6">
        <f t="shared" si="13"/>
        <v>2970</v>
      </c>
      <c r="H116" s="6">
        <f t="shared" si="14"/>
        <v>3350</v>
      </c>
      <c r="I116" s="30">
        <f t="shared" si="15"/>
        <v>-380</v>
      </c>
      <c r="J116" s="6" t="s">
        <v>12</v>
      </c>
    </row>
    <row r="117" spans="1:10" x14ac:dyDescent="0.25">
      <c r="A117" s="5">
        <v>45910</v>
      </c>
      <c r="B117" s="6" t="s">
        <v>39</v>
      </c>
      <c r="C117" s="6">
        <v>1</v>
      </c>
      <c r="D117" s="6">
        <v>1200</v>
      </c>
      <c r="E117" s="6">
        <v>1220</v>
      </c>
      <c r="F117" s="6">
        <f t="shared" si="12"/>
        <v>-20</v>
      </c>
      <c r="G117" s="6">
        <f t="shared" si="13"/>
        <v>1200</v>
      </c>
      <c r="H117" s="6">
        <f t="shared" si="14"/>
        <v>1220</v>
      </c>
      <c r="I117" s="30">
        <f t="shared" si="15"/>
        <v>-20</v>
      </c>
      <c r="J117" s="6" t="s">
        <v>12</v>
      </c>
    </row>
    <row r="118" spans="1:10" x14ac:dyDescent="0.25">
      <c r="A118" s="5">
        <v>45910</v>
      </c>
      <c r="B118" s="6" t="s">
        <v>42</v>
      </c>
      <c r="C118" s="6">
        <v>3</v>
      </c>
      <c r="D118" s="6">
        <v>2140</v>
      </c>
      <c r="E118" s="6">
        <v>1900</v>
      </c>
      <c r="F118" s="6">
        <f t="shared" si="12"/>
        <v>240</v>
      </c>
      <c r="G118" s="6">
        <f t="shared" si="13"/>
        <v>6420</v>
      </c>
      <c r="H118" s="6">
        <f t="shared" si="14"/>
        <v>5700</v>
      </c>
      <c r="I118" s="30">
        <f t="shared" si="15"/>
        <v>720</v>
      </c>
      <c r="J118" s="6" t="s">
        <v>12</v>
      </c>
    </row>
    <row r="119" spans="1:10" x14ac:dyDescent="0.25">
      <c r="A119" s="5">
        <v>45911</v>
      </c>
      <c r="B119" s="6" t="s">
        <v>15</v>
      </c>
      <c r="C119" s="6">
        <v>7</v>
      </c>
      <c r="D119" s="6">
        <v>2740</v>
      </c>
      <c r="E119" s="6">
        <v>2600</v>
      </c>
      <c r="F119" s="6">
        <f t="shared" si="12"/>
        <v>140</v>
      </c>
      <c r="G119" s="6">
        <f t="shared" si="13"/>
        <v>19180</v>
      </c>
      <c r="H119" s="6">
        <f t="shared" si="14"/>
        <v>18200</v>
      </c>
      <c r="I119" s="30">
        <f t="shared" si="15"/>
        <v>980</v>
      </c>
      <c r="J119" s="6" t="s">
        <v>12</v>
      </c>
    </row>
    <row r="120" spans="1:10" x14ac:dyDescent="0.25">
      <c r="A120" s="5">
        <v>45911</v>
      </c>
      <c r="B120" s="6" t="s">
        <v>43</v>
      </c>
      <c r="C120" s="6">
        <v>13</v>
      </c>
      <c r="D120" s="6">
        <v>1780</v>
      </c>
      <c r="E120" s="6">
        <v>1354.13</v>
      </c>
      <c r="F120" s="6">
        <f t="shared" si="12"/>
        <v>425.86999999999989</v>
      </c>
      <c r="G120" s="6">
        <f t="shared" si="13"/>
        <v>23140</v>
      </c>
      <c r="H120" s="6">
        <f t="shared" si="14"/>
        <v>17603.690000000002</v>
      </c>
      <c r="I120" s="30">
        <f t="shared" si="15"/>
        <v>5536.3099999999977</v>
      </c>
      <c r="J120" s="6" t="s">
        <v>12</v>
      </c>
    </row>
    <row r="121" spans="1:10" x14ac:dyDescent="0.25">
      <c r="A121" s="5">
        <v>45911</v>
      </c>
      <c r="B121" s="6" t="s">
        <v>46</v>
      </c>
      <c r="C121" s="6">
        <v>1</v>
      </c>
      <c r="D121" s="6">
        <v>5840</v>
      </c>
      <c r="E121" s="6">
        <v>6048</v>
      </c>
      <c r="F121" s="6">
        <f t="shared" si="12"/>
        <v>-208</v>
      </c>
      <c r="G121" s="6">
        <f t="shared" si="13"/>
        <v>5840</v>
      </c>
      <c r="H121" s="6">
        <f t="shared" si="14"/>
        <v>6048</v>
      </c>
      <c r="I121" s="30">
        <f t="shared" si="15"/>
        <v>-208</v>
      </c>
      <c r="J121" s="6" t="s">
        <v>12</v>
      </c>
    </row>
    <row r="122" spans="1:10" x14ac:dyDescent="0.25">
      <c r="A122" s="5">
        <v>45911</v>
      </c>
      <c r="B122" s="6" t="s">
        <v>47</v>
      </c>
      <c r="C122" s="6">
        <v>1</v>
      </c>
      <c r="D122" s="6">
        <v>4200</v>
      </c>
      <c r="E122" s="6">
        <v>4564.5</v>
      </c>
      <c r="F122" s="6">
        <f t="shared" si="12"/>
        <v>-364.5</v>
      </c>
      <c r="G122" s="6">
        <f t="shared" si="13"/>
        <v>4200</v>
      </c>
      <c r="H122" s="6">
        <f t="shared" si="14"/>
        <v>4564.5</v>
      </c>
      <c r="I122" s="30">
        <f t="shared" si="15"/>
        <v>-364.5</v>
      </c>
      <c r="J122" s="6" t="s">
        <v>12</v>
      </c>
    </row>
    <row r="123" spans="1:10" x14ac:dyDescent="0.25">
      <c r="A123" s="5">
        <v>45913</v>
      </c>
      <c r="B123" s="6" t="s">
        <v>36</v>
      </c>
      <c r="C123" s="6">
        <v>3</v>
      </c>
      <c r="D123" s="6">
        <v>2150</v>
      </c>
      <c r="E123" s="6">
        <v>2100</v>
      </c>
      <c r="F123" s="6">
        <f t="shared" si="12"/>
        <v>50</v>
      </c>
      <c r="G123" s="6">
        <f t="shared" si="13"/>
        <v>6450</v>
      </c>
      <c r="H123" s="6">
        <f t="shared" si="14"/>
        <v>6300</v>
      </c>
      <c r="I123" s="30">
        <f t="shared" si="15"/>
        <v>150</v>
      </c>
      <c r="J123" s="6" t="s">
        <v>12</v>
      </c>
    </row>
    <row r="124" spans="1:10" x14ac:dyDescent="0.25">
      <c r="A124" s="5">
        <v>45913</v>
      </c>
      <c r="B124" s="6" t="s">
        <v>36</v>
      </c>
      <c r="C124" s="6">
        <v>3</v>
      </c>
      <c r="D124" s="6">
        <v>2120</v>
      </c>
      <c r="E124" s="6">
        <v>2100</v>
      </c>
      <c r="F124" s="6">
        <f t="shared" si="12"/>
        <v>20</v>
      </c>
      <c r="G124" s="6">
        <f t="shared" si="13"/>
        <v>6360</v>
      </c>
      <c r="H124" s="6">
        <f t="shared" si="14"/>
        <v>6300</v>
      </c>
      <c r="I124" s="30">
        <f t="shared" si="15"/>
        <v>60</v>
      </c>
      <c r="J124" s="6" t="s">
        <v>12</v>
      </c>
    </row>
    <row r="125" spans="1:10" x14ac:dyDescent="0.25">
      <c r="A125" s="5">
        <v>45913</v>
      </c>
      <c r="B125" s="6" t="s">
        <v>48</v>
      </c>
      <c r="C125" s="6">
        <v>1</v>
      </c>
      <c r="D125" s="6">
        <v>680</v>
      </c>
      <c r="E125" s="6">
        <v>800</v>
      </c>
      <c r="F125" s="6">
        <f t="shared" si="12"/>
        <v>-120</v>
      </c>
      <c r="G125" s="6">
        <f t="shared" si="13"/>
        <v>680</v>
      </c>
      <c r="H125" s="6">
        <f t="shared" si="14"/>
        <v>800</v>
      </c>
      <c r="I125" s="30">
        <f t="shared" si="15"/>
        <v>-120</v>
      </c>
      <c r="J125" s="6" t="s">
        <v>12</v>
      </c>
    </row>
    <row r="126" spans="1:10" x14ac:dyDescent="0.25">
      <c r="A126" s="5">
        <v>45914</v>
      </c>
      <c r="B126" s="6" t="s">
        <v>18</v>
      </c>
      <c r="C126" s="6">
        <v>2</v>
      </c>
      <c r="D126" s="6">
        <v>3880</v>
      </c>
      <c r="E126" s="6">
        <v>3600</v>
      </c>
      <c r="F126" s="6">
        <f t="shared" si="12"/>
        <v>280</v>
      </c>
      <c r="G126" s="6">
        <f t="shared" si="13"/>
        <v>7760</v>
      </c>
      <c r="H126" s="6">
        <f t="shared" si="14"/>
        <v>7200</v>
      </c>
      <c r="I126" s="30">
        <f t="shared" si="15"/>
        <v>560</v>
      </c>
      <c r="J126" s="6" t="s">
        <v>12</v>
      </c>
    </row>
    <row r="127" spans="1:10" x14ac:dyDescent="0.25">
      <c r="A127" s="5">
        <v>45914</v>
      </c>
      <c r="B127" s="6" t="s">
        <v>17</v>
      </c>
      <c r="C127" s="6">
        <v>4</v>
      </c>
      <c r="D127" s="6">
        <v>3700</v>
      </c>
      <c r="E127" s="6">
        <v>3350</v>
      </c>
      <c r="F127" s="6">
        <f t="shared" si="12"/>
        <v>350</v>
      </c>
      <c r="G127" s="6">
        <f t="shared" si="13"/>
        <v>14800</v>
      </c>
      <c r="H127" s="6">
        <f t="shared" si="14"/>
        <v>13400</v>
      </c>
      <c r="I127" s="30">
        <f t="shared" si="15"/>
        <v>1400</v>
      </c>
      <c r="J127" s="6" t="s">
        <v>12</v>
      </c>
    </row>
    <row r="128" spans="1:10" x14ac:dyDescent="0.25">
      <c r="A128" s="5">
        <v>45914</v>
      </c>
      <c r="B128" s="6" t="s">
        <v>39</v>
      </c>
      <c r="C128" s="6">
        <v>3</v>
      </c>
      <c r="D128" s="6">
        <v>1300</v>
      </c>
      <c r="E128" s="6">
        <v>1250</v>
      </c>
      <c r="F128" s="6">
        <f t="shared" si="12"/>
        <v>50</v>
      </c>
      <c r="G128" s="6">
        <f t="shared" si="13"/>
        <v>3900</v>
      </c>
      <c r="H128" s="6">
        <f t="shared" si="14"/>
        <v>3750</v>
      </c>
      <c r="I128" s="30">
        <f t="shared" si="15"/>
        <v>150</v>
      </c>
      <c r="J128" s="6" t="s">
        <v>12</v>
      </c>
    </row>
    <row r="129" spans="1:10" x14ac:dyDescent="0.25">
      <c r="A129" s="5">
        <v>45914</v>
      </c>
      <c r="B129" s="6" t="s">
        <v>36</v>
      </c>
      <c r="C129" s="6">
        <v>2</v>
      </c>
      <c r="D129" s="6">
        <v>2085</v>
      </c>
      <c r="E129" s="6">
        <v>2050</v>
      </c>
      <c r="F129" s="6">
        <f t="shared" si="12"/>
        <v>35</v>
      </c>
      <c r="G129" s="6">
        <f t="shared" si="13"/>
        <v>4170</v>
      </c>
      <c r="H129" s="6">
        <f t="shared" si="14"/>
        <v>4100</v>
      </c>
      <c r="I129" s="30">
        <f t="shared" si="15"/>
        <v>70</v>
      </c>
      <c r="J129" s="6" t="s">
        <v>12</v>
      </c>
    </row>
    <row r="130" spans="1:10" x14ac:dyDescent="0.25">
      <c r="A130" s="5">
        <v>45914</v>
      </c>
      <c r="B130" s="6" t="s">
        <v>36</v>
      </c>
      <c r="C130" s="6">
        <v>3</v>
      </c>
      <c r="D130" s="6">
        <v>1</v>
      </c>
      <c r="E130" s="6">
        <v>1</v>
      </c>
      <c r="F130" s="6">
        <f t="shared" ref="F130:F161" si="16">D130-E130</f>
        <v>0</v>
      </c>
      <c r="G130" s="6">
        <f t="shared" ref="G130:G161" si="17">C130*D130</f>
        <v>3</v>
      </c>
      <c r="H130" s="6">
        <f t="shared" ref="H130:H161" si="18">C130*E130</f>
        <v>3</v>
      </c>
      <c r="I130" s="30">
        <f t="shared" ref="I130:I161" si="19">G130-H130</f>
        <v>0</v>
      </c>
      <c r="J130" s="6" t="s">
        <v>12</v>
      </c>
    </row>
    <row r="131" spans="1:10" x14ac:dyDescent="0.25">
      <c r="A131" s="5">
        <v>45914</v>
      </c>
      <c r="B131" s="6" t="s">
        <v>37</v>
      </c>
      <c r="C131" s="6">
        <v>1</v>
      </c>
      <c r="D131" s="6">
        <v>1</v>
      </c>
      <c r="E131" s="6">
        <v>1</v>
      </c>
      <c r="F131" s="6">
        <f t="shared" si="16"/>
        <v>0</v>
      </c>
      <c r="G131" s="6">
        <f t="shared" si="17"/>
        <v>1</v>
      </c>
      <c r="H131" s="6">
        <f t="shared" si="18"/>
        <v>1</v>
      </c>
      <c r="I131" s="30">
        <f t="shared" si="19"/>
        <v>0</v>
      </c>
      <c r="J131" s="6" t="s">
        <v>12</v>
      </c>
    </row>
    <row r="132" spans="1:10" x14ac:dyDescent="0.25">
      <c r="A132" s="5">
        <v>45915</v>
      </c>
      <c r="B132" s="6" t="s">
        <v>15</v>
      </c>
      <c r="C132" s="6">
        <v>5</v>
      </c>
      <c r="D132" s="6">
        <v>2540</v>
      </c>
      <c r="E132" s="6">
        <v>2400</v>
      </c>
      <c r="F132" s="6">
        <f t="shared" si="16"/>
        <v>140</v>
      </c>
      <c r="G132" s="6">
        <f t="shared" si="17"/>
        <v>12700</v>
      </c>
      <c r="H132" s="6">
        <f t="shared" si="18"/>
        <v>12000</v>
      </c>
      <c r="I132" s="30">
        <f t="shared" si="19"/>
        <v>700</v>
      </c>
      <c r="J132" s="6" t="s">
        <v>12</v>
      </c>
    </row>
    <row r="133" spans="1:10" x14ac:dyDescent="0.25">
      <c r="A133" s="5">
        <v>45915</v>
      </c>
      <c r="B133" s="6" t="s">
        <v>42</v>
      </c>
      <c r="C133" s="6">
        <v>2</v>
      </c>
      <c r="D133" s="6">
        <v>2175</v>
      </c>
      <c r="E133" s="6">
        <v>1920</v>
      </c>
      <c r="F133" s="6">
        <f t="shared" si="16"/>
        <v>255</v>
      </c>
      <c r="G133" s="6">
        <f t="shared" si="17"/>
        <v>4350</v>
      </c>
      <c r="H133" s="6">
        <f t="shared" si="18"/>
        <v>3840</v>
      </c>
      <c r="I133" s="30">
        <f t="shared" si="19"/>
        <v>510</v>
      </c>
      <c r="J133" s="6" t="s">
        <v>12</v>
      </c>
    </row>
    <row r="134" spans="1:10" x14ac:dyDescent="0.25">
      <c r="A134" s="5">
        <v>45915</v>
      </c>
      <c r="B134" s="6" t="s">
        <v>29</v>
      </c>
      <c r="C134" s="6">
        <v>2</v>
      </c>
      <c r="D134" s="6">
        <v>2940</v>
      </c>
      <c r="E134" s="6">
        <v>2600</v>
      </c>
      <c r="F134" s="6">
        <f t="shared" si="16"/>
        <v>340</v>
      </c>
      <c r="G134" s="6">
        <f t="shared" si="17"/>
        <v>5880</v>
      </c>
      <c r="H134" s="6">
        <f t="shared" si="18"/>
        <v>5200</v>
      </c>
      <c r="I134" s="30">
        <f t="shared" si="19"/>
        <v>680</v>
      </c>
      <c r="J134" s="6" t="s">
        <v>12</v>
      </c>
    </row>
    <row r="135" spans="1:10" x14ac:dyDescent="0.25">
      <c r="A135" s="5">
        <v>45915</v>
      </c>
      <c r="B135" s="6" t="s">
        <v>15</v>
      </c>
      <c r="C135" s="6">
        <v>1</v>
      </c>
      <c r="D135" s="6">
        <v>2600</v>
      </c>
      <c r="E135" s="6">
        <v>2500</v>
      </c>
      <c r="F135" s="6">
        <f t="shared" si="16"/>
        <v>100</v>
      </c>
      <c r="G135" s="6">
        <f t="shared" si="17"/>
        <v>2600</v>
      </c>
      <c r="H135" s="6">
        <f t="shared" si="18"/>
        <v>2500</v>
      </c>
      <c r="I135" s="30">
        <f t="shared" si="19"/>
        <v>100</v>
      </c>
      <c r="J135" s="6" t="s">
        <v>12</v>
      </c>
    </row>
    <row r="136" spans="1:10" x14ac:dyDescent="0.25">
      <c r="A136" s="5">
        <v>45915</v>
      </c>
      <c r="B136" s="6" t="s">
        <v>32</v>
      </c>
      <c r="C136" s="6">
        <v>5</v>
      </c>
      <c r="D136" s="6">
        <v>2340</v>
      </c>
      <c r="E136" s="6">
        <v>2200</v>
      </c>
      <c r="F136" s="6">
        <f t="shared" si="16"/>
        <v>140</v>
      </c>
      <c r="G136" s="6">
        <f t="shared" si="17"/>
        <v>11700</v>
      </c>
      <c r="H136" s="6">
        <f t="shared" si="18"/>
        <v>11000</v>
      </c>
      <c r="I136" s="30">
        <f t="shared" si="19"/>
        <v>700</v>
      </c>
      <c r="J136" s="6" t="s">
        <v>12</v>
      </c>
    </row>
    <row r="137" spans="1:10" x14ac:dyDescent="0.25">
      <c r="A137" s="5">
        <v>45915</v>
      </c>
      <c r="B137" s="6" t="s">
        <v>31</v>
      </c>
      <c r="C137" s="6">
        <v>2</v>
      </c>
      <c r="D137" s="6">
        <v>2140</v>
      </c>
      <c r="E137" s="6">
        <v>2070</v>
      </c>
      <c r="F137" s="6">
        <f t="shared" si="16"/>
        <v>70</v>
      </c>
      <c r="G137" s="6">
        <f t="shared" si="17"/>
        <v>4280</v>
      </c>
      <c r="H137" s="6">
        <f t="shared" si="18"/>
        <v>4140</v>
      </c>
      <c r="I137" s="30">
        <f t="shared" si="19"/>
        <v>140</v>
      </c>
      <c r="J137" s="6" t="s">
        <v>12</v>
      </c>
    </row>
    <row r="138" spans="1:10" x14ac:dyDescent="0.25">
      <c r="A138" s="5">
        <v>45920</v>
      </c>
      <c r="B138" s="6" t="s">
        <v>14</v>
      </c>
      <c r="C138" s="6">
        <v>2</v>
      </c>
      <c r="D138" s="6">
        <v>2550</v>
      </c>
      <c r="E138" s="6">
        <v>1879.85</v>
      </c>
      <c r="F138" s="6">
        <f t="shared" si="16"/>
        <v>670.15000000000009</v>
      </c>
      <c r="G138" s="6">
        <f t="shared" si="17"/>
        <v>5100</v>
      </c>
      <c r="H138" s="6">
        <f t="shared" si="18"/>
        <v>3759.7</v>
      </c>
      <c r="I138" s="30">
        <f t="shared" si="19"/>
        <v>1340.3000000000002</v>
      </c>
      <c r="J138" s="6" t="s">
        <v>12</v>
      </c>
    </row>
    <row r="139" spans="1:10" x14ac:dyDescent="0.25">
      <c r="A139" s="5">
        <v>45920</v>
      </c>
      <c r="B139" s="6" t="s">
        <v>55</v>
      </c>
      <c r="C139" s="6">
        <v>1</v>
      </c>
      <c r="D139" s="6">
        <v>1650</v>
      </c>
      <c r="E139" s="6">
        <v>1396.2</v>
      </c>
      <c r="F139" s="6">
        <f t="shared" si="16"/>
        <v>253.79999999999995</v>
      </c>
      <c r="G139" s="6">
        <f t="shared" si="17"/>
        <v>1650</v>
      </c>
      <c r="H139" s="6">
        <f t="shared" si="18"/>
        <v>1396.2</v>
      </c>
      <c r="I139" s="30">
        <f t="shared" si="19"/>
        <v>253.79999999999995</v>
      </c>
      <c r="J139" s="6" t="s">
        <v>12</v>
      </c>
    </row>
    <row r="140" spans="1:10" x14ac:dyDescent="0.25">
      <c r="A140" s="9">
        <v>45920</v>
      </c>
      <c r="B140" s="10" t="s">
        <v>56</v>
      </c>
      <c r="C140" s="10">
        <v>2</v>
      </c>
      <c r="D140" s="10">
        <v>535</v>
      </c>
      <c r="E140" s="10">
        <v>535</v>
      </c>
      <c r="F140" s="10">
        <f t="shared" si="16"/>
        <v>0</v>
      </c>
      <c r="G140" s="10">
        <f t="shared" si="17"/>
        <v>1070</v>
      </c>
      <c r="H140" s="10">
        <f t="shared" si="18"/>
        <v>1070</v>
      </c>
      <c r="I140" s="31">
        <f t="shared" si="19"/>
        <v>0</v>
      </c>
      <c r="J140" s="10" t="s">
        <v>12</v>
      </c>
    </row>
    <row r="141" spans="1:10" x14ac:dyDescent="0.25">
      <c r="A141" s="9">
        <v>45920</v>
      </c>
      <c r="B141" s="10" t="s">
        <v>56</v>
      </c>
      <c r="C141" s="10">
        <v>4</v>
      </c>
      <c r="D141" s="10">
        <v>560</v>
      </c>
      <c r="E141" s="10">
        <v>560</v>
      </c>
      <c r="F141" s="10">
        <f t="shared" si="16"/>
        <v>0</v>
      </c>
      <c r="G141" s="10">
        <f t="shared" si="17"/>
        <v>2240</v>
      </c>
      <c r="H141" s="10">
        <f t="shared" si="18"/>
        <v>2240</v>
      </c>
      <c r="I141" s="31">
        <f t="shared" si="19"/>
        <v>0</v>
      </c>
      <c r="J141" s="10" t="s">
        <v>12</v>
      </c>
    </row>
    <row r="142" spans="1:10" x14ac:dyDescent="0.25">
      <c r="A142" s="5">
        <v>45920</v>
      </c>
      <c r="B142" s="6" t="s">
        <v>57</v>
      </c>
      <c r="C142" s="6">
        <v>1</v>
      </c>
      <c r="D142" s="6">
        <v>645</v>
      </c>
      <c r="E142" s="6">
        <v>519.1</v>
      </c>
      <c r="F142" s="6">
        <f t="shared" si="16"/>
        <v>125.89999999999998</v>
      </c>
      <c r="G142" s="6">
        <f t="shared" si="17"/>
        <v>645</v>
      </c>
      <c r="H142" s="6">
        <f t="shared" si="18"/>
        <v>519.1</v>
      </c>
      <c r="I142" s="30">
        <f t="shared" si="19"/>
        <v>125.89999999999998</v>
      </c>
      <c r="J142" s="6" t="s">
        <v>12</v>
      </c>
    </row>
    <row r="143" spans="1:10" x14ac:dyDescent="0.25">
      <c r="A143" s="5">
        <v>45920</v>
      </c>
      <c r="B143" s="6" t="s">
        <v>55</v>
      </c>
      <c r="C143" s="6">
        <v>2</v>
      </c>
      <c r="D143" s="6">
        <v>1700</v>
      </c>
      <c r="E143" s="6">
        <v>1396.2</v>
      </c>
      <c r="F143" s="6">
        <f t="shared" si="16"/>
        <v>303.79999999999995</v>
      </c>
      <c r="G143" s="6">
        <f t="shared" si="17"/>
        <v>3400</v>
      </c>
      <c r="H143" s="6">
        <f t="shared" si="18"/>
        <v>2792.4</v>
      </c>
      <c r="I143" s="30">
        <f t="shared" si="19"/>
        <v>607.59999999999991</v>
      </c>
      <c r="J143" s="6" t="s">
        <v>12</v>
      </c>
    </row>
    <row r="144" spans="1:10" x14ac:dyDescent="0.25">
      <c r="A144" s="5">
        <v>45920</v>
      </c>
      <c r="B144" s="6" t="s">
        <v>56</v>
      </c>
      <c r="C144" s="6">
        <v>3</v>
      </c>
      <c r="D144" s="6">
        <v>192</v>
      </c>
      <c r="E144" s="6">
        <v>150.36000000000001</v>
      </c>
      <c r="F144" s="6">
        <f t="shared" si="16"/>
        <v>41.639999999999986</v>
      </c>
      <c r="G144" s="6">
        <f t="shared" si="17"/>
        <v>576</v>
      </c>
      <c r="H144" s="6">
        <f t="shared" si="18"/>
        <v>451.08000000000004</v>
      </c>
      <c r="I144" s="30">
        <f t="shared" si="19"/>
        <v>124.91999999999996</v>
      </c>
      <c r="J144" s="6" t="s">
        <v>12</v>
      </c>
    </row>
    <row r="145" spans="1:10" x14ac:dyDescent="0.25">
      <c r="A145" s="5">
        <v>45921</v>
      </c>
      <c r="B145" s="6" t="s">
        <v>22</v>
      </c>
      <c r="C145" s="6">
        <v>2</v>
      </c>
      <c r="D145" s="6">
        <v>970</v>
      </c>
      <c r="E145" s="6">
        <v>700.96</v>
      </c>
      <c r="F145" s="6">
        <f t="shared" si="16"/>
        <v>269.03999999999996</v>
      </c>
      <c r="G145" s="6">
        <f t="shared" si="17"/>
        <v>1940</v>
      </c>
      <c r="H145" s="6">
        <f t="shared" si="18"/>
        <v>1401.92</v>
      </c>
      <c r="I145" s="30">
        <f t="shared" si="19"/>
        <v>538.07999999999993</v>
      </c>
      <c r="J145" s="6" t="s">
        <v>12</v>
      </c>
    </row>
    <row r="146" spans="1:10" x14ac:dyDescent="0.25">
      <c r="A146" s="5">
        <v>45921</v>
      </c>
      <c r="B146" s="6" t="s">
        <v>22</v>
      </c>
      <c r="C146" s="6">
        <v>1</v>
      </c>
      <c r="D146" s="6">
        <v>960</v>
      </c>
      <c r="E146" s="6">
        <v>700.96</v>
      </c>
      <c r="F146" s="6">
        <f t="shared" si="16"/>
        <v>259.03999999999996</v>
      </c>
      <c r="G146" s="6">
        <f t="shared" si="17"/>
        <v>960</v>
      </c>
      <c r="H146" s="6">
        <f t="shared" si="18"/>
        <v>700.96</v>
      </c>
      <c r="I146" s="30">
        <f t="shared" si="19"/>
        <v>259.03999999999996</v>
      </c>
      <c r="J146" s="6" t="s">
        <v>12</v>
      </c>
    </row>
    <row r="147" spans="1:10" x14ac:dyDescent="0.25">
      <c r="A147" s="5">
        <v>45922</v>
      </c>
      <c r="B147" s="6" t="s">
        <v>39</v>
      </c>
      <c r="C147" s="6">
        <v>1</v>
      </c>
      <c r="D147" s="6">
        <v>1300</v>
      </c>
      <c r="E147" s="6">
        <v>1230</v>
      </c>
      <c r="F147" s="6">
        <f t="shared" si="16"/>
        <v>70</v>
      </c>
      <c r="G147" s="6">
        <f t="shared" si="17"/>
        <v>1300</v>
      </c>
      <c r="H147" s="6">
        <f t="shared" si="18"/>
        <v>1230</v>
      </c>
      <c r="I147" s="30">
        <f t="shared" si="19"/>
        <v>70</v>
      </c>
      <c r="J147" s="6" t="s">
        <v>12</v>
      </c>
    </row>
    <row r="148" spans="1:10" x14ac:dyDescent="0.25">
      <c r="A148" s="5">
        <v>45922</v>
      </c>
      <c r="B148" s="6" t="s">
        <v>18</v>
      </c>
      <c r="C148" s="6">
        <v>1</v>
      </c>
      <c r="D148" s="6">
        <v>3880</v>
      </c>
      <c r="E148" s="6">
        <v>3600</v>
      </c>
      <c r="F148" s="6">
        <f t="shared" si="16"/>
        <v>280</v>
      </c>
      <c r="G148" s="6">
        <f t="shared" si="17"/>
        <v>3880</v>
      </c>
      <c r="H148" s="6">
        <f t="shared" si="18"/>
        <v>3600</v>
      </c>
      <c r="I148" s="30">
        <f t="shared" si="19"/>
        <v>280</v>
      </c>
      <c r="J148" s="6" t="s">
        <v>12</v>
      </c>
    </row>
    <row r="149" spans="1:10" x14ac:dyDescent="0.25">
      <c r="A149" s="5">
        <v>45922</v>
      </c>
      <c r="B149" s="6" t="s">
        <v>17</v>
      </c>
      <c r="C149" s="6">
        <v>1</v>
      </c>
      <c r="D149" s="6">
        <v>3700</v>
      </c>
      <c r="E149" s="6">
        <v>3350</v>
      </c>
      <c r="F149" s="6">
        <f t="shared" si="16"/>
        <v>350</v>
      </c>
      <c r="G149" s="6">
        <f t="shared" si="17"/>
        <v>3700</v>
      </c>
      <c r="H149" s="6">
        <f t="shared" si="18"/>
        <v>3350</v>
      </c>
      <c r="I149" s="30">
        <f t="shared" si="19"/>
        <v>350</v>
      </c>
      <c r="J149" s="6" t="s">
        <v>12</v>
      </c>
    </row>
    <row r="150" spans="1:10" x14ac:dyDescent="0.25">
      <c r="A150" s="5">
        <v>45922</v>
      </c>
      <c r="B150" s="6" t="s">
        <v>39</v>
      </c>
      <c r="C150" s="6">
        <v>1</v>
      </c>
      <c r="D150" s="6">
        <v>1200</v>
      </c>
      <c r="E150" s="6">
        <v>1230</v>
      </c>
      <c r="F150" s="6">
        <f t="shared" si="16"/>
        <v>-30</v>
      </c>
      <c r="G150" s="6">
        <f t="shared" si="17"/>
        <v>1200</v>
      </c>
      <c r="H150" s="6">
        <f t="shared" si="18"/>
        <v>1230</v>
      </c>
      <c r="I150" s="30">
        <f t="shared" si="19"/>
        <v>-30</v>
      </c>
      <c r="J150" s="6" t="s">
        <v>12</v>
      </c>
    </row>
    <row r="151" spans="1:10" x14ac:dyDescent="0.25">
      <c r="A151" s="5">
        <v>45923</v>
      </c>
      <c r="B151" s="6" t="s">
        <v>15</v>
      </c>
      <c r="C151" s="6">
        <v>4</v>
      </c>
      <c r="D151" s="6">
        <v>2640</v>
      </c>
      <c r="E151" s="6">
        <v>2530</v>
      </c>
      <c r="F151" s="6">
        <f t="shared" si="16"/>
        <v>110</v>
      </c>
      <c r="G151" s="6">
        <f t="shared" si="17"/>
        <v>10560</v>
      </c>
      <c r="H151" s="6">
        <f t="shared" si="18"/>
        <v>10120</v>
      </c>
      <c r="I151" s="30">
        <f t="shared" si="19"/>
        <v>440</v>
      </c>
      <c r="J151" s="6" t="s">
        <v>12</v>
      </c>
    </row>
    <row r="152" spans="1:10" x14ac:dyDescent="0.25">
      <c r="A152" s="5">
        <v>45923</v>
      </c>
      <c r="B152" s="6" t="s">
        <v>31</v>
      </c>
      <c r="C152" s="6">
        <v>4</v>
      </c>
      <c r="D152" s="6">
        <v>2175</v>
      </c>
      <c r="E152" s="6">
        <v>2130</v>
      </c>
      <c r="F152" s="6">
        <f t="shared" si="16"/>
        <v>45</v>
      </c>
      <c r="G152" s="6">
        <f t="shared" si="17"/>
        <v>8700</v>
      </c>
      <c r="H152" s="6">
        <f t="shared" si="18"/>
        <v>8520</v>
      </c>
      <c r="I152" s="30">
        <f t="shared" si="19"/>
        <v>180</v>
      </c>
      <c r="J152" s="6" t="s">
        <v>12</v>
      </c>
    </row>
    <row r="153" spans="1:10" x14ac:dyDescent="0.25">
      <c r="A153" s="5">
        <v>45923</v>
      </c>
      <c r="B153" s="6" t="s">
        <v>32</v>
      </c>
      <c r="C153" s="6">
        <v>1</v>
      </c>
      <c r="D153" s="6">
        <v>2460</v>
      </c>
      <c r="E153" s="6">
        <v>2250</v>
      </c>
      <c r="F153" s="6">
        <f t="shared" si="16"/>
        <v>210</v>
      </c>
      <c r="G153" s="6">
        <f t="shared" si="17"/>
        <v>2460</v>
      </c>
      <c r="H153" s="6">
        <f t="shared" si="18"/>
        <v>2250</v>
      </c>
      <c r="I153" s="30">
        <f t="shared" si="19"/>
        <v>210</v>
      </c>
      <c r="J153" s="6" t="s">
        <v>12</v>
      </c>
    </row>
    <row r="154" spans="1:10" x14ac:dyDescent="0.25">
      <c r="A154" s="5">
        <v>45923</v>
      </c>
      <c r="B154" s="6" t="s">
        <v>15</v>
      </c>
      <c r="C154" s="6">
        <v>2</v>
      </c>
      <c r="D154" s="6">
        <v>2745</v>
      </c>
      <c r="E154" s="6">
        <v>2670</v>
      </c>
      <c r="F154" s="6">
        <f t="shared" si="16"/>
        <v>75</v>
      </c>
      <c r="G154" s="6">
        <f t="shared" si="17"/>
        <v>5490</v>
      </c>
      <c r="H154" s="6">
        <f t="shared" si="18"/>
        <v>5340</v>
      </c>
      <c r="I154" s="30">
        <f t="shared" si="19"/>
        <v>150</v>
      </c>
      <c r="J154" s="6" t="s">
        <v>12</v>
      </c>
    </row>
    <row r="155" spans="1:10" x14ac:dyDescent="0.25">
      <c r="A155" s="5">
        <v>45923</v>
      </c>
      <c r="B155" s="6" t="s">
        <v>42</v>
      </c>
      <c r="C155" s="6">
        <v>8</v>
      </c>
      <c r="D155" s="6">
        <v>2150</v>
      </c>
      <c r="E155" s="6">
        <v>1920</v>
      </c>
      <c r="F155" s="6">
        <f t="shared" si="16"/>
        <v>230</v>
      </c>
      <c r="G155" s="6">
        <f t="shared" si="17"/>
        <v>17200</v>
      </c>
      <c r="H155" s="6">
        <f t="shared" si="18"/>
        <v>15360</v>
      </c>
      <c r="I155" s="30">
        <f t="shared" si="19"/>
        <v>1840</v>
      </c>
      <c r="J155" s="6" t="s">
        <v>12</v>
      </c>
    </row>
    <row r="156" spans="1:10" x14ac:dyDescent="0.25">
      <c r="A156" s="5">
        <v>45923</v>
      </c>
      <c r="B156" s="6" t="s">
        <v>15</v>
      </c>
      <c r="C156" s="6">
        <v>7</v>
      </c>
      <c r="D156" s="6">
        <v>2530</v>
      </c>
      <c r="E156" s="6">
        <v>2430</v>
      </c>
      <c r="F156" s="6">
        <f t="shared" si="16"/>
        <v>100</v>
      </c>
      <c r="G156" s="6">
        <f t="shared" si="17"/>
        <v>17710</v>
      </c>
      <c r="H156" s="6">
        <f t="shared" si="18"/>
        <v>17010</v>
      </c>
      <c r="I156" s="30">
        <f t="shared" si="19"/>
        <v>700</v>
      </c>
      <c r="J156" s="6" t="s">
        <v>12</v>
      </c>
    </row>
    <row r="157" spans="1:10" x14ac:dyDescent="0.25">
      <c r="A157" s="5">
        <v>45923</v>
      </c>
      <c r="B157" s="6" t="s">
        <v>15</v>
      </c>
      <c r="C157" s="6">
        <v>3</v>
      </c>
      <c r="D157" s="6">
        <v>2480</v>
      </c>
      <c r="E157" s="6">
        <v>2400</v>
      </c>
      <c r="F157" s="6">
        <f t="shared" si="16"/>
        <v>80</v>
      </c>
      <c r="G157" s="6">
        <f t="shared" si="17"/>
        <v>7440</v>
      </c>
      <c r="H157" s="6">
        <f t="shared" si="18"/>
        <v>7200</v>
      </c>
      <c r="I157" s="30">
        <f t="shared" si="19"/>
        <v>240</v>
      </c>
      <c r="J157" s="6" t="s">
        <v>12</v>
      </c>
    </row>
    <row r="158" spans="1:10" x14ac:dyDescent="0.25">
      <c r="A158" s="5">
        <v>45923</v>
      </c>
      <c r="B158" s="6" t="s">
        <v>58</v>
      </c>
      <c r="C158" s="6">
        <v>1</v>
      </c>
      <c r="D158" s="6">
        <v>3350</v>
      </c>
      <c r="E158" s="6">
        <v>3200</v>
      </c>
      <c r="F158" s="6">
        <f t="shared" si="16"/>
        <v>150</v>
      </c>
      <c r="G158" s="6">
        <f t="shared" si="17"/>
        <v>3350</v>
      </c>
      <c r="H158" s="6">
        <f t="shared" si="18"/>
        <v>3200</v>
      </c>
      <c r="I158" s="30">
        <f t="shared" si="19"/>
        <v>150</v>
      </c>
      <c r="J158" s="6" t="s">
        <v>12</v>
      </c>
    </row>
    <row r="159" spans="1:10" x14ac:dyDescent="0.25">
      <c r="A159" s="5">
        <v>45926</v>
      </c>
      <c r="B159" s="6" t="s">
        <v>15</v>
      </c>
      <c r="C159" s="6">
        <v>2</v>
      </c>
      <c r="D159" s="6">
        <v>2530</v>
      </c>
      <c r="E159" s="6">
        <v>2430</v>
      </c>
      <c r="F159" s="6">
        <f t="shared" si="16"/>
        <v>100</v>
      </c>
      <c r="G159" s="6">
        <f t="shared" si="17"/>
        <v>5060</v>
      </c>
      <c r="H159" s="6">
        <f t="shared" si="18"/>
        <v>4860</v>
      </c>
      <c r="I159" s="30">
        <f t="shared" si="19"/>
        <v>200</v>
      </c>
      <c r="J159" s="6" t="s">
        <v>12</v>
      </c>
    </row>
    <row r="160" spans="1:10" x14ac:dyDescent="0.25">
      <c r="A160" s="5">
        <v>45926</v>
      </c>
      <c r="B160" s="6" t="s">
        <v>15</v>
      </c>
      <c r="C160" s="6">
        <v>9</v>
      </c>
      <c r="D160" s="6">
        <v>2720</v>
      </c>
      <c r="E160" s="6">
        <v>2670</v>
      </c>
      <c r="F160" s="6">
        <f t="shared" si="16"/>
        <v>50</v>
      </c>
      <c r="G160" s="6">
        <f t="shared" si="17"/>
        <v>24480</v>
      </c>
      <c r="H160" s="6">
        <f t="shared" si="18"/>
        <v>24030</v>
      </c>
      <c r="I160" s="30">
        <f t="shared" si="19"/>
        <v>450</v>
      </c>
      <c r="J160" s="6" t="s">
        <v>12</v>
      </c>
    </row>
    <row r="161" spans="1:10" x14ac:dyDescent="0.25">
      <c r="A161" s="5">
        <v>45926</v>
      </c>
      <c r="B161" s="6" t="s">
        <v>15</v>
      </c>
      <c r="C161" s="6">
        <v>1</v>
      </c>
      <c r="D161" s="6">
        <v>2670</v>
      </c>
      <c r="E161" s="6">
        <v>2530</v>
      </c>
      <c r="F161" s="6">
        <f t="shared" si="16"/>
        <v>140</v>
      </c>
      <c r="G161" s="6">
        <f t="shared" si="17"/>
        <v>2670</v>
      </c>
      <c r="H161" s="6">
        <f t="shared" si="18"/>
        <v>2530</v>
      </c>
      <c r="I161" s="30">
        <f t="shared" si="19"/>
        <v>140</v>
      </c>
      <c r="J161" s="6" t="s">
        <v>12</v>
      </c>
    </row>
    <row r="162" spans="1:10" x14ac:dyDescent="0.25">
      <c r="A162" s="5">
        <v>45926</v>
      </c>
      <c r="B162" s="6" t="s">
        <v>15</v>
      </c>
      <c r="C162" s="6">
        <v>3</v>
      </c>
      <c r="D162" s="6">
        <v>2615</v>
      </c>
      <c r="E162" s="6">
        <v>2530</v>
      </c>
      <c r="F162" s="6">
        <f t="shared" ref="F162:F188" si="20">D162-E162</f>
        <v>85</v>
      </c>
      <c r="G162" s="6">
        <f t="shared" ref="G162:G188" si="21">C162*D162</f>
        <v>7845</v>
      </c>
      <c r="H162" s="6">
        <f t="shared" ref="H162:H188" si="22">C162*E162</f>
        <v>7590</v>
      </c>
      <c r="I162" s="30">
        <f t="shared" ref="I162:I188" si="23">G162-H162</f>
        <v>255</v>
      </c>
      <c r="J162" s="6" t="s">
        <v>12</v>
      </c>
    </row>
    <row r="163" spans="1:10" x14ac:dyDescent="0.25">
      <c r="A163" s="5">
        <v>45926</v>
      </c>
      <c r="B163" s="6" t="s">
        <v>29</v>
      </c>
      <c r="C163" s="6">
        <v>2</v>
      </c>
      <c r="D163" s="6">
        <v>2940</v>
      </c>
      <c r="E163" s="6">
        <v>2630</v>
      </c>
      <c r="F163" s="6">
        <f t="shared" si="20"/>
        <v>310</v>
      </c>
      <c r="G163" s="6">
        <f t="shared" si="21"/>
        <v>5880</v>
      </c>
      <c r="H163" s="6">
        <f t="shared" si="22"/>
        <v>5260</v>
      </c>
      <c r="I163" s="30">
        <f t="shared" si="23"/>
        <v>620</v>
      </c>
      <c r="J163" s="6" t="s">
        <v>12</v>
      </c>
    </row>
    <row r="164" spans="1:10" x14ac:dyDescent="0.25">
      <c r="A164" s="5">
        <v>45926</v>
      </c>
      <c r="B164" s="6" t="s">
        <v>31</v>
      </c>
      <c r="C164" s="6">
        <v>7</v>
      </c>
      <c r="D164" s="6">
        <v>2130</v>
      </c>
      <c r="E164" s="6">
        <v>2020</v>
      </c>
      <c r="F164" s="6">
        <f t="shared" si="20"/>
        <v>110</v>
      </c>
      <c r="G164" s="6">
        <f t="shared" si="21"/>
        <v>14910</v>
      </c>
      <c r="H164" s="6">
        <f t="shared" si="22"/>
        <v>14140</v>
      </c>
      <c r="I164" s="30">
        <f t="shared" si="23"/>
        <v>770</v>
      </c>
      <c r="J164" s="6" t="s">
        <v>12</v>
      </c>
    </row>
    <row r="165" spans="1:10" x14ac:dyDescent="0.25">
      <c r="A165" s="5">
        <v>45926</v>
      </c>
      <c r="B165" s="6" t="s">
        <v>32</v>
      </c>
      <c r="C165" s="6">
        <v>5</v>
      </c>
      <c r="D165" s="6">
        <v>2340</v>
      </c>
      <c r="E165" s="6">
        <v>2250</v>
      </c>
      <c r="F165" s="6">
        <f t="shared" si="20"/>
        <v>90</v>
      </c>
      <c r="G165" s="6">
        <f t="shared" si="21"/>
        <v>11700</v>
      </c>
      <c r="H165" s="6">
        <f t="shared" si="22"/>
        <v>11250</v>
      </c>
      <c r="I165" s="30">
        <f t="shared" si="23"/>
        <v>450</v>
      </c>
      <c r="J165" s="6" t="s">
        <v>12</v>
      </c>
    </row>
    <row r="166" spans="1:10" x14ac:dyDescent="0.25">
      <c r="A166" s="5">
        <v>45926</v>
      </c>
      <c r="B166" s="6" t="s">
        <v>61</v>
      </c>
      <c r="C166" s="6">
        <v>1</v>
      </c>
      <c r="D166" s="6">
        <v>800</v>
      </c>
      <c r="E166" s="6">
        <v>800</v>
      </c>
      <c r="F166" s="6">
        <f t="shared" si="20"/>
        <v>0</v>
      </c>
      <c r="G166" s="6">
        <f t="shared" si="21"/>
        <v>800</v>
      </c>
      <c r="H166" s="6">
        <f t="shared" si="22"/>
        <v>800</v>
      </c>
      <c r="I166" s="30">
        <f t="shared" si="23"/>
        <v>0</v>
      </c>
      <c r="J166" s="6" t="s">
        <v>12</v>
      </c>
    </row>
    <row r="167" spans="1:10" x14ac:dyDescent="0.25">
      <c r="A167" s="5">
        <v>45926</v>
      </c>
      <c r="B167" s="6" t="s">
        <v>29</v>
      </c>
      <c r="C167" s="6">
        <v>4</v>
      </c>
      <c r="D167" s="6">
        <v>2940</v>
      </c>
      <c r="E167" s="6">
        <v>2630</v>
      </c>
      <c r="F167" s="6">
        <f t="shared" si="20"/>
        <v>310</v>
      </c>
      <c r="G167" s="6">
        <f t="shared" si="21"/>
        <v>11760</v>
      </c>
      <c r="H167" s="6">
        <f t="shared" si="22"/>
        <v>10520</v>
      </c>
      <c r="I167" s="30">
        <f t="shared" si="23"/>
        <v>1240</v>
      </c>
      <c r="J167" s="6" t="s">
        <v>12</v>
      </c>
    </row>
    <row r="168" spans="1:10" x14ac:dyDescent="0.25">
      <c r="A168" s="5">
        <v>45926</v>
      </c>
      <c r="B168" s="6" t="s">
        <v>15</v>
      </c>
      <c r="C168" s="6">
        <v>7</v>
      </c>
      <c r="D168" s="6">
        <v>2530</v>
      </c>
      <c r="E168" s="6">
        <v>2430</v>
      </c>
      <c r="F168" s="6">
        <f t="shared" si="20"/>
        <v>100</v>
      </c>
      <c r="G168" s="6">
        <f t="shared" si="21"/>
        <v>17710</v>
      </c>
      <c r="H168" s="6">
        <f t="shared" si="22"/>
        <v>17010</v>
      </c>
      <c r="I168" s="30">
        <f t="shared" si="23"/>
        <v>700</v>
      </c>
      <c r="J168" s="6" t="s">
        <v>12</v>
      </c>
    </row>
    <row r="169" spans="1:10" x14ac:dyDescent="0.25">
      <c r="A169" s="5">
        <v>45926</v>
      </c>
      <c r="B169" s="6" t="s">
        <v>15</v>
      </c>
      <c r="C169" s="6">
        <v>2</v>
      </c>
      <c r="D169" s="6">
        <v>2720</v>
      </c>
      <c r="E169" s="6">
        <v>2670</v>
      </c>
      <c r="F169" s="6">
        <f t="shared" si="20"/>
        <v>50</v>
      </c>
      <c r="G169" s="6">
        <f t="shared" si="21"/>
        <v>5440</v>
      </c>
      <c r="H169" s="6">
        <f t="shared" si="22"/>
        <v>5340</v>
      </c>
      <c r="I169" s="30">
        <f t="shared" si="23"/>
        <v>100</v>
      </c>
      <c r="J169" s="6" t="s">
        <v>12</v>
      </c>
    </row>
    <row r="170" spans="1:10" x14ac:dyDescent="0.25">
      <c r="A170" s="5">
        <v>45926</v>
      </c>
      <c r="B170" s="6" t="s">
        <v>15</v>
      </c>
      <c r="C170" s="6">
        <v>6</v>
      </c>
      <c r="D170" s="6">
        <v>2615</v>
      </c>
      <c r="E170" s="6">
        <v>2550</v>
      </c>
      <c r="F170" s="6">
        <f t="shared" si="20"/>
        <v>65</v>
      </c>
      <c r="G170" s="6">
        <f t="shared" si="21"/>
        <v>15690</v>
      </c>
      <c r="H170" s="6">
        <f t="shared" si="22"/>
        <v>15300</v>
      </c>
      <c r="I170" s="30">
        <f t="shared" si="23"/>
        <v>390</v>
      </c>
      <c r="J170" s="6" t="s">
        <v>12</v>
      </c>
    </row>
    <row r="171" spans="1:10" x14ac:dyDescent="0.25">
      <c r="A171" s="5">
        <v>45926</v>
      </c>
      <c r="B171" s="6" t="s">
        <v>31</v>
      </c>
      <c r="C171" s="6">
        <v>9</v>
      </c>
      <c r="D171" s="6">
        <v>2130</v>
      </c>
      <c r="E171" s="6">
        <v>2070</v>
      </c>
      <c r="F171" s="6">
        <f t="shared" si="20"/>
        <v>60</v>
      </c>
      <c r="G171" s="6">
        <f t="shared" si="21"/>
        <v>19170</v>
      </c>
      <c r="H171" s="6">
        <f t="shared" si="22"/>
        <v>18630</v>
      </c>
      <c r="I171" s="30">
        <f t="shared" si="23"/>
        <v>540</v>
      </c>
      <c r="J171" s="6" t="s">
        <v>12</v>
      </c>
    </row>
    <row r="172" spans="1:10" x14ac:dyDescent="0.25">
      <c r="A172" s="5">
        <v>45926</v>
      </c>
      <c r="B172" s="6" t="s">
        <v>32</v>
      </c>
      <c r="C172" s="6">
        <v>4</v>
      </c>
      <c r="D172" s="6">
        <v>2340</v>
      </c>
      <c r="E172" s="6">
        <v>2250</v>
      </c>
      <c r="F172" s="6">
        <f t="shared" si="20"/>
        <v>90</v>
      </c>
      <c r="G172" s="6">
        <f t="shared" si="21"/>
        <v>9360</v>
      </c>
      <c r="H172" s="6">
        <f t="shared" si="22"/>
        <v>9000</v>
      </c>
      <c r="I172" s="30">
        <f t="shared" si="23"/>
        <v>360</v>
      </c>
      <c r="J172" s="6" t="s">
        <v>12</v>
      </c>
    </row>
    <row r="173" spans="1:10" x14ac:dyDescent="0.25">
      <c r="A173" s="5">
        <v>45926</v>
      </c>
      <c r="B173" s="6" t="s">
        <v>36</v>
      </c>
      <c r="C173" s="6">
        <v>1</v>
      </c>
      <c r="D173" s="6">
        <v>2060</v>
      </c>
      <c r="E173" s="6">
        <v>2050</v>
      </c>
      <c r="F173" s="6">
        <f t="shared" si="20"/>
        <v>10</v>
      </c>
      <c r="G173" s="6">
        <f t="shared" si="21"/>
        <v>2060</v>
      </c>
      <c r="H173" s="6">
        <f t="shared" si="22"/>
        <v>2050</v>
      </c>
      <c r="I173" s="30">
        <f t="shared" si="23"/>
        <v>10</v>
      </c>
      <c r="J173" s="6" t="s">
        <v>12</v>
      </c>
    </row>
    <row r="174" spans="1:10" x14ac:dyDescent="0.25">
      <c r="A174" s="5">
        <v>45926</v>
      </c>
      <c r="B174" s="6" t="s">
        <v>36</v>
      </c>
      <c r="C174" s="6">
        <v>2</v>
      </c>
      <c r="D174" s="6">
        <v>2060</v>
      </c>
      <c r="E174" s="6">
        <v>2050</v>
      </c>
      <c r="F174" s="6">
        <f t="shared" si="20"/>
        <v>10</v>
      </c>
      <c r="G174" s="6">
        <f t="shared" si="21"/>
        <v>4120</v>
      </c>
      <c r="H174" s="6">
        <f t="shared" si="22"/>
        <v>4100</v>
      </c>
      <c r="I174" s="30">
        <f t="shared" si="23"/>
        <v>20</v>
      </c>
      <c r="J174" s="6" t="s">
        <v>12</v>
      </c>
    </row>
    <row r="175" spans="1:10" x14ac:dyDescent="0.25">
      <c r="A175" s="5">
        <v>45926</v>
      </c>
      <c r="B175" s="6" t="s">
        <v>36</v>
      </c>
      <c r="C175" s="6">
        <v>2</v>
      </c>
      <c r="D175" s="6">
        <v>2060</v>
      </c>
      <c r="E175" s="6">
        <v>2050</v>
      </c>
      <c r="F175" s="6">
        <f t="shared" si="20"/>
        <v>10</v>
      </c>
      <c r="G175" s="6">
        <f t="shared" si="21"/>
        <v>4120</v>
      </c>
      <c r="H175" s="6">
        <f t="shared" si="22"/>
        <v>4100</v>
      </c>
      <c r="I175" s="30">
        <f t="shared" si="23"/>
        <v>20</v>
      </c>
      <c r="J175" s="6" t="s">
        <v>12</v>
      </c>
    </row>
    <row r="176" spans="1:10" x14ac:dyDescent="0.25">
      <c r="A176" s="5">
        <v>45926</v>
      </c>
      <c r="B176" s="6" t="s">
        <v>36</v>
      </c>
      <c r="C176" s="6">
        <v>1</v>
      </c>
      <c r="D176" s="6">
        <v>2060</v>
      </c>
      <c r="E176" s="6">
        <v>2050</v>
      </c>
      <c r="F176" s="6">
        <f t="shared" si="20"/>
        <v>10</v>
      </c>
      <c r="G176" s="6">
        <f t="shared" si="21"/>
        <v>2060</v>
      </c>
      <c r="H176" s="6">
        <f t="shared" si="22"/>
        <v>2050</v>
      </c>
      <c r="I176" s="30">
        <f t="shared" si="23"/>
        <v>10</v>
      </c>
      <c r="J176" s="6" t="s">
        <v>12</v>
      </c>
    </row>
    <row r="177" spans="1:10" x14ac:dyDescent="0.25">
      <c r="A177" s="5">
        <v>45926</v>
      </c>
      <c r="B177" s="6" t="s">
        <v>36</v>
      </c>
      <c r="C177" s="6">
        <v>1</v>
      </c>
      <c r="D177" s="6">
        <v>1</v>
      </c>
      <c r="E177" s="6">
        <v>1</v>
      </c>
      <c r="F177" s="6">
        <f t="shared" si="20"/>
        <v>0</v>
      </c>
      <c r="G177" s="6">
        <f t="shared" si="21"/>
        <v>1</v>
      </c>
      <c r="H177" s="6">
        <f t="shared" si="22"/>
        <v>1</v>
      </c>
      <c r="I177" s="30">
        <f t="shared" si="23"/>
        <v>0</v>
      </c>
      <c r="J177" s="6" t="s">
        <v>12</v>
      </c>
    </row>
    <row r="178" spans="1:10" x14ac:dyDescent="0.25">
      <c r="A178" s="5">
        <v>45926</v>
      </c>
      <c r="B178" s="6" t="s">
        <v>62</v>
      </c>
      <c r="C178" s="6">
        <v>1</v>
      </c>
      <c r="D178" s="6">
        <v>1</v>
      </c>
      <c r="E178" s="6">
        <v>1</v>
      </c>
      <c r="F178" s="6">
        <f t="shared" si="20"/>
        <v>0</v>
      </c>
      <c r="G178" s="6">
        <f t="shared" si="21"/>
        <v>1</v>
      </c>
      <c r="H178" s="6">
        <f t="shared" si="22"/>
        <v>1</v>
      </c>
      <c r="I178" s="30">
        <f t="shared" si="23"/>
        <v>0</v>
      </c>
      <c r="J178" s="6" t="s">
        <v>12</v>
      </c>
    </row>
    <row r="179" spans="1:10" x14ac:dyDescent="0.25">
      <c r="A179" s="5">
        <v>45926</v>
      </c>
      <c r="B179" s="6" t="s">
        <v>62</v>
      </c>
      <c r="C179" s="6">
        <v>1</v>
      </c>
      <c r="D179" s="6">
        <v>1</v>
      </c>
      <c r="E179" s="6">
        <v>1</v>
      </c>
      <c r="F179" s="6">
        <f t="shared" si="20"/>
        <v>0</v>
      </c>
      <c r="G179" s="6">
        <f t="shared" si="21"/>
        <v>1</v>
      </c>
      <c r="H179" s="6">
        <f t="shared" si="22"/>
        <v>1</v>
      </c>
      <c r="I179" s="30">
        <f t="shared" si="23"/>
        <v>0</v>
      </c>
      <c r="J179" s="6" t="s">
        <v>12</v>
      </c>
    </row>
    <row r="180" spans="1:10" x14ac:dyDescent="0.25">
      <c r="A180" s="5">
        <v>45926</v>
      </c>
      <c r="B180" s="6" t="s">
        <v>48</v>
      </c>
      <c r="C180" s="6">
        <v>1</v>
      </c>
      <c r="D180" s="6">
        <v>1</v>
      </c>
      <c r="E180" s="6">
        <v>1</v>
      </c>
      <c r="F180" s="6">
        <f t="shared" si="20"/>
        <v>0</v>
      </c>
      <c r="G180" s="6">
        <f t="shared" si="21"/>
        <v>1</v>
      </c>
      <c r="H180" s="6">
        <f t="shared" si="22"/>
        <v>1</v>
      </c>
      <c r="I180" s="30">
        <f t="shared" si="23"/>
        <v>0</v>
      </c>
      <c r="J180" s="6" t="s">
        <v>12</v>
      </c>
    </row>
    <row r="181" spans="1:10" x14ac:dyDescent="0.25">
      <c r="A181" s="5">
        <v>45926</v>
      </c>
      <c r="B181" s="6" t="s">
        <v>18</v>
      </c>
      <c r="C181" s="6">
        <v>1</v>
      </c>
      <c r="D181" s="6">
        <v>3880</v>
      </c>
      <c r="E181" s="6">
        <v>3600</v>
      </c>
      <c r="F181" s="6">
        <f t="shared" si="20"/>
        <v>280</v>
      </c>
      <c r="G181" s="6">
        <f t="shared" si="21"/>
        <v>3880</v>
      </c>
      <c r="H181" s="6">
        <f t="shared" si="22"/>
        <v>3600</v>
      </c>
      <c r="I181" s="30">
        <f t="shared" si="23"/>
        <v>280</v>
      </c>
      <c r="J181" s="6" t="s">
        <v>12</v>
      </c>
    </row>
    <row r="182" spans="1:10" x14ac:dyDescent="0.25">
      <c r="A182" s="5">
        <v>45926</v>
      </c>
      <c r="B182" s="6" t="s">
        <v>19</v>
      </c>
      <c r="C182" s="6">
        <v>1</v>
      </c>
      <c r="D182" s="6">
        <v>4800</v>
      </c>
      <c r="E182" s="6">
        <v>3700</v>
      </c>
      <c r="F182" s="6">
        <f t="shared" si="20"/>
        <v>1100</v>
      </c>
      <c r="G182" s="6">
        <f t="shared" si="21"/>
        <v>4800</v>
      </c>
      <c r="H182" s="6">
        <f t="shared" si="22"/>
        <v>3700</v>
      </c>
      <c r="I182" s="30">
        <f t="shared" si="23"/>
        <v>1100</v>
      </c>
      <c r="J182" s="6" t="s">
        <v>12</v>
      </c>
    </row>
    <row r="183" spans="1:10" x14ac:dyDescent="0.25">
      <c r="A183" s="5">
        <v>45926</v>
      </c>
      <c r="B183" s="6" t="s">
        <v>17</v>
      </c>
      <c r="C183" s="6">
        <v>1</v>
      </c>
      <c r="D183" s="6">
        <v>3700</v>
      </c>
      <c r="E183" s="6">
        <v>3350</v>
      </c>
      <c r="F183" s="6">
        <f t="shared" si="20"/>
        <v>350</v>
      </c>
      <c r="G183" s="6">
        <f t="shared" si="21"/>
        <v>3700</v>
      </c>
      <c r="H183" s="6">
        <f t="shared" si="22"/>
        <v>3350</v>
      </c>
      <c r="I183" s="30">
        <f t="shared" si="23"/>
        <v>350</v>
      </c>
      <c r="J183" s="6" t="s">
        <v>12</v>
      </c>
    </row>
    <row r="184" spans="1:10" x14ac:dyDescent="0.25">
      <c r="A184" s="5">
        <v>45926</v>
      </c>
      <c r="B184" s="6" t="s">
        <v>40</v>
      </c>
      <c r="C184" s="6">
        <v>2</v>
      </c>
      <c r="D184" s="6">
        <v>2350</v>
      </c>
      <c r="E184" s="6">
        <v>3350</v>
      </c>
      <c r="F184" s="6">
        <f t="shared" si="20"/>
        <v>-1000</v>
      </c>
      <c r="G184" s="6">
        <f t="shared" si="21"/>
        <v>4700</v>
      </c>
      <c r="H184" s="6">
        <f t="shared" si="22"/>
        <v>6700</v>
      </c>
      <c r="I184" s="30">
        <f t="shared" si="23"/>
        <v>-2000</v>
      </c>
      <c r="J184" s="6" t="s">
        <v>12</v>
      </c>
    </row>
    <row r="185" spans="1:10" x14ac:dyDescent="0.25">
      <c r="A185" s="5">
        <v>45926</v>
      </c>
      <c r="B185" s="6" t="s">
        <v>63</v>
      </c>
      <c r="C185" s="6">
        <v>2</v>
      </c>
      <c r="D185" s="6">
        <v>2200</v>
      </c>
      <c r="E185" s="6">
        <v>2250</v>
      </c>
      <c r="F185" s="6">
        <f t="shared" si="20"/>
        <v>-50</v>
      </c>
      <c r="G185" s="6">
        <f t="shared" si="21"/>
        <v>4400</v>
      </c>
      <c r="H185" s="6">
        <f t="shared" si="22"/>
        <v>4500</v>
      </c>
      <c r="I185" s="30">
        <f t="shared" si="23"/>
        <v>-100</v>
      </c>
      <c r="J185" s="6" t="s">
        <v>12</v>
      </c>
    </row>
    <row r="186" spans="1:10" x14ac:dyDescent="0.25">
      <c r="A186" s="5">
        <v>45926</v>
      </c>
      <c r="B186" s="6" t="s">
        <v>39</v>
      </c>
      <c r="C186" s="6">
        <v>1</v>
      </c>
      <c r="D186" s="6">
        <v>1300</v>
      </c>
      <c r="E186" s="6">
        <v>1250</v>
      </c>
      <c r="F186" s="6">
        <f t="shared" si="20"/>
        <v>50</v>
      </c>
      <c r="G186" s="6">
        <f t="shared" si="21"/>
        <v>1300</v>
      </c>
      <c r="H186" s="6">
        <f t="shared" si="22"/>
        <v>1250</v>
      </c>
      <c r="I186" s="30">
        <f t="shared" si="23"/>
        <v>50</v>
      </c>
      <c r="J186" s="6" t="s">
        <v>12</v>
      </c>
    </row>
    <row r="187" spans="1:10" x14ac:dyDescent="0.25">
      <c r="A187" s="5">
        <v>45926</v>
      </c>
      <c r="B187" s="6" t="s">
        <v>64</v>
      </c>
      <c r="C187" s="6">
        <v>1</v>
      </c>
      <c r="D187" s="6">
        <v>1100</v>
      </c>
      <c r="E187" s="6">
        <v>1250</v>
      </c>
      <c r="F187" s="6">
        <f t="shared" si="20"/>
        <v>-150</v>
      </c>
      <c r="G187" s="6">
        <f t="shared" si="21"/>
        <v>1100</v>
      </c>
      <c r="H187" s="6">
        <f t="shared" si="22"/>
        <v>1250</v>
      </c>
      <c r="I187" s="30">
        <f t="shared" si="23"/>
        <v>-150</v>
      </c>
      <c r="J187" s="6" t="s">
        <v>12</v>
      </c>
    </row>
    <row r="188" spans="1:10" x14ac:dyDescent="0.25">
      <c r="A188" s="5">
        <v>45930</v>
      </c>
      <c r="B188" s="6" t="s">
        <v>15</v>
      </c>
      <c r="C188" s="6">
        <v>1</v>
      </c>
      <c r="D188" s="6">
        <v>2730</v>
      </c>
      <c r="E188" s="6">
        <v>2670</v>
      </c>
      <c r="F188" s="6">
        <f t="shared" si="20"/>
        <v>60</v>
      </c>
      <c r="G188" s="6">
        <f t="shared" si="21"/>
        <v>2730</v>
      </c>
      <c r="H188" s="6">
        <f t="shared" si="22"/>
        <v>2670</v>
      </c>
      <c r="I188" s="30">
        <f t="shared" si="23"/>
        <v>60</v>
      </c>
      <c r="J188" s="6" t="s">
        <v>12</v>
      </c>
    </row>
    <row r="189" spans="1:10" ht="18.75" x14ac:dyDescent="0.3">
      <c r="G189" s="7" t="s">
        <v>70</v>
      </c>
      <c r="H189" s="7" t="s">
        <v>71</v>
      </c>
      <c r="I189" s="32" t="s">
        <v>72</v>
      </c>
      <c r="J189" s="6"/>
    </row>
    <row r="190" spans="1:10" x14ac:dyDescent="0.25">
      <c r="G190" s="8">
        <f>SUM(G2:G189)</f>
        <v>2071614.03</v>
      </c>
      <c r="H190" s="8">
        <f>SUM(H2:H189)</f>
        <v>1729349.8439999996</v>
      </c>
      <c r="I190" s="33">
        <f>SUM(I2:I189)</f>
        <v>342264.18599999993</v>
      </c>
      <c r="J190" s="6"/>
    </row>
  </sheetData>
  <sortState xmlns:xlrd2="http://schemas.microsoft.com/office/spreadsheetml/2017/richdata2" ref="A2:J188">
    <sortCondition ref="J2:J1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F22A-C4F5-4F67-86C0-2C3A9823670C}">
  <dimension ref="A1:K54"/>
  <sheetViews>
    <sheetView topLeftCell="A31" workbookViewId="0">
      <selection activeCell="C54" sqref="C54"/>
    </sheetView>
  </sheetViews>
  <sheetFormatPr defaultRowHeight="15" x14ac:dyDescent="0.25"/>
  <cols>
    <col min="1" max="1" width="13.85546875" style="14" customWidth="1"/>
    <col min="2" max="2" width="42.7109375" customWidth="1"/>
    <col min="3" max="3" width="12.85546875" style="14" customWidth="1"/>
    <col min="4" max="4" width="15.28515625" style="14" customWidth="1"/>
    <col min="5" max="5" width="20.28515625" style="14" customWidth="1"/>
    <col min="6" max="6" width="21.28515625" style="14" customWidth="1"/>
    <col min="7" max="7" width="19.42578125" style="14" customWidth="1"/>
    <col min="8" max="8" width="18.5703125" style="14" customWidth="1"/>
    <col min="9" max="9" width="16.7109375" style="14" customWidth="1"/>
    <col min="10" max="10" width="16.7109375" style="42" customWidth="1"/>
    <col min="11" max="11" width="12.42578125" customWidth="1"/>
  </cols>
  <sheetData>
    <row r="1" spans="1:11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9" t="s">
        <v>94</v>
      </c>
      <c r="K1" s="4" t="s">
        <v>9</v>
      </c>
    </row>
    <row r="2" spans="1:11" x14ac:dyDescent="0.25">
      <c r="A2" s="11">
        <v>45901</v>
      </c>
      <c r="B2" s="6" t="s">
        <v>10</v>
      </c>
      <c r="C2" s="12">
        <v>1</v>
      </c>
      <c r="D2" s="12">
        <v>800</v>
      </c>
      <c r="E2" s="12">
        <v>572.5</v>
      </c>
      <c r="F2" s="12">
        <f t="shared" ref="F2:F39" si="0">D2-E2</f>
        <v>227.5</v>
      </c>
      <c r="G2" s="12">
        <f t="shared" ref="G2:G39" si="1">C2*D2</f>
        <v>800</v>
      </c>
      <c r="H2" s="12">
        <f t="shared" ref="H2:H39" si="2">C2*E2</f>
        <v>572.5</v>
      </c>
      <c r="I2" s="12">
        <f t="shared" ref="I2:I39" si="3">G2-H2</f>
        <v>227.5</v>
      </c>
      <c r="J2" s="38">
        <f>(D2-E2)/E2</f>
        <v>0.39737991266375544</v>
      </c>
      <c r="K2" s="6" t="s">
        <v>67</v>
      </c>
    </row>
    <row r="3" spans="1:11" x14ac:dyDescent="0.25">
      <c r="A3" s="11">
        <v>45901</v>
      </c>
      <c r="B3" s="6" t="s">
        <v>13</v>
      </c>
      <c r="C3" s="12">
        <v>35</v>
      </c>
      <c r="D3" s="12">
        <v>510</v>
      </c>
      <c r="E3" s="12">
        <v>450.42</v>
      </c>
      <c r="F3" s="12">
        <f t="shared" si="0"/>
        <v>59.579999999999984</v>
      </c>
      <c r="G3" s="12">
        <f t="shared" si="1"/>
        <v>17850</v>
      </c>
      <c r="H3" s="12">
        <f t="shared" si="2"/>
        <v>15764.7</v>
      </c>
      <c r="I3" s="12">
        <f t="shared" si="3"/>
        <v>2085.2999999999993</v>
      </c>
      <c r="J3" s="38">
        <f t="shared" ref="J3:J39" si="4">(D3-E3)/E3</f>
        <v>0.13227654189423202</v>
      </c>
      <c r="K3" s="6" t="s">
        <v>67</v>
      </c>
    </row>
    <row r="4" spans="1:11" x14ac:dyDescent="0.25">
      <c r="A4" s="11">
        <v>45901</v>
      </c>
      <c r="B4" s="6" t="s">
        <v>10</v>
      </c>
      <c r="C4" s="12">
        <v>10</v>
      </c>
      <c r="D4" s="12">
        <v>805</v>
      </c>
      <c r="E4" s="12">
        <v>572.5</v>
      </c>
      <c r="F4" s="12">
        <f t="shared" si="0"/>
        <v>232.5</v>
      </c>
      <c r="G4" s="12">
        <f t="shared" si="1"/>
        <v>8050</v>
      </c>
      <c r="H4" s="12">
        <f t="shared" si="2"/>
        <v>5725</v>
      </c>
      <c r="I4" s="12">
        <f t="shared" si="3"/>
        <v>2325</v>
      </c>
      <c r="J4" s="38">
        <f t="shared" si="4"/>
        <v>0.40611353711790393</v>
      </c>
      <c r="K4" s="6" t="s">
        <v>67</v>
      </c>
    </row>
    <row r="5" spans="1:11" x14ac:dyDescent="0.25">
      <c r="A5" s="35">
        <v>45901</v>
      </c>
      <c r="B5" s="36" t="s">
        <v>10</v>
      </c>
      <c r="C5" s="37">
        <v>1</v>
      </c>
      <c r="D5" s="37">
        <v>330</v>
      </c>
      <c r="E5" s="37">
        <v>572.5</v>
      </c>
      <c r="F5" s="37">
        <f t="shared" si="0"/>
        <v>-242.5</v>
      </c>
      <c r="G5" s="37">
        <f t="shared" si="1"/>
        <v>330</v>
      </c>
      <c r="H5" s="37">
        <f t="shared" si="2"/>
        <v>572.5</v>
      </c>
      <c r="I5" s="37">
        <f t="shared" si="3"/>
        <v>-242.5</v>
      </c>
      <c r="J5" s="40">
        <f t="shared" si="4"/>
        <v>-0.42358078602620086</v>
      </c>
      <c r="K5" s="36" t="s">
        <v>67</v>
      </c>
    </row>
    <row r="6" spans="1:11" x14ac:dyDescent="0.25">
      <c r="A6" s="11">
        <v>45902</v>
      </c>
      <c r="B6" s="6" t="s">
        <v>10</v>
      </c>
      <c r="C6" s="12">
        <v>20</v>
      </c>
      <c r="D6" s="12">
        <v>805</v>
      </c>
      <c r="E6" s="12">
        <v>572.5</v>
      </c>
      <c r="F6" s="12">
        <f t="shared" si="0"/>
        <v>232.5</v>
      </c>
      <c r="G6" s="12">
        <f t="shared" si="1"/>
        <v>16100</v>
      </c>
      <c r="H6" s="12">
        <f t="shared" si="2"/>
        <v>11450</v>
      </c>
      <c r="I6" s="12">
        <f t="shared" si="3"/>
        <v>4650</v>
      </c>
      <c r="J6" s="38">
        <f t="shared" si="4"/>
        <v>0.40611353711790393</v>
      </c>
      <c r="K6" s="6" t="s">
        <v>67</v>
      </c>
    </row>
    <row r="7" spans="1:11" x14ac:dyDescent="0.25">
      <c r="A7" s="11">
        <v>45902</v>
      </c>
      <c r="B7" s="6" t="s">
        <v>10</v>
      </c>
      <c r="C7" s="12">
        <v>10</v>
      </c>
      <c r="D7" s="12">
        <v>810</v>
      </c>
      <c r="E7" s="12">
        <v>572.5</v>
      </c>
      <c r="F7" s="12">
        <f t="shared" si="0"/>
        <v>237.5</v>
      </c>
      <c r="G7" s="12">
        <f t="shared" si="1"/>
        <v>8100</v>
      </c>
      <c r="H7" s="12">
        <f t="shared" si="2"/>
        <v>5725</v>
      </c>
      <c r="I7" s="12">
        <f t="shared" si="3"/>
        <v>2375</v>
      </c>
      <c r="J7" s="38">
        <f t="shared" si="4"/>
        <v>0.41484716157205243</v>
      </c>
      <c r="K7" s="6" t="s">
        <v>67</v>
      </c>
    </row>
    <row r="8" spans="1:11" x14ac:dyDescent="0.25">
      <c r="A8" s="11">
        <v>45903</v>
      </c>
      <c r="B8" s="6" t="s">
        <v>16</v>
      </c>
      <c r="C8" s="12">
        <v>2</v>
      </c>
      <c r="D8" s="12">
        <v>5400</v>
      </c>
      <c r="E8" s="12">
        <v>3340.73</v>
      </c>
      <c r="F8" s="12">
        <f t="shared" si="0"/>
        <v>2059.27</v>
      </c>
      <c r="G8" s="12">
        <f t="shared" si="1"/>
        <v>10800</v>
      </c>
      <c r="H8" s="12">
        <f t="shared" si="2"/>
        <v>6681.46</v>
      </c>
      <c r="I8" s="12">
        <f t="shared" si="3"/>
        <v>4118.54</v>
      </c>
      <c r="J8" s="38">
        <f t="shared" si="4"/>
        <v>0.61641317915545402</v>
      </c>
      <c r="K8" s="6" t="s">
        <v>67</v>
      </c>
    </row>
    <row r="9" spans="1:11" x14ac:dyDescent="0.25">
      <c r="A9" s="11">
        <v>45904</v>
      </c>
      <c r="B9" s="6" t="s">
        <v>10</v>
      </c>
      <c r="C9" s="12">
        <v>4</v>
      </c>
      <c r="D9" s="12">
        <v>800</v>
      </c>
      <c r="E9" s="12">
        <v>572.5</v>
      </c>
      <c r="F9" s="12">
        <f t="shared" si="0"/>
        <v>227.5</v>
      </c>
      <c r="G9" s="12">
        <f t="shared" si="1"/>
        <v>3200</v>
      </c>
      <c r="H9" s="12">
        <f t="shared" si="2"/>
        <v>2290</v>
      </c>
      <c r="I9" s="12">
        <f t="shared" si="3"/>
        <v>910</v>
      </c>
      <c r="J9" s="38">
        <f t="shared" si="4"/>
        <v>0.39737991266375544</v>
      </c>
      <c r="K9" s="6" t="s">
        <v>67</v>
      </c>
    </row>
    <row r="10" spans="1:11" x14ac:dyDescent="0.25">
      <c r="A10" s="11">
        <v>45908</v>
      </c>
      <c r="B10" s="6" t="s">
        <v>10</v>
      </c>
      <c r="C10" s="12">
        <v>90</v>
      </c>
      <c r="D10" s="12">
        <v>810</v>
      </c>
      <c r="E10" s="12">
        <v>647.33000000000004</v>
      </c>
      <c r="F10" s="12">
        <f t="shared" si="0"/>
        <v>162.66999999999996</v>
      </c>
      <c r="G10" s="12">
        <f t="shared" si="1"/>
        <v>72900</v>
      </c>
      <c r="H10" s="12">
        <f t="shared" si="2"/>
        <v>58259.700000000004</v>
      </c>
      <c r="I10" s="12">
        <f t="shared" si="3"/>
        <v>14640.299999999996</v>
      </c>
      <c r="J10" s="38">
        <f t="shared" si="4"/>
        <v>0.25129377597206981</v>
      </c>
      <c r="K10" s="6" t="s">
        <v>67</v>
      </c>
    </row>
    <row r="11" spans="1:11" x14ac:dyDescent="0.25">
      <c r="A11" s="11">
        <v>45910</v>
      </c>
      <c r="B11" s="6" t="s">
        <v>16</v>
      </c>
      <c r="C11" s="12">
        <v>2</v>
      </c>
      <c r="D11" s="12">
        <v>5000</v>
      </c>
      <c r="E11" s="12">
        <v>3340.73</v>
      </c>
      <c r="F11" s="12">
        <f t="shared" si="0"/>
        <v>1659.27</v>
      </c>
      <c r="G11" s="12">
        <f t="shared" si="1"/>
        <v>10000</v>
      </c>
      <c r="H11" s="12">
        <f t="shared" si="2"/>
        <v>6681.46</v>
      </c>
      <c r="I11" s="12">
        <f t="shared" si="3"/>
        <v>3318.54</v>
      </c>
      <c r="J11" s="38">
        <f t="shared" si="4"/>
        <v>0.49667886958838336</v>
      </c>
      <c r="K11" s="6" t="s">
        <v>67</v>
      </c>
    </row>
    <row r="12" spans="1:11" x14ac:dyDescent="0.25">
      <c r="A12" s="35">
        <v>45911</v>
      </c>
      <c r="B12" s="36" t="s">
        <v>44</v>
      </c>
      <c r="C12" s="37">
        <v>2</v>
      </c>
      <c r="D12" s="37">
        <v>4400</v>
      </c>
      <c r="E12" s="37">
        <v>4477.1400000000003</v>
      </c>
      <c r="F12" s="37">
        <f t="shared" si="0"/>
        <v>-77.140000000000327</v>
      </c>
      <c r="G12" s="37">
        <f t="shared" si="1"/>
        <v>8800</v>
      </c>
      <c r="H12" s="37">
        <f t="shared" si="2"/>
        <v>8954.2800000000007</v>
      </c>
      <c r="I12" s="37">
        <f t="shared" si="3"/>
        <v>-154.28000000000065</v>
      </c>
      <c r="J12" s="40">
        <f t="shared" si="4"/>
        <v>-1.7229749348914782E-2</v>
      </c>
      <c r="K12" s="36" t="s">
        <v>67</v>
      </c>
    </row>
    <row r="13" spans="1:11" x14ac:dyDescent="0.25">
      <c r="A13" s="35">
        <v>45911</v>
      </c>
      <c r="B13" s="36" t="s">
        <v>45</v>
      </c>
      <c r="C13" s="37">
        <v>1</v>
      </c>
      <c r="D13" s="37">
        <v>3100</v>
      </c>
      <c r="E13" s="37">
        <v>3566.23</v>
      </c>
      <c r="F13" s="37">
        <f t="shared" si="0"/>
        <v>-466.23</v>
      </c>
      <c r="G13" s="37">
        <f t="shared" si="1"/>
        <v>3100</v>
      </c>
      <c r="H13" s="37">
        <f t="shared" si="2"/>
        <v>3566.23</v>
      </c>
      <c r="I13" s="37">
        <f t="shared" si="3"/>
        <v>-466.23</v>
      </c>
      <c r="J13" s="40">
        <f t="shared" si="4"/>
        <v>-0.13073469742557267</v>
      </c>
      <c r="K13" s="36" t="s">
        <v>67</v>
      </c>
    </row>
    <row r="14" spans="1:11" x14ac:dyDescent="0.25">
      <c r="A14" s="11">
        <v>45913</v>
      </c>
      <c r="B14" s="6" t="s">
        <v>16</v>
      </c>
      <c r="C14" s="12">
        <v>1</v>
      </c>
      <c r="D14" s="12">
        <v>5500</v>
      </c>
      <c r="E14" s="12">
        <v>3340.73</v>
      </c>
      <c r="F14" s="12">
        <f t="shared" si="0"/>
        <v>2159.27</v>
      </c>
      <c r="G14" s="12">
        <f t="shared" si="1"/>
        <v>5500</v>
      </c>
      <c r="H14" s="12">
        <f t="shared" si="2"/>
        <v>3340.73</v>
      </c>
      <c r="I14" s="12">
        <f t="shared" si="3"/>
        <v>2159.27</v>
      </c>
      <c r="J14" s="38">
        <f t="shared" si="4"/>
        <v>0.64634675654722173</v>
      </c>
      <c r="K14" s="6" t="s">
        <v>67</v>
      </c>
    </row>
    <row r="15" spans="1:11" x14ac:dyDescent="0.25">
      <c r="A15" s="11">
        <v>45916</v>
      </c>
      <c r="B15" s="6" t="s">
        <v>16</v>
      </c>
      <c r="C15" s="12">
        <v>1</v>
      </c>
      <c r="D15" s="12">
        <v>6200</v>
      </c>
      <c r="E15" s="12">
        <v>3340.73</v>
      </c>
      <c r="F15" s="12">
        <f t="shared" si="0"/>
        <v>2859.27</v>
      </c>
      <c r="G15" s="12">
        <f t="shared" si="1"/>
        <v>6200</v>
      </c>
      <c r="H15" s="12">
        <f t="shared" si="2"/>
        <v>3340.73</v>
      </c>
      <c r="I15" s="12">
        <f t="shared" si="3"/>
        <v>2859.27</v>
      </c>
      <c r="J15" s="38">
        <f t="shared" si="4"/>
        <v>0.85588179828959543</v>
      </c>
      <c r="K15" s="6" t="s">
        <v>67</v>
      </c>
    </row>
    <row r="16" spans="1:11" x14ac:dyDescent="0.25">
      <c r="A16" s="11">
        <v>45916</v>
      </c>
      <c r="B16" s="6" t="s">
        <v>50</v>
      </c>
      <c r="C16" s="12">
        <v>5</v>
      </c>
      <c r="D16" s="12">
        <v>2700</v>
      </c>
      <c r="E16" s="12">
        <v>2187.4299999999998</v>
      </c>
      <c r="F16" s="12">
        <f t="shared" si="0"/>
        <v>512.57000000000016</v>
      </c>
      <c r="G16" s="12">
        <f t="shared" si="1"/>
        <v>13500</v>
      </c>
      <c r="H16" s="12">
        <f t="shared" si="2"/>
        <v>10937.15</v>
      </c>
      <c r="I16" s="12">
        <f t="shared" si="3"/>
        <v>2562.8500000000004</v>
      </c>
      <c r="J16" s="38">
        <f t="shared" si="4"/>
        <v>0.23432521269252055</v>
      </c>
      <c r="K16" s="6" t="s">
        <v>67</v>
      </c>
    </row>
    <row r="17" spans="1:11" x14ac:dyDescent="0.25">
      <c r="A17" s="11">
        <v>45917</v>
      </c>
      <c r="B17" s="6" t="s">
        <v>51</v>
      </c>
      <c r="C17" s="12">
        <v>6</v>
      </c>
      <c r="D17" s="12">
        <v>3075</v>
      </c>
      <c r="E17" s="12">
        <v>2439.91</v>
      </c>
      <c r="F17" s="12">
        <f t="shared" si="0"/>
        <v>635.09000000000015</v>
      </c>
      <c r="G17" s="12">
        <f t="shared" si="1"/>
        <v>18450</v>
      </c>
      <c r="H17" s="12">
        <f t="shared" si="2"/>
        <v>14639.46</v>
      </c>
      <c r="I17" s="12">
        <f t="shared" si="3"/>
        <v>3810.5400000000009</v>
      </c>
      <c r="J17" s="38">
        <f t="shared" si="4"/>
        <v>0.26029238783397757</v>
      </c>
      <c r="K17" s="6" t="s">
        <v>67</v>
      </c>
    </row>
    <row r="18" spans="1:11" x14ac:dyDescent="0.25">
      <c r="A18" s="11">
        <v>45917</v>
      </c>
      <c r="B18" s="6" t="s">
        <v>10</v>
      </c>
      <c r="C18" s="12">
        <v>3</v>
      </c>
      <c r="D18" s="12">
        <v>775</v>
      </c>
      <c r="E18" s="12">
        <v>576.35</v>
      </c>
      <c r="F18" s="12">
        <f t="shared" si="0"/>
        <v>198.64999999999998</v>
      </c>
      <c r="G18" s="12">
        <f t="shared" si="1"/>
        <v>2325</v>
      </c>
      <c r="H18" s="12">
        <f t="shared" si="2"/>
        <v>1729.0500000000002</v>
      </c>
      <c r="I18" s="12">
        <f t="shared" si="3"/>
        <v>595.94999999999982</v>
      </c>
      <c r="J18" s="38">
        <f t="shared" si="4"/>
        <v>0.34466903791099152</v>
      </c>
      <c r="K18" s="6" t="s">
        <v>67</v>
      </c>
    </row>
    <row r="19" spans="1:11" x14ac:dyDescent="0.25">
      <c r="A19" s="11">
        <v>45917</v>
      </c>
      <c r="B19" s="6" t="s">
        <v>10</v>
      </c>
      <c r="C19" s="12">
        <v>33</v>
      </c>
      <c r="D19" s="12">
        <v>775</v>
      </c>
      <c r="E19" s="12">
        <v>576.35</v>
      </c>
      <c r="F19" s="12">
        <f t="shared" si="0"/>
        <v>198.64999999999998</v>
      </c>
      <c r="G19" s="12">
        <f t="shared" si="1"/>
        <v>25575</v>
      </c>
      <c r="H19" s="12">
        <f t="shared" si="2"/>
        <v>19019.55</v>
      </c>
      <c r="I19" s="12">
        <f t="shared" si="3"/>
        <v>6555.4500000000007</v>
      </c>
      <c r="J19" s="38">
        <f t="shared" si="4"/>
        <v>0.34466903791099152</v>
      </c>
      <c r="K19" s="6" t="s">
        <v>67</v>
      </c>
    </row>
    <row r="20" spans="1:11" x14ac:dyDescent="0.25">
      <c r="A20" s="11">
        <v>45917</v>
      </c>
      <c r="B20" s="6" t="s">
        <v>10</v>
      </c>
      <c r="C20" s="12">
        <v>3</v>
      </c>
      <c r="D20" s="12">
        <v>770</v>
      </c>
      <c r="E20" s="12">
        <v>576.35</v>
      </c>
      <c r="F20" s="12">
        <f t="shared" si="0"/>
        <v>193.64999999999998</v>
      </c>
      <c r="G20" s="12">
        <f t="shared" si="1"/>
        <v>2310</v>
      </c>
      <c r="H20" s="12">
        <f t="shared" si="2"/>
        <v>1729.0500000000002</v>
      </c>
      <c r="I20" s="12">
        <f t="shared" si="3"/>
        <v>580.94999999999982</v>
      </c>
      <c r="J20" s="38">
        <f t="shared" si="4"/>
        <v>0.33599375379543672</v>
      </c>
      <c r="K20" s="6" t="s">
        <v>67</v>
      </c>
    </row>
    <row r="21" spans="1:11" x14ac:dyDescent="0.25">
      <c r="A21" s="11">
        <v>45918</v>
      </c>
      <c r="B21" s="6" t="s">
        <v>10</v>
      </c>
      <c r="C21" s="12">
        <v>3</v>
      </c>
      <c r="D21" s="12">
        <v>770</v>
      </c>
      <c r="E21" s="12">
        <v>576.35</v>
      </c>
      <c r="F21" s="12">
        <f t="shared" si="0"/>
        <v>193.64999999999998</v>
      </c>
      <c r="G21" s="12">
        <f t="shared" si="1"/>
        <v>2310</v>
      </c>
      <c r="H21" s="12">
        <f t="shared" si="2"/>
        <v>1729.0500000000002</v>
      </c>
      <c r="I21" s="12">
        <f t="shared" si="3"/>
        <v>580.94999999999982</v>
      </c>
      <c r="J21" s="38">
        <f t="shared" si="4"/>
        <v>0.33599375379543672</v>
      </c>
      <c r="K21" s="6" t="s">
        <v>67</v>
      </c>
    </row>
    <row r="22" spans="1:11" x14ac:dyDescent="0.25">
      <c r="A22" s="11">
        <v>45918</v>
      </c>
      <c r="B22" s="6" t="s">
        <v>10</v>
      </c>
      <c r="C22" s="12">
        <v>30</v>
      </c>
      <c r="D22" s="12">
        <v>775</v>
      </c>
      <c r="E22" s="12">
        <v>576.35</v>
      </c>
      <c r="F22" s="12">
        <f t="shared" si="0"/>
        <v>198.64999999999998</v>
      </c>
      <c r="G22" s="12">
        <f t="shared" si="1"/>
        <v>23250</v>
      </c>
      <c r="H22" s="12">
        <f t="shared" si="2"/>
        <v>17290.5</v>
      </c>
      <c r="I22" s="12">
        <f t="shared" si="3"/>
        <v>5959.5</v>
      </c>
      <c r="J22" s="38">
        <f t="shared" si="4"/>
        <v>0.34466903791099152</v>
      </c>
      <c r="K22" s="6" t="s">
        <v>67</v>
      </c>
    </row>
    <row r="23" spans="1:11" x14ac:dyDescent="0.25">
      <c r="A23" s="11">
        <v>45919</v>
      </c>
      <c r="B23" s="6" t="s">
        <v>10</v>
      </c>
      <c r="C23" s="12">
        <v>20</v>
      </c>
      <c r="D23" s="12">
        <v>770</v>
      </c>
      <c r="E23" s="12">
        <v>576.35</v>
      </c>
      <c r="F23" s="12">
        <f t="shared" si="0"/>
        <v>193.64999999999998</v>
      </c>
      <c r="G23" s="12">
        <f t="shared" si="1"/>
        <v>15400</v>
      </c>
      <c r="H23" s="12">
        <f t="shared" si="2"/>
        <v>11527</v>
      </c>
      <c r="I23" s="12">
        <f t="shared" si="3"/>
        <v>3873</v>
      </c>
      <c r="J23" s="38">
        <f t="shared" si="4"/>
        <v>0.33599375379543672</v>
      </c>
      <c r="K23" s="6" t="s">
        <v>67</v>
      </c>
    </row>
    <row r="24" spans="1:11" x14ac:dyDescent="0.25">
      <c r="A24" s="11">
        <v>45919</v>
      </c>
      <c r="B24" s="6" t="s">
        <v>10</v>
      </c>
      <c r="C24" s="12">
        <v>50</v>
      </c>
      <c r="D24" s="12">
        <v>765</v>
      </c>
      <c r="E24" s="12">
        <v>576.35</v>
      </c>
      <c r="F24" s="12">
        <f t="shared" si="0"/>
        <v>188.64999999999998</v>
      </c>
      <c r="G24" s="12">
        <f t="shared" si="1"/>
        <v>38250</v>
      </c>
      <c r="H24" s="12">
        <f t="shared" si="2"/>
        <v>28817.5</v>
      </c>
      <c r="I24" s="12">
        <f t="shared" si="3"/>
        <v>9432.5</v>
      </c>
      <c r="J24" s="38">
        <f t="shared" si="4"/>
        <v>0.32731846967988198</v>
      </c>
      <c r="K24" s="6" t="s">
        <v>67</v>
      </c>
    </row>
    <row r="25" spans="1:11" x14ac:dyDescent="0.25">
      <c r="A25" s="11">
        <v>45920</v>
      </c>
      <c r="B25" s="6" t="s">
        <v>52</v>
      </c>
      <c r="C25" s="12">
        <v>2</v>
      </c>
      <c r="D25" s="12">
        <v>1600</v>
      </c>
      <c r="E25" s="12">
        <v>918.67</v>
      </c>
      <c r="F25" s="12">
        <f t="shared" si="0"/>
        <v>681.33</v>
      </c>
      <c r="G25" s="12">
        <f t="shared" si="1"/>
        <v>3200</v>
      </c>
      <c r="H25" s="12">
        <f t="shared" si="2"/>
        <v>1837.34</v>
      </c>
      <c r="I25" s="12">
        <f t="shared" si="3"/>
        <v>1362.66</v>
      </c>
      <c r="J25" s="38">
        <f t="shared" si="4"/>
        <v>0.74164825236483189</v>
      </c>
      <c r="K25" s="6" t="s">
        <v>67</v>
      </c>
    </row>
    <row r="26" spans="1:11" x14ac:dyDescent="0.25">
      <c r="A26" s="11">
        <v>45920</v>
      </c>
      <c r="B26" s="6" t="s">
        <v>53</v>
      </c>
      <c r="C26" s="12">
        <v>27</v>
      </c>
      <c r="D26" s="12">
        <v>6600</v>
      </c>
      <c r="E26" s="12">
        <v>4726.41</v>
      </c>
      <c r="F26" s="12">
        <f t="shared" si="0"/>
        <v>1873.5900000000001</v>
      </c>
      <c r="G26" s="12">
        <f t="shared" si="1"/>
        <v>178200</v>
      </c>
      <c r="H26" s="12">
        <f t="shared" si="2"/>
        <v>127613.06999999999</v>
      </c>
      <c r="I26" s="12">
        <f t="shared" si="3"/>
        <v>50586.930000000008</v>
      </c>
      <c r="J26" s="38">
        <f t="shared" si="4"/>
        <v>0.39640869073990626</v>
      </c>
      <c r="K26" s="6" t="s">
        <v>67</v>
      </c>
    </row>
    <row r="27" spans="1:11" x14ac:dyDescent="0.25">
      <c r="A27" s="11">
        <v>45920</v>
      </c>
      <c r="B27" s="6" t="s">
        <v>54</v>
      </c>
      <c r="C27" s="12">
        <v>6</v>
      </c>
      <c r="D27" s="12">
        <v>6900</v>
      </c>
      <c r="E27" s="12">
        <v>5586.15</v>
      </c>
      <c r="F27" s="12">
        <f t="shared" si="0"/>
        <v>1313.8500000000004</v>
      </c>
      <c r="G27" s="12">
        <f t="shared" si="1"/>
        <v>41400</v>
      </c>
      <c r="H27" s="12">
        <f t="shared" si="2"/>
        <v>33516.899999999994</v>
      </c>
      <c r="I27" s="12">
        <f t="shared" si="3"/>
        <v>7883.1000000000058</v>
      </c>
      <c r="J27" s="38">
        <f t="shared" si="4"/>
        <v>0.23519776590317132</v>
      </c>
      <c r="K27" s="6" t="s">
        <v>67</v>
      </c>
    </row>
    <row r="28" spans="1:11" x14ac:dyDescent="0.25">
      <c r="A28" s="11">
        <v>45920</v>
      </c>
      <c r="B28" s="6" t="s">
        <v>53</v>
      </c>
      <c r="C28" s="12">
        <v>4</v>
      </c>
      <c r="D28" s="12">
        <v>6200</v>
      </c>
      <c r="E28" s="12">
        <v>4726.41</v>
      </c>
      <c r="F28" s="12">
        <f t="shared" si="0"/>
        <v>1473.5900000000001</v>
      </c>
      <c r="G28" s="12">
        <f t="shared" si="1"/>
        <v>24800</v>
      </c>
      <c r="H28" s="12">
        <f t="shared" si="2"/>
        <v>18905.64</v>
      </c>
      <c r="I28" s="12">
        <f t="shared" si="3"/>
        <v>5894.3600000000006</v>
      </c>
      <c r="J28" s="38">
        <f t="shared" si="4"/>
        <v>0.31177786099809374</v>
      </c>
      <c r="K28" s="6" t="s">
        <v>67</v>
      </c>
    </row>
    <row r="29" spans="1:11" x14ac:dyDescent="0.25">
      <c r="A29" s="11">
        <v>45920</v>
      </c>
      <c r="B29" s="6" t="s">
        <v>53</v>
      </c>
      <c r="C29" s="12">
        <v>1</v>
      </c>
      <c r="D29" s="12">
        <v>6600</v>
      </c>
      <c r="E29" s="12">
        <v>4726.41</v>
      </c>
      <c r="F29" s="12">
        <f t="shared" si="0"/>
        <v>1873.5900000000001</v>
      </c>
      <c r="G29" s="12">
        <f t="shared" si="1"/>
        <v>6600</v>
      </c>
      <c r="H29" s="12">
        <f t="shared" si="2"/>
        <v>4726.41</v>
      </c>
      <c r="I29" s="12">
        <f t="shared" si="3"/>
        <v>1873.5900000000001</v>
      </c>
      <c r="J29" s="38">
        <f t="shared" si="4"/>
        <v>0.39640869073990626</v>
      </c>
      <c r="K29" s="6" t="s">
        <v>67</v>
      </c>
    </row>
    <row r="30" spans="1:11" x14ac:dyDescent="0.25">
      <c r="A30" s="11">
        <v>45920</v>
      </c>
      <c r="B30" s="6" t="s">
        <v>55</v>
      </c>
      <c r="C30" s="12">
        <v>2</v>
      </c>
      <c r="D30" s="12">
        <v>1660</v>
      </c>
      <c r="E30" s="12">
        <v>1321.98</v>
      </c>
      <c r="F30" s="12">
        <f t="shared" si="0"/>
        <v>338.02</v>
      </c>
      <c r="G30" s="12">
        <f t="shared" si="1"/>
        <v>3320</v>
      </c>
      <c r="H30" s="12">
        <f t="shared" si="2"/>
        <v>2643.96</v>
      </c>
      <c r="I30" s="12">
        <f t="shared" si="3"/>
        <v>676.04</v>
      </c>
      <c r="J30" s="38">
        <f t="shared" si="4"/>
        <v>0.25569221924688723</v>
      </c>
      <c r="K30" s="6" t="s">
        <v>67</v>
      </c>
    </row>
    <row r="31" spans="1:11" x14ac:dyDescent="0.25">
      <c r="A31" s="11">
        <v>45922</v>
      </c>
      <c r="B31" s="6" t="s">
        <v>16</v>
      </c>
      <c r="C31" s="12">
        <v>1</v>
      </c>
      <c r="D31" s="12">
        <v>5400</v>
      </c>
      <c r="E31" s="12">
        <v>3340.73</v>
      </c>
      <c r="F31" s="12">
        <f t="shared" si="0"/>
        <v>2059.27</v>
      </c>
      <c r="G31" s="12">
        <f t="shared" si="1"/>
        <v>5400</v>
      </c>
      <c r="H31" s="12">
        <f t="shared" si="2"/>
        <v>3340.73</v>
      </c>
      <c r="I31" s="12">
        <f t="shared" si="3"/>
        <v>2059.27</v>
      </c>
      <c r="J31" s="38">
        <f t="shared" si="4"/>
        <v>0.61641317915545402</v>
      </c>
      <c r="K31" s="6" t="s">
        <v>67</v>
      </c>
    </row>
    <row r="32" spans="1:11" x14ac:dyDescent="0.25">
      <c r="A32" s="11">
        <v>45925</v>
      </c>
      <c r="B32" s="6" t="s">
        <v>59</v>
      </c>
      <c r="C32" s="12">
        <v>2</v>
      </c>
      <c r="D32" s="12">
        <v>1630</v>
      </c>
      <c r="E32" s="12">
        <v>1434.03</v>
      </c>
      <c r="F32" s="12">
        <f t="shared" si="0"/>
        <v>195.97000000000003</v>
      </c>
      <c r="G32" s="12">
        <f t="shared" si="1"/>
        <v>3260</v>
      </c>
      <c r="H32" s="12">
        <f t="shared" si="2"/>
        <v>2868.06</v>
      </c>
      <c r="I32" s="12">
        <f t="shared" si="3"/>
        <v>391.94000000000005</v>
      </c>
      <c r="J32" s="38">
        <f t="shared" si="4"/>
        <v>0.13665683423638281</v>
      </c>
      <c r="K32" s="6" t="s">
        <v>67</v>
      </c>
    </row>
    <row r="33" spans="1:11" x14ac:dyDescent="0.25">
      <c r="A33" s="11">
        <v>45926</v>
      </c>
      <c r="B33" s="6" t="s">
        <v>60</v>
      </c>
      <c r="C33" s="12">
        <v>1</v>
      </c>
      <c r="D33" s="12">
        <v>6550</v>
      </c>
      <c r="E33" s="12">
        <v>5346.6</v>
      </c>
      <c r="F33" s="12">
        <f t="shared" si="0"/>
        <v>1203.3999999999996</v>
      </c>
      <c r="G33" s="12">
        <f t="shared" si="1"/>
        <v>6550</v>
      </c>
      <c r="H33" s="12">
        <f t="shared" si="2"/>
        <v>5346.6</v>
      </c>
      <c r="I33" s="12">
        <f t="shared" si="3"/>
        <v>1203.3999999999996</v>
      </c>
      <c r="J33" s="38">
        <f t="shared" si="4"/>
        <v>0.22507761942168847</v>
      </c>
      <c r="K33" s="6" t="s">
        <v>67</v>
      </c>
    </row>
    <row r="34" spans="1:11" x14ac:dyDescent="0.25">
      <c r="A34" s="11">
        <v>45927</v>
      </c>
      <c r="B34" s="6" t="s">
        <v>59</v>
      </c>
      <c r="C34" s="12">
        <v>3</v>
      </c>
      <c r="D34" s="12">
        <v>1630</v>
      </c>
      <c r="E34" s="12">
        <v>1434.03</v>
      </c>
      <c r="F34" s="12">
        <f t="shared" si="0"/>
        <v>195.97000000000003</v>
      </c>
      <c r="G34" s="12">
        <f t="shared" si="1"/>
        <v>4890</v>
      </c>
      <c r="H34" s="12">
        <f t="shared" si="2"/>
        <v>4302.09</v>
      </c>
      <c r="I34" s="12">
        <f t="shared" si="3"/>
        <v>587.90999999999985</v>
      </c>
      <c r="J34" s="38">
        <f t="shared" si="4"/>
        <v>0.13665683423638281</v>
      </c>
      <c r="K34" s="6" t="s">
        <v>67</v>
      </c>
    </row>
    <row r="35" spans="1:11" x14ac:dyDescent="0.25">
      <c r="A35" s="11">
        <v>45929</v>
      </c>
      <c r="B35" s="6" t="s">
        <v>53</v>
      </c>
      <c r="C35" s="12">
        <v>25</v>
      </c>
      <c r="D35" s="12">
        <v>5450</v>
      </c>
      <c r="E35" s="12">
        <v>4688.4399999999996</v>
      </c>
      <c r="F35" s="12">
        <f t="shared" si="0"/>
        <v>761.5600000000004</v>
      </c>
      <c r="G35" s="12">
        <f t="shared" si="1"/>
        <v>136250</v>
      </c>
      <c r="H35" s="12">
        <f t="shared" si="2"/>
        <v>117210.99999999999</v>
      </c>
      <c r="I35" s="12">
        <f t="shared" si="3"/>
        <v>19039.000000000015</v>
      </c>
      <c r="J35" s="38">
        <f t="shared" si="4"/>
        <v>0.16243355999010342</v>
      </c>
      <c r="K35" s="6" t="s">
        <v>67</v>
      </c>
    </row>
    <row r="36" spans="1:11" x14ac:dyDescent="0.25">
      <c r="A36" s="11">
        <v>45929</v>
      </c>
      <c r="B36" s="6" t="s">
        <v>66</v>
      </c>
      <c r="C36" s="12">
        <v>2</v>
      </c>
      <c r="D36" s="12">
        <v>4800</v>
      </c>
      <c r="E36" s="12">
        <v>4262.0320000000002</v>
      </c>
      <c r="F36" s="12">
        <f t="shared" si="0"/>
        <v>537.96799999999985</v>
      </c>
      <c r="G36" s="12">
        <f t="shared" si="1"/>
        <v>9600</v>
      </c>
      <c r="H36" s="12">
        <f t="shared" si="2"/>
        <v>8524.0640000000003</v>
      </c>
      <c r="I36" s="12">
        <f t="shared" si="3"/>
        <v>1075.9359999999997</v>
      </c>
      <c r="J36" s="38">
        <f t="shared" si="4"/>
        <v>0.12622336012493568</v>
      </c>
      <c r="K36" s="6" t="s">
        <v>67</v>
      </c>
    </row>
    <row r="37" spans="1:11" x14ac:dyDescent="0.25">
      <c r="A37" s="11">
        <v>45929</v>
      </c>
      <c r="B37" s="6" t="s">
        <v>53</v>
      </c>
      <c r="C37" s="12">
        <v>1</v>
      </c>
      <c r="D37" s="12">
        <v>5700</v>
      </c>
      <c r="E37" s="12">
        <v>4688.4399999999996</v>
      </c>
      <c r="F37" s="12">
        <f t="shared" si="0"/>
        <v>1011.5600000000004</v>
      </c>
      <c r="G37" s="12">
        <f t="shared" si="1"/>
        <v>5700</v>
      </c>
      <c r="H37" s="12">
        <f t="shared" si="2"/>
        <v>4688.4399999999996</v>
      </c>
      <c r="I37" s="12">
        <f t="shared" si="3"/>
        <v>1011.5600000000004</v>
      </c>
      <c r="J37" s="38">
        <f t="shared" si="4"/>
        <v>0.21575620035662194</v>
      </c>
      <c r="K37" s="6" t="s">
        <v>67</v>
      </c>
    </row>
    <row r="38" spans="1:11" x14ac:dyDescent="0.25">
      <c r="A38" s="11">
        <v>45929</v>
      </c>
      <c r="B38" s="6" t="s">
        <v>53</v>
      </c>
      <c r="C38" s="12">
        <v>7</v>
      </c>
      <c r="D38" s="12">
        <v>5600</v>
      </c>
      <c r="E38" s="12">
        <v>4688.4399999999996</v>
      </c>
      <c r="F38" s="12">
        <f t="shared" si="0"/>
        <v>911.5600000000004</v>
      </c>
      <c r="G38" s="12">
        <f t="shared" si="1"/>
        <v>39200</v>
      </c>
      <c r="H38" s="12">
        <f t="shared" si="2"/>
        <v>32819.079999999994</v>
      </c>
      <c r="I38" s="12">
        <f t="shared" si="3"/>
        <v>6380.9200000000055</v>
      </c>
      <c r="J38" s="38">
        <f t="shared" si="4"/>
        <v>0.19442714421001453</v>
      </c>
      <c r="K38" s="6" t="s">
        <v>67</v>
      </c>
    </row>
    <row r="39" spans="1:11" x14ac:dyDescent="0.25">
      <c r="A39" s="11">
        <v>45930</v>
      </c>
      <c r="B39" s="6" t="s">
        <v>60</v>
      </c>
      <c r="C39" s="12">
        <v>1</v>
      </c>
      <c r="D39" s="12">
        <v>6450</v>
      </c>
      <c r="E39" s="12">
        <v>5346.6</v>
      </c>
      <c r="F39" s="12">
        <f t="shared" si="0"/>
        <v>1103.3999999999996</v>
      </c>
      <c r="G39" s="12">
        <f t="shared" si="1"/>
        <v>6450</v>
      </c>
      <c r="H39" s="12">
        <f t="shared" si="2"/>
        <v>5346.6</v>
      </c>
      <c r="I39" s="12">
        <f t="shared" si="3"/>
        <v>1103.3999999999996</v>
      </c>
      <c r="J39" s="38">
        <f t="shared" si="4"/>
        <v>0.20637414431601384</v>
      </c>
      <c r="K39" s="6" t="s">
        <v>67</v>
      </c>
    </row>
    <row r="40" spans="1:11" ht="18.75" x14ac:dyDescent="0.3">
      <c r="G40" s="3" t="s">
        <v>6</v>
      </c>
      <c r="H40" s="3" t="s">
        <v>7</v>
      </c>
      <c r="I40" s="3" t="s">
        <v>8</v>
      </c>
      <c r="J40" s="39"/>
      <c r="K40" s="6"/>
    </row>
    <row r="41" spans="1:11" x14ac:dyDescent="0.25">
      <c r="G41" s="8">
        <f t="shared" ref="G41:I41" si="5">SUM(G2:G40)</f>
        <v>787920</v>
      </c>
      <c r="H41" s="8">
        <f t="shared" si="5"/>
        <v>614032.5839999998</v>
      </c>
      <c r="I41" s="8">
        <f t="shared" si="5"/>
        <v>173887.41600000003</v>
      </c>
      <c r="J41" s="41"/>
      <c r="K41" s="6"/>
    </row>
    <row r="46" spans="1:11" x14ac:dyDescent="0.25">
      <c r="A46" s="16"/>
      <c r="B46" s="17" t="s">
        <v>67</v>
      </c>
      <c r="C46" s="18" t="s">
        <v>73</v>
      </c>
    </row>
    <row r="47" spans="1:11" x14ac:dyDescent="0.25">
      <c r="A47" s="20">
        <v>45930</v>
      </c>
      <c r="B47" t="s">
        <v>75</v>
      </c>
      <c r="C47">
        <v>9582.4</v>
      </c>
    </row>
    <row r="48" spans="1:11" x14ac:dyDescent="0.25">
      <c r="A48"/>
      <c r="B48" t="s">
        <v>95</v>
      </c>
      <c r="C48">
        <v>23956</v>
      </c>
    </row>
    <row r="49" spans="1:3" x14ac:dyDescent="0.25">
      <c r="A49"/>
      <c r="C49"/>
    </row>
    <row r="50" spans="1:3" x14ac:dyDescent="0.25">
      <c r="A50"/>
      <c r="C50"/>
    </row>
    <row r="51" spans="1:3" x14ac:dyDescent="0.25">
      <c r="A51"/>
      <c r="B51" s="19" t="s">
        <v>74</v>
      </c>
      <c r="C51">
        <f>SUM(C47:C50)</f>
        <v>33538.400000000001</v>
      </c>
    </row>
    <row r="54" spans="1:3" x14ac:dyDescent="0.25">
      <c r="C54" s="45">
        <f>I41-C51</f>
        <v>140349.01600000003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19403-FD3D-48DB-BE11-B68B6EA4E1DB}">
  <dimension ref="A1:K144"/>
  <sheetViews>
    <sheetView topLeftCell="A122" workbookViewId="0">
      <selection activeCell="C147" sqref="C147"/>
    </sheetView>
  </sheetViews>
  <sheetFormatPr defaultRowHeight="15" x14ac:dyDescent="0.25"/>
  <cols>
    <col min="1" max="1" width="16" style="14" customWidth="1"/>
    <col min="2" max="2" width="34.7109375" customWidth="1"/>
    <col min="3" max="3" width="13" style="14" customWidth="1"/>
    <col min="4" max="4" width="20.28515625" style="14" customWidth="1"/>
    <col min="5" max="5" width="21.28515625" style="14" customWidth="1"/>
    <col min="6" max="6" width="22.28515625" style="14" customWidth="1"/>
    <col min="7" max="7" width="15.5703125" style="14" customWidth="1"/>
    <col min="8" max="8" width="19.28515625" style="14" customWidth="1"/>
    <col min="9" max="9" width="15.28515625" style="14" customWidth="1"/>
    <col min="10" max="10" width="15.28515625" style="42" customWidth="1"/>
    <col min="11" max="11" width="23.7109375" customWidth="1"/>
  </cols>
  <sheetData>
    <row r="1" spans="1:11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9" t="s">
        <v>94</v>
      </c>
      <c r="K1" s="4" t="s">
        <v>9</v>
      </c>
    </row>
    <row r="2" spans="1:11" x14ac:dyDescent="0.25">
      <c r="A2" s="11">
        <v>45901</v>
      </c>
      <c r="B2" s="6" t="s">
        <v>11</v>
      </c>
      <c r="C2" s="12">
        <v>2</v>
      </c>
      <c r="D2" s="12">
        <v>7450</v>
      </c>
      <c r="E2" s="12">
        <v>7056</v>
      </c>
      <c r="F2" s="12">
        <f t="shared" ref="F2:F65" si="0">D2-E2</f>
        <v>394</v>
      </c>
      <c r="G2" s="12">
        <f t="shared" ref="G2:G65" si="1">C2*D2</f>
        <v>14900</v>
      </c>
      <c r="H2" s="12">
        <f t="shared" ref="H2:H65" si="2">C2*E2</f>
        <v>14112</v>
      </c>
      <c r="I2" s="12">
        <f t="shared" ref="I2:I65" si="3">G2-H2</f>
        <v>788</v>
      </c>
      <c r="J2" s="38">
        <f>(D2-E2)/E2</f>
        <v>5.5839002267573698E-2</v>
      </c>
      <c r="K2" s="6" t="s">
        <v>12</v>
      </c>
    </row>
    <row r="3" spans="1:11" x14ac:dyDescent="0.25">
      <c r="A3" s="11">
        <v>45902</v>
      </c>
      <c r="B3" s="6" t="s">
        <v>14</v>
      </c>
      <c r="C3" s="12">
        <v>3</v>
      </c>
      <c r="D3" s="12">
        <v>2440</v>
      </c>
      <c r="E3" s="12">
        <v>1879.85</v>
      </c>
      <c r="F3" s="12">
        <f t="shared" si="0"/>
        <v>560.15000000000009</v>
      </c>
      <c r="G3" s="12">
        <f t="shared" si="1"/>
        <v>7320</v>
      </c>
      <c r="H3" s="12">
        <f t="shared" si="2"/>
        <v>5639.5499999999993</v>
      </c>
      <c r="I3" s="12">
        <f t="shared" si="3"/>
        <v>1680.4500000000007</v>
      </c>
      <c r="J3" s="38">
        <f t="shared" ref="J3:J66" si="4">(D3-E3)/E3</f>
        <v>0.29797590233263299</v>
      </c>
      <c r="K3" s="6" t="s">
        <v>12</v>
      </c>
    </row>
    <row r="4" spans="1:11" x14ac:dyDescent="0.25">
      <c r="A4" s="11">
        <v>45902</v>
      </c>
      <c r="B4" s="6" t="s">
        <v>15</v>
      </c>
      <c r="C4" s="12">
        <v>2</v>
      </c>
      <c r="D4" s="12">
        <v>2740</v>
      </c>
      <c r="E4" s="12">
        <v>2580</v>
      </c>
      <c r="F4" s="12">
        <f t="shared" si="0"/>
        <v>160</v>
      </c>
      <c r="G4" s="12">
        <f t="shared" si="1"/>
        <v>5480</v>
      </c>
      <c r="H4" s="12">
        <f t="shared" si="2"/>
        <v>5160</v>
      </c>
      <c r="I4" s="12">
        <f t="shared" si="3"/>
        <v>320</v>
      </c>
      <c r="J4" s="38">
        <f t="shared" si="4"/>
        <v>6.2015503875968991E-2</v>
      </c>
      <c r="K4" s="6" t="s">
        <v>12</v>
      </c>
    </row>
    <row r="5" spans="1:11" x14ac:dyDescent="0.25">
      <c r="A5" s="11">
        <v>45903</v>
      </c>
      <c r="B5" s="6" t="s">
        <v>17</v>
      </c>
      <c r="C5" s="12">
        <v>3</v>
      </c>
      <c r="D5" s="12">
        <v>3000</v>
      </c>
      <c r="E5" s="12">
        <v>2935.6</v>
      </c>
      <c r="F5" s="12">
        <f t="shared" si="0"/>
        <v>64.400000000000091</v>
      </c>
      <c r="G5" s="12">
        <f t="shared" si="1"/>
        <v>9000</v>
      </c>
      <c r="H5" s="12">
        <f t="shared" si="2"/>
        <v>8806.7999999999993</v>
      </c>
      <c r="I5" s="12">
        <f t="shared" si="3"/>
        <v>193.20000000000073</v>
      </c>
      <c r="J5" s="38">
        <f t="shared" si="4"/>
        <v>2.1937593677612787E-2</v>
      </c>
      <c r="K5" s="6" t="s">
        <v>12</v>
      </c>
    </row>
    <row r="6" spans="1:11" x14ac:dyDescent="0.25">
      <c r="A6" s="11">
        <v>45903</v>
      </c>
      <c r="B6" s="6" t="s">
        <v>18</v>
      </c>
      <c r="C6" s="12">
        <v>2</v>
      </c>
      <c r="D6" s="12">
        <v>3880</v>
      </c>
      <c r="E6" s="12">
        <v>3580</v>
      </c>
      <c r="F6" s="12">
        <f t="shared" si="0"/>
        <v>300</v>
      </c>
      <c r="G6" s="12">
        <f t="shared" si="1"/>
        <v>7760</v>
      </c>
      <c r="H6" s="12">
        <f t="shared" si="2"/>
        <v>7160</v>
      </c>
      <c r="I6" s="12">
        <f t="shared" si="3"/>
        <v>600</v>
      </c>
      <c r="J6" s="38">
        <f t="shared" si="4"/>
        <v>8.3798882681564241E-2</v>
      </c>
      <c r="K6" s="6" t="s">
        <v>12</v>
      </c>
    </row>
    <row r="7" spans="1:11" x14ac:dyDescent="0.25">
      <c r="A7" s="11">
        <v>45903</v>
      </c>
      <c r="B7" s="6" t="s">
        <v>18</v>
      </c>
      <c r="C7" s="12">
        <v>1</v>
      </c>
      <c r="D7" s="12">
        <v>3700</v>
      </c>
      <c r="E7" s="12">
        <v>3580</v>
      </c>
      <c r="F7" s="12">
        <f t="shared" si="0"/>
        <v>120</v>
      </c>
      <c r="G7" s="12">
        <f t="shared" si="1"/>
        <v>3700</v>
      </c>
      <c r="H7" s="12">
        <f t="shared" si="2"/>
        <v>3580</v>
      </c>
      <c r="I7" s="12">
        <f t="shared" si="3"/>
        <v>120</v>
      </c>
      <c r="J7" s="38">
        <f t="shared" si="4"/>
        <v>3.3519553072625698E-2</v>
      </c>
      <c r="K7" s="6" t="s">
        <v>12</v>
      </c>
    </row>
    <row r="8" spans="1:11" x14ac:dyDescent="0.25">
      <c r="A8" s="11">
        <v>45903</v>
      </c>
      <c r="B8" s="6" t="s">
        <v>18</v>
      </c>
      <c r="C8" s="12">
        <v>1</v>
      </c>
      <c r="D8" s="12">
        <v>3650</v>
      </c>
      <c r="E8" s="12">
        <v>3600</v>
      </c>
      <c r="F8" s="12">
        <f t="shared" si="0"/>
        <v>50</v>
      </c>
      <c r="G8" s="12">
        <f t="shared" si="1"/>
        <v>3650</v>
      </c>
      <c r="H8" s="12">
        <f t="shared" si="2"/>
        <v>3600</v>
      </c>
      <c r="I8" s="12">
        <f t="shared" si="3"/>
        <v>50</v>
      </c>
      <c r="J8" s="38">
        <f t="shared" si="4"/>
        <v>1.3888888888888888E-2</v>
      </c>
      <c r="K8" s="6" t="s">
        <v>12</v>
      </c>
    </row>
    <row r="9" spans="1:11" x14ac:dyDescent="0.25">
      <c r="A9" s="11">
        <v>45903</v>
      </c>
      <c r="B9" s="6" t="s">
        <v>19</v>
      </c>
      <c r="C9" s="12">
        <v>1</v>
      </c>
      <c r="D9" s="12">
        <v>4800</v>
      </c>
      <c r="E9" s="12">
        <v>4224.3999999999996</v>
      </c>
      <c r="F9" s="12">
        <f t="shared" si="0"/>
        <v>575.60000000000036</v>
      </c>
      <c r="G9" s="12">
        <f t="shared" si="1"/>
        <v>4800</v>
      </c>
      <c r="H9" s="12">
        <f t="shared" si="2"/>
        <v>4224.3999999999996</v>
      </c>
      <c r="I9" s="12">
        <f t="shared" si="3"/>
        <v>575.60000000000036</v>
      </c>
      <c r="J9" s="38">
        <f t="shared" si="4"/>
        <v>0.13625603636019326</v>
      </c>
      <c r="K9" s="6" t="s">
        <v>12</v>
      </c>
    </row>
    <row r="10" spans="1:11" x14ac:dyDescent="0.25">
      <c r="A10" s="11">
        <v>45904</v>
      </c>
      <c r="B10" s="6" t="s">
        <v>20</v>
      </c>
      <c r="C10" s="12">
        <v>1</v>
      </c>
      <c r="D10" s="12">
        <v>1600</v>
      </c>
      <c r="E10" s="12">
        <v>1516</v>
      </c>
      <c r="F10" s="12">
        <f t="shared" si="0"/>
        <v>84</v>
      </c>
      <c r="G10" s="12">
        <f t="shared" si="1"/>
        <v>1600</v>
      </c>
      <c r="H10" s="12">
        <f t="shared" si="2"/>
        <v>1516</v>
      </c>
      <c r="I10" s="12">
        <f t="shared" si="3"/>
        <v>84</v>
      </c>
      <c r="J10" s="38">
        <f t="shared" si="4"/>
        <v>5.5408970976253295E-2</v>
      </c>
      <c r="K10" s="6" t="s">
        <v>12</v>
      </c>
    </row>
    <row r="11" spans="1:11" x14ac:dyDescent="0.25">
      <c r="A11" s="35">
        <v>45904</v>
      </c>
      <c r="B11" s="36" t="s">
        <v>21</v>
      </c>
      <c r="C11" s="37">
        <v>1</v>
      </c>
      <c r="D11" s="37">
        <v>4730</v>
      </c>
      <c r="E11" s="37">
        <v>4752</v>
      </c>
      <c r="F11" s="37">
        <f t="shared" si="0"/>
        <v>-22</v>
      </c>
      <c r="G11" s="37">
        <f t="shared" si="1"/>
        <v>4730</v>
      </c>
      <c r="H11" s="37">
        <f t="shared" si="2"/>
        <v>4752</v>
      </c>
      <c r="I11" s="37">
        <f t="shared" si="3"/>
        <v>-22</v>
      </c>
      <c r="J11" s="40">
        <f t="shared" si="4"/>
        <v>-4.6296296296296294E-3</v>
      </c>
      <c r="K11" s="36" t="s">
        <v>12</v>
      </c>
    </row>
    <row r="12" spans="1:11" x14ac:dyDescent="0.25">
      <c r="A12" s="11">
        <v>45906</v>
      </c>
      <c r="B12" s="6" t="s">
        <v>22</v>
      </c>
      <c r="C12" s="12">
        <v>116</v>
      </c>
      <c r="D12" s="12">
        <v>962.58</v>
      </c>
      <c r="E12" s="12">
        <v>700.96</v>
      </c>
      <c r="F12" s="12">
        <f t="shared" si="0"/>
        <v>261.62</v>
      </c>
      <c r="G12" s="12">
        <f t="shared" si="1"/>
        <v>111659.28</v>
      </c>
      <c r="H12" s="12">
        <f t="shared" si="2"/>
        <v>81311.360000000001</v>
      </c>
      <c r="I12" s="12">
        <f t="shared" si="3"/>
        <v>30347.919999999998</v>
      </c>
      <c r="J12" s="38">
        <f t="shared" si="4"/>
        <v>0.37323099748915772</v>
      </c>
      <c r="K12" s="6" t="s">
        <v>12</v>
      </c>
    </row>
    <row r="13" spans="1:11" x14ac:dyDescent="0.25">
      <c r="A13" s="13">
        <v>45906</v>
      </c>
      <c r="B13" s="10" t="s">
        <v>23</v>
      </c>
      <c r="C13" s="15">
        <v>1</v>
      </c>
      <c r="D13" s="15">
        <v>1</v>
      </c>
      <c r="E13" s="15">
        <v>1</v>
      </c>
      <c r="F13" s="15">
        <f t="shared" si="0"/>
        <v>0</v>
      </c>
      <c r="G13" s="15">
        <f t="shared" si="1"/>
        <v>1</v>
      </c>
      <c r="H13" s="15">
        <f t="shared" si="2"/>
        <v>1</v>
      </c>
      <c r="I13" s="15">
        <f t="shared" si="3"/>
        <v>0</v>
      </c>
      <c r="J13" s="43">
        <f t="shared" si="4"/>
        <v>0</v>
      </c>
      <c r="K13" s="10" t="s">
        <v>12</v>
      </c>
    </row>
    <row r="14" spans="1:11" x14ac:dyDescent="0.25">
      <c r="A14" s="11">
        <v>45906</v>
      </c>
      <c r="B14" s="6" t="s">
        <v>24</v>
      </c>
      <c r="C14" s="12">
        <v>1</v>
      </c>
      <c r="D14" s="12">
        <v>1160</v>
      </c>
      <c r="E14" s="12">
        <v>955.86</v>
      </c>
      <c r="F14" s="12">
        <f t="shared" si="0"/>
        <v>204.14</v>
      </c>
      <c r="G14" s="12">
        <f t="shared" si="1"/>
        <v>1160</v>
      </c>
      <c r="H14" s="12">
        <f t="shared" si="2"/>
        <v>955.86</v>
      </c>
      <c r="I14" s="12">
        <f t="shared" si="3"/>
        <v>204.14</v>
      </c>
      <c r="J14" s="38">
        <f t="shared" si="4"/>
        <v>0.21356684033226622</v>
      </c>
      <c r="K14" s="6" t="s">
        <v>12</v>
      </c>
    </row>
    <row r="15" spans="1:11" x14ac:dyDescent="0.25">
      <c r="A15" s="11">
        <v>45906</v>
      </c>
      <c r="B15" s="6" t="s">
        <v>25</v>
      </c>
      <c r="C15" s="12">
        <v>7</v>
      </c>
      <c r="D15" s="12">
        <v>1727</v>
      </c>
      <c r="E15" s="12">
        <v>1354.13</v>
      </c>
      <c r="F15" s="12">
        <f t="shared" si="0"/>
        <v>372.86999999999989</v>
      </c>
      <c r="G15" s="12">
        <f t="shared" si="1"/>
        <v>12089</v>
      </c>
      <c r="H15" s="12">
        <f t="shared" si="2"/>
        <v>9478.91</v>
      </c>
      <c r="I15" s="12">
        <f t="shared" si="3"/>
        <v>2610.09</v>
      </c>
      <c r="J15" s="38">
        <f t="shared" si="4"/>
        <v>0.2753576096829698</v>
      </c>
      <c r="K15" s="6" t="s">
        <v>12</v>
      </c>
    </row>
    <row r="16" spans="1:11" x14ac:dyDescent="0.25">
      <c r="A16" s="11">
        <v>45908</v>
      </c>
      <c r="B16" s="6" t="s">
        <v>14</v>
      </c>
      <c r="C16" s="12">
        <v>1</v>
      </c>
      <c r="D16" s="12">
        <v>2570</v>
      </c>
      <c r="E16" s="12">
        <v>1879.85</v>
      </c>
      <c r="F16" s="12">
        <f t="shared" si="0"/>
        <v>690.15000000000009</v>
      </c>
      <c r="G16" s="12">
        <f t="shared" si="1"/>
        <v>2570</v>
      </c>
      <c r="H16" s="12">
        <f t="shared" si="2"/>
        <v>1879.85</v>
      </c>
      <c r="I16" s="12">
        <f t="shared" si="3"/>
        <v>690.15000000000009</v>
      </c>
      <c r="J16" s="38">
        <f t="shared" si="4"/>
        <v>0.36713035614543721</v>
      </c>
      <c r="K16" s="6" t="s">
        <v>12</v>
      </c>
    </row>
    <row r="17" spans="1:11" x14ac:dyDescent="0.25">
      <c r="A17" s="11">
        <v>45908</v>
      </c>
      <c r="B17" s="6" t="s">
        <v>18</v>
      </c>
      <c r="C17" s="12">
        <v>1</v>
      </c>
      <c r="D17" s="12">
        <v>3880</v>
      </c>
      <c r="E17" s="12">
        <v>3600</v>
      </c>
      <c r="F17" s="12">
        <f t="shared" si="0"/>
        <v>280</v>
      </c>
      <c r="G17" s="12">
        <f t="shared" si="1"/>
        <v>3880</v>
      </c>
      <c r="H17" s="12">
        <f t="shared" si="2"/>
        <v>3600</v>
      </c>
      <c r="I17" s="12">
        <f t="shared" si="3"/>
        <v>280</v>
      </c>
      <c r="J17" s="38">
        <f t="shared" si="4"/>
        <v>7.7777777777777779E-2</v>
      </c>
      <c r="K17" s="6" t="s">
        <v>12</v>
      </c>
    </row>
    <row r="18" spans="1:11" x14ac:dyDescent="0.25">
      <c r="A18" s="11">
        <v>45909</v>
      </c>
      <c r="B18" s="6" t="s">
        <v>11</v>
      </c>
      <c r="C18" s="12">
        <v>6</v>
      </c>
      <c r="D18" s="12">
        <v>7200</v>
      </c>
      <c r="E18" s="12">
        <v>7056</v>
      </c>
      <c r="F18" s="12">
        <f t="shared" si="0"/>
        <v>144</v>
      </c>
      <c r="G18" s="12">
        <f t="shared" si="1"/>
        <v>43200</v>
      </c>
      <c r="H18" s="12">
        <f t="shared" si="2"/>
        <v>42336</v>
      </c>
      <c r="I18" s="12">
        <f t="shared" si="3"/>
        <v>864</v>
      </c>
      <c r="J18" s="38">
        <f t="shared" si="4"/>
        <v>2.0408163265306121E-2</v>
      </c>
      <c r="K18" s="6" t="s">
        <v>12</v>
      </c>
    </row>
    <row r="19" spans="1:11" x14ac:dyDescent="0.25">
      <c r="A19" s="11">
        <v>45910</v>
      </c>
      <c r="B19" s="6" t="s">
        <v>15</v>
      </c>
      <c r="C19" s="12">
        <v>6</v>
      </c>
      <c r="D19" s="12">
        <v>2670</v>
      </c>
      <c r="E19" s="12">
        <v>2600</v>
      </c>
      <c r="F19" s="12">
        <f t="shared" si="0"/>
        <v>70</v>
      </c>
      <c r="G19" s="12">
        <f t="shared" si="1"/>
        <v>16020</v>
      </c>
      <c r="H19" s="12">
        <f t="shared" si="2"/>
        <v>15600</v>
      </c>
      <c r="I19" s="12">
        <f t="shared" si="3"/>
        <v>420</v>
      </c>
      <c r="J19" s="38">
        <f t="shared" si="4"/>
        <v>2.6923076923076925E-2</v>
      </c>
      <c r="K19" s="6" t="s">
        <v>12</v>
      </c>
    </row>
    <row r="20" spans="1:11" x14ac:dyDescent="0.25">
      <c r="A20" s="11">
        <v>45910</v>
      </c>
      <c r="B20" s="6" t="s">
        <v>15</v>
      </c>
      <c r="C20" s="12">
        <v>8</v>
      </c>
      <c r="D20" s="12">
        <v>2530</v>
      </c>
      <c r="E20" s="12">
        <v>2400</v>
      </c>
      <c r="F20" s="12">
        <f t="shared" si="0"/>
        <v>130</v>
      </c>
      <c r="G20" s="12">
        <f t="shared" si="1"/>
        <v>20240</v>
      </c>
      <c r="H20" s="12">
        <f t="shared" si="2"/>
        <v>19200</v>
      </c>
      <c r="I20" s="12">
        <f t="shared" si="3"/>
        <v>1040</v>
      </c>
      <c r="J20" s="38">
        <f t="shared" si="4"/>
        <v>5.4166666666666669E-2</v>
      </c>
      <c r="K20" s="6" t="s">
        <v>12</v>
      </c>
    </row>
    <row r="21" spans="1:11" x14ac:dyDescent="0.25">
      <c r="A21" s="11">
        <v>45910</v>
      </c>
      <c r="B21" s="6" t="s">
        <v>29</v>
      </c>
      <c r="C21" s="12">
        <v>2</v>
      </c>
      <c r="D21" s="12">
        <v>2940</v>
      </c>
      <c r="E21" s="12">
        <v>2600</v>
      </c>
      <c r="F21" s="12">
        <f t="shared" si="0"/>
        <v>340</v>
      </c>
      <c r="G21" s="12">
        <f t="shared" si="1"/>
        <v>5880</v>
      </c>
      <c r="H21" s="12">
        <f t="shared" si="2"/>
        <v>5200</v>
      </c>
      <c r="I21" s="12">
        <f t="shared" si="3"/>
        <v>680</v>
      </c>
      <c r="J21" s="38">
        <f t="shared" si="4"/>
        <v>0.13076923076923078</v>
      </c>
      <c r="K21" s="6" t="s">
        <v>12</v>
      </c>
    </row>
    <row r="22" spans="1:11" x14ac:dyDescent="0.25">
      <c r="A22" s="11">
        <v>45910</v>
      </c>
      <c r="B22" s="6" t="s">
        <v>31</v>
      </c>
      <c r="C22" s="12">
        <v>2</v>
      </c>
      <c r="D22" s="12">
        <v>2130</v>
      </c>
      <c r="E22" s="12">
        <v>2070</v>
      </c>
      <c r="F22" s="12">
        <f t="shared" si="0"/>
        <v>60</v>
      </c>
      <c r="G22" s="12">
        <f t="shared" si="1"/>
        <v>4260</v>
      </c>
      <c r="H22" s="12">
        <f t="shared" si="2"/>
        <v>4140</v>
      </c>
      <c r="I22" s="12">
        <f t="shared" si="3"/>
        <v>120</v>
      </c>
      <c r="J22" s="38">
        <f t="shared" si="4"/>
        <v>2.8985507246376812E-2</v>
      </c>
      <c r="K22" s="6" t="s">
        <v>12</v>
      </c>
    </row>
    <row r="23" spans="1:11" x14ac:dyDescent="0.25">
      <c r="A23" s="11">
        <v>45910</v>
      </c>
      <c r="B23" s="6" t="s">
        <v>32</v>
      </c>
      <c r="C23" s="12">
        <v>1</v>
      </c>
      <c r="D23" s="12">
        <v>2340</v>
      </c>
      <c r="E23" s="12">
        <v>2200</v>
      </c>
      <c r="F23" s="12">
        <f t="shared" si="0"/>
        <v>140</v>
      </c>
      <c r="G23" s="12">
        <f t="shared" si="1"/>
        <v>2340</v>
      </c>
      <c r="H23" s="12">
        <f t="shared" si="2"/>
        <v>2200</v>
      </c>
      <c r="I23" s="12">
        <f t="shared" si="3"/>
        <v>140</v>
      </c>
      <c r="J23" s="38">
        <f t="shared" si="4"/>
        <v>6.363636363636363E-2</v>
      </c>
      <c r="K23" s="6" t="s">
        <v>12</v>
      </c>
    </row>
    <row r="24" spans="1:11" x14ac:dyDescent="0.25">
      <c r="A24" s="11">
        <v>45910</v>
      </c>
      <c r="B24" s="6" t="s">
        <v>31</v>
      </c>
      <c r="C24" s="12">
        <v>8</v>
      </c>
      <c r="D24" s="12">
        <v>2130</v>
      </c>
      <c r="E24" s="12">
        <v>2070</v>
      </c>
      <c r="F24" s="12">
        <f t="shared" si="0"/>
        <v>60</v>
      </c>
      <c r="G24" s="12">
        <f t="shared" si="1"/>
        <v>17040</v>
      </c>
      <c r="H24" s="12">
        <f t="shared" si="2"/>
        <v>16560</v>
      </c>
      <c r="I24" s="12">
        <f t="shared" si="3"/>
        <v>480</v>
      </c>
      <c r="J24" s="38">
        <f t="shared" si="4"/>
        <v>2.8985507246376812E-2</v>
      </c>
      <c r="K24" s="6" t="s">
        <v>12</v>
      </c>
    </row>
    <row r="25" spans="1:11" x14ac:dyDescent="0.25">
      <c r="A25" s="11">
        <v>45910</v>
      </c>
      <c r="B25" s="6" t="s">
        <v>31</v>
      </c>
      <c r="C25" s="12">
        <v>3</v>
      </c>
      <c r="D25" s="12">
        <v>2130</v>
      </c>
      <c r="E25" s="12">
        <v>2070</v>
      </c>
      <c r="F25" s="12">
        <f t="shared" si="0"/>
        <v>60</v>
      </c>
      <c r="G25" s="12">
        <f t="shared" si="1"/>
        <v>6390</v>
      </c>
      <c r="H25" s="12">
        <f t="shared" si="2"/>
        <v>6210</v>
      </c>
      <c r="I25" s="12">
        <f t="shared" si="3"/>
        <v>180</v>
      </c>
      <c r="J25" s="38">
        <f t="shared" si="4"/>
        <v>2.8985507246376812E-2</v>
      </c>
      <c r="K25" s="6" t="s">
        <v>12</v>
      </c>
    </row>
    <row r="26" spans="1:11" x14ac:dyDescent="0.25">
      <c r="A26" s="11">
        <v>45910</v>
      </c>
      <c r="B26" s="6" t="s">
        <v>32</v>
      </c>
      <c r="C26" s="12">
        <v>2</v>
      </c>
      <c r="D26" s="12">
        <v>2340</v>
      </c>
      <c r="E26" s="12">
        <v>2200</v>
      </c>
      <c r="F26" s="12">
        <f t="shared" si="0"/>
        <v>140</v>
      </c>
      <c r="G26" s="12">
        <f t="shared" si="1"/>
        <v>4680</v>
      </c>
      <c r="H26" s="12">
        <f t="shared" si="2"/>
        <v>4400</v>
      </c>
      <c r="I26" s="12">
        <f t="shared" si="3"/>
        <v>280</v>
      </c>
      <c r="J26" s="38">
        <f t="shared" si="4"/>
        <v>6.363636363636363E-2</v>
      </c>
      <c r="K26" s="6" t="s">
        <v>12</v>
      </c>
    </row>
    <row r="27" spans="1:11" x14ac:dyDescent="0.25">
      <c r="A27" s="11">
        <v>45910</v>
      </c>
      <c r="B27" s="6" t="s">
        <v>32</v>
      </c>
      <c r="C27" s="12">
        <v>1</v>
      </c>
      <c r="D27" s="12">
        <v>2340</v>
      </c>
      <c r="E27" s="12">
        <v>2200</v>
      </c>
      <c r="F27" s="12">
        <f t="shared" si="0"/>
        <v>140</v>
      </c>
      <c r="G27" s="12">
        <f t="shared" si="1"/>
        <v>2340</v>
      </c>
      <c r="H27" s="12">
        <f t="shared" si="2"/>
        <v>2200</v>
      </c>
      <c r="I27" s="12">
        <f t="shared" si="3"/>
        <v>140</v>
      </c>
      <c r="J27" s="38">
        <f t="shared" si="4"/>
        <v>6.363636363636363E-2</v>
      </c>
      <c r="K27" s="6" t="s">
        <v>12</v>
      </c>
    </row>
    <row r="28" spans="1:11" x14ac:dyDescent="0.25">
      <c r="A28" s="11">
        <v>45910</v>
      </c>
      <c r="B28" s="6" t="s">
        <v>32</v>
      </c>
      <c r="C28" s="12">
        <v>2</v>
      </c>
      <c r="D28" s="12">
        <v>2340</v>
      </c>
      <c r="E28" s="12">
        <v>2250</v>
      </c>
      <c r="F28" s="12">
        <f t="shared" si="0"/>
        <v>90</v>
      </c>
      <c r="G28" s="12">
        <f t="shared" si="1"/>
        <v>4680</v>
      </c>
      <c r="H28" s="12">
        <f t="shared" si="2"/>
        <v>4500</v>
      </c>
      <c r="I28" s="12">
        <f t="shared" si="3"/>
        <v>180</v>
      </c>
      <c r="J28" s="38">
        <f t="shared" si="4"/>
        <v>0.04</v>
      </c>
      <c r="K28" s="6" t="s">
        <v>12</v>
      </c>
    </row>
    <row r="29" spans="1:11" x14ac:dyDescent="0.25">
      <c r="A29" s="11">
        <v>45910</v>
      </c>
      <c r="B29" s="6" t="s">
        <v>33</v>
      </c>
      <c r="C29" s="12">
        <v>2</v>
      </c>
      <c r="D29" s="12">
        <v>2575</v>
      </c>
      <c r="E29" s="12">
        <v>2300</v>
      </c>
      <c r="F29" s="12">
        <f t="shared" si="0"/>
        <v>275</v>
      </c>
      <c r="G29" s="12">
        <f t="shared" si="1"/>
        <v>5150</v>
      </c>
      <c r="H29" s="12">
        <f t="shared" si="2"/>
        <v>4600</v>
      </c>
      <c r="I29" s="12">
        <f t="shared" si="3"/>
        <v>550</v>
      </c>
      <c r="J29" s="38">
        <f t="shared" si="4"/>
        <v>0.11956521739130435</v>
      </c>
      <c r="K29" s="6" t="s">
        <v>12</v>
      </c>
    </row>
    <row r="30" spans="1:11" x14ac:dyDescent="0.25">
      <c r="A30" s="11">
        <v>45910</v>
      </c>
      <c r="B30" s="6" t="s">
        <v>33</v>
      </c>
      <c r="C30" s="12">
        <v>1</v>
      </c>
      <c r="D30" s="12">
        <v>2575</v>
      </c>
      <c r="E30" s="12">
        <v>2150</v>
      </c>
      <c r="F30" s="12">
        <f t="shared" si="0"/>
        <v>425</v>
      </c>
      <c r="G30" s="12">
        <f t="shared" si="1"/>
        <v>2575</v>
      </c>
      <c r="H30" s="12">
        <f t="shared" si="2"/>
        <v>2150</v>
      </c>
      <c r="I30" s="12">
        <f t="shared" si="3"/>
        <v>425</v>
      </c>
      <c r="J30" s="38">
        <f t="shared" si="4"/>
        <v>0.19767441860465115</v>
      </c>
      <c r="K30" s="6" t="s">
        <v>12</v>
      </c>
    </row>
    <row r="31" spans="1:11" x14ac:dyDescent="0.25">
      <c r="A31" s="11">
        <v>45910</v>
      </c>
      <c r="B31" s="6" t="s">
        <v>34</v>
      </c>
      <c r="C31" s="12">
        <v>2</v>
      </c>
      <c r="D31" s="12">
        <v>1475</v>
      </c>
      <c r="E31" s="12">
        <v>1400</v>
      </c>
      <c r="F31" s="12">
        <f t="shared" si="0"/>
        <v>75</v>
      </c>
      <c r="G31" s="12">
        <f t="shared" si="1"/>
        <v>2950</v>
      </c>
      <c r="H31" s="12">
        <f t="shared" si="2"/>
        <v>2800</v>
      </c>
      <c r="I31" s="12">
        <f t="shared" si="3"/>
        <v>150</v>
      </c>
      <c r="J31" s="38">
        <f t="shared" si="4"/>
        <v>5.3571428571428568E-2</v>
      </c>
      <c r="K31" s="6" t="s">
        <v>12</v>
      </c>
    </row>
    <row r="32" spans="1:11" x14ac:dyDescent="0.25">
      <c r="A32" s="11">
        <v>45910</v>
      </c>
      <c r="B32" s="6" t="s">
        <v>35</v>
      </c>
      <c r="C32" s="12">
        <v>1</v>
      </c>
      <c r="D32" s="12">
        <v>1800</v>
      </c>
      <c r="E32" s="12">
        <v>1650</v>
      </c>
      <c r="F32" s="12">
        <f t="shared" si="0"/>
        <v>150</v>
      </c>
      <c r="G32" s="12">
        <f t="shared" si="1"/>
        <v>1800</v>
      </c>
      <c r="H32" s="12">
        <f t="shared" si="2"/>
        <v>1650</v>
      </c>
      <c r="I32" s="12">
        <f t="shared" si="3"/>
        <v>150</v>
      </c>
      <c r="J32" s="38">
        <f t="shared" si="4"/>
        <v>9.0909090909090912E-2</v>
      </c>
      <c r="K32" s="6" t="s">
        <v>12</v>
      </c>
    </row>
    <row r="33" spans="1:11" x14ac:dyDescent="0.25">
      <c r="A33" s="11">
        <v>45910</v>
      </c>
      <c r="B33" s="6" t="s">
        <v>15</v>
      </c>
      <c r="C33" s="12">
        <v>2</v>
      </c>
      <c r="D33" s="12">
        <v>2500</v>
      </c>
      <c r="E33" s="12">
        <v>2400</v>
      </c>
      <c r="F33" s="12">
        <f t="shared" si="0"/>
        <v>100</v>
      </c>
      <c r="G33" s="12">
        <f t="shared" si="1"/>
        <v>5000</v>
      </c>
      <c r="H33" s="12">
        <f t="shared" si="2"/>
        <v>4800</v>
      </c>
      <c r="I33" s="12">
        <f t="shared" si="3"/>
        <v>200</v>
      </c>
      <c r="J33" s="38">
        <f t="shared" si="4"/>
        <v>4.1666666666666664E-2</v>
      </c>
      <c r="K33" s="6" t="s">
        <v>12</v>
      </c>
    </row>
    <row r="34" spans="1:11" x14ac:dyDescent="0.25">
      <c r="A34" s="11">
        <v>45910</v>
      </c>
      <c r="B34" s="6" t="s">
        <v>15</v>
      </c>
      <c r="C34" s="12">
        <v>3</v>
      </c>
      <c r="D34" s="12">
        <v>2740</v>
      </c>
      <c r="E34" s="12">
        <v>2600</v>
      </c>
      <c r="F34" s="12">
        <f t="shared" si="0"/>
        <v>140</v>
      </c>
      <c r="G34" s="12">
        <f t="shared" si="1"/>
        <v>8220</v>
      </c>
      <c r="H34" s="12">
        <f t="shared" si="2"/>
        <v>7800</v>
      </c>
      <c r="I34" s="12">
        <f t="shared" si="3"/>
        <v>420</v>
      </c>
      <c r="J34" s="38">
        <f t="shared" si="4"/>
        <v>5.3846153846153849E-2</v>
      </c>
      <c r="K34" s="6" t="s">
        <v>12</v>
      </c>
    </row>
    <row r="35" spans="1:11" x14ac:dyDescent="0.25">
      <c r="A35" s="11">
        <v>45910</v>
      </c>
      <c r="B35" s="6" t="s">
        <v>15</v>
      </c>
      <c r="C35" s="12">
        <v>4</v>
      </c>
      <c r="D35" s="12">
        <v>2680</v>
      </c>
      <c r="E35" s="12">
        <v>2570</v>
      </c>
      <c r="F35" s="12">
        <f t="shared" si="0"/>
        <v>110</v>
      </c>
      <c r="G35" s="12">
        <f t="shared" si="1"/>
        <v>10720</v>
      </c>
      <c r="H35" s="12">
        <f t="shared" si="2"/>
        <v>10280</v>
      </c>
      <c r="I35" s="12">
        <f t="shared" si="3"/>
        <v>440</v>
      </c>
      <c r="J35" s="38">
        <f t="shared" si="4"/>
        <v>4.2801556420233464E-2</v>
      </c>
      <c r="K35" s="6" t="s">
        <v>12</v>
      </c>
    </row>
    <row r="36" spans="1:11" x14ac:dyDescent="0.25">
      <c r="A36" s="11">
        <v>45910</v>
      </c>
      <c r="B36" s="6" t="s">
        <v>29</v>
      </c>
      <c r="C36" s="12">
        <v>2</v>
      </c>
      <c r="D36" s="12">
        <v>3100</v>
      </c>
      <c r="E36" s="12">
        <v>2750</v>
      </c>
      <c r="F36" s="12">
        <f t="shared" si="0"/>
        <v>350</v>
      </c>
      <c r="G36" s="12">
        <f t="shared" si="1"/>
        <v>6200</v>
      </c>
      <c r="H36" s="12">
        <f t="shared" si="2"/>
        <v>5500</v>
      </c>
      <c r="I36" s="12">
        <f t="shared" si="3"/>
        <v>700</v>
      </c>
      <c r="J36" s="38">
        <f t="shared" si="4"/>
        <v>0.12727272727272726</v>
      </c>
      <c r="K36" s="6" t="s">
        <v>12</v>
      </c>
    </row>
    <row r="37" spans="1:11" x14ac:dyDescent="0.25">
      <c r="A37" s="11">
        <v>45910</v>
      </c>
      <c r="B37" s="6" t="s">
        <v>29</v>
      </c>
      <c r="C37" s="12">
        <v>1</v>
      </c>
      <c r="D37" s="12">
        <v>4260</v>
      </c>
      <c r="E37" s="12">
        <v>4176</v>
      </c>
      <c r="F37" s="12">
        <f t="shared" si="0"/>
        <v>84</v>
      </c>
      <c r="G37" s="12">
        <f t="shared" si="1"/>
        <v>4260</v>
      </c>
      <c r="H37" s="12">
        <f t="shared" si="2"/>
        <v>4176</v>
      </c>
      <c r="I37" s="12">
        <f t="shared" si="3"/>
        <v>84</v>
      </c>
      <c r="J37" s="38">
        <f t="shared" si="4"/>
        <v>2.0114942528735632E-2</v>
      </c>
      <c r="K37" s="6" t="s">
        <v>12</v>
      </c>
    </row>
    <row r="38" spans="1:11" x14ac:dyDescent="0.25">
      <c r="A38" s="11">
        <v>45910</v>
      </c>
      <c r="B38" s="6" t="s">
        <v>15</v>
      </c>
      <c r="C38" s="12">
        <v>1</v>
      </c>
      <c r="D38" s="12">
        <v>3700</v>
      </c>
      <c r="E38" s="12">
        <v>3600</v>
      </c>
      <c r="F38" s="12">
        <f t="shared" si="0"/>
        <v>100</v>
      </c>
      <c r="G38" s="12">
        <f t="shared" si="1"/>
        <v>3700</v>
      </c>
      <c r="H38" s="12">
        <f t="shared" si="2"/>
        <v>3600</v>
      </c>
      <c r="I38" s="12">
        <f t="shared" si="3"/>
        <v>100</v>
      </c>
      <c r="J38" s="38">
        <f t="shared" si="4"/>
        <v>2.7777777777777776E-2</v>
      </c>
      <c r="K38" s="6" t="s">
        <v>12</v>
      </c>
    </row>
    <row r="39" spans="1:11" x14ac:dyDescent="0.25">
      <c r="A39" s="11">
        <v>45910</v>
      </c>
      <c r="B39" s="6" t="s">
        <v>15</v>
      </c>
      <c r="C39" s="12">
        <v>1</v>
      </c>
      <c r="D39" s="12">
        <v>3700</v>
      </c>
      <c r="E39" s="12">
        <v>3600</v>
      </c>
      <c r="F39" s="12">
        <f t="shared" si="0"/>
        <v>100</v>
      </c>
      <c r="G39" s="12">
        <f t="shared" si="1"/>
        <v>3700</v>
      </c>
      <c r="H39" s="12">
        <f t="shared" si="2"/>
        <v>3600</v>
      </c>
      <c r="I39" s="12">
        <f t="shared" si="3"/>
        <v>100</v>
      </c>
      <c r="J39" s="38">
        <f t="shared" si="4"/>
        <v>2.7777777777777776E-2</v>
      </c>
      <c r="K39" s="6" t="s">
        <v>12</v>
      </c>
    </row>
    <row r="40" spans="1:11" x14ac:dyDescent="0.25">
      <c r="A40" s="11">
        <v>45910</v>
      </c>
      <c r="B40" s="6" t="s">
        <v>31</v>
      </c>
      <c r="C40" s="12">
        <v>1</v>
      </c>
      <c r="D40" s="12">
        <v>3100</v>
      </c>
      <c r="E40" s="12">
        <v>2988</v>
      </c>
      <c r="F40" s="12">
        <f t="shared" si="0"/>
        <v>112</v>
      </c>
      <c r="G40" s="12">
        <f t="shared" si="1"/>
        <v>3100</v>
      </c>
      <c r="H40" s="12">
        <f t="shared" si="2"/>
        <v>2988</v>
      </c>
      <c r="I40" s="12">
        <f t="shared" si="3"/>
        <v>112</v>
      </c>
      <c r="J40" s="38">
        <f t="shared" si="4"/>
        <v>3.7483266398929051E-2</v>
      </c>
      <c r="K40" s="6" t="s">
        <v>12</v>
      </c>
    </row>
    <row r="41" spans="1:11" x14ac:dyDescent="0.25">
      <c r="A41" s="35">
        <v>45910</v>
      </c>
      <c r="B41" s="36" t="s">
        <v>36</v>
      </c>
      <c r="C41" s="37">
        <v>3</v>
      </c>
      <c r="D41" s="37">
        <v>2200</v>
      </c>
      <c r="E41" s="37">
        <v>2220</v>
      </c>
      <c r="F41" s="37">
        <f t="shared" si="0"/>
        <v>-20</v>
      </c>
      <c r="G41" s="37">
        <f t="shared" si="1"/>
        <v>6600</v>
      </c>
      <c r="H41" s="37">
        <f t="shared" si="2"/>
        <v>6660</v>
      </c>
      <c r="I41" s="37">
        <f t="shared" si="3"/>
        <v>-60</v>
      </c>
      <c r="J41" s="40">
        <f t="shared" si="4"/>
        <v>-9.0090090090090089E-3</v>
      </c>
      <c r="K41" s="36" t="s">
        <v>12</v>
      </c>
    </row>
    <row r="42" spans="1:11" x14ac:dyDescent="0.25">
      <c r="A42" s="35">
        <v>45910</v>
      </c>
      <c r="B42" s="36" t="s">
        <v>36</v>
      </c>
      <c r="C42" s="37">
        <v>3</v>
      </c>
      <c r="D42" s="37">
        <v>2090</v>
      </c>
      <c r="E42" s="37">
        <v>2220</v>
      </c>
      <c r="F42" s="37">
        <f t="shared" si="0"/>
        <v>-130</v>
      </c>
      <c r="G42" s="37">
        <f t="shared" si="1"/>
        <v>6270</v>
      </c>
      <c r="H42" s="37">
        <f t="shared" si="2"/>
        <v>6660</v>
      </c>
      <c r="I42" s="37">
        <f t="shared" si="3"/>
        <v>-390</v>
      </c>
      <c r="J42" s="40">
        <f t="shared" si="4"/>
        <v>-5.8558558558558557E-2</v>
      </c>
      <c r="K42" s="36" t="s">
        <v>12</v>
      </c>
    </row>
    <row r="43" spans="1:11" x14ac:dyDescent="0.25">
      <c r="A43" s="13">
        <v>45910</v>
      </c>
      <c r="B43" s="10" t="s">
        <v>37</v>
      </c>
      <c r="C43" s="15">
        <v>1</v>
      </c>
      <c r="D43" s="15">
        <v>1</v>
      </c>
      <c r="E43" s="15">
        <v>1</v>
      </c>
      <c r="F43" s="15">
        <f t="shared" si="0"/>
        <v>0</v>
      </c>
      <c r="G43" s="15">
        <f t="shared" si="1"/>
        <v>1</v>
      </c>
      <c r="H43" s="15">
        <f t="shared" si="2"/>
        <v>1</v>
      </c>
      <c r="I43" s="15">
        <f t="shared" si="3"/>
        <v>0</v>
      </c>
      <c r="J43" s="43">
        <f t="shared" si="4"/>
        <v>0</v>
      </c>
      <c r="K43" s="10" t="s">
        <v>12</v>
      </c>
    </row>
    <row r="44" spans="1:11" x14ac:dyDescent="0.25">
      <c r="A44" s="11">
        <v>45910</v>
      </c>
      <c r="B44" s="6" t="s">
        <v>18</v>
      </c>
      <c r="C44" s="12">
        <v>5</v>
      </c>
      <c r="D44" s="12">
        <v>3600</v>
      </c>
      <c r="E44" s="12">
        <v>3580</v>
      </c>
      <c r="F44" s="12">
        <f t="shared" si="0"/>
        <v>20</v>
      </c>
      <c r="G44" s="12">
        <f t="shared" si="1"/>
        <v>18000</v>
      </c>
      <c r="H44" s="12">
        <f t="shared" si="2"/>
        <v>17900</v>
      </c>
      <c r="I44" s="12">
        <f t="shared" si="3"/>
        <v>100</v>
      </c>
      <c r="J44" s="38">
        <f t="shared" si="4"/>
        <v>5.5865921787709499E-3</v>
      </c>
      <c r="K44" s="6" t="s">
        <v>12</v>
      </c>
    </row>
    <row r="45" spans="1:11" x14ac:dyDescent="0.25">
      <c r="A45" s="11">
        <v>45910</v>
      </c>
      <c r="B45" s="6" t="s">
        <v>19</v>
      </c>
      <c r="C45" s="12">
        <v>1</v>
      </c>
      <c r="D45" s="12">
        <v>4830</v>
      </c>
      <c r="E45" s="12">
        <v>3700</v>
      </c>
      <c r="F45" s="12">
        <f t="shared" si="0"/>
        <v>1130</v>
      </c>
      <c r="G45" s="12">
        <f t="shared" si="1"/>
        <v>4830</v>
      </c>
      <c r="H45" s="12">
        <f t="shared" si="2"/>
        <v>3700</v>
      </c>
      <c r="I45" s="12">
        <f t="shared" si="3"/>
        <v>1130</v>
      </c>
      <c r="J45" s="38">
        <f t="shared" si="4"/>
        <v>0.30540540540540539</v>
      </c>
      <c r="K45" s="6" t="s">
        <v>12</v>
      </c>
    </row>
    <row r="46" spans="1:11" x14ac:dyDescent="0.25">
      <c r="A46" s="11">
        <v>45910</v>
      </c>
      <c r="B46" s="6" t="s">
        <v>17</v>
      </c>
      <c r="C46" s="12">
        <v>1</v>
      </c>
      <c r="D46" s="12">
        <v>3700</v>
      </c>
      <c r="E46" s="12">
        <v>2935</v>
      </c>
      <c r="F46" s="12">
        <f t="shared" si="0"/>
        <v>765</v>
      </c>
      <c r="G46" s="12">
        <f t="shared" si="1"/>
        <v>3700</v>
      </c>
      <c r="H46" s="12">
        <f t="shared" si="2"/>
        <v>2935</v>
      </c>
      <c r="I46" s="12">
        <f t="shared" si="3"/>
        <v>765</v>
      </c>
      <c r="J46" s="38">
        <f t="shared" si="4"/>
        <v>0.26064735945485518</v>
      </c>
      <c r="K46" s="6" t="s">
        <v>12</v>
      </c>
    </row>
    <row r="47" spans="1:11" x14ac:dyDescent="0.25">
      <c r="A47" s="11">
        <v>45910</v>
      </c>
      <c r="B47" s="6" t="s">
        <v>38</v>
      </c>
      <c r="C47" s="12">
        <v>1</v>
      </c>
      <c r="D47" s="12">
        <v>3000</v>
      </c>
      <c r="E47" s="12">
        <v>2971.4</v>
      </c>
      <c r="F47" s="12">
        <f t="shared" si="0"/>
        <v>28.599999999999909</v>
      </c>
      <c r="G47" s="12">
        <f t="shared" si="1"/>
        <v>3000</v>
      </c>
      <c r="H47" s="12">
        <f t="shared" si="2"/>
        <v>2971.4</v>
      </c>
      <c r="I47" s="12">
        <f t="shared" si="3"/>
        <v>28.599999999999909</v>
      </c>
      <c r="J47" s="38">
        <f t="shared" si="4"/>
        <v>9.6250925489667852E-3</v>
      </c>
      <c r="K47" s="6" t="s">
        <v>12</v>
      </c>
    </row>
    <row r="48" spans="1:11" x14ac:dyDescent="0.25">
      <c r="A48" s="11">
        <v>45910</v>
      </c>
      <c r="B48" s="6" t="s">
        <v>39</v>
      </c>
      <c r="C48" s="12">
        <v>1</v>
      </c>
      <c r="D48" s="12">
        <v>1300</v>
      </c>
      <c r="E48" s="12">
        <v>1181.4000000000001</v>
      </c>
      <c r="F48" s="12">
        <f t="shared" si="0"/>
        <v>118.59999999999991</v>
      </c>
      <c r="G48" s="12">
        <f t="shared" si="1"/>
        <v>1300</v>
      </c>
      <c r="H48" s="12">
        <f t="shared" si="2"/>
        <v>1181.4000000000001</v>
      </c>
      <c r="I48" s="12">
        <f t="shared" si="3"/>
        <v>118.59999999999991</v>
      </c>
      <c r="J48" s="38">
        <f t="shared" si="4"/>
        <v>0.10038936854579304</v>
      </c>
      <c r="K48" s="6" t="s">
        <v>12</v>
      </c>
    </row>
    <row r="49" spans="1:11" x14ac:dyDescent="0.25">
      <c r="A49" s="11">
        <v>45910</v>
      </c>
      <c r="B49" s="6" t="s">
        <v>40</v>
      </c>
      <c r="C49" s="12">
        <v>1</v>
      </c>
      <c r="D49" s="12">
        <v>2400</v>
      </c>
      <c r="E49" s="12">
        <v>2219.6</v>
      </c>
      <c r="F49" s="12">
        <f t="shared" si="0"/>
        <v>180.40000000000009</v>
      </c>
      <c r="G49" s="12">
        <f t="shared" si="1"/>
        <v>2400</v>
      </c>
      <c r="H49" s="12">
        <f t="shared" si="2"/>
        <v>2219.6</v>
      </c>
      <c r="I49" s="12">
        <f t="shared" si="3"/>
        <v>180.40000000000009</v>
      </c>
      <c r="J49" s="38">
        <f t="shared" si="4"/>
        <v>8.1275905568570964E-2</v>
      </c>
      <c r="K49" s="6" t="s">
        <v>12</v>
      </c>
    </row>
    <row r="50" spans="1:11" x14ac:dyDescent="0.25">
      <c r="A50" s="11">
        <v>45910</v>
      </c>
      <c r="B50" s="6" t="s">
        <v>41</v>
      </c>
      <c r="C50" s="12">
        <v>1</v>
      </c>
      <c r="D50" s="12">
        <v>2050</v>
      </c>
      <c r="E50" s="12">
        <v>1575.2</v>
      </c>
      <c r="F50" s="12">
        <f t="shared" si="0"/>
        <v>474.79999999999995</v>
      </c>
      <c r="G50" s="12">
        <f t="shared" si="1"/>
        <v>2050</v>
      </c>
      <c r="H50" s="12">
        <f t="shared" si="2"/>
        <v>1575.2</v>
      </c>
      <c r="I50" s="12">
        <f t="shared" si="3"/>
        <v>474.79999999999995</v>
      </c>
      <c r="J50" s="38">
        <f t="shared" si="4"/>
        <v>0.30142204164550529</v>
      </c>
      <c r="K50" s="6" t="s">
        <v>12</v>
      </c>
    </row>
    <row r="51" spans="1:11" x14ac:dyDescent="0.25">
      <c r="A51" s="11">
        <v>45910</v>
      </c>
      <c r="B51" s="6" t="s">
        <v>36</v>
      </c>
      <c r="C51" s="12">
        <v>2</v>
      </c>
      <c r="D51" s="12">
        <v>2590</v>
      </c>
      <c r="E51" s="12">
        <v>2220</v>
      </c>
      <c r="F51" s="12">
        <f t="shared" si="0"/>
        <v>370</v>
      </c>
      <c r="G51" s="12">
        <f t="shared" si="1"/>
        <v>5180</v>
      </c>
      <c r="H51" s="12">
        <f t="shared" si="2"/>
        <v>4440</v>
      </c>
      <c r="I51" s="12">
        <f t="shared" si="3"/>
        <v>740</v>
      </c>
      <c r="J51" s="38">
        <f t="shared" si="4"/>
        <v>0.16666666666666666</v>
      </c>
      <c r="K51" s="6" t="s">
        <v>12</v>
      </c>
    </row>
    <row r="52" spans="1:11" x14ac:dyDescent="0.25">
      <c r="A52" s="35">
        <v>45910</v>
      </c>
      <c r="B52" s="36" t="s">
        <v>36</v>
      </c>
      <c r="C52" s="37">
        <v>2</v>
      </c>
      <c r="D52" s="37">
        <v>2100</v>
      </c>
      <c r="E52" s="37">
        <v>2170</v>
      </c>
      <c r="F52" s="37">
        <f t="shared" si="0"/>
        <v>-70</v>
      </c>
      <c r="G52" s="37">
        <f t="shared" si="1"/>
        <v>4200</v>
      </c>
      <c r="H52" s="37">
        <f t="shared" si="2"/>
        <v>4340</v>
      </c>
      <c r="I52" s="37">
        <f t="shared" si="3"/>
        <v>-140</v>
      </c>
      <c r="J52" s="40">
        <f t="shared" si="4"/>
        <v>-3.2258064516129031E-2</v>
      </c>
      <c r="K52" s="36" t="s">
        <v>12</v>
      </c>
    </row>
    <row r="53" spans="1:11" x14ac:dyDescent="0.25">
      <c r="A53" s="35">
        <v>45910</v>
      </c>
      <c r="B53" s="36" t="s">
        <v>36</v>
      </c>
      <c r="C53" s="37">
        <v>1</v>
      </c>
      <c r="D53" s="37">
        <v>2120</v>
      </c>
      <c r="E53" s="37">
        <v>2220</v>
      </c>
      <c r="F53" s="37">
        <f t="shared" si="0"/>
        <v>-100</v>
      </c>
      <c r="G53" s="37">
        <f t="shared" si="1"/>
        <v>2120</v>
      </c>
      <c r="H53" s="37">
        <f t="shared" si="2"/>
        <v>2220</v>
      </c>
      <c r="I53" s="37">
        <f t="shared" si="3"/>
        <v>-100</v>
      </c>
      <c r="J53" s="40">
        <f t="shared" si="4"/>
        <v>-4.5045045045045043E-2</v>
      </c>
      <c r="K53" s="36" t="s">
        <v>12</v>
      </c>
    </row>
    <row r="54" spans="1:11" x14ac:dyDescent="0.25">
      <c r="A54" s="35">
        <v>45910</v>
      </c>
      <c r="B54" s="36" t="s">
        <v>36</v>
      </c>
      <c r="C54" s="37">
        <v>1</v>
      </c>
      <c r="D54" s="37">
        <v>2190</v>
      </c>
      <c r="E54" s="37">
        <v>2220</v>
      </c>
      <c r="F54" s="37">
        <f t="shared" si="0"/>
        <v>-30</v>
      </c>
      <c r="G54" s="37">
        <f t="shared" si="1"/>
        <v>2190</v>
      </c>
      <c r="H54" s="37">
        <f t="shared" si="2"/>
        <v>2220</v>
      </c>
      <c r="I54" s="37">
        <f t="shared" si="3"/>
        <v>-30</v>
      </c>
      <c r="J54" s="40">
        <f t="shared" si="4"/>
        <v>-1.3513513513513514E-2</v>
      </c>
      <c r="K54" s="36" t="s">
        <v>12</v>
      </c>
    </row>
    <row r="55" spans="1:11" x14ac:dyDescent="0.25">
      <c r="A55" s="11">
        <v>45910</v>
      </c>
      <c r="B55" s="6" t="s">
        <v>18</v>
      </c>
      <c r="C55" s="12">
        <v>2</v>
      </c>
      <c r="D55" s="12">
        <v>3880</v>
      </c>
      <c r="E55" s="12">
        <v>3600</v>
      </c>
      <c r="F55" s="12">
        <f t="shared" si="0"/>
        <v>280</v>
      </c>
      <c r="G55" s="12">
        <f t="shared" si="1"/>
        <v>7760</v>
      </c>
      <c r="H55" s="12">
        <f t="shared" si="2"/>
        <v>7200</v>
      </c>
      <c r="I55" s="12">
        <f t="shared" si="3"/>
        <v>560</v>
      </c>
      <c r="J55" s="38">
        <f t="shared" si="4"/>
        <v>7.7777777777777779E-2</v>
      </c>
      <c r="K55" s="6" t="s">
        <v>12</v>
      </c>
    </row>
    <row r="56" spans="1:11" x14ac:dyDescent="0.25">
      <c r="A56" s="11">
        <v>45910</v>
      </c>
      <c r="B56" s="6" t="s">
        <v>17</v>
      </c>
      <c r="C56" s="12">
        <v>1</v>
      </c>
      <c r="D56" s="12">
        <v>2970</v>
      </c>
      <c r="E56" s="12">
        <v>3350</v>
      </c>
      <c r="F56" s="12">
        <f t="shared" si="0"/>
        <v>-380</v>
      </c>
      <c r="G56" s="12">
        <f t="shared" si="1"/>
        <v>2970</v>
      </c>
      <c r="H56" s="12">
        <f t="shared" si="2"/>
        <v>3350</v>
      </c>
      <c r="I56" s="12">
        <f t="shared" si="3"/>
        <v>-380</v>
      </c>
      <c r="J56" s="38">
        <f t="shared" si="4"/>
        <v>-0.11343283582089553</v>
      </c>
      <c r="K56" s="6" t="s">
        <v>12</v>
      </c>
    </row>
    <row r="57" spans="1:11" x14ac:dyDescent="0.25">
      <c r="A57" s="35">
        <v>45910</v>
      </c>
      <c r="B57" s="36" t="s">
        <v>39</v>
      </c>
      <c r="C57" s="37">
        <v>1</v>
      </c>
      <c r="D57" s="37">
        <v>1200</v>
      </c>
      <c r="E57" s="37">
        <v>1220</v>
      </c>
      <c r="F57" s="37">
        <f t="shared" si="0"/>
        <v>-20</v>
      </c>
      <c r="G57" s="37">
        <f t="shared" si="1"/>
        <v>1200</v>
      </c>
      <c r="H57" s="37">
        <f t="shared" si="2"/>
        <v>1220</v>
      </c>
      <c r="I57" s="37">
        <f t="shared" si="3"/>
        <v>-20</v>
      </c>
      <c r="J57" s="40">
        <f t="shared" si="4"/>
        <v>-1.6393442622950821E-2</v>
      </c>
      <c r="K57" s="36" t="s">
        <v>12</v>
      </c>
    </row>
    <row r="58" spans="1:11" x14ac:dyDescent="0.25">
      <c r="A58" s="11">
        <v>45910</v>
      </c>
      <c r="B58" s="6" t="s">
        <v>42</v>
      </c>
      <c r="C58" s="12">
        <v>3</v>
      </c>
      <c r="D58" s="12">
        <v>2140</v>
      </c>
      <c r="E58" s="12">
        <v>1900</v>
      </c>
      <c r="F58" s="12">
        <f t="shared" si="0"/>
        <v>240</v>
      </c>
      <c r="G58" s="12">
        <f t="shared" si="1"/>
        <v>6420</v>
      </c>
      <c r="H58" s="12">
        <f t="shared" si="2"/>
        <v>5700</v>
      </c>
      <c r="I58" s="12">
        <f t="shared" si="3"/>
        <v>720</v>
      </c>
      <c r="J58" s="38">
        <f t="shared" si="4"/>
        <v>0.12631578947368421</v>
      </c>
      <c r="K58" s="6" t="s">
        <v>12</v>
      </c>
    </row>
    <row r="59" spans="1:11" x14ac:dyDescent="0.25">
      <c r="A59" s="11">
        <v>45911</v>
      </c>
      <c r="B59" s="6" t="s">
        <v>15</v>
      </c>
      <c r="C59" s="12">
        <v>7</v>
      </c>
      <c r="D59" s="12">
        <v>2740</v>
      </c>
      <c r="E59" s="12">
        <v>2600</v>
      </c>
      <c r="F59" s="12">
        <f t="shared" si="0"/>
        <v>140</v>
      </c>
      <c r="G59" s="12">
        <f t="shared" si="1"/>
        <v>19180</v>
      </c>
      <c r="H59" s="12">
        <f t="shared" si="2"/>
        <v>18200</v>
      </c>
      <c r="I59" s="12">
        <f t="shared" si="3"/>
        <v>980</v>
      </c>
      <c r="J59" s="38">
        <f t="shared" si="4"/>
        <v>5.3846153846153849E-2</v>
      </c>
      <c r="K59" s="6" t="s">
        <v>12</v>
      </c>
    </row>
    <row r="60" spans="1:11" x14ac:dyDescent="0.25">
      <c r="A60" s="11">
        <v>45911</v>
      </c>
      <c r="B60" s="6" t="s">
        <v>43</v>
      </c>
      <c r="C60" s="12">
        <v>13</v>
      </c>
      <c r="D60" s="12">
        <v>1780</v>
      </c>
      <c r="E60" s="12">
        <v>1354.13</v>
      </c>
      <c r="F60" s="12">
        <f t="shared" si="0"/>
        <v>425.86999999999989</v>
      </c>
      <c r="G60" s="12">
        <f t="shared" si="1"/>
        <v>23140</v>
      </c>
      <c r="H60" s="12">
        <f t="shared" si="2"/>
        <v>17603.690000000002</v>
      </c>
      <c r="I60" s="12">
        <f t="shared" si="3"/>
        <v>5536.3099999999977</v>
      </c>
      <c r="J60" s="38">
        <f t="shared" si="4"/>
        <v>0.31449713099923926</v>
      </c>
      <c r="K60" s="6" t="s">
        <v>12</v>
      </c>
    </row>
    <row r="61" spans="1:11" x14ac:dyDescent="0.25">
      <c r="A61" s="35">
        <v>45911</v>
      </c>
      <c r="B61" s="36" t="s">
        <v>46</v>
      </c>
      <c r="C61" s="37">
        <v>1</v>
      </c>
      <c r="D61" s="37">
        <v>5840</v>
      </c>
      <c r="E61" s="37">
        <v>6048</v>
      </c>
      <c r="F61" s="37">
        <f t="shared" si="0"/>
        <v>-208</v>
      </c>
      <c r="G61" s="37">
        <f t="shared" si="1"/>
        <v>5840</v>
      </c>
      <c r="H61" s="37">
        <f t="shared" si="2"/>
        <v>6048</v>
      </c>
      <c r="I61" s="37">
        <f t="shared" si="3"/>
        <v>-208</v>
      </c>
      <c r="J61" s="40">
        <f t="shared" si="4"/>
        <v>-3.439153439153439E-2</v>
      </c>
      <c r="K61" s="36" t="s">
        <v>12</v>
      </c>
    </row>
    <row r="62" spans="1:11" x14ac:dyDescent="0.25">
      <c r="A62" s="35">
        <v>45911</v>
      </c>
      <c r="B62" s="36" t="s">
        <v>47</v>
      </c>
      <c r="C62" s="37">
        <v>1</v>
      </c>
      <c r="D62" s="37">
        <v>4200</v>
      </c>
      <c r="E62" s="37">
        <v>4564.5</v>
      </c>
      <c r="F62" s="37">
        <f t="shared" si="0"/>
        <v>-364.5</v>
      </c>
      <c r="G62" s="37">
        <f t="shared" si="1"/>
        <v>4200</v>
      </c>
      <c r="H62" s="37">
        <f t="shared" si="2"/>
        <v>4564.5</v>
      </c>
      <c r="I62" s="37">
        <f t="shared" si="3"/>
        <v>-364.5</v>
      </c>
      <c r="J62" s="40">
        <f t="shared" si="4"/>
        <v>-7.9855405849490635E-2</v>
      </c>
      <c r="K62" s="36" t="s">
        <v>12</v>
      </c>
    </row>
    <row r="63" spans="1:11" x14ac:dyDescent="0.25">
      <c r="A63" s="11">
        <v>45913</v>
      </c>
      <c r="B63" s="6" t="s">
        <v>36</v>
      </c>
      <c r="C63" s="12">
        <v>3</v>
      </c>
      <c r="D63" s="12">
        <v>2150</v>
      </c>
      <c r="E63" s="12">
        <v>2100</v>
      </c>
      <c r="F63" s="12">
        <f t="shared" si="0"/>
        <v>50</v>
      </c>
      <c r="G63" s="12">
        <f t="shared" si="1"/>
        <v>6450</v>
      </c>
      <c r="H63" s="12">
        <f t="shared" si="2"/>
        <v>6300</v>
      </c>
      <c r="I63" s="12">
        <f t="shared" si="3"/>
        <v>150</v>
      </c>
      <c r="J63" s="38">
        <f t="shared" si="4"/>
        <v>2.3809523809523808E-2</v>
      </c>
      <c r="K63" s="6" t="s">
        <v>12</v>
      </c>
    </row>
    <row r="64" spans="1:11" x14ac:dyDescent="0.25">
      <c r="A64" s="11">
        <v>45913</v>
      </c>
      <c r="B64" s="6" t="s">
        <v>36</v>
      </c>
      <c r="C64" s="12">
        <v>3</v>
      </c>
      <c r="D64" s="12">
        <v>2120</v>
      </c>
      <c r="E64" s="12">
        <v>2100</v>
      </c>
      <c r="F64" s="12">
        <f t="shared" si="0"/>
        <v>20</v>
      </c>
      <c r="G64" s="12">
        <f t="shared" si="1"/>
        <v>6360</v>
      </c>
      <c r="H64" s="12">
        <f t="shared" si="2"/>
        <v>6300</v>
      </c>
      <c r="I64" s="12">
        <f t="shared" si="3"/>
        <v>60</v>
      </c>
      <c r="J64" s="38">
        <f t="shared" si="4"/>
        <v>9.5238095238095247E-3</v>
      </c>
      <c r="K64" s="6" t="s">
        <v>12</v>
      </c>
    </row>
    <row r="65" spans="1:11" x14ac:dyDescent="0.25">
      <c r="A65" s="35">
        <v>45913</v>
      </c>
      <c r="B65" s="36" t="s">
        <v>48</v>
      </c>
      <c r="C65" s="37">
        <v>1</v>
      </c>
      <c r="D65" s="37">
        <v>680</v>
      </c>
      <c r="E65" s="37">
        <v>800</v>
      </c>
      <c r="F65" s="37">
        <f t="shared" si="0"/>
        <v>-120</v>
      </c>
      <c r="G65" s="37">
        <f t="shared" si="1"/>
        <v>680</v>
      </c>
      <c r="H65" s="37">
        <f t="shared" si="2"/>
        <v>800</v>
      </c>
      <c r="I65" s="37">
        <f t="shared" si="3"/>
        <v>-120</v>
      </c>
      <c r="J65" s="40">
        <f t="shared" si="4"/>
        <v>-0.15</v>
      </c>
      <c r="K65" s="36" t="s">
        <v>12</v>
      </c>
    </row>
    <row r="66" spans="1:11" x14ac:dyDescent="0.25">
      <c r="A66" s="11">
        <v>45914</v>
      </c>
      <c r="B66" s="6" t="s">
        <v>18</v>
      </c>
      <c r="C66" s="12">
        <v>2</v>
      </c>
      <c r="D66" s="12">
        <v>3880</v>
      </c>
      <c r="E66" s="12">
        <v>3600</v>
      </c>
      <c r="F66" s="12">
        <f t="shared" ref="F66:F128" si="5">D66-E66</f>
        <v>280</v>
      </c>
      <c r="G66" s="12">
        <f t="shared" ref="G66:G128" si="6">C66*D66</f>
        <v>7760</v>
      </c>
      <c r="H66" s="12">
        <f t="shared" ref="H66:H128" si="7">C66*E66</f>
        <v>7200</v>
      </c>
      <c r="I66" s="12">
        <f t="shared" ref="I66:I128" si="8">G66-H66</f>
        <v>560</v>
      </c>
      <c r="J66" s="38">
        <f t="shared" si="4"/>
        <v>7.7777777777777779E-2</v>
      </c>
      <c r="K66" s="6" t="s">
        <v>12</v>
      </c>
    </row>
    <row r="67" spans="1:11" x14ac:dyDescent="0.25">
      <c r="A67" s="11">
        <v>45914</v>
      </c>
      <c r="B67" s="6" t="s">
        <v>17</v>
      </c>
      <c r="C67" s="12">
        <v>4</v>
      </c>
      <c r="D67" s="12">
        <v>3700</v>
      </c>
      <c r="E67" s="12">
        <v>3350</v>
      </c>
      <c r="F67" s="12">
        <f t="shared" si="5"/>
        <v>350</v>
      </c>
      <c r="G67" s="12">
        <f t="shared" si="6"/>
        <v>14800</v>
      </c>
      <c r="H67" s="12">
        <f t="shared" si="7"/>
        <v>13400</v>
      </c>
      <c r="I67" s="12">
        <f t="shared" si="8"/>
        <v>1400</v>
      </c>
      <c r="J67" s="38">
        <f t="shared" ref="J67:J128" si="9">(D67-E67)/E67</f>
        <v>0.1044776119402985</v>
      </c>
      <c r="K67" s="6" t="s">
        <v>12</v>
      </c>
    </row>
    <row r="68" spans="1:11" x14ac:dyDescent="0.25">
      <c r="A68" s="11">
        <v>45914</v>
      </c>
      <c r="B68" s="6" t="s">
        <v>39</v>
      </c>
      <c r="C68" s="12">
        <v>3</v>
      </c>
      <c r="D68" s="12">
        <v>1300</v>
      </c>
      <c r="E68" s="12">
        <v>1250</v>
      </c>
      <c r="F68" s="12">
        <f t="shared" si="5"/>
        <v>50</v>
      </c>
      <c r="G68" s="12">
        <f t="shared" si="6"/>
        <v>3900</v>
      </c>
      <c r="H68" s="12">
        <f t="shared" si="7"/>
        <v>3750</v>
      </c>
      <c r="I68" s="12">
        <f t="shared" si="8"/>
        <v>150</v>
      </c>
      <c r="J68" s="38">
        <f t="shared" si="9"/>
        <v>0.04</v>
      </c>
      <c r="K68" s="6" t="s">
        <v>12</v>
      </c>
    </row>
    <row r="69" spans="1:11" x14ac:dyDescent="0.25">
      <c r="A69" s="11">
        <v>45914</v>
      </c>
      <c r="B69" s="6" t="s">
        <v>36</v>
      </c>
      <c r="C69" s="12">
        <v>2</v>
      </c>
      <c r="D69" s="12">
        <v>2085</v>
      </c>
      <c r="E69" s="12">
        <v>2050</v>
      </c>
      <c r="F69" s="12">
        <f t="shared" si="5"/>
        <v>35</v>
      </c>
      <c r="G69" s="12">
        <f t="shared" si="6"/>
        <v>4170</v>
      </c>
      <c r="H69" s="12">
        <f t="shared" si="7"/>
        <v>4100</v>
      </c>
      <c r="I69" s="12">
        <f t="shared" si="8"/>
        <v>70</v>
      </c>
      <c r="J69" s="38">
        <f t="shared" si="9"/>
        <v>1.7073170731707318E-2</v>
      </c>
      <c r="K69" s="6" t="s">
        <v>12</v>
      </c>
    </row>
    <row r="70" spans="1:11" x14ac:dyDescent="0.25">
      <c r="A70" s="13">
        <v>45914</v>
      </c>
      <c r="B70" s="10" t="s">
        <v>36</v>
      </c>
      <c r="C70" s="15">
        <v>3</v>
      </c>
      <c r="D70" s="15">
        <v>1</v>
      </c>
      <c r="E70" s="15">
        <v>1</v>
      </c>
      <c r="F70" s="15">
        <f t="shared" si="5"/>
        <v>0</v>
      </c>
      <c r="G70" s="15">
        <f t="shared" si="6"/>
        <v>3</v>
      </c>
      <c r="H70" s="15">
        <f t="shared" si="7"/>
        <v>3</v>
      </c>
      <c r="I70" s="15">
        <f t="shared" si="8"/>
        <v>0</v>
      </c>
      <c r="J70" s="43">
        <f t="shared" si="9"/>
        <v>0</v>
      </c>
      <c r="K70" s="10" t="s">
        <v>12</v>
      </c>
    </row>
    <row r="71" spans="1:11" x14ac:dyDescent="0.25">
      <c r="A71" s="13">
        <v>45914</v>
      </c>
      <c r="B71" s="10" t="s">
        <v>37</v>
      </c>
      <c r="C71" s="15">
        <v>1</v>
      </c>
      <c r="D71" s="15">
        <v>1</v>
      </c>
      <c r="E71" s="15">
        <v>1</v>
      </c>
      <c r="F71" s="15">
        <f t="shared" si="5"/>
        <v>0</v>
      </c>
      <c r="G71" s="15">
        <f t="shared" si="6"/>
        <v>1</v>
      </c>
      <c r="H71" s="15">
        <f t="shared" si="7"/>
        <v>1</v>
      </c>
      <c r="I71" s="15">
        <f t="shared" si="8"/>
        <v>0</v>
      </c>
      <c r="J71" s="43">
        <f t="shared" si="9"/>
        <v>0</v>
      </c>
      <c r="K71" s="10" t="s">
        <v>12</v>
      </c>
    </row>
    <row r="72" spans="1:11" x14ac:dyDescent="0.25">
      <c r="A72" s="11">
        <v>45915</v>
      </c>
      <c r="B72" s="6" t="s">
        <v>15</v>
      </c>
      <c r="C72" s="12">
        <v>5</v>
      </c>
      <c r="D72" s="12">
        <v>2540</v>
      </c>
      <c r="E72" s="12">
        <v>2400</v>
      </c>
      <c r="F72" s="12">
        <f t="shared" si="5"/>
        <v>140</v>
      </c>
      <c r="G72" s="12">
        <f t="shared" si="6"/>
        <v>12700</v>
      </c>
      <c r="H72" s="12">
        <f t="shared" si="7"/>
        <v>12000</v>
      </c>
      <c r="I72" s="12">
        <f t="shared" si="8"/>
        <v>700</v>
      </c>
      <c r="J72" s="38">
        <f t="shared" si="9"/>
        <v>5.8333333333333334E-2</v>
      </c>
      <c r="K72" s="6" t="s">
        <v>12</v>
      </c>
    </row>
    <row r="73" spans="1:11" x14ac:dyDescent="0.25">
      <c r="A73" s="11">
        <v>45915</v>
      </c>
      <c r="B73" s="6" t="s">
        <v>42</v>
      </c>
      <c r="C73" s="12">
        <v>2</v>
      </c>
      <c r="D73" s="12">
        <v>2175</v>
      </c>
      <c r="E73" s="12">
        <v>1920</v>
      </c>
      <c r="F73" s="12">
        <f t="shared" si="5"/>
        <v>255</v>
      </c>
      <c r="G73" s="12">
        <f t="shared" si="6"/>
        <v>4350</v>
      </c>
      <c r="H73" s="12">
        <f t="shared" si="7"/>
        <v>3840</v>
      </c>
      <c r="I73" s="12">
        <f t="shared" si="8"/>
        <v>510</v>
      </c>
      <c r="J73" s="38">
        <f t="shared" si="9"/>
        <v>0.1328125</v>
      </c>
      <c r="K73" s="6" t="s">
        <v>12</v>
      </c>
    </row>
    <row r="74" spans="1:11" x14ac:dyDescent="0.25">
      <c r="A74" s="11">
        <v>45915</v>
      </c>
      <c r="B74" s="6" t="s">
        <v>29</v>
      </c>
      <c r="C74" s="12">
        <v>2</v>
      </c>
      <c r="D74" s="12">
        <v>2940</v>
      </c>
      <c r="E74" s="12">
        <v>2600</v>
      </c>
      <c r="F74" s="12">
        <f t="shared" si="5"/>
        <v>340</v>
      </c>
      <c r="G74" s="12">
        <f t="shared" si="6"/>
        <v>5880</v>
      </c>
      <c r="H74" s="12">
        <f t="shared" si="7"/>
        <v>5200</v>
      </c>
      <c r="I74" s="12">
        <f t="shared" si="8"/>
        <v>680</v>
      </c>
      <c r="J74" s="38">
        <f t="shared" si="9"/>
        <v>0.13076923076923078</v>
      </c>
      <c r="K74" s="6" t="s">
        <v>12</v>
      </c>
    </row>
    <row r="75" spans="1:11" x14ac:dyDescent="0.25">
      <c r="A75" s="11">
        <v>45915</v>
      </c>
      <c r="B75" s="6" t="s">
        <v>15</v>
      </c>
      <c r="C75" s="12">
        <v>1</v>
      </c>
      <c r="D75" s="12">
        <v>2600</v>
      </c>
      <c r="E75" s="12">
        <v>2500</v>
      </c>
      <c r="F75" s="12">
        <f t="shared" si="5"/>
        <v>100</v>
      </c>
      <c r="G75" s="12">
        <f t="shared" si="6"/>
        <v>2600</v>
      </c>
      <c r="H75" s="12">
        <f t="shared" si="7"/>
        <v>2500</v>
      </c>
      <c r="I75" s="12">
        <f t="shared" si="8"/>
        <v>100</v>
      </c>
      <c r="J75" s="38">
        <f t="shared" si="9"/>
        <v>0.04</v>
      </c>
      <c r="K75" s="6" t="s">
        <v>12</v>
      </c>
    </row>
    <row r="76" spans="1:11" x14ac:dyDescent="0.25">
      <c r="A76" s="11">
        <v>45915</v>
      </c>
      <c r="B76" s="6" t="s">
        <v>32</v>
      </c>
      <c r="C76" s="12">
        <v>5</v>
      </c>
      <c r="D76" s="12">
        <v>2340</v>
      </c>
      <c r="E76" s="12">
        <v>2200</v>
      </c>
      <c r="F76" s="12">
        <f t="shared" si="5"/>
        <v>140</v>
      </c>
      <c r="G76" s="12">
        <f t="shared" si="6"/>
        <v>11700</v>
      </c>
      <c r="H76" s="12">
        <f t="shared" si="7"/>
        <v>11000</v>
      </c>
      <c r="I76" s="12">
        <f t="shared" si="8"/>
        <v>700</v>
      </c>
      <c r="J76" s="38">
        <f t="shared" si="9"/>
        <v>6.363636363636363E-2</v>
      </c>
      <c r="K76" s="6" t="s">
        <v>12</v>
      </c>
    </row>
    <row r="77" spans="1:11" x14ac:dyDescent="0.25">
      <c r="A77" s="11">
        <v>45915</v>
      </c>
      <c r="B77" s="6" t="s">
        <v>31</v>
      </c>
      <c r="C77" s="12">
        <v>2</v>
      </c>
      <c r="D77" s="12">
        <v>2140</v>
      </c>
      <c r="E77" s="12">
        <v>2070</v>
      </c>
      <c r="F77" s="12">
        <f t="shared" si="5"/>
        <v>70</v>
      </c>
      <c r="G77" s="12">
        <f t="shared" si="6"/>
        <v>4280</v>
      </c>
      <c r="H77" s="12">
        <f t="shared" si="7"/>
        <v>4140</v>
      </c>
      <c r="I77" s="12">
        <f t="shared" si="8"/>
        <v>140</v>
      </c>
      <c r="J77" s="38">
        <f t="shared" si="9"/>
        <v>3.3816425120772944E-2</v>
      </c>
      <c r="K77" s="6" t="s">
        <v>12</v>
      </c>
    </row>
    <row r="78" spans="1:11" x14ac:dyDescent="0.25">
      <c r="A78" s="11">
        <v>45920</v>
      </c>
      <c r="B78" s="6" t="s">
        <v>14</v>
      </c>
      <c r="C78" s="12">
        <v>2</v>
      </c>
      <c r="D78" s="12">
        <v>2550</v>
      </c>
      <c r="E78" s="12">
        <v>1879.85</v>
      </c>
      <c r="F78" s="12">
        <f t="shared" si="5"/>
        <v>670.15000000000009</v>
      </c>
      <c r="G78" s="12">
        <f t="shared" si="6"/>
        <v>5100</v>
      </c>
      <c r="H78" s="12">
        <f t="shared" si="7"/>
        <v>3759.7</v>
      </c>
      <c r="I78" s="12">
        <f t="shared" si="8"/>
        <v>1340.3000000000002</v>
      </c>
      <c r="J78" s="38">
        <f t="shared" si="9"/>
        <v>0.35649120940500578</v>
      </c>
      <c r="K78" s="6" t="s">
        <v>12</v>
      </c>
    </row>
    <row r="79" spans="1:11" x14ac:dyDescent="0.25">
      <c r="A79" s="11">
        <v>45920</v>
      </c>
      <c r="B79" s="6" t="s">
        <v>55</v>
      </c>
      <c r="C79" s="12">
        <v>1</v>
      </c>
      <c r="D79" s="12">
        <v>1650</v>
      </c>
      <c r="E79" s="12">
        <v>1396.2</v>
      </c>
      <c r="F79" s="12">
        <f t="shared" si="5"/>
        <v>253.79999999999995</v>
      </c>
      <c r="G79" s="12">
        <f t="shared" si="6"/>
        <v>1650</v>
      </c>
      <c r="H79" s="12">
        <f t="shared" si="7"/>
        <v>1396.2</v>
      </c>
      <c r="I79" s="12">
        <f t="shared" si="8"/>
        <v>253.79999999999995</v>
      </c>
      <c r="J79" s="38">
        <f t="shared" si="9"/>
        <v>0.18177911474000855</v>
      </c>
      <c r="K79" s="6" t="s">
        <v>12</v>
      </c>
    </row>
    <row r="80" spans="1:11" x14ac:dyDescent="0.25">
      <c r="A80" s="13">
        <v>45920</v>
      </c>
      <c r="B80" s="10" t="s">
        <v>56</v>
      </c>
      <c r="C80" s="15">
        <v>2</v>
      </c>
      <c r="D80" s="15">
        <v>535</v>
      </c>
      <c r="E80" s="15">
        <v>535</v>
      </c>
      <c r="F80" s="15">
        <f t="shared" si="5"/>
        <v>0</v>
      </c>
      <c r="G80" s="15">
        <f t="shared" si="6"/>
        <v>1070</v>
      </c>
      <c r="H80" s="15">
        <f t="shared" si="7"/>
        <v>1070</v>
      </c>
      <c r="I80" s="15">
        <f t="shared" si="8"/>
        <v>0</v>
      </c>
      <c r="J80" s="43">
        <f t="shared" si="9"/>
        <v>0</v>
      </c>
      <c r="K80" s="10" t="s">
        <v>12</v>
      </c>
    </row>
    <row r="81" spans="1:11" x14ac:dyDescent="0.25">
      <c r="A81" s="13">
        <v>45920</v>
      </c>
      <c r="B81" s="10" t="s">
        <v>56</v>
      </c>
      <c r="C81" s="15">
        <v>4</v>
      </c>
      <c r="D81" s="15">
        <v>560</v>
      </c>
      <c r="E81" s="15">
        <v>560</v>
      </c>
      <c r="F81" s="15">
        <f t="shared" si="5"/>
        <v>0</v>
      </c>
      <c r="G81" s="15">
        <f t="shared" si="6"/>
        <v>2240</v>
      </c>
      <c r="H81" s="15">
        <f t="shared" si="7"/>
        <v>2240</v>
      </c>
      <c r="I81" s="15">
        <f t="shared" si="8"/>
        <v>0</v>
      </c>
      <c r="J81" s="43">
        <f t="shared" si="9"/>
        <v>0</v>
      </c>
      <c r="K81" s="10" t="s">
        <v>12</v>
      </c>
    </row>
    <row r="82" spans="1:11" x14ac:dyDescent="0.25">
      <c r="A82" s="11">
        <v>45920</v>
      </c>
      <c r="B82" s="6" t="s">
        <v>57</v>
      </c>
      <c r="C82" s="12">
        <v>1</v>
      </c>
      <c r="D82" s="12">
        <v>645</v>
      </c>
      <c r="E82" s="12">
        <v>519.1</v>
      </c>
      <c r="F82" s="12">
        <f t="shared" si="5"/>
        <v>125.89999999999998</v>
      </c>
      <c r="G82" s="12">
        <f t="shared" si="6"/>
        <v>645</v>
      </c>
      <c r="H82" s="12">
        <f t="shared" si="7"/>
        <v>519.1</v>
      </c>
      <c r="I82" s="12">
        <f t="shared" si="8"/>
        <v>125.89999999999998</v>
      </c>
      <c r="J82" s="38">
        <f t="shared" si="9"/>
        <v>0.24253515700250428</v>
      </c>
      <c r="K82" s="6" t="s">
        <v>12</v>
      </c>
    </row>
    <row r="83" spans="1:11" x14ac:dyDescent="0.25">
      <c r="A83" s="11">
        <v>45920</v>
      </c>
      <c r="B83" s="6" t="s">
        <v>55</v>
      </c>
      <c r="C83" s="12">
        <v>2</v>
      </c>
      <c r="D83" s="12">
        <v>1700</v>
      </c>
      <c r="E83" s="12">
        <v>1396.2</v>
      </c>
      <c r="F83" s="12">
        <f t="shared" si="5"/>
        <v>303.79999999999995</v>
      </c>
      <c r="G83" s="12">
        <f t="shared" si="6"/>
        <v>3400</v>
      </c>
      <c r="H83" s="12">
        <f t="shared" si="7"/>
        <v>2792.4</v>
      </c>
      <c r="I83" s="12">
        <f t="shared" si="8"/>
        <v>607.59999999999991</v>
      </c>
      <c r="J83" s="38">
        <f t="shared" si="9"/>
        <v>0.21759060306546335</v>
      </c>
      <c r="K83" s="6" t="s">
        <v>12</v>
      </c>
    </row>
    <row r="84" spans="1:11" x14ac:dyDescent="0.25">
      <c r="A84" s="11">
        <v>45920</v>
      </c>
      <c r="B84" s="6" t="s">
        <v>56</v>
      </c>
      <c r="C84" s="12">
        <v>3</v>
      </c>
      <c r="D84" s="12">
        <v>192</v>
      </c>
      <c r="E84" s="12">
        <v>150.36000000000001</v>
      </c>
      <c r="F84" s="12">
        <f t="shared" si="5"/>
        <v>41.639999999999986</v>
      </c>
      <c r="G84" s="12">
        <f t="shared" si="6"/>
        <v>576</v>
      </c>
      <c r="H84" s="12">
        <f t="shared" si="7"/>
        <v>451.08000000000004</v>
      </c>
      <c r="I84" s="12">
        <f t="shared" si="8"/>
        <v>124.91999999999996</v>
      </c>
      <c r="J84" s="38">
        <f t="shared" si="9"/>
        <v>0.27693535514764556</v>
      </c>
      <c r="K84" s="6" t="s">
        <v>12</v>
      </c>
    </row>
    <row r="85" spans="1:11" x14ac:dyDescent="0.25">
      <c r="A85" s="11">
        <v>45921</v>
      </c>
      <c r="B85" s="6" t="s">
        <v>22</v>
      </c>
      <c r="C85" s="12">
        <v>2</v>
      </c>
      <c r="D85" s="12">
        <v>970</v>
      </c>
      <c r="E85" s="12">
        <v>700.96</v>
      </c>
      <c r="F85" s="12">
        <f t="shared" si="5"/>
        <v>269.03999999999996</v>
      </c>
      <c r="G85" s="12">
        <f t="shared" si="6"/>
        <v>1940</v>
      </c>
      <c r="H85" s="12">
        <f t="shared" si="7"/>
        <v>1401.92</v>
      </c>
      <c r="I85" s="12">
        <f t="shared" si="8"/>
        <v>538.07999999999993</v>
      </c>
      <c r="J85" s="38">
        <f t="shared" si="9"/>
        <v>0.38381648025564935</v>
      </c>
      <c r="K85" s="6" t="s">
        <v>12</v>
      </c>
    </row>
    <row r="86" spans="1:11" x14ac:dyDescent="0.25">
      <c r="A86" s="11">
        <v>45921</v>
      </c>
      <c r="B86" s="6" t="s">
        <v>22</v>
      </c>
      <c r="C86" s="12">
        <v>1</v>
      </c>
      <c r="D86" s="12">
        <v>960</v>
      </c>
      <c r="E86" s="12">
        <v>700.96</v>
      </c>
      <c r="F86" s="12">
        <f t="shared" si="5"/>
        <v>259.03999999999996</v>
      </c>
      <c r="G86" s="12">
        <f t="shared" si="6"/>
        <v>960</v>
      </c>
      <c r="H86" s="12">
        <f t="shared" si="7"/>
        <v>700.96</v>
      </c>
      <c r="I86" s="12">
        <f t="shared" si="8"/>
        <v>259.03999999999996</v>
      </c>
      <c r="J86" s="38">
        <f t="shared" si="9"/>
        <v>0.36955033097466322</v>
      </c>
      <c r="K86" s="6" t="s">
        <v>12</v>
      </c>
    </row>
    <row r="87" spans="1:11" x14ac:dyDescent="0.25">
      <c r="A87" s="11">
        <v>45922</v>
      </c>
      <c r="B87" s="6" t="s">
        <v>39</v>
      </c>
      <c r="C87" s="12">
        <v>1</v>
      </c>
      <c r="D87" s="12">
        <v>1300</v>
      </c>
      <c r="E87" s="12">
        <v>1230</v>
      </c>
      <c r="F87" s="12">
        <f t="shared" si="5"/>
        <v>70</v>
      </c>
      <c r="G87" s="12">
        <f t="shared" si="6"/>
        <v>1300</v>
      </c>
      <c r="H87" s="12">
        <f t="shared" si="7"/>
        <v>1230</v>
      </c>
      <c r="I87" s="12">
        <f t="shared" si="8"/>
        <v>70</v>
      </c>
      <c r="J87" s="38">
        <f t="shared" si="9"/>
        <v>5.6910569105691054E-2</v>
      </c>
      <c r="K87" s="6" t="s">
        <v>12</v>
      </c>
    </row>
    <row r="88" spans="1:11" x14ac:dyDescent="0.25">
      <c r="A88" s="11">
        <v>45922</v>
      </c>
      <c r="B88" s="6" t="s">
        <v>18</v>
      </c>
      <c r="C88" s="12">
        <v>1</v>
      </c>
      <c r="D88" s="12">
        <v>3880</v>
      </c>
      <c r="E88" s="12">
        <v>3600</v>
      </c>
      <c r="F88" s="12">
        <f t="shared" si="5"/>
        <v>280</v>
      </c>
      <c r="G88" s="12">
        <f t="shared" si="6"/>
        <v>3880</v>
      </c>
      <c r="H88" s="12">
        <f t="shared" si="7"/>
        <v>3600</v>
      </c>
      <c r="I88" s="12">
        <f t="shared" si="8"/>
        <v>280</v>
      </c>
      <c r="J88" s="38">
        <f t="shared" si="9"/>
        <v>7.7777777777777779E-2</v>
      </c>
      <c r="K88" s="6" t="s">
        <v>12</v>
      </c>
    </row>
    <row r="89" spans="1:11" x14ac:dyDescent="0.25">
      <c r="A89" s="11">
        <v>45922</v>
      </c>
      <c r="B89" s="6" t="s">
        <v>17</v>
      </c>
      <c r="C89" s="12">
        <v>1</v>
      </c>
      <c r="D89" s="12">
        <v>3700</v>
      </c>
      <c r="E89" s="12">
        <v>3350</v>
      </c>
      <c r="F89" s="12">
        <f t="shared" si="5"/>
        <v>350</v>
      </c>
      <c r="G89" s="12">
        <f t="shared" si="6"/>
        <v>3700</v>
      </c>
      <c r="H89" s="12">
        <f t="shared" si="7"/>
        <v>3350</v>
      </c>
      <c r="I89" s="12">
        <f t="shared" si="8"/>
        <v>350</v>
      </c>
      <c r="J89" s="38">
        <f t="shared" si="9"/>
        <v>0.1044776119402985</v>
      </c>
      <c r="K89" s="6" t="s">
        <v>12</v>
      </c>
    </row>
    <row r="90" spans="1:11" x14ac:dyDescent="0.25">
      <c r="A90" s="35">
        <v>45922</v>
      </c>
      <c r="B90" s="36" t="s">
        <v>39</v>
      </c>
      <c r="C90" s="37">
        <v>1</v>
      </c>
      <c r="D90" s="37">
        <v>1200</v>
      </c>
      <c r="E90" s="37">
        <v>1230</v>
      </c>
      <c r="F90" s="37">
        <f t="shared" si="5"/>
        <v>-30</v>
      </c>
      <c r="G90" s="37">
        <f t="shared" si="6"/>
        <v>1200</v>
      </c>
      <c r="H90" s="37">
        <f t="shared" si="7"/>
        <v>1230</v>
      </c>
      <c r="I90" s="37">
        <f t="shared" si="8"/>
        <v>-30</v>
      </c>
      <c r="J90" s="40">
        <f t="shared" si="9"/>
        <v>-2.4390243902439025E-2</v>
      </c>
      <c r="K90" s="36" t="s">
        <v>12</v>
      </c>
    </row>
    <row r="91" spans="1:11" x14ac:dyDescent="0.25">
      <c r="A91" s="11">
        <v>45923</v>
      </c>
      <c r="B91" s="6" t="s">
        <v>15</v>
      </c>
      <c r="C91" s="12">
        <v>4</v>
      </c>
      <c r="D91" s="12">
        <v>2640</v>
      </c>
      <c r="E91" s="12">
        <v>2530</v>
      </c>
      <c r="F91" s="12">
        <f t="shared" si="5"/>
        <v>110</v>
      </c>
      <c r="G91" s="12">
        <f t="shared" si="6"/>
        <v>10560</v>
      </c>
      <c r="H91" s="12">
        <f t="shared" si="7"/>
        <v>10120</v>
      </c>
      <c r="I91" s="12">
        <f t="shared" si="8"/>
        <v>440</v>
      </c>
      <c r="J91" s="38">
        <f t="shared" si="9"/>
        <v>4.3478260869565216E-2</v>
      </c>
      <c r="K91" s="6" t="s">
        <v>12</v>
      </c>
    </row>
    <row r="92" spans="1:11" x14ac:dyDescent="0.25">
      <c r="A92" s="11">
        <v>45923</v>
      </c>
      <c r="B92" s="6" t="s">
        <v>31</v>
      </c>
      <c r="C92" s="12">
        <v>4</v>
      </c>
      <c r="D92" s="12">
        <v>2175</v>
      </c>
      <c r="E92" s="12">
        <v>2130</v>
      </c>
      <c r="F92" s="12">
        <f t="shared" si="5"/>
        <v>45</v>
      </c>
      <c r="G92" s="12">
        <f t="shared" si="6"/>
        <v>8700</v>
      </c>
      <c r="H92" s="12">
        <f t="shared" si="7"/>
        <v>8520</v>
      </c>
      <c r="I92" s="12">
        <f t="shared" si="8"/>
        <v>180</v>
      </c>
      <c r="J92" s="38">
        <f t="shared" si="9"/>
        <v>2.1126760563380281E-2</v>
      </c>
      <c r="K92" s="6" t="s">
        <v>12</v>
      </c>
    </row>
    <row r="93" spans="1:11" x14ac:dyDescent="0.25">
      <c r="A93" s="11">
        <v>45923</v>
      </c>
      <c r="B93" s="6" t="s">
        <v>32</v>
      </c>
      <c r="C93" s="12">
        <v>1</v>
      </c>
      <c r="D93" s="12">
        <v>2460</v>
      </c>
      <c r="E93" s="12">
        <v>2250</v>
      </c>
      <c r="F93" s="12">
        <f t="shared" si="5"/>
        <v>210</v>
      </c>
      <c r="G93" s="12">
        <f t="shared" si="6"/>
        <v>2460</v>
      </c>
      <c r="H93" s="12">
        <f t="shared" si="7"/>
        <v>2250</v>
      </c>
      <c r="I93" s="12">
        <f t="shared" si="8"/>
        <v>210</v>
      </c>
      <c r="J93" s="38">
        <f t="shared" si="9"/>
        <v>9.3333333333333338E-2</v>
      </c>
      <c r="K93" s="6" t="s">
        <v>12</v>
      </c>
    </row>
    <row r="94" spans="1:11" x14ac:dyDescent="0.25">
      <c r="A94" s="11">
        <v>45923</v>
      </c>
      <c r="B94" s="6" t="s">
        <v>15</v>
      </c>
      <c r="C94" s="12">
        <v>2</v>
      </c>
      <c r="D94" s="12">
        <v>2745</v>
      </c>
      <c r="E94" s="12">
        <v>2670</v>
      </c>
      <c r="F94" s="12">
        <f t="shared" si="5"/>
        <v>75</v>
      </c>
      <c r="G94" s="12">
        <f t="shared" si="6"/>
        <v>5490</v>
      </c>
      <c r="H94" s="12">
        <f t="shared" si="7"/>
        <v>5340</v>
      </c>
      <c r="I94" s="12">
        <f t="shared" si="8"/>
        <v>150</v>
      </c>
      <c r="J94" s="38">
        <f t="shared" si="9"/>
        <v>2.8089887640449437E-2</v>
      </c>
      <c r="K94" s="6" t="s">
        <v>12</v>
      </c>
    </row>
    <row r="95" spans="1:11" x14ac:dyDescent="0.25">
      <c r="A95" s="11">
        <v>45923</v>
      </c>
      <c r="B95" s="6" t="s">
        <v>42</v>
      </c>
      <c r="C95" s="12">
        <v>8</v>
      </c>
      <c r="D95" s="12">
        <v>2150</v>
      </c>
      <c r="E95" s="12">
        <v>1920</v>
      </c>
      <c r="F95" s="12">
        <f t="shared" si="5"/>
        <v>230</v>
      </c>
      <c r="G95" s="12">
        <f t="shared" si="6"/>
        <v>17200</v>
      </c>
      <c r="H95" s="12">
        <f t="shared" si="7"/>
        <v>15360</v>
      </c>
      <c r="I95" s="12">
        <f t="shared" si="8"/>
        <v>1840</v>
      </c>
      <c r="J95" s="38">
        <f t="shared" si="9"/>
        <v>0.11979166666666667</v>
      </c>
      <c r="K95" s="6" t="s">
        <v>12</v>
      </c>
    </row>
    <row r="96" spans="1:11" x14ac:dyDescent="0.25">
      <c r="A96" s="11">
        <v>45923</v>
      </c>
      <c r="B96" s="6" t="s">
        <v>15</v>
      </c>
      <c r="C96" s="12">
        <v>7</v>
      </c>
      <c r="D96" s="12">
        <v>2530</v>
      </c>
      <c r="E96" s="12">
        <v>2430</v>
      </c>
      <c r="F96" s="12">
        <f t="shared" si="5"/>
        <v>100</v>
      </c>
      <c r="G96" s="12">
        <f t="shared" si="6"/>
        <v>17710</v>
      </c>
      <c r="H96" s="12">
        <f t="shared" si="7"/>
        <v>17010</v>
      </c>
      <c r="I96" s="12">
        <f t="shared" si="8"/>
        <v>700</v>
      </c>
      <c r="J96" s="38">
        <f t="shared" si="9"/>
        <v>4.1152263374485597E-2</v>
      </c>
      <c r="K96" s="6" t="s">
        <v>12</v>
      </c>
    </row>
    <row r="97" spans="1:11" x14ac:dyDescent="0.25">
      <c r="A97" s="11">
        <v>45923</v>
      </c>
      <c r="B97" s="6" t="s">
        <v>15</v>
      </c>
      <c r="C97" s="12">
        <v>3</v>
      </c>
      <c r="D97" s="12">
        <v>2480</v>
      </c>
      <c r="E97" s="12">
        <v>2400</v>
      </c>
      <c r="F97" s="12">
        <f t="shared" si="5"/>
        <v>80</v>
      </c>
      <c r="G97" s="12">
        <f t="shared" si="6"/>
        <v>7440</v>
      </c>
      <c r="H97" s="12">
        <f t="shared" si="7"/>
        <v>7200</v>
      </c>
      <c r="I97" s="12">
        <f t="shared" si="8"/>
        <v>240</v>
      </c>
      <c r="J97" s="38">
        <f t="shared" si="9"/>
        <v>3.3333333333333333E-2</v>
      </c>
      <c r="K97" s="6" t="s">
        <v>12</v>
      </c>
    </row>
    <row r="98" spans="1:11" x14ac:dyDescent="0.25">
      <c r="A98" s="11">
        <v>45923</v>
      </c>
      <c r="B98" s="6" t="s">
        <v>58</v>
      </c>
      <c r="C98" s="12">
        <v>1</v>
      </c>
      <c r="D98" s="12">
        <v>3350</v>
      </c>
      <c r="E98" s="12">
        <v>3200</v>
      </c>
      <c r="F98" s="12">
        <f t="shared" si="5"/>
        <v>150</v>
      </c>
      <c r="G98" s="12">
        <f t="shared" si="6"/>
        <v>3350</v>
      </c>
      <c r="H98" s="12">
        <f t="shared" si="7"/>
        <v>3200</v>
      </c>
      <c r="I98" s="12">
        <f t="shared" si="8"/>
        <v>150</v>
      </c>
      <c r="J98" s="38">
        <f t="shared" si="9"/>
        <v>4.6875E-2</v>
      </c>
      <c r="K98" s="6" t="s">
        <v>12</v>
      </c>
    </row>
    <row r="99" spans="1:11" x14ac:dyDescent="0.25">
      <c r="A99" s="11">
        <v>45926</v>
      </c>
      <c r="B99" s="6" t="s">
        <v>15</v>
      </c>
      <c r="C99" s="12">
        <v>2</v>
      </c>
      <c r="D99" s="12">
        <v>2530</v>
      </c>
      <c r="E99" s="12">
        <v>2430</v>
      </c>
      <c r="F99" s="12">
        <f t="shared" si="5"/>
        <v>100</v>
      </c>
      <c r="G99" s="12">
        <f t="shared" si="6"/>
        <v>5060</v>
      </c>
      <c r="H99" s="12">
        <f t="shared" si="7"/>
        <v>4860</v>
      </c>
      <c r="I99" s="12">
        <f t="shared" si="8"/>
        <v>200</v>
      </c>
      <c r="J99" s="38">
        <f t="shared" si="9"/>
        <v>4.1152263374485597E-2</v>
      </c>
      <c r="K99" s="6" t="s">
        <v>12</v>
      </c>
    </row>
    <row r="100" spans="1:11" x14ac:dyDescent="0.25">
      <c r="A100" s="11">
        <v>45926</v>
      </c>
      <c r="B100" s="6" t="s">
        <v>15</v>
      </c>
      <c r="C100" s="12">
        <v>9</v>
      </c>
      <c r="D100" s="12">
        <v>2720</v>
      </c>
      <c r="E100" s="12">
        <v>2670</v>
      </c>
      <c r="F100" s="12">
        <f t="shared" si="5"/>
        <v>50</v>
      </c>
      <c r="G100" s="12">
        <f t="shared" si="6"/>
        <v>24480</v>
      </c>
      <c r="H100" s="12">
        <f t="shared" si="7"/>
        <v>24030</v>
      </c>
      <c r="I100" s="12">
        <f t="shared" si="8"/>
        <v>450</v>
      </c>
      <c r="J100" s="38">
        <f t="shared" si="9"/>
        <v>1.8726591760299626E-2</v>
      </c>
      <c r="K100" s="6" t="s">
        <v>12</v>
      </c>
    </row>
    <row r="101" spans="1:11" x14ac:dyDescent="0.25">
      <c r="A101" s="11">
        <v>45926</v>
      </c>
      <c r="B101" s="6" t="s">
        <v>15</v>
      </c>
      <c r="C101" s="12">
        <v>1</v>
      </c>
      <c r="D101" s="12">
        <v>2670</v>
      </c>
      <c r="E101" s="12">
        <v>2530</v>
      </c>
      <c r="F101" s="12">
        <f t="shared" si="5"/>
        <v>140</v>
      </c>
      <c r="G101" s="12">
        <f t="shared" si="6"/>
        <v>2670</v>
      </c>
      <c r="H101" s="12">
        <f t="shared" si="7"/>
        <v>2530</v>
      </c>
      <c r="I101" s="12">
        <f t="shared" si="8"/>
        <v>140</v>
      </c>
      <c r="J101" s="38">
        <f t="shared" si="9"/>
        <v>5.533596837944664E-2</v>
      </c>
      <c r="K101" s="6" t="s">
        <v>12</v>
      </c>
    </row>
    <row r="102" spans="1:11" x14ac:dyDescent="0.25">
      <c r="A102" s="11">
        <v>45926</v>
      </c>
      <c r="B102" s="6" t="s">
        <v>15</v>
      </c>
      <c r="C102" s="12">
        <v>3</v>
      </c>
      <c r="D102" s="12">
        <v>2615</v>
      </c>
      <c r="E102" s="12">
        <v>2530</v>
      </c>
      <c r="F102" s="12">
        <f t="shared" si="5"/>
        <v>85</v>
      </c>
      <c r="G102" s="12">
        <f t="shared" si="6"/>
        <v>7845</v>
      </c>
      <c r="H102" s="12">
        <f t="shared" si="7"/>
        <v>7590</v>
      </c>
      <c r="I102" s="12">
        <f t="shared" si="8"/>
        <v>255</v>
      </c>
      <c r="J102" s="38">
        <f t="shared" si="9"/>
        <v>3.3596837944664032E-2</v>
      </c>
      <c r="K102" s="6" t="s">
        <v>12</v>
      </c>
    </row>
    <row r="103" spans="1:11" x14ac:dyDescent="0.25">
      <c r="A103" s="11">
        <v>45926</v>
      </c>
      <c r="B103" s="6" t="s">
        <v>29</v>
      </c>
      <c r="C103" s="12">
        <v>2</v>
      </c>
      <c r="D103" s="12">
        <v>2940</v>
      </c>
      <c r="E103" s="12">
        <v>2630</v>
      </c>
      <c r="F103" s="12">
        <f t="shared" si="5"/>
        <v>310</v>
      </c>
      <c r="G103" s="12">
        <f t="shared" si="6"/>
        <v>5880</v>
      </c>
      <c r="H103" s="12">
        <f t="shared" si="7"/>
        <v>5260</v>
      </c>
      <c r="I103" s="12">
        <f t="shared" si="8"/>
        <v>620</v>
      </c>
      <c r="J103" s="38">
        <f t="shared" si="9"/>
        <v>0.11787072243346007</v>
      </c>
      <c r="K103" s="6" t="s">
        <v>12</v>
      </c>
    </row>
    <row r="104" spans="1:11" x14ac:dyDescent="0.25">
      <c r="A104" s="11">
        <v>45926</v>
      </c>
      <c r="B104" s="6" t="s">
        <v>31</v>
      </c>
      <c r="C104" s="12">
        <v>7</v>
      </c>
      <c r="D104" s="12">
        <v>2130</v>
      </c>
      <c r="E104" s="12">
        <v>2020</v>
      </c>
      <c r="F104" s="12">
        <f t="shared" si="5"/>
        <v>110</v>
      </c>
      <c r="G104" s="12">
        <f t="shared" si="6"/>
        <v>14910</v>
      </c>
      <c r="H104" s="12">
        <f t="shared" si="7"/>
        <v>14140</v>
      </c>
      <c r="I104" s="12">
        <f t="shared" si="8"/>
        <v>770</v>
      </c>
      <c r="J104" s="38">
        <f t="shared" si="9"/>
        <v>5.4455445544554455E-2</v>
      </c>
      <c r="K104" s="6" t="s">
        <v>12</v>
      </c>
    </row>
    <row r="105" spans="1:11" x14ac:dyDescent="0.25">
      <c r="A105" s="11">
        <v>45926</v>
      </c>
      <c r="B105" s="6" t="s">
        <v>32</v>
      </c>
      <c r="C105" s="12">
        <v>5</v>
      </c>
      <c r="D105" s="12">
        <v>2340</v>
      </c>
      <c r="E105" s="12">
        <v>2250</v>
      </c>
      <c r="F105" s="12">
        <f t="shared" si="5"/>
        <v>90</v>
      </c>
      <c r="G105" s="12">
        <f t="shared" si="6"/>
        <v>11700</v>
      </c>
      <c r="H105" s="12">
        <f t="shared" si="7"/>
        <v>11250</v>
      </c>
      <c r="I105" s="12">
        <f t="shared" si="8"/>
        <v>450</v>
      </c>
      <c r="J105" s="38">
        <f t="shared" si="9"/>
        <v>0.04</v>
      </c>
      <c r="K105" s="6" t="s">
        <v>12</v>
      </c>
    </row>
    <row r="106" spans="1:11" x14ac:dyDescent="0.25">
      <c r="A106" s="11">
        <v>45926</v>
      </c>
      <c r="B106" s="6" t="s">
        <v>61</v>
      </c>
      <c r="C106" s="12">
        <v>1</v>
      </c>
      <c r="D106" s="12">
        <v>800</v>
      </c>
      <c r="E106" s="12">
        <v>800</v>
      </c>
      <c r="F106" s="12">
        <f t="shared" si="5"/>
        <v>0</v>
      </c>
      <c r="G106" s="12">
        <f t="shared" si="6"/>
        <v>800</v>
      </c>
      <c r="H106" s="12">
        <f t="shared" si="7"/>
        <v>800</v>
      </c>
      <c r="I106" s="12">
        <f t="shared" si="8"/>
        <v>0</v>
      </c>
      <c r="J106" s="38">
        <f t="shared" si="9"/>
        <v>0</v>
      </c>
      <c r="K106" s="6" t="s">
        <v>12</v>
      </c>
    </row>
    <row r="107" spans="1:11" x14ac:dyDescent="0.25">
      <c r="A107" s="11">
        <v>45926</v>
      </c>
      <c r="B107" s="6" t="s">
        <v>29</v>
      </c>
      <c r="C107" s="12">
        <v>4</v>
      </c>
      <c r="D107" s="12">
        <v>2940</v>
      </c>
      <c r="E107" s="12">
        <v>2630</v>
      </c>
      <c r="F107" s="12">
        <f t="shared" si="5"/>
        <v>310</v>
      </c>
      <c r="G107" s="12">
        <f t="shared" si="6"/>
        <v>11760</v>
      </c>
      <c r="H107" s="12">
        <f t="shared" si="7"/>
        <v>10520</v>
      </c>
      <c r="I107" s="12">
        <f t="shared" si="8"/>
        <v>1240</v>
      </c>
      <c r="J107" s="38">
        <f t="shared" si="9"/>
        <v>0.11787072243346007</v>
      </c>
      <c r="K107" s="6" t="s">
        <v>12</v>
      </c>
    </row>
    <row r="108" spans="1:11" x14ac:dyDescent="0.25">
      <c r="A108" s="11">
        <v>45926</v>
      </c>
      <c r="B108" s="6" t="s">
        <v>15</v>
      </c>
      <c r="C108" s="12">
        <v>7</v>
      </c>
      <c r="D108" s="12">
        <v>2530</v>
      </c>
      <c r="E108" s="12">
        <v>2430</v>
      </c>
      <c r="F108" s="12">
        <f t="shared" si="5"/>
        <v>100</v>
      </c>
      <c r="G108" s="12">
        <f t="shared" si="6"/>
        <v>17710</v>
      </c>
      <c r="H108" s="12">
        <f t="shared" si="7"/>
        <v>17010</v>
      </c>
      <c r="I108" s="12">
        <f t="shared" si="8"/>
        <v>700</v>
      </c>
      <c r="J108" s="38">
        <f t="shared" si="9"/>
        <v>4.1152263374485597E-2</v>
      </c>
      <c r="K108" s="6" t="s">
        <v>12</v>
      </c>
    </row>
    <row r="109" spans="1:11" x14ac:dyDescent="0.25">
      <c r="A109" s="11">
        <v>45926</v>
      </c>
      <c r="B109" s="6" t="s">
        <v>15</v>
      </c>
      <c r="C109" s="12">
        <v>2</v>
      </c>
      <c r="D109" s="12">
        <v>2720</v>
      </c>
      <c r="E109" s="12">
        <v>2670</v>
      </c>
      <c r="F109" s="12">
        <f t="shared" si="5"/>
        <v>50</v>
      </c>
      <c r="G109" s="12">
        <f t="shared" si="6"/>
        <v>5440</v>
      </c>
      <c r="H109" s="12">
        <f t="shared" si="7"/>
        <v>5340</v>
      </c>
      <c r="I109" s="12">
        <f t="shared" si="8"/>
        <v>100</v>
      </c>
      <c r="J109" s="38">
        <f t="shared" si="9"/>
        <v>1.8726591760299626E-2</v>
      </c>
      <c r="K109" s="6" t="s">
        <v>12</v>
      </c>
    </row>
    <row r="110" spans="1:11" x14ac:dyDescent="0.25">
      <c r="A110" s="11">
        <v>45926</v>
      </c>
      <c r="B110" s="6" t="s">
        <v>15</v>
      </c>
      <c r="C110" s="12">
        <v>6</v>
      </c>
      <c r="D110" s="12">
        <v>2615</v>
      </c>
      <c r="E110" s="12">
        <v>2550</v>
      </c>
      <c r="F110" s="12">
        <f t="shared" si="5"/>
        <v>65</v>
      </c>
      <c r="G110" s="12">
        <f t="shared" si="6"/>
        <v>15690</v>
      </c>
      <c r="H110" s="12">
        <f t="shared" si="7"/>
        <v>15300</v>
      </c>
      <c r="I110" s="12">
        <f t="shared" si="8"/>
        <v>390</v>
      </c>
      <c r="J110" s="38">
        <f t="shared" si="9"/>
        <v>2.5490196078431372E-2</v>
      </c>
      <c r="K110" s="6" t="s">
        <v>12</v>
      </c>
    </row>
    <row r="111" spans="1:11" x14ac:dyDescent="0.25">
      <c r="A111" s="11">
        <v>45926</v>
      </c>
      <c r="B111" s="6" t="s">
        <v>31</v>
      </c>
      <c r="C111" s="12">
        <v>9</v>
      </c>
      <c r="D111" s="12">
        <v>2130</v>
      </c>
      <c r="E111" s="12">
        <v>2070</v>
      </c>
      <c r="F111" s="12">
        <f t="shared" si="5"/>
        <v>60</v>
      </c>
      <c r="G111" s="12">
        <f t="shared" si="6"/>
        <v>19170</v>
      </c>
      <c r="H111" s="12">
        <f t="shared" si="7"/>
        <v>18630</v>
      </c>
      <c r="I111" s="12">
        <f t="shared" si="8"/>
        <v>540</v>
      </c>
      <c r="J111" s="38">
        <f t="shared" si="9"/>
        <v>2.8985507246376812E-2</v>
      </c>
      <c r="K111" s="6" t="s">
        <v>12</v>
      </c>
    </row>
    <row r="112" spans="1:11" x14ac:dyDescent="0.25">
      <c r="A112" s="11">
        <v>45926</v>
      </c>
      <c r="B112" s="6" t="s">
        <v>32</v>
      </c>
      <c r="C112" s="12">
        <v>4</v>
      </c>
      <c r="D112" s="12">
        <v>2340</v>
      </c>
      <c r="E112" s="12">
        <v>2250</v>
      </c>
      <c r="F112" s="12">
        <f t="shared" si="5"/>
        <v>90</v>
      </c>
      <c r="G112" s="12">
        <f t="shared" si="6"/>
        <v>9360</v>
      </c>
      <c r="H112" s="12">
        <f t="shared" si="7"/>
        <v>9000</v>
      </c>
      <c r="I112" s="12">
        <f t="shared" si="8"/>
        <v>360</v>
      </c>
      <c r="J112" s="38">
        <f t="shared" si="9"/>
        <v>0.04</v>
      </c>
      <c r="K112" s="6" t="s">
        <v>12</v>
      </c>
    </row>
    <row r="113" spans="1:11" x14ac:dyDescent="0.25">
      <c r="A113" s="11">
        <v>45926</v>
      </c>
      <c r="B113" s="6" t="s">
        <v>36</v>
      </c>
      <c r="C113" s="12">
        <v>1</v>
      </c>
      <c r="D113" s="12">
        <v>2060</v>
      </c>
      <c r="E113" s="12">
        <v>2050</v>
      </c>
      <c r="F113" s="12">
        <f t="shared" si="5"/>
        <v>10</v>
      </c>
      <c r="G113" s="12">
        <f t="shared" si="6"/>
        <v>2060</v>
      </c>
      <c r="H113" s="12">
        <f t="shared" si="7"/>
        <v>2050</v>
      </c>
      <c r="I113" s="12">
        <f t="shared" si="8"/>
        <v>10</v>
      </c>
      <c r="J113" s="38">
        <f t="shared" si="9"/>
        <v>4.8780487804878049E-3</v>
      </c>
      <c r="K113" s="6" t="s">
        <v>12</v>
      </c>
    </row>
    <row r="114" spans="1:11" x14ac:dyDescent="0.25">
      <c r="A114" s="11">
        <v>45926</v>
      </c>
      <c r="B114" s="6" t="s">
        <v>36</v>
      </c>
      <c r="C114" s="12">
        <v>2</v>
      </c>
      <c r="D114" s="12">
        <v>2060</v>
      </c>
      <c r="E114" s="12">
        <v>2050</v>
      </c>
      <c r="F114" s="12">
        <f t="shared" si="5"/>
        <v>10</v>
      </c>
      <c r="G114" s="12">
        <f t="shared" si="6"/>
        <v>4120</v>
      </c>
      <c r="H114" s="12">
        <f t="shared" si="7"/>
        <v>4100</v>
      </c>
      <c r="I114" s="12">
        <f t="shared" si="8"/>
        <v>20</v>
      </c>
      <c r="J114" s="38">
        <f t="shared" si="9"/>
        <v>4.8780487804878049E-3</v>
      </c>
      <c r="K114" s="6" t="s">
        <v>12</v>
      </c>
    </row>
    <row r="115" spans="1:11" x14ac:dyDescent="0.25">
      <c r="A115" s="11">
        <v>45926</v>
      </c>
      <c r="B115" s="6" t="s">
        <v>36</v>
      </c>
      <c r="C115" s="12">
        <v>2</v>
      </c>
      <c r="D115" s="12">
        <v>2060</v>
      </c>
      <c r="E115" s="12">
        <v>2050</v>
      </c>
      <c r="F115" s="12">
        <f t="shared" si="5"/>
        <v>10</v>
      </c>
      <c r="G115" s="12">
        <f t="shared" si="6"/>
        <v>4120</v>
      </c>
      <c r="H115" s="12">
        <f t="shared" si="7"/>
        <v>4100</v>
      </c>
      <c r="I115" s="12">
        <f t="shared" si="8"/>
        <v>20</v>
      </c>
      <c r="J115" s="38">
        <f t="shared" si="9"/>
        <v>4.8780487804878049E-3</v>
      </c>
      <c r="K115" s="6" t="s">
        <v>12</v>
      </c>
    </row>
    <row r="116" spans="1:11" x14ac:dyDescent="0.25">
      <c r="A116" s="11">
        <v>45926</v>
      </c>
      <c r="B116" s="6" t="s">
        <v>36</v>
      </c>
      <c r="C116" s="12">
        <v>1</v>
      </c>
      <c r="D116" s="12">
        <v>2060</v>
      </c>
      <c r="E116" s="12">
        <v>2050</v>
      </c>
      <c r="F116" s="12">
        <f t="shared" si="5"/>
        <v>10</v>
      </c>
      <c r="G116" s="12">
        <f t="shared" si="6"/>
        <v>2060</v>
      </c>
      <c r="H116" s="12">
        <f t="shared" si="7"/>
        <v>2050</v>
      </c>
      <c r="I116" s="12">
        <f t="shared" si="8"/>
        <v>10</v>
      </c>
      <c r="J116" s="38">
        <f t="shared" si="9"/>
        <v>4.8780487804878049E-3</v>
      </c>
      <c r="K116" s="6" t="s">
        <v>12</v>
      </c>
    </row>
    <row r="117" spans="1:11" x14ac:dyDescent="0.25">
      <c r="A117" s="13">
        <v>45926</v>
      </c>
      <c r="B117" s="10" t="s">
        <v>36</v>
      </c>
      <c r="C117" s="15">
        <v>1</v>
      </c>
      <c r="D117" s="15">
        <v>1</v>
      </c>
      <c r="E117" s="15">
        <v>1</v>
      </c>
      <c r="F117" s="15">
        <f t="shared" si="5"/>
        <v>0</v>
      </c>
      <c r="G117" s="15">
        <f t="shared" si="6"/>
        <v>1</v>
      </c>
      <c r="H117" s="15">
        <f t="shared" si="7"/>
        <v>1</v>
      </c>
      <c r="I117" s="15">
        <f t="shared" si="8"/>
        <v>0</v>
      </c>
      <c r="J117" s="43">
        <f t="shared" si="9"/>
        <v>0</v>
      </c>
      <c r="K117" s="10" t="s">
        <v>12</v>
      </c>
    </row>
    <row r="118" spans="1:11" x14ac:dyDescent="0.25">
      <c r="A118" s="13">
        <v>45926</v>
      </c>
      <c r="B118" s="10" t="s">
        <v>62</v>
      </c>
      <c r="C118" s="15">
        <v>1</v>
      </c>
      <c r="D118" s="15">
        <v>1</v>
      </c>
      <c r="E118" s="15">
        <v>1</v>
      </c>
      <c r="F118" s="15">
        <f t="shared" si="5"/>
        <v>0</v>
      </c>
      <c r="G118" s="15">
        <f t="shared" si="6"/>
        <v>1</v>
      </c>
      <c r="H118" s="15">
        <f t="shared" si="7"/>
        <v>1</v>
      </c>
      <c r="I118" s="15">
        <f t="shared" si="8"/>
        <v>0</v>
      </c>
      <c r="J118" s="43">
        <f t="shared" si="9"/>
        <v>0</v>
      </c>
      <c r="K118" s="10" t="s">
        <v>12</v>
      </c>
    </row>
    <row r="119" spans="1:11" x14ac:dyDescent="0.25">
      <c r="A119" s="13">
        <v>45926</v>
      </c>
      <c r="B119" s="10" t="s">
        <v>62</v>
      </c>
      <c r="C119" s="15">
        <v>1</v>
      </c>
      <c r="D119" s="15">
        <v>1</v>
      </c>
      <c r="E119" s="15">
        <v>1</v>
      </c>
      <c r="F119" s="15">
        <f t="shared" si="5"/>
        <v>0</v>
      </c>
      <c r="G119" s="15">
        <f t="shared" si="6"/>
        <v>1</v>
      </c>
      <c r="H119" s="15">
        <f t="shared" si="7"/>
        <v>1</v>
      </c>
      <c r="I119" s="15">
        <f t="shared" si="8"/>
        <v>0</v>
      </c>
      <c r="J119" s="43">
        <f t="shared" si="9"/>
        <v>0</v>
      </c>
      <c r="K119" s="10" t="s">
        <v>12</v>
      </c>
    </row>
    <row r="120" spans="1:11" x14ac:dyDescent="0.25">
      <c r="A120" s="13">
        <v>45926</v>
      </c>
      <c r="B120" s="10" t="s">
        <v>48</v>
      </c>
      <c r="C120" s="15">
        <v>1</v>
      </c>
      <c r="D120" s="15">
        <v>1</v>
      </c>
      <c r="E120" s="15">
        <v>1</v>
      </c>
      <c r="F120" s="15">
        <f t="shared" si="5"/>
        <v>0</v>
      </c>
      <c r="G120" s="15">
        <f t="shared" si="6"/>
        <v>1</v>
      </c>
      <c r="H120" s="15">
        <f t="shared" si="7"/>
        <v>1</v>
      </c>
      <c r="I120" s="15">
        <f t="shared" si="8"/>
        <v>0</v>
      </c>
      <c r="J120" s="43">
        <f t="shared" si="9"/>
        <v>0</v>
      </c>
      <c r="K120" s="10" t="s">
        <v>12</v>
      </c>
    </row>
    <row r="121" spans="1:11" x14ac:dyDescent="0.25">
      <c r="A121" s="11">
        <v>45926</v>
      </c>
      <c r="B121" s="6" t="s">
        <v>18</v>
      </c>
      <c r="C121" s="12">
        <v>1</v>
      </c>
      <c r="D121" s="12">
        <v>3880</v>
      </c>
      <c r="E121" s="12">
        <v>3600</v>
      </c>
      <c r="F121" s="12">
        <f t="shared" si="5"/>
        <v>280</v>
      </c>
      <c r="G121" s="12">
        <f t="shared" si="6"/>
        <v>3880</v>
      </c>
      <c r="H121" s="12">
        <f t="shared" si="7"/>
        <v>3600</v>
      </c>
      <c r="I121" s="12">
        <f t="shared" si="8"/>
        <v>280</v>
      </c>
      <c r="J121" s="38">
        <f t="shared" si="9"/>
        <v>7.7777777777777779E-2</v>
      </c>
      <c r="K121" s="6" t="s">
        <v>12</v>
      </c>
    </row>
    <row r="122" spans="1:11" x14ac:dyDescent="0.25">
      <c r="A122" s="11">
        <v>45926</v>
      </c>
      <c r="B122" s="6" t="s">
        <v>19</v>
      </c>
      <c r="C122" s="12">
        <v>1</v>
      </c>
      <c r="D122" s="12">
        <v>4800</v>
      </c>
      <c r="E122" s="12">
        <v>3700</v>
      </c>
      <c r="F122" s="12">
        <f t="shared" si="5"/>
        <v>1100</v>
      </c>
      <c r="G122" s="12">
        <f t="shared" si="6"/>
        <v>4800</v>
      </c>
      <c r="H122" s="12">
        <f t="shared" si="7"/>
        <v>3700</v>
      </c>
      <c r="I122" s="12">
        <f t="shared" si="8"/>
        <v>1100</v>
      </c>
      <c r="J122" s="38">
        <f t="shared" si="9"/>
        <v>0.29729729729729731</v>
      </c>
      <c r="K122" s="6" t="s">
        <v>12</v>
      </c>
    </row>
    <row r="123" spans="1:11" x14ac:dyDescent="0.25">
      <c r="A123" s="11">
        <v>45926</v>
      </c>
      <c r="B123" s="6" t="s">
        <v>17</v>
      </c>
      <c r="C123" s="12">
        <v>1</v>
      </c>
      <c r="D123" s="12">
        <v>3700</v>
      </c>
      <c r="E123" s="12">
        <v>3350</v>
      </c>
      <c r="F123" s="12">
        <f t="shared" si="5"/>
        <v>350</v>
      </c>
      <c r="G123" s="12">
        <f t="shared" si="6"/>
        <v>3700</v>
      </c>
      <c r="H123" s="12">
        <f t="shared" si="7"/>
        <v>3350</v>
      </c>
      <c r="I123" s="12">
        <f t="shared" si="8"/>
        <v>350</v>
      </c>
      <c r="J123" s="38">
        <f t="shared" si="9"/>
        <v>0.1044776119402985</v>
      </c>
      <c r="K123" s="6" t="s">
        <v>12</v>
      </c>
    </row>
    <row r="124" spans="1:11" x14ac:dyDescent="0.25">
      <c r="A124" s="35">
        <v>45926</v>
      </c>
      <c r="B124" s="36" t="s">
        <v>40</v>
      </c>
      <c r="C124" s="37">
        <v>2</v>
      </c>
      <c r="D124" s="37">
        <v>2350</v>
      </c>
      <c r="E124" s="37">
        <v>3350</v>
      </c>
      <c r="F124" s="37">
        <f t="shared" si="5"/>
        <v>-1000</v>
      </c>
      <c r="G124" s="37">
        <f t="shared" si="6"/>
        <v>4700</v>
      </c>
      <c r="H124" s="37">
        <f t="shared" si="7"/>
        <v>6700</v>
      </c>
      <c r="I124" s="37">
        <f t="shared" si="8"/>
        <v>-2000</v>
      </c>
      <c r="J124" s="40">
        <f t="shared" si="9"/>
        <v>-0.29850746268656714</v>
      </c>
      <c r="K124" s="36" t="s">
        <v>12</v>
      </c>
    </row>
    <row r="125" spans="1:11" x14ac:dyDescent="0.25">
      <c r="A125" s="35">
        <v>45926</v>
      </c>
      <c r="B125" s="36" t="s">
        <v>63</v>
      </c>
      <c r="C125" s="37">
        <v>2</v>
      </c>
      <c r="D125" s="37">
        <v>2200</v>
      </c>
      <c r="E125" s="37">
        <v>2250</v>
      </c>
      <c r="F125" s="37">
        <f t="shared" si="5"/>
        <v>-50</v>
      </c>
      <c r="G125" s="37">
        <f t="shared" si="6"/>
        <v>4400</v>
      </c>
      <c r="H125" s="37">
        <f t="shared" si="7"/>
        <v>4500</v>
      </c>
      <c r="I125" s="37">
        <f t="shared" si="8"/>
        <v>-100</v>
      </c>
      <c r="J125" s="40">
        <f t="shared" si="9"/>
        <v>-2.2222222222222223E-2</v>
      </c>
      <c r="K125" s="36" t="s">
        <v>12</v>
      </c>
    </row>
    <row r="126" spans="1:11" x14ac:dyDescent="0.25">
      <c r="A126" s="11">
        <v>45926</v>
      </c>
      <c r="B126" s="6" t="s">
        <v>39</v>
      </c>
      <c r="C126" s="12">
        <v>1</v>
      </c>
      <c r="D126" s="12">
        <v>1300</v>
      </c>
      <c r="E126" s="12">
        <v>1250</v>
      </c>
      <c r="F126" s="12">
        <f t="shared" si="5"/>
        <v>50</v>
      </c>
      <c r="G126" s="12">
        <f t="shared" si="6"/>
        <v>1300</v>
      </c>
      <c r="H126" s="12">
        <f t="shared" si="7"/>
        <v>1250</v>
      </c>
      <c r="I126" s="12">
        <f t="shared" si="8"/>
        <v>50</v>
      </c>
      <c r="J126" s="38">
        <f t="shared" si="9"/>
        <v>0.04</v>
      </c>
      <c r="K126" s="6" t="s">
        <v>12</v>
      </c>
    </row>
    <row r="127" spans="1:11" x14ac:dyDescent="0.25">
      <c r="A127" s="35">
        <v>45926</v>
      </c>
      <c r="B127" s="36" t="s">
        <v>64</v>
      </c>
      <c r="C127" s="37">
        <v>1</v>
      </c>
      <c r="D127" s="37">
        <v>1100</v>
      </c>
      <c r="E127" s="37">
        <v>1250</v>
      </c>
      <c r="F127" s="37">
        <f t="shared" si="5"/>
        <v>-150</v>
      </c>
      <c r="G127" s="37">
        <f t="shared" si="6"/>
        <v>1100</v>
      </c>
      <c r="H127" s="37">
        <f t="shared" si="7"/>
        <v>1250</v>
      </c>
      <c r="I127" s="37">
        <f t="shared" si="8"/>
        <v>-150</v>
      </c>
      <c r="J127" s="40">
        <f t="shared" si="9"/>
        <v>-0.12</v>
      </c>
      <c r="K127" s="36" t="s">
        <v>12</v>
      </c>
    </row>
    <row r="128" spans="1:11" x14ac:dyDescent="0.25">
      <c r="A128" s="11">
        <v>45930</v>
      </c>
      <c r="B128" s="6" t="s">
        <v>15</v>
      </c>
      <c r="C128" s="12">
        <v>1</v>
      </c>
      <c r="D128" s="12">
        <v>2730</v>
      </c>
      <c r="E128" s="12">
        <v>2670</v>
      </c>
      <c r="F128" s="12">
        <f t="shared" si="5"/>
        <v>60</v>
      </c>
      <c r="G128" s="12">
        <f t="shared" si="6"/>
        <v>2730</v>
      </c>
      <c r="H128" s="12">
        <f t="shared" si="7"/>
        <v>2670</v>
      </c>
      <c r="I128" s="12">
        <f t="shared" si="8"/>
        <v>60</v>
      </c>
      <c r="J128" s="38">
        <f t="shared" si="9"/>
        <v>2.247191011235955E-2</v>
      </c>
      <c r="K128" s="6" t="s">
        <v>12</v>
      </c>
    </row>
    <row r="129" spans="1:11" ht="18.75" x14ac:dyDescent="0.3">
      <c r="G129" s="3" t="s">
        <v>6</v>
      </c>
      <c r="H129" s="3" t="s">
        <v>7</v>
      </c>
      <c r="I129" s="3" t="s">
        <v>8</v>
      </c>
      <c r="J129" s="39"/>
      <c r="K129" s="6"/>
    </row>
    <row r="130" spans="1:11" x14ac:dyDescent="0.25">
      <c r="G130" s="8">
        <f t="shared" ref="G130:I130" si="10">SUM(G2:G129)</f>
        <v>888949.28</v>
      </c>
      <c r="H130" s="8">
        <f t="shared" si="10"/>
        <v>814036.87999999989</v>
      </c>
      <c r="I130" s="8">
        <f t="shared" si="10"/>
        <v>74912.399999999994</v>
      </c>
      <c r="J130" s="41"/>
      <c r="K130" s="6"/>
    </row>
    <row r="135" spans="1:11" x14ac:dyDescent="0.25">
      <c r="A135" s="21"/>
      <c r="B135" s="23" t="s">
        <v>12</v>
      </c>
      <c r="C135" s="24" t="s">
        <v>73</v>
      </c>
    </row>
    <row r="136" spans="1:11" x14ac:dyDescent="0.25">
      <c r="A136" s="11"/>
      <c r="B136" s="6"/>
      <c r="C136" s="12"/>
    </row>
    <row r="137" spans="1:11" x14ac:dyDescent="0.25">
      <c r="A137" s="25">
        <v>45902</v>
      </c>
      <c r="B137" s="26" t="s">
        <v>76</v>
      </c>
      <c r="C137" s="27">
        <v>2375.1</v>
      </c>
    </row>
    <row r="138" spans="1:11" x14ac:dyDescent="0.25">
      <c r="A138" s="25">
        <v>45913</v>
      </c>
      <c r="B138" s="26" t="s">
        <v>77</v>
      </c>
      <c r="C138" s="27">
        <v>1205.3</v>
      </c>
    </row>
    <row r="139" spans="1:11" x14ac:dyDescent="0.25">
      <c r="A139" s="25">
        <v>45915</v>
      </c>
      <c r="B139" s="26" t="s">
        <v>78</v>
      </c>
      <c r="C139" s="27">
        <v>4692.5200000000004</v>
      </c>
    </row>
    <row r="140" spans="1:11" x14ac:dyDescent="0.25">
      <c r="A140" s="25">
        <v>45922</v>
      </c>
      <c r="B140" s="26" t="s">
        <v>79</v>
      </c>
      <c r="C140" s="27">
        <v>8113.93</v>
      </c>
    </row>
    <row r="141" spans="1:11" x14ac:dyDescent="0.25">
      <c r="A141" s="25">
        <v>45922</v>
      </c>
      <c r="B141" s="26" t="s">
        <v>80</v>
      </c>
      <c r="C141" s="27">
        <v>446.23</v>
      </c>
    </row>
    <row r="142" spans="1:11" x14ac:dyDescent="0.25">
      <c r="A142" s="25">
        <v>45930</v>
      </c>
      <c r="B142" s="26" t="s">
        <v>81</v>
      </c>
      <c r="C142" s="27">
        <v>889.99</v>
      </c>
    </row>
    <row r="143" spans="1:11" x14ac:dyDescent="0.25">
      <c r="B143" s="6"/>
      <c r="C143" s="12"/>
    </row>
    <row r="144" spans="1:11" x14ac:dyDescent="0.25">
      <c r="B144" s="22" t="s">
        <v>74</v>
      </c>
      <c r="C144" s="8">
        <f ca="1">SUM(C136:C147)</f>
        <v>32844.07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A282-EA4D-4922-AAA5-3234BF8A13C0}">
  <dimension ref="A1:K23"/>
  <sheetViews>
    <sheetView workbookViewId="0">
      <selection activeCell="H13" sqref="H13"/>
    </sheetView>
  </sheetViews>
  <sheetFormatPr defaultRowHeight="15" x14ac:dyDescent="0.25"/>
  <cols>
    <col min="1" max="1" width="12.28515625" customWidth="1"/>
    <col min="2" max="2" width="44.140625" customWidth="1"/>
    <col min="3" max="3" width="12.28515625" customWidth="1"/>
    <col min="4" max="4" width="19.5703125" customWidth="1"/>
    <col min="5" max="5" width="20.7109375" customWidth="1"/>
    <col min="6" max="6" width="20.28515625" customWidth="1"/>
    <col min="7" max="7" width="18.42578125" customWidth="1"/>
    <col min="8" max="8" width="21.7109375" customWidth="1"/>
    <col min="9" max="9" width="16.7109375" customWidth="1"/>
    <col min="10" max="10" width="16.7109375" style="44" customWidth="1"/>
    <col min="11" max="11" width="17.28515625" customWidth="1"/>
  </cols>
  <sheetData>
    <row r="1" spans="1:11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9" t="s">
        <v>94</v>
      </c>
      <c r="K1" s="4" t="s">
        <v>9</v>
      </c>
    </row>
    <row r="2" spans="1:11" x14ac:dyDescent="0.25">
      <c r="A2" s="11">
        <v>45917</v>
      </c>
      <c r="B2" s="6" t="s">
        <v>10</v>
      </c>
      <c r="C2" s="12">
        <v>200</v>
      </c>
      <c r="D2" s="12">
        <v>770</v>
      </c>
      <c r="E2" s="12">
        <v>566.54</v>
      </c>
      <c r="F2" s="12">
        <f t="shared" ref="F2:F11" si="0">D2-E2</f>
        <v>203.46000000000004</v>
      </c>
      <c r="G2" s="12">
        <f t="shared" ref="G2:G11" si="1">C2*D2</f>
        <v>154000</v>
      </c>
      <c r="H2" s="12">
        <f t="shared" ref="H2:H11" si="2">C2*E2</f>
        <v>113308</v>
      </c>
      <c r="I2" s="12">
        <f t="shared" ref="I2:I11" si="3">G2-H2</f>
        <v>40692</v>
      </c>
      <c r="J2" s="38">
        <f>(D2-E2)/E2</f>
        <v>0.35912733434532434</v>
      </c>
      <c r="K2" s="6" t="s">
        <v>68</v>
      </c>
    </row>
    <row r="3" spans="1:11" x14ac:dyDescent="0.25">
      <c r="A3" s="11">
        <v>45922</v>
      </c>
      <c r="B3" s="6" t="s">
        <v>10</v>
      </c>
      <c r="C3" s="12">
        <v>2</v>
      </c>
      <c r="D3" s="12">
        <v>775</v>
      </c>
      <c r="E3" s="12">
        <v>566.54</v>
      </c>
      <c r="F3" s="12">
        <f t="shared" si="0"/>
        <v>208.46000000000004</v>
      </c>
      <c r="G3" s="12">
        <f t="shared" si="1"/>
        <v>1550</v>
      </c>
      <c r="H3" s="12">
        <f t="shared" si="2"/>
        <v>1133.08</v>
      </c>
      <c r="I3" s="12">
        <f t="shared" si="3"/>
        <v>416.92000000000007</v>
      </c>
      <c r="J3" s="38">
        <f t="shared" ref="J3:J11" si="4">(D3-E3)/E3</f>
        <v>0.36795283651639787</v>
      </c>
      <c r="K3" s="6" t="s">
        <v>68</v>
      </c>
    </row>
    <row r="4" spans="1:11" x14ac:dyDescent="0.25">
      <c r="A4" s="11">
        <v>45923</v>
      </c>
      <c r="B4" s="6" t="s">
        <v>10</v>
      </c>
      <c r="C4" s="12">
        <v>150</v>
      </c>
      <c r="D4" s="12">
        <v>765</v>
      </c>
      <c r="E4" s="12">
        <v>566.54</v>
      </c>
      <c r="F4" s="12">
        <f t="shared" si="0"/>
        <v>198.46000000000004</v>
      </c>
      <c r="G4" s="12">
        <f t="shared" si="1"/>
        <v>114750</v>
      </c>
      <c r="H4" s="12">
        <f t="shared" si="2"/>
        <v>84981</v>
      </c>
      <c r="I4" s="12">
        <f t="shared" si="3"/>
        <v>29769</v>
      </c>
      <c r="J4" s="38">
        <f t="shared" si="4"/>
        <v>0.35030183217425082</v>
      </c>
      <c r="K4" s="6" t="s">
        <v>68</v>
      </c>
    </row>
    <row r="5" spans="1:11" x14ac:dyDescent="0.25">
      <c r="A5" s="11">
        <v>45923</v>
      </c>
      <c r="B5" s="6" t="s">
        <v>10</v>
      </c>
      <c r="C5" s="12">
        <v>5</v>
      </c>
      <c r="D5" s="12">
        <v>775</v>
      </c>
      <c r="E5" s="12">
        <v>566.54</v>
      </c>
      <c r="F5" s="12">
        <f t="shared" si="0"/>
        <v>208.46000000000004</v>
      </c>
      <c r="G5" s="12">
        <f t="shared" si="1"/>
        <v>3875</v>
      </c>
      <c r="H5" s="12">
        <f t="shared" si="2"/>
        <v>2832.7</v>
      </c>
      <c r="I5" s="12">
        <f t="shared" si="3"/>
        <v>1042.3000000000002</v>
      </c>
      <c r="J5" s="38">
        <f t="shared" si="4"/>
        <v>0.36795283651639787</v>
      </c>
      <c r="K5" s="6" t="s">
        <v>68</v>
      </c>
    </row>
    <row r="6" spans="1:11" x14ac:dyDescent="0.25">
      <c r="A6" s="11">
        <v>45924</v>
      </c>
      <c r="B6" s="6" t="s">
        <v>10</v>
      </c>
      <c r="C6" s="12">
        <v>5</v>
      </c>
      <c r="D6" s="12">
        <v>775</v>
      </c>
      <c r="E6" s="12">
        <v>566.54</v>
      </c>
      <c r="F6" s="12">
        <f t="shared" si="0"/>
        <v>208.46000000000004</v>
      </c>
      <c r="G6" s="12">
        <f t="shared" si="1"/>
        <v>3875</v>
      </c>
      <c r="H6" s="12">
        <f t="shared" si="2"/>
        <v>2832.7</v>
      </c>
      <c r="I6" s="12">
        <f t="shared" si="3"/>
        <v>1042.3000000000002</v>
      </c>
      <c r="J6" s="38">
        <f t="shared" si="4"/>
        <v>0.36795283651639787</v>
      </c>
      <c r="K6" s="6" t="s">
        <v>68</v>
      </c>
    </row>
    <row r="7" spans="1:11" x14ac:dyDescent="0.25">
      <c r="A7" s="11">
        <v>45925</v>
      </c>
      <c r="B7" s="6" t="s">
        <v>10</v>
      </c>
      <c r="C7" s="12">
        <v>20</v>
      </c>
      <c r="D7" s="12">
        <v>772</v>
      </c>
      <c r="E7" s="12">
        <v>566.54</v>
      </c>
      <c r="F7" s="12">
        <f t="shared" si="0"/>
        <v>205.46000000000004</v>
      </c>
      <c r="G7" s="12">
        <f t="shared" si="1"/>
        <v>15440</v>
      </c>
      <c r="H7" s="12">
        <f t="shared" si="2"/>
        <v>11330.8</v>
      </c>
      <c r="I7" s="12">
        <f t="shared" si="3"/>
        <v>4109.2000000000007</v>
      </c>
      <c r="J7" s="38">
        <f t="shared" si="4"/>
        <v>0.36265753521375377</v>
      </c>
      <c r="K7" s="6" t="s">
        <v>68</v>
      </c>
    </row>
    <row r="8" spans="1:11" x14ac:dyDescent="0.25">
      <c r="A8" s="11">
        <v>45929</v>
      </c>
      <c r="B8" s="6" t="s">
        <v>65</v>
      </c>
      <c r="C8" s="12">
        <v>5</v>
      </c>
      <c r="D8" s="12">
        <v>4175</v>
      </c>
      <c r="E8" s="12">
        <v>2810.97</v>
      </c>
      <c r="F8" s="12">
        <f t="shared" si="0"/>
        <v>1364.0300000000002</v>
      </c>
      <c r="G8" s="12">
        <f t="shared" si="1"/>
        <v>20875</v>
      </c>
      <c r="H8" s="12">
        <f t="shared" si="2"/>
        <v>14054.849999999999</v>
      </c>
      <c r="I8" s="12">
        <f t="shared" si="3"/>
        <v>6820.1500000000015</v>
      </c>
      <c r="J8" s="38">
        <f t="shared" si="4"/>
        <v>0.48525242176188299</v>
      </c>
      <c r="K8" s="6" t="s">
        <v>68</v>
      </c>
    </row>
    <row r="9" spans="1:11" x14ac:dyDescent="0.25">
      <c r="A9" s="11">
        <v>45929</v>
      </c>
      <c r="B9" s="6" t="s">
        <v>10</v>
      </c>
      <c r="C9" s="12">
        <v>6</v>
      </c>
      <c r="D9" s="12">
        <v>775</v>
      </c>
      <c r="E9" s="12">
        <v>566.54</v>
      </c>
      <c r="F9" s="12">
        <f t="shared" si="0"/>
        <v>208.46000000000004</v>
      </c>
      <c r="G9" s="12">
        <f t="shared" si="1"/>
        <v>4650</v>
      </c>
      <c r="H9" s="12">
        <f t="shared" si="2"/>
        <v>3399.24</v>
      </c>
      <c r="I9" s="12">
        <f t="shared" si="3"/>
        <v>1250.7600000000002</v>
      </c>
      <c r="J9" s="38">
        <f t="shared" si="4"/>
        <v>0.36795283651639787</v>
      </c>
      <c r="K9" s="6" t="s">
        <v>68</v>
      </c>
    </row>
    <row r="10" spans="1:11" x14ac:dyDescent="0.25">
      <c r="A10" s="11">
        <v>45930</v>
      </c>
      <c r="B10" s="6" t="s">
        <v>69</v>
      </c>
      <c r="C10" s="12">
        <v>1</v>
      </c>
      <c r="D10" s="12">
        <v>4050</v>
      </c>
      <c r="E10" s="12">
        <v>2361.0700000000002</v>
      </c>
      <c r="F10" s="12">
        <f t="shared" si="0"/>
        <v>1688.9299999999998</v>
      </c>
      <c r="G10" s="12">
        <f t="shared" si="1"/>
        <v>4050</v>
      </c>
      <c r="H10" s="12">
        <f t="shared" si="2"/>
        <v>2361.0700000000002</v>
      </c>
      <c r="I10" s="12">
        <f t="shared" si="3"/>
        <v>1688.9299999999998</v>
      </c>
      <c r="J10" s="38">
        <f t="shared" si="4"/>
        <v>0.7153239844646706</v>
      </c>
      <c r="K10" s="6" t="s">
        <v>68</v>
      </c>
    </row>
    <row r="11" spans="1:11" x14ac:dyDescent="0.25">
      <c r="A11" s="11">
        <v>45930</v>
      </c>
      <c r="B11" s="6" t="s">
        <v>65</v>
      </c>
      <c r="C11" s="12">
        <v>2</v>
      </c>
      <c r="D11" s="12">
        <v>4175</v>
      </c>
      <c r="E11" s="12">
        <v>2810.97</v>
      </c>
      <c r="F11" s="12">
        <f t="shared" si="0"/>
        <v>1364.0300000000002</v>
      </c>
      <c r="G11" s="12">
        <f t="shared" si="1"/>
        <v>8350</v>
      </c>
      <c r="H11" s="12">
        <f t="shared" si="2"/>
        <v>5621.94</v>
      </c>
      <c r="I11" s="12">
        <f t="shared" si="3"/>
        <v>2728.0600000000004</v>
      </c>
      <c r="J11" s="38">
        <f t="shared" si="4"/>
        <v>0.48525242176188299</v>
      </c>
      <c r="K11" s="6" t="s">
        <v>68</v>
      </c>
    </row>
    <row r="12" spans="1:11" ht="18.75" x14ac:dyDescent="0.3">
      <c r="G12" s="3" t="s">
        <v>6</v>
      </c>
      <c r="H12" s="3" t="s">
        <v>7</v>
      </c>
      <c r="I12" s="3" t="s">
        <v>8</v>
      </c>
      <c r="J12" s="39"/>
      <c r="K12" s="6"/>
    </row>
    <row r="13" spans="1:11" x14ac:dyDescent="0.25">
      <c r="G13" s="8">
        <f t="shared" ref="G13:I13" si="5">SUM(G2:G12)</f>
        <v>331415</v>
      </c>
      <c r="H13" s="8">
        <f t="shared" si="5"/>
        <v>241855.38000000003</v>
      </c>
      <c r="I13" s="8">
        <f t="shared" si="5"/>
        <v>89559.619999999981</v>
      </c>
      <c r="J13" s="41"/>
      <c r="K13" s="6"/>
    </row>
    <row r="17" spans="1:3" x14ac:dyDescent="0.25">
      <c r="A17" s="21"/>
      <c r="B17" s="23" t="s">
        <v>68</v>
      </c>
      <c r="C17" s="24" t="s">
        <v>73</v>
      </c>
    </row>
    <row r="18" spans="1:3" x14ac:dyDescent="0.25">
      <c r="A18" s="20">
        <v>45909</v>
      </c>
      <c r="B18" t="s">
        <v>82</v>
      </c>
      <c r="C18">
        <v>582</v>
      </c>
    </row>
    <row r="19" spans="1:3" x14ac:dyDescent="0.25">
      <c r="B19" t="s">
        <v>96</v>
      </c>
      <c r="C19">
        <v>54062</v>
      </c>
    </row>
    <row r="23" spans="1:3" x14ac:dyDescent="0.25">
      <c r="B23" s="22" t="s">
        <v>74</v>
      </c>
      <c r="C23">
        <f>SUM(C18:C22)</f>
        <v>54644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7AAC-1926-4207-8B21-7BA5EC4677B1}">
  <dimension ref="A1:J30"/>
  <sheetViews>
    <sheetView tabSelected="1" workbookViewId="0">
      <selection activeCell="E25" sqref="E25"/>
    </sheetView>
  </sheetViews>
  <sheetFormatPr defaultRowHeight="15" x14ac:dyDescent="0.25"/>
  <cols>
    <col min="1" max="1" width="16" customWidth="1"/>
    <col min="2" max="2" width="29.28515625" customWidth="1"/>
    <col min="3" max="3" width="10.42578125" customWidth="1"/>
    <col min="4" max="4" width="16.28515625" customWidth="1"/>
    <col min="5" max="5" width="21.85546875" customWidth="1"/>
    <col min="6" max="6" width="19.7109375" customWidth="1"/>
    <col min="7" max="7" width="24.28515625" customWidth="1"/>
    <col min="8" max="8" width="19.85546875" customWidth="1"/>
    <col min="9" max="9" width="16" customWidth="1"/>
    <col min="10" max="10" width="13.28515625" customWidth="1"/>
  </cols>
  <sheetData>
    <row r="1" spans="1:10" ht="18.75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11">
        <v>45908</v>
      </c>
      <c r="B2" s="6" t="s">
        <v>10</v>
      </c>
      <c r="C2" s="12">
        <v>10</v>
      </c>
      <c r="D2" s="12">
        <v>810</v>
      </c>
      <c r="E2" s="12">
        <v>785</v>
      </c>
      <c r="F2" s="12">
        <f t="shared" ref="F2:F13" si="0">D2-E2</f>
        <v>25</v>
      </c>
      <c r="G2" s="12">
        <f t="shared" ref="G2:G13" si="1">C2*D2</f>
        <v>8100</v>
      </c>
      <c r="H2" s="12">
        <f t="shared" ref="H2:H13" si="2">C2*E2</f>
        <v>7850</v>
      </c>
      <c r="I2" s="12">
        <f t="shared" ref="I2:I13" si="3">G2-H2</f>
        <v>250</v>
      </c>
      <c r="J2" s="6" t="s">
        <v>27</v>
      </c>
    </row>
    <row r="3" spans="1:10" x14ac:dyDescent="0.25">
      <c r="A3" s="11">
        <v>45908</v>
      </c>
      <c r="B3" s="6" t="s">
        <v>10</v>
      </c>
      <c r="C3" s="12">
        <v>5</v>
      </c>
      <c r="D3" s="12">
        <v>800</v>
      </c>
      <c r="E3" s="12">
        <v>785</v>
      </c>
      <c r="F3" s="12">
        <f t="shared" si="0"/>
        <v>15</v>
      </c>
      <c r="G3" s="12">
        <f t="shared" si="1"/>
        <v>4000</v>
      </c>
      <c r="H3" s="12">
        <f t="shared" si="2"/>
        <v>3925</v>
      </c>
      <c r="I3" s="12">
        <f t="shared" si="3"/>
        <v>75</v>
      </c>
      <c r="J3" s="6" t="s">
        <v>27</v>
      </c>
    </row>
    <row r="4" spans="1:10" x14ac:dyDescent="0.25">
      <c r="A4" s="11">
        <v>45908</v>
      </c>
      <c r="B4" s="6" t="s">
        <v>10</v>
      </c>
      <c r="C4" s="12">
        <v>15</v>
      </c>
      <c r="D4" s="12">
        <v>800</v>
      </c>
      <c r="E4" s="12">
        <v>785</v>
      </c>
      <c r="F4" s="12">
        <f t="shared" si="0"/>
        <v>15</v>
      </c>
      <c r="G4" s="12">
        <f t="shared" si="1"/>
        <v>12000</v>
      </c>
      <c r="H4" s="12">
        <f t="shared" si="2"/>
        <v>11775</v>
      </c>
      <c r="I4" s="12">
        <f t="shared" si="3"/>
        <v>225</v>
      </c>
      <c r="J4" s="6" t="s">
        <v>27</v>
      </c>
    </row>
    <row r="5" spans="1:10" x14ac:dyDescent="0.25">
      <c r="A5" s="11">
        <v>45904</v>
      </c>
      <c r="B5" s="6" t="s">
        <v>28</v>
      </c>
      <c r="C5" s="12">
        <v>1</v>
      </c>
      <c r="D5" s="12">
        <v>1150</v>
      </c>
      <c r="E5" s="12">
        <v>937.5</v>
      </c>
      <c r="F5" s="12">
        <f t="shared" si="0"/>
        <v>212.5</v>
      </c>
      <c r="G5" s="12">
        <f t="shared" si="1"/>
        <v>1150</v>
      </c>
      <c r="H5" s="12">
        <f t="shared" si="2"/>
        <v>937.5</v>
      </c>
      <c r="I5" s="12">
        <f t="shared" si="3"/>
        <v>212.5</v>
      </c>
      <c r="J5" s="6" t="s">
        <v>30</v>
      </c>
    </row>
    <row r="6" spans="1:10" x14ac:dyDescent="0.25">
      <c r="A6" s="11">
        <v>45909</v>
      </c>
      <c r="B6" s="6" t="s">
        <v>29</v>
      </c>
      <c r="C6" s="12">
        <v>1</v>
      </c>
      <c r="D6" s="12">
        <v>2993.78</v>
      </c>
      <c r="E6" s="12">
        <v>2650</v>
      </c>
      <c r="F6" s="12">
        <f t="shared" si="0"/>
        <v>343.7800000000002</v>
      </c>
      <c r="G6" s="12">
        <f t="shared" si="1"/>
        <v>2993.78</v>
      </c>
      <c r="H6" s="12">
        <f t="shared" si="2"/>
        <v>2650</v>
      </c>
      <c r="I6" s="12">
        <f t="shared" si="3"/>
        <v>343.7800000000002</v>
      </c>
      <c r="J6" s="6" t="s">
        <v>30</v>
      </c>
    </row>
    <row r="7" spans="1:10" x14ac:dyDescent="0.25">
      <c r="A7" s="11">
        <v>45911</v>
      </c>
      <c r="B7" s="6" t="s">
        <v>15</v>
      </c>
      <c r="C7" s="12">
        <v>1</v>
      </c>
      <c r="D7" s="12">
        <v>1677.01</v>
      </c>
      <c r="E7" s="12">
        <v>1450</v>
      </c>
      <c r="F7" s="12">
        <f t="shared" si="0"/>
        <v>227.01</v>
      </c>
      <c r="G7" s="12">
        <f t="shared" si="1"/>
        <v>1677.01</v>
      </c>
      <c r="H7" s="12">
        <f t="shared" si="2"/>
        <v>1450</v>
      </c>
      <c r="I7" s="12">
        <f t="shared" si="3"/>
        <v>227.01</v>
      </c>
      <c r="J7" s="6" t="s">
        <v>30</v>
      </c>
    </row>
    <row r="8" spans="1:10" x14ac:dyDescent="0.25">
      <c r="A8" s="11">
        <v>45913</v>
      </c>
      <c r="B8" s="6" t="s">
        <v>49</v>
      </c>
      <c r="C8" s="12">
        <v>1</v>
      </c>
      <c r="D8" s="12">
        <v>2665.62</v>
      </c>
      <c r="E8" s="12">
        <v>2487.5</v>
      </c>
      <c r="F8" s="12">
        <f t="shared" si="0"/>
        <v>178.11999999999989</v>
      </c>
      <c r="G8" s="12">
        <f t="shared" si="1"/>
        <v>2665.62</v>
      </c>
      <c r="H8" s="12">
        <f t="shared" si="2"/>
        <v>2487.5</v>
      </c>
      <c r="I8" s="12">
        <f t="shared" si="3"/>
        <v>178.11999999999989</v>
      </c>
      <c r="J8" s="6" t="s">
        <v>30</v>
      </c>
    </row>
    <row r="9" spans="1:10" x14ac:dyDescent="0.25">
      <c r="A9" s="11">
        <v>45915</v>
      </c>
      <c r="B9" s="6" t="s">
        <v>15</v>
      </c>
      <c r="C9" s="12">
        <v>1</v>
      </c>
      <c r="D9" s="12">
        <v>2944.09</v>
      </c>
      <c r="E9" s="12">
        <v>2600</v>
      </c>
      <c r="F9" s="12">
        <f t="shared" si="0"/>
        <v>344.09000000000015</v>
      </c>
      <c r="G9" s="12">
        <f t="shared" si="1"/>
        <v>2944.09</v>
      </c>
      <c r="H9" s="12">
        <f t="shared" si="2"/>
        <v>2600</v>
      </c>
      <c r="I9" s="12">
        <f t="shared" si="3"/>
        <v>344.09000000000015</v>
      </c>
      <c r="J9" s="6" t="s">
        <v>30</v>
      </c>
    </row>
    <row r="10" spans="1:10" x14ac:dyDescent="0.25">
      <c r="A10" s="11">
        <v>45915</v>
      </c>
      <c r="B10" s="6" t="s">
        <v>15</v>
      </c>
      <c r="C10" s="12">
        <v>1</v>
      </c>
      <c r="D10" s="12">
        <v>2913.02</v>
      </c>
      <c r="E10" s="12">
        <v>2600</v>
      </c>
      <c r="F10" s="12">
        <f t="shared" si="0"/>
        <v>313.02</v>
      </c>
      <c r="G10" s="12">
        <f t="shared" si="1"/>
        <v>2913.02</v>
      </c>
      <c r="H10" s="12">
        <f t="shared" si="2"/>
        <v>2600</v>
      </c>
      <c r="I10" s="12">
        <f t="shared" si="3"/>
        <v>313.02</v>
      </c>
      <c r="J10" s="6" t="s">
        <v>30</v>
      </c>
    </row>
    <row r="11" spans="1:10" x14ac:dyDescent="0.25">
      <c r="A11" s="11">
        <v>45918</v>
      </c>
      <c r="B11" s="6" t="s">
        <v>29</v>
      </c>
      <c r="C11" s="12">
        <v>1</v>
      </c>
      <c r="D11" s="12">
        <v>2987.5</v>
      </c>
      <c r="E11" s="12">
        <v>2600</v>
      </c>
      <c r="F11" s="12">
        <f t="shared" si="0"/>
        <v>387.5</v>
      </c>
      <c r="G11" s="12">
        <f t="shared" si="1"/>
        <v>2987.5</v>
      </c>
      <c r="H11" s="12">
        <f t="shared" si="2"/>
        <v>2600</v>
      </c>
      <c r="I11" s="12">
        <f t="shared" si="3"/>
        <v>387.5</v>
      </c>
      <c r="J11" s="6" t="s">
        <v>30</v>
      </c>
    </row>
    <row r="12" spans="1:10" x14ac:dyDescent="0.25">
      <c r="A12" s="11">
        <v>45926</v>
      </c>
      <c r="B12" s="6" t="s">
        <v>53</v>
      </c>
      <c r="C12" s="12">
        <v>2</v>
      </c>
      <c r="D12" s="12">
        <v>7278.48</v>
      </c>
      <c r="E12" s="12">
        <v>6850</v>
      </c>
      <c r="F12" s="12">
        <f t="shared" si="0"/>
        <v>428.47999999999956</v>
      </c>
      <c r="G12" s="12">
        <f t="shared" si="1"/>
        <v>14556.96</v>
      </c>
      <c r="H12" s="12">
        <f t="shared" si="2"/>
        <v>13700</v>
      </c>
      <c r="I12" s="12">
        <f t="shared" si="3"/>
        <v>856.95999999999913</v>
      </c>
      <c r="J12" s="6" t="s">
        <v>30</v>
      </c>
    </row>
    <row r="13" spans="1:10" x14ac:dyDescent="0.25">
      <c r="A13" s="11">
        <v>45926</v>
      </c>
      <c r="B13" s="6" t="s">
        <v>53</v>
      </c>
      <c r="C13" s="12">
        <v>1</v>
      </c>
      <c r="D13" s="12">
        <v>7341.77</v>
      </c>
      <c r="E13" s="12">
        <v>6850</v>
      </c>
      <c r="F13" s="12">
        <f t="shared" si="0"/>
        <v>491.77000000000044</v>
      </c>
      <c r="G13" s="12">
        <f t="shared" si="1"/>
        <v>7341.77</v>
      </c>
      <c r="H13" s="12">
        <f t="shared" si="2"/>
        <v>6850</v>
      </c>
      <c r="I13" s="12">
        <f t="shared" si="3"/>
        <v>491.77000000000044</v>
      </c>
      <c r="J13" s="6" t="s">
        <v>30</v>
      </c>
    </row>
    <row r="14" spans="1:10" ht="18.75" x14ac:dyDescent="0.3">
      <c r="G14" s="3" t="s">
        <v>6</v>
      </c>
      <c r="H14" s="3" t="s">
        <v>7</v>
      </c>
      <c r="I14" s="3" t="s">
        <v>8</v>
      </c>
      <c r="J14" s="6"/>
    </row>
    <row r="15" spans="1:10" x14ac:dyDescent="0.25">
      <c r="G15" s="8">
        <f t="shared" ref="G15:I15" si="4">SUM(G2:G14)</f>
        <v>63329.75</v>
      </c>
      <c r="H15" s="8">
        <f t="shared" si="4"/>
        <v>59425</v>
      </c>
      <c r="I15" s="8">
        <f t="shared" si="4"/>
        <v>3904.75</v>
      </c>
      <c r="J15" s="6"/>
    </row>
    <row r="18" spans="1:3" x14ac:dyDescent="0.25">
      <c r="A18" s="21"/>
      <c r="B18" s="23" t="s">
        <v>83</v>
      </c>
      <c r="C18" s="24" t="s">
        <v>73</v>
      </c>
    </row>
    <row r="19" spans="1:3" x14ac:dyDescent="0.25">
      <c r="A19" s="28">
        <v>45909</v>
      </c>
      <c r="B19" s="6" t="s">
        <v>84</v>
      </c>
      <c r="C19" s="6">
        <v>4000</v>
      </c>
    </row>
    <row r="20" spans="1:3" x14ac:dyDescent="0.25">
      <c r="A20" s="28">
        <v>45910</v>
      </c>
      <c r="B20" s="6" t="s">
        <v>85</v>
      </c>
      <c r="C20" s="6">
        <v>209</v>
      </c>
    </row>
    <row r="21" spans="1:3" x14ac:dyDescent="0.25">
      <c r="A21" s="28">
        <v>45927</v>
      </c>
      <c r="B21" s="6" t="s">
        <v>86</v>
      </c>
      <c r="C21" s="6">
        <v>260</v>
      </c>
    </row>
    <row r="22" spans="1:3" x14ac:dyDescent="0.25">
      <c r="A22" s="28">
        <v>45930</v>
      </c>
      <c r="B22" s="6" t="s">
        <v>87</v>
      </c>
      <c r="C22" s="6">
        <v>40</v>
      </c>
    </row>
    <row r="23" spans="1:3" x14ac:dyDescent="0.25">
      <c r="A23" s="6"/>
      <c r="B23" s="6" t="s">
        <v>88</v>
      </c>
      <c r="C23" s="6">
        <v>2659</v>
      </c>
    </row>
    <row r="24" spans="1:3" x14ac:dyDescent="0.25">
      <c r="A24" s="6"/>
      <c r="B24" s="6" t="s">
        <v>89</v>
      </c>
      <c r="C24" s="6">
        <v>1370</v>
      </c>
    </row>
    <row r="25" spans="1:3" x14ac:dyDescent="0.25">
      <c r="A25" s="6"/>
      <c r="B25" s="6" t="s">
        <v>90</v>
      </c>
      <c r="C25" s="6">
        <v>3900</v>
      </c>
    </row>
    <row r="26" spans="1:3" x14ac:dyDescent="0.25">
      <c r="A26" s="5">
        <v>45930</v>
      </c>
      <c r="B26" s="6" t="s">
        <v>93</v>
      </c>
      <c r="C26" s="6">
        <v>759.49</v>
      </c>
    </row>
    <row r="27" spans="1:3" x14ac:dyDescent="0.25">
      <c r="A27" s="5">
        <v>45930</v>
      </c>
      <c r="B27" s="6" t="s">
        <v>91</v>
      </c>
      <c r="C27" s="6">
        <v>15000</v>
      </c>
    </row>
    <row r="28" spans="1:3" x14ac:dyDescent="0.25">
      <c r="A28" s="28">
        <v>45929</v>
      </c>
      <c r="B28" s="6" t="s">
        <v>92</v>
      </c>
      <c r="C28" s="6">
        <v>100</v>
      </c>
    </row>
    <row r="29" spans="1:3" x14ac:dyDescent="0.25">
      <c r="A29" s="6"/>
      <c r="B29" s="6"/>
      <c r="C29" s="6"/>
    </row>
    <row r="30" spans="1:3" x14ac:dyDescent="0.25">
      <c r="A30" s="6"/>
      <c r="B30" s="22" t="s">
        <v>74</v>
      </c>
      <c r="C30" s="29">
        <f>SUM(C19:C29)</f>
        <v>28297.489999999998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AUSTRALIA</vt:lpstr>
      <vt:lpstr>USA</vt:lpstr>
      <vt:lpstr>NEWZEALAND</vt:lpstr>
      <vt:lpstr>DUBAI &amp; KARACHI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Swiss Tech</cp:lastModifiedBy>
  <dcterms:created xsi:type="dcterms:W3CDTF">2025-09-08T16:21:07Z</dcterms:created>
  <dcterms:modified xsi:type="dcterms:W3CDTF">2026-05-09T15:44:28Z</dcterms:modified>
</cp:coreProperties>
</file>