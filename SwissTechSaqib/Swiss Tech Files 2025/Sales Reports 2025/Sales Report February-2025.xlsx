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ales Reports 2025\"/>
    </mc:Choice>
  </mc:AlternateContent>
  <xr:revisionPtr revIDLastSave="0" documentId="13_ncr:1_{397976CF-4208-40DA-BD2C-E5EDCF1D2324}" xr6:coauthVersionLast="47" xr6:coauthVersionMax="47" xr10:uidLastSave="{00000000-0000-0000-0000-000000000000}"/>
  <bookViews>
    <workbookView xWindow="-23148" yWindow="-108" windowWidth="23256" windowHeight="13896" activeTab="1" xr2:uid="{63347CD2-218A-4C88-9114-B2F173D546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I22" i="1"/>
  <c r="H22" i="1"/>
  <c r="C26" i="2"/>
  <c r="C14" i="2"/>
  <c r="C9" i="2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  <c r="C28" i="2" l="1"/>
</calcChain>
</file>

<file path=xl/sharedStrings.xml><?xml version="1.0" encoding="utf-8"?>
<sst xmlns="http://schemas.openxmlformats.org/spreadsheetml/2006/main" count="47" uniqueCount="36">
  <si>
    <t>Date</t>
  </si>
  <si>
    <t>Product Name</t>
  </si>
  <si>
    <t>Qty</t>
  </si>
  <si>
    <t>Per Unit Sale</t>
  </si>
  <si>
    <t>Per unit Purchase</t>
  </si>
  <si>
    <t>Per Unit Profit</t>
  </si>
  <si>
    <t>Total Sale</t>
  </si>
  <si>
    <t>Total Purhcase</t>
  </si>
  <si>
    <t>Total Profit</t>
  </si>
  <si>
    <t>IPHONE 16 PRO MAX 256 GB</t>
  </si>
  <si>
    <t>STARLINK MINI</t>
  </si>
  <si>
    <t>MACBOOK PRO M4</t>
  </si>
  <si>
    <t>STARLINK V4</t>
  </si>
  <si>
    <t>JBL CHARGE 5</t>
  </si>
  <si>
    <t>CHROME CAST</t>
  </si>
  <si>
    <t>IPHONE 14 PRO MAX 256 GB</t>
  </si>
  <si>
    <t>Revenues</t>
  </si>
  <si>
    <t>Sales Income</t>
  </si>
  <si>
    <t>Sales Discount</t>
  </si>
  <si>
    <t>Total Revenues</t>
  </si>
  <si>
    <t>Cost of Sales</t>
  </si>
  <si>
    <t>Cost of Goods Sold</t>
  </si>
  <si>
    <t>Profit</t>
  </si>
  <si>
    <t>Expenses</t>
  </si>
  <si>
    <t>Australia Office Exp</t>
  </si>
  <si>
    <t>Mis. Exp</t>
  </si>
  <si>
    <t>Salaries Exp</t>
  </si>
  <si>
    <t>Shipping and Clearence</t>
  </si>
  <si>
    <t>Carray Charges</t>
  </si>
  <si>
    <t>Office Exp</t>
  </si>
  <si>
    <t>Total Exp</t>
  </si>
  <si>
    <t>US CANADA OFFICE EXP</t>
  </si>
  <si>
    <t>TICKET &amp; VISA</t>
  </si>
  <si>
    <t>Aus Additional Exp Dec-24</t>
  </si>
  <si>
    <t>Net Loss</t>
  </si>
  <si>
    <t>Income Statement From 1st till February 23,2025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</si>
</sst>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AED&quot;* #,##0.00_-;\-&quot;AED&quot;* #,##0.00_-;_-&quot;AED&quot;* &quot;-&quot;??_-;_-@_-"/>
    <numFmt numFmtId="164" formatCode="0_ ;\-0\ "/>
  </numFmts>
  <fonts count="7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 tint="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44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/>
    <xf numFmtId="44" fontId="4" fillId="0" borderId="1" xfId="0" applyNumberFormat="1" applyFont="1" applyBorder="1"/>
    <xf numFmtId="0" fontId="4" fillId="0" borderId="0" xfId="0" applyFont="1"/>
    <xf numFmtId="0" fontId="3" fillId="0" borderId="0" xfId="0" applyFont="1"/>
    <xf numFmtId="44" fontId="4" fillId="0" borderId="0" xfId="0" applyNumberFormat="1" applyFont="1"/>
    <xf numFmtId="44" fontId="0" fillId="0" borderId="0" xfId="0" applyNumberFormat="1"/>
    <xf numFmtId="0" fontId="5" fillId="3" borderId="0" xfId="0" applyFont="1" applyFill="1"/>
    <xf numFmtId="44" fontId="6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8819-CF4E-4D8E-8F0D-0C32F6E4F37A}">
  <dimension ref="B2:J22"/>
  <sheetViews>
    <sheetView workbookViewId="0">
      <selection activeCell="G26" sqref="G26"/>
    </sheetView>
  </sheetViews>
  <sheetFormatPr defaultRowHeight="14.5" x14ac:dyDescent="0.35"/>
  <cols>
    <col min="1" max="1" width="3.1796875" customWidth="1"/>
    <col min="2" max="2" width="12" customWidth="1"/>
    <col min="3" max="3" width="35.6328125" customWidth="1"/>
    <col min="4" max="4" width="5.81640625" customWidth="1"/>
    <col min="5" max="5" width="16.81640625" customWidth="1"/>
    <col min="6" max="6" width="21.6328125" customWidth="1"/>
    <col min="7" max="7" width="18.54296875" customWidth="1"/>
    <col min="8" max="8" width="17.54296875" customWidth="1"/>
    <col min="9" max="9" width="18.7265625" customWidth="1"/>
    <col min="10" max="10" width="18" customWidth="1"/>
  </cols>
  <sheetData>
    <row r="2" spans="2:10" ht="18.5" x14ac:dyDescent="0.45">
      <c r="B2" s="1" t="s">
        <v>0</v>
      </c>
      <c r="C2" s="1" t="s">
        <v>1</v>
      </c>
      <c r="D2" s="2" t="s">
        <v>2</v>
      </c>
      <c r="E2" s="3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4" t="s">
        <v>8</v>
      </c>
    </row>
    <row r="3" spans="2:10" x14ac:dyDescent="0.35">
      <c r="B3" s="5">
        <v>45689</v>
      </c>
      <c r="C3" t="s">
        <v>9</v>
      </c>
      <c r="D3">
        <v>1</v>
      </c>
      <c r="E3">
        <v>4100</v>
      </c>
      <c r="F3">
        <v>4500</v>
      </c>
      <c r="G3">
        <f>E3-F3</f>
        <v>-400</v>
      </c>
      <c r="H3" s="13">
        <f>E3*D3</f>
        <v>4100</v>
      </c>
      <c r="I3" s="13">
        <f>F3*D3</f>
        <v>4500</v>
      </c>
      <c r="J3" s="13">
        <f>H3-I3</f>
        <v>-400</v>
      </c>
    </row>
    <row r="4" spans="2:10" x14ac:dyDescent="0.35">
      <c r="B4" s="5">
        <v>45695</v>
      </c>
      <c r="C4" t="s">
        <v>10</v>
      </c>
      <c r="D4">
        <v>5</v>
      </c>
      <c r="E4">
        <v>1375</v>
      </c>
      <c r="F4">
        <v>1324.35</v>
      </c>
      <c r="G4">
        <f t="shared" ref="G4:G20" si="0">E4-F4</f>
        <v>50.650000000000091</v>
      </c>
      <c r="H4" s="13">
        <f t="shared" ref="H4:H20" si="1">E4*D4</f>
        <v>6875</v>
      </c>
      <c r="I4" s="13">
        <f t="shared" ref="I4:I20" si="2">F4*D4</f>
        <v>6621.75</v>
      </c>
      <c r="J4" s="13">
        <f t="shared" ref="J4:J20" si="3">H4-I4</f>
        <v>253.25</v>
      </c>
    </row>
    <row r="5" spans="2:10" x14ac:dyDescent="0.35">
      <c r="B5" s="5">
        <v>45695</v>
      </c>
      <c r="C5" t="s">
        <v>11</v>
      </c>
      <c r="D5">
        <v>4</v>
      </c>
      <c r="E5">
        <v>6250</v>
      </c>
      <c r="F5">
        <v>5700</v>
      </c>
      <c r="G5">
        <f t="shared" si="0"/>
        <v>550</v>
      </c>
      <c r="H5" s="13">
        <f t="shared" si="1"/>
        <v>25000</v>
      </c>
      <c r="I5" s="13">
        <f t="shared" si="2"/>
        <v>22800</v>
      </c>
      <c r="J5" s="13">
        <f t="shared" si="3"/>
        <v>2200</v>
      </c>
    </row>
    <row r="6" spans="2:10" x14ac:dyDescent="0.35">
      <c r="B6" s="5">
        <v>45696</v>
      </c>
      <c r="C6" t="s">
        <v>10</v>
      </c>
      <c r="D6">
        <v>100</v>
      </c>
      <c r="E6">
        <v>1355</v>
      </c>
      <c r="F6">
        <v>1324.35</v>
      </c>
      <c r="G6">
        <f t="shared" si="0"/>
        <v>30.650000000000091</v>
      </c>
      <c r="H6" s="13">
        <f t="shared" si="1"/>
        <v>135500</v>
      </c>
      <c r="I6" s="13">
        <f t="shared" si="2"/>
        <v>132435</v>
      </c>
      <c r="J6" s="13">
        <f t="shared" si="3"/>
        <v>3065</v>
      </c>
    </row>
    <row r="7" spans="2:10" x14ac:dyDescent="0.35">
      <c r="B7" s="5">
        <v>45696</v>
      </c>
      <c r="C7" t="s">
        <v>12</v>
      </c>
      <c r="D7">
        <v>1</v>
      </c>
      <c r="E7">
        <v>600</v>
      </c>
      <c r="F7">
        <v>1303</v>
      </c>
      <c r="G7">
        <f t="shared" si="0"/>
        <v>-703</v>
      </c>
      <c r="H7" s="13">
        <f t="shared" si="1"/>
        <v>600</v>
      </c>
      <c r="I7" s="13">
        <f t="shared" si="2"/>
        <v>1303</v>
      </c>
      <c r="J7" s="13">
        <f t="shared" si="3"/>
        <v>-703</v>
      </c>
    </row>
    <row r="8" spans="2:10" x14ac:dyDescent="0.35">
      <c r="B8" s="5">
        <v>45698</v>
      </c>
      <c r="C8" t="s">
        <v>10</v>
      </c>
      <c r="D8">
        <v>2</v>
      </c>
      <c r="E8">
        <v>1370</v>
      </c>
      <c r="F8">
        <v>1324.35</v>
      </c>
      <c r="G8">
        <f t="shared" si="0"/>
        <v>45.650000000000091</v>
      </c>
      <c r="H8" s="13">
        <f t="shared" si="1"/>
        <v>2740</v>
      </c>
      <c r="I8" s="13">
        <f t="shared" si="2"/>
        <v>2648.7</v>
      </c>
      <c r="J8" s="13">
        <f t="shared" si="3"/>
        <v>91.300000000000182</v>
      </c>
    </row>
    <row r="9" spans="2:10" x14ac:dyDescent="0.35">
      <c r="B9" s="5">
        <v>45698</v>
      </c>
      <c r="C9" t="s">
        <v>10</v>
      </c>
      <c r="D9">
        <v>100</v>
      </c>
      <c r="E9">
        <v>1330</v>
      </c>
      <c r="F9">
        <v>1200</v>
      </c>
      <c r="G9">
        <f t="shared" si="0"/>
        <v>130</v>
      </c>
      <c r="H9" s="13">
        <f t="shared" si="1"/>
        <v>133000</v>
      </c>
      <c r="I9" s="13">
        <f t="shared" si="2"/>
        <v>120000</v>
      </c>
      <c r="J9" s="13">
        <f t="shared" si="3"/>
        <v>13000</v>
      </c>
    </row>
    <row r="10" spans="2:10" x14ac:dyDescent="0.35">
      <c r="B10" s="5">
        <v>45702</v>
      </c>
      <c r="C10" t="s">
        <v>13</v>
      </c>
      <c r="D10">
        <v>155</v>
      </c>
      <c r="E10">
        <v>340</v>
      </c>
      <c r="F10">
        <v>282</v>
      </c>
      <c r="G10">
        <f t="shared" si="0"/>
        <v>58</v>
      </c>
      <c r="H10" s="13">
        <f t="shared" si="1"/>
        <v>52700</v>
      </c>
      <c r="I10" s="13">
        <f t="shared" si="2"/>
        <v>43710</v>
      </c>
      <c r="J10" s="13">
        <f t="shared" si="3"/>
        <v>8990</v>
      </c>
    </row>
    <row r="11" spans="2:10" x14ac:dyDescent="0.35">
      <c r="B11" s="5">
        <v>45702</v>
      </c>
      <c r="C11" t="s">
        <v>10</v>
      </c>
      <c r="D11">
        <v>5</v>
      </c>
      <c r="E11">
        <v>1300</v>
      </c>
      <c r="F11">
        <v>1200</v>
      </c>
      <c r="G11">
        <f t="shared" si="0"/>
        <v>100</v>
      </c>
      <c r="H11" s="13">
        <f t="shared" si="1"/>
        <v>6500</v>
      </c>
      <c r="I11" s="13">
        <f t="shared" si="2"/>
        <v>6000</v>
      </c>
      <c r="J11" s="13">
        <f t="shared" si="3"/>
        <v>500</v>
      </c>
    </row>
    <row r="12" spans="2:10" x14ac:dyDescent="0.35">
      <c r="B12" s="5">
        <v>45703</v>
      </c>
      <c r="C12" t="s">
        <v>14</v>
      </c>
      <c r="D12">
        <v>100</v>
      </c>
      <c r="E12">
        <v>315</v>
      </c>
      <c r="F12">
        <v>283</v>
      </c>
      <c r="G12">
        <f t="shared" si="0"/>
        <v>32</v>
      </c>
      <c r="H12" s="13">
        <f t="shared" si="1"/>
        <v>31500</v>
      </c>
      <c r="I12" s="13">
        <f t="shared" si="2"/>
        <v>28300</v>
      </c>
      <c r="J12" s="13">
        <f t="shared" si="3"/>
        <v>3200</v>
      </c>
    </row>
    <row r="13" spans="2:10" x14ac:dyDescent="0.35">
      <c r="B13" s="5">
        <v>45705</v>
      </c>
      <c r="C13" t="s">
        <v>10</v>
      </c>
      <c r="D13">
        <v>10</v>
      </c>
      <c r="E13">
        <v>1285</v>
      </c>
      <c r="F13">
        <v>1200</v>
      </c>
      <c r="G13">
        <f t="shared" si="0"/>
        <v>85</v>
      </c>
      <c r="H13" s="13">
        <f t="shared" si="1"/>
        <v>12850</v>
      </c>
      <c r="I13" s="13">
        <f t="shared" si="2"/>
        <v>12000</v>
      </c>
      <c r="J13" s="13">
        <f t="shared" si="3"/>
        <v>850</v>
      </c>
    </row>
    <row r="14" spans="2:10" x14ac:dyDescent="0.35">
      <c r="B14" s="5">
        <v>45706</v>
      </c>
      <c r="C14" t="s">
        <v>14</v>
      </c>
      <c r="D14">
        <v>100</v>
      </c>
      <c r="E14">
        <v>315</v>
      </c>
      <c r="F14">
        <v>283</v>
      </c>
      <c r="G14">
        <f t="shared" si="0"/>
        <v>32</v>
      </c>
      <c r="H14" s="13">
        <f t="shared" si="1"/>
        <v>31500</v>
      </c>
      <c r="I14" s="13">
        <f t="shared" si="2"/>
        <v>28300</v>
      </c>
      <c r="J14" s="13">
        <f t="shared" si="3"/>
        <v>3200</v>
      </c>
    </row>
    <row r="15" spans="2:10" x14ac:dyDescent="0.35">
      <c r="B15" s="5">
        <v>45706</v>
      </c>
      <c r="C15" t="s">
        <v>13</v>
      </c>
      <c r="D15">
        <v>34</v>
      </c>
      <c r="E15">
        <v>335</v>
      </c>
      <c r="F15">
        <v>282</v>
      </c>
      <c r="G15">
        <f t="shared" si="0"/>
        <v>53</v>
      </c>
      <c r="H15" s="13">
        <f t="shared" si="1"/>
        <v>11390</v>
      </c>
      <c r="I15" s="13">
        <f t="shared" si="2"/>
        <v>9588</v>
      </c>
      <c r="J15" s="13">
        <f t="shared" si="3"/>
        <v>1802</v>
      </c>
    </row>
    <row r="16" spans="2:10" x14ac:dyDescent="0.35">
      <c r="B16" s="5">
        <v>45706</v>
      </c>
      <c r="C16" t="s">
        <v>10</v>
      </c>
      <c r="D16">
        <v>52</v>
      </c>
      <c r="E16">
        <v>1275</v>
      </c>
      <c r="F16">
        <v>1200</v>
      </c>
      <c r="G16">
        <f t="shared" si="0"/>
        <v>75</v>
      </c>
      <c r="H16" s="13">
        <f t="shared" si="1"/>
        <v>66300</v>
      </c>
      <c r="I16" s="13">
        <f t="shared" si="2"/>
        <v>62400</v>
      </c>
      <c r="J16" s="13">
        <f t="shared" si="3"/>
        <v>3900</v>
      </c>
    </row>
    <row r="17" spans="2:10" x14ac:dyDescent="0.35">
      <c r="B17" s="5">
        <v>45708</v>
      </c>
      <c r="C17" t="s">
        <v>9</v>
      </c>
      <c r="D17">
        <v>1</v>
      </c>
      <c r="E17">
        <v>3000</v>
      </c>
      <c r="F17">
        <v>2950</v>
      </c>
      <c r="G17">
        <f t="shared" si="0"/>
        <v>50</v>
      </c>
      <c r="H17" s="13">
        <f t="shared" si="1"/>
        <v>3000</v>
      </c>
      <c r="I17" s="13">
        <f t="shared" si="2"/>
        <v>2950</v>
      </c>
      <c r="J17" s="13">
        <f t="shared" si="3"/>
        <v>50</v>
      </c>
    </row>
    <row r="18" spans="2:10" x14ac:dyDescent="0.35">
      <c r="B18" s="5">
        <v>45708</v>
      </c>
      <c r="C18" t="s">
        <v>9</v>
      </c>
      <c r="D18">
        <v>1</v>
      </c>
      <c r="E18">
        <v>2987.17</v>
      </c>
      <c r="F18">
        <v>2950</v>
      </c>
      <c r="G18">
        <f t="shared" si="0"/>
        <v>37.170000000000073</v>
      </c>
      <c r="H18" s="13">
        <f t="shared" si="1"/>
        <v>2987.17</v>
      </c>
      <c r="I18" s="13">
        <f t="shared" si="2"/>
        <v>2950</v>
      </c>
      <c r="J18" s="13">
        <f t="shared" si="3"/>
        <v>37.170000000000073</v>
      </c>
    </row>
    <row r="19" spans="2:10" x14ac:dyDescent="0.35">
      <c r="B19" s="5">
        <v>45712</v>
      </c>
      <c r="C19" t="s">
        <v>15</v>
      </c>
      <c r="D19">
        <v>3</v>
      </c>
      <c r="E19">
        <v>2200</v>
      </c>
      <c r="F19">
        <v>2180</v>
      </c>
      <c r="G19">
        <f t="shared" si="0"/>
        <v>20</v>
      </c>
      <c r="H19" s="13">
        <f t="shared" si="1"/>
        <v>6600</v>
      </c>
      <c r="I19" s="13">
        <f t="shared" si="2"/>
        <v>6540</v>
      </c>
      <c r="J19" s="13">
        <f t="shared" si="3"/>
        <v>60</v>
      </c>
    </row>
    <row r="20" spans="2:10" x14ac:dyDescent="0.35">
      <c r="B20" s="5">
        <v>45712</v>
      </c>
      <c r="C20" t="s">
        <v>15</v>
      </c>
      <c r="D20">
        <v>2</v>
      </c>
      <c r="E20">
        <v>2200</v>
      </c>
      <c r="F20">
        <v>2180</v>
      </c>
      <c r="G20">
        <f t="shared" si="0"/>
        <v>20</v>
      </c>
      <c r="H20" s="13">
        <f t="shared" si="1"/>
        <v>4400</v>
      </c>
      <c r="I20" s="13">
        <f t="shared" si="2"/>
        <v>4360</v>
      </c>
      <c r="J20" s="13">
        <f t="shared" si="3"/>
        <v>40</v>
      </c>
    </row>
    <row r="21" spans="2:10" x14ac:dyDescent="0.35">
      <c r="H21" s="13"/>
      <c r="I21" s="13"/>
      <c r="J21" s="13"/>
    </row>
    <row r="22" spans="2:10" x14ac:dyDescent="0.35">
      <c r="H22" s="13">
        <f>SUM(H3:H21)</f>
        <v>537542.17000000004</v>
      </c>
      <c r="I22" s="13">
        <f>SUM(I3:I21)</f>
        <v>497406.45</v>
      </c>
      <c r="J22" s="13">
        <f>SUM(J3:J21)</f>
        <v>40135.72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6A42-2C58-48BD-9721-2E8993A829CF}">
  <dimension ref="B3:C28"/>
  <sheetViews>
    <sheetView tabSelected="1" zoomScale="82" zoomScaleNormal="82" workbookViewId="0">
      <selection activeCell="G16" sqref="G16"/>
    </sheetView>
  </sheetViews>
  <sheetFormatPr defaultRowHeight="14.5" x14ac:dyDescent="0.35"/>
  <cols>
    <col min="2" max="2" width="35.1796875" customWidth="1"/>
    <col min="3" max="3" width="42.90625" customWidth="1"/>
  </cols>
  <sheetData>
    <row r="3" spans="2:3" ht="26" x14ac:dyDescent="0.6">
      <c r="B3" s="6" t="s">
        <v>35</v>
      </c>
      <c r="C3" s="6"/>
    </row>
    <row r="6" spans="2:3" ht="18.5" x14ac:dyDescent="0.45">
      <c r="B6" s="7" t="s">
        <v>16</v>
      </c>
      <c r="C6" s="7"/>
    </row>
    <row r="7" spans="2:3" ht="18.5" x14ac:dyDescent="0.45">
      <c r="B7" s="8" t="s">
        <v>17</v>
      </c>
      <c r="C7" s="9">
        <v>537542</v>
      </c>
    </row>
    <row r="8" spans="2:3" ht="18.5" x14ac:dyDescent="0.45">
      <c r="B8" s="8" t="s">
        <v>18</v>
      </c>
      <c r="C8" s="9">
        <v>0</v>
      </c>
    </row>
    <row r="9" spans="2:3" ht="18.5" x14ac:dyDescent="0.45">
      <c r="B9" s="8" t="s">
        <v>19</v>
      </c>
      <c r="C9" s="9">
        <f>C7-C8</f>
        <v>537542</v>
      </c>
    </row>
    <row r="10" spans="2:3" ht="18.5" x14ac:dyDescent="0.45">
      <c r="B10" s="10"/>
      <c r="C10" s="10"/>
    </row>
    <row r="11" spans="2:3" ht="18.5" x14ac:dyDescent="0.45">
      <c r="B11" s="7" t="s">
        <v>20</v>
      </c>
      <c r="C11" s="7"/>
    </row>
    <row r="12" spans="2:3" ht="18.5" x14ac:dyDescent="0.45">
      <c r="B12" s="8" t="s">
        <v>21</v>
      </c>
      <c r="C12" s="9">
        <v>497406</v>
      </c>
    </row>
    <row r="13" spans="2:3" ht="18.5" x14ac:dyDescent="0.45">
      <c r="B13" s="11"/>
      <c r="C13" s="10"/>
    </row>
    <row r="14" spans="2:3" ht="18.5" x14ac:dyDescent="0.45">
      <c r="B14" s="8" t="s">
        <v>22</v>
      </c>
      <c r="C14" s="9">
        <f>C9-C12</f>
        <v>40136</v>
      </c>
    </row>
    <row r="15" spans="2:3" ht="18.5" x14ac:dyDescent="0.45">
      <c r="B15" s="10"/>
      <c r="C15" s="10"/>
    </row>
    <row r="16" spans="2:3" ht="18.5" x14ac:dyDescent="0.45">
      <c r="B16" s="7" t="s">
        <v>23</v>
      </c>
      <c r="C16" s="7"/>
    </row>
    <row r="17" spans="2:3" ht="18.5" x14ac:dyDescent="0.45">
      <c r="B17" s="8" t="s">
        <v>24</v>
      </c>
      <c r="C17" s="9">
        <v>8120</v>
      </c>
    </row>
    <row r="18" spans="2:3" ht="18.5" x14ac:dyDescent="0.45">
      <c r="B18" s="8" t="s">
        <v>31</v>
      </c>
      <c r="C18" s="9">
        <v>6400</v>
      </c>
    </row>
    <row r="19" spans="2:3" ht="18.5" x14ac:dyDescent="0.45">
      <c r="B19" s="8" t="s">
        <v>25</v>
      </c>
      <c r="C19" s="9">
        <v>376</v>
      </c>
    </row>
    <row r="20" spans="2:3" ht="18.5" x14ac:dyDescent="0.45">
      <c r="B20" s="8" t="s">
        <v>26</v>
      </c>
      <c r="C20" s="9">
        <v>15833</v>
      </c>
    </row>
    <row r="21" spans="2:3" ht="18.5" x14ac:dyDescent="0.45">
      <c r="B21" s="8" t="s">
        <v>27</v>
      </c>
      <c r="C21" s="9">
        <v>36838</v>
      </c>
    </row>
    <row r="22" spans="2:3" ht="18.5" x14ac:dyDescent="0.45">
      <c r="B22" s="8" t="s">
        <v>33</v>
      </c>
      <c r="C22" s="9">
        <v>11650</v>
      </c>
    </row>
    <row r="23" spans="2:3" ht="18.5" x14ac:dyDescent="0.45">
      <c r="B23" s="8" t="s">
        <v>28</v>
      </c>
      <c r="C23" s="9">
        <v>0</v>
      </c>
    </row>
    <row r="24" spans="2:3" ht="18.5" x14ac:dyDescent="0.45">
      <c r="B24" s="8" t="s">
        <v>29</v>
      </c>
      <c r="C24" s="12">
        <v>385</v>
      </c>
    </row>
    <row r="25" spans="2:3" ht="18.5" x14ac:dyDescent="0.45">
      <c r="B25" s="8" t="s">
        <v>32</v>
      </c>
      <c r="C25" s="9">
        <v>5709</v>
      </c>
    </row>
    <row r="26" spans="2:3" ht="18.5" x14ac:dyDescent="0.45">
      <c r="B26" s="11" t="s">
        <v>30</v>
      </c>
      <c r="C26" s="12">
        <f>SUM(C17:C25)</f>
        <v>85311</v>
      </c>
    </row>
    <row r="27" spans="2:3" ht="18.5" x14ac:dyDescent="0.45">
      <c r="B27" s="11"/>
      <c r="C27" s="12"/>
    </row>
    <row r="28" spans="2:3" ht="26" x14ac:dyDescent="0.6">
      <c r="B28" s="14" t="s">
        <v>34</v>
      </c>
      <c r="C28" s="15">
        <f>C14-C26</f>
        <v>-45175</v>
      </c>
    </row>
  </sheetData>
  <mergeCells count="4">
    <mergeCell ref="B3:C3"/>
    <mergeCell ref="B6:C6"/>
    <mergeCell ref="B11:C11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2025-05-11T15:56:16Z</dcterms:created>
  <dcterms:modified xsi:type="dcterms:W3CDTF">2025-05-11T17:03:07Z</dcterms:modified>
</cp:coreProperties>
</file>