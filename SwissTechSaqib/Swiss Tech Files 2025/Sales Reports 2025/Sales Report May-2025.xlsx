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925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dell5300\Documents\Sales Reports 2025\"/>
    </mc:Choice>
  </mc:AlternateContent>
  <xr:revisionPtr revIDLastSave="0" documentId="13_ncr:1_{A675AAA5-C8B1-43DF-906C-51A4A46FE63F}" xr6:coauthVersionLast="47" xr6:coauthVersionMax="47" xr10:uidLastSave="{00000000-0000-0000-0000-000000000000}"/>
  <bookViews>
    <workbookView xWindow="-108" yWindow="-108" windowWidth="23256" windowHeight="13896" xr2:uid="{BB40DCE1-58D6-4C5B-8D60-0F974D3D7BE9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J107" i="1" l="1"/>
  <c r="I107" i="1"/>
  <c r="H107" i="1"/>
  <c r="J4" i="1"/>
  <c r="J5" i="1"/>
  <c r="J6" i="1"/>
  <c r="J7" i="1"/>
  <c r="J8" i="1"/>
  <c r="J9" i="1"/>
  <c r="J10" i="1"/>
  <c r="J11" i="1"/>
  <c r="J12" i="1"/>
  <c r="J13" i="1"/>
  <c r="J14" i="1"/>
  <c r="J15" i="1"/>
  <c r="J16" i="1"/>
  <c r="J17" i="1"/>
  <c r="J18" i="1"/>
  <c r="J19" i="1"/>
  <c r="J20" i="1"/>
  <c r="J21" i="1"/>
  <c r="J22" i="1"/>
  <c r="J23" i="1"/>
  <c r="J24" i="1"/>
  <c r="J25" i="1"/>
  <c r="J26" i="1"/>
  <c r="J27" i="1"/>
  <c r="J28" i="1"/>
  <c r="J29" i="1"/>
  <c r="J30" i="1"/>
  <c r="J31" i="1"/>
  <c r="J32" i="1"/>
  <c r="J33" i="1"/>
  <c r="J34" i="1"/>
  <c r="J35" i="1"/>
  <c r="J36" i="1"/>
  <c r="J37" i="1"/>
  <c r="J38" i="1"/>
  <c r="J39" i="1"/>
  <c r="J40" i="1"/>
  <c r="J41" i="1"/>
  <c r="J42" i="1"/>
  <c r="J43" i="1"/>
  <c r="J44" i="1"/>
  <c r="J45" i="1"/>
  <c r="J46" i="1"/>
  <c r="J47" i="1"/>
  <c r="J48" i="1"/>
  <c r="J49" i="1"/>
  <c r="J50" i="1"/>
  <c r="J51" i="1"/>
  <c r="J52" i="1"/>
  <c r="J53" i="1"/>
  <c r="J54" i="1"/>
  <c r="J55" i="1"/>
  <c r="J56" i="1"/>
  <c r="J57" i="1"/>
  <c r="J58" i="1"/>
  <c r="J59" i="1"/>
  <c r="J60" i="1"/>
  <c r="J61" i="1"/>
  <c r="J62" i="1"/>
  <c r="J63" i="1"/>
  <c r="J64" i="1"/>
  <c r="J65" i="1"/>
  <c r="J66" i="1"/>
  <c r="J67" i="1"/>
  <c r="J68" i="1"/>
  <c r="J69" i="1"/>
  <c r="J70" i="1"/>
  <c r="J71" i="1"/>
  <c r="J72" i="1"/>
  <c r="J73" i="1"/>
  <c r="J74" i="1"/>
  <c r="J75" i="1"/>
  <c r="J76" i="1"/>
  <c r="J77" i="1"/>
  <c r="J78" i="1"/>
  <c r="J79" i="1"/>
  <c r="J80" i="1"/>
  <c r="J81" i="1"/>
  <c r="J82" i="1"/>
  <c r="J83" i="1"/>
  <c r="J84" i="1"/>
  <c r="J85" i="1"/>
  <c r="J86" i="1"/>
  <c r="J87" i="1"/>
  <c r="J88" i="1"/>
  <c r="J89" i="1"/>
  <c r="J90" i="1"/>
  <c r="J91" i="1"/>
  <c r="J92" i="1"/>
  <c r="J93" i="1"/>
  <c r="J94" i="1"/>
  <c r="J95" i="1"/>
  <c r="J96" i="1"/>
  <c r="J97" i="1"/>
  <c r="J98" i="1"/>
  <c r="J99" i="1"/>
  <c r="J100" i="1"/>
  <c r="J101" i="1"/>
  <c r="J102" i="1"/>
  <c r="J103" i="1"/>
  <c r="J104" i="1"/>
  <c r="J3" i="1"/>
  <c r="I4" i="1"/>
  <c r="I5" i="1"/>
  <c r="I6" i="1"/>
  <c r="I7" i="1"/>
  <c r="I8" i="1"/>
  <c r="I9" i="1"/>
  <c r="I10" i="1"/>
  <c r="I11" i="1"/>
  <c r="I12" i="1"/>
  <c r="I13" i="1"/>
  <c r="I14" i="1"/>
  <c r="I15" i="1"/>
  <c r="I16" i="1"/>
  <c r="I17" i="1"/>
  <c r="I18" i="1"/>
  <c r="I19" i="1"/>
  <c r="I20" i="1"/>
  <c r="I21" i="1"/>
  <c r="I22" i="1"/>
  <c r="I23" i="1"/>
  <c r="I24" i="1"/>
  <c r="I25" i="1"/>
  <c r="I26" i="1"/>
  <c r="I27" i="1"/>
  <c r="I28" i="1"/>
  <c r="I29" i="1"/>
  <c r="I30" i="1"/>
  <c r="I31" i="1"/>
  <c r="I32" i="1"/>
  <c r="I33" i="1"/>
  <c r="I34" i="1"/>
  <c r="I35" i="1"/>
  <c r="I36" i="1"/>
  <c r="I37" i="1"/>
  <c r="I38" i="1"/>
  <c r="I39" i="1"/>
  <c r="I40" i="1"/>
  <c r="I41" i="1"/>
  <c r="I42" i="1"/>
  <c r="I43" i="1"/>
  <c r="I44" i="1"/>
  <c r="I45" i="1"/>
  <c r="I46" i="1"/>
  <c r="I47" i="1"/>
  <c r="I48" i="1"/>
  <c r="I49" i="1"/>
  <c r="I50" i="1"/>
  <c r="I51" i="1"/>
  <c r="I52" i="1"/>
  <c r="I53" i="1"/>
  <c r="I54" i="1"/>
  <c r="I55" i="1"/>
  <c r="I56" i="1"/>
  <c r="I57" i="1"/>
  <c r="I58" i="1"/>
  <c r="I59" i="1"/>
  <c r="I60" i="1"/>
  <c r="I61" i="1"/>
  <c r="I62" i="1"/>
  <c r="I63" i="1"/>
  <c r="I64" i="1"/>
  <c r="I65" i="1"/>
  <c r="I66" i="1"/>
  <c r="I67" i="1"/>
  <c r="I68" i="1"/>
  <c r="I69" i="1"/>
  <c r="I70" i="1"/>
  <c r="I71" i="1"/>
  <c r="I72" i="1"/>
  <c r="I73" i="1"/>
  <c r="I74" i="1"/>
  <c r="I75" i="1"/>
  <c r="I76" i="1"/>
  <c r="I77" i="1"/>
  <c r="I78" i="1"/>
  <c r="I79" i="1"/>
  <c r="I80" i="1"/>
  <c r="I81" i="1"/>
  <c r="I82" i="1"/>
  <c r="I83" i="1"/>
  <c r="I84" i="1"/>
  <c r="I85" i="1"/>
  <c r="I86" i="1"/>
  <c r="I87" i="1"/>
  <c r="I88" i="1"/>
  <c r="I89" i="1"/>
  <c r="I90" i="1"/>
  <c r="I91" i="1"/>
  <c r="I92" i="1"/>
  <c r="I93" i="1"/>
  <c r="I94" i="1"/>
  <c r="I95" i="1"/>
  <c r="I96" i="1"/>
  <c r="I97" i="1"/>
  <c r="I98" i="1"/>
  <c r="I99" i="1"/>
  <c r="I100" i="1"/>
  <c r="I101" i="1"/>
  <c r="I102" i="1"/>
  <c r="I103" i="1"/>
  <c r="I104" i="1"/>
  <c r="I3" i="1"/>
  <c r="H4" i="1"/>
  <c r="H5" i="1"/>
  <c r="H6" i="1"/>
  <c r="H7" i="1"/>
  <c r="H8" i="1"/>
  <c r="H9" i="1"/>
  <c r="H10" i="1"/>
  <c r="H11" i="1"/>
  <c r="H12" i="1"/>
  <c r="H13" i="1"/>
  <c r="H14" i="1"/>
  <c r="H15" i="1"/>
  <c r="H16" i="1"/>
  <c r="H17" i="1"/>
  <c r="H18" i="1"/>
  <c r="H19" i="1"/>
  <c r="H20" i="1"/>
  <c r="H21" i="1"/>
  <c r="H22" i="1"/>
  <c r="H23" i="1"/>
  <c r="H24" i="1"/>
  <c r="H25" i="1"/>
  <c r="H26" i="1"/>
  <c r="H27" i="1"/>
  <c r="H28" i="1"/>
  <c r="H29" i="1"/>
  <c r="H30" i="1"/>
  <c r="H31" i="1"/>
  <c r="H32" i="1"/>
  <c r="H33" i="1"/>
  <c r="H34" i="1"/>
  <c r="H35" i="1"/>
  <c r="H36" i="1"/>
  <c r="H37" i="1"/>
  <c r="H38" i="1"/>
  <c r="H39" i="1"/>
  <c r="H40" i="1"/>
  <c r="H41" i="1"/>
  <c r="H42" i="1"/>
  <c r="H43" i="1"/>
  <c r="H44" i="1"/>
  <c r="H45" i="1"/>
  <c r="H46" i="1"/>
  <c r="H47" i="1"/>
  <c r="H48" i="1"/>
  <c r="H49" i="1"/>
  <c r="H50" i="1"/>
  <c r="H51" i="1"/>
  <c r="H52" i="1"/>
  <c r="H53" i="1"/>
  <c r="H54" i="1"/>
  <c r="H55" i="1"/>
  <c r="H56" i="1"/>
  <c r="H57" i="1"/>
  <c r="H58" i="1"/>
  <c r="H59" i="1"/>
  <c r="H60" i="1"/>
  <c r="H61" i="1"/>
  <c r="H62" i="1"/>
  <c r="H63" i="1"/>
  <c r="H64" i="1"/>
  <c r="H65" i="1"/>
  <c r="H66" i="1"/>
  <c r="H67" i="1"/>
  <c r="H68" i="1"/>
  <c r="H69" i="1"/>
  <c r="H70" i="1"/>
  <c r="H71" i="1"/>
  <c r="H72" i="1"/>
  <c r="H73" i="1"/>
  <c r="H74" i="1"/>
  <c r="H75" i="1"/>
  <c r="H76" i="1"/>
  <c r="H77" i="1"/>
  <c r="H78" i="1"/>
  <c r="H79" i="1"/>
  <c r="H80" i="1"/>
  <c r="H81" i="1"/>
  <c r="H82" i="1"/>
  <c r="H83" i="1"/>
  <c r="H84" i="1"/>
  <c r="H85" i="1"/>
  <c r="H86" i="1"/>
  <c r="H87" i="1"/>
  <c r="H88" i="1"/>
  <c r="H89" i="1"/>
  <c r="H90" i="1"/>
  <c r="H91" i="1"/>
  <c r="H92" i="1"/>
  <c r="H93" i="1"/>
  <c r="H94" i="1"/>
  <c r="H95" i="1"/>
  <c r="H96" i="1"/>
  <c r="H97" i="1"/>
  <c r="H98" i="1"/>
  <c r="H99" i="1"/>
  <c r="H100" i="1"/>
  <c r="H101" i="1"/>
  <c r="H102" i="1"/>
  <c r="H103" i="1"/>
  <c r="H104" i="1"/>
  <c r="H3" i="1"/>
  <c r="G4" i="1"/>
  <c r="G5" i="1"/>
  <c r="G6" i="1"/>
  <c r="G7" i="1"/>
  <c r="G8" i="1"/>
  <c r="G9" i="1"/>
  <c r="G10" i="1"/>
  <c r="G11" i="1"/>
  <c r="G12" i="1"/>
  <c r="G13" i="1"/>
  <c r="G14" i="1"/>
  <c r="G15" i="1"/>
  <c r="G16" i="1"/>
  <c r="G17" i="1"/>
  <c r="G18" i="1"/>
  <c r="G19" i="1"/>
  <c r="G20" i="1"/>
  <c r="G21" i="1"/>
  <c r="G22" i="1"/>
  <c r="G23" i="1"/>
  <c r="G24" i="1"/>
  <c r="G25" i="1"/>
  <c r="G26" i="1"/>
  <c r="G27" i="1"/>
  <c r="G28" i="1"/>
  <c r="G29" i="1"/>
  <c r="G30" i="1"/>
  <c r="G31" i="1"/>
  <c r="G32" i="1"/>
  <c r="G33" i="1"/>
  <c r="G34" i="1"/>
  <c r="G35" i="1"/>
  <c r="G36" i="1"/>
  <c r="G37" i="1"/>
  <c r="G38" i="1"/>
  <c r="G39" i="1"/>
  <c r="G40" i="1"/>
  <c r="G41" i="1"/>
  <c r="G42" i="1"/>
  <c r="G43" i="1"/>
  <c r="G44" i="1"/>
  <c r="G45" i="1"/>
  <c r="G46" i="1"/>
  <c r="G47" i="1"/>
  <c r="G48" i="1"/>
  <c r="G49" i="1"/>
  <c r="G50" i="1"/>
  <c r="G51" i="1"/>
  <c r="G52" i="1"/>
  <c r="G53" i="1"/>
  <c r="G54" i="1"/>
  <c r="G55" i="1"/>
  <c r="G56" i="1"/>
  <c r="G57" i="1"/>
  <c r="G58" i="1"/>
  <c r="G59" i="1"/>
  <c r="G60" i="1"/>
  <c r="G61" i="1"/>
  <c r="G62" i="1"/>
  <c r="G63" i="1"/>
  <c r="G64" i="1"/>
  <c r="G65" i="1"/>
  <c r="G66" i="1"/>
  <c r="G67" i="1"/>
  <c r="G68" i="1"/>
  <c r="G69" i="1"/>
  <c r="G70" i="1"/>
  <c r="G71" i="1"/>
  <c r="G72" i="1"/>
  <c r="G73" i="1"/>
  <c r="G74" i="1"/>
  <c r="G75" i="1"/>
  <c r="G76" i="1"/>
  <c r="G77" i="1"/>
  <c r="G78" i="1"/>
  <c r="G79" i="1"/>
  <c r="G80" i="1"/>
  <c r="G81" i="1"/>
  <c r="G82" i="1"/>
  <c r="G83" i="1"/>
  <c r="G84" i="1"/>
  <c r="G85" i="1"/>
  <c r="G86" i="1"/>
  <c r="G87" i="1"/>
  <c r="G88" i="1"/>
  <c r="G89" i="1"/>
  <c r="G90" i="1"/>
  <c r="G91" i="1"/>
  <c r="G92" i="1"/>
  <c r="G93" i="1"/>
  <c r="G94" i="1"/>
  <c r="G95" i="1"/>
  <c r="G96" i="1"/>
  <c r="G97" i="1"/>
  <c r="G98" i="1"/>
  <c r="G99" i="1"/>
  <c r="G100" i="1"/>
  <c r="G101" i="1"/>
  <c r="G102" i="1"/>
  <c r="G103" i="1"/>
  <c r="G104" i="1"/>
  <c r="G3" i="1"/>
  <c r="Q63" i="1" l="1"/>
  <c r="Q64" i="1"/>
  <c r="Q62" i="1"/>
  <c r="P63" i="1"/>
  <c r="P64" i="1"/>
  <c r="P62" i="1"/>
</calcChain>
</file>

<file path=xl/sharedStrings.xml><?xml version="1.0" encoding="utf-8"?>
<sst xmlns="http://schemas.openxmlformats.org/spreadsheetml/2006/main" count="115" uniqueCount="42">
  <si>
    <t>Date</t>
  </si>
  <si>
    <t>Product Name</t>
  </si>
  <si>
    <t>Qty</t>
  </si>
  <si>
    <t>Per Unit Sale</t>
  </si>
  <si>
    <t>Per unit Purchase</t>
  </si>
  <si>
    <t>Per Unit Profit</t>
  </si>
  <si>
    <t>Total Sale</t>
  </si>
  <si>
    <t>Total Purhcase</t>
  </si>
  <si>
    <t>Total Profit</t>
  </si>
  <si>
    <t>INSTAX MINI 12</t>
  </si>
  <si>
    <t>Dji Mavic Pro 3 RC</t>
  </si>
  <si>
    <t>MacBook Air 24/512</t>
  </si>
  <si>
    <t>MacBook Air 15  24/512</t>
  </si>
  <si>
    <t>DJI Osmo Mobile 7P</t>
  </si>
  <si>
    <t>Rayban Glasses</t>
  </si>
  <si>
    <t>Airpods 4 ANC</t>
  </si>
  <si>
    <t>Instax Flim 10 Pack</t>
  </si>
  <si>
    <t>Iphone 16 128 GB</t>
  </si>
  <si>
    <t>Instax Flim 20 Pack</t>
  </si>
  <si>
    <t>Iphone 13 128 GB</t>
  </si>
  <si>
    <t>PlayStation Portal</t>
  </si>
  <si>
    <t>Instax Mini Evo</t>
  </si>
  <si>
    <t>Iphone 16 Pro Max 256 GB</t>
  </si>
  <si>
    <t>Ps5</t>
  </si>
  <si>
    <t>StarLink V4</t>
  </si>
  <si>
    <t>DJI Osmo Pocket 3 Combo</t>
  </si>
  <si>
    <t>DJI Mavic 4 Combo</t>
  </si>
  <si>
    <t>Google Tv Streamer</t>
  </si>
  <si>
    <t>Canon Camera</t>
  </si>
  <si>
    <t>Iphone Cable</t>
  </si>
  <si>
    <t>DJI Mic 2</t>
  </si>
  <si>
    <t>Canon SX740</t>
  </si>
  <si>
    <t>Meta Quest 3 512</t>
  </si>
  <si>
    <t>VR</t>
  </si>
  <si>
    <t>MacBook Air 15 13 inch 24/512</t>
  </si>
  <si>
    <t>Dji Mavic Pro 3 RC Combo</t>
  </si>
  <si>
    <t>Beats Pro 2</t>
  </si>
  <si>
    <t xml:space="preserve">Sony Buds </t>
  </si>
  <si>
    <t>DJI Osmo Pocket 3</t>
  </si>
  <si>
    <t xml:space="preserve">Rayban </t>
  </si>
  <si>
    <t>Total Purchase</t>
  </si>
  <si>
    <t>Profit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</si>
</sst>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3">
    <numFmt numFmtId="42" formatCode="_-&quot;AED&quot;* #,##0_-;\-&quot;AED&quot;* #,##0_-;_-&quot;AED&quot;* &quot;-&quot;_-;_-@_-"/>
    <numFmt numFmtId="44" formatCode="_-&quot;AED&quot;* #,##0.00_-;\-&quot;AED&quot;* #,##0.00_-;_-&quot;AED&quot;* &quot;-&quot;??_-;_-@_-"/>
    <numFmt numFmtId="164" formatCode="0_ ;\-0\ "/>
  </numFmts>
  <fonts count="4" x14ac:knownFonts="1">
    <font>
      <sz val="11"/>
      <color theme="1"/>
      <name val="Calibri"/>
      <family val="2"/>
      <scheme val="minor"/>
    </font>
    <font>
      <b/>
      <sz val="14"/>
      <color theme="0"/>
      <name val="Calibri"/>
      <family val="2"/>
      <scheme val="minor"/>
    </font>
    <font>
      <sz val="16"/>
      <color theme="1"/>
      <name val="Calibri"/>
      <family val="2"/>
      <scheme val="minor"/>
    </font>
    <font>
      <b/>
      <sz val="16"/>
      <color theme="0"/>
      <name val="Calibri"/>
      <family val="2"/>
      <scheme val="minor"/>
    </font>
  </fonts>
  <fills count="5">
    <fill>
      <patternFill patternType="none"/>
    </fill>
    <fill>
      <patternFill patternType="gray125"/>
    </fill>
    <fill>
      <patternFill patternType="solid">
        <fgColor theme="9"/>
        <bgColor indexed="64"/>
      </patternFill>
    </fill>
    <fill>
      <patternFill patternType="solid">
        <fgColor rgb="FFFF0000"/>
        <bgColor indexed="64"/>
      </patternFill>
    </fill>
    <fill>
      <patternFill patternType="solid">
        <fgColor theme="1" tint="0.34998626667073579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12">
    <xf numFmtId="0" fontId="0" fillId="0" borderId="0" xfId="0"/>
    <xf numFmtId="0" fontId="1" fillId="2" borderId="0" xfId="0" applyFont="1" applyFill="1" applyAlignment="1">
      <alignment horizontal="center"/>
    </xf>
    <xf numFmtId="164" fontId="1" fillId="2" borderId="0" xfId="0" applyNumberFormat="1" applyFont="1" applyFill="1" applyAlignment="1">
      <alignment horizontal="center"/>
    </xf>
    <xf numFmtId="2" fontId="1" fillId="2" borderId="0" xfId="0" applyNumberFormat="1" applyFont="1" applyFill="1" applyAlignment="1">
      <alignment horizontal="center"/>
    </xf>
    <xf numFmtId="42" fontId="1" fillId="2" borderId="0" xfId="0" applyNumberFormat="1" applyFont="1" applyFill="1" applyAlignment="1">
      <alignment horizontal="center"/>
    </xf>
    <xf numFmtId="0" fontId="2" fillId="0" borderId="1" xfId="0" applyFont="1" applyBorder="1" applyAlignment="1">
      <alignment horizontal="left"/>
    </xf>
    <xf numFmtId="14" fontId="0" fillId="0" borderId="0" xfId="0" applyNumberFormat="1"/>
    <xf numFmtId="14" fontId="0" fillId="3" borderId="0" xfId="0" applyNumberFormat="1" applyFill="1"/>
    <xf numFmtId="0" fontId="0" fillId="3" borderId="0" xfId="0" applyFill="1"/>
    <xf numFmtId="44" fontId="0" fillId="0" borderId="0" xfId="0" applyNumberFormat="1"/>
    <xf numFmtId="44" fontId="0" fillId="3" borderId="0" xfId="0" applyNumberFormat="1" applyFill="1"/>
    <xf numFmtId="44" fontId="3" fillId="4" borderId="1" xfId="0" applyNumberFormat="1" applyFont="1" applyFill="1" applyBorder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93FD445-84B1-4017-B083-10BA61002BE0}">
  <dimension ref="B2:Q107"/>
  <sheetViews>
    <sheetView tabSelected="1" workbookViewId="0">
      <selection activeCell="K23" sqref="K23"/>
    </sheetView>
  </sheetViews>
  <sheetFormatPr defaultRowHeight="14.4" x14ac:dyDescent="0.3"/>
  <cols>
    <col min="2" max="2" width="12.6640625" customWidth="1"/>
    <col min="3" max="3" width="35.21875" customWidth="1"/>
    <col min="4" max="4" width="7.6640625" customWidth="1"/>
    <col min="5" max="5" width="16.44140625" customWidth="1"/>
    <col min="6" max="6" width="20.77734375" customWidth="1"/>
    <col min="7" max="7" width="17" customWidth="1"/>
    <col min="8" max="9" width="21.21875" customWidth="1"/>
    <col min="10" max="10" width="16.77734375" customWidth="1"/>
  </cols>
  <sheetData>
    <row r="2" spans="2:10" ht="18" x14ac:dyDescent="0.35">
      <c r="B2" s="1" t="s">
        <v>0</v>
      </c>
      <c r="C2" s="1" t="s">
        <v>1</v>
      </c>
      <c r="D2" s="2" t="s">
        <v>2</v>
      </c>
      <c r="E2" s="3" t="s">
        <v>3</v>
      </c>
      <c r="F2" s="1" t="s">
        <v>4</v>
      </c>
      <c r="G2" s="1" t="s">
        <v>5</v>
      </c>
      <c r="H2" s="1" t="s">
        <v>6</v>
      </c>
      <c r="I2" s="3" t="s">
        <v>7</v>
      </c>
      <c r="J2" s="4" t="s">
        <v>8</v>
      </c>
    </row>
    <row r="3" spans="2:10" ht="21" x14ac:dyDescent="0.4">
      <c r="B3" s="6">
        <v>45778</v>
      </c>
      <c r="C3" s="5" t="s">
        <v>9</v>
      </c>
      <c r="D3">
        <v>18</v>
      </c>
      <c r="E3">
        <v>275</v>
      </c>
      <c r="F3">
        <v>207.59</v>
      </c>
      <c r="G3">
        <f>E3-F3</f>
        <v>67.41</v>
      </c>
      <c r="H3" s="9">
        <f>E3*D3</f>
        <v>4950</v>
      </c>
      <c r="I3" s="9">
        <f>F3*D3</f>
        <v>3736.62</v>
      </c>
      <c r="J3" s="9">
        <f>H3-I3</f>
        <v>1213.3800000000001</v>
      </c>
    </row>
    <row r="4" spans="2:10" x14ac:dyDescent="0.3">
      <c r="B4" s="6">
        <v>45779</v>
      </c>
      <c r="C4" t="s">
        <v>10</v>
      </c>
      <c r="D4">
        <v>2</v>
      </c>
      <c r="E4">
        <v>6500</v>
      </c>
      <c r="F4">
        <v>4960</v>
      </c>
      <c r="G4">
        <f t="shared" ref="G4:G67" si="0">E4-F4</f>
        <v>1540</v>
      </c>
      <c r="H4" s="9">
        <f t="shared" ref="H4:H67" si="1">E4*D4</f>
        <v>13000</v>
      </c>
      <c r="I4" s="9">
        <f t="shared" ref="I4:I67" si="2">F4*D4</f>
        <v>9920</v>
      </c>
      <c r="J4" s="9">
        <f t="shared" ref="J4:J67" si="3">H4-I4</f>
        <v>3080</v>
      </c>
    </row>
    <row r="5" spans="2:10" x14ac:dyDescent="0.3">
      <c r="B5" s="6">
        <v>45779</v>
      </c>
      <c r="C5" t="s">
        <v>10</v>
      </c>
      <c r="D5">
        <v>2</v>
      </c>
      <c r="E5">
        <v>6475</v>
      </c>
      <c r="F5">
        <v>4960</v>
      </c>
      <c r="G5">
        <f t="shared" si="0"/>
        <v>1515</v>
      </c>
      <c r="H5" s="9">
        <f t="shared" si="1"/>
        <v>12950</v>
      </c>
      <c r="I5" s="9">
        <f t="shared" si="2"/>
        <v>9920</v>
      </c>
      <c r="J5" s="9">
        <f t="shared" si="3"/>
        <v>3030</v>
      </c>
    </row>
    <row r="6" spans="2:10" x14ac:dyDescent="0.3">
      <c r="B6" s="6">
        <v>45779</v>
      </c>
      <c r="C6" t="s">
        <v>10</v>
      </c>
      <c r="D6">
        <v>1</v>
      </c>
      <c r="E6">
        <v>6400</v>
      </c>
      <c r="F6">
        <v>4960</v>
      </c>
      <c r="G6">
        <f t="shared" si="0"/>
        <v>1440</v>
      </c>
      <c r="H6" s="9">
        <f t="shared" si="1"/>
        <v>6400</v>
      </c>
      <c r="I6" s="9">
        <f t="shared" si="2"/>
        <v>4960</v>
      </c>
      <c r="J6" s="9">
        <f t="shared" si="3"/>
        <v>1440</v>
      </c>
    </row>
    <row r="7" spans="2:10" x14ac:dyDescent="0.3">
      <c r="B7" s="6">
        <v>45779</v>
      </c>
      <c r="C7" t="s">
        <v>35</v>
      </c>
      <c r="D7">
        <v>2</v>
      </c>
      <c r="E7">
        <v>8750</v>
      </c>
      <c r="F7">
        <v>7059</v>
      </c>
      <c r="G7">
        <f t="shared" si="0"/>
        <v>1691</v>
      </c>
      <c r="H7" s="9">
        <f t="shared" si="1"/>
        <v>17500</v>
      </c>
      <c r="I7" s="9">
        <f t="shared" si="2"/>
        <v>14118</v>
      </c>
      <c r="J7" s="9">
        <f t="shared" si="3"/>
        <v>3382</v>
      </c>
    </row>
    <row r="8" spans="2:10" x14ac:dyDescent="0.3">
      <c r="B8" s="6">
        <v>45782</v>
      </c>
      <c r="C8" t="s">
        <v>11</v>
      </c>
      <c r="D8">
        <v>1</v>
      </c>
      <c r="E8">
        <v>4875</v>
      </c>
      <c r="F8">
        <v>4542.75</v>
      </c>
      <c r="G8">
        <f t="shared" si="0"/>
        <v>332.25</v>
      </c>
      <c r="H8" s="9">
        <f t="shared" si="1"/>
        <v>4875</v>
      </c>
      <c r="I8" s="9">
        <f t="shared" si="2"/>
        <v>4542.75</v>
      </c>
      <c r="J8" s="9">
        <f t="shared" si="3"/>
        <v>332.25</v>
      </c>
    </row>
    <row r="9" spans="2:10" x14ac:dyDescent="0.3">
      <c r="B9" s="6">
        <v>45782</v>
      </c>
      <c r="C9" t="s">
        <v>11</v>
      </c>
      <c r="D9">
        <v>4</v>
      </c>
      <c r="E9">
        <v>4650</v>
      </c>
      <c r="F9">
        <v>4542.75</v>
      </c>
      <c r="G9">
        <f t="shared" si="0"/>
        <v>107.25</v>
      </c>
      <c r="H9" s="9">
        <f t="shared" si="1"/>
        <v>18600</v>
      </c>
      <c r="I9" s="9">
        <f t="shared" si="2"/>
        <v>18171</v>
      </c>
      <c r="J9" s="9">
        <f t="shared" si="3"/>
        <v>429</v>
      </c>
    </row>
    <row r="10" spans="2:10" x14ac:dyDescent="0.3">
      <c r="B10" s="6">
        <v>45782</v>
      </c>
      <c r="C10" t="s">
        <v>12</v>
      </c>
      <c r="D10">
        <v>1</v>
      </c>
      <c r="E10">
        <v>5450</v>
      </c>
      <c r="F10">
        <v>5339.75</v>
      </c>
      <c r="G10">
        <f t="shared" si="0"/>
        <v>110.25</v>
      </c>
      <c r="H10" s="9">
        <f t="shared" si="1"/>
        <v>5450</v>
      </c>
      <c r="I10" s="9">
        <f t="shared" si="2"/>
        <v>5339.75</v>
      </c>
      <c r="J10" s="9">
        <f t="shared" si="3"/>
        <v>110.25</v>
      </c>
    </row>
    <row r="11" spans="2:10" x14ac:dyDescent="0.3">
      <c r="B11" s="6">
        <v>45782</v>
      </c>
      <c r="C11" t="s">
        <v>13</v>
      </c>
      <c r="D11">
        <v>5</v>
      </c>
      <c r="E11">
        <v>455</v>
      </c>
      <c r="F11">
        <v>389.75</v>
      </c>
      <c r="G11">
        <f t="shared" si="0"/>
        <v>65.25</v>
      </c>
      <c r="H11" s="9">
        <f t="shared" si="1"/>
        <v>2275</v>
      </c>
      <c r="I11" s="9">
        <f t="shared" si="2"/>
        <v>1948.75</v>
      </c>
      <c r="J11" s="9">
        <f t="shared" si="3"/>
        <v>326.25</v>
      </c>
    </row>
    <row r="12" spans="2:10" x14ac:dyDescent="0.3">
      <c r="B12" s="6">
        <v>45782</v>
      </c>
      <c r="C12" t="s">
        <v>14</v>
      </c>
      <c r="D12">
        <v>10</v>
      </c>
      <c r="E12">
        <v>1400</v>
      </c>
      <c r="F12">
        <v>1092.6500000000001</v>
      </c>
      <c r="G12">
        <f t="shared" si="0"/>
        <v>307.34999999999991</v>
      </c>
      <c r="H12" s="9">
        <f t="shared" si="1"/>
        <v>14000</v>
      </c>
      <c r="I12" s="9">
        <f t="shared" si="2"/>
        <v>10926.5</v>
      </c>
      <c r="J12" s="9">
        <f t="shared" si="3"/>
        <v>3073.5</v>
      </c>
    </row>
    <row r="13" spans="2:10" x14ac:dyDescent="0.3">
      <c r="B13" s="6">
        <v>45782</v>
      </c>
      <c r="C13" t="s">
        <v>15</v>
      </c>
      <c r="D13">
        <v>17</v>
      </c>
      <c r="E13">
        <v>550</v>
      </c>
      <c r="F13">
        <v>545</v>
      </c>
      <c r="G13">
        <f t="shared" si="0"/>
        <v>5</v>
      </c>
      <c r="H13" s="9">
        <f t="shared" si="1"/>
        <v>9350</v>
      </c>
      <c r="I13" s="9">
        <f t="shared" si="2"/>
        <v>9265</v>
      </c>
      <c r="J13" s="9">
        <f t="shared" si="3"/>
        <v>85</v>
      </c>
    </row>
    <row r="14" spans="2:10" x14ac:dyDescent="0.3">
      <c r="B14" s="6">
        <v>45782</v>
      </c>
      <c r="C14" t="s">
        <v>16</v>
      </c>
      <c r="D14">
        <v>10</v>
      </c>
      <c r="E14">
        <v>47</v>
      </c>
      <c r="F14">
        <v>36</v>
      </c>
      <c r="G14">
        <f t="shared" si="0"/>
        <v>11</v>
      </c>
      <c r="H14" s="9">
        <f t="shared" si="1"/>
        <v>470</v>
      </c>
      <c r="I14" s="9">
        <f t="shared" si="2"/>
        <v>360</v>
      </c>
      <c r="J14" s="9">
        <f t="shared" si="3"/>
        <v>110</v>
      </c>
    </row>
    <row r="15" spans="2:10" x14ac:dyDescent="0.3">
      <c r="B15" s="6">
        <v>45783</v>
      </c>
      <c r="C15" t="s">
        <v>10</v>
      </c>
      <c r="D15">
        <v>3</v>
      </c>
      <c r="E15">
        <v>6475</v>
      </c>
      <c r="F15">
        <v>4960</v>
      </c>
      <c r="G15">
        <f t="shared" si="0"/>
        <v>1515</v>
      </c>
      <c r="H15" s="9">
        <f t="shared" si="1"/>
        <v>19425</v>
      </c>
      <c r="I15" s="9">
        <f t="shared" si="2"/>
        <v>14880</v>
      </c>
      <c r="J15" s="9">
        <f t="shared" si="3"/>
        <v>4545</v>
      </c>
    </row>
    <row r="16" spans="2:10" x14ac:dyDescent="0.3">
      <c r="B16" s="6">
        <v>45785</v>
      </c>
      <c r="C16" t="s">
        <v>17</v>
      </c>
      <c r="D16">
        <v>1</v>
      </c>
      <c r="E16">
        <v>1910.828</v>
      </c>
      <c r="F16">
        <v>1700</v>
      </c>
      <c r="G16">
        <f t="shared" si="0"/>
        <v>210.82799999999997</v>
      </c>
      <c r="H16" s="9">
        <f t="shared" si="1"/>
        <v>1910.828</v>
      </c>
      <c r="I16" s="9">
        <f t="shared" si="2"/>
        <v>1700</v>
      </c>
      <c r="J16" s="9">
        <f t="shared" si="3"/>
        <v>210.82799999999997</v>
      </c>
    </row>
    <row r="17" spans="2:10" x14ac:dyDescent="0.3">
      <c r="B17" s="6">
        <v>45785</v>
      </c>
      <c r="C17" t="s">
        <v>14</v>
      </c>
      <c r="D17">
        <v>20</v>
      </c>
      <c r="E17">
        <v>1375</v>
      </c>
      <c r="F17">
        <v>1092.6500000000001</v>
      </c>
      <c r="G17">
        <f t="shared" si="0"/>
        <v>282.34999999999991</v>
      </c>
      <c r="H17" s="9">
        <f t="shared" si="1"/>
        <v>27500</v>
      </c>
      <c r="I17" s="9">
        <f t="shared" si="2"/>
        <v>21853</v>
      </c>
      <c r="J17" s="9">
        <f t="shared" si="3"/>
        <v>5647</v>
      </c>
    </row>
    <row r="18" spans="2:10" x14ac:dyDescent="0.3">
      <c r="B18" s="6">
        <v>45785</v>
      </c>
      <c r="C18" t="s">
        <v>14</v>
      </c>
      <c r="D18">
        <v>11</v>
      </c>
      <c r="E18">
        <v>1412</v>
      </c>
      <c r="F18">
        <v>1092.6500000000001</v>
      </c>
      <c r="G18">
        <f t="shared" si="0"/>
        <v>319.34999999999991</v>
      </c>
      <c r="H18" s="9">
        <f t="shared" si="1"/>
        <v>15532</v>
      </c>
      <c r="I18" s="9">
        <f t="shared" si="2"/>
        <v>12019.150000000001</v>
      </c>
      <c r="J18" s="9">
        <f t="shared" si="3"/>
        <v>3512.8499999999985</v>
      </c>
    </row>
    <row r="19" spans="2:10" x14ac:dyDescent="0.3">
      <c r="B19" s="6">
        <v>45785</v>
      </c>
      <c r="C19" t="s">
        <v>18</v>
      </c>
      <c r="D19">
        <v>11</v>
      </c>
      <c r="E19">
        <v>63</v>
      </c>
      <c r="F19">
        <v>46.4</v>
      </c>
      <c r="G19">
        <f t="shared" si="0"/>
        <v>16.600000000000001</v>
      </c>
      <c r="H19" s="9">
        <f t="shared" si="1"/>
        <v>693</v>
      </c>
      <c r="I19" s="9">
        <f t="shared" si="2"/>
        <v>510.4</v>
      </c>
      <c r="J19" s="9">
        <f t="shared" si="3"/>
        <v>182.60000000000002</v>
      </c>
    </row>
    <row r="20" spans="2:10" x14ac:dyDescent="0.3">
      <c r="B20" s="6">
        <v>45785</v>
      </c>
      <c r="C20" t="s">
        <v>16</v>
      </c>
      <c r="D20">
        <v>13</v>
      </c>
      <c r="E20">
        <v>47</v>
      </c>
      <c r="F20">
        <v>36</v>
      </c>
      <c r="G20">
        <f t="shared" si="0"/>
        <v>11</v>
      </c>
      <c r="H20" s="9">
        <f t="shared" si="1"/>
        <v>611</v>
      </c>
      <c r="I20" s="9">
        <f t="shared" si="2"/>
        <v>468</v>
      </c>
      <c r="J20" s="9">
        <f t="shared" si="3"/>
        <v>143</v>
      </c>
    </row>
    <row r="21" spans="2:10" x14ac:dyDescent="0.3">
      <c r="B21" s="6">
        <v>45785</v>
      </c>
      <c r="C21" t="s">
        <v>16</v>
      </c>
      <c r="D21">
        <v>12</v>
      </c>
      <c r="E21">
        <v>42</v>
      </c>
      <c r="F21">
        <v>36</v>
      </c>
      <c r="G21">
        <f t="shared" si="0"/>
        <v>6</v>
      </c>
      <c r="H21" s="9">
        <f t="shared" si="1"/>
        <v>504</v>
      </c>
      <c r="I21" s="9">
        <f t="shared" si="2"/>
        <v>432</v>
      </c>
      <c r="J21" s="9">
        <f t="shared" si="3"/>
        <v>72</v>
      </c>
    </row>
    <row r="22" spans="2:10" x14ac:dyDescent="0.3">
      <c r="B22" s="6">
        <v>45785</v>
      </c>
      <c r="C22" t="s">
        <v>18</v>
      </c>
      <c r="D22">
        <v>15</v>
      </c>
      <c r="E22">
        <v>83</v>
      </c>
      <c r="F22">
        <v>46.4</v>
      </c>
      <c r="G22">
        <f t="shared" si="0"/>
        <v>36.6</v>
      </c>
      <c r="H22" s="9">
        <f t="shared" si="1"/>
        <v>1245</v>
      </c>
      <c r="I22" s="9">
        <f t="shared" si="2"/>
        <v>696</v>
      </c>
      <c r="J22" s="9">
        <f t="shared" si="3"/>
        <v>549</v>
      </c>
    </row>
    <row r="23" spans="2:10" x14ac:dyDescent="0.3">
      <c r="B23" s="6">
        <v>45785</v>
      </c>
      <c r="C23" t="s">
        <v>19</v>
      </c>
      <c r="D23">
        <v>1</v>
      </c>
      <c r="E23">
        <v>1019.1079999999999</v>
      </c>
      <c r="F23">
        <v>855</v>
      </c>
      <c r="G23">
        <f t="shared" si="0"/>
        <v>164.10799999999995</v>
      </c>
      <c r="H23" s="9">
        <f t="shared" si="1"/>
        <v>1019.1079999999999</v>
      </c>
      <c r="I23" s="9">
        <f t="shared" si="2"/>
        <v>855</v>
      </c>
      <c r="J23" s="9">
        <f t="shared" si="3"/>
        <v>164.10799999999995</v>
      </c>
    </row>
    <row r="24" spans="2:10" x14ac:dyDescent="0.3">
      <c r="B24" s="6">
        <v>45785</v>
      </c>
      <c r="C24" t="s">
        <v>17</v>
      </c>
      <c r="D24">
        <v>1</v>
      </c>
      <c r="E24">
        <v>1910.828</v>
      </c>
      <c r="F24">
        <v>1700</v>
      </c>
      <c r="G24">
        <f t="shared" si="0"/>
        <v>210.82799999999997</v>
      </c>
      <c r="H24" s="9">
        <f t="shared" si="1"/>
        <v>1910.828</v>
      </c>
      <c r="I24" s="9">
        <f t="shared" si="2"/>
        <v>1700</v>
      </c>
      <c r="J24" s="9">
        <f t="shared" si="3"/>
        <v>210.82799999999997</v>
      </c>
    </row>
    <row r="25" spans="2:10" x14ac:dyDescent="0.3">
      <c r="B25" s="6">
        <v>45786</v>
      </c>
      <c r="C25" t="s">
        <v>20</v>
      </c>
      <c r="D25">
        <v>3</v>
      </c>
      <c r="E25">
        <v>680</v>
      </c>
      <c r="F25">
        <v>560</v>
      </c>
      <c r="G25">
        <f t="shared" si="0"/>
        <v>120</v>
      </c>
      <c r="H25" s="9">
        <f t="shared" si="1"/>
        <v>2040</v>
      </c>
      <c r="I25" s="9">
        <f t="shared" si="2"/>
        <v>1680</v>
      </c>
      <c r="J25" s="9">
        <f t="shared" si="3"/>
        <v>360</v>
      </c>
    </row>
    <row r="26" spans="2:10" x14ac:dyDescent="0.3">
      <c r="B26" s="7">
        <v>45787</v>
      </c>
      <c r="C26" s="8" t="s">
        <v>12</v>
      </c>
      <c r="D26" s="8">
        <v>2</v>
      </c>
      <c r="E26" s="8">
        <v>5300</v>
      </c>
      <c r="F26" s="8">
        <v>5339.75</v>
      </c>
      <c r="G26" s="8">
        <f t="shared" si="0"/>
        <v>-39.75</v>
      </c>
      <c r="H26" s="10">
        <f t="shared" si="1"/>
        <v>10600</v>
      </c>
      <c r="I26" s="10">
        <f t="shared" si="2"/>
        <v>10679.5</v>
      </c>
      <c r="J26" s="10">
        <f t="shared" si="3"/>
        <v>-79.5</v>
      </c>
    </row>
    <row r="27" spans="2:10" x14ac:dyDescent="0.3">
      <c r="B27" s="6">
        <v>45789</v>
      </c>
      <c r="C27" t="s">
        <v>21</v>
      </c>
      <c r="D27">
        <v>10</v>
      </c>
      <c r="E27">
        <v>695</v>
      </c>
      <c r="F27">
        <v>695</v>
      </c>
      <c r="G27">
        <f t="shared" si="0"/>
        <v>0</v>
      </c>
      <c r="H27" s="9">
        <f t="shared" si="1"/>
        <v>6950</v>
      </c>
      <c r="I27" s="9">
        <f t="shared" si="2"/>
        <v>6950</v>
      </c>
      <c r="J27" s="9">
        <f t="shared" si="3"/>
        <v>0</v>
      </c>
    </row>
    <row r="28" spans="2:10" x14ac:dyDescent="0.3">
      <c r="B28" s="6">
        <v>45789</v>
      </c>
      <c r="C28" t="s">
        <v>21</v>
      </c>
      <c r="D28">
        <v>2</v>
      </c>
      <c r="E28">
        <v>695</v>
      </c>
      <c r="F28">
        <v>660</v>
      </c>
      <c r="G28">
        <f t="shared" si="0"/>
        <v>35</v>
      </c>
      <c r="H28" s="9">
        <f t="shared" si="1"/>
        <v>1390</v>
      </c>
      <c r="I28" s="9">
        <f t="shared" si="2"/>
        <v>1320</v>
      </c>
      <c r="J28" s="9">
        <f t="shared" si="3"/>
        <v>70</v>
      </c>
    </row>
    <row r="29" spans="2:10" x14ac:dyDescent="0.3">
      <c r="B29" s="6">
        <v>45789</v>
      </c>
      <c r="C29" t="s">
        <v>22</v>
      </c>
      <c r="D29">
        <v>2</v>
      </c>
      <c r="E29">
        <v>3140.127</v>
      </c>
      <c r="F29">
        <v>2850</v>
      </c>
      <c r="G29">
        <f t="shared" si="0"/>
        <v>290.12699999999995</v>
      </c>
      <c r="H29" s="9">
        <f t="shared" si="1"/>
        <v>6280.2539999999999</v>
      </c>
      <c r="I29" s="9">
        <f t="shared" si="2"/>
        <v>5700</v>
      </c>
      <c r="J29" s="9">
        <f t="shared" si="3"/>
        <v>580.25399999999991</v>
      </c>
    </row>
    <row r="30" spans="2:10" x14ac:dyDescent="0.3">
      <c r="B30" s="6">
        <v>45790</v>
      </c>
      <c r="C30" t="s">
        <v>11</v>
      </c>
      <c r="D30">
        <v>1</v>
      </c>
      <c r="E30">
        <v>4620</v>
      </c>
      <c r="F30">
        <v>4542.75</v>
      </c>
      <c r="G30">
        <f t="shared" si="0"/>
        <v>77.25</v>
      </c>
      <c r="H30" s="9">
        <f t="shared" si="1"/>
        <v>4620</v>
      </c>
      <c r="I30" s="9">
        <f t="shared" si="2"/>
        <v>4542.75</v>
      </c>
      <c r="J30" s="9">
        <f t="shared" si="3"/>
        <v>77.25</v>
      </c>
    </row>
    <row r="31" spans="2:10" x14ac:dyDescent="0.3">
      <c r="B31" s="6">
        <v>45791</v>
      </c>
      <c r="C31" t="s">
        <v>21</v>
      </c>
      <c r="D31">
        <v>25</v>
      </c>
      <c r="E31">
        <v>710</v>
      </c>
      <c r="F31">
        <v>609.65</v>
      </c>
      <c r="G31">
        <f t="shared" si="0"/>
        <v>100.35000000000002</v>
      </c>
      <c r="H31" s="9">
        <f t="shared" si="1"/>
        <v>17750</v>
      </c>
      <c r="I31" s="9">
        <f t="shared" si="2"/>
        <v>15241.25</v>
      </c>
      <c r="J31" s="9">
        <f t="shared" si="3"/>
        <v>2508.75</v>
      </c>
    </row>
    <row r="32" spans="2:10" x14ac:dyDescent="0.3">
      <c r="B32" s="6">
        <v>45791</v>
      </c>
      <c r="C32" t="s">
        <v>23</v>
      </c>
      <c r="D32">
        <v>18</v>
      </c>
      <c r="E32">
        <v>1750</v>
      </c>
      <c r="F32">
        <v>1406.5</v>
      </c>
      <c r="G32">
        <f t="shared" si="0"/>
        <v>343.5</v>
      </c>
      <c r="H32" s="9">
        <f t="shared" si="1"/>
        <v>31500</v>
      </c>
      <c r="I32" s="9">
        <f t="shared" si="2"/>
        <v>25317</v>
      </c>
      <c r="J32" s="9">
        <f t="shared" si="3"/>
        <v>6183</v>
      </c>
    </row>
    <row r="33" spans="2:10" x14ac:dyDescent="0.3">
      <c r="B33" s="6">
        <v>45791</v>
      </c>
      <c r="C33" t="s">
        <v>24</v>
      </c>
      <c r="D33">
        <v>115</v>
      </c>
      <c r="E33">
        <v>1145</v>
      </c>
      <c r="F33">
        <v>963.61199999999997</v>
      </c>
      <c r="G33">
        <f t="shared" si="0"/>
        <v>181.38800000000003</v>
      </c>
      <c r="H33" s="9">
        <f t="shared" si="1"/>
        <v>131675</v>
      </c>
      <c r="I33" s="9">
        <f t="shared" si="2"/>
        <v>110815.37999999999</v>
      </c>
      <c r="J33" s="9">
        <f t="shared" si="3"/>
        <v>20859.62000000001</v>
      </c>
    </row>
    <row r="34" spans="2:10" x14ac:dyDescent="0.3">
      <c r="B34" s="6">
        <v>45791</v>
      </c>
      <c r="C34" t="s">
        <v>11</v>
      </c>
      <c r="D34">
        <v>5</v>
      </c>
      <c r="E34">
        <v>4580</v>
      </c>
      <c r="F34">
        <v>4542.75</v>
      </c>
      <c r="G34">
        <f t="shared" si="0"/>
        <v>37.25</v>
      </c>
      <c r="H34" s="9">
        <f t="shared" si="1"/>
        <v>22900</v>
      </c>
      <c r="I34" s="9">
        <f t="shared" si="2"/>
        <v>22713.75</v>
      </c>
      <c r="J34" s="9">
        <f t="shared" si="3"/>
        <v>186.25</v>
      </c>
    </row>
    <row r="35" spans="2:10" x14ac:dyDescent="0.3">
      <c r="B35" s="6">
        <v>45791</v>
      </c>
      <c r="C35" t="s">
        <v>21</v>
      </c>
      <c r="D35">
        <v>30</v>
      </c>
      <c r="E35">
        <v>710</v>
      </c>
      <c r="F35">
        <v>609.65</v>
      </c>
      <c r="G35">
        <f t="shared" si="0"/>
        <v>100.35000000000002</v>
      </c>
      <c r="H35" s="9">
        <f t="shared" si="1"/>
        <v>21300</v>
      </c>
      <c r="I35" s="9">
        <f t="shared" si="2"/>
        <v>18289.5</v>
      </c>
      <c r="J35" s="9">
        <f t="shared" si="3"/>
        <v>3010.5</v>
      </c>
    </row>
    <row r="36" spans="2:10" x14ac:dyDescent="0.3">
      <c r="B36" s="6">
        <v>45791</v>
      </c>
      <c r="C36" t="s">
        <v>21</v>
      </c>
      <c r="D36">
        <v>20</v>
      </c>
      <c r="E36">
        <v>705</v>
      </c>
      <c r="F36">
        <v>609.65</v>
      </c>
      <c r="G36">
        <f t="shared" si="0"/>
        <v>95.350000000000023</v>
      </c>
      <c r="H36" s="9">
        <f t="shared" si="1"/>
        <v>14100</v>
      </c>
      <c r="I36" s="9">
        <f t="shared" si="2"/>
        <v>12193</v>
      </c>
      <c r="J36" s="9">
        <f t="shared" si="3"/>
        <v>1907</v>
      </c>
    </row>
    <row r="37" spans="2:10" x14ac:dyDescent="0.3">
      <c r="B37" s="6">
        <v>45791</v>
      </c>
      <c r="C37" t="s">
        <v>21</v>
      </c>
      <c r="D37">
        <v>40</v>
      </c>
      <c r="E37">
        <v>710</v>
      </c>
      <c r="F37">
        <v>609.65</v>
      </c>
      <c r="G37">
        <f t="shared" si="0"/>
        <v>100.35000000000002</v>
      </c>
      <c r="H37" s="9">
        <f t="shared" si="1"/>
        <v>28400</v>
      </c>
      <c r="I37" s="9">
        <f t="shared" si="2"/>
        <v>24386</v>
      </c>
      <c r="J37" s="9">
        <f t="shared" si="3"/>
        <v>4014</v>
      </c>
    </row>
    <row r="38" spans="2:10" x14ac:dyDescent="0.3">
      <c r="B38" s="6">
        <v>45791</v>
      </c>
      <c r="C38" t="s">
        <v>24</v>
      </c>
      <c r="D38">
        <v>32</v>
      </c>
      <c r="E38">
        <v>1140</v>
      </c>
      <c r="F38">
        <v>963.61199999999997</v>
      </c>
      <c r="G38">
        <f t="shared" si="0"/>
        <v>176.38800000000003</v>
      </c>
      <c r="H38" s="9">
        <f t="shared" si="1"/>
        <v>36480</v>
      </c>
      <c r="I38" s="9">
        <f t="shared" si="2"/>
        <v>30835.583999999999</v>
      </c>
      <c r="J38" s="9">
        <f t="shared" si="3"/>
        <v>5644.4160000000011</v>
      </c>
    </row>
    <row r="39" spans="2:10" x14ac:dyDescent="0.3">
      <c r="B39" s="6">
        <v>45791</v>
      </c>
      <c r="C39" t="s">
        <v>11</v>
      </c>
      <c r="D39">
        <v>2</v>
      </c>
      <c r="E39">
        <v>4600</v>
      </c>
      <c r="F39">
        <v>4542.75</v>
      </c>
      <c r="G39">
        <f t="shared" si="0"/>
        <v>57.25</v>
      </c>
      <c r="H39" s="9">
        <f t="shared" si="1"/>
        <v>9200</v>
      </c>
      <c r="I39" s="9">
        <f t="shared" si="2"/>
        <v>9085.5</v>
      </c>
      <c r="J39" s="9">
        <f t="shared" si="3"/>
        <v>114.5</v>
      </c>
    </row>
    <row r="40" spans="2:10" x14ac:dyDescent="0.3">
      <c r="B40" s="7">
        <v>45791</v>
      </c>
      <c r="C40" s="8" t="s">
        <v>12</v>
      </c>
      <c r="D40" s="8">
        <v>2</v>
      </c>
      <c r="E40" s="8">
        <v>5300</v>
      </c>
      <c r="F40" s="8">
        <v>5339.75</v>
      </c>
      <c r="G40" s="8">
        <f t="shared" si="0"/>
        <v>-39.75</v>
      </c>
      <c r="H40" s="10">
        <f t="shared" si="1"/>
        <v>10600</v>
      </c>
      <c r="I40" s="10">
        <f t="shared" si="2"/>
        <v>10679.5</v>
      </c>
      <c r="J40" s="10">
        <f t="shared" si="3"/>
        <v>-79.5</v>
      </c>
    </row>
    <row r="41" spans="2:10" x14ac:dyDescent="0.3">
      <c r="B41" s="6">
        <v>45791</v>
      </c>
      <c r="C41" t="s">
        <v>11</v>
      </c>
      <c r="D41">
        <v>2</v>
      </c>
      <c r="E41">
        <v>4580</v>
      </c>
      <c r="F41">
        <v>4542.75</v>
      </c>
      <c r="G41">
        <f t="shared" si="0"/>
        <v>37.25</v>
      </c>
      <c r="H41" s="9">
        <f t="shared" si="1"/>
        <v>9160</v>
      </c>
      <c r="I41" s="9">
        <f t="shared" si="2"/>
        <v>9085.5</v>
      </c>
      <c r="J41" s="9">
        <f t="shared" si="3"/>
        <v>74.5</v>
      </c>
    </row>
    <row r="42" spans="2:10" x14ac:dyDescent="0.3">
      <c r="B42" s="6">
        <v>45792</v>
      </c>
      <c r="C42" t="s">
        <v>14</v>
      </c>
      <c r="D42">
        <v>8</v>
      </c>
      <c r="E42">
        <v>1220</v>
      </c>
      <c r="F42">
        <v>1092.6500000000001</v>
      </c>
      <c r="G42">
        <f t="shared" si="0"/>
        <v>127.34999999999991</v>
      </c>
      <c r="H42" s="9">
        <f t="shared" si="1"/>
        <v>9760</v>
      </c>
      <c r="I42" s="9">
        <f t="shared" si="2"/>
        <v>8741.2000000000007</v>
      </c>
      <c r="J42" s="9">
        <f t="shared" si="3"/>
        <v>1018.7999999999993</v>
      </c>
    </row>
    <row r="43" spans="2:10" x14ac:dyDescent="0.3">
      <c r="B43" s="6">
        <v>45792</v>
      </c>
      <c r="C43" t="s">
        <v>11</v>
      </c>
      <c r="D43">
        <v>2</v>
      </c>
      <c r="E43">
        <v>4580</v>
      </c>
      <c r="F43">
        <v>4542.75</v>
      </c>
      <c r="G43">
        <f t="shared" si="0"/>
        <v>37.25</v>
      </c>
      <c r="H43" s="9">
        <f t="shared" si="1"/>
        <v>9160</v>
      </c>
      <c r="I43" s="9">
        <f t="shared" si="2"/>
        <v>9085.5</v>
      </c>
      <c r="J43" s="9">
        <f t="shared" si="3"/>
        <v>74.5</v>
      </c>
    </row>
    <row r="44" spans="2:10" x14ac:dyDescent="0.3">
      <c r="B44" s="6">
        <v>45792</v>
      </c>
      <c r="C44" t="s">
        <v>23</v>
      </c>
      <c r="D44">
        <v>16</v>
      </c>
      <c r="E44">
        <v>1675</v>
      </c>
      <c r="F44">
        <v>1406.5</v>
      </c>
      <c r="G44">
        <f t="shared" si="0"/>
        <v>268.5</v>
      </c>
      <c r="H44" s="9">
        <f t="shared" si="1"/>
        <v>26800</v>
      </c>
      <c r="I44" s="9">
        <f t="shared" si="2"/>
        <v>22504</v>
      </c>
      <c r="J44" s="9">
        <f t="shared" si="3"/>
        <v>4296</v>
      </c>
    </row>
    <row r="45" spans="2:10" x14ac:dyDescent="0.3">
      <c r="B45" s="6">
        <v>45792</v>
      </c>
      <c r="C45" t="s">
        <v>22</v>
      </c>
      <c r="D45">
        <v>1</v>
      </c>
      <c r="E45">
        <v>3140.127</v>
      </c>
      <c r="F45">
        <v>2850</v>
      </c>
      <c r="G45">
        <f t="shared" si="0"/>
        <v>290.12699999999995</v>
      </c>
      <c r="H45" s="9">
        <f t="shared" si="1"/>
        <v>3140.127</v>
      </c>
      <c r="I45" s="9">
        <f t="shared" si="2"/>
        <v>2850</v>
      </c>
      <c r="J45" s="9">
        <f t="shared" si="3"/>
        <v>290.12699999999995</v>
      </c>
    </row>
    <row r="46" spans="2:10" x14ac:dyDescent="0.3">
      <c r="B46" s="6">
        <v>45793</v>
      </c>
      <c r="C46" t="s">
        <v>18</v>
      </c>
      <c r="D46">
        <v>700</v>
      </c>
      <c r="E46">
        <v>68</v>
      </c>
      <c r="F46">
        <v>53.728000000000002</v>
      </c>
      <c r="G46">
        <f t="shared" si="0"/>
        <v>14.271999999999998</v>
      </c>
      <c r="H46" s="9">
        <f t="shared" si="1"/>
        <v>47600</v>
      </c>
      <c r="I46" s="9">
        <f t="shared" si="2"/>
        <v>37609.599999999999</v>
      </c>
      <c r="J46" s="9">
        <f t="shared" si="3"/>
        <v>9990.4000000000015</v>
      </c>
    </row>
    <row r="47" spans="2:10" x14ac:dyDescent="0.3">
      <c r="B47" s="6">
        <v>45793</v>
      </c>
      <c r="C47" t="s">
        <v>21</v>
      </c>
      <c r="D47">
        <v>20</v>
      </c>
      <c r="E47">
        <v>710</v>
      </c>
      <c r="F47">
        <v>609.65</v>
      </c>
      <c r="G47">
        <f t="shared" si="0"/>
        <v>100.35000000000002</v>
      </c>
      <c r="H47" s="9">
        <f t="shared" si="1"/>
        <v>14200</v>
      </c>
      <c r="I47" s="9">
        <f t="shared" si="2"/>
        <v>12193</v>
      </c>
      <c r="J47" s="9">
        <f t="shared" si="3"/>
        <v>2007</v>
      </c>
    </row>
    <row r="48" spans="2:10" x14ac:dyDescent="0.3">
      <c r="B48" s="6">
        <v>45794</v>
      </c>
      <c r="C48" t="s">
        <v>25</v>
      </c>
      <c r="D48">
        <v>5</v>
      </c>
      <c r="E48">
        <v>2450</v>
      </c>
      <c r="F48">
        <v>2232.9899999999998</v>
      </c>
      <c r="G48">
        <f t="shared" si="0"/>
        <v>217.01000000000022</v>
      </c>
      <c r="H48" s="9">
        <f t="shared" si="1"/>
        <v>12250</v>
      </c>
      <c r="I48" s="9">
        <f t="shared" si="2"/>
        <v>11164.949999999999</v>
      </c>
      <c r="J48" s="9">
        <f t="shared" si="3"/>
        <v>1085.0500000000011</v>
      </c>
    </row>
    <row r="49" spans="2:17" x14ac:dyDescent="0.3">
      <c r="B49" s="6">
        <v>45794</v>
      </c>
      <c r="C49" t="s">
        <v>21</v>
      </c>
      <c r="D49">
        <v>25</v>
      </c>
      <c r="E49">
        <v>710</v>
      </c>
      <c r="F49">
        <v>609.65</v>
      </c>
      <c r="G49">
        <f t="shared" si="0"/>
        <v>100.35000000000002</v>
      </c>
      <c r="H49" s="9">
        <f t="shared" si="1"/>
        <v>17750</v>
      </c>
      <c r="I49" s="9">
        <f t="shared" si="2"/>
        <v>15241.25</v>
      </c>
      <c r="J49" s="9">
        <f t="shared" si="3"/>
        <v>2508.75</v>
      </c>
    </row>
    <row r="50" spans="2:17" x14ac:dyDescent="0.3">
      <c r="B50" s="6">
        <v>45794</v>
      </c>
      <c r="C50" t="s">
        <v>26</v>
      </c>
      <c r="D50">
        <v>2</v>
      </c>
      <c r="E50">
        <v>9050</v>
      </c>
      <c r="F50">
        <v>8940</v>
      </c>
      <c r="G50">
        <f t="shared" si="0"/>
        <v>110</v>
      </c>
      <c r="H50" s="9">
        <f t="shared" si="1"/>
        <v>18100</v>
      </c>
      <c r="I50" s="9">
        <f t="shared" si="2"/>
        <v>17880</v>
      </c>
      <c r="J50" s="9">
        <f t="shared" si="3"/>
        <v>220</v>
      </c>
    </row>
    <row r="51" spans="2:17" x14ac:dyDescent="0.3">
      <c r="B51" s="6">
        <v>45794</v>
      </c>
      <c r="C51" t="s">
        <v>27</v>
      </c>
      <c r="D51">
        <v>250</v>
      </c>
      <c r="E51">
        <v>295</v>
      </c>
      <c r="F51">
        <v>276.12</v>
      </c>
      <c r="G51">
        <f t="shared" si="0"/>
        <v>18.879999999999995</v>
      </c>
      <c r="H51" s="9">
        <f t="shared" si="1"/>
        <v>73750</v>
      </c>
      <c r="I51" s="9">
        <f t="shared" si="2"/>
        <v>69030</v>
      </c>
      <c r="J51" s="9">
        <f t="shared" si="3"/>
        <v>4720</v>
      </c>
    </row>
    <row r="52" spans="2:17" x14ac:dyDescent="0.3">
      <c r="B52" s="6">
        <v>45794</v>
      </c>
      <c r="C52" t="s">
        <v>22</v>
      </c>
      <c r="D52">
        <v>1</v>
      </c>
      <c r="E52">
        <v>3140.127</v>
      </c>
      <c r="F52">
        <v>2850</v>
      </c>
      <c r="G52">
        <f t="shared" si="0"/>
        <v>290.12699999999995</v>
      </c>
      <c r="H52" s="9">
        <f t="shared" si="1"/>
        <v>3140.127</v>
      </c>
      <c r="I52" s="9">
        <f t="shared" si="2"/>
        <v>2850</v>
      </c>
      <c r="J52" s="9">
        <f t="shared" si="3"/>
        <v>290.12699999999995</v>
      </c>
    </row>
    <row r="53" spans="2:17" x14ac:dyDescent="0.3">
      <c r="B53" s="6">
        <v>45796</v>
      </c>
      <c r="C53" t="s">
        <v>21</v>
      </c>
      <c r="D53">
        <v>20</v>
      </c>
      <c r="E53">
        <v>705</v>
      </c>
      <c r="F53">
        <v>609.65</v>
      </c>
      <c r="G53">
        <f t="shared" si="0"/>
        <v>95.350000000000023</v>
      </c>
      <c r="H53" s="9">
        <f t="shared" si="1"/>
        <v>14100</v>
      </c>
      <c r="I53" s="9">
        <f t="shared" si="2"/>
        <v>12193</v>
      </c>
      <c r="J53" s="9">
        <f t="shared" si="3"/>
        <v>1907</v>
      </c>
    </row>
    <row r="54" spans="2:17" x14ac:dyDescent="0.3">
      <c r="B54" s="6">
        <v>45796</v>
      </c>
      <c r="C54" t="s">
        <v>28</v>
      </c>
      <c r="D54">
        <v>5</v>
      </c>
      <c r="E54">
        <v>2440</v>
      </c>
      <c r="F54">
        <v>1399.1</v>
      </c>
      <c r="G54">
        <f t="shared" si="0"/>
        <v>1040.9000000000001</v>
      </c>
      <c r="H54" s="9">
        <f t="shared" si="1"/>
        <v>12200</v>
      </c>
      <c r="I54" s="9">
        <f t="shared" si="2"/>
        <v>6995.5</v>
      </c>
      <c r="J54" s="9">
        <f t="shared" si="3"/>
        <v>5204.5</v>
      </c>
    </row>
    <row r="55" spans="2:17" x14ac:dyDescent="0.3">
      <c r="B55" s="6">
        <v>45796</v>
      </c>
      <c r="C55" t="s">
        <v>11</v>
      </c>
      <c r="D55">
        <v>2</v>
      </c>
      <c r="E55">
        <v>4680</v>
      </c>
      <c r="F55">
        <v>4542.75</v>
      </c>
      <c r="G55">
        <f t="shared" si="0"/>
        <v>137.25</v>
      </c>
      <c r="H55" s="9">
        <f t="shared" si="1"/>
        <v>9360</v>
      </c>
      <c r="I55" s="9">
        <f t="shared" si="2"/>
        <v>9085.5</v>
      </c>
      <c r="J55" s="9">
        <f t="shared" si="3"/>
        <v>274.5</v>
      </c>
    </row>
    <row r="56" spans="2:17" x14ac:dyDescent="0.3">
      <c r="B56" s="7">
        <v>45796</v>
      </c>
      <c r="C56" s="8" t="s">
        <v>12</v>
      </c>
      <c r="D56" s="8">
        <v>2</v>
      </c>
      <c r="E56" s="8">
        <v>5200</v>
      </c>
      <c r="F56" s="8">
        <v>5339.75</v>
      </c>
      <c r="G56" s="8">
        <f t="shared" si="0"/>
        <v>-139.75</v>
      </c>
      <c r="H56" s="10">
        <f t="shared" si="1"/>
        <v>10400</v>
      </c>
      <c r="I56" s="10">
        <f t="shared" si="2"/>
        <v>10679.5</v>
      </c>
      <c r="J56" s="10">
        <f t="shared" si="3"/>
        <v>-279.5</v>
      </c>
    </row>
    <row r="57" spans="2:17" x14ac:dyDescent="0.3">
      <c r="B57" s="6">
        <v>45796</v>
      </c>
      <c r="C57" t="s">
        <v>19</v>
      </c>
      <c r="D57">
        <v>1</v>
      </c>
      <c r="E57">
        <v>980.89</v>
      </c>
      <c r="F57">
        <v>840</v>
      </c>
      <c r="G57">
        <f t="shared" si="0"/>
        <v>140.88999999999999</v>
      </c>
      <c r="H57" s="9">
        <f t="shared" si="1"/>
        <v>980.89</v>
      </c>
      <c r="I57" s="9">
        <f t="shared" si="2"/>
        <v>840</v>
      </c>
      <c r="J57" s="9">
        <f t="shared" si="3"/>
        <v>140.88999999999999</v>
      </c>
    </row>
    <row r="58" spans="2:17" x14ac:dyDescent="0.3">
      <c r="B58" s="6">
        <v>45796</v>
      </c>
      <c r="C58" t="s">
        <v>19</v>
      </c>
      <c r="D58">
        <v>1</v>
      </c>
      <c r="E58">
        <v>980.89</v>
      </c>
      <c r="F58">
        <v>840</v>
      </c>
      <c r="G58">
        <f t="shared" si="0"/>
        <v>140.88999999999999</v>
      </c>
      <c r="H58" s="9">
        <f t="shared" si="1"/>
        <v>980.89</v>
      </c>
      <c r="I58" s="9">
        <f t="shared" si="2"/>
        <v>840</v>
      </c>
      <c r="J58" s="9">
        <f t="shared" si="3"/>
        <v>140.88999999999999</v>
      </c>
    </row>
    <row r="59" spans="2:17" x14ac:dyDescent="0.3">
      <c r="B59" s="6">
        <v>45796</v>
      </c>
      <c r="C59" t="s">
        <v>19</v>
      </c>
      <c r="D59">
        <v>1</v>
      </c>
      <c r="E59">
        <v>980.89</v>
      </c>
      <c r="F59">
        <v>840</v>
      </c>
      <c r="G59">
        <f t="shared" si="0"/>
        <v>140.88999999999999</v>
      </c>
      <c r="H59" s="9">
        <f t="shared" si="1"/>
        <v>980.89</v>
      </c>
      <c r="I59" s="9">
        <f t="shared" si="2"/>
        <v>840</v>
      </c>
      <c r="J59" s="9">
        <f t="shared" si="3"/>
        <v>140.88999999999999</v>
      </c>
    </row>
    <row r="60" spans="2:17" x14ac:dyDescent="0.3">
      <c r="B60" s="6">
        <v>45796</v>
      </c>
      <c r="C60" t="s">
        <v>19</v>
      </c>
      <c r="D60">
        <v>1</v>
      </c>
      <c r="E60">
        <v>980.89</v>
      </c>
      <c r="F60">
        <v>840</v>
      </c>
      <c r="G60">
        <f t="shared" si="0"/>
        <v>140.88999999999999</v>
      </c>
      <c r="H60" s="9">
        <f t="shared" si="1"/>
        <v>980.89</v>
      </c>
      <c r="I60" s="9">
        <f t="shared" si="2"/>
        <v>840</v>
      </c>
      <c r="J60" s="9">
        <f t="shared" si="3"/>
        <v>140.88999999999999</v>
      </c>
    </row>
    <row r="61" spans="2:17" x14ac:dyDescent="0.3">
      <c r="B61" s="7">
        <v>45797</v>
      </c>
      <c r="C61" s="8" t="s">
        <v>12</v>
      </c>
      <c r="D61" s="8">
        <v>2</v>
      </c>
      <c r="E61" s="8">
        <v>5200</v>
      </c>
      <c r="F61" s="8">
        <v>5339.75</v>
      </c>
      <c r="G61" s="8">
        <f t="shared" si="0"/>
        <v>-139.75</v>
      </c>
      <c r="H61" s="10">
        <f t="shared" si="1"/>
        <v>10400</v>
      </c>
      <c r="I61" s="10">
        <f t="shared" si="2"/>
        <v>10679.5</v>
      </c>
      <c r="J61" s="10">
        <f t="shared" si="3"/>
        <v>-279.5</v>
      </c>
      <c r="O61" t="s">
        <v>39</v>
      </c>
    </row>
    <row r="62" spans="2:17" x14ac:dyDescent="0.3">
      <c r="B62" s="6">
        <v>45797</v>
      </c>
      <c r="C62" t="s">
        <v>21</v>
      </c>
      <c r="D62">
        <v>20</v>
      </c>
      <c r="E62">
        <v>710</v>
      </c>
      <c r="F62">
        <v>609.65</v>
      </c>
      <c r="G62">
        <f t="shared" si="0"/>
        <v>100.35000000000002</v>
      </c>
      <c r="H62" s="9">
        <f t="shared" si="1"/>
        <v>14200</v>
      </c>
      <c r="I62" s="9">
        <f t="shared" si="2"/>
        <v>12193</v>
      </c>
      <c r="J62" s="9">
        <f t="shared" si="3"/>
        <v>2007</v>
      </c>
      <c r="O62">
        <v>836.47</v>
      </c>
      <c r="P62">
        <f>O62/11</f>
        <v>76.042727272727276</v>
      </c>
      <c r="Q62">
        <f>O62-P62</f>
        <v>760.42727272727279</v>
      </c>
    </row>
    <row r="63" spans="2:17" x14ac:dyDescent="0.3">
      <c r="B63" s="6">
        <v>45797</v>
      </c>
      <c r="C63" t="s">
        <v>19</v>
      </c>
      <c r="D63">
        <v>1</v>
      </c>
      <c r="E63">
        <v>980.89</v>
      </c>
      <c r="F63">
        <v>840</v>
      </c>
      <c r="G63">
        <f t="shared" si="0"/>
        <v>140.88999999999999</v>
      </c>
      <c r="H63" s="9">
        <f t="shared" si="1"/>
        <v>980.89</v>
      </c>
      <c r="I63" s="9">
        <f t="shared" si="2"/>
        <v>840</v>
      </c>
      <c r="J63" s="9">
        <f t="shared" si="3"/>
        <v>140.88999999999999</v>
      </c>
      <c r="O63">
        <v>817.83</v>
      </c>
      <c r="P63">
        <f t="shared" ref="P63:P64" si="4">O63/11</f>
        <v>74.348181818181828</v>
      </c>
      <c r="Q63">
        <f t="shared" ref="Q63:Q64" si="5">O63-P63</f>
        <v>743.4818181818182</v>
      </c>
    </row>
    <row r="64" spans="2:17" x14ac:dyDescent="0.3">
      <c r="B64" s="6">
        <v>45798</v>
      </c>
      <c r="C64" t="s">
        <v>29</v>
      </c>
      <c r="D64">
        <v>108</v>
      </c>
      <c r="E64">
        <v>60.75</v>
      </c>
      <c r="F64">
        <v>59.823999999999998</v>
      </c>
      <c r="G64">
        <f t="shared" si="0"/>
        <v>0.92600000000000193</v>
      </c>
      <c r="H64" s="9">
        <f t="shared" si="1"/>
        <v>6561</v>
      </c>
      <c r="I64" s="9">
        <f t="shared" si="2"/>
        <v>6460.9920000000002</v>
      </c>
      <c r="J64" s="9">
        <f t="shared" si="3"/>
        <v>100.00799999999981</v>
      </c>
      <c r="O64">
        <v>827.15</v>
      </c>
      <c r="P64">
        <f t="shared" si="4"/>
        <v>75.195454545454538</v>
      </c>
      <c r="Q64">
        <f t="shared" si="5"/>
        <v>751.9545454545455</v>
      </c>
    </row>
    <row r="65" spans="2:10" x14ac:dyDescent="0.3">
      <c r="B65" s="7">
        <v>45799</v>
      </c>
      <c r="C65" s="8" t="s">
        <v>11</v>
      </c>
      <c r="D65" s="8">
        <v>5</v>
      </c>
      <c r="E65" s="8">
        <v>4500</v>
      </c>
      <c r="F65" s="8">
        <v>4542.75</v>
      </c>
      <c r="G65" s="8">
        <f t="shared" si="0"/>
        <v>-42.75</v>
      </c>
      <c r="H65" s="10">
        <f t="shared" si="1"/>
        <v>22500</v>
      </c>
      <c r="I65" s="10">
        <f t="shared" si="2"/>
        <v>22713.75</v>
      </c>
      <c r="J65" s="10">
        <f t="shared" si="3"/>
        <v>-213.75</v>
      </c>
    </row>
    <row r="66" spans="2:10" x14ac:dyDescent="0.3">
      <c r="B66" s="7">
        <v>45799</v>
      </c>
      <c r="C66" s="8" t="s">
        <v>12</v>
      </c>
      <c r="D66" s="8">
        <v>3</v>
      </c>
      <c r="E66" s="8">
        <v>5190</v>
      </c>
      <c r="F66" s="8">
        <v>5339.75</v>
      </c>
      <c r="G66" s="8">
        <f t="shared" si="0"/>
        <v>-149.75</v>
      </c>
      <c r="H66" s="10">
        <f t="shared" si="1"/>
        <v>15570</v>
      </c>
      <c r="I66" s="10">
        <f t="shared" si="2"/>
        <v>16019.25</v>
      </c>
      <c r="J66" s="10">
        <f t="shared" si="3"/>
        <v>-449.25</v>
      </c>
    </row>
    <row r="67" spans="2:10" x14ac:dyDescent="0.3">
      <c r="B67" s="7">
        <v>45799</v>
      </c>
      <c r="C67" s="8" t="s">
        <v>11</v>
      </c>
      <c r="D67" s="8">
        <v>1</v>
      </c>
      <c r="E67" s="8">
        <v>4460</v>
      </c>
      <c r="F67" s="8">
        <v>4542.75</v>
      </c>
      <c r="G67" s="8">
        <f t="shared" si="0"/>
        <v>-82.75</v>
      </c>
      <c r="H67" s="10">
        <f t="shared" si="1"/>
        <v>4460</v>
      </c>
      <c r="I67" s="10">
        <f t="shared" si="2"/>
        <v>4542.75</v>
      </c>
      <c r="J67" s="10">
        <f t="shared" si="3"/>
        <v>-82.75</v>
      </c>
    </row>
    <row r="68" spans="2:10" x14ac:dyDescent="0.3">
      <c r="B68" s="7">
        <v>45799</v>
      </c>
      <c r="C68" s="8" t="s">
        <v>11</v>
      </c>
      <c r="D68" s="8">
        <v>1</v>
      </c>
      <c r="E68" s="8">
        <v>4500</v>
      </c>
      <c r="F68" s="8">
        <v>4542.75</v>
      </c>
      <c r="G68" s="8">
        <f t="shared" ref="G68:G104" si="6">E68-F68</f>
        <v>-42.75</v>
      </c>
      <c r="H68" s="10">
        <f t="shared" ref="H68:H104" si="7">E68*D68</f>
        <v>4500</v>
      </c>
      <c r="I68" s="10">
        <f t="shared" ref="I68:I104" si="8">F68*D68</f>
        <v>4542.75</v>
      </c>
      <c r="J68" s="10">
        <f t="shared" ref="J68:J104" si="9">H68-I68</f>
        <v>-42.75</v>
      </c>
    </row>
    <row r="69" spans="2:10" x14ac:dyDescent="0.3">
      <c r="B69" s="6">
        <v>45799</v>
      </c>
      <c r="C69" t="s">
        <v>11</v>
      </c>
      <c r="D69">
        <v>2</v>
      </c>
      <c r="E69">
        <v>4850</v>
      </c>
      <c r="F69">
        <v>4542.75</v>
      </c>
      <c r="G69">
        <f t="shared" si="6"/>
        <v>307.25</v>
      </c>
      <c r="H69" s="9">
        <f t="shared" si="7"/>
        <v>9700</v>
      </c>
      <c r="I69" s="9">
        <f t="shared" si="8"/>
        <v>9085.5</v>
      </c>
      <c r="J69" s="9">
        <f t="shared" si="9"/>
        <v>614.5</v>
      </c>
    </row>
    <row r="70" spans="2:10" x14ac:dyDescent="0.3">
      <c r="B70" s="6">
        <v>45799</v>
      </c>
      <c r="C70" t="s">
        <v>22</v>
      </c>
      <c r="D70">
        <v>1</v>
      </c>
      <c r="E70">
        <v>3095.54</v>
      </c>
      <c r="F70">
        <v>2850</v>
      </c>
      <c r="G70">
        <f t="shared" si="6"/>
        <v>245.53999999999996</v>
      </c>
      <c r="H70" s="9">
        <f t="shared" si="7"/>
        <v>3095.54</v>
      </c>
      <c r="I70" s="9">
        <f t="shared" si="8"/>
        <v>2850</v>
      </c>
      <c r="J70" s="9">
        <f t="shared" si="9"/>
        <v>245.53999999999996</v>
      </c>
    </row>
    <row r="71" spans="2:10" x14ac:dyDescent="0.3">
      <c r="B71" s="7">
        <v>45801</v>
      </c>
      <c r="C71" s="8" t="s">
        <v>12</v>
      </c>
      <c r="D71" s="8">
        <v>2</v>
      </c>
      <c r="E71" s="8">
        <v>5200</v>
      </c>
      <c r="F71" s="8">
        <v>5339.75</v>
      </c>
      <c r="G71" s="8">
        <f t="shared" si="6"/>
        <v>-139.75</v>
      </c>
      <c r="H71" s="10">
        <f t="shared" si="7"/>
        <v>10400</v>
      </c>
      <c r="I71" s="10">
        <f t="shared" si="8"/>
        <v>10679.5</v>
      </c>
      <c r="J71" s="10">
        <f t="shared" si="9"/>
        <v>-279.5</v>
      </c>
    </row>
    <row r="72" spans="2:10" x14ac:dyDescent="0.3">
      <c r="B72" s="7">
        <v>45801</v>
      </c>
      <c r="C72" s="8" t="s">
        <v>12</v>
      </c>
      <c r="D72" s="8">
        <v>1</v>
      </c>
      <c r="E72" s="8">
        <v>5200</v>
      </c>
      <c r="F72" s="8">
        <v>5339.75</v>
      </c>
      <c r="G72" s="8">
        <f t="shared" si="6"/>
        <v>-139.75</v>
      </c>
      <c r="H72" s="10">
        <f t="shared" si="7"/>
        <v>5200</v>
      </c>
      <c r="I72" s="10">
        <f t="shared" si="8"/>
        <v>5339.75</v>
      </c>
      <c r="J72" s="10">
        <f t="shared" si="9"/>
        <v>-139.75</v>
      </c>
    </row>
    <row r="73" spans="2:10" x14ac:dyDescent="0.3">
      <c r="B73" s="6">
        <v>45801</v>
      </c>
      <c r="C73" t="s">
        <v>23</v>
      </c>
      <c r="D73">
        <v>25</v>
      </c>
      <c r="E73">
        <v>1780</v>
      </c>
      <c r="F73">
        <v>1419</v>
      </c>
      <c r="G73">
        <f t="shared" si="6"/>
        <v>361</v>
      </c>
      <c r="H73" s="9">
        <f t="shared" si="7"/>
        <v>44500</v>
      </c>
      <c r="I73" s="9">
        <f t="shared" si="8"/>
        <v>35475</v>
      </c>
      <c r="J73" s="9">
        <f t="shared" si="9"/>
        <v>9025</v>
      </c>
    </row>
    <row r="74" spans="2:10" x14ac:dyDescent="0.3">
      <c r="B74" s="6">
        <v>45801</v>
      </c>
      <c r="C74" t="s">
        <v>23</v>
      </c>
      <c r="D74">
        <v>1</v>
      </c>
      <c r="E74">
        <v>1800</v>
      </c>
      <c r="F74">
        <v>1419</v>
      </c>
      <c r="G74">
        <f t="shared" si="6"/>
        <v>381</v>
      </c>
      <c r="H74" s="9">
        <f t="shared" si="7"/>
        <v>1800</v>
      </c>
      <c r="I74" s="9">
        <f t="shared" si="8"/>
        <v>1419</v>
      </c>
      <c r="J74" s="9">
        <f t="shared" si="9"/>
        <v>381</v>
      </c>
    </row>
    <row r="75" spans="2:10" x14ac:dyDescent="0.3">
      <c r="B75" s="6">
        <v>45803</v>
      </c>
      <c r="C75" t="s">
        <v>35</v>
      </c>
      <c r="D75">
        <v>1</v>
      </c>
      <c r="E75">
        <v>8800</v>
      </c>
      <c r="F75">
        <v>7059</v>
      </c>
      <c r="G75">
        <f t="shared" si="6"/>
        <v>1741</v>
      </c>
      <c r="H75" s="9">
        <f t="shared" si="7"/>
        <v>8800</v>
      </c>
      <c r="I75" s="9">
        <f t="shared" si="8"/>
        <v>7059</v>
      </c>
      <c r="J75" s="9">
        <f t="shared" si="9"/>
        <v>1741</v>
      </c>
    </row>
    <row r="76" spans="2:10" x14ac:dyDescent="0.3">
      <c r="B76" s="6">
        <v>45803</v>
      </c>
      <c r="C76" t="s">
        <v>30</v>
      </c>
      <c r="D76">
        <v>61</v>
      </c>
      <c r="E76">
        <v>970</v>
      </c>
      <c r="F76">
        <v>751.95</v>
      </c>
      <c r="G76">
        <f t="shared" si="6"/>
        <v>218.04999999999995</v>
      </c>
      <c r="H76" s="9">
        <f t="shared" si="7"/>
        <v>59170</v>
      </c>
      <c r="I76" s="9">
        <f t="shared" si="8"/>
        <v>45868.950000000004</v>
      </c>
      <c r="J76" s="9">
        <f t="shared" si="9"/>
        <v>13301.049999999996</v>
      </c>
    </row>
    <row r="77" spans="2:10" x14ac:dyDescent="0.3">
      <c r="B77" s="6">
        <v>45803</v>
      </c>
      <c r="C77" t="s">
        <v>25</v>
      </c>
      <c r="D77">
        <v>10</v>
      </c>
      <c r="E77">
        <v>2410</v>
      </c>
      <c r="F77">
        <v>2202.91</v>
      </c>
      <c r="G77">
        <f t="shared" si="6"/>
        <v>207.09000000000015</v>
      </c>
      <c r="H77" s="9">
        <f t="shared" si="7"/>
        <v>24100</v>
      </c>
      <c r="I77" s="9">
        <f t="shared" si="8"/>
        <v>22029.1</v>
      </c>
      <c r="J77" s="9">
        <f t="shared" si="9"/>
        <v>2070.9000000000015</v>
      </c>
    </row>
    <row r="78" spans="2:10" x14ac:dyDescent="0.3">
      <c r="B78" s="6">
        <v>45803</v>
      </c>
      <c r="C78" t="s">
        <v>31</v>
      </c>
      <c r="D78">
        <v>5</v>
      </c>
      <c r="E78">
        <v>2475</v>
      </c>
      <c r="F78">
        <v>1370.47</v>
      </c>
      <c r="G78">
        <f t="shared" si="6"/>
        <v>1104.53</v>
      </c>
      <c r="H78" s="9">
        <f t="shared" si="7"/>
        <v>12375</v>
      </c>
      <c r="I78" s="9">
        <f t="shared" si="8"/>
        <v>6852.35</v>
      </c>
      <c r="J78" s="9">
        <f t="shared" si="9"/>
        <v>5522.65</v>
      </c>
    </row>
    <row r="79" spans="2:10" x14ac:dyDescent="0.3">
      <c r="B79" s="6">
        <v>45803</v>
      </c>
      <c r="C79" t="s">
        <v>32</v>
      </c>
      <c r="D79">
        <v>2</v>
      </c>
      <c r="E79">
        <v>1700</v>
      </c>
      <c r="F79">
        <v>1542.75</v>
      </c>
      <c r="G79">
        <f t="shared" si="6"/>
        <v>157.25</v>
      </c>
      <c r="H79" s="9">
        <f t="shared" si="7"/>
        <v>3400</v>
      </c>
      <c r="I79" s="9">
        <f t="shared" si="8"/>
        <v>3085.5</v>
      </c>
      <c r="J79" s="9">
        <f t="shared" si="9"/>
        <v>314.5</v>
      </c>
    </row>
    <row r="80" spans="2:10" x14ac:dyDescent="0.3">
      <c r="B80" s="6">
        <v>45803</v>
      </c>
      <c r="C80" t="s">
        <v>32</v>
      </c>
      <c r="D80">
        <v>1</v>
      </c>
      <c r="E80">
        <v>1700</v>
      </c>
      <c r="F80">
        <v>1690</v>
      </c>
      <c r="G80">
        <f t="shared" si="6"/>
        <v>10</v>
      </c>
      <c r="H80" s="9">
        <f t="shared" si="7"/>
        <v>1700</v>
      </c>
      <c r="I80" s="9">
        <f t="shared" si="8"/>
        <v>1690</v>
      </c>
      <c r="J80" s="9">
        <f t="shared" si="9"/>
        <v>10</v>
      </c>
    </row>
    <row r="81" spans="2:10" x14ac:dyDescent="0.3">
      <c r="B81" s="6">
        <v>45803</v>
      </c>
      <c r="C81" t="s">
        <v>33</v>
      </c>
      <c r="D81">
        <v>1</v>
      </c>
      <c r="E81">
        <v>550</v>
      </c>
      <c r="F81">
        <v>400</v>
      </c>
      <c r="G81">
        <f t="shared" si="6"/>
        <v>150</v>
      </c>
      <c r="H81" s="9">
        <f t="shared" si="7"/>
        <v>550</v>
      </c>
      <c r="I81" s="9">
        <f t="shared" si="8"/>
        <v>400</v>
      </c>
      <c r="J81" s="9">
        <f t="shared" si="9"/>
        <v>150</v>
      </c>
    </row>
    <row r="82" spans="2:10" x14ac:dyDescent="0.3">
      <c r="B82" s="6">
        <v>45803</v>
      </c>
      <c r="C82" t="s">
        <v>22</v>
      </c>
      <c r="D82">
        <v>1</v>
      </c>
      <c r="E82">
        <v>3082.8020000000001</v>
      </c>
      <c r="F82">
        <v>2845</v>
      </c>
      <c r="G82">
        <f t="shared" si="6"/>
        <v>237.80200000000013</v>
      </c>
      <c r="H82" s="9">
        <f t="shared" si="7"/>
        <v>3082.8020000000001</v>
      </c>
      <c r="I82" s="9">
        <f t="shared" si="8"/>
        <v>2845</v>
      </c>
      <c r="J82" s="9">
        <f t="shared" si="9"/>
        <v>237.80200000000013</v>
      </c>
    </row>
    <row r="83" spans="2:10" x14ac:dyDescent="0.3">
      <c r="B83" s="6">
        <v>45804</v>
      </c>
      <c r="C83" t="s">
        <v>34</v>
      </c>
      <c r="D83">
        <v>2</v>
      </c>
      <c r="E83">
        <v>5200</v>
      </c>
      <c r="F83">
        <v>3643.16</v>
      </c>
      <c r="G83">
        <f t="shared" si="6"/>
        <v>1556.8400000000001</v>
      </c>
      <c r="H83" s="9">
        <f t="shared" si="7"/>
        <v>10400</v>
      </c>
      <c r="I83" s="9">
        <f t="shared" si="8"/>
        <v>7286.32</v>
      </c>
      <c r="J83" s="9">
        <f t="shared" si="9"/>
        <v>3113.6800000000003</v>
      </c>
    </row>
    <row r="84" spans="2:10" x14ac:dyDescent="0.3">
      <c r="B84" s="7">
        <v>45804</v>
      </c>
      <c r="C84" s="8" t="s">
        <v>11</v>
      </c>
      <c r="D84" s="8">
        <v>2</v>
      </c>
      <c r="E84" s="8">
        <v>4400</v>
      </c>
      <c r="F84" s="8">
        <v>4542.75</v>
      </c>
      <c r="G84" s="8">
        <f t="shared" si="6"/>
        <v>-142.75</v>
      </c>
      <c r="H84" s="10">
        <f t="shared" si="7"/>
        <v>8800</v>
      </c>
      <c r="I84" s="10">
        <f t="shared" si="8"/>
        <v>9085.5</v>
      </c>
      <c r="J84" s="10">
        <f t="shared" si="9"/>
        <v>-285.5</v>
      </c>
    </row>
    <row r="85" spans="2:10" x14ac:dyDescent="0.3">
      <c r="B85" s="6">
        <v>45804</v>
      </c>
      <c r="C85" t="s">
        <v>10</v>
      </c>
      <c r="D85">
        <v>1</v>
      </c>
      <c r="E85">
        <v>6500</v>
      </c>
      <c r="F85">
        <v>4960</v>
      </c>
      <c r="G85">
        <f t="shared" si="6"/>
        <v>1540</v>
      </c>
      <c r="H85" s="9">
        <f t="shared" si="7"/>
        <v>6500</v>
      </c>
      <c r="I85" s="9">
        <f t="shared" si="8"/>
        <v>4960</v>
      </c>
      <c r="J85" s="9">
        <f t="shared" si="9"/>
        <v>1540</v>
      </c>
    </row>
    <row r="86" spans="2:10" x14ac:dyDescent="0.3">
      <c r="B86" s="6">
        <v>45804</v>
      </c>
      <c r="C86" t="s">
        <v>19</v>
      </c>
      <c r="D86">
        <v>1</v>
      </c>
      <c r="E86">
        <v>968.15200000000004</v>
      </c>
      <c r="F86">
        <v>855</v>
      </c>
      <c r="G86">
        <f t="shared" si="6"/>
        <v>113.15200000000004</v>
      </c>
      <c r="H86" s="9">
        <f t="shared" si="7"/>
        <v>968.15200000000004</v>
      </c>
      <c r="I86" s="9">
        <f t="shared" si="8"/>
        <v>855</v>
      </c>
      <c r="J86" s="9">
        <f t="shared" si="9"/>
        <v>113.15200000000004</v>
      </c>
    </row>
    <row r="87" spans="2:10" x14ac:dyDescent="0.3">
      <c r="B87" s="7">
        <v>45806</v>
      </c>
      <c r="C87" s="8" t="s">
        <v>11</v>
      </c>
      <c r="D87" s="8">
        <v>1</v>
      </c>
      <c r="E87" s="8">
        <v>4430</v>
      </c>
      <c r="F87" s="8">
        <v>4542.75</v>
      </c>
      <c r="G87" s="8">
        <f t="shared" si="6"/>
        <v>-112.75</v>
      </c>
      <c r="H87" s="10">
        <f t="shared" si="7"/>
        <v>4430</v>
      </c>
      <c r="I87" s="10">
        <f t="shared" si="8"/>
        <v>4542.75</v>
      </c>
      <c r="J87" s="10">
        <f t="shared" si="9"/>
        <v>-112.75</v>
      </c>
    </row>
    <row r="88" spans="2:10" x14ac:dyDescent="0.3">
      <c r="B88" s="6">
        <v>45806</v>
      </c>
      <c r="C88" t="s">
        <v>35</v>
      </c>
      <c r="D88">
        <v>2</v>
      </c>
      <c r="E88">
        <v>8750</v>
      </c>
      <c r="F88">
        <v>7059</v>
      </c>
      <c r="G88">
        <f t="shared" si="6"/>
        <v>1691</v>
      </c>
      <c r="H88" s="9">
        <f t="shared" si="7"/>
        <v>17500</v>
      </c>
      <c r="I88" s="9">
        <f t="shared" si="8"/>
        <v>14118</v>
      </c>
      <c r="J88" s="9">
        <f t="shared" si="9"/>
        <v>3382</v>
      </c>
    </row>
    <row r="89" spans="2:10" x14ac:dyDescent="0.3">
      <c r="B89" s="6">
        <v>45806</v>
      </c>
      <c r="C89" t="s">
        <v>32</v>
      </c>
      <c r="D89">
        <v>5</v>
      </c>
      <c r="E89">
        <v>1690</v>
      </c>
      <c r="F89">
        <v>1542.75</v>
      </c>
      <c r="G89">
        <f t="shared" si="6"/>
        <v>147.25</v>
      </c>
      <c r="H89" s="9">
        <f t="shared" si="7"/>
        <v>8450</v>
      </c>
      <c r="I89" s="9">
        <f t="shared" si="8"/>
        <v>7713.75</v>
      </c>
      <c r="J89" s="9">
        <f t="shared" si="9"/>
        <v>736.25</v>
      </c>
    </row>
    <row r="90" spans="2:10" x14ac:dyDescent="0.3">
      <c r="B90" s="6">
        <v>45806</v>
      </c>
      <c r="C90" t="s">
        <v>36</v>
      </c>
      <c r="D90">
        <v>11</v>
      </c>
      <c r="E90">
        <v>700</v>
      </c>
      <c r="F90">
        <v>562.65</v>
      </c>
      <c r="G90">
        <f t="shared" si="6"/>
        <v>137.35000000000002</v>
      </c>
      <c r="H90" s="9">
        <f t="shared" si="7"/>
        <v>7700</v>
      </c>
      <c r="I90" s="9">
        <f t="shared" si="8"/>
        <v>6189.15</v>
      </c>
      <c r="J90" s="9">
        <f t="shared" si="9"/>
        <v>1510.8500000000004</v>
      </c>
    </row>
    <row r="91" spans="2:10" x14ac:dyDescent="0.3">
      <c r="B91" s="6">
        <v>45806</v>
      </c>
      <c r="C91" t="s">
        <v>32</v>
      </c>
      <c r="D91">
        <v>3</v>
      </c>
      <c r="E91">
        <v>1700</v>
      </c>
      <c r="F91">
        <v>1542.75</v>
      </c>
      <c r="G91">
        <f t="shared" si="6"/>
        <v>157.25</v>
      </c>
      <c r="H91" s="9">
        <f t="shared" si="7"/>
        <v>5100</v>
      </c>
      <c r="I91" s="9">
        <f t="shared" si="8"/>
        <v>4628.25</v>
      </c>
      <c r="J91" s="9">
        <f t="shared" si="9"/>
        <v>471.75</v>
      </c>
    </row>
    <row r="92" spans="2:10" x14ac:dyDescent="0.3">
      <c r="B92" s="6">
        <v>45806</v>
      </c>
      <c r="C92" t="s">
        <v>14</v>
      </c>
      <c r="D92">
        <v>7</v>
      </c>
      <c r="E92">
        <v>1120</v>
      </c>
      <c r="F92">
        <v>653.4</v>
      </c>
      <c r="G92">
        <f t="shared" si="6"/>
        <v>466.6</v>
      </c>
      <c r="H92" s="9">
        <f t="shared" si="7"/>
        <v>7840</v>
      </c>
      <c r="I92" s="9">
        <f t="shared" si="8"/>
        <v>4573.8</v>
      </c>
      <c r="J92" s="9">
        <f t="shared" si="9"/>
        <v>3266.2</v>
      </c>
    </row>
    <row r="93" spans="2:10" x14ac:dyDescent="0.3">
      <c r="B93" s="6">
        <v>45806</v>
      </c>
      <c r="C93" t="s">
        <v>14</v>
      </c>
      <c r="D93">
        <v>24</v>
      </c>
      <c r="E93">
        <v>1410</v>
      </c>
      <c r="F93">
        <v>1057.57</v>
      </c>
      <c r="G93">
        <f t="shared" si="6"/>
        <v>352.43000000000006</v>
      </c>
      <c r="H93" s="9">
        <f t="shared" si="7"/>
        <v>33840</v>
      </c>
      <c r="I93" s="9">
        <f t="shared" si="8"/>
        <v>25381.68</v>
      </c>
      <c r="J93" s="9">
        <f t="shared" si="9"/>
        <v>8458.32</v>
      </c>
    </row>
    <row r="94" spans="2:10" x14ac:dyDescent="0.3">
      <c r="B94" s="6">
        <v>45806</v>
      </c>
      <c r="C94" t="s">
        <v>14</v>
      </c>
      <c r="D94">
        <v>7</v>
      </c>
      <c r="E94">
        <v>1400</v>
      </c>
      <c r="F94">
        <v>1057.57</v>
      </c>
      <c r="G94">
        <f t="shared" si="6"/>
        <v>342.43000000000006</v>
      </c>
      <c r="H94" s="9">
        <f t="shared" si="7"/>
        <v>9800</v>
      </c>
      <c r="I94" s="9">
        <f t="shared" si="8"/>
        <v>7402.99</v>
      </c>
      <c r="J94" s="9">
        <f t="shared" si="9"/>
        <v>2397.0100000000002</v>
      </c>
    </row>
    <row r="95" spans="2:10" x14ac:dyDescent="0.3">
      <c r="B95" s="6">
        <v>45806</v>
      </c>
      <c r="C95" t="s">
        <v>14</v>
      </c>
      <c r="D95">
        <v>5</v>
      </c>
      <c r="E95">
        <v>1390</v>
      </c>
      <c r="F95">
        <v>1057.57</v>
      </c>
      <c r="G95">
        <f t="shared" si="6"/>
        <v>332.43000000000006</v>
      </c>
      <c r="H95" s="9">
        <f t="shared" si="7"/>
        <v>6950</v>
      </c>
      <c r="I95" s="9">
        <f t="shared" si="8"/>
        <v>5287.8499999999995</v>
      </c>
      <c r="J95" s="9">
        <f t="shared" si="9"/>
        <v>1662.1500000000005</v>
      </c>
    </row>
    <row r="96" spans="2:10" x14ac:dyDescent="0.3">
      <c r="B96" s="6">
        <v>45806</v>
      </c>
      <c r="C96" t="s">
        <v>14</v>
      </c>
      <c r="D96">
        <v>4</v>
      </c>
      <c r="E96">
        <v>1130</v>
      </c>
      <c r="F96">
        <v>1057.57</v>
      </c>
      <c r="G96">
        <f t="shared" si="6"/>
        <v>72.430000000000064</v>
      </c>
      <c r="H96" s="9">
        <f t="shared" si="7"/>
        <v>4520</v>
      </c>
      <c r="I96" s="9">
        <f t="shared" si="8"/>
        <v>4230.28</v>
      </c>
      <c r="J96" s="9">
        <f t="shared" si="9"/>
        <v>289.72000000000025</v>
      </c>
    </row>
    <row r="97" spans="2:10" x14ac:dyDescent="0.3">
      <c r="B97" s="6">
        <v>45806</v>
      </c>
      <c r="C97" t="s">
        <v>14</v>
      </c>
      <c r="D97">
        <v>5</v>
      </c>
      <c r="E97">
        <v>1220</v>
      </c>
      <c r="F97">
        <v>1057.57</v>
      </c>
      <c r="G97">
        <f t="shared" si="6"/>
        <v>162.43000000000006</v>
      </c>
      <c r="H97" s="9">
        <f t="shared" si="7"/>
        <v>6100</v>
      </c>
      <c r="I97" s="9">
        <f t="shared" si="8"/>
        <v>5287.8499999999995</v>
      </c>
      <c r="J97" s="9">
        <f t="shared" si="9"/>
        <v>812.15000000000055</v>
      </c>
    </row>
    <row r="98" spans="2:10" x14ac:dyDescent="0.3">
      <c r="B98" s="6">
        <v>45806</v>
      </c>
      <c r="C98" t="s">
        <v>14</v>
      </c>
      <c r="D98">
        <v>2</v>
      </c>
      <c r="E98">
        <v>1390</v>
      </c>
      <c r="F98">
        <v>1057.57</v>
      </c>
      <c r="G98">
        <f t="shared" si="6"/>
        <v>332.43000000000006</v>
      </c>
      <c r="H98" s="9">
        <f t="shared" si="7"/>
        <v>2780</v>
      </c>
      <c r="I98" s="9">
        <f t="shared" si="8"/>
        <v>2115.14</v>
      </c>
      <c r="J98" s="9">
        <f t="shared" si="9"/>
        <v>664.86000000000013</v>
      </c>
    </row>
    <row r="99" spans="2:10" x14ac:dyDescent="0.3">
      <c r="B99" s="6">
        <v>45806</v>
      </c>
      <c r="C99" t="s">
        <v>37</v>
      </c>
      <c r="D99">
        <v>11</v>
      </c>
      <c r="E99">
        <v>560</v>
      </c>
      <c r="F99">
        <v>482.79</v>
      </c>
      <c r="G99">
        <f t="shared" si="6"/>
        <v>77.20999999999998</v>
      </c>
      <c r="H99" s="9">
        <f t="shared" si="7"/>
        <v>6160</v>
      </c>
      <c r="I99" s="9">
        <f t="shared" si="8"/>
        <v>5310.6900000000005</v>
      </c>
      <c r="J99" s="9">
        <f t="shared" si="9"/>
        <v>849.30999999999949</v>
      </c>
    </row>
    <row r="100" spans="2:10" x14ac:dyDescent="0.3">
      <c r="B100" s="6">
        <v>45806</v>
      </c>
      <c r="C100" t="s">
        <v>14</v>
      </c>
      <c r="D100">
        <v>1</v>
      </c>
      <c r="E100">
        <v>1400</v>
      </c>
      <c r="F100">
        <v>1057.57</v>
      </c>
      <c r="G100">
        <f t="shared" si="6"/>
        <v>342.43000000000006</v>
      </c>
      <c r="H100" s="9">
        <f t="shared" si="7"/>
        <v>1400</v>
      </c>
      <c r="I100" s="9">
        <f t="shared" si="8"/>
        <v>1057.57</v>
      </c>
      <c r="J100" s="9">
        <f t="shared" si="9"/>
        <v>342.43000000000006</v>
      </c>
    </row>
    <row r="101" spans="2:10" x14ac:dyDescent="0.3">
      <c r="B101" s="6">
        <v>45806</v>
      </c>
      <c r="C101" t="s">
        <v>22</v>
      </c>
      <c r="D101">
        <v>1</v>
      </c>
      <c r="E101">
        <v>3082.8020000000001</v>
      </c>
      <c r="F101">
        <v>2845</v>
      </c>
      <c r="G101">
        <f t="shared" si="6"/>
        <v>237.80200000000013</v>
      </c>
      <c r="H101" s="9">
        <f t="shared" si="7"/>
        <v>3082.8020000000001</v>
      </c>
      <c r="I101" s="9">
        <f t="shared" si="8"/>
        <v>2845</v>
      </c>
      <c r="J101" s="9">
        <f t="shared" si="9"/>
        <v>237.80200000000013</v>
      </c>
    </row>
    <row r="102" spans="2:10" x14ac:dyDescent="0.3">
      <c r="B102" s="6">
        <v>45807</v>
      </c>
      <c r="C102" t="s">
        <v>38</v>
      </c>
      <c r="D102">
        <v>5</v>
      </c>
      <c r="E102">
        <v>1900</v>
      </c>
      <c r="F102">
        <v>1788.25</v>
      </c>
      <c r="G102">
        <f t="shared" si="6"/>
        <v>111.75</v>
      </c>
      <c r="H102" s="9">
        <f t="shared" si="7"/>
        <v>9500</v>
      </c>
      <c r="I102" s="9">
        <f t="shared" si="8"/>
        <v>8941.25</v>
      </c>
      <c r="J102" s="9">
        <f t="shared" si="9"/>
        <v>558.75</v>
      </c>
    </row>
    <row r="103" spans="2:10" x14ac:dyDescent="0.3">
      <c r="B103" s="6">
        <v>45807</v>
      </c>
      <c r="C103" t="s">
        <v>35</v>
      </c>
      <c r="D103">
        <v>2</v>
      </c>
      <c r="E103">
        <v>8750</v>
      </c>
      <c r="F103">
        <v>7059</v>
      </c>
      <c r="G103">
        <f t="shared" si="6"/>
        <v>1691</v>
      </c>
      <c r="H103" s="9">
        <f t="shared" si="7"/>
        <v>17500</v>
      </c>
      <c r="I103" s="9">
        <f t="shared" si="8"/>
        <v>14118</v>
      </c>
      <c r="J103" s="9">
        <f t="shared" si="9"/>
        <v>3382</v>
      </c>
    </row>
    <row r="104" spans="2:10" x14ac:dyDescent="0.3">
      <c r="B104" s="6">
        <v>45807</v>
      </c>
      <c r="C104" t="s">
        <v>31</v>
      </c>
      <c r="D104">
        <v>3</v>
      </c>
      <c r="E104">
        <v>2450</v>
      </c>
      <c r="F104">
        <v>1370.47</v>
      </c>
      <c r="G104">
        <f t="shared" si="6"/>
        <v>1079.53</v>
      </c>
      <c r="H104" s="9">
        <f t="shared" si="7"/>
        <v>7350</v>
      </c>
      <c r="I104" s="9">
        <f t="shared" si="8"/>
        <v>4111.41</v>
      </c>
      <c r="J104" s="9">
        <f t="shared" si="9"/>
        <v>3238.59</v>
      </c>
    </row>
    <row r="105" spans="2:10" x14ac:dyDescent="0.3">
      <c r="H105" s="9"/>
      <c r="I105" s="9"/>
      <c r="J105" s="9"/>
    </row>
    <row r="106" spans="2:10" ht="21" x14ac:dyDescent="0.4">
      <c r="H106" s="11" t="s">
        <v>6</v>
      </c>
      <c r="I106" s="11" t="s">
        <v>40</v>
      </c>
      <c r="J106" s="11" t="s">
        <v>41</v>
      </c>
    </row>
    <row r="107" spans="2:10" x14ac:dyDescent="0.3">
      <c r="H107" s="9">
        <f>SUM(H3:H106)</f>
        <v>1284466.0179999999</v>
      </c>
      <c r="I107" s="9">
        <f>SUM(I3:I106)</f>
        <v>1102012.0060000001</v>
      </c>
      <c r="J107" s="9">
        <f>SUM(J3:J106)</f>
        <v>182454.01199999996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dell5300</dc:creator>
  <cp:lastModifiedBy>dell5300</cp:lastModifiedBy>
  <dcterms:created xsi:type="dcterms:W3CDTF">2025-06-04T13:32:49Z</dcterms:created>
  <dcterms:modified xsi:type="dcterms:W3CDTF">2025-08-04T13:46:09Z</dcterms:modified>
</cp:coreProperties>
</file>