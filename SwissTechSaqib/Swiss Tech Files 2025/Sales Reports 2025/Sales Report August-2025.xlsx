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F331B3B5-468A-4F1B-AE4A-FAFB558E0E44}" xr6:coauthVersionLast="47" xr6:coauthVersionMax="47" xr10:uidLastSave="{00000000-0000-0000-0000-000000000000}"/>
  <bookViews>
    <workbookView xWindow="-120" yWindow="-120" windowWidth="29040" windowHeight="15720" activeTab="4" xr2:uid="{0B7D6D9B-A7C5-49A4-979C-65C81E385869}"/>
  </bookViews>
  <sheets>
    <sheet name="Sheet1" sheetId="1" r:id="rId1"/>
    <sheet name="USA" sheetId="4" r:id="rId2"/>
    <sheet name="Australia" sheetId="2" r:id="rId3"/>
    <sheet name="Newzealand" sheetId="3" r:id="rId4"/>
    <sheet name="Karachi" sheetId="5" r:id="rId5"/>
    <sheet name="Duba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5" l="1"/>
  <c r="H18" i="3"/>
  <c r="H66" i="2"/>
  <c r="H169" i="4"/>
  <c r="F64" i="2"/>
  <c r="G64" i="2"/>
  <c r="I64" i="2" s="1"/>
  <c r="H64" i="2"/>
  <c r="I274" i="1"/>
  <c r="C19" i="6"/>
  <c r="I8" i="6"/>
  <c r="C16" i="6"/>
  <c r="C55" i="5"/>
  <c r="I25" i="5"/>
  <c r="C52" i="5"/>
  <c r="C26" i="3"/>
  <c r="C188" i="4"/>
  <c r="C72" i="2"/>
  <c r="H6" i="6" l="1"/>
  <c r="G6" i="6"/>
  <c r="I6" i="6" s="1"/>
  <c r="F6" i="6"/>
  <c r="H5" i="6"/>
  <c r="G5" i="6"/>
  <c r="I5" i="6" s="1"/>
  <c r="F5" i="6"/>
  <c r="H4" i="6"/>
  <c r="G4" i="6"/>
  <c r="I4" i="6" s="1"/>
  <c r="F4" i="6"/>
  <c r="H3" i="6"/>
  <c r="G3" i="6"/>
  <c r="I3" i="6" s="1"/>
  <c r="F3" i="6"/>
  <c r="H2" i="6"/>
  <c r="G2" i="6"/>
  <c r="I2" i="6" s="1"/>
  <c r="F2" i="6"/>
  <c r="H23" i="5"/>
  <c r="G23" i="5"/>
  <c r="F23" i="5"/>
  <c r="H22" i="5"/>
  <c r="G22" i="5"/>
  <c r="I22" i="5" s="1"/>
  <c r="F22" i="5"/>
  <c r="H21" i="5"/>
  <c r="G21" i="5"/>
  <c r="F21" i="5"/>
  <c r="H20" i="5"/>
  <c r="G20" i="5"/>
  <c r="I20" i="5" s="1"/>
  <c r="F20" i="5"/>
  <c r="H19" i="5"/>
  <c r="G19" i="5"/>
  <c r="I19" i="5" s="1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I14" i="5" s="1"/>
  <c r="F14" i="5"/>
  <c r="H13" i="5"/>
  <c r="G13" i="5"/>
  <c r="F13" i="5"/>
  <c r="H12" i="5"/>
  <c r="G12" i="5"/>
  <c r="I12" i="5" s="1"/>
  <c r="F12" i="5"/>
  <c r="H11" i="5"/>
  <c r="G11" i="5"/>
  <c r="I11" i="5" s="1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I6" i="5" s="1"/>
  <c r="F6" i="5"/>
  <c r="H5" i="5"/>
  <c r="G5" i="5"/>
  <c r="F5" i="5"/>
  <c r="H4" i="5"/>
  <c r="G4" i="5"/>
  <c r="I4" i="5" s="1"/>
  <c r="F4" i="5"/>
  <c r="H3" i="5"/>
  <c r="G3" i="5"/>
  <c r="I3" i="5" s="1"/>
  <c r="F3" i="5"/>
  <c r="H2" i="5"/>
  <c r="G2" i="5"/>
  <c r="I2" i="5" s="1"/>
  <c r="F2" i="5"/>
  <c r="H167" i="4"/>
  <c r="G167" i="4"/>
  <c r="F167" i="4"/>
  <c r="H166" i="4"/>
  <c r="G166" i="4"/>
  <c r="I166" i="4" s="1"/>
  <c r="F166" i="4"/>
  <c r="H165" i="4"/>
  <c r="G165" i="4"/>
  <c r="F165" i="4"/>
  <c r="H164" i="4"/>
  <c r="G164" i="4"/>
  <c r="I164" i="4" s="1"/>
  <c r="F164" i="4"/>
  <c r="H163" i="4"/>
  <c r="G163" i="4"/>
  <c r="F163" i="4"/>
  <c r="H162" i="4"/>
  <c r="G162" i="4"/>
  <c r="I162" i="4" s="1"/>
  <c r="F162" i="4"/>
  <c r="H161" i="4"/>
  <c r="G161" i="4"/>
  <c r="F161" i="4"/>
  <c r="H160" i="4"/>
  <c r="G160" i="4"/>
  <c r="I160" i="4" s="1"/>
  <c r="F160" i="4"/>
  <c r="H159" i="4"/>
  <c r="G159" i="4"/>
  <c r="F159" i="4"/>
  <c r="H158" i="4"/>
  <c r="G158" i="4"/>
  <c r="I158" i="4" s="1"/>
  <c r="F158" i="4"/>
  <c r="H157" i="4"/>
  <c r="G157" i="4"/>
  <c r="F157" i="4"/>
  <c r="H156" i="4"/>
  <c r="G156" i="4"/>
  <c r="I156" i="4" s="1"/>
  <c r="F156" i="4"/>
  <c r="H155" i="4"/>
  <c r="G155" i="4"/>
  <c r="F155" i="4"/>
  <c r="H154" i="4"/>
  <c r="G154" i="4"/>
  <c r="I154" i="4" s="1"/>
  <c r="F154" i="4"/>
  <c r="H153" i="4"/>
  <c r="G153" i="4"/>
  <c r="F153" i="4"/>
  <c r="H152" i="4"/>
  <c r="G152" i="4"/>
  <c r="I152" i="4" s="1"/>
  <c r="F152" i="4"/>
  <c r="H151" i="4"/>
  <c r="G151" i="4"/>
  <c r="F151" i="4"/>
  <c r="H150" i="4"/>
  <c r="G150" i="4"/>
  <c r="I150" i="4" s="1"/>
  <c r="F150" i="4"/>
  <c r="H149" i="4"/>
  <c r="G149" i="4"/>
  <c r="F149" i="4"/>
  <c r="H148" i="4"/>
  <c r="G148" i="4"/>
  <c r="I148" i="4" s="1"/>
  <c r="F148" i="4"/>
  <c r="H147" i="4"/>
  <c r="G147" i="4"/>
  <c r="F147" i="4"/>
  <c r="H146" i="4"/>
  <c r="G146" i="4"/>
  <c r="I146" i="4" s="1"/>
  <c r="F146" i="4"/>
  <c r="H145" i="4"/>
  <c r="G145" i="4"/>
  <c r="F145" i="4"/>
  <c r="H144" i="4"/>
  <c r="G144" i="4"/>
  <c r="I144" i="4" s="1"/>
  <c r="F144" i="4"/>
  <c r="H143" i="4"/>
  <c r="G143" i="4"/>
  <c r="F143" i="4"/>
  <c r="H142" i="4"/>
  <c r="G142" i="4"/>
  <c r="I142" i="4" s="1"/>
  <c r="F142" i="4"/>
  <c r="H141" i="4"/>
  <c r="G141" i="4"/>
  <c r="F141" i="4"/>
  <c r="H140" i="4"/>
  <c r="G140" i="4"/>
  <c r="I140" i="4" s="1"/>
  <c r="F140" i="4"/>
  <c r="H139" i="4"/>
  <c r="G139" i="4"/>
  <c r="F139" i="4"/>
  <c r="H138" i="4"/>
  <c r="G138" i="4"/>
  <c r="I138" i="4" s="1"/>
  <c r="F138" i="4"/>
  <c r="H137" i="4"/>
  <c r="G137" i="4"/>
  <c r="F137" i="4"/>
  <c r="H136" i="4"/>
  <c r="I136" i="4" s="1"/>
  <c r="G136" i="4"/>
  <c r="F136" i="4"/>
  <c r="H135" i="4"/>
  <c r="G135" i="4"/>
  <c r="I135" i="4" s="1"/>
  <c r="F135" i="4"/>
  <c r="H134" i="4"/>
  <c r="G134" i="4"/>
  <c r="I134" i="4" s="1"/>
  <c r="F134" i="4"/>
  <c r="H133" i="4"/>
  <c r="G133" i="4"/>
  <c r="F133" i="4"/>
  <c r="H132" i="4"/>
  <c r="I132" i="4" s="1"/>
  <c r="G132" i="4"/>
  <c r="F132" i="4"/>
  <c r="H131" i="4"/>
  <c r="G131" i="4"/>
  <c r="I131" i="4" s="1"/>
  <c r="F131" i="4"/>
  <c r="I130" i="4"/>
  <c r="H130" i="4"/>
  <c r="G130" i="4"/>
  <c r="F130" i="4"/>
  <c r="H129" i="4"/>
  <c r="G129" i="4"/>
  <c r="F129" i="4"/>
  <c r="H128" i="4"/>
  <c r="I128" i="4" s="1"/>
  <c r="G128" i="4"/>
  <c r="F128" i="4"/>
  <c r="H127" i="4"/>
  <c r="G127" i="4"/>
  <c r="I127" i="4" s="1"/>
  <c r="F127" i="4"/>
  <c r="H126" i="4"/>
  <c r="G126" i="4"/>
  <c r="I126" i="4" s="1"/>
  <c r="F126" i="4"/>
  <c r="H125" i="4"/>
  <c r="G125" i="4"/>
  <c r="F125" i="4"/>
  <c r="H124" i="4"/>
  <c r="G124" i="4"/>
  <c r="I124" i="4" s="1"/>
  <c r="F124" i="4"/>
  <c r="H123" i="4"/>
  <c r="G123" i="4"/>
  <c r="I123" i="4" s="1"/>
  <c r="F123" i="4"/>
  <c r="H122" i="4"/>
  <c r="G122" i="4"/>
  <c r="F122" i="4"/>
  <c r="H121" i="4"/>
  <c r="G121" i="4"/>
  <c r="I121" i="4" s="1"/>
  <c r="F121" i="4"/>
  <c r="H120" i="4"/>
  <c r="G120" i="4"/>
  <c r="F120" i="4"/>
  <c r="H119" i="4"/>
  <c r="G119" i="4"/>
  <c r="I119" i="4" s="1"/>
  <c r="F119" i="4"/>
  <c r="H118" i="4"/>
  <c r="G118" i="4"/>
  <c r="F118" i="4"/>
  <c r="H117" i="4"/>
  <c r="G117" i="4"/>
  <c r="F117" i="4"/>
  <c r="H116" i="4"/>
  <c r="G116" i="4"/>
  <c r="F116" i="4"/>
  <c r="H115" i="4"/>
  <c r="G115" i="4"/>
  <c r="F115" i="4"/>
  <c r="H114" i="4"/>
  <c r="G114" i="4"/>
  <c r="F114" i="4"/>
  <c r="H113" i="4"/>
  <c r="G113" i="4"/>
  <c r="I113" i="4" s="1"/>
  <c r="F113" i="4"/>
  <c r="H112" i="4"/>
  <c r="G112" i="4"/>
  <c r="F112" i="4"/>
  <c r="H111" i="4"/>
  <c r="G111" i="4"/>
  <c r="I111" i="4" s="1"/>
  <c r="F111" i="4"/>
  <c r="H110" i="4"/>
  <c r="G110" i="4"/>
  <c r="F110" i="4"/>
  <c r="H109" i="4"/>
  <c r="G109" i="4"/>
  <c r="F109" i="4"/>
  <c r="H108" i="4"/>
  <c r="G108" i="4"/>
  <c r="F108" i="4"/>
  <c r="H107" i="4"/>
  <c r="G107" i="4"/>
  <c r="F107" i="4"/>
  <c r="H106" i="4"/>
  <c r="G106" i="4"/>
  <c r="F106" i="4"/>
  <c r="H105" i="4"/>
  <c r="G105" i="4"/>
  <c r="F105" i="4"/>
  <c r="H104" i="4"/>
  <c r="I104" i="4" s="1"/>
  <c r="G104" i="4"/>
  <c r="F104" i="4"/>
  <c r="H103" i="4"/>
  <c r="G103" i="4"/>
  <c r="F103" i="4"/>
  <c r="H102" i="4"/>
  <c r="G102" i="4"/>
  <c r="F102" i="4"/>
  <c r="H101" i="4"/>
  <c r="G101" i="4"/>
  <c r="I101" i="4" s="1"/>
  <c r="F101" i="4"/>
  <c r="H100" i="4"/>
  <c r="G100" i="4"/>
  <c r="F100" i="4"/>
  <c r="H99" i="4"/>
  <c r="G99" i="4"/>
  <c r="F99" i="4"/>
  <c r="H98" i="4"/>
  <c r="G98" i="4"/>
  <c r="F98" i="4"/>
  <c r="H97" i="4"/>
  <c r="G97" i="4"/>
  <c r="F97" i="4"/>
  <c r="H96" i="4"/>
  <c r="G96" i="4"/>
  <c r="I96" i="4" s="1"/>
  <c r="F96" i="4"/>
  <c r="H95" i="4"/>
  <c r="G95" i="4"/>
  <c r="F95" i="4"/>
  <c r="H94" i="4"/>
  <c r="G94" i="4"/>
  <c r="F94" i="4"/>
  <c r="H93" i="4"/>
  <c r="G93" i="4"/>
  <c r="I93" i="4" s="1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I88" i="4" s="1"/>
  <c r="F88" i="4"/>
  <c r="H87" i="4"/>
  <c r="G87" i="4"/>
  <c r="I87" i="4" s="1"/>
  <c r="F87" i="4"/>
  <c r="H86" i="4"/>
  <c r="G86" i="4"/>
  <c r="F86" i="4"/>
  <c r="H85" i="4"/>
  <c r="G85" i="4"/>
  <c r="I85" i="4" s="1"/>
  <c r="F85" i="4"/>
  <c r="H84" i="4"/>
  <c r="G84" i="4"/>
  <c r="F84" i="4"/>
  <c r="H83" i="4"/>
  <c r="G83" i="4"/>
  <c r="F83" i="4"/>
  <c r="H82" i="4"/>
  <c r="G82" i="4"/>
  <c r="F82" i="4"/>
  <c r="H81" i="4"/>
  <c r="G81" i="4"/>
  <c r="I81" i="4" s="1"/>
  <c r="F81" i="4"/>
  <c r="H80" i="4"/>
  <c r="G80" i="4"/>
  <c r="I80" i="4" s="1"/>
  <c r="F80" i="4"/>
  <c r="H79" i="4"/>
  <c r="G79" i="4"/>
  <c r="I79" i="4" s="1"/>
  <c r="F79" i="4"/>
  <c r="H78" i="4"/>
  <c r="G78" i="4"/>
  <c r="F78" i="4"/>
  <c r="H77" i="4"/>
  <c r="G77" i="4"/>
  <c r="I77" i="4" s="1"/>
  <c r="F77" i="4"/>
  <c r="H76" i="4"/>
  <c r="G76" i="4"/>
  <c r="F76" i="4"/>
  <c r="H75" i="4"/>
  <c r="G75" i="4"/>
  <c r="F75" i="4"/>
  <c r="H74" i="4"/>
  <c r="G74" i="4"/>
  <c r="F74" i="4"/>
  <c r="H73" i="4"/>
  <c r="G73" i="4"/>
  <c r="I73" i="4" s="1"/>
  <c r="F73" i="4"/>
  <c r="H72" i="4"/>
  <c r="G72" i="4"/>
  <c r="I72" i="4" s="1"/>
  <c r="F72" i="4"/>
  <c r="H71" i="4"/>
  <c r="G71" i="4"/>
  <c r="I71" i="4" s="1"/>
  <c r="F71" i="4"/>
  <c r="H70" i="4"/>
  <c r="G70" i="4"/>
  <c r="F70" i="4"/>
  <c r="H69" i="4"/>
  <c r="G69" i="4"/>
  <c r="I69" i="4" s="1"/>
  <c r="F69" i="4"/>
  <c r="H68" i="4"/>
  <c r="G68" i="4"/>
  <c r="F68" i="4"/>
  <c r="H67" i="4"/>
  <c r="G67" i="4"/>
  <c r="F67" i="4"/>
  <c r="H66" i="4"/>
  <c r="G66" i="4"/>
  <c r="F66" i="4"/>
  <c r="H65" i="4"/>
  <c r="G65" i="4"/>
  <c r="I65" i="4" s="1"/>
  <c r="F65" i="4"/>
  <c r="H64" i="4"/>
  <c r="G64" i="4"/>
  <c r="I64" i="4" s="1"/>
  <c r="F64" i="4"/>
  <c r="H63" i="4"/>
  <c r="G63" i="4"/>
  <c r="I63" i="4" s="1"/>
  <c r="F63" i="4"/>
  <c r="H62" i="4"/>
  <c r="G62" i="4"/>
  <c r="F62" i="4"/>
  <c r="H61" i="4"/>
  <c r="G61" i="4"/>
  <c r="I61" i="4" s="1"/>
  <c r="F61" i="4"/>
  <c r="H60" i="4"/>
  <c r="G60" i="4"/>
  <c r="F60" i="4"/>
  <c r="H59" i="4"/>
  <c r="G59" i="4"/>
  <c r="F59" i="4"/>
  <c r="H58" i="4"/>
  <c r="G58" i="4"/>
  <c r="F58" i="4"/>
  <c r="H57" i="4"/>
  <c r="G57" i="4"/>
  <c r="I57" i="4" s="1"/>
  <c r="F57" i="4"/>
  <c r="H56" i="4"/>
  <c r="G56" i="4"/>
  <c r="I56" i="4" s="1"/>
  <c r="F56" i="4"/>
  <c r="H55" i="4"/>
  <c r="G55" i="4"/>
  <c r="I55" i="4" s="1"/>
  <c r="F55" i="4"/>
  <c r="H54" i="4"/>
  <c r="G54" i="4"/>
  <c r="F54" i="4"/>
  <c r="H53" i="4"/>
  <c r="G53" i="4"/>
  <c r="I53" i="4" s="1"/>
  <c r="F53" i="4"/>
  <c r="H52" i="4"/>
  <c r="G52" i="4"/>
  <c r="F52" i="4"/>
  <c r="H51" i="4"/>
  <c r="G51" i="4"/>
  <c r="F51" i="4"/>
  <c r="H50" i="4"/>
  <c r="G50" i="4"/>
  <c r="F50" i="4"/>
  <c r="H49" i="4"/>
  <c r="G49" i="4"/>
  <c r="I49" i="4" s="1"/>
  <c r="F49" i="4"/>
  <c r="H48" i="4"/>
  <c r="G48" i="4"/>
  <c r="I48" i="4" s="1"/>
  <c r="F48" i="4"/>
  <c r="H47" i="4"/>
  <c r="G47" i="4"/>
  <c r="I47" i="4" s="1"/>
  <c r="F47" i="4"/>
  <c r="H46" i="4"/>
  <c r="G46" i="4"/>
  <c r="F46" i="4"/>
  <c r="H45" i="4"/>
  <c r="G45" i="4"/>
  <c r="I45" i="4" s="1"/>
  <c r="F45" i="4"/>
  <c r="H44" i="4"/>
  <c r="G44" i="4"/>
  <c r="F44" i="4"/>
  <c r="H43" i="4"/>
  <c r="G43" i="4"/>
  <c r="F43" i="4"/>
  <c r="H42" i="4"/>
  <c r="G42" i="4"/>
  <c r="F42" i="4"/>
  <c r="H41" i="4"/>
  <c r="G41" i="4"/>
  <c r="I41" i="4" s="1"/>
  <c r="F41" i="4"/>
  <c r="H40" i="4"/>
  <c r="G40" i="4"/>
  <c r="F40" i="4"/>
  <c r="H39" i="4"/>
  <c r="G39" i="4"/>
  <c r="I39" i="4" s="1"/>
  <c r="F39" i="4"/>
  <c r="H38" i="4"/>
  <c r="G38" i="4"/>
  <c r="F38" i="4"/>
  <c r="H37" i="4"/>
  <c r="G37" i="4"/>
  <c r="I37" i="4" s="1"/>
  <c r="F37" i="4"/>
  <c r="H36" i="4"/>
  <c r="G36" i="4"/>
  <c r="F36" i="4"/>
  <c r="H35" i="4"/>
  <c r="G35" i="4"/>
  <c r="F35" i="4"/>
  <c r="H34" i="4"/>
  <c r="G34" i="4"/>
  <c r="F34" i="4"/>
  <c r="H33" i="4"/>
  <c r="G33" i="4"/>
  <c r="I33" i="4" s="1"/>
  <c r="F33" i="4"/>
  <c r="H32" i="4"/>
  <c r="G32" i="4"/>
  <c r="F32" i="4"/>
  <c r="H31" i="4"/>
  <c r="G31" i="4"/>
  <c r="I31" i="4" s="1"/>
  <c r="F31" i="4"/>
  <c r="H30" i="4"/>
  <c r="G30" i="4"/>
  <c r="F30" i="4"/>
  <c r="H29" i="4"/>
  <c r="G29" i="4"/>
  <c r="I29" i="4" s="1"/>
  <c r="F29" i="4"/>
  <c r="H28" i="4"/>
  <c r="G28" i="4"/>
  <c r="F28" i="4"/>
  <c r="H27" i="4"/>
  <c r="G27" i="4"/>
  <c r="F27" i="4"/>
  <c r="I26" i="4"/>
  <c r="H26" i="4"/>
  <c r="G26" i="4"/>
  <c r="F26" i="4"/>
  <c r="H25" i="4"/>
  <c r="G25" i="4"/>
  <c r="F25" i="4"/>
  <c r="H24" i="4"/>
  <c r="I24" i="4" s="1"/>
  <c r="G24" i="4"/>
  <c r="F24" i="4"/>
  <c r="H23" i="4"/>
  <c r="G23" i="4"/>
  <c r="I23" i="4" s="1"/>
  <c r="F23" i="4"/>
  <c r="H22" i="4"/>
  <c r="G22" i="4"/>
  <c r="I22" i="4" s="1"/>
  <c r="F22" i="4"/>
  <c r="H21" i="4"/>
  <c r="G21" i="4"/>
  <c r="F21" i="4"/>
  <c r="I20" i="4"/>
  <c r="H20" i="4"/>
  <c r="G20" i="4"/>
  <c r="F20" i="4"/>
  <c r="H19" i="4"/>
  <c r="G19" i="4"/>
  <c r="I19" i="4" s="1"/>
  <c r="F19" i="4"/>
  <c r="I18" i="4"/>
  <c r="H18" i="4"/>
  <c r="G18" i="4"/>
  <c r="F18" i="4"/>
  <c r="H17" i="4"/>
  <c r="G17" i="4"/>
  <c r="F17" i="4"/>
  <c r="H16" i="4"/>
  <c r="G16" i="4"/>
  <c r="I16" i="4" s="1"/>
  <c r="F16" i="4"/>
  <c r="H15" i="4"/>
  <c r="G15" i="4"/>
  <c r="I15" i="4" s="1"/>
  <c r="F15" i="4"/>
  <c r="H14" i="4"/>
  <c r="G14" i="4"/>
  <c r="I14" i="4" s="1"/>
  <c r="F14" i="4"/>
  <c r="H13" i="4"/>
  <c r="G13" i="4"/>
  <c r="I13" i="4" s="1"/>
  <c r="F13" i="4"/>
  <c r="H12" i="4"/>
  <c r="G12" i="4"/>
  <c r="I12" i="4" s="1"/>
  <c r="F12" i="4"/>
  <c r="H11" i="4"/>
  <c r="G11" i="4"/>
  <c r="F11" i="4"/>
  <c r="H10" i="4"/>
  <c r="I10" i="4" s="1"/>
  <c r="G10" i="4"/>
  <c r="F10" i="4"/>
  <c r="H9" i="4"/>
  <c r="G9" i="4"/>
  <c r="I9" i="4" s="1"/>
  <c r="F9" i="4"/>
  <c r="H8" i="4"/>
  <c r="I8" i="4" s="1"/>
  <c r="G8" i="4"/>
  <c r="F8" i="4"/>
  <c r="H7" i="4"/>
  <c r="G7" i="4"/>
  <c r="I7" i="4" s="1"/>
  <c r="F7" i="4"/>
  <c r="H6" i="4"/>
  <c r="I6" i="4" s="1"/>
  <c r="G6" i="4"/>
  <c r="F6" i="4"/>
  <c r="H5" i="4"/>
  <c r="G5" i="4"/>
  <c r="I5" i="4" s="1"/>
  <c r="F5" i="4"/>
  <c r="H4" i="4"/>
  <c r="G4" i="4"/>
  <c r="I4" i="4" s="1"/>
  <c r="F4" i="4"/>
  <c r="H3" i="4"/>
  <c r="G3" i="4"/>
  <c r="F3" i="4"/>
  <c r="H2" i="4"/>
  <c r="G2" i="4"/>
  <c r="F2" i="4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I8" i="3" s="1"/>
  <c r="G8" i="3"/>
  <c r="F8" i="3"/>
  <c r="H7" i="3"/>
  <c r="G7" i="3"/>
  <c r="F7" i="3"/>
  <c r="H6" i="3"/>
  <c r="G6" i="3"/>
  <c r="F6" i="3"/>
  <c r="H5" i="3"/>
  <c r="G5" i="3"/>
  <c r="F5" i="3"/>
  <c r="H4" i="3"/>
  <c r="G4" i="3"/>
  <c r="I4" i="3" s="1"/>
  <c r="F4" i="3"/>
  <c r="H3" i="3"/>
  <c r="G3" i="3"/>
  <c r="F3" i="3"/>
  <c r="H2" i="3"/>
  <c r="G2" i="3"/>
  <c r="I2" i="3" s="1"/>
  <c r="F2" i="3"/>
  <c r="I63" i="2"/>
  <c r="H63" i="2"/>
  <c r="G63" i="2"/>
  <c r="F63" i="2"/>
  <c r="H62" i="2"/>
  <c r="G62" i="2"/>
  <c r="I62" i="2" s="1"/>
  <c r="F62" i="2"/>
  <c r="I61" i="2"/>
  <c r="H61" i="2"/>
  <c r="G61" i="2"/>
  <c r="F61" i="2"/>
  <c r="H60" i="2"/>
  <c r="G60" i="2"/>
  <c r="I60" i="2" s="1"/>
  <c r="F60" i="2"/>
  <c r="I59" i="2"/>
  <c r="H59" i="2"/>
  <c r="G59" i="2"/>
  <c r="F59" i="2"/>
  <c r="H58" i="2"/>
  <c r="G58" i="2"/>
  <c r="I58" i="2" s="1"/>
  <c r="F58" i="2"/>
  <c r="I57" i="2"/>
  <c r="H57" i="2"/>
  <c r="G57" i="2"/>
  <c r="F57" i="2"/>
  <c r="H56" i="2"/>
  <c r="G56" i="2"/>
  <c r="I56" i="2" s="1"/>
  <c r="F56" i="2"/>
  <c r="I55" i="2"/>
  <c r="H55" i="2"/>
  <c r="G55" i="2"/>
  <c r="F55" i="2"/>
  <c r="H54" i="2"/>
  <c r="G54" i="2"/>
  <c r="I54" i="2" s="1"/>
  <c r="F54" i="2"/>
  <c r="I53" i="2"/>
  <c r="H53" i="2"/>
  <c r="G53" i="2"/>
  <c r="F53" i="2"/>
  <c r="H52" i="2"/>
  <c r="G52" i="2"/>
  <c r="I52" i="2" s="1"/>
  <c r="F52" i="2"/>
  <c r="I51" i="2"/>
  <c r="H51" i="2"/>
  <c r="G51" i="2"/>
  <c r="F51" i="2"/>
  <c r="H50" i="2"/>
  <c r="G50" i="2"/>
  <c r="I50" i="2" s="1"/>
  <c r="F50" i="2"/>
  <c r="I49" i="2"/>
  <c r="H49" i="2"/>
  <c r="G49" i="2"/>
  <c r="F49" i="2"/>
  <c r="H48" i="2"/>
  <c r="G48" i="2"/>
  <c r="I48" i="2" s="1"/>
  <c r="F48" i="2"/>
  <c r="I47" i="2"/>
  <c r="H47" i="2"/>
  <c r="G47" i="2"/>
  <c r="F47" i="2"/>
  <c r="H46" i="2"/>
  <c r="G46" i="2"/>
  <c r="I46" i="2" s="1"/>
  <c r="F46" i="2"/>
  <c r="I45" i="2"/>
  <c r="H45" i="2"/>
  <c r="G45" i="2"/>
  <c r="F45" i="2"/>
  <c r="H44" i="2"/>
  <c r="G44" i="2"/>
  <c r="I44" i="2" s="1"/>
  <c r="F44" i="2"/>
  <c r="I43" i="2"/>
  <c r="H43" i="2"/>
  <c r="G43" i="2"/>
  <c r="F43" i="2"/>
  <c r="H42" i="2"/>
  <c r="G42" i="2"/>
  <c r="I42" i="2" s="1"/>
  <c r="F42" i="2"/>
  <c r="I41" i="2"/>
  <c r="H41" i="2"/>
  <c r="G41" i="2"/>
  <c r="F41" i="2"/>
  <c r="H40" i="2"/>
  <c r="G40" i="2"/>
  <c r="I40" i="2" s="1"/>
  <c r="F40" i="2"/>
  <c r="I39" i="2"/>
  <c r="H39" i="2"/>
  <c r="G39" i="2"/>
  <c r="F39" i="2"/>
  <c r="H38" i="2"/>
  <c r="G38" i="2"/>
  <c r="I38" i="2" s="1"/>
  <c r="F38" i="2"/>
  <c r="I37" i="2"/>
  <c r="H37" i="2"/>
  <c r="G37" i="2"/>
  <c r="F37" i="2"/>
  <c r="H36" i="2"/>
  <c r="G36" i="2"/>
  <c r="I36" i="2" s="1"/>
  <c r="F36" i="2"/>
  <c r="I35" i="2"/>
  <c r="H35" i="2"/>
  <c r="G35" i="2"/>
  <c r="F35" i="2"/>
  <c r="H34" i="2"/>
  <c r="G34" i="2"/>
  <c r="I34" i="2" s="1"/>
  <c r="F34" i="2"/>
  <c r="I33" i="2"/>
  <c r="H33" i="2"/>
  <c r="G33" i="2"/>
  <c r="F33" i="2"/>
  <c r="H32" i="2"/>
  <c r="G32" i="2"/>
  <c r="I32" i="2" s="1"/>
  <c r="F32" i="2"/>
  <c r="I31" i="2"/>
  <c r="H31" i="2"/>
  <c r="G31" i="2"/>
  <c r="F31" i="2"/>
  <c r="H30" i="2"/>
  <c r="G30" i="2"/>
  <c r="I30" i="2" s="1"/>
  <c r="F30" i="2"/>
  <c r="I29" i="2"/>
  <c r="H29" i="2"/>
  <c r="G29" i="2"/>
  <c r="F29" i="2"/>
  <c r="H28" i="2"/>
  <c r="G28" i="2"/>
  <c r="I28" i="2" s="1"/>
  <c r="F28" i="2"/>
  <c r="I27" i="2"/>
  <c r="H27" i="2"/>
  <c r="G27" i="2"/>
  <c r="F27" i="2"/>
  <c r="H26" i="2"/>
  <c r="G26" i="2"/>
  <c r="I26" i="2" s="1"/>
  <c r="F26" i="2"/>
  <c r="I25" i="2"/>
  <c r="H25" i="2"/>
  <c r="G25" i="2"/>
  <c r="F25" i="2"/>
  <c r="H24" i="2"/>
  <c r="G24" i="2"/>
  <c r="I24" i="2" s="1"/>
  <c r="F24" i="2"/>
  <c r="I23" i="2"/>
  <c r="H23" i="2"/>
  <c r="G23" i="2"/>
  <c r="F23" i="2"/>
  <c r="H22" i="2"/>
  <c r="G22" i="2"/>
  <c r="I22" i="2" s="1"/>
  <c r="F22" i="2"/>
  <c r="I21" i="2"/>
  <c r="H21" i="2"/>
  <c r="G21" i="2"/>
  <c r="F21" i="2"/>
  <c r="H20" i="2"/>
  <c r="G20" i="2"/>
  <c r="I20" i="2" s="1"/>
  <c r="F20" i="2"/>
  <c r="I19" i="2"/>
  <c r="H19" i="2"/>
  <c r="G19" i="2"/>
  <c r="F19" i="2"/>
  <c r="H18" i="2"/>
  <c r="G18" i="2"/>
  <c r="I18" i="2" s="1"/>
  <c r="F18" i="2"/>
  <c r="I17" i="2"/>
  <c r="H17" i="2"/>
  <c r="G17" i="2"/>
  <c r="F17" i="2"/>
  <c r="H16" i="2"/>
  <c r="G16" i="2"/>
  <c r="I16" i="2" s="1"/>
  <c r="F16" i="2"/>
  <c r="I15" i="2"/>
  <c r="H15" i="2"/>
  <c r="G15" i="2"/>
  <c r="F15" i="2"/>
  <c r="H14" i="2"/>
  <c r="G14" i="2"/>
  <c r="I14" i="2" s="1"/>
  <c r="F14" i="2"/>
  <c r="I13" i="2"/>
  <c r="H13" i="2"/>
  <c r="G13" i="2"/>
  <c r="F13" i="2"/>
  <c r="H12" i="2"/>
  <c r="G12" i="2"/>
  <c r="I12" i="2" s="1"/>
  <c r="F12" i="2"/>
  <c r="I11" i="2"/>
  <c r="H11" i="2"/>
  <c r="G11" i="2"/>
  <c r="F11" i="2"/>
  <c r="H10" i="2"/>
  <c r="G10" i="2"/>
  <c r="I10" i="2" s="1"/>
  <c r="F10" i="2"/>
  <c r="I9" i="2"/>
  <c r="H9" i="2"/>
  <c r="G9" i="2"/>
  <c r="F9" i="2"/>
  <c r="H8" i="2"/>
  <c r="G8" i="2"/>
  <c r="I8" i="2" s="1"/>
  <c r="F8" i="2"/>
  <c r="I7" i="2"/>
  <c r="H7" i="2"/>
  <c r="G7" i="2"/>
  <c r="F7" i="2"/>
  <c r="H6" i="2"/>
  <c r="G6" i="2"/>
  <c r="I6" i="2" s="1"/>
  <c r="F6" i="2"/>
  <c r="I5" i="2"/>
  <c r="H5" i="2"/>
  <c r="G5" i="2"/>
  <c r="F5" i="2"/>
  <c r="H4" i="2"/>
  <c r="G4" i="2"/>
  <c r="I4" i="2" s="1"/>
  <c r="F4" i="2"/>
  <c r="I3" i="2"/>
  <c r="H3" i="2"/>
  <c r="G3" i="2"/>
  <c r="F3" i="2"/>
  <c r="H2" i="2"/>
  <c r="G2" i="2"/>
  <c r="I2" i="2" s="1"/>
  <c r="F2" i="2"/>
  <c r="I3" i="4" l="1"/>
  <c r="I32" i="4"/>
  <c r="I40" i="4"/>
  <c r="I109" i="4"/>
  <c r="I112" i="4"/>
  <c r="I117" i="4"/>
  <c r="I120" i="4"/>
  <c r="I125" i="4"/>
  <c r="I139" i="4"/>
  <c r="I147" i="4"/>
  <c r="I155" i="4"/>
  <c r="I163" i="4"/>
  <c r="I11" i="4"/>
  <c r="I27" i="4"/>
  <c r="I35" i="4"/>
  <c r="I43" i="4"/>
  <c r="I51" i="4"/>
  <c r="I59" i="4"/>
  <c r="I67" i="4"/>
  <c r="I75" i="4"/>
  <c r="I83" i="4"/>
  <c r="I91" i="4"/>
  <c r="I25" i="4"/>
  <c r="I30" i="4"/>
  <c r="I38" i="4"/>
  <c r="I46" i="4"/>
  <c r="I54" i="4"/>
  <c r="I62" i="4"/>
  <c r="I70" i="4"/>
  <c r="I78" i="4"/>
  <c r="I86" i="4"/>
  <c r="I94" i="4"/>
  <c r="I99" i="4"/>
  <c r="I102" i="4"/>
  <c r="I107" i="4"/>
  <c r="I110" i="4"/>
  <c r="I115" i="4"/>
  <c r="I118" i="4"/>
  <c r="I137" i="4"/>
  <c r="I145" i="4"/>
  <c r="I153" i="4"/>
  <c r="I161" i="4"/>
  <c r="I21" i="4"/>
  <c r="I28" i="4"/>
  <c r="I36" i="4"/>
  <c r="I44" i="4"/>
  <c r="I52" i="4"/>
  <c r="I60" i="4"/>
  <c r="I68" i="4"/>
  <c r="I76" i="4"/>
  <c r="I84" i="4"/>
  <c r="I89" i="4"/>
  <c r="I92" i="4"/>
  <c r="I97" i="4"/>
  <c r="I100" i="4"/>
  <c r="I105" i="4"/>
  <c r="I108" i="4"/>
  <c r="I116" i="4"/>
  <c r="I133" i="4"/>
  <c r="I143" i="4"/>
  <c r="I151" i="4"/>
  <c r="I159" i="4"/>
  <c r="I167" i="4"/>
  <c r="I2" i="4"/>
  <c r="I169" i="4" s="1"/>
  <c r="C191" i="4" s="1"/>
  <c r="I17" i="4"/>
  <c r="I34" i="4"/>
  <c r="I42" i="4"/>
  <c r="I50" i="4"/>
  <c r="I58" i="4"/>
  <c r="I66" i="4"/>
  <c r="I74" i="4"/>
  <c r="I82" i="4"/>
  <c r="I90" i="4"/>
  <c r="I95" i="4"/>
  <c r="I98" i="4"/>
  <c r="I103" i="4"/>
  <c r="I106" i="4"/>
  <c r="I122" i="4"/>
  <c r="I129" i="4"/>
  <c r="I141" i="4"/>
  <c r="I149" i="4"/>
  <c r="I157" i="4"/>
  <c r="I165" i="4"/>
  <c r="I6" i="3"/>
  <c r="I9" i="3"/>
  <c r="I14" i="3"/>
  <c r="I66" i="2"/>
  <c r="C75" i="2" s="1"/>
  <c r="I7" i="3"/>
  <c r="I12" i="3"/>
  <c r="I15" i="3"/>
  <c r="I5" i="3"/>
  <c r="I10" i="3"/>
  <c r="I13" i="3"/>
  <c r="I3" i="3"/>
  <c r="I11" i="3"/>
  <c r="I5" i="5"/>
  <c r="I13" i="5"/>
  <c r="I21" i="5"/>
  <c r="I9" i="5"/>
  <c r="I17" i="5"/>
  <c r="I7" i="5"/>
  <c r="I15" i="5"/>
  <c r="I23" i="5"/>
  <c r="I8" i="5"/>
  <c r="I16" i="5"/>
  <c r="I10" i="5"/>
  <c r="I18" i="5"/>
  <c r="I114" i="4"/>
  <c r="I18" i="3" l="1"/>
  <c r="C29" i="3" s="1"/>
  <c r="I2" i="1"/>
  <c r="I106" i="1"/>
  <c r="I107" i="1"/>
  <c r="I111" i="1"/>
  <c r="I112" i="1"/>
  <c r="I113" i="1"/>
  <c r="I116" i="1"/>
  <c r="I117" i="1"/>
  <c r="I118" i="1"/>
  <c r="I124" i="1"/>
  <c r="I125" i="1"/>
  <c r="I126" i="1"/>
  <c r="I132" i="1"/>
  <c r="I133" i="1"/>
  <c r="I134" i="1"/>
  <c r="I70" i="1"/>
  <c r="I71" i="1"/>
  <c r="I72" i="1"/>
  <c r="I140" i="1"/>
  <c r="I141" i="1"/>
  <c r="I142" i="1"/>
  <c r="I147" i="1"/>
  <c r="I148" i="1"/>
  <c r="I149" i="1"/>
  <c r="I155" i="1"/>
  <c r="I156" i="1"/>
  <c r="I157" i="1"/>
  <c r="I163" i="1"/>
  <c r="I164" i="1"/>
  <c r="I165" i="1"/>
  <c r="I10" i="1"/>
  <c r="I11" i="1"/>
  <c r="I64" i="1"/>
  <c r="I169" i="1"/>
  <c r="I170" i="1"/>
  <c r="I171" i="1"/>
  <c r="I20" i="1"/>
  <c r="I77" i="1"/>
  <c r="I21" i="1"/>
  <c r="I174" i="1"/>
  <c r="I80" i="1"/>
  <c r="I66" i="1"/>
  <c r="I179" i="1"/>
  <c r="I180" i="1"/>
  <c r="I181" i="1"/>
  <c r="I186" i="1"/>
  <c r="I25" i="1"/>
  <c r="I187" i="1"/>
  <c r="I26" i="1"/>
  <c r="I27" i="1"/>
  <c r="I193" i="1"/>
  <c r="I28" i="1"/>
  <c r="I197" i="1"/>
  <c r="I96" i="1"/>
  <c r="I82" i="1"/>
  <c r="I83" i="1"/>
  <c r="I84" i="1"/>
  <c r="I204" i="1"/>
  <c r="I205" i="1"/>
  <c r="I101" i="1"/>
  <c r="I30" i="1"/>
  <c r="I31" i="1"/>
  <c r="I32" i="1"/>
  <c r="I36" i="1"/>
  <c r="I37" i="1"/>
  <c r="I38" i="1"/>
  <c r="I211" i="1"/>
  <c r="I212" i="1"/>
  <c r="I42" i="1"/>
  <c r="I218" i="1"/>
  <c r="I219" i="1"/>
  <c r="I220" i="1"/>
  <c r="I223" i="1"/>
  <c r="I224" i="1"/>
  <c r="I225" i="1"/>
  <c r="I231" i="1"/>
  <c r="I232" i="1"/>
  <c r="I233" i="1"/>
  <c r="I237" i="1"/>
  <c r="I238" i="1"/>
  <c r="I239" i="1"/>
  <c r="I87" i="1"/>
  <c r="I88" i="1"/>
  <c r="I244" i="1"/>
  <c r="I48" i="1"/>
  <c r="I49" i="1"/>
  <c r="I248" i="1"/>
  <c r="I251" i="1"/>
  <c r="I252" i="1"/>
  <c r="I254" i="1"/>
  <c r="I52" i="1"/>
  <c r="I53" i="1"/>
  <c r="I260" i="1"/>
  <c r="I262" i="1"/>
  <c r="I263" i="1"/>
  <c r="I57" i="1"/>
  <c r="I63" i="1"/>
  <c r="I89" i="1"/>
  <c r="I90" i="1"/>
  <c r="I269" i="1"/>
  <c r="I270" i="1"/>
  <c r="I271" i="1"/>
  <c r="H92" i="1"/>
  <c r="H2" i="1"/>
  <c r="H275" i="1" s="1"/>
  <c r="H106" i="1"/>
  <c r="H107" i="1"/>
  <c r="H93" i="1"/>
  <c r="H3" i="1"/>
  <c r="H108" i="1"/>
  <c r="H109" i="1"/>
  <c r="H110" i="1"/>
  <c r="H111" i="1"/>
  <c r="H112" i="1"/>
  <c r="H113" i="1"/>
  <c r="H4" i="1"/>
  <c r="H5" i="1"/>
  <c r="H6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7" i="1"/>
  <c r="H8" i="1"/>
  <c r="H69" i="1"/>
  <c r="H70" i="1"/>
  <c r="H71" i="1"/>
  <c r="H72" i="1"/>
  <c r="H73" i="1"/>
  <c r="H74" i="1"/>
  <c r="H137" i="1"/>
  <c r="H138" i="1"/>
  <c r="H139" i="1"/>
  <c r="H140" i="1"/>
  <c r="H141" i="1"/>
  <c r="H142" i="1"/>
  <c r="H143" i="1"/>
  <c r="H144" i="1"/>
  <c r="H145" i="1"/>
  <c r="H146" i="1"/>
  <c r="H75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9" i="1"/>
  <c r="H76" i="1"/>
  <c r="H10" i="1"/>
  <c r="H11" i="1"/>
  <c r="H64" i="1"/>
  <c r="H12" i="1"/>
  <c r="H13" i="1"/>
  <c r="H14" i="1"/>
  <c r="H15" i="1"/>
  <c r="H65" i="1"/>
  <c r="H169" i="1"/>
  <c r="H170" i="1"/>
  <c r="H171" i="1"/>
  <c r="H172" i="1"/>
  <c r="H16" i="1"/>
  <c r="H17" i="1"/>
  <c r="H18" i="1"/>
  <c r="H19" i="1"/>
  <c r="H20" i="1"/>
  <c r="H77" i="1"/>
  <c r="H21" i="1"/>
  <c r="H22" i="1"/>
  <c r="H23" i="1"/>
  <c r="H78" i="1"/>
  <c r="H79" i="1"/>
  <c r="H173" i="1"/>
  <c r="H174" i="1"/>
  <c r="H80" i="1"/>
  <c r="H66" i="1"/>
  <c r="H81" i="1"/>
  <c r="H175" i="1"/>
  <c r="H176" i="1"/>
  <c r="H177" i="1"/>
  <c r="H178" i="1"/>
  <c r="H179" i="1"/>
  <c r="H180" i="1"/>
  <c r="H181" i="1"/>
  <c r="H182" i="1"/>
  <c r="H183" i="1"/>
  <c r="H184" i="1"/>
  <c r="H24" i="1"/>
  <c r="H185" i="1"/>
  <c r="H186" i="1"/>
  <c r="H25" i="1"/>
  <c r="H187" i="1"/>
  <c r="H188" i="1"/>
  <c r="H189" i="1"/>
  <c r="H190" i="1"/>
  <c r="H191" i="1"/>
  <c r="H192" i="1"/>
  <c r="H26" i="1"/>
  <c r="H27" i="1"/>
  <c r="H193" i="1"/>
  <c r="H194" i="1"/>
  <c r="H195" i="1"/>
  <c r="H94" i="1"/>
  <c r="H95" i="1"/>
  <c r="H196" i="1"/>
  <c r="H28" i="1"/>
  <c r="H197" i="1"/>
  <c r="H96" i="1"/>
  <c r="H97" i="1"/>
  <c r="H98" i="1"/>
  <c r="H99" i="1"/>
  <c r="H198" i="1"/>
  <c r="H100" i="1"/>
  <c r="H82" i="1"/>
  <c r="H83" i="1"/>
  <c r="H84" i="1"/>
  <c r="H199" i="1"/>
  <c r="H200" i="1"/>
  <c r="H201" i="1"/>
  <c r="H202" i="1"/>
  <c r="H203" i="1"/>
  <c r="H204" i="1"/>
  <c r="H205" i="1"/>
  <c r="H101" i="1"/>
  <c r="H102" i="1"/>
  <c r="H206" i="1"/>
  <c r="H29" i="1"/>
  <c r="H103" i="1"/>
  <c r="H104" i="1"/>
  <c r="H30" i="1"/>
  <c r="H31" i="1"/>
  <c r="H32" i="1"/>
  <c r="H207" i="1"/>
  <c r="H208" i="1"/>
  <c r="H33" i="1"/>
  <c r="H34" i="1"/>
  <c r="H35" i="1"/>
  <c r="H36" i="1"/>
  <c r="H37" i="1"/>
  <c r="H38" i="1"/>
  <c r="H39" i="1"/>
  <c r="H40" i="1"/>
  <c r="H41" i="1"/>
  <c r="H209" i="1"/>
  <c r="H210" i="1"/>
  <c r="H211" i="1"/>
  <c r="H212" i="1"/>
  <c r="H42" i="1"/>
  <c r="H213" i="1"/>
  <c r="H214" i="1"/>
  <c r="H215" i="1"/>
  <c r="H216" i="1"/>
  <c r="H217" i="1"/>
  <c r="H218" i="1"/>
  <c r="H219" i="1"/>
  <c r="H220" i="1"/>
  <c r="H221" i="1"/>
  <c r="H85" i="1"/>
  <c r="H86" i="1"/>
  <c r="H43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105" i="1"/>
  <c r="H44" i="1"/>
  <c r="H236" i="1"/>
  <c r="H237" i="1"/>
  <c r="H238" i="1"/>
  <c r="H239" i="1"/>
  <c r="H240" i="1"/>
  <c r="H45" i="1"/>
  <c r="H241" i="1"/>
  <c r="H242" i="1"/>
  <c r="H243" i="1"/>
  <c r="H87" i="1"/>
  <c r="H88" i="1"/>
  <c r="H244" i="1"/>
  <c r="H245" i="1"/>
  <c r="H246" i="1"/>
  <c r="H247" i="1"/>
  <c r="H46" i="1"/>
  <c r="H47" i="1"/>
  <c r="H48" i="1"/>
  <c r="H49" i="1"/>
  <c r="H248" i="1"/>
  <c r="H249" i="1"/>
  <c r="H250" i="1"/>
  <c r="H50" i="1"/>
  <c r="H67" i="1"/>
  <c r="H51" i="1"/>
  <c r="H251" i="1"/>
  <c r="H252" i="1"/>
  <c r="H253" i="1"/>
  <c r="H254" i="1"/>
  <c r="H255" i="1"/>
  <c r="H256" i="1"/>
  <c r="H257" i="1"/>
  <c r="H258" i="1"/>
  <c r="H259" i="1"/>
  <c r="H52" i="1"/>
  <c r="H53" i="1"/>
  <c r="H260" i="1"/>
  <c r="H54" i="1"/>
  <c r="H68" i="1"/>
  <c r="H55" i="1"/>
  <c r="H56" i="1"/>
  <c r="H261" i="1"/>
  <c r="H262" i="1"/>
  <c r="H263" i="1"/>
  <c r="H57" i="1"/>
  <c r="H58" i="1"/>
  <c r="H59" i="1"/>
  <c r="H60" i="1"/>
  <c r="H61" i="1"/>
  <c r="H62" i="1"/>
  <c r="H63" i="1"/>
  <c r="H89" i="1"/>
  <c r="H90" i="1"/>
  <c r="H264" i="1"/>
  <c r="H265" i="1"/>
  <c r="H266" i="1"/>
  <c r="H267" i="1"/>
  <c r="H268" i="1"/>
  <c r="H269" i="1"/>
  <c r="H270" i="1"/>
  <c r="H271" i="1"/>
  <c r="H91" i="1"/>
  <c r="G92" i="1"/>
  <c r="I92" i="1" s="1"/>
  <c r="G2" i="1"/>
  <c r="G275" i="1" s="1"/>
  <c r="G106" i="1"/>
  <c r="G107" i="1"/>
  <c r="G93" i="1"/>
  <c r="I93" i="1" s="1"/>
  <c r="G3" i="1"/>
  <c r="I3" i="1" s="1"/>
  <c r="G108" i="1"/>
  <c r="I108" i="1" s="1"/>
  <c r="G109" i="1"/>
  <c r="I109" i="1" s="1"/>
  <c r="G110" i="1"/>
  <c r="I110" i="1" s="1"/>
  <c r="G111" i="1"/>
  <c r="G112" i="1"/>
  <c r="G113" i="1"/>
  <c r="G4" i="1"/>
  <c r="I4" i="1" s="1"/>
  <c r="G5" i="1"/>
  <c r="I5" i="1" s="1"/>
  <c r="G6" i="1"/>
  <c r="I6" i="1" s="1"/>
  <c r="G114" i="1"/>
  <c r="I114" i="1" s="1"/>
  <c r="G115" i="1"/>
  <c r="I115" i="1" s="1"/>
  <c r="G116" i="1"/>
  <c r="G117" i="1"/>
  <c r="G118" i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G125" i="1"/>
  <c r="G126" i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G133" i="1"/>
  <c r="G134" i="1"/>
  <c r="G135" i="1"/>
  <c r="I135" i="1" s="1"/>
  <c r="G136" i="1"/>
  <c r="I136" i="1" s="1"/>
  <c r="G7" i="1"/>
  <c r="I7" i="1" s="1"/>
  <c r="G8" i="1"/>
  <c r="I8" i="1" s="1"/>
  <c r="G69" i="1"/>
  <c r="I69" i="1" s="1"/>
  <c r="G70" i="1"/>
  <c r="G71" i="1"/>
  <c r="G72" i="1"/>
  <c r="G73" i="1"/>
  <c r="I73" i="1" s="1"/>
  <c r="G74" i="1"/>
  <c r="I74" i="1" s="1"/>
  <c r="G137" i="1"/>
  <c r="I137" i="1" s="1"/>
  <c r="G138" i="1"/>
  <c r="I138" i="1" s="1"/>
  <c r="G139" i="1"/>
  <c r="I139" i="1" s="1"/>
  <c r="G140" i="1"/>
  <c r="G141" i="1"/>
  <c r="G142" i="1"/>
  <c r="G143" i="1"/>
  <c r="I143" i="1" s="1"/>
  <c r="G144" i="1"/>
  <c r="I144" i="1" s="1"/>
  <c r="G145" i="1"/>
  <c r="I145" i="1" s="1"/>
  <c r="G146" i="1"/>
  <c r="I146" i="1" s="1"/>
  <c r="G75" i="1"/>
  <c r="I75" i="1" s="1"/>
  <c r="G147" i="1"/>
  <c r="G148" i="1"/>
  <c r="G149" i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G156" i="1"/>
  <c r="G157" i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G164" i="1"/>
  <c r="G165" i="1"/>
  <c r="G166" i="1"/>
  <c r="I166" i="1" s="1"/>
  <c r="G167" i="1"/>
  <c r="I167" i="1" s="1"/>
  <c r="G168" i="1"/>
  <c r="I168" i="1" s="1"/>
  <c r="G9" i="1"/>
  <c r="I9" i="1" s="1"/>
  <c r="G76" i="1"/>
  <c r="I76" i="1" s="1"/>
  <c r="G10" i="1"/>
  <c r="G11" i="1"/>
  <c r="G64" i="1"/>
  <c r="G12" i="1"/>
  <c r="I12" i="1" s="1"/>
  <c r="G13" i="1"/>
  <c r="I13" i="1" s="1"/>
  <c r="G14" i="1"/>
  <c r="I14" i="1" s="1"/>
  <c r="G15" i="1"/>
  <c r="I15" i="1" s="1"/>
  <c r="G65" i="1"/>
  <c r="I65" i="1" s="1"/>
  <c r="G169" i="1"/>
  <c r="G170" i="1"/>
  <c r="G171" i="1"/>
  <c r="G172" i="1"/>
  <c r="I172" i="1" s="1"/>
  <c r="G16" i="1"/>
  <c r="I16" i="1" s="1"/>
  <c r="G17" i="1"/>
  <c r="I17" i="1" s="1"/>
  <c r="G18" i="1"/>
  <c r="I18" i="1" s="1"/>
  <c r="G19" i="1"/>
  <c r="I19" i="1" s="1"/>
  <c r="G20" i="1"/>
  <c r="G77" i="1"/>
  <c r="G21" i="1"/>
  <c r="G22" i="1"/>
  <c r="I22" i="1" s="1"/>
  <c r="G23" i="1"/>
  <c r="I23" i="1" s="1"/>
  <c r="G78" i="1"/>
  <c r="I78" i="1" s="1"/>
  <c r="G79" i="1"/>
  <c r="I79" i="1" s="1"/>
  <c r="G173" i="1"/>
  <c r="I173" i="1" s="1"/>
  <c r="G174" i="1"/>
  <c r="G80" i="1"/>
  <c r="G66" i="1"/>
  <c r="G81" i="1"/>
  <c r="I81" i="1" s="1"/>
  <c r="G175" i="1"/>
  <c r="I175" i="1" s="1"/>
  <c r="G176" i="1"/>
  <c r="I176" i="1" s="1"/>
  <c r="G177" i="1"/>
  <c r="I177" i="1" s="1"/>
  <c r="G178" i="1"/>
  <c r="I178" i="1" s="1"/>
  <c r="G179" i="1"/>
  <c r="G180" i="1"/>
  <c r="G181" i="1"/>
  <c r="G182" i="1"/>
  <c r="I182" i="1" s="1"/>
  <c r="G183" i="1"/>
  <c r="I183" i="1" s="1"/>
  <c r="G184" i="1"/>
  <c r="I184" i="1" s="1"/>
  <c r="G24" i="1"/>
  <c r="I24" i="1" s="1"/>
  <c r="G185" i="1"/>
  <c r="I185" i="1" s="1"/>
  <c r="G186" i="1"/>
  <c r="G25" i="1"/>
  <c r="G187" i="1"/>
  <c r="G188" i="1"/>
  <c r="I188" i="1" s="1"/>
  <c r="G189" i="1"/>
  <c r="I189" i="1" s="1"/>
  <c r="G190" i="1"/>
  <c r="I190" i="1" s="1"/>
  <c r="G191" i="1"/>
  <c r="I191" i="1" s="1"/>
  <c r="G192" i="1"/>
  <c r="I192" i="1" s="1"/>
  <c r="G26" i="1"/>
  <c r="G27" i="1"/>
  <c r="G193" i="1"/>
  <c r="G194" i="1"/>
  <c r="I194" i="1" s="1"/>
  <c r="G195" i="1"/>
  <c r="I195" i="1" s="1"/>
  <c r="G94" i="1"/>
  <c r="I94" i="1" s="1"/>
  <c r="G95" i="1"/>
  <c r="I95" i="1" s="1"/>
  <c r="G196" i="1"/>
  <c r="I196" i="1" s="1"/>
  <c r="G28" i="1"/>
  <c r="G197" i="1"/>
  <c r="G96" i="1"/>
  <c r="G97" i="1"/>
  <c r="I97" i="1" s="1"/>
  <c r="G98" i="1"/>
  <c r="I98" i="1" s="1"/>
  <c r="G99" i="1"/>
  <c r="I99" i="1" s="1"/>
  <c r="G198" i="1"/>
  <c r="I198" i="1" s="1"/>
  <c r="G100" i="1"/>
  <c r="I100" i="1" s="1"/>
  <c r="G82" i="1"/>
  <c r="G83" i="1"/>
  <c r="G84" i="1"/>
  <c r="G199" i="1"/>
  <c r="I199" i="1" s="1"/>
  <c r="G200" i="1"/>
  <c r="I200" i="1" s="1"/>
  <c r="G201" i="1"/>
  <c r="I201" i="1" s="1"/>
  <c r="G202" i="1"/>
  <c r="I202" i="1" s="1"/>
  <c r="G203" i="1"/>
  <c r="I203" i="1" s="1"/>
  <c r="G204" i="1"/>
  <c r="G205" i="1"/>
  <c r="G101" i="1"/>
  <c r="G102" i="1"/>
  <c r="I102" i="1" s="1"/>
  <c r="G206" i="1"/>
  <c r="I206" i="1" s="1"/>
  <c r="G29" i="1"/>
  <c r="I29" i="1" s="1"/>
  <c r="G103" i="1"/>
  <c r="I103" i="1" s="1"/>
  <c r="G104" i="1"/>
  <c r="I104" i="1" s="1"/>
  <c r="G30" i="1"/>
  <c r="G31" i="1"/>
  <c r="G32" i="1"/>
  <c r="G207" i="1"/>
  <c r="I207" i="1" s="1"/>
  <c r="G208" i="1"/>
  <c r="I208" i="1" s="1"/>
  <c r="G33" i="1"/>
  <c r="I33" i="1" s="1"/>
  <c r="G34" i="1"/>
  <c r="I34" i="1" s="1"/>
  <c r="G35" i="1"/>
  <c r="I35" i="1" s="1"/>
  <c r="G36" i="1"/>
  <c r="G37" i="1"/>
  <c r="G38" i="1"/>
  <c r="G39" i="1"/>
  <c r="I39" i="1" s="1"/>
  <c r="G40" i="1"/>
  <c r="I40" i="1" s="1"/>
  <c r="G41" i="1"/>
  <c r="I41" i="1" s="1"/>
  <c r="G209" i="1"/>
  <c r="I209" i="1" s="1"/>
  <c r="G210" i="1"/>
  <c r="I210" i="1" s="1"/>
  <c r="G211" i="1"/>
  <c r="G212" i="1"/>
  <c r="G42" i="1"/>
  <c r="G213" i="1"/>
  <c r="I213" i="1" s="1"/>
  <c r="G214" i="1"/>
  <c r="I214" i="1" s="1"/>
  <c r="G215" i="1"/>
  <c r="I215" i="1" s="1"/>
  <c r="G216" i="1"/>
  <c r="I216" i="1" s="1"/>
  <c r="G217" i="1"/>
  <c r="I217" i="1" s="1"/>
  <c r="G218" i="1"/>
  <c r="G219" i="1"/>
  <c r="G220" i="1"/>
  <c r="G221" i="1"/>
  <c r="I221" i="1" s="1"/>
  <c r="G85" i="1"/>
  <c r="I85" i="1" s="1"/>
  <c r="G86" i="1"/>
  <c r="I86" i="1" s="1"/>
  <c r="G43" i="1"/>
  <c r="I43" i="1" s="1"/>
  <c r="G222" i="1"/>
  <c r="I222" i="1" s="1"/>
  <c r="G223" i="1"/>
  <c r="G224" i="1"/>
  <c r="G225" i="1"/>
  <c r="G226" i="1"/>
  <c r="I226" i="1" s="1"/>
  <c r="G227" i="1"/>
  <c r="I227" i="1" s="1"/>
  <c r="G228" i="1"/>
  <c r="I228" i="1" s="1"/>
  <c r="G229" i="1"/>
  <c r="I229" i="1" s="1"/>
  <c r="G230" i="1"/>
  <c r="I230" i="1" s="1"/>
  <c r="G231" i="1"/>
  <c r="G232" i="1"/>
  <c r="G233" i="1"/>
  <c r="G234" i="1"/>
  <c r="I234" i="1" s="1"/>
  <c r="G235" i="1"/>
  <c r="I235" i="1" s="1"/>
  <c r="G105" i="1"/>
  <c r="I105" i="1" s="1"/>
  <c r="G44" i="1"/>
  <c r="I44" i="1" s="1"/>
  <c r="G236" i="1"/>
  <c r="I236" i="1" s="1"/>
  <c r="G237" i="1"/>
  <c r="G238" i="1"/>
  <c r="G239" i="1"/>
  <c r="G240" i="1"/>
  <c r="I240" i="1" s="1"/>
  <c r="G45" i="1"/>
  <c r="I45" i="1" s="1"/>
  <c r="G241" i="1"/>
  <c r="I241" i="1" s="1"/>
  <c r="G242" i="1"/>
  <c r="I242" i="1" s="1"/>
  <c r="G243" i="1"/>
  <c r="I243" i="1" s="1"/>
  <c r="G87" i="1"/>
  <c r="G88" i="1"/>
  <c r="G244" i="1"/>
  <c r="G245" i="1"/>
  <c r="I245" i="1" s="1"/>
  <c r="G246" i="1"/>
  <c r="I246" i="1" s="1"/>
  <c r="G247" i="1"/>
  <c r="I247" i="1" s="1"/>
  <c r="G46" i="1"/>
  <c r="I46" i="1" s="1"/>
  <c r="G47" i="1"/>
  <c r="I47" i="1" s="1"/>
  <c r="G48" i="1"/>
  <c r="G49" i="1"/>
  <c r="G248" i="1"/>
  <c r="G249" i="1"/>
  <c r="I249" i="1" s="1"/>
  <c r="G250" i="1"/>
  <c r="I250" i="1" s="1"/>
  <c r="G50" i="1"/>
  <c r="I50" i="1" s="1"/>
  <c r="G67" i="1"/>
  <c r="I67" i="1" s="1"/>
  <c r="G51" i="1"/>
  <c r="I51" i="1" s="1"/>
  <c r="G251" i="1"/>
  <c r="G252" i="1"/>
  <c r="G253" i="1"/>
  <c r="I253" i="1" s="1"/>
  <c r="G254" i="1"/>
  <c r="G255" i="1"/>
  <c r="I255" i="1" s="1"/>
  <c r="G256" i="1"/>
  <c r="I256" i="1" s="1"/>
  <c r="G257" i="1"/>
  <c r="I257" i="1" s="1"/>
  <c r="G258" i="1"/>
  <c r="I258" i="1" s="1"/>
  <c r="G259" i="1"/>
  <c r="I259" i="1" s="1"/>
  <c r="G52" i="1"/>
  <c r="G53" i="1"/>
  <c r="G260" i="1"/>
  <c r="G54" i="1"/>
  <c r="I54" i="1" s="1"/>
  <c r="G68" i="1"/>
  <c r="I68" i="1" s="1"/>
  <c r="G55" i="1"/>
  <c r="I55" i="1" s="1"/>
  <c r="G56" i="1"/>
  <c r="I56" i="1" s="1"/>
  <c r="G261" i="1"/>
  <c r="I261" i="1" s="1"/>
  <c r="G262" i="1"/>
  <c r="G263" i="1"/>
  <c r="G57" i="1"/>
  <c r="G58" i="1"/>
  <c r="I58" i="1" s="1"/>
  <c r="G59" i="1"/>
  <c r="I59" i="1" s="1"/>
  <c r="G60" i="1"/>
  <c r="I60" i="1" s="1"/>
  <c r="G61" i="1"/>
  <c r="I61" i="1" s="1"/>
  <c r="G62" i="1"/>
  <c r="I62" i="1" s="1"/>
  <c r="G63" i="1"/>
  <c r="G89" i="1"/>
  <c r="G90" i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G270" i="1"/>
  <c r="G271" i="1"/>
  <c r="G91" i="1"/>
  <c r="I91" i="1" s="1"/>
  <c r="F92" i="1"/>
  <c r="F2" i="1"/>
  <c r="F106" i="1"/>
  <c r="F107" i="1"/>
  <c r="F93" i="1"/>
  <c r="F3" i="1"/>
  <c r="F108" i="1"/>
  <c r="F109" i="1"/>
  <c r="F110" i="1"/>
  <c r="F111" i="1"/>
  <c r="F112" i="1"/>
  <c r="F113" i="1"/>
  <c r="F4" i="1"/>
  <c r="F5" i="1"/>
  <c r="F6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7" i="1"/>
  <c r="F8" i="1"/>
  <c r="F69" i="1"/>
  <c r="F70" i="1"/>
  <c r="F71" i="1"/>
  <c r="F72" i="1"/>
  <c r="F73" i="1"/>
  <c r="F74" i="1"/>
  <c r="F137" i="1"/>
  <c r="F138" i="1"/>
  <c r="F139" i="1"/>
  <c r="F140" i="1"/>
  <c r="F141" i="1"/>
  <c r="F142" i="1"/>
  <c r="F143" i="1"/>
  <c r="F144" i="1"/>
  <c r="F145" i="1"/>
  <c r="F146" i="1"/>
  <c r="F75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9" i="1"/>
  <c r="F76" i="1"/>
  <c r="F10" i="1"/>
  <c r="F11" i="1"/>
  <c r="F64" i="1"/>
  <c r="F12" i="1"/>
  <c r="F13" i="1"/>
  <c r="F14" i="1"/>
  <c r="F15" i="1"/>
  <c r="F65" i="1"/>
  <c r="F169" i="1"/>
  <c r="F170" i="1"/>
  <c r="F171" i="1"/>
  <c r="F172" i="1"/>
  <c r="F16" i="1"/>
  <c r="F17" i="1"/>
  <c r="F18" i="1"/>
  <c r="F19" i="1"/>
  <c r="F20" i="1"/>
  <c r="F77" i="1"/>
  <c r="F21" i="1"/>
  <c r="F22" i="1"/>
  <c r="F23" i="1"/>
  <c r="F78" i="1"/>
  <c r="F79" i="1"/>
  <c r="F173" i="1"/>
  <c r="F174" i="1"/>
  <c r="F80" i="1"/>
  <c r="F66" i="1"/>
  <c r="F81" i="1"/>
  <c r="F175" i="1"/>
  <c r="F176" i="1"/>
  <c r="F177" i="1"/>
  <c r="F178" i="1"/>
  <c r="F179" i="1"/>
  <c r="F180" i="1"/>
  <c r="F181" i="1"/>
  <c r="F182" i="1"/>
  <c r="F183" i="1"/>
  <c r="F184" i="1"/>
  <c r="F24" i="1"/>
  <c r="F185" i="1"/>
  <c r="F186" i="1"/>
  <c r="F25" i="1"/>
  <c r="F187" i="1"/>
  <c r="F188" i="1"/>
  <c r="F189" i="1"/>
  <c r="F190" i="1"/>
  <c r="F191" i="1"/>
  <c r="F192" i="1"/>
  <c r="F26" i="1"/>
  <c r="F27" i="1"/>
  <c r="F193" i="1"/>
  <c r="F194" i="1"/>
  <c r="F195" i="1"/>
  <c r="F94" i="1"/>
  <c r="F95" i="1"/>
  <c r="F196" i="1"/>
  <c r="F28" i="1"/>
  <c r="F197" i="1"/>
  <c r="F96" i="1"/>
  <c r="F97" i="1"/>
  <c r="F98" i="1"/>
  <c r="F99" i="1"/>
  <c r="F198" i="1"/>
  <c r="F100" i="1"/>
  <c r="F82" i="1"/>
  <c r="F83" i="1"/>
  <c r="F84" i="1"/>
  <c r="F199" i="1"/>
  <c r="F200" i="1"/>
  <c r="F201" i="1"/>
  <c r="F202" i="1"/>
  <c r="F203" i="1"/>
  <c r="F204" i="1"/>
  <c r="F205" i="1"/>
  <c r="F101" i="1"/>
  <c r="F102" i="1"/>
  <c r="F206" i="1"/>
  <c r="F29" i="1"/>
  <c r="F103" i="1"/>
  <c r="F104" i="1"/>
  <c r="F30" i="1"/>
  <c r="F31" i="1"/>
  <c r="F32" i="1"/>
  <c r="F207" i="1"/>
  <c r="F208" i="1"/>
  <c r="F33" i="1"/>
  <c r="F34" i="1"/>
  <c r="F35" i="1"/>
  <c r="F36" i="1"/>
  <c r="F37" i="1"/>
  <c r="F38" i="1"/>
  <c r="F39" i="1"/>
  <c r="F40" i="1"/>
  <c r="F41" i="1"/>
  <c r="F209" i="1"/>
  <c r="F210" i="1"/>
  <c r="F211" i="1"/>
  <c r="F212" i="1"/>
  <c r="F42" i="1"/>
  <c r="F213" i="1"/>
  <c r="F214" i="1"/>
  <c r="F215" i="1"/>
  <c r="F216" i="1"/>
  <c r="F217" i="1"/>
  <c r="F218" i="1"/>
  <c r="F219" i="1"/>
  <c r="F220" i="1"/>
  <c r="F221" i="1"/>
  <c r="F85" i="1"/>
  <c r="F86" i="1"/>
  <c r="F43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105" i="1"/>
  <c r="F44" i="1"/>
  <c r="F236" i="1"/>
  <c r="F237" i="1"/>
  <c r="F238" i="1"/>
  <c r="F239" i="1"/>
  <c r="F240" i="1"/>
  <c r="F45" i="1"/>
  <c r="F241" i="1"/>
  <c r="F242" i="1"/>
  <c r="F243" i="1"/>
  <c r="F87" i="1"/>
  <c r="F88" i="1"/>
  <c r="F244" i="1"/>
  <c r="F245" i="1"/>
  <c r="F246" i="1"/>
  <c r="F247" i="1"/>
  <c r="F46" i="1"/>
  <c r="F47" i="1"/>
  <c r="F48" i="1"/>
  <c r="F49" i="1"/>
  <c r="F248" i="1"/>
  <c r="F249" i="1"/>
  <c r="F250" i="1"/>
  <c r="F50" i="1"/>
  <c r="F67" i="1"/>
  <c r="F51" i="1"/>
  <c r="F251" i="1"/>
  <c r="F252" i="1"/>
  <c r="F253" i="1"/>
  <c r="F254" i="1"/>
  <c r="F255" i="1"/>
  <c r="F256" i="1"/>
  <c r="F257" i="1"/>
  <c r="F258" i="1"/>
  <c r="F259" i="1"/>
  <c r="F52" i="1"/>
  <c r="F53" i="1"/>
  <c r="F260" i="1"/>
  <c r="F54" i="1"/>
  <c r="F68" i="1"/>
  <c r="F55" i="1"/>
  <c r="F56" i="1"/>
  <c r="F261" i="1"/>
  <c r="F262" i="1"/>
  <c r="F263" i="1"/>
  <c r="F57" i="1"/>
  <c r="F58" i="1"/>
  <c r="F59" i="1"/>
  <c r="F60" i="1"/>
  <c r="F61" i="1"/>
  <c r="F62" i="1"/>
  <c r="F63" i="1"/>
  <c r="F89" i="1"/>
  <c r="F90" i="1"/>
  <c r="F264" i="1"/>
  <c r="F265" i="1"/>
  <c r="F266" i="1"/>
  <c r="F267" i="1"/>
  <c r="F268" i="1"/>
  <c r="F269" i="1"/>
  <c r="F270" i="1"/>
  <c r="F271" i="1"/>
  <c r="F91" i="1"/>
</calcChain>
</file>

<file path=xl/sharedStrings.xml><?xml version="1.0" encoding="utf-8"?>
<sst xmlns="http://schemas.openxmlformats.org/spreadsheetml/2006/main" count="1198" uniqueCount="125">
  <si>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</si>
  <si>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</si>
  <si>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</si>
  <si>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</si>
  <si>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</si>
  <si>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</si>
  <si>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</si>
  <si>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</si>
  <si>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</si>
  <si>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Country</t>
  </si>
  <si>
    <t>Canon G7X Mark II</t>
  </si>
  <si>
    <t>Instax Wide 400</t>
  </si>
  <si>
    <t>Macbook Air 24/512</t>
  </si>
  <si>
    <t>Iphone 16 pro max 256gb</t>
  </si>
  <si>
    <t>Canon SX 740</t>
  </si>
  <si>
    <t>Canon IXUS 285</t>
  </si>
  <si>
    <t>Ipad pro 13'' M4 256gb</t>
  </si>
  <si>
    <t>Ipad pro 13'' M4 512gb</t>
  </si>
  <si>
    <t>Apple Watch Ultra 2 49mm</t>
  </si>
  <si>
    <t>Ipad pro 13'' M4 2TB</t>
  </si>
  <si>
    <t>Apple Watch Series 10 46mm</t>
  </si>
  <si>
    <t>Apple Watch Series 10 42mm</t>
  </si>
  <si>
    <t>Dji Mavic 3 Pro Combo</t>
  </si>
  <si>
    <t>Dji Mavic 3 Pro</t>
  </si>
  <si>
    <t>Iphone 16 pro max 512gb</t>
  </si>
  <si>
    <t>Iphone 16 pro max 1TB</t>
  </si>
  <si>
    <t>Iphone 16 pro 128gb</t>
  </si>
  <si>
    <t>Iphone 16 pro 256gb</t>
  </si>
  <si>
    <t xml:space="preserve">Iphone 16 Plus 128gb </t>
  </si>
  <si>
    <t>Iphone 16 128gb</t>
  </si>
  <si>
    <t>Iphone 16 256gb</t>
  </si>
  <si>
    <t xml:space="preserve">PS5 Pro </t>
  </si>
  <si>
    <t>Ps5 Disc</t>
  </si>
  <si>
    <t>PS5 digital</t>
  </si>
  <si>
    <t>Meta Quest 3 512gb</t>
  </si>
  <si>
    <t>Play Station Portal</t>
  </si>
  <si>
    <t>Nintendo Mario</t>
  </si>
  <si>
    <t>Samsung S25 Ultra 256gb</t>
  </si>
  <si>
    <t>Dji Mic 2</t>
  </si>
  <si>
    <t>Dji Mavic 4 Combo</t>
  </si>
  <si>
    <t>Karachi</t>
  </si>
  <si>
    <t>Ipad pro 11'' M4 256gb</t>
  </si>
  <si>
    <t>Ipad Air M3 128gb</t>
  </si>
  <si>
    <t>Samsung S25 Ultra 512gb</t>
  </si>
  <si>
    <t>Xbox X Series 1TB</t>
  </si>
  <si>
    <t>Iphone 16 pro 512gb</t>
  </si>
  <si>
    <t>Starlink V4</t>
  </si>
  <si>
    <t>Jbl Vibe Flex 2</t>
  </si>
  <si>
    <t>Instax mini 12</t>
  </si>
  <si>
    <t>Instax flim 20 Pack</t>
  </si>
  <si>
    <t>Dji Osmo Pocket 3</t>
  </si>
  <si>
    <t>Dji Mini 4 Pro</t>
  </si>
  <si>
    <t xml:space="preserve">Dji Mini 4k fly More Combo </t>
  </si>
  <si>
    <t>Starlink Mini</t>
  </si>
  <si>
    <t>Ipad pro 11'' M4 1TB</t>
  </si>
  <si>
    <t xml:space="preserve">Dji Mavic 4 pro </t>
  </si>
  <si>
    <t>Samsung S25 plus 256gb</t>
  </si>
  <si>
    <t>Dyson Airstraight</t>
  </si>
  <si>
    <t>Canon G7X Mark III</t>
  </si>
  <si>
    <t>Iphone 16 plus 512gb</t>
  </si>
  <si>
    <t>Samsung Folf 7 256gb</t>
  </si>
  <si>
    <t xml:space="preserve">35mm lense </t>
  </si>
  <si>
    <t xml:space="preserve">Canon lense </t>
  </si>
  <si>
    <t>Ninja Blast Blender</t>
  </si>
  <si>
    <t>Dji Mavic 3 pro RC</t>
  </si>
  <si>
    <t>Macbook Air M3 24/512</t>
  </si>
  <si>
    <t>Meta Quest 3s 128gb</t>
  </si>
  <si>
    <t>I watch se gen 2</t>
  </si>
  <si>
    <t>I Watch S10 46mm</t>
  </si>
  <si>
    <t>Macbook Pro M4 Pro 16-512</t>
  </si>
  <si>
    <t>Onn Single Use Camera</t>
  </si>
  <si>
    <t>ipad pro 11 256gb M4</t>
  </si>
  <si>
    <t>Ipad pro 13'' M4 1TB</t>
  </si>
  <si>
    <t>ipad Air 11''M3 128gb</t>
  </si>
  <si>
    <t>ipad Air 13''M3 128gb</t>
  </si>
  <si>
    <t>Iphone 14 128gb</t>
  </si>
  <si>
    <t>Iphone 16 pro 1TB</t>
  </si>
  <si>
    <t>Iphone 16-E 256gb</t>
  </si>
  <si>
    <t>Australia</t>
  </si>
  <si>
    <t>USA</t>
  </si>
  <si>
    <t>Newzealand</t>
  </si>
  <si>
    <t>Dubai</t>
  </si>
  <si>
    <t>Macbook Air 15 M3 24/512</t>
  </si>
  <si>
    <t>Total Purchase</t>
  </si>
  <si>
    <t>AUSTRALIA</t>
  </si>
  <si>
    <t>AMOUNT</t>
  </si>
  <si>
    <t>{ 6046.73 Aud @2.3477 paid by WB megatop charges }</t>
  </si>
  <si>
    <t>{ 4000 AUD @2.3793 AU office exp }</t>
  </si>
  <si>
    <t>August 22, 2025</t>
  </si>
  <si>
    <t>August 31, 2025</t>
  </si>
  <si>
    <t>TOTAL EXPENSE</t>
  </si>
  <si>
    <t>Profit/Loss</t>
  </si>
  <si>
    <t>{ shipment express charges }</t>
  </si>
  <si>
    <t>{ Owais shipment Freezon charges by AR }</t>
  </si>
  <si>
    <t>{ paid for owais Houston shipment }</t>
  </si>
  <si>
    <t>{ Newzealand Delivery charges 178 @2.23 }</t>
  </si>
  <si>
    <t>{ NZ Trip Expense 1600 @2.18</t>
  </si>
  <si>
    <t>NewZealand</t>
  </si>
  <si>
    <t>CASH { 10K @79 to saqib for karachi exp }</t>
  </si>
  <si>
    <t>CASH { accessories amount 450PKR @80.5 from AB MZN }</t>
  </si>
  <si>
    <t>CASH { 47k for baba printer @80.5 }</t>
  </si>
  <si>
    <t>CASH { maaz salary for the month of july 2025 }</t>
  </si>
  <si>
    <t>CASH { Saqib salary for the month of july 2025 }</t>
  </si>
  <si>
    <t>CASH { Hassan salary for the month of july 2025 }</t>
  </si>
  <si>
    <t>CASH { for 13g office exp }</t>
  </si>
  <si>
    <t>CASH { 2.5k purchase 16pm cable @80.5 by AB }</t>
  </si>
  <si>
    <t>CASH { 8 piece carry 118k @80.5 by FB }</t>
  </si>
  <si>
    <t>CASH { 6 piece carry 90k @80.5 by AR }</t>
  </si>
  <si>
    <t>CASH { 56k pkr 4 piece carry to WA from AB MZN @80.5 }</t>
  </si>
  <si>
    <t>CASH { 700 hundred pkr @80.5 for tcs flyer }</t>
  </si>
  <si>
    <t>CASH { 42k @80.5 cash paid by AB for office phones }</t>
  </si>
  <si>
    <t>CASH { 300 hundred pkr for front paper IP 16PM }</t>
  </si>
  <si>
    <t>CASH { 1500 pkr out to Mohsin software 3 IP Flashing }</t>
  </si>
  <si>
    <t>CASH { 400 pkr out to waju for IP seal }</t>
  </si>
  <si>
    <t>CASH { 600 pkr @80.5 for tcs flyer }</t>
  </si>
  <si>
    <t>CASH { 2500 pkr @80.5 original IP cable purchase }</t>
  </si>
  <si>
    <t>CASH { 8 phones @15k 1 watch @5k aed 80.5 carry }</t>
  </si>
  <si>
    <t>Abubaker salary for the month of July 2025</t>
  </si>
  <si>
    <t>karachi</t>
  </si>
  <si>
    <t>Miscellaneous Exp</t>
  </si>
  <si>
    <t>Salary Exp</t>
  </si>
  <si>
    <t>Commision</t>
  </si>
  <si>
    <t>CT Freight shipping charges 15000 NZD</t>
  </si>
  <si>
    <t>Label 883831793760 Pallet 1366.71 USD</t>
  </si>
  <si>
    <t>Label 883552296663 Master 748.91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</si>
</sst>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AED&quot;#,##0.00;[Red]\-&quot;AED&quot;#,##0.00"/>
    <numFmt numFmtId="44" formatCode="_-&quot;AED&quot;* #,##0.00_-;\-&quot;AED&quot;* #,##0.00_-;_-&quot;AED&quot;* &quot;-&quot;??_-;_-@_-"/>
    <numFmt numFmtId="164" formatCode="0_ ;\-0\ "/>
  </numFmts>
  <fonts count="7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4" fontId="1" fillId="2" borderId="0" xfId="0" applyNumberFormat="1" applyFont="1" applyFill="1" applyAlignment="1">
      <alignment horizontal="center"/>
    </xf>
    <xf numFmtId="0" fontId="1" fillId="2" borderId="0" xfId="0" applyFont="1" applyFill="1"/>
    <xf numFmtId="14" fontId="0" fillId="0" borderId="0" xfId="0" applyNumberFormat="1"/>
    <xf numFmtId="8" fontId="0" fillId="0" borderId="0" xfId="0" applyNumberFormat="1"/>
    <xf numFmtId="0" fontId="0" fillId="3" borderId="0" xfId="0" applyFill="1"/>
    <xf numFmtId="44" fontId="0" fillId="0" borderId="0" xfId="0" applyNumberFormat="1" applyAlignment="1">
      <alignment horizontal="center"/>
    </xf>
    <xf numFmtId="44" fontId="3" fillId="0" borderId="0" xfId="0" applyNumberFormat="1" applyFont="1" applyAlignment="1">
      <alignment horizontal="center"/>
    </xf>
    <xf numFmtId="44" fontId="4" fillId="4" borderId="0" xfId="0" applyNumberFormat="1" applyFont="1" applyFill="1" applyAlignment="1">
      <alignment horizontal="center"/>
    </xf>
    <xf numFmtId="14" fontId="0" fillId="5" borderId="0" xfId="0" applyNumberFormat="1" applyFill="1"/>
    <xf numFmtId="0" fontId="0" fillId="5" borderId="0" xfId="0" applyFill="1"/>
    <xf numFmtId="44" fontId="0" fillId="5" borderId="0" xfId="0" applyNumberFormat="1" applyFill="1" applyAlignment="1">
      <alignment horizontal="center"/>
    </xf>
    <xf numFmtId="8" fontId="0" fillId="5" borderId="0" xfId="0" applyNumberFormat="1" applyFill="1"/>
    <xf numFmtId="14" fontId="0" fillId="6" borderId="0" xfId="0" applyNumberFormat="1" applyFill="1"/>
    <xf numFmtId="0" fontId="0" fillId="6" borderId="0" xfId="0" applyFill="1"/>
    <xf numFmtId="44" fontId="0" fillId="6" borderId="0" xfId="0" applyNumberFormat="1" applyFill="1"/>
    <xf numFmtId="0" fontId="2" fillId="2" borderId="0" xfId="0" applyFont="1" applyFill="1"/>
    <xf numFmtId="0" fontId="5" fillId="2" borderId="0" xfId="0" applyFont="1" applyFill="1"/>
    <xf numFmtId="44" fontId="0" fillId="0" borderId="0" xfId="0" applyNumberFormat="1"/>
    <xf numFmtId="0" fontId="5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15C4-6A1F-4299-BFB3-4353F977F628}">
  <dimension ref="A1:J298"/>
  <sheetViews>
    <sheetView topLeftCell="A276" zoomScale="80" zoomScaleNormal="80" workbookViewId="0">
      <selection activeCell="D290" sqref="D290"/>
    </sheetView>
  </sheetViews>
  <sheetFormatPr defaultRowHeight="15" x14ac:dyDescent="0.25"/>
  <cols>
    <col min="1" max="1" width="12.7109375" customWidth="1"/>
    <col min="2" max="2" width="30.28515625" customWidth="1"/>
    <col min="3" max="3" width="20.140625" customWidth="1"/>
    <col min="4" max="4" width="21.7109375" customWidth="1"/>
    <col min="5" max="5" width="21.140625" customWidth="1"/>
    <col min="6" max="6" width="20.85546875" customWidth="1"/>
    <col min="7" max="7" width="36.7109375" style="8" customWidth="1"/>
    <col min="8" max="8" width="32.5703125" style="8" customWidth="1"/>
    <col min="9" max="9" width="28.5703125" style="8" customWidth="1"/>
    <col min="10" max="10" width="14.14062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5">
        <v>45870</v>
      </c>
      <c r="B2" t="s">
        <v>12</v>
      </c>
      <c r="C2">
        <v>1</v>
      </c>
      <c r="D2">
        <v>4450</v>
      </c>
      <c r="E2" s="6">
        <v>5339.75</v>
      </c>
      <c r="F2">
        <f t="shared" ref="F2:F65" si="0">D2-E2</f>
        <v>-889.75</v>
      </c>
      <c r="G2" s="8">
        <f t="shared" ref="G2:G65" si="1">D2*C2</f>
        <v>4450</v>
      </c>
      <c r="H2" s="8">
        <f t="shared" ref="H2:H65" si="2">E2*C2</f>
        <v>5339.75</v>
      </c>
      <c r="I2" s="8">
        <f t="shared" ref="I2:I65" si="3">G2-H2</f>
        <v>-889.75</v>
      </c>
      <c r="J2" t="s">
        <v>78</v>
      </c>
    </row>
    <row r="3" spans="1:10" x14ac:dyDescent="0.25">
      <c r="A3" s="5">
        <v>45871</v>
      </c>
      <c r="B3" t="s">
        <v>15</v>
      </c>
      <c r="C3">
        <v>1</v>
      </c>
      <c r="D3">
        <v>1750</v>
      </c>
      <c r="E3">
        <v>937</v>
      </c>
      <c r="F3">
        <f t="shared" si="0"/>
        <v>813</v>
      </c>
      <c r="G3" s="8">
        <f t="shared" si="1"/>
        <v>1750</v>
      </c>
      <c r="H3" s="8">
        <f t="shared" si="2"/>
        <v>937</v>
      </c>
      <c r="I3" s="8">
        <f t="shared" si="3"/>
        <v>813</v>
      </c>
      <c r="J3" t="s">
        <v>78</v>
      </c>
    </row>
    <row r="4" spans="1:10" x14ac:dyDescent="0.25">
      <c r="A4" s="5">
        <v>45871</v>
      </c>
      <c r="B4" t="s">
        <v>22</v>
      </c>
      <c r="C4">
        <v>6</v>
      </c>
      <c r="D4">
        <v>8075</v>
      </c>
      <c r="E4">
        <v>7466.63</v>
      </c>
      <c r="F4">
        <f t="shared" si="0"/>
        <v>608.36999999999989</v>
      </c>
      <c r="G4" s="8">
        <f t="shared" si="1"/>
        <v>48450</v>
      </c>
      <c r="H4" s="8">
        <f t="shared" si="2"/>
        <v>44799.78</v>
      </c>
      <c r="I4" s="8">
        <f t="shared" si="3"/>
        <v>3650.2200000000012</v>
      </c>
      <c r="J4" t="s">
        <v>78</v>
      </c>
    </row>
    <row r="5" spans="1:10" x14ac:dyDescent="0.25">
      <c r="A5" s="5">
        <v>45871</v>
      </c>
      <c r="B5" t="s">
        <v>23</v>
      </c>
      <c r="C5">
        <v>10</v>
      </c>
      <c r="D5">
        <v>6800</v>
      </c>
      <c r="E5">
        <v>4951.6400000000003</v>
      </c>
      <c r="F5">
        <f t="shared" si="0"/>
        <v>1848.3599999999997</v>
      </c>
      <c r="G5" s="8">
        <f t="shared" si="1"/>
        <v>68000</v>
      </c>
      <c r="H5" s="8">
        <f t="shared" si="2"/>
        <v>49516.4</v>
      </c>
      <c r="I5" s="8">
        <f t="shared" si="3"/>
        <v>18483.599999999999</v>
      </c>
      <c r="J5" t="s">
        <v>78</v>
      </c>
    </row>
    <row r="6" spans="1:10" x14ac:dyDescent="0.25">
      <c r="A6" s="5">
        <v>45871</v>
      </c>
      <c r="B6" t="s">
        <v>14</v>
      </c>
      <c r="C6">
        <v>10</v>
      </c>
      <c r="D6">
        <v>2460</v>
      </c>
      <c r="E6">
        <v>1429</v>
      </c>
      <c r="F6">
        <f t="shared" si="0"/>
        <v>1031</v>
      </c>
      <c r="G6" s="8">
        <f t="shared" si="1"/>
        <v>24600</v>
      </c>
      <c r="H6" s="8">
        <f t="shared" si="2"/>
        <v>14290</v>
      </c>
      <c r="I6" s="8">
        <f t="shared" si="3"/>
        <v>10310</v>
      </c>
      <c r="J6" t="s">
        <v>78</v>
      </c>
    </row>
    <row r="7" spans="1:10" x14ac:dyDescent="0.25">
      <c r="A7" s="5">
        <v>45873</v>
      </c>
      <c r="B7" t="s">
        <v>38</v>
      </c>
      <c r="C7">
        <v>10</v>
      </c>
      <c r="D7">
        <v>735</v>
      </c>
      <c r="E7">
        <v>730</v>
      </c>
      <c r="F7">
        <f t="shared" si="0"/>
        <v>5</v>
      </c>
      <c r="G7" s="8">
        <f t="shared" si="1"/>
        <v>7350</v>
      </c>
      <c r="H7" s="8">
        <f t="shared" si="2"/>
        <v>7300</v>
      </c>
      <c r="I7" s="8">
        <f t="shared" si="3"/>
        <v>50</v>
      </c>
      <c r="J7" s="7" t="s">
        <v>78</v>
      </c>
    </row>
    <row r="8" spans="1:10" x14ac:dyDescent="0.25">
      <c r="A8" s="5">
        <v>45873</v>
      </c>
      <c r="B8" t="s">
        <v>39</v>
      </c>
      <c r="C8">
        <v>1</v>
      </c>
      <c r="D8">
        <v>8550</v>
      </c>
      <c r="E8" s="7">
        <v>7990</v>
      </c>
      <c r="F8">
        <f t="shared" si="0"/>
        <v>560</v>
      </c>
      <c r="G8" s="8">
        <f t="shared" si="1"/>
        <v>8550</v>
      </c>
      <c r="H8" s="8">
        <f t="shared" si="2"/>
        <v>7990</v>
      </c>
      <c r="I8" s="8">
        <f t="shared" si="3"/>
        <v>560</v>
      </c>
      <c r="J8" s="7" t="s">
        <v>78</v>
      </c>
    </row>
    <row r="9" spans="1:10" x14ac:dyDescent="0.25">
      <c r="A9" s="5">
        <v>45875</v>
      </c>
      <c r="B9" t="s">
        <v>39</v>
      </c>
      <c r="C9">
        <v>2</v>
      </c>
      <c r="D9">
        <v>8550</v>
      </c>
      <c r="E9">
        <v>7990</v>
      </c>
      <c r="F9">
        <f t="shared" si="0"/>
        <v>560</v>
      </c>
      <c r="G9" s="8">
        <f t="shared" si="1"/>
        <v>17100</v>
      </c>
      <c r="H9" s="8">
        <f t="shared" si="2"/>
        <v>15980</v>
      </c>
      <c r="I9" s="8">
        <f t="shared" si="3"/>
        <v>1120</v>
      </c>
      <c r="J9" t="s">
        <v>78</v>
      </c>
    </row>
    <row r="10" spans="1:10" x14ac:dyDescent="0.25">
      <c r="A10" s="5">
        <v>45876</v>
      </c>
      <c r="B10" t="s">
        <v>38</v>
      </c>
      <c r="C10">
        <v>10</v>
      </c>
      <c r="D10">
        <v>730</v>
      </c>
      <c r="E10">
        <v>730</v>
      </c>
      <c r="F10">
        <f t="shared" si="0"/>
        <v>0</v>
      </c>
      <c r="G10" s="8">
        <f t="shared" si="1"/>
        <v>7300</v>
      </c>
      <c r="H10" s="8">
        <f t="shared" si="2"/>
        <v>7300</v>
      </c>
      <c r="I10" s="8">
        <f t="shared" si="3"/>
        <v>0</v>
      </c>
      <c r="J10" t="s">
        <v>78</v>
      </c>
    </row>
    <row r="11" spans="1:10" x14ac:dyDescent="0.25">
      <c r="A11" s="5">
        <v>45876</v>
      </c>
      <c r="B11" t="s">
        <v>39</v>
      </c>
      <c r="C11">
        <v>2</v>
      </c>
      <c r="D11">
        <v>8550</v>
      </c>
      <c r="E11">
        <v>7990</v>
      </c>
      <c r="F11">
        <f t="shared" si="0"/>
        <v>560</v>
      </c>
      <c r="G11" s="8">
        <f t="shared" si="1"/>
        <v>17100</v>
      </c>
      <c r="H11" s="8">
        <f t="shared" si="2"/>
        <v>15980</v>
      </c>
      <c r="I11" s="8">
        <f t="shared" si="3"/>
        <v>1120</v>
      </c>
      <c r="J11" t="s">
        <v>78</v>
      </c>
    </row>
    <row r="12" spans="1:10" x14ac:dyDescent="0.25">
      <c r="A12" s="5">
        <v>45877</v>
      </c>
      <c r="B12" t="s">
        <v>38</v>
      </c>
      <c r="C12">
        <v>15</v>
      </c>
      <c r="D12">
        <v>735</v>
      </c>
      <c r="E12">
        <v>730</v>
      </c>
      <c r="F12">
        <f t="shared" si="0"/>
        <v>5</v>
      </c>
      <c r="G12" s="8">
        <f t="shared" si="1"/>
        <v>11025</v>
      </c>
      <c r="H12" s="8">
        <f t="shared" si="2"/>
        <v>10950</v>
      </c>
      <c r="I12" s="8">
        <f t="shared" si="3"/>
        <v>75</v>
      </c>
      <c r="J12" t="s">
        <v>78</v>
      </c>
    </row>
    <row r="13" spans="1:10" x14ac:dyDescent="0.25">
      <c r="A13" s="5">
        <v>45877</v>
      </c>
      <c r="B13" t="s">
        <v>39</v>
      </c>
      <c r="C13">
        <v>1</v>
      </c>
      <c r="D13">
        <v>8500</v>
      </c>
      <c r="E13">
        <v>7990</v>
      </c>
      <c r="F13">
        <f t="shared" si="0"/>
        <v>510</v>
      </c>
      <c r="G13" s="8">
        <f t="shared" si="1"/>
        <v>8500</v>
      </c>
      <c r="H13" s="8">
        <f t="shared" si="2"/>
        <v>7990</v>
      </c>
      <c r="I13" s="8">
        <f t="shared" si="3"/>
        <v>510</v>
      </c>
      <c r="J13" t="s">
        <v>78</v>
      </c>
    </row>
    <row r="14" spans="1:10" x14ac:dyDescent="0.25">
      <c r="A14" s="5">
        <v>45878</v>
      </c>
      <c r="B14" t="s">
        <v>38</v>
      </c>
      <c r="C14">
        <v>5</v>
      </c>
      <c r="D14">
        <v>735</v>
      </c>
      <c r="E14">
        <v>730</v>
      </c>
      <c r="F14">
        <f t="shared" si="0"/>
        <v>5</v>
      </c>
      <c r="G14" s="8">
        <f t="shared" si="1"/>
        <v>3675</v>
      </c>
      <c r="H14" s="8">
        <f t="shared" si="2"/>
        <v>3650</v>
      </c>
      <c r="I14" s="8">
        <f t="shared" si="3"/>
        <v>25</v>
      </c>
      <c r="J14" t="s">
        <v>78</v>
      </c>
    </row>
    <row r="15" spans="1:10" x14ac:dyDescent="0.25">
      <c r="A15" s="5">
        <v>45878</v>
      </c>
      <c r="B15" t="s">
        <v>22</v>
      </c>
      <c r="C15">
        <v>1</v>
      </c>
      <c r="D15">
        <v>8250</v>
      </c>
      <c r="E15" s="7">
        <v>7466</v>
      </c>
      <c r="F15">
        <f t="shared" si="0"/>
        <v>784</v>
      </c>
      <c r="G15" s="8">
        <f t="shared" si="1"/>
        <v>8250</v>
      </c>
      <c r="H15" s="8">
        <f t="shared" si="2"/>
        <v>7466</v>
      </c>
      <c r="I15" s="8">
        <f t="shared" si="3"/>
        <v>784</v>
      </c>
      <c r="J15" t="s">
        <v>78</v>
      </c>
    </row>
    <row r="16" spans="1:10" x14ac:dyDescent="0.25">
      <c r="A16" s="5">
        <v>45880</v>
      </c>
      <c r="B16" t="s">
        <v>48</v>
      </c>
      <c r="C16">
        <v>6</v>
      </c>
      <c r="D16">
        <v>260</v>
      </c>
      <c r="E16">
        <v>188.19</v>
      </c>
      <c r="F16">
        <f t="shared" si="0"/>
        <v>71.81</v>
      </c>
      <c r="G16" s="8">
        <f t="shared" si="1"/>
        <v>1560</v>
      </c>
      <c r="H16" s="8">
        <f t="shared" si="2"/>
        <v>1129.1399999999999</v>
      </c>
      <c r="I16" s="8">
        <f t="shared" si="3"/>
        <v>430.86000000000013</v>
      </c>
      <c r="J16" t="s">
        <v>78</v>
      </c>
    </row>
    <row r="17" spans="1:10" x14ac:dyDescent="0.25">
      <c r="A17" s="5">
        <v>45880</v>
      </c>
      <c r="B17" t="s">
        <v>49</v>
      </c>
      <c r="C17">
        <v>19</v>
      </c>
      <c r="D17">
        <v>62</v>
      </c>
      <c r="E17">
        <v>38.28</v>
      </c>
      <c r="F17">
        <f t="shared" si="0"/>
        <v>23.72</v>
      </c>
      <c r="G17" s="8">
        <f t="shared" si="1"/>
        <v>1178</v>
      </c>
      <c r="H17" s="8">
        <f t="shared" si="2"/>
        <v>727.32</v>
      </c>
      <c r="I17" s="8">
        <f t="shared" si="3"/>
        <v>450.67999999999995</v>
      </c>
      <c r="J17" t="s">
        <v>78</v>
      </c>
    </row>
    <row r="18" spans="1:10" x14ac:dyDescent="0.25">
      <c r="A18" s="5">
        <v>45880</v>
      </c>
      <c r="B18" t="s">
        <v>50</v>
      </c>
      <c r="C18">
        <v>7</v>
      </c>
      <c r="D18">
        <v>1670</v>
      </c>
      <c r="E18">
        <v>1612.26</v>
      </c>
      <c r="F18">
        <f t="shared" si="0"/>
        <v>57.740000000000009</v>
      </c>
      <c r="G18" s="8">
        <f t="shared" si="1"/>
        <v>11690</v>
      </c>
      <c r="H18" s="8">
        <f t="shared" si="2"/>
        <v>11285.82</v>
      </c>
      <c r="I18" s="8">
        <f t="shared" si="3"/>
        <v>404.18000000000029</v>
      </c>
      <c r="J18" t="s">
        <v>78</v>
      </c>
    </row>
    <row r="19" spans="1:10" x14ac:dyDescent="0.25">
      <c r="A19" s="5">
        <v>45880</v>
      </c>
      <c r="B19" t="s">
        <v>51</v>
      </c>
      <c r="C19">
        <v>2</v>
      </c>
      <c r="D19">
        <v>2700</v>
      </c>
      <c r="E19">
        <v>2300.5</v>
      </c>
      <c r="F19">
        <f t="shared" si="0"/>
        <v>399.5</v>
      </c>
      <c r="G19" s="8">
        <f t="shared" si="1"/>
        <v>5400</v>
      </c>
      <c r="H19" s="8">
        <f t="shared" si="2"/>
        <v>4601</v>
      </c>
      <c r="I19" s="8">
        <f t="shared" si="3"/>
        <v>799</v>
      </c>
      <c r="J19" t="s">
        <v>78</v>
      </c>
    </row>
    <row r="20" spans="1:10" x14ac:dyDescent="0.25">
      <c r="A20" s="5">
        <v>45880</v>
      </c>
      <c r="B20" t="s">
        <v>52</v>
      </c>
      <c r="C20">
        <v>1</v>
      </c>
      <c r="D20">
        <v>1540</v>
      </c>
      <c r="E20">
        <v>1395.5</v>
      </c>
      <c r="F20">
        <f t="shared" si="0"/>
        <v>144.5</v>
      </c>
      <c r="G20" s="8">
        <f t="shared" si="1"/>
        <v>1540</v>
      </c>
      <c r="H20" s="8">
        <f t="shared" si="2"/>
        <v>1395.5</v>
      </c>
      <c r="I20" s="8">
        <f t="shared" si="3"/>
        <v>144.5</v>
      </c>
      <c r="J20" t="s">
        <v>78</v>
      </c>
    </row>
    <row r="21" spans="1:10" x14ac:dyDescent="0.25">
      <c r="A21" s="5">
        <v>45881</v>
      </c>
      <c r="B21" t="s">
        <v>51</v>
      </c>
      <c r="C21">
        <v>2</v>
      </c>
      <c r="D21">
        <v>2700</v>
      </c>
      <c r="E21">
        <v>2300.5</v>
      </c>
      <c r="F21">
        <f t="shared" si="0"/>
        <v>399.5</v>
      </c>
      <c r="G21" s="8">
        <f t="shared" si="1"/>
        <v>5400</v>
      </c>
      <c r="H21" s="8">
        <f t="shared" si="2"/>
        <v>4601</v>
      </c>
      <c r="I21" s="8">
        <f t="shared" si="3"/>
        <v>799</v>
      </c>
      <c r="J21" t="s">
        <v>78</v>
      </c>
    </row>
    <row r="22" spans="1:10" x14ac:dyDescent="0.25">
      <c r="A22" s="5">
        <v>45881</v>
      </c>
      <c r="B22" t="s">
        <v>51</v>
      </c>
      <c r="C22">
        <v>3</v>
      </c>
      <c r="D22">
        <v>2700</v>
      </c>
      <c r="E22">
        <v>2300.5</v>
      </c>
      <c r="F22">
        <f t="shared" si="0"/>
        <v>399.5</v>
      </c>
      <c r="G22" s="8">
        <f t="shared" si="1"/>
        <v>8100</v>
      </c>
      <c r="H22" s="8">
        <f t="shared" si="2"/>
        <v>6901.5</v>
      </c>
      <c r="I22" s="8">
        <f t="shared" si="3"/>
        <v>1198.5</v>
      </c>
      <c r="J22" t="s">
        <v>78</v>
      </c>
    </row>
    <row r="23" spans="1:10" x14ac:dyDescent="0.25">
      <c r="A23" s="5">
        <v>45881</v>
      </c>
      <c r="B23" t="s">
        <v>12</v>
      </c>
      <c r="C23">
        <v>1</v>
      </c>
      <c r="D23">
        <v>4400</v>
      </c>
      <c r="E23" s="6">
        <v>5339.75</v>
      </c>
      <c r="F23">
        <f t="shared" si="0"/>
        <v>-939.75</v>
      </c>
      <c r="G23" s="8">
        <f t="shared" si="1"/>
        <v>4400</v>
      </c>
      <c r="H23" s="8">
        <f t="shared" si="2"/>
        <v>5339.75</v>
      </c>
      <c r="I23" s="8">
        <f t="shared" si="3"/>
        <v>-939.75</v>
      </c>
      <c r="J23" t="s">
        <v>78</v>
      </c>
    </row>
    <row r="24" spans="1:10" x14ac:dyDescent="0.25">
      <c r="A24" s="5">
        <v>45883</v>
      </c>
      <c r="B24" t="s">
        <v>12</v>
      </c>
      <c r="C24">
        <v>1</v>
      </c>
      <c r="D24">
        <v>4450</v>
      </c>
      <c r="E24">
        <v>5339.75</v>
      </c>
      <c r="F24">
        <f t="shared" si="0"/>
        <v>-889.75</v>
      </c>
      <c r="G24" s="8">
        <f t="shared" si="1"/>
        <v>4450</v>
      </c>
      <c r="H24" s="8">
        <f t="shared" si="2"/>
        <v>5339.75</v>
      </c>
      <c r="I24" s="8">
        <f t="shared" si="3"/>
        <v>-889.75</v>
      </c>
      <c r="J24" t="s">
        <v>78</v>
      </c>
    </row>
    <row r="25" spans="1:10" x14ac:dyDescent="0.25">
      <c r="A25" s="5">
        <v>45883</v>
      </c>
      <c r="B25" t="s">
        <v>55</v>
      </c>
      <c r="C25">
        <v>1</v>
      </c>
      <c r="D25">
        <v>6650</v>
      </c>
      <c r="E25">
        <v>6244</v>
      </c>
      <c r="F25">
        <f t="shared" si="0"/>
        <v>406</v>
      </c>
      <c r="G25" s="8">
        <f t="shared" si="1"/>
        <v>6650</v>
      </c>
      <c r="H25" s="8">
        <f t="shared" si="2"/>
        <v>6244</v>
      </c>
      <c r="I25" s="8">
        <f t="shared" si="3"/>
        <v>406</v>
      </c>
      <c r="J25" t="s">
        <v>78</v>
      </c>
    </row>
    <row r="26" spans="1:10" x14ac:dyDescent="0.25">
      <c r="A26" s="5">
        <v>45884</v>
      </c>
      <c r="B26" t="s">
        <v>65</v>
      </c>
      <c r="C26">
        <v>3</v>
      </c>
      <c r="D26">
        <v>4200</v>
      </c>
      <c r="E26">
        <v>5339.75</v>
      </c>
      <c r="F26">
        <f t="shared" si="0"/>
        <v>-1139.75</v>
      </c>
      <c r="G26" s="8">
        <f t="shared" si="1"/>
        <v>12600</v>
      </c>
      <c r="H26" s="8">
        <f t="shared" si="2"/>
        <v>16019.25</v>
      </c>
      <c r="I26" s="8">
        <f t="shared" si="3"/>
        <v>-3419.25</v>
      </c>
      <c r="J26" t="s">
        <v>78</v>
      </c>
    </row>
    <row r="27" spans="1:10" x14ac:dyDescent="0.25">
      <c r="A27" s="5">
        <v>45884</v>
      </c>
      <c r="B27" t="s">
        <v>82</v>
      </c>
      <c r="C27">
        <v>3</v>
      </c>
      <c r="D27">
        <v>4200</v>
      </c>
      <c r="E27">
        <v>5400</v>
      </c>
      <c r="F27">
        <f t="shared" si="0"/>
        <v>-1200</v>
      </c>
      <c r="G27" s="8">
        <f t="shared" si="1"/>
        <v>12600</v>
      </c>
      <c r="H27" s="8">
        <f t="shared" si="2"/>
        <v>16200</v>
      </c>
      <c r="I27" s="8">
        <f t="shared" si="3"/>
        <v>-3600</v>
      </c>
      <c r="J27" t="s">
        <v>78</v>
      </c>
    </row>
    <row r="28" spans="1:10" x14ac:dyDescent="0.25">
      <c r="A28" s="5">
        <v>45884</v>
      </c>
      <c r="B28" t="s">
        <v>57</v>
      </c>
      <c r="C28">
        <v>2</v>
      </c>
      <c r="D28">
        <v>960</v>
      </c>
      <c r="E28">
        <v>731</v>
      </c>
      <c r="F28">
        <f t="shared" si="0"/>
        <v>229</v>
      </c>
      <c r="G28" s="8">
        <f t="shared" si="1"/>
        <v>1920</v>
      </c>
      <c r="H28" s="8">
        <f t="shared" si="2"/>
        <v>1462</v>
      </c>
      <c r="I28" s="8">
        <f t="shared" si="3"/>
        <v>458</v>
      </c>
      <c r="J28" t="s">
        <v>78</v>
      </c>
    </row>
    <row r="29" spans="1:10" x14ac:dyDescent="0.25">
      <c r="A29" s="5">
        <v>45888</v>
      </c>
      <c r="B29" t="s">
        <v>55</v>
      </c>
      <c r="C29">
        <v>1</v>
      </c>
      <c r="D29">
        <v>6650</v>
      </c>
      <c r="E29">
        <v>6244</v>
      </c>
      <c r="F29">
        <f t="shared" si="0"/>
        <v>406</v>
      </c>
      <c r="G29" s="8">
        <f t="shared" si="1"/>
        <v>6650</v>
      </c>
      <c r="H29" s="8">
        <f t="shared" si="2"/>
        <v>6244</v>
      </c>
      <c r="I29" s="8">
        <f t="shared" si="3"/>
        <v>406</v>
      </c>
      <c r="J29" t="s">
        <v>78</v>
      </c>
    </row>
    <row r="30" spans="1:10" x14ac:dyDescent="0.25">
      <c r="A30" s="5">
        <v>45888</v>
      </c>
      <c r="B30" t="s">
        <v>12</v>
      </c>
      <c r="C30">
        <v>1</v>
      </c>
      <c r="D30">
        <v>4400</v>
      </c>
      <c r="E30">
        <v>5339.75</v>
      </c>
      <c r="F30">
        <f t="shared" si="0"/>
        <v>-939.75</v>
      </c>
      <c r="G30" s="8">
        <f t="shared" si="1"/>
        <v>4400</v>
      </c>
      <c r="H30" s="8">
        <f t="shared" si="2"/>
        <v>5339.75</v>
      </c>
      <c r="I30" s="8">
        <f t="shared" si="3"/>
        <v>-939.75</v>
      </c>
      <c r="J30" t="s">
        <v>78</v>
      </c>
    </row>
    <row r="31" spans="1:10" x14ac:dyDescent="0.25">
      <c r="A31" s="5">
        <v>45889</v>
      </c>
      <c r="B31" t="s">
        <v>46</v>
      </c>
      <c r="C31">
        <v>50</v>
      </c>
      <c r="D31">
        <v>810</v>
      </c>
      <c r="E31">
        <v>592.20000000000005</v>
      </c>
      <c r="F31">
        <f t="shared" si="0"/>
        <v>217.79999999999995</v>
      </c>
      <c r="G31" s="8">
        <f t="shared" si="1"/>
        <v>40500</v>
      </c>
      <c r="H31" s="8">
        <f t="shared" si="2"/>
        <v>29610.000000000004</v>
      </c>
      <c r="I31" s="8">
        <f t="shared" si="3"/>
        <v>10889.999999999996</v>
      </c>
      <c r="J31" t="s">
        <v>78</v>
      </c>
    </row>
    <row r="32" spans="1:10" x14ac:dyDescent="0.25">
      <c r="A32" s="5">
        <v>45889</v>
      </c>
      <c r="B32" t="s">
        <v>46</v>
      </c>
      <c r="C32">
        <v>5</v>
      </c>
      <c r="D32">
        <v>825</v>
      </c>
      <c r="E32">
        <v>592.20000000000005</v>
      </c>
      <c r="F32">
        <f t="shared" si="0"/>
        <v>232.79999999999995</v>
      </c>
      <c r="G32" s="8">
        <f t="shared" si="1"/>
        <v>4125</v>
      </c>
      <c r="H32" s="8">
        <f t="shared" si="2"/>
        <v>2961</v>
      </c>
      <c r="I32" s="8">
        <f t="shared" si="3"/>
        <v>1164</v>
      </c>
      <c r="J32" t="s">
        <v>78</v>
      </c>
    </row>
    <row r="33" spans="1:10" x14ac:dyDescent="0.25">
      <c r="A33" s="5">
        <v>45890</v>
      </c>
      <c r="B33" t="s">
        <v>50</v>
      </c>
      <c r="C33">
        <v>5</v>
      </c>
      <c r="D33">
        <v>1690</v>
      </c>
      <c r="E33">
        <v>1773.33</v>
      </c>
      <c r="F33">
        <f t="shared" si="0"/>
        <v>-83.329999999999927</v>
      </c>
      <c r="G33" s="8">
        <f t="shared" si="1"/>
        <v>8450</v>
      </c>
      <c r="H33" s="8">
        <f t="shared" si="2"/>
        <v>8866.65</v>
      </c>
      <c r="I33" s="8">
        <f t="shared" si="3"/>
        <v>-416.64999999999964</v>
      </c>
      <c r="J33" t="s">
        <v>78</v>
      </c>
    </row>
    <row r="34" spans="1:10" x14ac:dyDescent="0.25">
      <c r="A34" s="5">
        <v>45890</v>
      </c>
      <c r="B34" t="s">
        <v>46</v>
      </c>
      <c r="C34">
        <v>30</v>
      </c>
      <c r="D34">
        <v>825</v>
      </c>
      <c r="E34">
        <v>592.20000000000005</v>
      </c>
      <c r="F34">
        <f t="shared" si="0"/>
        <v>232.79999999999995</v>
      </c>
      <c r="G34" s="8">
        <f t="shared" si="1"/>
        <v>24750</v>
      </c>
      <c r="H34" s="8">
        <f t="shared" si="2"/>
        <v>17766</v>
      </c>
      <c r="I34" s="8">
        <f t="shared" si="3"/>
        <v>6984</v>
      </c>
      <c r="J34" t="s">
        <v>78</v>
      </c>
    </row>
    <row r="35" spans="1:10" x14ac:dyDescent="0.25">
      <c r="A35" s="5">
        <v>45890</v>
      </c>
      <c r="B35" t="s">
        <v>12</v>
      </c>
      <c r="C35">
        <v>2</v>
      </c>
      <c r="D35">
        <v>4400</v>
      </c>
      <c r="E35">
        <v>5339.75</v>
      </c>
      <c r="F35">
        <f t="shared" si="0"/>
        <v>-939.75</v>
      </c>
      <c r="G35" s="8">
        <f t="shared" si="1"/>
        <v>8800</v>
      </c>
      <c r="H35" s="8">
        <f t="shared" si="2"/>
        <v>10679.5</v>
      </c>
      <c r="I35" s="8">
        <f t="shared" si="3"/>
        <v>-1879.5</v>
      </c>
      <c r="J35" t="s">
        <v>78</v>
      </c>
    </row>
    <row r="36" spans="1:10" x14ac:dyDescent="0.25">
      <c r="A36" s="5">
        <v>45890</v>
      </c>
      <c r="B36" t="s">
        <v>55</v>
      </c>
      <c r="C36">
        <v>1</v>
      </c>
      <c r="D36">
        <v>6700</v>
      </c>
      <c r="E36">
        <v>6244</v>
      </c>
      <c r="F36">
        <f t="shared" si="0"/>
        <v>456</v>
      </c>
      <c r="G36" s="8">
        <f t="shared" si="1"/>
        <v>6700</v>
      </c>
      <c r="H36" s="8">
        <f t="shared" si="2"/>
        <v>6244</v>
      </c>
      <c r="I36" s="8">
        <f t="shared" si="3"/>
        <v>456</v>
      </c>
      <c r="J36" t="s">
        <v>78</v>
      </c>
    </row>
    <row r="37" spans="1:10" x14ac:dyDescent="0.25">
      <c r="A37" s="5">
        <v>45890</v>
      </c>
      <c r="B37" t="s">
        <v>51</v>
      </c>
      <c r="C37">
        <v>4</v>
      </c>
      <c r="D37">
        <v>2600</v>
      </c>
      <c r="E37">
        <v>2300.5</v>
      </c>
      <c r="F37">
        <f t="shared" si="0"/>
        <v>299.5</v>
      </c>
      <c r="G37" s="8">
        <f t="shared" si="1"/>
        <v>10400</v>
      </c>
      <c r="H37" s="8">
        <f t="shared" si="2"/>
        <v>9202</v>
      </c>
      <c r="I37" s="8">
        <f t="shared" si="3"/>
        <v>1198</v>
      </c>
      <c r="J37" t="s">
        <v>78</v>
      </c>
    </row>
    <row r="38" spans="1:10" x14ac:dyDescent="0.25">
      <c r="A38" s="5">
        <v>45891</v>
      </c>
      <c r="B38" t="s">
        <v>51</v>
      </c>
      <c r="C38">
        <v>2</v>
      </c>
      <c r="D38">
        <v>2700</v>
      </c>
      <c r="E38">
        <v>2300.5</v>
      </c>
      <c r="F38">
        <f t="shared" si="0"/>
        <v>399.5</v>
      </c>
      <c r="G38" s="8">
        <f t="shared" si="1"/>
        <v>5400</v>
      </c>
      <c r="H38" s="8">
        <f t="shared" si="2"/>
        <v>4601</v>
      </c>
      <c r="I38" s="8">
        <f t="shared" si="3"/>
        <v>799</v>
      </c>
      <c r="J38" t="s">
        <v>78</v>
      </c>
    </row>
    <row r="39" spans="1:10" x14ac:dyDescent="0.25">
      <c r="A39" s="5">
        <v>45891</v>
      </c>
      <c r="B39" t="s">
        <v>51</v>
      </c>
      <c r="C39">
        <v>10</v>
      </c>
      <c r="D39">
        <v>2600</v>
      </c>
      <c r="E39">
        <v>2300.5</v>
      </c>
      <c r="F39">
        <f t="shared" si="0"/>
        <v>299.5</v>
      </c>
      <c r="G39" s="8">
        <f t="shared" si="1"/>
        <v>26000</v>
      </c>
      <c r="H39" s="8">
        <f t="shared" si="2"/>
        <v>23005</v>
      </c>
      <c r="I39" s="8">
        <f t="shared" si="3"/>
        <v>2995</v>
      </c>
      <c r="J39" t="s">
        <v>78</v>
      </c>
    </row>
    <row r="40" spans="1:10" x14ac:dyDescent="0.25">
      <c r="A40" s="5">
        <v>45891</v>
      </c>
      <c r="B40" t="s">
        <v>63</v>
      </c>
      <c r="C40">
        <v>2</v>
      </c>
      <c r="D40">
        <v>165</v>
      </c>
      <c r="E40">
        <v>128</v>
      </c>
      <c r="F40">
        <f t="shared" si="0"/>
        <v>37</v>
      </c>
      <c r="G40" s="8">
        <f t="shared" si="1"/>
        <v>330</v>
      </c>
      <c r="H40" s="8">
        <f t="shared" si="2"/>
        <v>256</v>
      </c>
      <c r="I40" s="8">
        <f t="shared" si="3"/>
        <v>74</v>
      </c>
      <c r="J40" t="s">
        <v>78</v>
      </c>
    </row>
    <row r="41" spans="1:10" x14ac:dyDescent="0.25">
      <c r="A41" s="5">
        <v>45891</v>
      </c>
      <c r="B41" t="s">
        <v>52</v>
      </c>
      <c r="C41">
        <v>2</v>
      </c>
      <c r="D41">
        <v>1520</v>
      </c>
      <c r="E41" s="7">
        <v>1211.94</v>
      </c>
      <c r="F41">
        <f t="shared" si="0"/>
        <v>308.05999999999995</v>
      </c>
      <c r="G41" s="8">
        <f t="shared" si="1"/>
        <v>3040</v>
      </c>
      <c r="H41" s="8">
        <f t="shared" si="2"/>
        <v>2423.88</v>
      </c>
      <c r="I41" s="8">
        <f t="shared" si="3"/>
        <v>616.11999999999989</v>
      </c>
      <c r="J41" t="s">
        <v>78</v>
      </c>
    </row>
    <row r="42" spans="1:10" x14ac:dyDescent="0.25">
      <c r="A42" s="5">
        <v>45892</v>
      </c>
      <c r="B42" t="s">
        <v>64</v>
      </c>
      <c r="C42">
        <v>2</v>
      </c>
      <c r="D42">
        <v>6850</v>
      </c>
      <c r="E42">
        <v>4883.21</v>
      </c>
      <c r="F42">
        <f t="shared" si="0"/>
        <v>1966.79</v>
      </c>
      <c r="G42" s="8">
        <f t="shared" si="1"/>
        <v>13700</v>
      </c>
      <c r="H42" s="8">
        <f t="shared" si="2"/>
        <v>9766.42</v>
      </c>
      <c r="I42" s="8">
        <f t="shared" si="3"/>
        <v>3933.58</v>
      </c>
      <c r="J42" t="s">
        <v>78</v>
      </c>
    </row>
    <row r="43" spans="1:10" x14ac:dyDescent="0.25">
      <c r="A43" s="5">
        <v>45894</v>
      </c>
      <c r="B43" t="s">
        <v>52</v>
      </c>
      <c r="C43">
        <v>2</v>
      </c>
      <c r="D43">
        <v>1510</v>
      </c>
      <c r="E43" s="7">
        <v>1211.94</v>
      </c>
      <c r="F43">
        <f t="shared" si="0"/>
        <v>298.05999999999995</v>
      </c>
      <c r="G43" s="8">
        <f t="shared" si="1"/>
        <v>3020</v>
      </c>
      <c r="H43" s="8">
        <f t="shared" si="2"/>
        <v>2423.88</v>
      </c>
      <c r="I43" s="8">
        <f t="shared" si="3"/>
        <v>596.11999999999989</v>
      </c>
      <c r="J43" t="s">
        <v>78</v>
      </c>
    </row>
    <row r="44" spans="1:10" x14ac:dyDescent="0.25">
      <c r="A44" s="5">
        <v>45895</v>
      </c>
      <c r="B44" t="s">
        <v>51</v>
      </c>
      <c r="C44">
        <v>17</v>
      </c>
      <c r="D44">
        <v>2650</v>
      </c>
      <c r="E44">
        <v>2268.73</v>
      </c>
      <c r="F44">
        <f t="shared" si="0"/>
        <v>381.27</v>
      </c>
      <c r="G44" s="8">
        <f t="shared" si="1"/>
        <v>45050</v>
      </c>
      <c r="H44" s="8">
        <f t="shared" si="2"/>
        <v>38568.410000000003</v>
      </c>
      <c r="I44" s="8">
        <f t="shared" si="3"/>
        <v>6481.5899999999965</v>
      </c>
      <c r="J44" t="s">
        <v>78</v>
      </c>
    </row>
    <row r="45" spans="1:10" x14ac:dyDescent="0.25">
      <c r="A45" s="5">
        <v>45895</v>
      </c>
      <c r="B45" t="s">
        <v>65</v>
      </c>
      <c r="C45">
        <v>1</v>
      </c>
      <c r="D45">
        <v>4450</v>
      </c>
      <c r="E45">
        <v>5339.75</v>
      </c>
      <c r="F45">
        <f t="shared" si="0"/>
        <v>-889.75</v>
      </c>
      <c r="G45" s="8">
        <f t="shared" si="1"/>
        <v>4450</v>
      </c>
      <c r="H45" s="8">
        <f t="shared" si="2"/>
        <v>5339.75</v>
      </c>
      <c r="I45" s="8">
        <f t="shared" si="3"/>
        <v>-889.75</v>
      </c>
      <c r="J45" t="s">
        <v>78</v>
      </c>
    </row>
    <row r="46" spans="1:10" x14ac:dyDescent="0.25">
      <c r="A46" s="5">
        <v>45896</v>
      </c>
      <c r="B46" t="s">
        <v>46</v>
      </c>
      <c r="C46">
        <v>65</v>
      </c>
      <c r="D46">
        <v>810</v>
      </c>
      <c r="E46">
        <v>584.79</v>
      </c>
      <c r="F46">
        <f t="shared" si="0"/>
        <v>225.21000000000004</v>
      </c>
      <c r="G46" s="8">
        <f t="shared" si="1"/>
        <v>52650</v>
      </c>
      <c r="H46" s="8">
        <f t="shared" si="2"/>
        <v>38011.35</v>
      </c>
      <c r="I46" s="8">
        <f t="shared" si="3"/>
        <v>14638.650000000001</v>
      </c>
      <c r="J46" t="s">
        <v>78</v>
      </c>
    </row>
    <row r="47" spans="1:10" x14ac:dyDescent="0.25">
      <c r="A47" s="5">
        <v>45896</v>
      </c>
      <c r="B47" t="s">
        <v>46</v>
      </c>
      <c r="C47">
        <v>60</v>
      </c>
      <c r="D47">
        <v>810</v>
      </c>
      <c r="E47">
        <v>584.79</v>
      </c>
      <c r="F47">
        <f t="shared" si="0"/>
        <v>225.21000000000004</v>
      </c>
      <c r="G47" s="8">
        <f t="shared" si="1"/>
        <v>48600</v>
      </c>
      <c r="H47" s="8">
        <f t="shared" si="2"/>
        <v>35087.399999999994</v>
      </c>
      <c r="I47" s="8">
        <f t="shared" si="3"/>
        <v>13512.600000000006</v>
      </c>
      <c r="J47" t="s">
        <v>78</v>
      </c>
    </row>
    <row r="48" spans="1:10" x14ac:dyDescent="0.25">
      <c r="A48" s="5">
        <v>45896</v>
      </c>
      <c r="B48" t="s">
        <v>46</v>
      </c>
      <c r="C48">
        <v>5</v>
      </c>
      <c r="D48">
        <v>810</v>
      </c>
      <c r="E48">
        <v>584.79</v>
      </c>
      <c r="F48">
        <f t="shared" si="0"/>
        <v>225.21000000000004</v>
      </c>
      <c r="G48" s="8">
        <f t="shared" si="1"/>
        <v>4050</v>
      </c>
      <c r="H48" s="8">
        <f t="shared" si="2"/>
        <v>2923.95</v>
      </c>
      <c r="I48" s="8">
        <f t="shared" si="3"/>
        <v>1126.0500000000002</v>
      </c>
      <c r="J48" t="s">
        <v>78</v>
      </c>
    </row>
    <row r="49" spans="1:10" x14ac:dyDescent="0.25">
      <c r="A49" s="5">
        <v>45896</v>
      </c>
      <c r="B49" t="s">
        <v>46</v>
      </c>
      <c r="C49">
        <v>15</v>
      </c>
      <c r="D49">
        <v>810</v>
      </c>
      <c r="E49">
        <v>584.79</v>
      </c>
      <c r="F49">
        <f t="shared" si="0"/>
        <v>225.21000000000004</v>
      </c>
      <c r="G49" s="8">
        <f t="shared" si="1"/>
        <v>12150</v>
      </c>
      <c r="H49" s="8">
        <f t="shared" si="2"/>
        <v>8771.8499999999985</v>
      </c>
      <c r="I49" s="8">
        <f t="shared" si="3"/>
        <v>3378.1500000000015</v>
      </c>
      <c r="J49" t="s">
        <v>78</v>
      </c>
    </row>
    <row r="50" spans="1:10" x14ac:dyDescent="0.25">
      <c r="A50" s="5">
        <v>45896</v>
      </c>
      <c r="B50" t="s">
        <v>46</v>
      </c>
      <c r="C50">
        <v>20</v>
      </c>
      <c r="D50">
        <v>810</v>
      </c>
      <c r="E50">
        <v>584.79</v>
      </c>
      <c r="F50">
        <f t="shared" si="0"/>
        <v>225.21000000000004</v>
      </c>
      <c r="G50" s="8">
        <f t="shared" si="1"/>
        <v>16200</v>
      </c>
      <c r="H50" s="8">
        <f t="shared" si="2"/>
        <v>11695.8</v>
      </c>
      <c r="I50" s="8">
        <f t="shared" si="3"/>
        <v>4504.2000000000007</v>
      </c>
      <c r="J50" t="s">
        <v>78</v>
      </c>
    </row>
    <row r="51" spans="1:10" x14ac:dyDescent="0.25">
      <c r="A51" s="5">
        <v>45897</v>
      </c>
      <c r="B51" t="s">
        <v>46</v>
      </c>
      <c r="C51">
        <v>4</v>
      </c>
      <c r="D51">
        <v>810</v>
      </c>
      <c r="E51">
        <v>584.79</v>
      </c>
      <c r="F51">
        <f t="shared" si="0"/>
        <v>225.21000000000004</v>
      </c>
      <c r="G51" s="8">
        <f t="shared" si="1"/>
        <v>3240</v>
      </c>
      <c r="H51" s="8">
        <f t="shared" si="2"/>
        <v>2339.16</v>
      </c>
      <c r="I51" s="8">
        <f t="shared" si="3"/>
        <v>900.84000000000015</v>
      </c>
      <c r="J51" t="s">
        <v>78</v>
      </c>
    </row>
    <row r="52" spans="1:10" x14ac:dyDescent="0.25">
      <c r="A52" s="5">
        <v>45897</v>
      </c>
      <c r="B52" t="s">
        <v>46</v>
      </c>
      <c r="C52">
        <v>20</v>
      </c>
      <c r="D52">
        <v>805</v>
      </c>
      <c r="E52">
        <v>584.79</v>
      </c>
      <c r="F52">
        <f t="shared" si="0"/>
        <v>220.21000000000004</v>
      </c>
      <c r="G52" s="8">
        <f t="shared" si="1"/>
        <v>16100</v>
      </c>
      <c r="H52" s="8">
        <f t="shared" si="2"/>
        <v>11695.8</v>
      </c>
      <c r="I52" s="8">
        <f t="shared" si="3"/>
        <v>4404.2000000000007</v>
      </c>
      <c r="J52" t="s">
        <v>78</v>
      </c>
    </row>
    <row r="53" spans="1:10" x14ac:dyDescent="0.25">
      <c r="A53" s="5">
        <v>45897</v>
      </c>
      <c r="B53" t="s">
        <v>46</v>
      </c>
      <c r="C53">
        <v>87</v>
      </c>
      <c r="D53">
        <v>805</v>
      </c>
      <c r="E53">
        <v>584.79</v>
      </c>
      <c r="F53">
        <f t="shared" si="0"/>
        <v>220.21000000000004</v>
      </c>
      <c r="G53" s="8">
        <f t="shared" si="1"/>
        <v>70035</v>
      </c>
      <c r="H53" s="8">
        <f t="shared" si="2"/>
        <v>50876.729999999996</v>
      </c>
      <c r="I53" s="8">
        <f t="shared" si="3"/>
        <v>19158.270000000004</v>
      </c>
      <c r="J53" t="s">
        <v>78</v>
      </c>
    </row>
    <row r="54" spans="1:10" x14ac:dyDescent="0.25">
      <c r="A54" s="5">
        <v>45897</v>
      </c>
      <c r="B54" t="s">
        <v>46</v>
      </c>
      <c r="C54">
        <v>6</v>
      </c>
      <c r="D54">
        <v>805</v>
      </c>
      <c r="E54">
        <v>584.79</v>
      </c>
      <c r="F54">
        <f t="shared" si="0"/>
        <v>220.21000000000004</v>
      </c>
      <c r="G54" s="8">
        <f t="shared" si="1"/>
        <v>4830</v>
      </c>
      <c r="H54" s="8">
        <f t="shared" si="2"/>
        <v>3508.74</v>
      </c>
      <c r="I54" s="8">
        <f t="shared" si="3"/>
        <v>1321.2600000000002</v>
      </c>
      <c r="J54" t="s">
        <v>78</v>
      </c>
    </row>
    <row r="55" spans="1:10" x14ac:dyDescent="0.25">
      <c r="A55" s="5">
        <v>45898</v>
      </c>
      <c r="B55" t="s">
        <v>46</v>
      </c>
      <c r="C55">
        <v>5</v>
      </c>
      <c r="D55">
        <v>800</v>
      </c>
      <c r="E55">
        <v>584.79</v>
      </c>
      <c r="F55">
        <f t="shared" si="0"/>
        <v>215.21000000000004</v>
      </c>
      <c r="G55" s="8">
        <f t="shared" si="1"/>
        <v>4000</v>
      </c>
      <c r="H55" s="8">
        <f t="shared" si="2"/>
        <v>2923.95</v>
      </c>
      <c r="I55" s="8">
        <f t="shared" si="3"/>
        <v>1076.0500000000002</v>
      </c>
      <c r="J55" t="s">
        <v>78</v>
      </c>
    </row>
    <row r="56" spans="1:10" x14ac:dyDescent="0.25">
      <c r="A56" s="5">
        <v>45898</v>
      </c>
      <c r="B56" t="s">
        <v>46</v>
      </c>
      <c r="C56">
        <v>10</v>
      </c>
      <c r="D56">
        <v>800</v>
      </c>
      <c r="E56">
        <v>584.79</v>
      </c>
      <c r="F56">
        <f t="shared" si="0"/>
        <v>215.21000000000004</v>
      </c>
      <c r="G56" s="8">
        <f t="shared" si="1"/>
        <v>8000</v>
      </c>
      <c r="H56" s="8">
        <f t="shared" si="2"/>
        <v>5847.9</v>
      </c>
      <c r="I56" s="8">
        <f t="shared" si="3"/>
        <v>2152.1000000000004</v>
      </c>
      <c r="J56" t="s">
        <v>78</v>
      </c>
    </row>
    <row r="57" spans="1:10" x14ac:dyDescent="0.25">
      <c r="A57" s="5">
        <v>45899</v>
      </c>
      <c r="B57" t="s">
        <v>46</v>
      </c>
      <c r="C57">
        <v>20</v>
      </c>
      <c r="D57">
        <v>800</v>
      </c>
      <c r="E57">
        <v>584.79</v>
      </c>
      <c r="F57">
        <f t="shared" si="0"/>
        <v>215.21000000000004</v>
      </c>
      <c r="G57" s="8">
        <f t="shared" si="1"/>
        <v>16000</v>
      </c>
      <c r="H57" s="8">
        <f t="shared" si="2"/>
        <v>11695.8</v>
      </c>
      <c r="I57" s="8">
        <f t="shared" si="3"/>
        <v>4304.2000000000007</v>
      </c>
      <c r="J57" t="s">
        <v>78</v>
      </c>
    </row>
    <row r="58" spans="1:10" x14ac:dyDescent="0.25">
      <c r="A58" s="5">
        <v>45899</v>
      </c>
      <c r="B58" t="s">
        <v>46</v>
      </c>
      <c r="C58">
        <v>42</v>
      </c>
      <c r="D58">
        <v>795</v>
      </c>
      <c r="E58">
        <v>584.79</v>
      </c>
      <c r="F58">
        <f t="shared" si="0"/>
        <v>210.21000000000004</v>
      </c>
      <c r="G58" s="8">
        <f t="shared" si="1"/>
        <v>33390</v>
      </c>
      <c r="H58" s="8">
        <f t="shared" si="2"/>
        <v>24561.18</v>
      </c>
      <c r="I58" s="8">
        <f t="shared" si="3"/>
        <v>8828.82</v>
      </c>
      <c r="J58" t="s">
        <v>78</v>
      </c>
    </row>
    <row r="59" spans="1:10" x14ac:dyDescent="0.25">
      <c r="A59" s="5">
        <v>45899</v>
      </c>
      <c r="B59" t="s">
        <v>46</v>
      </c>
      <c r="C59">
        <v>20</v>
      </c>
      <c r="D59">
        <v>825</v>
      </c>
      <c r="E59">
        <v>584.79</v>
      </c>
      <c r="F59">
        <f t="shared" si="0"/>
        <v>240.21000000000004</v>
      </c>
      <c r="G59" s="8">
        <f t="shared" si="1"/>
        <v>16500</v>
      </c>
      <c r="H59" s="8">
        <f t="shared" si="2"/>
        <v>11695.8</v>
      </c>
      <c r="I59" s="8">
        <f t="shared" si="3"/>
        <v>4804.2000000000007</v>
      </c>
      <c r="J59" t="s">
        <v>78</v>
      </c>
    </row>
    <row r="60" spans="1:10" x14ac:dyDescent="0.25">
      <c r="A60" s="5">
        <v>45899</v>
      </c>
      <c r="B60" t="s">
        <v>39</v>
      </c>
      <c r="C60">
        <v>1</v>
      </c>
      <c r="D60">
        <v>8500</v>
      </c>
      <c r="E60">
        <v>8003.5</v>
      </c>
      <c r="F60">
        <f t="shared" si="0"/>
        <v>496.5</v>
      </c>
      <c r="G60" s="8">
        <f t="shared" si="1"/>
        <v>8500</v>
      </c>
      <c r="H60" s="8">
        <f t="shared" si="2"/>
        <v>8003.5</v>
      </c>
      <c r="I60" s="8">
        <f t="shared" si="3"/>
        <v>496.5</v>
      </c>
      <c r="J60" t="s">
        <v>78</v>
      </c>
    </row>
    <row r="61" spans="1:10" x14ac:dyDescent="0.25">
      <c r="A61" s="5">
        <v>45899</v>
      </c>
      <c r="B61" t="s">
        <v>46</v>
      </c>
      <c r="C61">
        <v>10</v>
      </c>
      <c r="D61">
        <v>795</v>
      </c>
      <c r="E61">
        <v>584.79</v>
      </c>
      <c r="F61">
        <f t="shared" si="0"/>
        <v>210.21000000000004</v>
      </c>
      <c r="G61" s="8">
        <f t="shared" si="1"/>
        <v>7950</v>
      </c>
      <c r="H61" s="8">
        <f t="shared" si="2"/>
        <v>5847.9</v>
      </c>
      <c r="I61" s="8">
        <f t="shared" si="3"/>
        <v>2102.1000000000004</v>
      </c>
      <c r="J61" t="s">
        <v>78</v>
      </c>
    </row>
    <row r="62" spans="1:10" x14ac:dyDescent="0.25">
      <c r="A62" s="5">
        <v>45899</v>
      </c>
      <c r="B62" t="s">
        <v>46</v>
      </c>
      <c r="C62">
        <v>3</v>
      </c>
      <c r="D62">
        <v>800</v>
      </c>
      <c r="E62">
        <v>584.79</v>
      </c>
      <c r="F62">
        <f t="shared" si="0"/>
        <v>215.21000000000004</v>
      </c>
      <c r="G62" s="8">
        <f t="shared" si="1"/>
        <v>2400</v>
      </c>
      <c r="H62" s="8">
        <f t="shared" si="2"/>
        <v>1754.37</v>
      </c>
      <c r="I62" s="8">
        <f t="shared" si="3"/>
        <v>645.63000000000011</v>
      </c>
      <c r="J62" t="s">
        <v>78</v>
      </c>
    </row>
    <row r="63" spans="1:10" x14ac:dyDescent="0.25">
      <c r="A63" s="5">
        <v>45899</v>
      </c>
      <c r="B63" t="s">
        <v>46</v>
      </c>
      <c r="C63">
        <v>8</v>
      </c>
      <c r="D63">
        <v>795</v>
      </c>
      <c r="E63">
        <v>584.79</v>
      </c>
      <c r="F63">
        <f t="shared" si="0"/>
        <v>210.21000000000004</v>
      </c>
      <c r="G63" s="8">
        <f t="shared" si="1"/>
        <v>6360</v>
      </c>
      <c r="H63" s="8">
        <f t="shared" si="2"/>
        <v>4678.32</v>
      </c>
      <c r="I63" s="8">
        <f t="shared" si="3"/>
        <v>1681.6800000000003</v>
      </c>
      <c r="J63" t="s">
        <v>78</v>
      </c>
    </row>
    <row r="64" spans="1:10" x14ac:dyDescent="0.25">
      <c r="A64" s="5">
        <v>45876</v>
      </c>
      <c r="B64" t="s">
        <v>46</v>
      </c>
      <c r="C64">
        <v>3</v>
      </c>
      <c r="D64">
        <v>1025</v>
      </c>
      <c r="E64">
        <v>1085</v>
      </c>
      <c r="F64">
        <f t="shared" si="0"/>
        <v>-60</v>
      </c>
      <c r="G64" s="8">
        <f t="shared" si="1"/>
        <v>3075</v>
      </c>
      <c r="H64" s="8">
        <f t="shared" si="2"/>
        <v>3255</v>
      </c>
      <c r="I64" s="8">
        <f t="shared" si="3"/>
        <v>-180</v>
      </c>
      <c r="J64" t="s">
        <v>81</v>
      </c>
    </row>
    <row r="65" spans="1:10" x14ac:dyDescent="0.25">
      <c r="A65" s="5">
        <v>45880</v>
      </c>
      <c r="B65" t="s">
        <v>46</v>
      </c>
      <c r="C65">
        <v>6</v>
      </c>
      <c r="D65">
        <v>900</v>
      </c>
      <c r="E65">
        <v>1085</v>
      </c>
      <c r="F65">
        <f t="shared" si="0"/>
        <v>-185</v>
      </c>
      <c r="G65" s="8">
        <f t="shared" si="1"/>
        <v>5400</v>
      </c>
      <c r="H65" s="8">
        <f t="shared" si="2"/>
        <v>6510</v>
      </c>
      <c r="I65" s="8">
        <f t="shared" si="3"/>
        <v>-1110</v>
      </c>
      <c r="J65" t="s">
        <v>81</v>
      </c>
    </row>
    <row r="66" spans="1:10" x14ac:dyDescent="0.25">
      <c r="A66" s="5">
        <v>45882</v>
      </c>
      <c r="B66" t="s">
        <v>53</v>
      </c>
      <c r="C66">
        <v>70</v>
      </c>
      <c r="D66">
        <v>850</v>
      </c>
      <c r="E66">
        <v>840</v>
      </c>
      <c r="F66">
        <f t="shared" ref="F66:F129" si="4">D66-E66</f>
        <v>10</v>
      </c>
      <c r="G66" s="8">
        <f t="shared" ref="G66:G129" si="5">D66*C66</f>
        <v>59500</v>
      </c>
      <c r="H66" s="8">
        <f t="shared" ref="H66:H129" si="6">E66*C66</f>
        <v>58800</v>
      </c>
      <c r="I66" s="8">
        <f t="shared" ref="I66:I129" si="7">G66-H66</f>
        <v>700</v>
      </c>
      <c r="J66" t="s">
        <v>81</v>
      </c>
    </row>
    <row r="67" spans="1:10" x14ac:dyDescent="0.25">
      <c r="A67" s="5">
        <v>45897</v>
      </c>
      <c r="B67" t="s">
        <v>70</v>
      </c>
      <c r="C67">
        <v>55</v>
      </c>
      <c r="D67">
        <v>12</v>
      </c>
      <c r="E67">
        <v>7</v>
      </c>
      <c r="F67">
        <f t="shared" si="4"/>
        <v>5</v>
      </c>
      <c r="G67" s="8">
        <f t="shared" si="5"/>
        <v>660</v>
      </c>
      <c r="H67" s="8">
        <f t="shared" si="6"/>
        <v>385</v>
      </c>
      <c r="I67" s="8">
        <f t="shared" si="7"/>
        <v>275</v>
      </c>
      <c r="J67" t="s">
        <v>81</v>
      </c>
    </row>
    <row r="68" spans="1:10" x14ac:dyDescent="0.25">
      <c r="A68" s="5">
        <v>45898</v>
      </c>
      <c r="B68" t="s">
        <v>31</v>
      </c>
      <c r="C68">
        <v>1</v>
      </c>
      <c r="D68">
        <v>2430</v>
      </c>
      <c r="E68">
        <v>2300</v>
      </c>
      <c r="F68">
        <f t="shared" si="4"/>
        <v>130</v>
      </c>
      <c r="G68" s="8">
        <f t="shared" si="5"/>
        <v>2430</v>
      </c>
      <c r="H68" s="8">
        <f t="shared" si="6"/>
        <v>2300</v>
      </c>
      <c r="I68" s="8">
        <f t="shared" si="7"/>
        <v>130</v>
      </c>
      <c r="J68" t="s">
        <v>81</v>
      </c>
    </row>
    <row r="69" spans="1:10" x14ac:dyDescent="0.25">
      <c r="A69" s="5">
        <v>45873</v>
      </c>
      <c r="B69" t="s">
        <v>13</v>
      </c>
      <c r="C69">
        <v>1</v>
      </c>
      <c r="D69">
        <v>3000</v>
      </c>
      <c r="E69">
        <v>2580</v>
      </c>
      <c r="F69">
        <f t="shared" si="4"/>
        <v>420</v>
      </c>
      <c r="G69" s="8">
        <f t="shared" si="5"/>
        <v>3000</v>
      </c>
      <c r="H69" s="8">
        <f t="shared" si="6"/>
        <v>2580</v>
      </c>
      <c r="I69" s="8">
        <f t="shared" si="7"/>
        <v>420</v>
      </c>
      <c r="J69" t="s">
        <v>40</v>
      </c>
    </row>
    <row r="70" spans="1:10" x14ac:dyDescent="0.25">
      <c r="A70" s="5">
        <v>45873</v>
      </c>
      <c r="B70" t="s">
        <v>24</v>
      </c>
      <c r="C70">
        <v>1</v>
      </c>
      <c r="D70">
        <v>3341.77</v>
      </c>
      <c r="E70">
        <v>2700</v>
      </c>
      <c r="F70">
        <f t="shared" si="4"/>
        <v>641.77</v>
      </c>
      <c r="G70" s="8">
        <f t="shared" si="5"/>
        <v>3341.77</v>
      </c>
      <c r="H70" s="8">
        <f t="shared" si="6"/>
        <v>2700</v>
      </c>
      <c r="I70" s="8">
        <f t="shared" si="7"/>
        <v>641.77</v>
      </c>
      <c r="J70" t="s">
        <v>40</v>
      </c>
    </row>
    <row r="71" spans="1:10" x14ac:dyDescent="0.25">
      <c r="A71" s="5">
        <v>45873</v>
      </c>
      <c r="B71" t="s">
        <v>13</v>
      </c>
      <c r="C71">
        <v>2</v>
      </c>
      <c r="D71">
        <v>3000</v>
      </c>
      <c r="E71">
        <v>2580</v>
      </c>
      <c r="F71">
        <f t="shared" si="4"/>
        <v>420</v>
      </c>
      <c r="G71" s="8">
        <f t="shared" si="5"/>
        <v>6000</v>
      </c>
      <c r="H71" s="8">
        <f t="shared" si="6"/>
        <v>5160</v>
      </c>
      <c r="I71" s="8">
        <f t="shared" si="7"/>
        <v>840</v>
      </c>
      <c r="J71" t="s">
        <v>40</v>
      </c>
    </row>
    <row r="72" spans="1:10" x14ac:dyDescent="0.25">
      <c r="A72" s="5">
        <v>45873</v>
      </c>
      <c r="B72" t="s">
        <v>13</v>
      </c>
      <c r="C72">
        <v>1</v>
      </c>
      <c r="D72">
        <v>3000</v>
      </c>
      <c r="E72">
        <v>2580</v>
      </c>
      <c r="F72">
        <f t="shared" si="4"/>
        <v>420</v>
      </c>
      <c r="G72" s="8">
        <f t="shared" si="5"/>
        <v>3000</v>
      </c>
      <c r="H72" s="8">
        <f t="shared" si="6"/>
        <v>2580</v>
      </c>
      <c r="I72" s="8">
        <f t="shared" si="7"/>
        <v>420</v>
      </c>
      <c r="J72" t="s">
        <v>40</v>
      </c>
    </row>
    <row r="73" spans="1:10" x14ac:dyDescent="0.25">
      <c r="A73" s="5">
        <v>45873</v>
      </c>
      <c r="B73" t="s">
        <v>13</v>
      </c>
      <c r="C73">
        <v>1</v>
      </c>
      <c r="D73">
        <v>3000</v>
      </c>
      <c r="E73">
        <v>2580</v>
      </c>
      <c r="F73">
        <f t="shared" si="4"/>
        <v>420</v>
      </c>
      <c r="G73" s="8">
        <f t="shared" si="5"/>
        <v>3000</v>
      </c>
      <c r="H73" s="8">
        <f t="shared" si="6"/>
        <v>2580</v>
      </c>
      <c r="I73" s="8">
        <f t="shared" si="7"/>
        <v>420</v>
      </c>
      <c r="J73" t="s">
        <v>40</v>
      </c>
    </row>
    <row r="74" spans="1:10" x14ac:dyDescent="0.25">
      <c r="A74" s="5">
        <v>45873</v>
      </c>
      <c r="B74" t="s">
        <v>13</v>
      </c>
      <c r="C74">
        <v>2</v>
      </c>
      <c r="D74">
        <v>3000</v>
      </c>
      <c r="E74">
        <v>2580</v>
      </c>
      <c r="F74">
        <f t="shared" si="4"/>
        <v>420</v>
      </c>
      <c r="G74" s="8">
        <f t="shared" si="5"/>
        <v>6000</v>
      </c>
      <c r="H74" s="8">
        <f t="shared" si="6"/>
        <v>5160</v>
      </c>
      <c r="I74" s="8">
        <f t="shared" si="7"/>
        <v>840</v>
      </c>
      <c r="J74" t="s">
        <v>40</v>
      </c>
    </row>
    <row r="75" spans="1:10" x14ac:dyDescent="0.25">
      <c r="A75" s="5">
        <v>45874</v>
      </c>
      <c r="B75" t="s">
        <v>13</v>
      </c>
      <c r="C75">
        <v>1</v>
      </c>
      <c r="D75">
        <v>2944.09</v>
      </c>
      <c r="E75">
        <v>2580</v>
      </c>
      <c r="F75">
        <f t="shared" si="4"/>
        <v>364.09000000000015</v>
      </c>
      <c r="G75" s="8">
        <f t="shared" si="5"/>
        <v>2944.09</v>
      </c>
      <c r="H75" s="8">
        <f t="shared" si="6"/>
        <v>2580</v>
      </c>
      <c r="I75" s="8">
        <f t="shared" si="7"/>
        <v>364.09000000000015</v>
      </c>
      <c r="J75" t="s">
        <v>40</v>
      </c>
    </row>
    <row r="76" spans="1:10" x14ac:dyDescent="0.25">
      <c r="A76" s="5">
        <v>45876</v>
      </c>
      <c r="B76" t="s">
        <v>13</v>
      </c>
      <c r="C76">
        <v>1</v>
      </c>
      <c r="D76">
        <v>2968.94</v>
      </c>
      <c r="E76">
        <v>2580</v>
      </c>
      <c r="F76">
        <f t="shared" si="4"/>
        <v>388.94000000000005</v>
      </c>
      <c r="G76" s="8">
        <f t="shared" si="5"/>
        <v>2968.94</v>
      </c>
      <c r="H76" s="8">
        <f t="shared" si="6"/>
        <v>2580</v>
      </c>
      <c r="I76" s="8">
        <f t="shared" si="7"/>
        <v>388.94000000000005</v>
      </c>
      <c r="J76" t="s">
        <v>40</v>
      </c>
    </row>
    <row r="77" spans="1:10" x14ac:dyDescent="0.25">
      <c r="A77" s="5">
        <v>45880</v>
      </c>
      <c r="B77" t="s">
        <v>13</v>
      </c>
      <c r="C77">
        <v>1</v>
      </c>
      <c r="D77">
        <v>2956.52</v>
      </c>
      <c r="E77">
        <v>2580</v>
      </c>
      <c r="F77">
        <f t="shared" si="4"/>
        <v>376.52</v>
      </c>
      <c r="G77" s="8">
        <f t="shared" si="5"/>
        <v>2956.52</v>
      </c>
      <c r="H77" s="8">
        <f t="shared" si="6"/>
        <v>2580</v>
      </c>
      <c r="I77" s="8">
        <f t="shared" si="7"/>
        <v>376.52</v>
      </c>
      <c r="J77" t="s">
        <v>40</v>
      </c>
    </row>
    <row r="78" spans="1:10" x14ac:dyDescent="0.25">
      <c r="A78" s="5">
        <v>45881</v>
      </c>
      <c r="B78" t="s">
        <v>37</v>
      </c>
      <c r="C78">
        <v>1</v>
      </c>
      <c r="D78">
        <v>2136.64</v>
      </c>
      <c r="E78">
        <v>1680</v>
      </c>
      <c r="F78">
        <f t="shared" si="4"/>
        <v>456.63999999999987</v>
      </c>
      <c r="G78" s="8">
        <f t="shared" si="5"/>
        <v>2136.64</v>
      </c>
      <c r="H78" s="8">
        <f t="shared" si="6"/>
        <v>1680</v>
      </c>
      <c r="I78" s="8">
        <f t="shared" si="7"/>
        <v>456.63999999999987</v>
      </c>
      <c r="J78" t="s">
        <v>40</v>
      </c>
    </row>
    <row r="79" spans="1:10" x14ac:dyDescent="0.25">
      <c r="A79" s="5">
        <v>45881</v>
      </c>
      <c r="B79" t="s">
        <v>13</v>
      </c>
      <c r="C79">
        <v>1</v>
      </c>
      <c r="D79">
        <v>2956.52</v>
      </c>
      <c r="E79">
        <v>2580</v>
      </c>
      <c r="F79">
        <f t="shared" si="4"/>
        <v>376.52</v>
      </c>
      <c r="G79" s="8">
        <f t="shared" si="5"/>
        <v>2956.52</v>
      </c>
      <c r="H79" s="8">
        <f t="shared" si="6"/>
        <v>2580</v>
      </c>
      <c r="I79" s="8">
        <f t="shared" si="7"/>
        <v>376.52</v>
      </c>
      <c r="J79" t="s">
        <v>40</v>
      </c>
    </row>
    <row r="80" spans="1:10" x14ac:dyDescent="0.25">
      <c r="A80" s="5">
        <v>45882</v>
      </c>
      <c r="B80" t="s">
        <v>13</v>
      </c>
      <c r="C80">
        <v>1</v>
      </c>
      <c r="D80">
        <v>2708.07</v>
      </c>
      <c r="E80">
        <v>2400</v>
      </c>
      <c r="F80">
        <f t="shared" si="4"/>
        <v>308.07000000000016</v>
      </c>
      <c r="G80" s="8">
        <f t="shared" si="5"/>
        <v>2708.07</v>
      </c>
      <c r="H80" s="8">
        <f t="shared" si="6"/>
        <v>2400</v>
      </c>
      <c r="I80" s="8">
        <f t="shared" si="7"/>
        <v>308.07000000000016</v>
      </c>
      <c r="J80" t="s">
        <v>40</v>
      </c>
    </row>
    <row r="81" spans="1:10" x14ac:dyDescent="0.25">
      <c r="A81" s="5">
        <v>45882</v>
      </c>
      <c r="B81" t="s">
        <v>13</v>
      </c>
      <c r="C81">
        <v>1</v>
      </c>
      <c r="D81">
        <v>2962.73</v>
      </c>
      <c r="E81">
        <v>2580</v>
      </c>
      <c r="F81">
        <f t="shared" si="4"/>
        <v>382.73</v>
      </c>
      <c r="G81" s="8">
        <f t="shared" si="5"/>
        <v>2962.73</v>
      </c>
      <c r="H81" s="8">
        <f t="shared" si="6"/>
        <v>2580</v>
      </c>
      <c r="I81" s="8">
        <f t="shared" si="7"/>
        <v>382.73</v>
      </c>
      <c r="J81" t="s">
        <v>40</v>
      </c>
    </row>
    <row r="82" spans="1:10" x14ac:dyDescent="0.25">
      <c r="A82" s="5">
        <v>45887</v>
      </c>
      <c r="B82" t="s">
        <v>24</v>
      </c>
      <c r="C82">
        <v>1</v>
      </c>
      <c r="D82">
        <v>3267.08</v>
      </c>
      <c r="E82">
        <v>2700</v>
      </c>
      <c r="F82">
        <f t="shared" si="4"/>
        <v>567.07999999999993</v>
      </c>
      <c r="G82" s="8">
        <f t="shared" si="5"/>
        <v>3267.08</v>
      </c>
      <c r="H82" s="8">
        <f t="shared" si="6"/>
        <v>2700</v>
      </c>
      <c r="I82" s="8">
        <f t="shared" si="7"/>
        <v>567.07999999999993</v>
      </c>
      <c r="J82" t="s">
        <v>40</v>
      </c>
    </row>
    <row r="83" spans="1:10" x14ac:dyDescent="0.25">
      <c r="A83" s="5">
        <v>45887</v>
      </c>
      <c r="B83" t="s">
        <v>24</v>
      </c>
      <c r="C83">
        <v>1</v>
      </c>
      <c r="D83">
        <v>3279.5</v>
      </c>
      <c r="E83">
        <v>2700</v>
      </c>
      <c r="F83">
        <f t="shared" si="4"/>
        <v>579.5</v>
      </c>
      <c r="G83" s="8">
        <f t="shared" si="5"/>
        <v>3279.5</v>
      </c>
      <c r="H83" s="8">
        <f t="shared" si="6"/>
        <v>2700</v>
      </c>
      <c r="I83" s="8">
        <f t="shared" si="7"/>
        <v>579.5</v>
      </c>
      <c r="J83" t="s">
        <v>40</v>
      </c>
    </row>
    <row r="84" spans="1:10" x14ac:dyDescent="0.25">
      <c r="A84" s="5">
        <v>45887</v>
      </c>
      <c r="B84" t="s">
        <v>13</v>
      </c>
      <c r="C84">
        <v>1</v>
      </c>
      <c r="D84">
        <v>2906.83</v>
      </c>
      <c r="E84">
        <v>2580</v>
      </c>
      <c r="F84">
        <f t="shared" si="4"/>
        <v>326.82999999999993</v>
      </c>
      <c r="G84" s="8">
        <f t="shared" si="5"/>
        <v>2906.83</v>
      </c>
      <c r="H84" s="8">
        <f t="shared" si="6"/>
        <v>2580</v>
      </c>
      <c r="I84" s="8">
        <f t="shared" si="7"/>
        <v>326.82999999999993</v>
      </c>
      <c r="J84" t="s">
        <v>40</v>
      </c>
    </row>
    <row r="85" spans="1:10" x14ac:dyDescent="0.25">
      <c r="A85" s="5">
        <v>45892</v>
      </c>
      <c r="B85" t="s">
        <v>24</v>
      </c>
      <c r="C85">
        <v>1</v>
      </c>
      <c r="D85">
        <v>3167.7</v>
      </c>
      <c r="E85">
        <v>2700</v>
      </c>
      <c r="F85">
        <f t="shared" si="4"/>
        <v>467.69999999999982</v>
      </c>
      <c r="G85" s="8">
        <f t="shared" si="5"/>
        <v>3167.7</v>
      </c>
      <c r="H85" s="8">
        <f t="shared" si="6"/>
        <v>2700</v>
      </c>
      <c r="I85" s="8">
        <f t="shared" si="7"/>
        <v>467.69999999999982</v>
      </c>
      <c r="J85" t="s">
        <v>40</v>
      </c>
    </row>
    <row r="86" spans="1:10" x14ac:dyDescent="0.25">
      <c r="A86" s="5">
        <v>45892</v>
      </c>
      <c r="B86" t="s">
        <v>13</v>
      </c>
      <c r="C86">
        <v>5</v>
      </c>
      <c r="D86">
        <v>2950.31</v>
      </c>
      <c r="E86">
        <v>2580</v>
      </c>
      <c r="F86">
        <f t="shared" si="4"/>
        <v>370.30999999999995</v>
      </c>
      <c r="G86" s="8">
        <f t="shared" si="5"/>
        <v>14751.55</v>
      </c>
      <c r="H86" s="8">
        <f t="shared" si="6"/>
        <v>12900</v>
      </c>
      <c r="I86" s="8">
        <f t="shared" si="7"/>
        <v>1851.5499999999993</v>
      </c>
      <c r="J86" t="s">
        <v>40</v>
      </c>
    </row>
    <row r="87" spans="1:10" x14ac:dyDescent="0.25">
      <c r="A87" s="5">
        <v>45895</v>
      </c>
      <c r="B87" t="s">
        <v>13</v>
      </c>
      <c r="C87">
        <v>1</v>
      </c>
      <c r="D87">
        <v>2633.54</v>
      </c>
      <c r="E87">
        <v>2400</v>
      </c>
      <c r="F87">
        <f t="shared" si="4"/>
        <v>233.53999999999996</v>
      </c>
      <c r="G87" s="8">
        <f t="shared" si="5"/>
        <v>2633.54</v>
      </c>
      <c r="H87" s="8">
        <f t="shared" si="6"/>
        <v>2400</v>
      </c>
      <c r="I87" s="8">
        <f t="shared" si="7"/>
        <v>233.53999999999996</v>
      </c>
      <c r="J87" t="s">
        <v>40</v>
      </c>
    </row>
    <row r="88" spans="1:10" x14ac:dyDescent="0.25">
      <c r="A88" s="5">
        <v>45895</v>
      </c>
      <c r="B88" t="s">
        <v>26</v>
      </c>
      <c r="C88">
        <v>1</v>
      </c>
      <c r="D88">
        <v>2360.2399999999998</v>
      </c>
      <c r="E88">
        <v>2347.8200000000002</v>
      </c>
      <c r="F88">
        <f t="shared" si="4"/>
        <v>12.419999999999618</v>
      </c>
      <c r="G88" s="8">
        <f t="shared" si="5"/>
        <v>2360.2399999999998</v>
      </c>
      <c r="H88" s="8">
        <f t="shared" si="6"/>
        <v>2347.8200000000002</v>
      </c>
      <c r="I88" s="8">
        <f t="shared" si="7"/>
        <v>12.419999999999618</v>
      </c>
      <c r="J88" t="s">
        <v>40</v>
      </c>
    </row>
    <row r="89" spans="1:10" x14ac:dyDescent="0.25">
      <c r="A89" s="5">
        <v>45899</v>
      </c>
      <c r="B89" t="s">
        <v>13</v>
      </c>
      <c r="C89">
        <v>1</v>
      </c>
      <c r="D89">
        <v>2930.81</v>
      </c>
      <c r="E89">
        <v>2580</v>
      </c>
      <c r="F89">
        <f t="shared" si="4"/>
        <v>350.80999999999995</v>
      </c>
      <c r="G89" s="8">
        <f t="shared" si="5"/>
        <v>2930.81</v>
      </c>
      <c r="H89" s="8">
        <f t="shared" si="6"/>
        <v>2580</v>
      </c>
      <c r="I89" s="8">
        <f t="shared" si="7"/>
        <v>350.80999999999995</v>
      </c>
      <c r="J89" t="s">
        <v>40</v>
      </c>
    </row>
    <row r="90" spans="1:10" x14ac:dyDescent="0.25">
      <c r="A90" s="5">
        <v>45899</v>
      </c>
      <c r="B90" t="s">
        <v>24</v>
      </c>
      <c r="C90">
        <v>1</v>
      </c>
      <c r="D90">
        <v>3044.02</v>
      </c>
      <c r="E90">
        <v>2600</v>
      </c>
      <c r="F90">
        <f t="shared" si="4"/>
        <v>444.02</v>
      </c>
      <c r="G90" s="8">
        <f t="shared" si="5"/>
        <v>3044.02</v>
      </c>
      <c r="H90" s="8">
        <f t="shared" si="6"/>
        <v>2600</v>
      </c>
      <c r="I90" s="8">
        <f t="shared" si="7"/>
        <v>444.02</v>
      </c>
      <c r="J90" t="s">
        <v>40</v>
      </c>
    </row>
    <row r="91" spans="1:10" x14ac:dyDescent="0.25">
      <c r="A91" s="5">
        <v>45870</v>
      </c>
      <c r="B91" t="s">
        <v>10</v>
      </c>
      <c r="C91">
        <v>1</v>
      </c>
      <c r="D91">
        <v>3975</v>
      </c>
      <c r="E91">
        <v>2487.9299999999998</v>
      </c>
      <c r="F91">
        <f t="shared" si="4"/>
        <v>1487.0700000000002</v>
      </c>
      <c r="G91" s="8">
        <f t="shared" si="5"/>
        <v>3975</v>
      </c>
      <c r="H91" s="8">
        <f t="shared" si="6"/>
        <v>2487.9299999999998</v>
      </c>
      <c r="I91" s="8">
        <f t="shared" si="7"/>
        <v>1487.0700000000002</v>
      </c>
      <c r="J91" t="s">
        <v>80</v>
      </c>
    </row>
    <row r="92" spans="1:10" x14ac:dyDescent="0.25">
      <c r="A92" s="5">
        <v>45870</v>
      </c>
      <c r="B92" t="s">
        <v>11</v>
      </c>
      <c r="C92">
        <v>3</v>
      </c>
      <c r="D92">
        <v>525</v>
      </c>
      <c r="E92">
        <v>440</v>
      </c>
      <c r="F92">
        <f t="shared" si="4"/>
        <v>85</v>
      </c>
      <c r="G92" s="8">
        <f t="shared" si="5"/>
        <v>1575</v>
      </c>
      <c r="H92" s="8">
        <f t="shared" si="6"/>
        <v>1320</v>
      </c>
      <c r="I92" s="8">
        <f t="shared" si="7"/>
        <v>255</v>
      </c>
      <c r="J92" t="s">
        <v>80</v>
      </c>
    </row>
    <row r="93" spans="1:10" x14ac:dyDescent="0.25">
      <c r="A93" s="5">
        <v>45871</v>
      </c>
      <c r="B93" t="s">
        <v>14</v>
      </c>
      <c r="C93">
        <v>3</v>
      </c>
      <c r="D93">
        <v>2475</v>
      </c>
      <c r="E93">
        <v>1404</v>
      </c>
      <c r="F93">
        <f t="shared" si="4"/>
        <v>1071</v>
      </c>
      <c r="G93" s="8">
        <f t="shared" si="5"/>
        <v>7425</v>
      </c>
      <c r="H93" s="8">
        <f t="shared" si="6"/>
        <v>4212</v>
      </c>
      <c r="I93" s="8">
        <f t="shared" si="7"/>
        <v>3213</v>
      </c>
      <c r="J93" t="s">
        <v>80</v>
      </c>
    </row>
    <row r="94" spans="1:10" x14ac:dyDescent="0.25">
      <c r="A94" s="5">
        <v>45884</v>
      </c>
      <c r="B94" t="s">
        <v>46</v>
      </c>
      <c r="C94">
        <v>100</v>
      </c>
      <c r="D94">
        <v>900</v>
      </c>
      <c r="E94">
        <v>579.87</v>
      </c>
      <c r="F94">
        <f t="shared" si="4"/>
        <v>320.13</v>
      </c>
      <c r="G94" s="8">
        <f t="shared" si="5"/>
        <v>90000</v>
      </c>
      <c r="H94" s="8">
        <f t="shared" si="6"/>
        <v>57987</v>
      </c>
      <c r="I94" s="8">
        <f t="shared" si="7"/>
        <v>32013</v>
      </c>
      <c r="J94" t="s">
        <v>80</v>
      </c>
    </row>
    <row r="95" spans="1:10" x14ac:dyDescent="0.25">
      <c r="A95" s="5">
        <v>45884</v>
      </c>
      <c r="B95" t="s">
        <v>46</v>
      </c>
      <c r="C95">
        <v>4</v>
      </c>
      <c r="D95">
        <v>890</v>
      </c>
      <c r="E95">
        <v>579.87</v>
      </c>
      <c r="F95">
        <f t="shared" si="4"/>
        <v>310.13</v>
      </c>
      <c r="G95" s="8">
        <f t="shared" si="5"/>
        <v>3560</v>
      </c>
      <c r="H95" s="8">
        <f t="shared" si="6"/>
        <v>2319.48</v>
      </c>
      <c r="I95" s="8">
        <f t="shared" si="7"/>
        <v>1240.52</v>
      </c>
      <c r="J95" t="s">
        <v>80</v>
      </c>
    </row>
    <row r="96" spans="1:10" x14ac:dyDescent="0.25">
      <c r="A96" s="5">
        <v>45884</v>
      </c>
      <c r="B96" t="s">
        <v>46</v>
      </c>
      <c r="C96">
        <v>2</v>
      </c>
      <c r="D96">
        <v>880</v>
      </c>
      <c r="E96">
        <v>579.87</v>
      </c>
      <c r="F96">
        <f t="shared" si="4"/>
        <v>300.13</v>
      </c>
      <c r="G96" s="8">
        <f t="shared" si="5"/>
        <v>1760</v>
      </c>
      <c r="H96" s="8">
        <f t="shared" si="6"/>
        <v>1159.74</v>
      </c>
      <c r="I96" s="8">
        <f t="shared" si="7"/>
        <v>600.26</v>
      </c>
      <c r="J96" t="s">
        <v>80</v>
      </c>
    </row>
    <row r="97" spans="1:10" x14ac:dyDescent="0.25">
      <c r="A97" s="5">
        <v>45884</v>
      </c>
      <c r="B97" t="s">
        <v>58</v>
      </c>
      <c r="C97">
        <v>4</v>
      </c>
      <c r="D97">
        <v>4450</v>
      </c>
      <c r="E97">
        <v>2809</v>
      </c>
      <c r="F97">
        <f t="shared" si="4"/>
        <v>1641</v>
      </c>
      <c r="G97" s="8">
        <f t="shared" si="5"/>
        <v>17800</v>
      </c>
      <c r="H97" s="8">
        <f t="shared" si="6"/>
        <v>11236</v>
      </c>
      <c r="I97" s="8">
        <f t="shared" si="7"/>
        <v>6564</v>
      </c>
      <c r="J97" t="s">
        <v>80</v>
      </c>
    </row>
    <row r="98" spans="1:10" x14ac:dyDescent="0.25">
      <c r="A98" s="5">
        <v>45885</v>
      </c>
      <c r="B98" t="s">
        <v>58</v>
      </c>
      <c r="C98">
        <v>2</v>
      </c>
      <c r="D98">
        <v>4450</v>
      </c>
      <c r="E98">
        <v>2809</v>
      </c>
      <c r="F98">
        <f t="shared" si="4"/>
        <v>1641</v>
      </c>
      <c r="G98" s="8">
        <f t="shared" si="5"/>
        <v>8900</v>
      </c>
      <c r="H98" s="8">
        <f t="shared" si="6"/>
        <v>5618</v>
      </c>
      <c r="I98" s="8">
        <f t="shared" si="7"/>
        <v>3282</v>
      </c>
      <c r="J98" t="s">
        <v>80</v>
      </c>
    </row>
    <row r="99" spans="1:10" x14ac:dyDescent="0.25">
      <c r="A99" s="5">
        <v>45885</v>
      </c>
      <c r="B99" t="s">
        <v>58</v>
      </c>
      <c r="C99">
        <v>3</v>
      </c>
      <c r="D99">
        <v>4450</v>
      </c>
      <c r="E99">
        <v>2809</v>
      </c>
      <c r="F99">
        <f t="shared" si="4"/>
        <v>1641</v>
      </c>
      <c r="G99" s="8">
        <f t="shared" si="5"/>
        <v>13350</v>
      </c>
      <c r="H99" s="8">
        <f t="shared" si="6"/>
        <v>8427</v>
      </c>
      <c r="I99" s="8">
        <f t="shared" si="7"/>
        <v>4923</v>
      </c>
      <c r="J99" t="s">
        <v>80</v>
      </c>
    </row>
    <row r="100" spans="1:10" x14ac:dyDescent="0.25">
      <c r="A100" s="5">
        <v>45887</v>
      </c>
      <c r="B100" t="s">
        <v>58</v>
      </c>
      <c r="C100">
        <v>1</v>
      </c>
      <c r="D100">
        <v>4475</v>
      </c>
      <c r="E100">
        <v>2809</v>
      </c>
      <c r="F100">
        <f t="shared" si="4"/>
        <v>1666</v>
      </c>
      <c r="G100" s="8">
        <f t="shared" si="5"/>
        <v>4475</v>
      </c>
      <c r="H100" s="8">
        <f t="shared" si="6"/>
        <v>2809</v>
      </c>
      <c r="I100" s="8">
        <f t="shared" si="7"/>
        <v>1666</v>
      </c>
      <c r="J100" t="s">
        <v>80</v>
      </c>
    </row>
    <row r="101" spans="1:10" x14ac:dyDescent="0.25">
      <c r="A101" s="5">
        <v>45887</v>
      </c>
      <c r="B101" t="s">
        <v>58</v>
      </c>
      <c r="C101">
        <v>2</v>
      </c>
      <c r="D101">
        <v>4450</v>
      </c>
      <c r="E101">
        <v>2809</v>
      </c>
      <c r="F101">
        <f t="shared" si="4"/>
        <v>1641</v>
      </c>
      <c r="G101" s="8">
        <f t="shared" si="5"/>
        <v>8900</v>
      </c>
      <c r="H101" s="8">
        <f t="shared" si="6"/>
        <v>5618</v>
      </c>
      <c r="I101" s="8">
        <f t="shared" si="7"/>
        <v>3282</v>
      </c>
      <c r="J101" t="s">
        <v>80</v>
      </c>
    </row>
    <row r="102" spans="1:10" x14ac:dyDescent="0.25">
      <c r="A102" s="5">
        <v>45888</v>
      </c>
      <c r="B102" t="s">
        <v>46</v>
      </c>
      <c r="C102">
        <v>5</v>
      </c>
      <c r="D102">
        <v>830</v>
      </c>
      <c r="E102">
        <v>579.87</v>
      </c>
      <c r="F102">
        <f t="shared" si="4"/>
        <v>250.13</v>
      </c>
      <c r="G102" s="8">
        <f t="shared" si="5"/>
        <v>4150</v>
      </c>
      <c r="H102" s="8">
        <f t="shared" si="6"/>
        <v>2899.35</v>
      </c>
      <c r="I102" s="8">
        <f t="shared" si="7"/>
        <v>1250.6500000000001</v>
      </c>
      <c r="J102" t="s">
        <v>80</v>
      </c>
    </row>
    <row r="103" spans="1:10" x14ac:dyDescent="0.25">
      <c r="A103" s="5">
        <v>45888</v>
      </c>
      <c r="B103" t="s">
        <v>61</v>
      </c>
      <c r="C103">
        <v>6</v>
      </c>
      <c r="D103">
        <v>1280</v>
      </c>
      <c r="E103">
        <v>1637.5</v>
      </c>
      <c r="F103">
        <f t="shared" si="4"/>
        <v>-357.5</v>
      </c>
      <c r="G103" s="8">
        <f t="shared" si="5"/>
        <v>7680</v>
      </c>
      <c r="H103" s="8">
        <f t="shared" si="6"/>
        <v>9825</v>
      </c>
      <c r="I103" s="8">
        <f t="shared" si="7"/>
        <v>-2145</v>
      </c>
      <c r="J103" t="s">
        <v>80</v>
      </c>
    </row>
    <row r="104" spans="1:10" x14ac:dyDescent="0.25">
      <c r="A104" s="5">
        <v>45888</v>
      </c>
      <c r="B104" t="s">
        <v>62</v>
      </c>
      <c r="C104">
        <v>2</v>
      </c>
      <c r="D104">
        <v>1280</v>
      </c>
      <c r="E104">
        <v>1652.21</v>
      </c>
      <c r="F104">
        <f t="shared" si="4"/>
        <v>-372.21000000000004</v>
      </c>
      <c r="G104" s="8">
        <f t="shared" si="5"/>
        <v>2560</v>
      </c>
      <c r="H104" s="8">
        <f t="shared" si="6"/>
        <v>3304.42</v>
      </c>
      <c r="I104" s="8">
        <f t="shared" si="7"/>
        <v>-744.42000000000007</v>
      </c>
      <c r="J104" t="s">
        <v>80</v>
      </c>
    </row>
    <row r="105" spans="1:10" x14ac:dyDescent="0.25">
      <c r="A105" s="5">
        <v>45895</v>
      </c>
      <c r="B105" t="s">
        <v>46</v>
      </c>
      <c r="C105">
        <v>57</v>
      </c>
      <c r="D105">
        <v>810</v>
      </c>
      <c r="E105">
        <v>612.47</v>
      </c>
      <c r="F105">
        <f t="shared" si="4"/>
        <v>197.52999999999997</v>
      </c>
      <c r="G105" s="8">
        <f t="shared" si="5"/>
        <v>46170</v>
      </c>
      <c r="H105" s="8">
        <f t="shared" si="6"/>
        <v>34910.79</v>
      </c>
      <c r="I105" s="8">
        <f t="shared" si="7"/>
        <v>11259.21</v>
      </c>
      <c r="J105" t="s">
        <v>80</v>
      </c>
    </row>
    <row r="106" spans="1:10" x14ac:dyDescent="0.25">
      <c r="A106" s="5">
        <v>45870</v>
      </c>
      <c r="B106" t="s">
        <v>37</v>
      </c>
      <c r="C106">
        <v>8</v>
      </c>
      <c r="D106">
        <v>1845</v>
      </c>
      <c r="E106">
        <v>1800</v>
      </c>
      <c r="F106">
        <f t="shared" si="4"/>
        <v>45</v>
      </c>
      <c r="G106" s="8">
        <f t="shared" si="5"/>
        <v>14760</v>
      </c>
      <c r="H106" s="8">
        <f t="shared" si="6"/>
        <v>14400</v>
      </c>
      <c r="I106" s="8">
        <f t="shared" si="7"/>
        <v>360</v>
      </c>
      <c r="J106" t="s">
        <v>79</v>
      </c>
    </row>
    <row r="107" spans="1:10" x14ac:dyDescent="0.25">
      <c r="A107" s="5">
        <v>45871</v>
      </c>
      <c r="B107" t="s">
        <v>13</v>
      </c>
      <c r="C107">
        <v>1</v>
      </c>
      <c r="D107">
        <v>2740</v>
      </c>
      <c r="E107">
        <v>2580</v>
      </c>
      <c r="F107">
        <f t="shared" si="4"/>
        <v>160</v>
      </c>
      <c r="G107" s="8">
        <f t="shared" si="5"/>
        <v>2740</v>
      </c>
      <c r="H107" s="8">
        <f t="shared" si="6"/>
        <v>2580</v>
      </c>
      <c r="I107" s="8">
        <f t="shared" si="7"/>
        <v>160</v>
      </c>
      <c r="J107" t="s">
        <v>79</v>
      </c>
    </row>
    <row r="108" spans="1:10" x14ac:dyDescent="0.25">
      <c r="A108" s="5">
        <v>45871</v>
      </c>
      <c r="B108" t="s">
        <v>16</v>
      </c>
      <c r="C108">
        <v>8</v>
      </c>
      <c r="D108">
        <v>3935</v>
      </c>
      <c r="E108">
        <v>3600</v>
      </c>
      <c r="F108">
        <f t="shared" si="4"/>
        <v>335</v>
      </c>
      <c r="G108" s="8">
        <f t="shared" si="5"/>
        <v>31480</v>
      </c>
      <c r="H108" s="8">
        <f t="shared" si="6"/>
        <v>28800</v>
      </c>
      <c r="I108" s="8">
        <f t="shared" si="7"/>
        <v>2680</v>
      </c>
      <c r="J108" t="s">
        <v>79</v>
      </c>
    </row>
    <row r="109" spans="1:10" x14ac:dyDescent="0.25">
      <c r="A109" s="5">
        <v>45871</v>
      </c>
      <c r="B109" t="s">
        <v>17</v>
      </c>
      <c r="C109">
        <v>7</v>
      </c>
      <c r="D109">
        <v>4890</v>
      </c>
      <c r="E109">
        <v>3700</v>
      </c>
      <c r="F109">
        <f t="shared" si="4"/>
        <v>1190</v>
      </c>
      <c r="G109" s="8">
        <f t="shared" si="5"/>
        <v>34230</v>
      </c>
      <c r="H109" s="8">
        <f t="shared" si="6"/>
        <v>25900</v>
      </c>
      <c r="I109" s="8">
        <f t="shared" si="7"/>
        <v>8330</v>
      </c>
      <c r="J109" t="s">
        <v>79</v>
      </c>
    </row>
    <row r="110" spans="1:10" x14ac:dyDescent="0.25">
      <c r="A110" s="5">
        <v>45871</v>
      </c>
      <c r="B110" t="s">
        <v>19</v>
      </c>
      <c r="C110">
        <v>1</v>
      </c>
      <c r="D110">
        <v>6000</v>
      </c>
      <c r="E110">
        <v>4100</v>
      </c>
      <c r="F110">
        <f t="shared" si="4"/>
        <v>1900</v>
      </c>
      <c r="G110" s="8">
        <f t="shared" si="5"/>
        <v>6000</v>
      </c>
      <c r="H110" s="8">
        <f t="shared" si="6"/>
        <v>4100</v>
      </c>
      <c r="I110" s="8">
        <f t="shared" si="7"/>
        <v>1900</v>
      </c>
      <c r="J110" t="s">
        <v>79</v>
      </c>
    </row>
    <row r="111" spans="1:10" x14ac:dyDescent="0.25">
      <c r="A111" s="5">
        <v>45871</v>
      </c>
      <c r="B111" t="s">
        <v>18</v>
      </c>
      <c r="C111">
        <v>2</v>
      </c>
      <c r="D111">
        <v>2450</v>
      </c>
      <c r="E111">
        <v>2410</v>
      </c>
      <c r="F111">
        <f t="shared" si="4"/>
        <v>40</v>
      </c>
      <c r="G111" s="8">
        <f t="shared" si="5"/>
        <v>4900</v>
      </c>
      <c r="H111" s="8">
        <f t="shared" si="6"/>
        <v>4820</v>
      </c>
      <c r="I111" s="8">
        <f t="shared" si="7"/>
        <v>80</v>
      </c>
      <c r="J111" t="s">
        <v>79</v>
      </c>
    </row>
    <row r="112" spans="1:10" x14ac:dyDescent="0.25">
      <c r="A112" s="5">
        <v>45871</v>
      </c>
      <c r="B112" t="s">
        <v>20</v>
      </c>
      <c r="C112">
        <v>2</v>
      </c>
      <c r="D112">
        <v>1390</v>
      </c>
      <c r="E112">
        <v>1220</v>
      </c>
      <c r="F112">
        <f t="shared" si="4"/>
        <v>170</v>
      </c>
      <c r="G112" s="8">
        <f t="shared" si="5"/>
        <v>2780</v>
      </c>
      <c r="H112" s="8">
        <f t="shared" si="6"/>
        <v>2440</v>
      </c>
      <c r="I112" s="8">
        <f t="shared" si="7"/>
        <v>340</v>
      </c>
      <c r="J112" t="s">
        <v>79</v>
      </c>
    </row>
    <row r="113" spans="1:10" x14ac:dyDescent="0.25">
      <c r="A113" s="5">
        <v>45871</v>
      </c>
      <c r="B113" t="s">
        <v>21</v>
      </c>
      <c r="C113">
        <v>1</v>
      </c>
      <c r="D113">
        <v>1190</v>
      </c>
      <c r="E113">
        <v>1220</v>
      </c>
      <c r="F113">
        <f t="shared" si="4"/>
        <v>-30</v>
      </c>
      <c r="G113" s="8">
        <f t="shared" si="5"/>
        <v>1190</v>
      </c>
      <c r="H113" s="8">
        <f t="shared" si="6"/>
        <v>1220</v>
      </c>
      <c r="I113" s="8">
        <f t="shared" si="7"/>
        <v>-30</v>
      </c>
      <c r="J113" t="s">
        <v>79</v>
      </c>
    </row>
    <row r="114" spans="1:10" x14ac:dyDescent="0.25">
      <c r="A114" s="5">
        <v>45871</v>
      </c>
      <c r="B114" t="s">
        <v>13</v>
      </c>
      <c r="C114">
        <v>9</v>
      </c>
      <c r="D114">
        <v>2715</v>
      </c>
      <c r="E114">
        <v>2580</v>
      </c>
      <c r="F114">
        <f t="shared" si="4"/>
        <v>135</v>
      </c>
      <c r="G114" s="8">
        <f t="shared" si="5"/>
        <v>24435</v>
      </c>
      <c r="H114" s="8">
        <f t="shared" si="6"/>
        <v>23220</v>
      </c>
      <c r="I114" s="8">
        <f t="shared" si="7"/>
        <v>1215</v>
      </c>
      <c r="J114" t="s">
        <v>79</v>
      </c>
    </row>
    <row r="115" spans="1:10" x14ac:dyDescent="0.25">
      <c r="A115" s="5">
        <v>45871</v>
      </c>
      <c r="B115" t="s">
        <v>13</v>
      </c>
      <c r="C115">
        <v>6</v>
      </c>
      <c r="D115">
        <v>2450</v>
      </c>
      <c r="E115">
        <v>2400</v>
      </c>
      <c r="F115">
        <f t="shared" si="4"/>
        <v>50</v>
      </c>
      <c r="G115" s="8">
        <f t="shared" si="5"/>
        <v>14700</v>
      </c>
      <c r="H115" s="8">
        <f t="shared" si="6"/>
        <v>14400</v>
      </c>
      <c r="I115" s="8">
        <f t="shared" si="7"/>
        <v>300</v>
      </c>
      <c r="J115" t="s">
        <v>79</v>
      </c>
    </row>
    <row r="116" spans="1:10" x14ac:dyDescent="0.25">
      <c r="A116" s="5">
        <v>45871</v>
      </c>
      <c r="B116" t="s">
        <v>13</v>
      </c>
      <c r="C116">
        <v>4</v>
      </c>
      <c r="D116">
        <v>2550</v>
      </c>
      <c r="E116">
        <v>2500</v>
      </c>
      <c r="F116">
        <f t="shared" si="4"/>
        <v>50</v>
      </c>
      <c r="G116" s="8">
        <f t="shared" si="5"/>
        <v>10200</v>
      </c>
      <c r="H116" s="8">
        <f t="shared" si="6"/>
        <v>10000</v>
      </c>
      <c r="I116" s="8">
        <f t="shared" si="7"/>
        <v>200</v>
      </c>
      <c r="J116" t="s">
        <v>79</v>
      </c>
    </row>
    <row r="117" spans="1:10" x14ac:dyDescent="0.25">
      <c r="A117" s="5">
        <v>45871</v>
      </c>
      <c r="B117" t="s">
        <v>24</v>
      </c>
      <c r="C117">
        <v>1</v>
      </c>
      <c r="D117">
        <v>2950</v>
      </c>
      <c r="E117">
        <v>2700</v>
      </c>
      <c r="F117">
        <f t="shared" si="4"/>
        <v>250</v>
      </c>
      <c r="G117" s="8">
        <f t="shared" si="5"/>
        <v>2950</v>
      </c>
      <c r="H117" s="8">
        <f t="shared" si="6"/>
        <v>2700</v>
      </c>
      <c r="I117" s="8">
        <f t="shared" si="7"/>
        <v>250</v>
      </c>
      <c r="J117" t="s">
        <v>79</v>
      </c>
    </row>
    <row r="118" spans="1:10" x14ac:dyDescent="0.25">
      <c r="A118" s="5">
        <v>45871</v>
      </c>
      <c r="B118" t="s">
        <v>24</v>
      </c>
      <c r="C118">
        <v>1</v>
      </c>
      <c r="D118">
        <v>2780</v>
      </c>
      <c r="E118">
        <v>2600</v>
      </c>
      <c r="F118">
        <f t="shared" si="4"/>
        <v>180</v>
      </c>
      <c r="G118" s="8">
        <f t="shared" si="5"/>
        <v>2780</v>
      </c>
      <c r="H118" s="8">
        <f t="shared" si="6"/>
        <v>2600</v>
      </c>
      <c r="I118" s="8">
        <f t="shared" si="7"/>
        <v>180</v>
      </c>
      <c r="J118" t="s">
        <v>79</v>
      </c>
    </row>
    <row r="119" spans="1:10" x14ac:dyDescent="0.25">
      <c r="A119" s="5">
        <v>45871</v>
      </c>
      <c r="B119" t="s">
        <v>25</v>
      </c>
      <c r="C119">
        <v>1</v>
      </c>
      <c r="D119">
        <v>3200</v>
      </c>
      <c r="E119">
        <v>2750</v>
      </c>
      <c r="F119">
        <f t="shared" si="4"/>
        <v>450</v>
      </c>
      <c r="G119" s="8">
        <f t="shared" si="5"/>
        <v>3200</v>
      </c>
      <c r="H119" s="8">
        <f t="shared" si="6"/>
        <v>2750</v>
      </c>
      <c r="I119" s="8">
        <f t="shared" si="7"/>
        <v>450</v>
      </c>
      <c r="J119" t="s">
        <v>79</v>
      </c>
    </row>
    <row r="120" spans="1:10" x14ac:dyDescent="0.25">
      <c r="A120" s="5">
        <v>45871</v>
      </c>
      <c r="B120" t="s">
        <v>26</v>
      </c>
      <c r="C120">
        <v>3</v>
      </c>
      <c r="D120">
        <v>2020</v>
      </c>
      <c r="E120">
        <v>1950</v>
      </c>
      <c r="F120">
        <f t="shared" si="4"/>
        <v>70</v>
      </c>
      <c r="G120" s="8">
        <f t="shared" si="5"/>
        <v>6060</v>
      </c>
      <c r="H120" s="8">
        <f t="shared" si="6"/>
        <v>5850</v>
      </c>
      <c r="I120" s="8">
        <f t="shared" si="7"/>
        <v>210</v>
      </c>
      <c r="J120" t="s">
        <v>79</v>
      </c>
    </row>
    <row r="121" spans="1:10" x14ac:dyDescent="0.25">
      <c r="A121" s="5">
        <v>45871</v>
      </c>
      <c r="B121" t="s">
        <v>26</v>
      </c>
      <c r="C121">
        <v>1</v>
      </c>
      <c r="D121">
        <v>2050</v>
      </c>
      <c r="E121">
        <v>1950</v>
      </c>
      <c r="F121">
        <f t="shared" si="4"/>
        <v>100</v>
      </c>
      <c r="G121" s="8">
        <f t="shared" si="5"/>
        <v>2050</v>
      </c>
      <c r="H121" s="8">
        <f t="shared" si="6"/>
        <v>1950</v>
      </c>
      <c r="I121" s="8">
        <f t="shared" si="7"/>
        <v>100</v>
      </c>
      <c r="J121" t="s">
        <v>79</v>
      </c>
    </row>
    <row r="122" spans="1:10" x14ac:dyDescent="0.25">
      <c r="A122" s="5">
        <v>45871</v>
      </c>
      <c r="B122" t="s">
        <v>27</v>
      </c>
      <c r="C122">
        <v>1</v>
      </c>
      <c r="D122">
        <v>2280</v>
      </c>
      <c r="E122">
        <v>2100</v>
      </c>
      <c r="F122">
        <f t="shared" si="4"/>
        <v>180</v>
      </c>
      <c r="G122" s="8">
        <f t="shared" si="5"/>
        <v>2280</v>
      </c>
      <c r="H122" s="8">
        <f t="shared" si="6"/>
        <v>2100</v>
      </c>
      <c r="I122" s="8">
        <f t="shared" si="7"/>
        <v>180</v>
      </c>
      <c r="J122" t="s">
        <v>79</v>
      </c>
    </row>
    <row r="123" spans="1:10" x14ac:dyDescent="0.25">
      <c r="A123" s="5">
        <v>45871</v>
      </c>
      <c r="B123" t="s">
        <v>27</v>
      </c>
      <c r="C123">
        <v>1</v>
      </c>
      <c r="D123">
        <v>2320</v>
      </c>
      <c r="E123">
        <v>2150</v>
      </c>
      <c r="F123">
        <f t="shared" si="4"/>
        <v>170</v>
      </c>
      <c r="G123" s="8">
        <f t="shared" si="5"/>
        <v>2320</v>
      </c>
      <c r="H123" s="8">
        <f t="shared" si="6"/>
        <v>2150</v>
      </c>
      <c r="I123" s="8">
        <f t="shared" si="7"/>
        <v>170</v>
      </c>
      <c r="J123" t="s">
        <v>79</v>
      </c>
    </row>
    <row r="124" spans="1:10" x14ac:dyDescent="0.25">
      <c r="A124" s="5">
        <v>45871</v>
      </c>
      <c r="B124" t="s">
        <v>28</v>
      </c>
      <c r="C124">
        <v>7</v>
      </c>
      <c r="D124">
        <v>1740</v>
      </c>
      <c r="E124">
        <v>1650</v>
      </c>
      <c r="F124">
        <f t="shared" si="4"/>
        <v>90</v>
      </c>
      <c r="G124" s="8">
        <f t="shared" si="5"/>
        <v>12180</v>
      </c>
      <c r="H124" s="8">
        <f t="shared" si="6"/>
        <v>11550</v>
      </c>
      <c r="I124" s="8">
        <f t="shared" si="7"/>
        <v>630</v>
      </c>
      <c r="J124" t="s">
        <v>79</v>
      </c>
    </row>
    <row r="125" spans="1:10" x14ac:dyDescent="0.25">
      <c r="A125" s="5">
        <v>45871</v>
      </c>
      <c r="B125" t="s">
        <v>29</v>
      </c>
      <c r="C125">
        <v>4</v>
      </c>
      <c r="D125">
        <v>1500</v>
      </c>
      <c r="E125">
        <v>1450</v>
      </c>
      <c r="F125">
        <f t="shared" si="4"/>
        <v>50</v>
      </c>
      <c r="G125" s="8">
        <f t="shared" si="5"/>
        <v>6000</v>
      </c>
      <c r="H125" s="8">
        <f t="shared" si="6"/>
        <v>5800</v>
      </c>
      <c r="I125" s="8">
        <f t="shared" si="7"/>
        <v>200</v>
      </c>
      <c r="J125" t="s">
        <v>79</v>
      </c>
    </row>
    <row r="126" spans="1:10" x14ac:dyDescent="0.25">
      <c r="A126" s="5">
        <v>45871</v>
      </c>
      <c r="B126" t="s">
        <v>30</v>
      </c>
      <c r="C126">
        <v>1</v>
      </c>
      <c r="D126">
        <v>1650</v>
      </c>
      <c r="E126">
        <v>1600</v>
      </c>
      <c r="F126">
        <f t="shared" si="4"/>
        <v>50</v>
      </c>
      <c r="G126" s="8">
        <f t="shared" si="5"/>
        <v>1650</v>
      </c>
      <c r="H126" s="8">
        <f t="shared" si="6"/>
        <v>1600</v>
      </c>
      <c r="I126" s="8">
        <f t="shared" si="7"/>
        <v>50</v>
      </c>
      <c r="J126" t="s">
        <v>79</v>
      </c>
    </row>
    <row r="127" spans="1:10" x14ac:dyDescent="0.25">
      <c r="A127" s="5">
        <v>45871</v>
      </c>
      <c r="B127" t="s">
        <v>31</v>
      </c>
      <c r="C127">
        <v>24</v>
      </c>
      <c r="D127">
        <v>2435</v>
      </c>
      <c r="E127">
        <v>2129.9</v>
      </c>
      <c r="F127">
        <f t="shared" si="4"/>
        <v>305.09999999999991</v>
      </c>
      <c r="G127" s="8">
        <f t="shared" si="5"/>
        <v>58440</v>
      </c>
      <c r="H127" s="8">
        <f t="shared" si="6"/>
        <v>51117.600000000006</v>
      </c>
      <c r="I127" s="8">
        <f t="shared" si="7"/>
        <v>7322.3999999999942</v>
      </c>
      <c r="J127" t="s">
        <v>79</v>
      </c>
    </row>
    <row r="128" spans="1:10" x14ac:dyDescent="0.25">
      <c r="A128" s="5">
        <v>45871</v>
      </c>
      <c r="B128" t="s">
        <v>32</v>
      </c>
      <c r="C128">
        <v>30</v>
      </c>
      <c r="D128">
        <v>1695</v>
      </c>
      <c r="E128">
        <v>1407.9</v>
      </c>
      <c r="F128">
        <f t="shared" si="4"/>
        <v>287.09999999999991</v>
      </c>
      <c r="G128" s="8">
        <f t="shared" si="5"/>
        <v>50850</v>
      </c>
      <c r="H128" s="8">
        <f t="shared" si="6"/>
        <v>42237</v>
      </c>
      <c r="I128" s="8">
        <f t="shared" si="7"/>
        <v>8613</v>
      </c>
      <c r="J128" t="s">
        <v>79</v>
      </c>
    </row>
    <row r="129" spans="1:10" x14ac:dyDescent="0.25">
      <c r="A129" s="5">
        <v>45871</v>
      </c>
      <c r="B129" t="s">
        <v>33</v>
      </c>
      <c r="C129">
        <v>13</v>
      </c>
      <c r="D129">
        <v>1420</v>
      </c>
      <c r="E129">
        <v>1227.4000000000001</v>
      </c>
      <c r="F129">
        <f t="shared" si="4"/>
        <v>192.59999999999991</v>
      </c>
      <c r="G129" s="8">
        <f t="shared" si="5"/>
        <v>18460</v>
      </c>
      <c r="H129" s="8">
        <f t="shared" si="6"/>
        <v>15956.2</v>
      </c>
      <c r="I129" s="8">
        <f t="shared" si="7"/>
        <v>2503.7999999999993</v>
      </c>
      <c r="J129" t="s">
        <v>79</v>
      </c>
    </row>
    <row r="130" spans="1:10" x14ac:dyDescent="0.25">
      <c r="A130" s="5">
        <v>45871</v>
      </c>
      <c r="B130" t="s">
        <v>34</v>
      </c>
      <c r="C130">
        <v>5</v>
      </c>
      <c r="D130">
        <v>1710</v>
      </c>
      <c r="E130">
        <v>1534.25</v>
      </c>
      <c r="F130">
        <f t="shared" ref="F130:F193" si="8">D130-E130</f>
        <v>175.75</v>
      </c>
      <c r="G130" s="8">
        <f t="shared" ref="G130:G193" si="9">D130*C130</f>
        <v>8550</v>
      </c>
      <c r="H130" s="8">
        <f t="shared" ref="H130:H193" si="10">E130*C130</f>
        <v>7671.25</v>
      </c>
      <c r="I130" s="8">
        <f t="shared" ref="I130:I193" si="11">G130-H130</f>
        <v>878.75</v>
      </c>
      <c r="J130" t="s">
        <v>79</v>
      </c>
    </row>
    <row r="131" spans="1:10" x14ac:dyDescent="0.25">
      <c r="A131" s="5">
        <v>45871</v>
      </c>
      <c r="B131" t="s">
        <v>35</v>
      </c>
      <c r="C131">
        <v>2</v>
      </c>
      <c r="D131">
        <v>650</v>
      </c>
      <c r="E131">
        <v>505.4</v>
      </c>
      <c r="F131">
        <f t="shared" si="8"/>
        <v>144.60000000000002</v>
      </c>
      <c r="G131" s="8">
        <f t="shared" si="9"/>
        <v>1300</v>
      </c>
      <c r="H131" s="8">
        <f t="shared" si="10"/>
        <v>1010.8</v>
      </c>
      <c r="I131" s="8">
        <f t="shared" si="11"/>
        <v>289.20000000000005</v>
      </c>
      <c r="J131" t="s">
        <v>79</v>
      </c>
    </row>
    <row r="132" spans="1:10" x14ac:dyDescent="0.25">
      <c r="A132" s="5">
        <v>45871</v>
      </c>
      <c r="B132" t="s">
        <v>36</v>
      </c>
      <c r="C132">
        <v>2</v>
      </c>
      <c r="D132">
        <v>1650</v>
      </c>
      <c r="E132">
        <v>1606.45</v>
      </c>
      <c r="F132">
        <f t="shared" si="8"/>
        <v>43.549999999999955</v>
      </c>
      <c r="G132" s="8">
        <f t="shared" si="9"/>
        <v>3300</v>
      </c>
      <c r="H132" s="8">
        <f t="shared" si="10"/>
        <v>3212.9</v>
      </c>
      <c r="I132" s="8">
        <f t="shared" si="11"/>
        <v>87.099999999999909</v>
      </c>
      <c r="J132" t="s">
        <v>79</v>
      </c>
    </row>
    <row r="133" spans="1:10" x14ac:dyDescent="0.25">
      <c r="A133" s="5">
        <v>45872</v>
      </c>
      <c r="B133" t="s">
        <v>13</v>
      </c>
      <c r="C133">
        <v>9</v>
      </c>
      <c r="D133">
        <v>2745</v>
      </c>
      <c r="E133">
        <v>2580</v>
      </c>
      <c r="F133">
        <f t="shared" si="8"/>
        <v>165</v>
      </c>
      <c r="G133" s="8">
        <f t="shared" si="9"/>
        <v>24705</v>
      </c>
      <c r="H133" s="8">
        <f t="shared" si="10"/>
        <v>23220</v>
      </c>
      <c r="I133" s="8">
        <f t="shared" si="11"/>
        <v>1485</v>
      </c>
      <c r="J133" t="s">
        <v>79</v>
      </c>
    </row>
    <row r="134" spans="1:10" x14ac:dyDescent="0.25">
      <c r="A134" s="5">
        <v>45872</v>
      </c>
      <c r="B134" t="s">
        <v>13</v>
      </c>
      <c r="C134">
        <v>4</v>
      </c>
      <c r="D134">
        <v>2745</v>
      </c>
      <c r="E134">
        <v>2580</v>
      </c>
      <c r="F134">
        <f t="shared" si="8"/>
        <v>165</v>
      </c>
      <c r="G134" s="8">
        <f t="shared" si="9"/>
        <v>10980</v>
      </c>
      <c r="H134" s="8">
        <f t="shared" si="10"/>
        <v>10320</v>
      </c>
      <c r="I134" s="8">
        <f t="shared" si="11"/>
        <v>660</v>
      </c>
      <c r="J134" t="s">
        <v>79</v>
      </c>
    </row>
    <row r="135" spans="1:10" x14ac:dyDescent="0.25">
      <c r="A135" s="5">
        <v>45872</v>
      </c>
      <c r="B135" t="s">
        <v>37</v>
      </c>
      <c r="C135">
        <v>9</v>
      </c>
      <c r="D135">
        <v>1875</v>
      </c>
      <c r="E135">
        <v>1800</v>
      </c>
      <c r="F135">
        <f t="shared" si="8"/>
        <v>75</v>
      </c>
      <c r="G135" s="8">
        <f t="shared" si="9"/>
        <v>16875</v>
      </c>
      <c r="H135" s="8">
        <f t="shared" si="10"/>
        <v>16200</v>
      </c>
      <c r="I135" s="8">
        <f t="shared" si="11"/>
        <v>675</v>
      </c>
      <c r="J135" t="s">
        <v>79</v>
      </c>
    </row>
    <row r="136" spans="1:10" x14ac:dyDescent="0.25">
      <c r="A136" s="5">
        <v>45872</v>
      </c>
      <c r="B136" t="s">
        <v>13</v>
      </c>
      <c r="C136">
        <v>3</v>
      </c>
      <c r="D136">
        <v>2760</v>
      </c>
      <c r="E136">
        <v>2580</v>
      </c>
      <c r="F136">
        <f t="shared" si="8"/>
        <v>180</v>
      </c>
      <c r="G136" s="8">
        <f t="shared" si="9"/>
        <v>8280</v>
      </c>
      <c r="H136" s="8">
        <f t="shared" si="10"/>
        <v>7740</v>
      </c>
      <c r="I136" s="8">
        <f t="shared" si="11"/>
        <v>540</v>
      </c>
      <c r="J136" t="s">
        <v>79</v>
      </c>
    </row>
    <row r="137" spans="1:10" x14ac:dyDescent="0.25">
      <c r="A137" s="5">
        <v>45873</v>
      </c>
      <c r="B137" t="s">
        <v>16</v>
      </c>
      <c r="C137">
        <v>3</v>
      </c>
      <c r="D137">
        <v>3935</v>
      </c>
      <c r="E137">
        <v>3600</v>
      </c>
      <c r="F137">
        <f t="shared" si="8"/>
        <v>335</v>
      </c>
      <c r="G137" s="8">
        <f t="shared" si="9"/>
        <v>11805</v>
      </c>
      <c r="H137" s="8">
        <f t="shared" si="10"/>
        <v>10800</v>
      </c>
      <c r="I137" s="8">
        <f t="shared" si="11"/>
        <v>1005</v>
      </c>
      <c r="J137" t="s">
        <v>79</v>
      </c>
    </row>
    <row r="138" spans="1:10" x14ac:dyDescent="0.25">
      <c r="A138" s="5">
        <v>45873</v>
      </c>
      <c r="B138" t="s">
        <v>18</v>
      </c>
      <c r="C138">
        <v>1</v>
      </c>
      <c r="D138">
        <v>2450</v>
      </c>
      <c r="E138">
        <v>2410</v>
      </c>
      <c r="F138">
        <f t="shared" si="8"/>
        <v>40</v>
      </c>
      <c r="G138" s="8">
        <f t="shared" si="9"/>
        <v>2450</v>
      </c>
      <c r="H138" s="8">
        <f t="shared" si="10"/>
        <v>2410</v>
      </c>
      <c r="I138" s="8">
        <f t="shared" si="11"/>
        <v>40</v>
      </c>
      <c r="J138" t="s">
        <v>79</v>
      </c>
    </row>
    <row r="139" spans="1:10" x14ac:dyDescent="0.25">
      <c r="A139" s="5">
        <v>45873</v>
      </c>
      <c r="B139" t="s">
        <v>41</v>
      </c>
      <c r="C139">
        <v>1</v>
      </c>
      <c r="D139">
        <v>3850</v>
      </c>
      <c r="E139">
        <v>3350</v>
      </c>
      <c r="F139">
        <f t="shared" si="8"/>
        <v>500</v>
      </c>
      <c r="G139" s="8">
        <f t="shared" si="9"/>
        <v>3850</v>
      </c>
      <c r="H139" s="8">
        <f t="shared" si="10"/>
        <v>3350</v>
      </c>
      <c r="I139" s="8">
        <f t="shared" si="11"/>
        <v>500</v>
      </c>
      <c r="J139" t="s">
        <v>79</v>
      </c>
    </row>
    <row r="140" spans="1:10" x14ac:dyDescent="0.25">
      <c r="A140" s="5">
        <v>45873</v>
      </c>
      <c r="B140" t="s">
        <v>42</v>
      </c>
      <c r="C140">
        <v>1</v>
      </c>
      <c r="D140">
        <v>2250</v>
      </c>
      <c r="E140">
        <v>2200</v>
      </c>
      <c r="F140">
        <f t="shared" si="8"/>
        <v>50</v>
      </c>
      <c r="G140" s="8">
        <f t="shared" si="9"/>
        <v>2250</v>
      </c>
      <c r="H140" s="8">
        <f t="shared" si="10"/>
        <v>2200</v>
      </c>
      <c r="I140" s="8">
        <f t="shared" si="11"/>
        <v>50</v>
      </c>
      <c r="J140" t="s">
        <v>79</v>
      </c>
    </row>
    <row r="141" spans="1:10" x14ac:dyDescent="0.25">
      <c r="A141" s="5">
        <v>45874</v>
      </c>
      <c r="B141" t="s">
        <v>29</v>
      </c>
      <c r="C141">
        <v>2</v>
      </c>
      <c r="D141">
        <v>1550</v>
      </c>
      <c r="E141">
        <v>1450</v>
      </c>
      <c r="F141">
        <f t="shared" si="8"/>
        <v>100</v>
      </c>
      <c r="G141" s="8">
        <f t="shared" si="9"/>
        <v>3100</v>
      </c>
      <c r="H141" s="8">
        <f t="shared" si="10"/>
        <v>2900</v>
      </c>
      <c r="I141" s="8">
        <f t="shared" si="11"/>
        <v>200</v>
      </c>
      <c r="J141" t="s">
        <v>79</v>
      </c>
    </row>
    <row r="142" spans="1:10" x14ac:dyDescent="0.25">
      <c r="A142" s="5">
        <v>45874</v>
      </c>
      <c r="B142" t="s">
        <v>29</v>
      </c>
      <c r="C142">
        <v>3</v>
      </c>
      <c r="D142">
        <v>1570</v>
      </c>
      <c r="E142">
        <v>1450</v>
      </c>
      <c r="F142">
        <f t="shared" si="8"/>
        <v>120</v>
      </c>
      <c r="G142" s="8">
        <f t="shared" si="9"/>
        <v>4710</v>
      </c>
      <c r="H142" s="8">
        <f t="shared" si="10"/>
        <v>4350</v>
      </c>
      <c r="I142" s="8">
        <f t="shared" si="11"/>
        <v>360</v>
      </c>
      <c r="J142" t="s">
        <v>79</v>
      </c>
    </row>
    <row r="143" spans="1:10" x14ac:dyDescent="0.25">
      <c r="A143" s="5">
        <v>45874</v>
      </c>
      <c r="B143" t="s">
        <v>13</v>
      </c>
      <c r="C143">
        <v>6</v>
      </c>
      <c r="D143">
        <v>2750</v>
      </c>
      <c r="E143">
        <v>2580</v>
      </c>
      <c r="F143">
        <f t="shared" si="8"/>
        <v>170</v>
      </c>
      <c r="G143" s="8">
        <f t="shared" si="9"/>
        <v>16500</v>
      </c>
      <c r="H143" s="8">
        <f t="shared" si="10"/>
        <v>15480</v>
      </c>
      <c r="I143" s="8">
        <f t="shared" si="11"/>
        <v>1020</v>
      </c>
      <c r="J143" t="s">
        <v>79</v>
      </c>
    </row>
    <row r="144" spans="1:10" x14ac:dyDescent="0.25">
      <c r="A144" s="5">
        <v>45874</v>
      </c>
      <c r="B144" t="s">
        <v>13</v>
      </c>
      <c r="C144">
        <v>4</v>
      </c>
      <c r="D144">
        <v>2470</v>
      </c>
      <c r="E144">
        <v>2400</v>
      </c>
      <c r="F144">
        <f t="shared" si="8"/>
        <v>70</v>
      </c>
      <c r="G144" s="8">
        <f t="shared" si="9"/>
        <v>9880</v>
      </c>
      <c r="H144" s="8">
        <f t="shared" si="10"/>
        <v>9600</v>
      </c>
      <c r="I144" s="8">
        <f t="shared" si="11"/>
        <v>280</v>
      </c>
      <c r="J144" t="s">
        <v>79</v>
      </c>
    </row>
    <row r="145" spans="1:10" x14ac:dyDescent="0.25">
      <c r="A145" s="5">
        <v>45874</v>
      </c>
      <c r="B145" t="s">
        <v>43</v>
      </c>
      <c r="C145">
        <v>5</v>
      </c>
      <c r="D145">
        <v>2000</v>
      </c>
      <c r="E145">
        <v>1900</v>
      </c>
      <c r="F145">
        <f t="shared" si="8"/>
        <v>100</v>
      </c>
      <c r="G145" s="8">
        <f t="shared" si="9"/>
        <v>10000</v>
      </c>
      <c r="H145" s="8">
        <f t="shared" si="10"/>
        <v>9500</v>
      </c>
      <c r="I145" s="8">
        <f t="shared" si="11"/>
        <v>500</v>
      </c>
      <c r="J145" t="s">
        <v>79</v>
      </c>
    </row>
    <row r="146" spans="1:10" x14ac:dyDescent="0.25">
      <c r="A146" s="5">
        <v>45874</v>
      </c>
      <c r="B146" t="s">
        <v>37</v>
      </c>
      <c r="C146">
        <v>5</v>
      </c>
      <c r="D146">
        <v>1900</v>
      </c>
      <c r="E146">
        <v>1800</v>
      </c>
      <c r="F146">
        <f t="shared" si="8"/>
        <v>100</v>
      </c>
      <c r="G146" s="8">
        <f t="shared" si="9"/>
        <v>9500</v>
      </c>
      <c r="H146" s="8">
        <f t="shared" si="10"/>
        <v>9000</v>
      </c>
      <c r="I146" s="8">
        <f t="shared" si="11"/>
        <v>500</v>
      </c>
      <c r="J146" t="s">
        <v>79</v>
      </c>
    </row>
    <row r="147" spans="1:10" x14ac:dyDescent="0.25">
      <c r="A147" s="5">
        <v>45874</v>
      </c>
      <c r="B147" t="s">
        <v>33</v>
      </c>
      <c r="C147">
        <v>12</v>
      </c>
      <c r="D147">
        <v>1420</v>
      </c>
      <c r="E147">
        <v>1227.4000000000001</v>
      </c>
      <c r="F147">
        <f t="shared" si="8"/>
        <v>192.59999999999991</v>
      </c>
      <c r="G147" s="8">
        <f t="shared" si="9"/>
        <v>17040</v>
      </c>
      <c r="H147" s="8">
        <f t="shared" si="10"/>
        <v>14728.800000000001</v>
      </c>
      <c r="I147" s="8">
        <f t="shared" si="11"/>
        <v>2311.1999999999989</v>
      </c>
      <c r="J147" t="s">
        <v>79</v>
      </c>
    </row>
    <row r="148" spans="1:10" x14ac:dyDescent="0.25">
      <c r="A148" s="5">
        <v>45874</v>
      </c>
      <c r="B148" t="s">
        <v>33</v>
      </c>
      <c r="C148">
        <v>6</v>
      </c>
      <c r="D148">
        <v>1420</v>
      </c>
      <c r="E148">
        <v>1227.4000000000001</v>
      </c>
      <c r="F148">
        <f t="shared" si="8"/>
        <v>192.59999999999991</v>
      </c>
      <c r="G148" s="8">
        <f t="shared" si="9"/>
        <v>8520</v>
      </c>
      <c r="H148" s="8">
        <f t="shared" si="10"/>
        <v>7364.4000000000005</v>
      </c>
      <c r="I148" s="8">
        <f t="shared" si="11"/>
        <v>1155.5999999999995</v>
      </c>
      <c r="J148" t="s">
        <v>79</v>
      </c>
    </row>
    <row r="149" spans="1:10" x14ac:dyDescent="0.25">
      <c r="A149" s="5">
        <v>45874</v>
      </c>
      <c r="B149" t="s">
        <v>31</v>
      </c>
      <c r="C149">
        <v>10</v>
      </c>
      <c r="D149">
        <v>2435</v>
      </c>
      <c r="E149">
        <v>2129.9</v>
      </c>
      <c r="F149">
        <f t="shared" si="8"/>
        <v>305.09999999999991</v>
      </c>
      <c r="G149" s="8">
        <f t="shared" si="9"/>
        <v>24350</v>
      </c>
      <c r="H149" s="8">
        <f t="shared" si="10"/>
        <v>21299</v>
      </c>
      <c r="I149" s="8">
        <f t="shared" si="11"/>
        <v>3051</v>
      </c>
      <c r="J149" t="s">
        <v>79</v>
      </c>
    </row>
    <row r="150" spans="1:10" x14ac:dyDescent="0.25">
      <c r="A150" s="5">
        <v>45874</v>
      </c>
      <c r="B150" t="s">
        <v>32</v>
      </c>
      <c r="C150">
        <v>21</v>
      </c>
      <c r="D150">
        <v>1690</v>
      </c>
      <c r="E150">
        <v>1407.9</v>
      </c>
      <c r="F150">
        <f t="shared" si="8"/>
        <v>282.09999999999991</v>
      </c>
      <c r="G150" s="8">
        <f t="shared" si="9"/>
        <v>35490</v>
      </c>
      <c r="H150" s="8">
        <f t="shared" si="10"/>
        <v>29565.9</v>
      </c>
      <c r="I150" s="8">
        <f t="shared" si="11"/>
        <v>5924.0999999999985</v>
      </c>
      <c r="J150" t="s">
        <v>79</v>
      </c>
    </row>
    <row r="151" spans="1:10" x14ac:dyDescent="0.25">
      <c r="A151" s="5">
        <v>45874</v>
      </c>
      <c r="B151" t="s">
        <v>34</v>
      </c>
      <c r="C151">
        <v>13</v>
      </c>
      <c r="D151">
        <v>1710</v>
      </c>
      <c r="E151">
        <v>1534.25</v>
      </c>
      <c r="F151">
        <f t="shared" si="8"/>
        <v>175.75</v>
      </c>
      <c r="G151" s="8">
        <f t="shared" si="9"/>
        <v>22230</v>
      </c>
      <c r="H151" s="8">
        <f t="shared" si="10"/>
        <v>19945.25</v>
      </c>
      <c r="I151" s="8">
        <f t="shared" si="11"/>
        <v>2284.75</v>
      </c>
      <c r="J151" t="s">
        <v>79</v>
      </c>
    </row>
    <row r="152" spans="1:10" x14ac:dyDescent="0.25">
      <c r="A152" s="5">
        <v>45874</v>
      </c>
      <c r="B152" t="s">
        <v>44</v>
      </c>
      <c r="C152">
        <v>2</v>
      </c>
      <c r="D152">
        <v>2050</v>
      </c>
      <c r="E152">
        <v>1950</v>
      </c>
      <c r="F152">
        <f t="shared" si="8"/>
        <v>100</v>
      </c>
      <c r="G152" s="8">
        <f t="shared" si="9"/>
        <v>4100</v>
      </c>
      <c r="H152" s="8">
        <f t="shared" si="10"/>
        <v>3900</v>
      </c>
      <c r="I152" s="8">
        <f t="shared" si="11"/>
        <v>200</v>
      </c>
      <c r="J152" t="s">
        <v>79</v>
      </c>
    </row>
    <row r="153" spans="1:10" x14ac:dyDescent="0.25">
      <c r="A153" s="5">
        <v>45875</v>
      </c>
      <c r="B153" t="s">
        <v>13</v>
      </c>
      <c r="C153">
        <v>7</v>
      </c>
      <c r="D153">
        <v>2450</v>
      </c>
      <c r="E153">
        <v>2400</v>
      </c>
      <c r="F153">
        <f t="shared" si="8"/>
        <v>50</v>
      </c>
      <c r="G153" s="8">
        <f t="shared" si="9"/>
        <v>17150</v>
      </c>
      <c r="H153" s="8">
        <f t="shared" si="10"/>
        <v>16800</v>
      </c>
      <c r="I153" s="8">
        <f t="shared" si="11"/>
        <v>350</v>
      </c>
      <c r="J153" t="s">
        <v>79</v>
      </c>
    </row>
    <row r="154" spans="1:10" x14ac:dyDescent="0.25">
      <c r="A154" s="5">
        <v>45875</v>
      </c>
      <c r="B154" t="s">
        <v>13</v>
      </c>
      <c r="C154">
        <v>5</v>
      </c>
      <c r="D154">
        <v>2550</v>
      </c>
      <c r="E154">
        <v>2500</v>
      </c>
      <c r="F154">
        <f t="shared" si="8"/>
        <v>50</v>
      </c>
      <c r="G154" s="8">
        <f t="shared" si="9"/>
        <v>12750</v>
      </c>
      <c r="H154" s="8">
        <f t="shared" si="10"/>
        <v>12500</v>
      </c>
      <c r="I154" s="8">
        <f t="shared" si="11"/>
        <v>250</v>
      </c>
      <c r="J154" t="s">
        <v>79</v>
      </c>
    </row>
    <row r="155" spans="1:10" x14ac:dyDescent="0.25">
      <c r="A155" s="5">
        <v>45875</v>
      </c>
      <c r="B155" t="s">
        <v>13</v>
      </c>
      <c r="C155">
        <v>1</v>
      </c>
      <c r="D155">
        <v>2495</v>
      </c>
      <c r="E155">
        <v>2350</v>
      </c>
      <c r="F155">
        <f t="shared" si="8"/>
        <v>145</v>
      </c>
      <c r="G155" s="8">
        <f t="shared" si="9"/>
        <v>2495</v>
      </c>
      <c r="H155" s="8">
        <f t="shared" si="10"/>
        <v>2350</v>
      </c>
      <c r="I155" s="8">
        <f t="shared" si="11"/>
        <v>145</v>
      </c>
      <c r="J155" t="s">
        <v>79</v>
      </c>
    </row>
    <row r="156" spans="1:10" x14ac:dyDescent="0.25">
      <c r="A156" s="5">
        <v>45875</v>
      </c>
      <c r="B156" t="s">
        <v>13</v>
      </c>
      <c r="C156">
        <v>1</v>
      </c>
      <c r="D156">
        <v>2550</v>
      </c>
      <c r="E156">
        <v>2400</v>
      </c>
      <c r="F156">
        <f t="shared" si="8"/>
        <v>150</v>
      </c>
      <c r="G156" s="8">
        <f t="shared" si="9"/>
        <v>2550</v>
      </c>
      <c r="H156" s="8">
        <f t="shared" si="10"/>
        <v>2400</v>
      </c>
      <c r="I156" s="8">
        <f t="shared" si="11"/>
        <v>150</v>
      </c>
      <c r="J156" t="s">
        <v>79</v>
      </c>
    </row>
    <row r="157" spans="1:10" x14ac:dyDescent="0.25">
      <c r="A157" s="5">
        <v>45875</v>
      </c>
      <c r="B157" t="s">
        <v>25</v>
      </c>
      <c r="C157">
        <v>4</v>
      </c>
      <c r="D157">
        <v>3190</v>
      </c>
      <c r="E157">
        <v>2800</v>
      </c>
      <c r="F157">
        <f t="shared" si="8"/>
        <v>390</v>
      </c>
      <c r="G157" s="8">
        <f t="shared" si="9"/>
        <v>12760</v>
      </c>
      <c r="H157" s="8">
        <f t="shared" si="10"/>
        <v>11200</v>
      </c>
      <c r="I157" s="8">
        <f t="shared" si="11"/>
        <v>1560</v>
      </c>
      <c r="J157" t="s">
        <v>79</v>
      </c>
    </row>
    <row r="158" spans="1:10" x14ac:dyDescent="0.25">
      <c r="A158" s="5">
        <v>45875</v>
      </c>
      <c r="B158" t="s">
        <v>26</v>
      </c>
      <c r="C158">
        <v>2</v>
      </c>
      <c r="D158">
        <v>2140</v>
      </c>
      <c r="E158">
        <v>2070</v>
      </c>
      <c r="F158">
        <f t="shared" si="8"/>
        <v>70</v>
      </c>
      <c r="G158" s="8">
        <f t="shared" si="9"/>
        <v>4280</v>
      </c>
      <c r="H158" s="8">
        <f t="shared" si="10"/>
        <v>4140</v>
      </c>
      <c r="I158" s="8">
        <f t="shared" si="11"/>
        <v>140</v>
      </c>
      <c r="J158" t="s">
        <v>79</v>
      </c>
    </row>
    <row r="159" spans="1:10" x14ac:dyDescent="0.25">
      <c r="A159" s="5">
        <v>45875</v>
      </c>
      <c r="B159" t="s">
        <v>26</v>
      </c>
      <c r="C159">
        <v>1</v>
      </c>
      <c r="D159">
        <v>2050</v>
      </c>
      <c r="E159">
        <v>1950</v>
      </c>
      <c r="F159">
        <f t="shared" si="8"/>
        <v>100</v>
      </c>
      <c r="G159" s="8">
        <f t="shared" si="9"/>
        <v>2050</v>
      </c>
      <c r="H159" s="8">
        <f t="shared" si="10"/>
        <v>1950</v>
      </c>
      <c r="I159" s="8">
        <f t="shared" si="11"/>
        <v>100</v>
      </c>
      <c r="J159" t="s">
        <v>79</v>
      </c>
    </row>
    <row r="160" spans="1:10" x14ac:dyDescent="0.25">
      <c r="A160" s="5">
        <v>45875</v>
      </c>
      <c r="B160" t="s">
        <v>26</v>
      </c>
      <c r="C160">
        <v>3</v>
      </c>
      <c r="D160">
        <v>2020</v>
      </c>
      <c r="E160">
        <v>1950</v>
      </c>
      <c r="F160">
        <f t="shared" si="8"/>
        <v>70</v>
      </c>
      <c r="G160" s="8">
        <f t="shared" si="9"/>
        <v>6060</v>
      </c>
      <c r="H160" s="8">
        <f t="shared" si="10"/>
        <v>5850</v>
      </c>
      <c r="I160" s="8">
        <f t="shared" si="11"/>
        <v>210</v>
      </c>
      <c r="J160" t="s">
        <v>79</v>
      </c>
    </row>
    <row r="161" spans="1:10" x14ac:dyDescent="0.25">
      <c r="A161" s="5">
        <v>45875</v>
      </c>
      <c r="B161" t="s">
        <v>27</v>
      </c>
      <c r="C161">
        <v>2</v>
      </c>
      <c r="D161">
        <v>2380</v>
      </c>
      <c r="E161">
        <v>2150</v>
      </c>
      <c r="F161">
        <f t="shared" si="8"/>
        <v>230</v>
      </c>
      <c r="G161" s="8">
        <f t="shared" si="9"/>
        <v>4760</v>
      </c>
      <c r="H161" s="8">
        <f t="shared" si="10"/>
        <v>4300</v>
      </c>
      <c r="I161" s="8">
        <f t="shared" si="11"/>
        <v>460</v>
      </c>
      <c r="J161" t="s">
        <v>79</v>
      </c>
    </row>
    <row r="162" spans="1:10" x14ac:dyDescent="0.25">
      <c r="A162" s="5">
        <v>45875</v>
      </c>
      <c r="B162" t="s">
        <v>27</v>
      </c>
      <c r="C162">
        <v>1</v>
      </c>
      <c r="D162">
        <v>2320</v>
      </c>
      <c r="E162">
        <v>2150</v>
      </c>
      <c r="F162">
        <f t="shared" si="8"/>
        <v>170</v>
      </c>
      <c r="G162" s="8">
        <f t="shared" si="9"/>
        <v>2320</v>
      </c>
      <c r="H162" s="8">
        <f t="shared" si="10"/>
        <v>2150</v>
      </c>
      <c r="I162" s="8">
        <f t="shared" si="11"/>
        <v>170</v>
      </c>
      <c r="J162" t="s">
        <v>79</v>
      </c>
    </row>
    <row r="163" spans="1:10" x14ac:dyDescent="0.25">
      <c r="A163" s="5">
        <v>45875</v>
      </c>
      <c r="B163" t="s">
        <v>27</v>
      </c>
      <c r="C163">
        <v>1</v>
      </c>
      <c r="D163">
        <v>2280</v>
      </c>
      <c r="E163">
        <v>2100</v>
      </c>
      <c r="F163">
        <f t="shared" si="8"/>
        <v>180</v>
      </c>
      <c r="G163" s="8">
        <f t="shared" si="9"/>
        <v>2280</v>
      </c>
      <c r="H163" s="8">
        <f t="shared" si="10"/>
        <v>2100</v>
      </c>
      <c r="I163" s="8">
        <f t="shared" si="11"/>
        <v>180</v>
      </c>
      <c r="J163" t="s">
        <v>79</v>
      </c>
    </row>
    <row r="164" spans="1:10" x14ac:dyDescent="0.25">
      <c r="A164" s="5">
        <v>45875</v>
      </c>
      <c r="B164" t="s">
        <v>45</v>
      </c>
      <c r="C164">
        <v>1</v>
      </c>
      <c r="D164">
        <v>2530</v>
      </c>
      <c r="E164">
        <v>2200</v>
      </c>
      <c r="F164">
        <f t="shared" si="8"/>
        <v>330</v>
      </c>
      <c r="G164" s="8">
        <f t="shared" si="9"/>
        <v>2530</v>
      </c>
      <c r="H164" s="8">
        <f t="shared" si="10"/>
        <v>2200</v>
      </c>
      <c r="I164" s="8">
        <f t="shared" si="11"/>
        <v>330</v>
      </c>
      <c r="J164" t="s">
        <v>79</v>
      </c>
    </row>
    <row r="165" spans="1:10" x14ac:dyDescent="0.25">
      <c r="A165" s="5">
        <v>45875</v>
      </c>
      <c r="B165" t="s">
        <v>13</v>
      </c>
      <c r="C165">
        <v>5</v>
      </c>
      <c r="D165">
        <v>2715</v>
      </c>
      <c r="E165">
        <v>2580</v>
      </c>
      <c r="F165">
        <f t="shared" si="8"/>
        <v>135</v>
      </c>
      <c r="G165" s="8">
        <f t="shared" si="9"/>
        <v>13575</v>
      </c>
      <c r="H165" s="8">
        <f t="shared" si="10"/>
        <v>12900</v>
      </c>
      <c r="I165" s="8">
        <f t="shared" si="11"/>
        <v>675</v>
      </c>
      <c r="J165" t="s">
        <v>79</v>
      </c>
    </row>
    <row r="166" spans="1:10" x14ac:dyDescent="0.25">
      <c r="A166" s="5">
        <v>45875</v>
      </c>
      <c r="B166" t="s">
        <v>13</v>
      </c>
      <c r="C166">
        <v>2</v>
      </c>
      <c r="D166">
        <v>2650</v>
      </c>
      <c r="E166">
        <v>2500</v>
      </c>
      <c r="F166">
        <f t="shared" si="8"/>
        <v>150</v>
      </c>
      <c r="G166" s="8">
        <f t="shared" si="9"/>
        <v>5300</v>
      </c>
      <c r="H166" s="8">
        <f t="shared" si="10"/>
        <v>5000</v>
      </c>
      <c r="I166" s="8">
        <f t="shared" si="11"/>
        <v>300</v>
      </c>
      <c r="J166" t="s">
        <v>79</v>
      </c>
    </row>
    <row r="167" spans="1:10" x14ac:dyDescent="0.25">
      <c r="A167" s="5">
        <v>45875</v>
      </c>
      <c r="B167" t="s">
        <v>24</v>
      </c>
      <c r="C167">
        <v>2</v>
      </c>
      <c r="D167">
        <v>2950</v>
      </c>
      <c r="E167">
        <v>2700</v>
      </c>
      <c r="F167">
        <f t="shared" si="8"/>
        <v>250</v>
      </c>
      <c r="G167" s="8">
        <f t="shared" si="9"/>
        <v>5900</v>
      </c>
      <c r="H167" s="8">
        <f t="shared" si="10"/>
        <v>5400</v>
      </c>
      <c r="I167" s="8">
        <f t="shared" si="11"/>
        <v>500</v>
      </c>
      <c r="J167" t="s">
        <v>79</v>
      </c>
    </row>
    <row r="168" spans="1:10" x14ac:dyDescent="0.25">
      <c r="A168" s="5">
        <v>45875</v>
      </c>
      <c r="B168" t="s">
        <v>24</v>
      </c>
      <c r="C168">
        <v>2</v>
      </c>
      <c r="D168">
        <v>2780</v>
      </c>
      <c r="E168">
        <v>2600</v>
      </c>
      <c r="F168">
        <f t="shared" si="8"/>
        <v>180</v>
      </c>
      <c r="G168" s="8">
        <f t="shared" si="9"/>
        <v>5560</v>
      </c>
      <c r="H168" s="8">
        <f t="shared" si="10"/>
        <v>5200</v>
      </c>
      <c r="I168" s="8">
        <f t="shared" si="11"/>
        <v>360</v>
      </c>
      <c r="J168" t="s">
        <v>79</v>
      </c>
    </row>
    <row r="169" spans="1:10" x14ac:dyDescent="0.25">
      <c r="A169" s="5">
        <v>45880</v>
      </c>
      <c r="B169" t="s">
        <v>31</v>
      </c>
      <c r="C169">
        <v>4</v>
      </c>
      <c r="D169">
        <v>2380</v>
      </c>
      <c r="E169">
        <v>2129.9</v>
      </c>
      <c r="F169">
        <f t="shared" si="8"/>
        <v>250.09999999999991</v>
      </c>
      <c r="G169" s="8">
        <f t="shared" si="9"/>
        <v>9520</v>
      </c>
      <c r="H169" s="8">
        <f t="shared" si="10"/>
        <v>8519.6</v>
      </c>
      <c r="I169" s="8">
        <f t="shared" si="11"/>
        <v>1000.3999999999996</v>
      </c>
      <c r="J169" t="s">
        <v>79</v>
      </c>
    </row>
    <row r="170" spans="1:10" x14ac:dyDescent="0.25">
      <c r="A170" s="5">
        <v>45880</v>
      </c>
      <c r="B170" t="s">
        <v>44</v>
      </c>
      <c r="C170">
        <v>3</v>
      </c>
      <c r="D170">
        <v>2000</v>
      </c>
      <c r="E170">
        <v>1696.7</v>
      </c>
      <c r="F170">
        <f t="shared" si="8"/>
        <v>303.29999999999995</v>
      </c>
      <c r="G170" s="8">
        <f t="shared" si="9"/>
        <v>6000</v>
      </c>
      <c r="H170" s="8">
        <f t="shared" si="10"/>
        <v>5090.1000000000004</v>
      </c>
      <c r="I170" s="8">
        <f t="shared" si="11"/>
        <v>909.89999999999964</v>
      </c>
      <c r="J170" t="s">
        <v>79</v>
      </c>
    </row>
    <row r="171" spans="1:10" x14ac:dyDescent="0.25">
      <c r="A171" s="5">
        <v>45880</v>
      </c>
      <c r="B171" t="s">
        <v>34</v>
      </c>
      <c r="C171">
        <v>1</v>
      </c>
      <c r="D171">
        <v>1700</v>
      </c>
      <c r="E171">
        <v>1534.25</v>
      </c>
      <c r="F171">
        <f t="shared" si="8"/>
        <v>165.75</v>
      </c>
      <c r="G171" s="8">
        <f t="shared" si="9"/>
        <v>1700</v>
      </c>
      <c r="H171" s="8">
        <f t="shared" si="10"/>
        <v>1534.25</v>
      </c>
      <c r="I171" s="8">
        <f t="shared" si="11"/>
        <v>165.75</v>
      </c>
      <c r="J171" t="s">
        <v>79</v>
      </c>
    </row>
    <row r="172" spans="1:10" x14ac:dyDescent="0.25">
      <c r="A172" s="5">
        <v>45880</v>
      </c>
      <c r="B172" t="s">
        <v>47</v>
      </c>
      <c r="C172">
        <v>14</v>
      </c>
      <c r="D172">
        <v>110</v>
      </c>
      <c r="E172">
        <v>126.35</v>
      </c>
      <c r="F172">
        <f t="shared" si="8"/>
        <v>-16.349999999999994</v>
      </c>
      <c r="G172" s="8">
        <f t="shared" si="9"/>
        <v>1540</v>
      </c>
      <c r="H172" s="8">
        <f t="shared" si="10"/>
        <v>1768.8999999999999</v>
      </c>
      <c r="I172" s="8">
        <f t="shared" si="11"/>
        <v>-228.89999999999986</v>
      </c>
      <c r="J172" t="s">
        <v>79</v>
      </c>
    </row>
    <row r="173" spans="1:10" x14ac:dyDescent="0.25">
      <c r="A173" s="5">
        <v>45881</v>
      </c>
      <c r="B173" t="s">
        <v>18</v>
      </c>
      <c r="C173">
        <v>2</v>
      </c>
      <c r="D173">
        <v>2300</v>
      </c>
      <c r="E173">
        <v>2410</v>
      </c>
      <c r="F173">
        <f t="shared" si="8"/>
        <v>-110</v>
      </c>
      <c r="G173" s="8">
        <f t="shared" si="9"/>
        <v>4600</v>
      </c>
      <c r="H173" s="8">
        <f t="shared" si="10"/>
        <v>4820</v>
      </c>
      <c r="I173" s="8">
        <f t="shared" si="11"/>
        <v>-220</v>
      </c>
      <c r="J173" t="s">
        <v>79</v>
      </c>
    </row>
    <row r="174" spans="1:10" x14ac:dyDescent="0.25">
      <c r="A174" s="5">
        <v>45881</v>
      </c>
      <c r="B174" t="s">
        <v>17</v>
      </c>
      <c r="C174">
        <v>1</v>
      </c>
      <c r="D174">
        <v>4500</v>
      </c>
      <c r="E174">
        <v>3700</v>
      </c>
      <c r="F174">
        <f t="shared" si="8"/>
        <v>800</v>
      </c>
      <c r="G174" s="8">
        <f t="shared" si="9"/>
        <v>4500</v>
      </c>
      <c r="H174" s="8">
        <f t="shared" si="10"/>
        <v>3700</v>
      </c>
      <c r="I174" s="8">
        <f t="shared" si="11"/>
        <v>800</v>
      </c>
      <c r="J174" t="s">
        <v>79</v>
      </c>
    </row>
    <row r="175" spans="1:10" x14ac:dyDescent="0.25">
      <c r="A175" s="5">
        <v>45882</v>
      </c>
      <c r="B175" t="s">
        <v>18</v>
      </c>
      <c r="C175">
        <v>6</v>
      </c>
      <c r="D175">
        <v>2300</v>
      </c>
      <c r="E175">
        <v>2350</v>
      </c>
      <c r="F175">
        <f t="shared" si="8"/>
        <v>-50</v>
      </c>
      <c r="G175" s="8">
        <f t="shared" si="9"/>
        <v>13800</v>
      </c>
      <c r="H175" s="8">
        <f t="shared" si="10"/>
        <v>14100</v>
      </c>
      <c r="I175" s="8">
        <f t="shared" si="11"/>
        <v>-300</v>
      </c>
      <c r="J175" t="s">
        <v>79</v>
      </c>
    </row>
    <row r="176" spans="1:10" x14ac:dyDescent="0.25">
      <c r="A176" s="5">
        <v>45882</v>
      </c>
      <c r="B176" t="s">
        <v>16</v>
      </c>
      <c r="C176">
        <v>1</v>
      </c>
      <c r="D176">
        <v>3600</v>
      </c>
      <c r="E176">
        <v>3500</v>
      </c>
      <c r="F176">
        <f t="shared" si="8"/>
        <v>100</v>
      </c>
      <c r="G176" s="8">
        <f t="shared" si="9"/>
        <v>3600</v>
      </c>
      <c r="H176" s="8">
        <f t="shared" si="10"/>
        <v>3500</v>
      </c>
      <c r="I176" s="8">
        <f t="shared" si="11"/>
        <v>100</v>
      </c>
      <c r="J176" t="s">
        <v>79</v>
      </c>
    </row>
    <row r="177" spans="1:10" x14ac:dyDescent="0.25">
      <c r="A177" s="5">
        <v>45882</v>
      </c>
      <c r="B177" t="s">
        <v>16</v>
      </c>
      <c r="C177">
        <v>2</v>
      </c>
      <c r="D177">
        <v>3750</v>
      </c>
      <c r="E177">
        <v>3600</v>
      </c>
      <c r="F177">
        <f t="shared" si="8"/>
        <v>150</v>
      </c>
      <c r="G177" s="8">
        <f t="shared" si="9"/>
        <v>7500</v>
      </c>
      <c r="H177" s="8">
        <f t="shared" si="10"/>
        <v>7200</v>
      </c>
      <c r="I177" s="8">
        <f t="shared" si="11"/>
        <v>300</v>
      </c>
      <c r="J177" t="s">
        <v>79</v>
      </c>
    </row>
    <row r="178" spans="1:10" x14ac:dyDescent="0.25">
      <c r="A178" s="5">
        <v>45882</v>
      </c>
      <c r="B178" t="s">
        <v>19</v>
      </c>
      <c r="C178">
        <v>2</v>
      </c>
      <c r="D178">
        <v>5900</v>
      </c>
      <c r="E178">
        <v>4100</v>
      </c>
      <c r="F178">
        <f t="shared" si="8"/>
        <v>1800</v>
      </c>
      <c r="G178" s="8">
        <f t="shared" si="9"/>
        <v>11800</v>
      </c>
      <c r="H178" s="8">
        <f t="shared" si="10"/>
        <v>8200</v>
      </c>
      <c r="I178" s="8">
        <f t="shared" si="11"/>
        <v>3600</v>
      </c>
      <c r="J178" t="s">
        <v>79</v>
      </c>
    </row>
    <row r="179" spans="1:10" x14ac:dyDescent="0.25">
      <c r="A179" s="5">
        <v>45882</v>
      </c>
      <c r="B179" t="s">
        <v>19</v>
      </c>
      <c r="C179">
        <v>1</v>
      </c>
      <c r="D179">
        <v>6050</v>
      </c>
      <c r="E179">
        <v>4100</v>
      </c>
      <c r="F179">
        <f t="shared" si="8"/>
        <v>1950</v>
      </c>
      <c r="G179" s="8">
        <f t="shared" si="9"/>
        <v>6050</v>
      </c>
      <c r="H179" s="8">
        <f t="shared" si="10"/>
        <v>4100</v>
      </c>
      <c r="I179" s="8">
        <f t="shared" si="11"/>
        <v>1950</v>
      </c>
      <c r="J179" t="s">
        <v>79</v>
      </c>
    </row>
    <row r="180" spans="1:10" x14ac:dyDescent="0.25">
      <c r="A180" s="5">
        <v>45882</v>
      </c>
      <c r="B180" t="s">
        <v>54</v>
      </c>
      <c r="C180">
        <v>1</v>
      </c>
      <c r="D180">
        <v>5200</v>
      </c>
      <c r="E180">
        <v>3700</v>
      </c>
      <c r="F180">
        <f t="shared" si="8"/>
        <v>1500</v>
      </c>
      <c r="G180" s="8">
        <f t="shared" si="9"/>
        <v>5200</v>
      </c>
      <c r="H180" s="8">
        <f t="shared" si="10"/>
        <v>3700</v>
      </c>
      <c r="I180" s="8">
        <f t="shared" si="11"/>
        <v>1500</v>
      </c>
      <c r="J180" t="s">
        <v>79</v>
      </c>
    </row>
    <row r="181" spans="1:10" x14ac:dyDescent="0.25">
      <c r="A181" s="5">
        <v>45882</v>
      </c>
      <c r="B181" t="s">
        <v>42</v>
      </c>
      <c r="C181">
        <v>1</v>
      </c>
      <c r="D181">
        <v>1690</v>
      </c>
      <c r="E181">
        <v>1584</v>
      </c>
      <c r="F181">
        <f t="shared" si="8"/>
        <v>106</v>
      </c>
      <c r="G181" s="8">
        <f t="shared" si="9"/>
        <v>1690</v>
      </c>
      <c r="H181" s="8">
        <f t="shared" si="10"/>
        <v>1584</v>
      </c>
      <c r="I181" s="8">
        <f t="shared" si="11"/>
        <v>106</v>
      </c>
      <c r="J181" t="s">
        <v>79</v>
      </c>
    </row>
    <row r="182" spans="1:10" x14ac:dyDescent="0.25">
      <c r="A182" s="5">
        <v>45883</v>
      </c>
      <c r="B182" t="s">
        <v>37</v>
      </c>
      <c r="C182">
        <v>8</v>
      </c>
      <c r="D182">
        <v>1920</v>
      </c>
      <c r="E182">
        <v>1800</v>
      </c>
      <c r="F182">
        <f t="shared" si="8"/>
        <v>120</v>
      </c>
      <c r="G182" s="8">
        <f t="shared" si="9"/>
        <v>15360</v>
      </c>
      <c r="H182" s="8">
        <f t="shared" si="10"/>
        <v>14400</v>
      </c>
      <c r="I182" s="8">
        <f t="shared" si="11"/>
        <v>960</v>
      </c>
      <c r="J182" t="s">
        <v>79</v>
      </c>
    </row>
    <row r="183" spans="1:10" x14ac:dyDescent="0.25">
      <c r="A183" s="5">
        <v>45883</v>
      </c>
      <c r="B183" t="s">
        <v>13</v>
      </c>
      <c r="C183">
        <v>5</v>
      </c>
      <c r="D183">
        <v>2480</v>
      </c>
      <c r="E183">
        <v>2400</v>
      </c>
      <c r="F183">
        <f t="shared" si="8"/>
        <v>80</v>
      </c>
      <c r="G183" s="8">
        <f t="shared" si="9"/>
        <v>12400</v>
      </c>
      <c r="H183" s="8">
        <f t="shared" si="10"/>
        <v>12000</v>
      </c>
      <c r="I183" s="8">
        <f t="shared" si="11"/>
        <v>400</v>
      </c>
      <c r="J183" t="s">
        <v>79</v>
      </c>
    </row>
    <row r="184" spans="1:10" x14ac:dyDescent="0.25">
      <c r="A184" s="5">
        <v>45883</v>
      </c>
      <c r="B184" t="s">
        <v>13</v>
      </c>
      <c r="C184">
        <v>5</v>
      </c>
      <c r="D184">
        <v>2750</v>
      </c>
      <c r="E184">
        <v>2580</v>
      </c>
      <c r="F184">
        <f t="shared" si="8"/>
        <v>170</v>
      </c>
      <c r="G184" s="8">
        <f t="shared" si="9"/>
        <v>13750</v>
      </c>
      <c r="H184" s="8">
        <f t="shared" si="10"/>
        <v>12900</v>
      </c>
      <c r="I184" s="8">
        <f t="shared" si="11"/>
        <v>850</v>
      </c>
      <c r="J184" t="s">
        <v>79</v>
      </c>
    </row>
    <row r="185" spans="1:10" x14ac:dyDescent="0.25">
      <c r="A185" s="5">
        <v>45883</v>
      </c>
      <c r="B185" t="s">
        <v>37</v>
      </c>
      <c r="C185">
        <v>4</v>
      </c>
      <c r="D185">
        <v>1980</v>
      </c>
      <c r="E185">
        <v>1800</v>
      </c>
      <c r="F185">
        <f t="shared" si="8"/>
        <v>180</v>
      </c>
      <c r="G185" s="8">
        <f t="shared" si="9"/>
        <v>7920</v>
      </c>
      <c r="H185" s="8">
        <f t="shared" si="10"/>
        <v>7200</v>
      </c>
      <c r="I185" s="8">
        <f t="shared" si="11"/>
        <v>720</v>
      </c>
      <c r="J185" t="s">
        <v>79</v>
      </c>
    </row>
    <row r="186" spans="1:10" x14ac:dyDescent="0.25">
      <c r="A186" s="5">
        <v>45883</v>
      </c>
      <c r="B186" t="s">
        <v>43</v>
      </c>
      <c r="C186">
        <v>1</v>
      </c>
      <c r="D186">
        <v>2080</v>
      </c>
      <c r="E186">
        <v>1900</v>
      </c>
      <c r="F186">
        <f t="shared" si="8"/>
        <v>180</v>
      </c>
      <c r="G186" s="8">
        <f t="shared" si="9"/>
        <v>2080</v>
      </c>
      <c r="H186" s="8">
        <f t="shared" si="10"/>
        <v>1900</v>
      </c>
      <c r="I186" s="8">
        <f t="shared" si="11"/>
        <v>180</v>
      </c>
      <c r="J186" t="s">
        <v>79</v>
      </c>
    </row>
    <row r="187" spans="1:10" x14ac:dyDescent="0.25">
      <c r="A187" s="5">
        <v>45884</v>
      </c>
      <c r="B187" t="s">
        <v>18</v>
      </c>
      <c r="C187">
        <v>1</v>
      </c>
      <c r="D187">
        <v>2440</v>
      </c>
      <c r="E187">
        <v>2410</v>
      </c>
      <c r="F187">
        <f t="shared" si="8"/>
        <v>30</v>
      </c>
      <c r="G187" s="8">
        <f t="shared" si="9"/>
        <v>2440</v>
      </c>
      <c r="H187" s="8">
        <f t="shared" si="10"/>
        <v>2410</v>
      </c>
      <c r="I187" s="8">
        <f t="shared" si="11"/>
        <v>30</v>
      </c>
      <c r="J187" t="s">
        <v>79</v>
      </c>
    </row>
    <row r="188" spans="1:10" x14ac:dyDescent="0.25">
      <c r="A188" s="5">
        <v>45884</v>
      </c>
      <c r="B188" t="s">
        <v>13</v>
      </c>
      <c r="C188">
        <v>15</v>
      </c>
      <c r="D188">
        <v>2530</v>
      </c>
      <c r="E188">
        <v>2400</v>
      </c>
      <c r="F188">
        <f t="shared" si="8"/>
        <v>130</v>
      </c>
      <c r="G188" s="8">
        <f t="shared" si="9"/>
        <v>37950</v>
      </c>
      <c r="H188" s="8">
        <f t="shared" si="10"/>
        <v>36000</v>
      </c>
      <c r="I188" s="8">
        <f t="shared" si="11"/>
        <v>1950</v>
      </c>
      <c r="J188" t="s">
        <v>79</v>
      </c>
    </row>
    <row r="189" spans="1:10" x14ac:dyDescent="0.25">
      <c r="A189" s="5">
        <v>45884</v>
      </c>
      <c r="B189" t="s">
        <v>13</v>
      </c>
      <c r="C189">
        <v>5</v>
      </c>
      <c r="D189">
        <v>2670</v>
      </c>
      <c r="E189">
        <v>2580</v>
      </c>
      <c r="F189">
        <f t="shared" si="8"/>
        <v>90</v>
      </c>
      <c r="G189" s="8">
        <f t="shared" si="9"/>
        <v>13350</v>
      </c>
      <c r="H189" s="8">
        <f t="shared" si="10"/>
        <v>12900</v>
      </c>
      <c r="I189" s="8">
        <f t="shared" si="11"/>
        <v>450</v>
      </c>
      <c r="J189" t="s">
        <v>79</v>
      </c>
    </row>
    <row r="190" spans="1:10" x14ac:dyDescent="0.25">
      <c r="A190" s="5">
        <v>45884</v>
      </c>
      <c r="B190" t="s">
        <v>13</v>
      </c>
      <c r="C190">
        <v>2</v>
      </c>
      <c r="D190">
        <v>2600</v>
      </c>
      <c r="E190">
        <v>2500</v>
      </c>
      <c r="F190">
        <f t="shared" si="8"/>
        <v>100</v>
      </c>
      <c r="G190" s="8">
        <f t="shared" si="9"/>
        <v>5200</v>
      </c>
      <c r="H190" s="8">
        <f t="shared" si="10"/>
        <v>5000</v>
      </c>
      <c r="I190" s="8">
        <f t="shared" si="11"/>
        <v>200</v>
      </c>
      <c r="J190" t="s">
        <v>79</v>
      </c>
    </row>
    <row r="191" spans="1:10" x14ac:dyDescent="0.25">
      <c r="A191" s="5">
        <v>45884</v>
      </c>
      <c r="B191" t="s">
        <v>24</v>
      </c>
      <c r="C191">
        <v>1</v>
      </c>
      <c r="D191">
        <v>2940</v>
      </c>
      <c r="E191">
        <v>2700</v>
      </c>
      <c r="F191">
        <f t="shared" si="8"/>
        <v>240</v>
      </c>
      <c r="G191" s="8">
        <f t="shared" si="9"/>
        <v>2940</v>
      </c>
      <c r="H191" s="8">
        <f t="shared" si="10"/>
        <v>2700</v>
      </c>
      <c r="I191" s="8">
        <f t="shared" si="11"/>
        <v>240</v>
      </c>
      <c r="J191" t="s">
        <v>79</v>
      </c>
    </row>
    <row r="192" spans="1:10" x14ac:dyDescent="0.25">
      <c r="A192" s="5">
        <v>45884</v>
      </c>
      <c r="B192" t="s">
        <v>27</v>
      </c>
      <c r="C192">
        <v>3</v>
      </c>
      <c r="D192">
        <v>2340</v>
      </c>
      <c r="E192">
        <v>2100</v>
      </c>
      <c r="F192">
        <f t="shared" si="8"/>
        <v>240</v>
      </c>
      <c r="G192" s="8">
        <f t="shared" si="9"/>
        <v>7020</v>
      </c>
      <c r="H192" s="8">
        <f t="shared" si="10"/>
        <v>6300</v>
      </c>
      <c r="I192" s="8">
        <f t="shared" si="11"/>
        <v>720</v>
      </c>
      <c r="J192" t="s">
        <v>79</v>
      </c>
    </row>
    <row r="193" spans="1:10" x14ac:dyDescent="0.25">
      <c r="A193" s="5">
        <v>45884</v>
      </c>
      <c r="B193" t="s">
        <v>37</v>
      </c>
      <c r="C193">
        <v>1</v>
      </c>
      <c r="D193">
        <v>1850</v>
      </c>
      <c r="E193">
        <v>1800</v>
      </c>
      <c r="F193">
        <f t="shared" si="8"/>
        <v>50</v>
      </c>
      <c r="G193" s="8">
        <f t="shared" si="9"/>
        <v>1850</v>
      </c>
      <c r="H193" s="8">
        <f t="shared" si="10"/>
        <v>1800</v>
      </c>
      <c r="I193" s="8">
        <f t="shared" si="11"/>
        <v>50</v>
      </c>
      <c r="J193" t="s">
        <v>79</v>
      </c>
    </row>
    <row r="194" spans="1:10" x14ac:dyDescent="0.25">
      <c r="A194" s="5">
        <v>45884</v>
      </c>
      <c r="B194" t="s">
        <v>37</v>
      </c>
      <c r="C194">
        <v>1</v>
      </c>
      <c r="D194">
        <v>1700</v>
      </c>
      <c r="E194">
        <v>1800</v>
      </c>
      <c r="F194">
        <f t="shared" ref="F194:F257" si="12">D194-E194</f>
        <v>-100</v>
      </c>
      <c r="G194" s="8">
        <f t="shared" ref="G194:G257" si="13">D194*C194</f>
        <v>1700</v>
      </c>
      <c r="H194" s="8">
        <f t="shared" ref="H194:H257" si="14">E194*C194</f>
        <v>1800</v>
      </c>
      <c r="I194" s="8">
        <f t="shared" ref="I194:I257" si="15">G194-H194</f>
        <v>-100</v>
      </c>
      <c r="J194" t="s">
        <v>79</v>
      </c>
    </row>
    <row r="195" spans="1:10" x14ac:dyDescent="0.25">
      <c r="A195" s="5">
        <v>45884</v>
      </c>
      <c r="B195" t="s">
        <v>56</v>
      </c>
      <c r="C195">
        <v>1</v>
      </c>
      <c r="D195">
        <v>1100</v>
      </c>
      <c r="E195">
        <v>1100</v>
      </c>
      <c r="F195">
        <f t="shared" si="12"/>
        <v>0</v>
      </c>
      <c r="G195" s="8">
        <f t="shared" si="13"/>
        <v>1100</v>
      </c>
      <c r="H195" s="8">
        <f t="shared" si="14"/>
        <v>1100</v>
      </c>
      <c r="I195" s="8">
        <f t="shared" si="15"/>
        <v>0</v>
      </c>
      <c r="J195" t="s">
        <v>79</v>
      </c>
    </row>
    <row r="196" spans="1:10" x14ac:dyDescent="0.25">
      <c r="A196" s="5">
        <v>45884</v>
      </c>
      <c r="B196" t="s">
        <v>37</v>
      </c>
      <c r="C196">
        <v>1</v>
      </c>
      <c r="D196">
        <v>1930</v>
      </c>
      <c r="E196">
        <v>1800</v>
      </c>
      <c r="F196">
        <f t="shared" si="12"/>
        <v>130</v>
      </c>
      <c r="G196" s="8">
        <f t="shared" si="13"/>
        <v>1930</v>
      </c>
      <c r="H196" s="8">
        <f t="shared" si="14"/>
        <v>1800</v>
      </c>
      <c r="I196" s="8">
        <f t="shared" si="15"/>
        <v>130</v>
      </c>
      <c r="J196" t="s">
        <v>79</v>
      </c>
    </row>
    <row r="197" spans="1:10" x14ac:dyDescent="0.25">
      <c r="A197" s="5">
        <v>45884</v>
      </c>
      <c r="B197" t="s">
        <v>13</v>
      </c>
      <c r="C197">
        <v>3</v>
      </c>
      <c r="D197">
        <v>2755</v>
      </c>
      <c r="E197">
        <v>2580</v>
      </c>
      <c r="F197">
        <f t="shared" si="12"/>
        <v>175</v>
      </c>
      <c r="G197" s="8">
        <f t="shared" si="13"/>
        <v>8265</v>
      </c>
      <c r="H197" s="8">
        <f t="shared" si="14"/>
        <v>7740</v>
      </c>
      <c r="I197" s="8">
        <f t="shared" si="15"/>
        <v>525</v>
      </c>
      <c r="J197" t="s">
        <v>79</v>
      </c>
    </row>
    <row r="198" spans="1:10" x14ac:dyDescent="0.25">
      <c r="A198" s="5">
        <v>45886</v>
      </c>
      <c r="B198" t="s">
        <v>13</v>
      </c>
      <c r="C198">
        <v>6</v>
      </c>
      <c r="D198">
        <v>2755</v>
      </c>
      <c r="E198">
        <v>2580</v>
      </c>
      <c r="F198">
        <f t="shared" si="12"/>
        <v>175</v>
      </c>
      <c r="G198" s="8">
        <f t="shared" si="13"/>
        <v>16530</v>
      </c>
      <c r="H198" s="8">
        <f t="shared" si="14"/>
        <v>15480</v>
      </c>
      <c r="I198" s="8">
        <f t="shared" si="15"/>
        <v>1050</v>
      </c>
      <c r="J198" t="s">
        <v>79</v>
      </c>
    </row>
    <row r="199" spans="1:10" x14ac:dyDescent="0.25">
      <c r="A199" s="5">
        <v>45887</v>
      </c>
      <c r="B199" t="s">
        <v>30</v>
      </c>
      <c r="C199">
        <v>1</v>
      </c>
      <c r="D199">
        <v>1650</v>
      </c>
      <c r="E199">
        <v>1600</v>
      </c>
      <c r="F199">
        <f t="shared" si="12"/>
        <v>50</v>
      </c>
      <c r="G199" s="8">
        <f t="shared" si="13"/>
        <v>1650</v>
      </c>
      <c r="H199" s="8">
        <f t="shared" si="14"/>
        <v>1600</v>
      </c>
      <c r="I199" s="8">
        <f t="shared" si="15"/>
        <v>50</v>
      </c>
      <c r="J199" t="s">
        <v>79</v>
      </c>
    </row>
    <row r="200" spans="1:10" x14ac:dyDescent="0.25">
      <c r="A200" s="5">
        <v>45887</v>
      </c>
      <c r="B200" t="s">
        <v>26</v>
      </c>
      <c r="C200">
        <v>5</v>
      </c>
      <c r="D200">
        <v>2150</v>
      </c>
      <c r="E200">
        <v>2070</v>
      </c>
      <c r="F200">
        <f t="shared" si="12"/>
        <v>80</v>
      </c>
      <c r="G200" s="8">
        <f t="shared" si="13"/>
        <v>10750</v>
      </c>
      <c r="H200" s="8">
        <f t="shared" si="14"/>
        <v>10350</v>
      </c>
      <c r="I200" s="8">
        <f t="shared" si="15"/>
        <v>400</v>
      </c>
      <c r="J200" t="s">
        <v>79</v>
      </c>
    </row>
    <row r="201" spans="1:10" x14ac:dyDescent="0.25">
      <c r="A201" s="5">
        <v>45887</v>
      </c>
      <c r="B201" t="s">
        <v>26</v>
      </c>
      <c r="C201">
        <v>2</v>
      </c>
      <c r="D201">
        <v>2000</v>
      </c>
      <c r="E201">
        <v>1950</v>
      </c>
      <c r="F201">
        <f t="shared" si="12"/>
        <v>50</v>
      </c>
      <c r="G201" s="8">
        <f t="shared" si="13"/>
        <v>4000</v>
      </c>
      <c r="H201" s="8">
        <f t="shared" si="14"/>
        <v>3900</v>
      </c>
      <c r="I201" s="8">
        <f t="shared" si="15"/>
        <v>100</v>
      </c>
      <c r="J201" t="s">
        <v>79</v>
      </c>
    </row>
    <row r="202" spans="1:10" x14ac:dyDescent="0.25">
      <c r="A202" s="5">
        <v>45887</v>
      </c>
      <c r="B202" t="s">
        <v>26</v>
      </c>
      <c r="C202">
        <v>1</v>
      </c>
      <c r="D202">
        <v>2070</v>
      </c>
      <c r="E202">
        <v>1950</v>
      </c>
      <c r="F202">
        <f t="shared" si="12"/>
        <v>120</v>
      </c>
      <c r="G202" s="8">
        <f t="shared" si="13"/>
        <v>2070</v>
      </c>
      <c r="H202" s="8">
        <f t="shared" si="14"/>
        <v>1950</v>
      </c>
      <c r="I202" s="8">
        <f t="shared" si="15"/>
        <v>120</v>
      </c>
      <c r="J202" t="s">
        <v>79</v>
      </c>
    </row>
    <row r="203" spans="1:10" x14ac:dyDescent="0.25">
      <c r="A203" s="5">
        <v>45887</v>
      </c>
      <c r="B203" t="s">
        <v>29</v>
      </c>
      <c r="C203">
        <v>2</v>
      </c>
      <c r="D203">
        <v>1550</v>
      </c>
      <c r="E203">
        <v>1400</v>
      </c>
      <c r="F203">
        <f t="shared" si="12"/>
        <v>150</v>
      </c>
      <c r="G203" s="8">
        <f t="shared" si="13"/>
        <v>3100</v>
      </c>
      <c r="H203" s="8">
        <f t="shared" si="14"/>
        <v>2800</v>
      </c>
      <c r="I203" s="8">
        <f t="shared" si="15"/>
        <v>300</v>
      </c>
      <c r="J203" t="s">
        <v>79</v>
      </c>
    </row>
    <row r="204" spans="1:10" x14ac:dyDescent="0.25">
      <c r="A204" s="5">
        <v>45887</v>
      </c>
      <c r="B204" t="s">
        <v>59</v>
      </c>
      <c r="C204">
        <v>1</v>
      </c>
      <c r="D204">
        <v>1925</v>
      </c>
      <c r="E204">
        <v>1800</v>
      </c>
      <c r="F204">
        <f t="shared" si="12"/>
        <v>125</v>
      </c>
      <c r="G204" s="8">
        <f t="shared" si="13"/>
        <v>1925</v>
      </c>
      <c r="H204" s="8">
        <f t="shared" si="14"/>
        <v>1800</v>
      </c>
      <c r="I204" s="8">
        <f t="shared" si="15"/>
        <v>125</v>
      </c>
      <c r="J204" t="s">
        <v>79</v>
      </c>
    </row>
    <row r="205" spans="1:10" x14ac:dyDescent="0.25">
      <c r="A205" s="5">
        <v>45887</v>
      </c>
      <c r="B205" t="s">
        <v>13</v>
      </c>
      <c r="C205">
        <v>2</v>
      </c>
      <c r="D205">
        <v>2755</v>
      </c>
      <c r="E205">
        <v>2580</v>
      </c>
      <c r="F205">
        <f t="shared" si="12"/>
        <v>175</v>
      </c>
      <c r="G205" s="8">
        <f t="shared" si="13"/>
        <v>5510</v>
      </c>
      <c r="H205" s="8">
        <f t="shared" si="14"/>
        <v>5160</v>
      </c>
      <c r="I205" s="8">
        <f t="shared" si="15"/>
        <v>350</v>
      </c>
      <c r="J205" t="s">
        <v>79</v>
      </c>
    </row>
    <row r="206" spans="1:10" x14ac:dyDescent="0.25">
      <c r="A206" s="5">
        <v>45888</v>
      </c>
      <c r="B206" t="s">
        <v>60</v>
      </c>
      <c r="C206">
        <v>1</v>
      </c>
      <c r="D206">
        <v>3300</v>
      </c>
      <c r="E206">
        <v>3250</v>
      </c>
      <c r="F206">
        <f t="shared" si="12"/>
        <v>50</v>
      </c>
      <c r="G206" s="8">
        <f t="shared" si="13"/>
        <v>3300</v>
      </c>
      <c r="H206" s="8">
        <f t="shared" si="14"/>
        <v>3250</v>
      </c>
      <c r="I206" s="8">
        <f t="shared" si="15"/>
        <v>50</v>
      </c>
      <c r="J206" t="s">
        <v>79</v>
      </c>
    </row>
    <row r="207" spans="1:10" x14ac:dyDescent="0.25">
      <c r="A207" s="5">
        <v>45889</v>
      </c>
      <c r="B207" t="s">
        <v>16</v>
      </c>
      <c r="C207">
        <v>4</v>
      </c>
      <c r="D207">
        <v>3930</v>
      </c>
      <c r="E207">
        <v>3600</v>
      </c>
      <c r="F207">
        <f t="shared" si="12"/>
        <v>330</v>
      </c>
      <c r="G207" s="8">
        <f t="shared" si="13"/>
        <v>15720</v>
      </c>
      <c r="H207" s="8">
        <f t="shared" si="14"/>
        <v>14400</v>
      </c>
      <c r="I207" s="8">
        <f t="shared" si="15"/>
        <v>1320</v>
      </c>
      <c r="J207" t="s">
        <v>79</v>
      </c>
    </row>
    <row r="208" spans="1:10" x14ac:dyDescent="0.25">
      <c r="A208" s="5">
        <v>45889</v>
      </c>
      <c r="B208" t="s">
        <v>16</v>
      </c>
      <c r="C208">
        <v>1</v>
      </c>
      <c r="D208">
        <v>3700</v>
      </c>
      <c r="E208">
        <v>3500</v>
      </c>
      <c r="F208">
        <f t="shared" si="12"/>
        <v>200</v>
      </c>
      <c r="G208" s="8">
        <f t="shared" si="13"/>
        <v>3700</v>
      </c>
      <c r="H208" s="8">
        <f t="shared" si="14"/>
        <v>3500</v>
      </c>
      <c r="I208" s="8">
        <f t="shared" si="15"/>
        <v>200</v>
      </c>
      <c r="J208" t="s">
        <v>79</v>
      </c>
    </row>
    <row r="209" spans="1:10" x14ac:dyDescent="0.25">
      <c r="A209" s="5">
        <v>45891</v>
      </c>
      <c r="B209" t="s">
        <v>33</v>
      </c>
      <c r="C209">
        <v>26</v>
      </c>
      <c r="D209">
        <v>1520</v>
      </c>
      <c r="E209">
        <v>1191.3</v>
      </c>
      <c r="F209">
        <f t="shared" si="12"/>
        <v>328.70000000000005</v>
      </c>
      <c r="G209" s="8">
        <f t="shared" si="13"/>
        <v>39520</v>
      </c>
      <c r="H209" s="8">
        <f t="shared" si="14"/>
        <v>30973.8</v>
      </c>
      <c r="I209" s="8">
        <f t="shared" si="15"/>
        <v>8546.2000000000007</v>
      </c>
      <c r="J209" t="s">
        <v>79</v>
      </c>
    </row>
    <row r="210" spans="1:10" x14ac:dyDescent="0.25">
      <c r="A210" s="5">
        <v>45891</v>
      </c>
      <c r="B210" t="s">
        <v>36</v>
      </c>
      <c r="C210">
        <v>6</v>
      </c>
      <c r="D210">
        <v>1650</v>
      </c>
      <c r="E210">
        <v>1606.45</v>
      </c>
      <c r="F210">
        <f t="shared" si="12"/>
        <v>43.549999999999955</v>
      </c>
      <c r="G210" s="8">
        <f t="shared" si="13"/>
        <v>9900</v>
      </c>
      <c r="H210" s="8">
        <f t="shared" si="14"/>
        <v>9638.7000000000007</v>
      </c>
      <c r="I210" s="8">
        <f t="shared" si="15"/>
        <v>261.29999999999927</v>
      </c>
      <c r="J210" t="s">
        <v>79</v>
      </c>
    </row>
    <row r="211" spans="1:10" x14ac:dyDescent="0.25">
      <c r="A211" s="5">
        <v>45891</v>
      </c>
      <c r="B211" t="s">
        <v>32</v>
      </c>
      <c r="C211">
        <v>4</v>
      </c>
      <c r="D211">
        <v>1665</v>
      </c>
      <c r="E211">
        <v>1404</v>
      </c>
      <c r="F211">
        <f t="shared" si="12"/>
        <v>261</v>
      </c>
      <c r="G211" s="8">
        <f t="shared" si="13"/>
        <v>6660</v>
      </c>
      <c r="H211" s="8">
        <f t="shared" si="14"/>
        <v>5616</v>
      </c>
      <c r="I211" s="8">
        <f t="shared" si="15"/>
        <v>1044</v>
      </c>
      <c r="J211" t="s">
        <v>79</v>
      </c>
    </row>
    <row r="212" spans="1:10" x14ac:dyDescent="0.25">
      <c r="A212" s="5">
        <v>45891</v>
      </c>
      <c r="B212" t="s">
        <v>32</v>
      </c>
      <c r="C212">
        <v>5</v>
      </c>
      <c r="D212">
        <v>1740</v>
      </c>
      <c r="E212">
        <v>1404</v>
      </c>
      <c r="F212">
        <f t="shared" si="12"/>
        <v>336</v>
      </c>
      <c r="G212" s="8">
        <f t="shared" si="13"/>
        <v>8700</v>
      </c>
      <c r="H212" s="8">
        <f t="shared" si="14"/>
        <v>7020</v>
      </c>
      <c r="I212" s="8">
        <f t="shared" si="15"/>
        <v>1680</v>
      </c>
      <c r="J212" t="s">
        <v>79</v>
      </c>
    </row>
    <row r="213" spans="1:10" x14ac:dyDescent="0.25">
      <c r="A213" s="5">
        <v>45892</v>
      </c>
      <c r="B213" t="s">
        <v>13</v>
      </c>
      <c r="C213">
        <v>7</v>
      </c>
      <c r="D213">
        <v>2530</v>
      </c>
      <c r="E213">
        <v>2400</v>
      </c>
      <c r="F213">
        <f t="shared" si="12"/>
        <v>130</v>
      </c>
      <c r="G213" s="8">
        <f t="shared" si="13"/>
        <v>17710</v>
      </c>
      <c r="H213" s="8">
        <f t="shared" si="14"/>
        <v>16800</v>
      </c>
      <c r="I213" s="8">
        <f t="shared" si="15"/>
        <v>910</v>
      </c>
      <c r="J213" t="s">
        <v>79</v>
      </c>
    </row>
    <row r="214" spans="1:10" x14ac:dyDescent="0.25">
      <c r="A214" s="5">
        <v>45892</v>
      </c>
      <c r="B214" t="s">
        <v>13</v>
      </c>
      <c r="C214">
        <v>2</v>
      </c>
      <c r="D214">
        <v>2670</v>
      </c>
      <c r="E214">
        <v>2580</v>
      </c>
      <c r="F214">
        <f t="shared" si="12"/>
        <v>90</v>
      </c>
      <c r="G214" s="8">
        <f t="shared" si="13"/>
        <v>5340</v>
      </c>
      <c r="H214" s="8">
        <f t="shared" si="14"/>
        <v>5160</v>
      </c>
      <c r="I214" s="8">
        <f t="shared" si="15"/>
        <v>180</v>
      </c>
      <c r="J214" t="s">
        <v>79</v>
      </c>
    </row>
    <row r="215" spans="1:10" x14ac:dyDescent="0.25">
      <c r="A215" s="5">
        <v>45892</v>
      </c>
      <c r="B215" t="s">
        <v>24</v>
      </c>
      <c r="C215">
        <v>2</v>
      </c>
      <c r="D215">
        <v>2940</v>
      </c>
      <c r="E215">
        <v>2700</v>
      </c>
      <c r="F215">
        <f t="shared" si="12"/>
        <v>240</v>
      </c>
      <c r="G215" s="8">
        <f t="shared" si="13"/>
        <v>5880</v>
      </c>
      <c r="H215" s="8">
        <f t="shared" si="14"/>
        <v>5400</v>
      </c>
      <c r="I215" s="8">
        <f t="shared" si="15"/>
        <v>480</v>
      </c>
      <c r="J215" t="s">
        <v>79</v>
      </c>
    </row>
    <row r="216" spans="1:10" x14ac:dyDescent="0.25">
      <c r="A216" s="5">
        <v>45892</v>
      </c>
      <c r="B216" t="s">
        <v>45</v>
      </c>
      <c r="C216">
        <v>2</v>
      </c>
      <c r="D216">
        <v>2650</v>
      </c>
      <c r="E216">
        <v>2200</v>
      </c>
      <c r="F216">
        <f t="shared" si="12"/>
        <v>450</v>
      </c>
      <c r="G216" s="8">
        <f t="shared" si="13"/>
        <v>5300</v>
      </c>
      <c r="H216" s="8">
        <f t="shared" si="14"/>
        <v>4400</v>
      </c>
      <c r="I216" s="8">
        <f t="shared" si="15"/>
        <v>900</v>
      </c>
      <c r="J216" t="s">
        <v>79</v>
      </c>
    </row>
    <row r="217" spans="1:10" x14ac:dyDescent="0.25">
      <c r="A217" s="5">
        <v>45892</v>
      </c>
      <c r="B217" t="s">
        <v>13</v>
      </c>
      <c r="C217">
        <v>1</v>
      </c>
      <c r="D217">
        <v>2500</v>
      </c>
      <c r="E217">
        <v>2400</v>
      </c>
      <c r="F217">
        <f t="shared" si="12"/>
        <v>100</v>
      </c>
      <c r="G217" s="8">
        <f t="shared" si="13"/>
        <v>2500</v>
      </c>
      <c r="H217" s="8">
        <f t="shared" si="14"/>
        <v>2400</v>
      </c>
      <c r="I217" s="8">
        <f t="shared" si="15"/>
        <v>100</v>
      </c>
      <c r="J217" t="s">
        <v>79</v>
      </c>
    </row>
    <row r="218" spans="1:10" x14ac:dyDescent="0.25">
      <c r="A218" s="5">
        <v>45892</v>
      </c>
      <c r="B218" t="s">
        <v>37</v>
      </c>
      <c r="C218">
        <v>4</v>
      </c>
      <c r="D218">
        <v>1980</v>
      </c>
      <c r="E218">
        <v>2000</v>
      </c>
      <c r="F218">
        <f t="shared" si="12"/>
        <v>-20</v>
      </c>
      <c r="G218" s="8">
        <f t="shared" si="13"/>
        <v>7920</v>
      </c>
      <c r="H218" s="8">
        <f t="shared" si="14"/>
        <v>8000</v>
      </c>
      <c r="I218" s="8">
        <f t="shared" si="15"/>
        <v>-80</v>
      </c>
      <c r="J218" t="s">
        <v>79</v>
      </c>
    </row>
    <row r="219" spans="1:10" x14ac:dyDescent="0.25">
      <c r="A219" s="5">
        <v>45892</v>
      </c>
      <c r="B219" t="s">
        <v>13</v>
      </c>
      <c r="C219">
        <v>7</v>
      </c>
      <c r="D219">
        <v>2745</v>
      </c>
      <c r="E219">
        <v>2580</v>
      </c>
      <c r="F219">
        <f t="shared" si="12"/>
        <v>165</v>
      </c>
      <c r="G219" s="8">
        <f t="shared" si="13"/>
        <v>19215</v>
      </c>
      <c r="H219" s="8">
        <f t="shared" si="14"/>
        <v>18060</v>
      </c>
      <c r="I219" s="8">
        <f t="shared" si="15"/>
        <v>1155</v>
      </c>
      <c r="J219" t="s">
        <v>79</v>
      </c>
    </row>
    <row r="220" spans="1:10" x14ac:dyDescent="0.25">
      <c r="A220" s="5">
        <v>45892</v>
      </c>
      <c r="B220" t="s">
        <v>26</v>
      </c>
      <c r="C220">
        <v>5</v>
      </c>
      <c r="D220">
        <v>2170</v>
      </c>
      <c r="E220">
        <v>2070</v>
      </c>
      <c r="F220">
        <f t="shared" si="12"/>
        <v>100</v>
      </c>
      <c r="G220" s="8">
        <f t="shared" si="13"/>
        <v>10850</v>
      </c>
      <c r="H220" s="8">
        <f t="shared" si="14"/>
        <v>10350</v>
      </c>
      <c r="I220" s="8">
        <f t="shared" si="15"/>
        <v>500</v>
      </c>
      <c r="J220" t="s">
        <v>79</v>
      </c>
    </row>
    <row r="221" spans="1:10" x14ac:dyDescent="0.25">
      <c r="A221" s="5">
        <v>45892</v>
      </c>
      <c r="B221" t="s">
        <v>13</v>
      </c>
      <c r="C221">
        <v>1</v>
      </c>
      <c r="D221">
        <v>2620</v>
      </c>
      <c r="E221">
        <v>2500</v>
      </c>
      <c r="F221">
        <f t="shared" si="12"/>
        <v>120</v>
      </c>
      <c r="G221" s="8">
        <f t="shared" si="13"/>
        <v>2620</v>
      </c>
      <c r="H221" s="8">
        <f t="shared" si="14"/>
        <v>2500</v>
      </c>
      <c r="I221" s="8">
        <f t="shared" si="15"/>
        <v>120</v>
      </c>
      <c r="J221" t="s">
        <v>79</v>
      </c>
    </row>
    <row r="222" spans="1:10" x14ac:dyDescent="0.25">
      <c r="A222" s="5">
        <v>45894</v>
      </c>
      <c r="B222" t="s">
        <v>31</v>
      </c>
      <c r="C222">
        <v>11</v>
      </c>
      <c r="D222">
        <v>2400</v>
      </c>
      <c r="E222">
        <v>2160</v>
      </c>
      <c r="F222">
        <f t="shared" si="12"/>
        <v>240</v>
      </c>
      <c r="G222" s="8">
        <f t="shared" si="13"/>
        <v>26400</v>
      </c>
      <c r="H222" s="8">
        <f t="shared" si="14"/>
        <v>23760</v>
      </c>
      <c r="I222" s="8">
        <f t="shared" si="15"/>
        <v>2640</v>
      </c>
      <c r="J222" t="s">
        <v>79</v>
      </c>
    </row>
    <row r="223" spans="1:10" x14ac:dyDescent="0.25">
      <c r="A223" s="5">
        <v>45894</v>
      </c>
      <c r="B223" t="s">
        <v>32</v>
      </c>
      <c r="C223">
        <v>4</v>
      </c>
      <c r="D223">
        <v>1680</v>
      </c>
      <c r="F223">
        <f t="shared" si="12"/>
        <v>1680</v>
      </c>
      <c r="G223" s="8">
        <f t="shared" si="13"/>
        <v>6720</v>
      </c>
      <c r="H223" s="8">
        <f t="shared" si="14"/>
        <v>0</v>
      </c>
      <c r="I223" s="8">
        <f t="shared" si="15"/>
        <v>6720</v>
      </c>
      <c r="J223" t="s">
        <v>79</v>
      </c>
    </row>
    <row r="224" spans="1:10" x14ac:dyDescent="0.25">
      <c r="A224" s="5">
        <v>45894</v>
      </c>
      <c r="B224" t="s">
        <v>33</v>
      </c>
      <c r="C224">
        <v>1</v>
      </c>
      <c r="D224">
        <v>1470</v>
      </c>
      <c r="E224">
        <v>1180</v>
      </c>
      <c r="F224">
        <f t="shared" si="12"/>
        <v>290</v>
      </c>
      <c r="G224" s="8">
        <f t="shared" si="13"/>
        <v>1470</v>
      </c>
      <c r="H224" s="8">
        <f t="shared" si="14"/>
        <v>1180</v>
      </c>
      <c r="I224" s="8">
        <f t="shared" si="15"/>
        <v>290</v>
      </c>
      <c r="J224" t="s">
        <v>79</v>
      </c>
    </row>
    <row r="225" spans="1:10" x14ac:dyDescent="0.25">
      <c r="A225" s="5">
        <v>45894</v>
      </c>
      <c r="B225" t="s">
        <v>33</v>
      </c>
      <c r="C225">
        <v>2</v>
      </c>
      <c r="D225">
        <v>1440</v>
      </c>
      <c r="E225">
        <v>1180</v>
      </c>
      <c r="F225">
        <f t="shared" si="12"/>
        <v>260</v>
      </c>
      <c r="G225" s="8">
        <f t="shared" si="13"/>
        <v>2880</v>
      </c>
      <c r="H225" s="8">
        <f t="shared" si="14"/>
        <v>2360</v>
      </c>
      <c r="I225" s="8">
        <f t="shared" si="15"/>
        <v>520</v>
      </c>
      <c r="J225" t="s">
        <v>79</v>
      </c>
    </row>
    <row r="226" spans="1:10" x14ac:dyDescent="0.25">
      <c r="A226" s="5">
        <v>45894</v>
      </c>
      <c r="B226" t="s">
        <v>34</v>
      </c>
      <c r="C226">
        <v>7</v>
      </c>
      <c r="D226">
        <v>1745</v>
      </c>
      <c r="E226">
        <v>1530</v>
      </c>
      <c r="F226">
        <f t="shared" si="12"/>
        <v>215</v>
      </c>
      <c r="G226" s="8">
        <f t="shared" si="13"/>
        <v>12215</v>
      </c>
      <c r="H226" s="8">
        <f t="shared" si="14"/>
        <v>10710</v>
      </c>
      <c r="I226" s="8">
        <f t="shared" si="15"/>
        <v>1505</v>
      </c>
      <c r="J226" t="s">
        <v>79</v>
      </c>
    </row>
    <row r="227" spans="1:10" x14ac:dyDescent="0.25">
      <c r="A227" s="5">
        <v>45894</v>
      </c>
      <c r="B227" t="s">
        <v>66</v>
      </c>
      <c r="C227">
        <v>1</v>
      </c>
      <c r="D227">
        <v>960</v>
      </c>
      <c r="E227">
        <v>792</v>
      </c>
      <c r="F227">
        <f t="shared" si="12"/>
        <v>168</v>
      </c>
      <c r="G227" s="8">
        <f t="shared" si="13"/>
        <v>960</v>
      </c>
      <c r="H227" s="8">
        <f t="shared" si="14"/>
        <v>792</v>
      </c>
      <c r="I227" s="8">
        <f t="shared" si="15"/>
        <v>168</v>
      </c>
      <c r="J227" t="s">
        <v>79</v>
      </c>
    </row>
    <row r="228" spans="1:10" x14ac:dyDescent="0.25">
      <c r="A228" s="5">
        <v>45894</v>
      </c>
      <c r="B228" t="s">
        <v>37</v>
      </c>
      <c r="C228">
        <v>1</v>
      </c>
      <c r="D228">
        <v>1980</v>
      </c>
      <c r="E228">
        <v>1800</v>
      </c>
      <c r="F228">
        <f t="shared" si="12"/>
        <v>180</v>
      </c>
      <c r="G228" s="8">
        <f t="shared" si="13"/>
        <v>1980</v>
      </c>
      <c r="H228" s="8">
        <f t="shared" si="14"/>
        <v>1800</v>
      </c>
      <c r="I228" s="8">
        <f t="shared" si="15"/>
        <v>180</v>
      </c>
      <c r="J228" t="s">
        <v>79</v>
      </c>
    </row>
    <row r="229" spans="1:10" x14ac:dyDescent="0.25">
      <c r="A229" s="5">
        <v>45894</v>
      </c>
      <c r="B229" t="s">
        <v>13</v>
      </c>
      <c r="C229">
        <v>1</v>
      </c>
      <c r="D229">
        <v>2740</v>
      </c>
      <c r="E229">
        <v>2580</v>
      </c>
      <c r="F229">
        <f t="shared" si="12"/>
        <v>160</v>
      </c>
      <c r="G229" s="8">
        <f t="shared" si="13"/>
        <v>2740</v>
      </c>
      <c r="H229" s="8">
        <f t="shared" si="14"/>
        <v>2580</v>
      </c>
      <c r="I229" s="8">
        <f t="shared" si="15"/>
        <v>160</v>
      </c>
      <c r="J229" t="s">
        <v>79</v>
      </c>
    </row>
    <row r="230" spans="1:10" x14ac:dyDescent="0.25">
      <c r="A230" s="5">
        <v>45894</v>
      </c>
      <c r="B230" t="s">
        <v>26</v>
      </c>
      <c r="C230">
        <v>2</v>
      </c>
      <c r="D230">
        <v>2030</v>
      </c>
      <c r="E230">
        <v>1950</v>
      </c>
      <c r="F230">
        <f t="shared" si="12"/>
        <v>80</v>
      </c>
      <c r="G230" s="8">
        <f t="shared" si="13"/>
        <v>4060</v>
      </c>
      <c r="H230" s="8">
        <f t="shared" si="14"/>
        <v>3900</v>
      </c>
      <c r="I230" s="8">
        <f t="shared" si="15"/>
        <v>160</v>
      </c>
      <c r="J230" t="s">
        <v>79</v>
      </c>
    </row>
    <row r="231" spans="1:10" x14ac:dyDescent="0.25">
      <c r="A231" s="5">
        <v>45894</v>
      </c>
      <c r="B231" t="s">
        <v>26</v>
      </c>
      <c r="C231">
        <v>1</v>
      </c>
      <c r="D231">
        <v>2160</v>
      </c>
      <c r="E231">
        <v>2070</v>
      </c>
      <c r="F231">
        <f t="shared" si="12"/>
        <v>90</v>
      </c>
      <c r="G231" s="8">
        <f t="shared" si="13"/>
        <v>2160</v>
      </c>
      <c r="H231" s="8">
        <f t="shared" si="14"/>
        <v>2070</v>
      </c>
      <c r="I231" s="8">
        <f t="shared" si="15"/>
        <v>90</v>
      </c>
      <c r="J231" t="s">
        <v>79</v>
      </c>
    </row>
    <row r="232" spans="1:10" x14ac:dyDescent="0.25">
      <c r="A232" s="5">
        <v>45894</v>
      </c>
      <c r="B232" t="s">
        <v>45</v>
      </c>
      <c r="C232">
        <v>1</v>
      </c>
      <c r="D232">
        <v>2430</v>
      </c>
      <c r="E232">
        <v>2200</v>
      </c>
      <c r="F232">
        <f t="shared" si="12"/>
        <v>230</v>
      </c>
      <c r="G232" s="8">
        <f t="shared" si="13"/>
        <v>2430</v>
      </c>
      <c r="H232" s="8">
        <f t="shared" si="14"/>
        <v>2200</v>
      </c>
      <c r="I232" s="8">
        <f t="shared" si="15"/>
        <v>230</v>
      </c>
      <c r="J232" t="s">
        <v>79</v>
      </c>
    </row>
    <row r="233" spans="1:10" x14ac:dyDescent="0.25">
      <c r="A233" s="5">
        <v>45894</v>
      </c>
      <c r="B233" t="s">
        <v>26</v>
      </c>
      <c r="C233">
        <v>1</v>
      </c>
      <c r="D233">
        <v>2100</v>
      </c>
      <c r="E233">
        <v>1950</v>
      </c>
      <c r="F233">
        <f t="shared" si="12"/>
        <v>150</v>
      </c>
      <c r="G233" s="8">
        <f t="shared" si="13"/>
        <v>2100</v>
      </c>
      <c r="H233" s="8">
        <f t="shared" si="14"/>
        <v>1950</v>
      </c>
      <c r="I233" s="8">
        <f t="shared" si="15"/>
        <v>150</v>
      </c>
      <c r="J233" t="s">
        <v>79</v>
      </c>
    </row>
    <row r="234" spans="1:10" x14ac:dyDescent="0.25">
      <c r="A234" s="5">
        <v>45894</v>
      </c>
      <c r="B234" t="s">
        <v>27</v>
      </c>
      <c r="C234">
        <v>1</v>
      </c>
      <c r="D234">
        <v>2250</v>
      </c>
      <c r="E234">
        <v>2100</v>
      </c>
      <c r="F234">
        <f t="shared" si="12"/>
        <v>150</v>
      </c>
      <c r="G234" s="8">
        <f t="shared" si="13"/>
        <v>2250</v>
      </c>
      <c r="H234" s="8">
        <f t="shared" si="14"/>
        <v>2100</v>
      </c>
      <c r="I234" s="8">
        <f t="shared" si="15"/>
        <v>150</v>
      </c>
      <c r="J234" t="s">
        <v>79</v>
      </c>
    </row>
    <row r="235" spans="1:10" x14ac:dyDescent="0.25">
      <c r="A235" s="5">
        <v>45894</v>
      </c>
      <c r="B235" t="s">
        <v>29</v>
      </c>
      <c r="C235">
        <v>1</v>
      </c>
      <c r="D235">
        <v>1500</v>
      </c>
      <c r="E235">
        <v>1400</v>
      </c>
      <c r="F235">
        <f t="shared" si="12"/>
        <v>100</v>
      </c>
      <c r="G235" s="8">
        <f t="shared" si="13"/>
        <v>1500</v>
      </c>
      <c r="H235" s="8">
        <f t="shared" si="14"/>
        <v>1400</v>
      </c>
      <c r="I235" s="8">
        <f t="shared" si="15"/>
        <v>100</v>
      </c>
      <c r="J235" t="s">
        <v>79</v>
      </c>
    </row>
    <row r="236" spans="1:10" x14ac:dyDescent="0.25">
      <c r="A236" s="5">
        <v>45895</v>
      </c>
      <c r="B236" t="s">
        <v>25</v>
      </c>
      <c r="C236">
        <v>1</v>
      </c>
      <c r="D236">
        <v>3250</v>
      </c>
      <c r="E236">
        <v>2800</v>
      </c>
      <c r="F236">
        <f t="shared" si="12"/>
        <v>450</v>
      </c>
      <c r="G236" s="8">
        <f t="shared" si="13"/>
        <v>3250</v>
      </c>
      <c r="H236" s="8">
        <f t="shared" si="14"/>
        <v>2800</v>
      </c>
      <c r="I236" s="8">
        <f t="shared" si="15"/>
        <v>450</v>
      </c>
      <c r="J236" t="s">
        <v>79</v>
      </c>
    </row>
    <row r="237" spans="1:10" x14ac:dyDescent="0.25">
      <c r="A237" s="5">
        <v>45895</v>
      </c>
      <c r="B237" t="s">
        <v>13</v>
      </c>
      <c r="C237">
        <v>1</v>
      </c>
      <c r="D237">
        <v>2630</v>
      </c>
      <c r="E237">
        <v>2580</v>
      </c>
      <c r="F237">
        <f t="shared" si="12"/>
        <v>50</v>
      </c>
      <c r="G237" s="8">
        <f t="shared" si="13"/>
        <v>2630</v>
      </c>
      <c r="H237" s="8">
        <f t="shared" si="14"/>
        <v>2580</v>
      </c>
      <c r="I237" s="8">
        <f t="shared" si="15"/>
        <v>50</v>
      </c>
      <c r="J237" t="s">
        <v>79</v>
      </c>
    </row>
    <row r="238" spans="1:10" x14ac:dyDescent="0.25">
      <c r="A238" s="5">
        <v>45895</v>
      </c>
      <c r="B238" t="s">
        <v>13</v>
      </c>
      <c r="C238">
        <v>3</v>
      </c>
      <c r="D238">
        <v>2530</v>
      </c>
      <c r="E238">
        <v>2400</v>
      </c>
      <c r="F238">
        <f t="shared" si="12"/>
        <v>130</v>
      </c>
      <c r="G238" s="8">
        <f t="shared" si="13"/>
        <v>7590</v>
      </c>
      <c r="H238" s="8">
        <f t="shared" si="14"/>
        <v>7200</v>
      </c>
      <c r="I238" s="8">
        <f t="shared" si="15"/>
        <v>390</v>
      </c>
      <c r="J238" t="s">
        <v>79</v>
      </c>
    </row>
    <row r="239" spans="1:10" x14ac:dyDescent="0.25">
      <c r="A239" s="5">
        <v>45895</v>
      </c>
      <c r="B239" t="s">
        <v>27</v>
      </c>
      <c r="C239">
        <v>1</v>
      </c>
      <c r="D239">
        <v>2330</v>
      </c>
      <c r="E239">
        <v>2100</v>
      </c>
      <c r="F239">
        <f t="shared" si="12"/>
        <v>230</v>
      </c>
      <c r="G239" s="8">
        <f t="shared" si="13"/>
        <v>2330</v>
      </c>
      <c r="H239" s="8">
        <f t="shared" si="14"/>
        <v>2100</v>
      </c>
      <c r="I239" s="8">
        <f t="shared" si="15"/>
        <v>230</v>
      </c>
      <c r="J239" t="s">
        <v>79</v>
      </c>
    </row>
    <row r="240" spans="1:10" x14ac:dyDescent="0.25">
      <c r="A240" s="5">
        <v>45895</v>
      </c>
      <c r="B240" t="s">
        <v>26</v>
      </c>
      <c r="C240">
        <v>2</v>
      </c>
      <c r="D240">
        <v>2050</v>
      </c>
      <c r="E240">
        <v>1950</v>
      </c>
      <c r="F240">
        <f t="shared" si="12"/>
        <v>100</v>
      </c>
      <c r="G240" s="8">
        <f t="shared" si="13"/>
        <v>4100</v>
      </c>
      <c r="H240" s="8">
        <f t="shared" si="14"/>
        <v>3900</v>
      </c>
      <c r="I240" s="8">
        <f t="shared" si="15"/>
        <v>200</v>
      </c>
      <c r="J240" t="s">
        <v>79</v>
      </c>
    </row>
    <row r="241" spans="1:10" x14ac:dyDescent="0.25">
      <c r="A241" s="5">
        <v>45895</v>
      </c>
      <c r="B241" t="s">
        <v>18</v>
      </c>
      <c r="C241">
        <v>13</v>
      </c>
      <c r="D241">
        <v>2200</v>
      </c>
      <c r="E241">
        <v>2225</v>
      </c>
      <c r="F241">
        <f t="shared" si="12"/>
        <v>-25</v>
      </c>
      <c r="G241" s="8">
        <f t="shared" si="13"/>
        <v>28600</v>
      </c>
      <c r="H241" s="8">
        <f t="shared" si="14"/>
        <v>28925</v>
      </c>
      <c r="I241" s="8">
        <f t="shared" si="15"/>
        <v>-325</v>
      </c>
      <c r="J241" t="s">
        <v>79</v>
      </c>
    </row>
    <row r="242" spans="1:10" x14ac:dyDescent="0.25">
      <c r="A242" s="5">
        <v>45895</v>
      </c>
      <c r="B242" t="s">
        <v>18</v>
      </c>
      <c r="C242">
        <v>4</v>
      </c>
      <c r="D242">
        <v>2250</v>
      </c>
      <c r="E242">
        <v>2225</v>
      </c>
      <c r="F242">
        <f t="shared" si="12"/>
        <v>25</v>
      </c>
      <c r="G242" s="8">
        <f t="shared" si="13"/>
        <v>9000</v>
      </c>
      <c r="H242" s="8">
        <f t="shared" si="14"/>
        <v>8900</v>
      </c>
      <c r="I242" s="8">
        <f t="shared" si="15"/>
        <v>100</v>
      </c>
      <c r="J242" t="s">
        <v>79</v>
      </c>
    </row>
    <row r="243" spans="1:10" x14ac:dyDescent="0.25">
      <c r="A243" s="5">
        <v>45895</v>
      </c>
      <c r="B243" t="s">
        <v>18</v>
      </c>
      <c r="C243">
        <v>2</v>
      </c>
      <c r="D243">
        <v>2250</v>
      </c>
      <c r="E243">
        <v>2225</v>
      </c>
      <c r="F243">
        <f t="shared" si="12"/>
        <v>25</v>
      </c>
      <c r="G243" s="8">
        <f t="shared" si="13"/>
        <v>4500</v>
      </c>
      <c r="H243" s="8">
        <f t="shared" si="14"/>
        <v>4450</v>
      </c>
      <c r="I243" s="8">
        <f t="shared" si="15"/>
        <v>50</v>
      </c>
      <c r="J243" t="s">
        <v>79</v>
      </c>
    </row>
    <row r="244" spans="1:10" x14ac:dyDescent="0.25">
      <c r="A244" s="5">
        <v>45896</v>
      </c>
      <c r="B244" t="s">
        <v>67</v>
      </c>
      <c r="C244">
        <v>1</v>
      </c>
      <c r="D244">
        <v>630</v>
      </c>
      <c r="E244">
        <v>600</v>
      </c>
      <c r="F244">
        <f t="shared" si="12"/>
        <v>30</v>
      </c>
      <c r="G244" s="8">
        <f t="shared" si="13"/>
        <v>630</v>
      </c>
      <c r="H244" s="8">
        <f t="shared" si="14"/>
        <v>600</v>
      </c>
      <c r="I244" s="8">
        <f t="shared" si="15"/>
        <v>30</v>
      </c>
      <c r="J244" t="s">
        <v>79</v>
      </c>
    </row>
    <row r="245" spans="1:10" x14ac:dyDescent="0.25">
      <c r="A245" s="5">
        <v>45896</v>
      </c>
      <c r="B245" t="s">
        <v>67</v>
      </c>
      <c r="C245">
        <v>1</v>
      </c>
      <c r="D245">
        <v>730</v>
      </c>
      <c r="E245">
        <v>600</v>
      </c>
      <c r="F245">
        <f t="shared" si="12"/>
        <v>130</v>
      </c>
      <c r="G245" s="8">
        <f t="shared" si="13"/>
        <v>730</v>
      </c>
      <c r="H245" s="8">
        <f t="shared" si="14"/>
        <v>600</v>
      </c>
      <c r="I245" s="8">
        <f t="shared" si="15"/>
        <v>130</v>
      </c>
      <c r="J245" t="s">
        <v>79</v>
      </c>
    </row>
    <row r="246" spans="1:10" x14ac:dyDescent="0.25">
      <c r="A246" s="5">
        <v>45896</v>
      </c>
      <c r="B246" t="s">
        <v>68</v>
      </c>
      <c r="C246">
        <v>1</v>
      </c>
      <c r="D246">
        <v>1330</v>
      </c>
      <c r="E246">
        <v>1230</v>
      </c>
      <c r="F246">
        <f t="shared" si="12"/>
        <v>100</v>
      </c>
      <c r="G246" s="8">
        <f t="shared" si="13"/>
        <v>1330</v>
      </c>
      <c r="H246" s="8">
        <f t="shared" si="14"/>
        <v>1230</v>
      </c>
      <c r="I246" s="8">
        <f t="shared" si="15"/>
        <v>100</v>
      </c>
      <c r="J246" t="s">
        <v>79</v>
      </c>
    </row>
    <row r="247" spans="1:10" x14ac:dyDescent="0.25">
      <c r="A247" s="5">
        <v>45896</v>
      </c>
      <c r="B247" t="s">
        <v>69</v>
      </c>
      <c r="C247">
        <v>2</v>
      </c>
      <c r="D247">
        <v>4750</v>
      </c>
      <c r="E247">
        <v>4752</v>
      </c>
      <c r="F247">
        <f t="shared" si="12"/>
        <v>-2</v>
      </c>
      <c r="G247" s="8">
        <f t="shared" si="13"/>
        <v>9500</v>
      </c>
      <c r="H247" s="8">
        <f t="shared" si="14"/>
        <v>9504</v>
      </c>
      <c r="I247" s="8">
        <f t="shared" si="15"/>
        <v>-4</v>
      </c>
      <c r="J247" t="s">
        <v>79</v>
      </c>
    </row>
    <row r="248" spans="1:10" x14ac:dyDescent="0.25">
      <c r="A248" s="5">
        <v>45896</v>
      </c>
      <c r="B248" t="s">
        <v>13</v>
      </c>
      <c r="C248">
        <v>2</v>
      </c>
      <c r="D248">
        <v>2745</v>
      </c>
      <c r="E248">
        <v>2580</v>
      </c>
      <c r="F248">
        <f t="shared" si="12"/>
        <v>165</v>
      </c>
      <c r="G248" s="8">
        <f t="shared" si="13"/>
        <v>5490</v>
      </c>
      <c r="H248" s="8">
        <f t="shared" si="14"/>
        <v>5160</v>
      </c>
      <c r="I248" s="8">
        <f t="shared" si="15"/>
        <v>330</v>
      </c>
      <c r="J248" t="s">
        <v>79</v>
      </c>
    </row>
    <row r="249" spans="1:10" x14ac:dyDescent="0.25">
      <c r="A249" s="5">
        <v>45896</v>
      </c>
      <c r="B249" t="s">
        <v>37</v>
      </c>
      <c r="C249">
        <v>2</v>
      </c>
      <c r="D249">
        <v>2000</v>
      </c>
      <c r="E249">
        <v>1800</v>
      </c>
      <c r="F249">
        <f t="shared" si="12"/>
        <v>200</v>
      </c>
      <c r="G249" s="8">
        <f t="shared" si="13"/>
        <v>4000</v>
      </c>
      <c r="H249" s="8">
        <f t="shared" si="14"/>
        <v>3600</v>
      </c>
      <c r="I249" s="8">
        <f t="shared" si="15"/>
        <v>400</v>
      </c>
      <c r="J249" t="s">
        <v>79</v>
      </c>
    </row>
    <row r="250" spans="1:10" x14ac:dyDescent="0.25">
      <c r="A250" s="5">
        <v>45896</v>
      </c>
      <c r="B250" t="s">
        <v>26</v>
      </c>
      <c r="C250">
        <v>1</v>
      </c>
      <c r="D250">
        <v>2160</v>
      </c>
      <c r="E250">
        <v>2070</v>
      </c>
      <c r="F250">
        <f t="shared" si="12"/>
        <v>90</v>
      </c>
      <c r="G250" s="8">
        <f t="shared" si="13"/>
        <v>2160</v>
      </c>
      <c r="H250" s="8">
        <f t="shared" si="14"/>
        <v>2070</v>
      </c>
      <c r="I250" s="8">
        <f t="shared" si="15"/>
        <v>90</v>
      </c>
      <c r="J250" t="s">
        <v>79</v>
      </c>
    </row>
    <row r="251" spans="1:10" x14ac:dyDescent="0.25">
      <c r="A251" s="5">
        <v>45897</v>
      </c>
      <c r="B251" t="s">
        <v>71</v>
      </c>
      <c r="C251">
        <v>1</v>
      </c>
      <c r="D251">
        <v>3700</v>
      </c>
      <c r="E251">
        <v>3350</v>
      </c>
      <c r="F251">
        <f t="shared" si="12"/>
        <v>350</v>
      </c>
      <c r="G251" s="8">
        <f t="shared" si="13"/>
        <v>3700</v>
      </c>
      <c r="H251" s="8">
        <f t="shared" si="14"/>
        <v>3350</v>
      </c>
      <c r="I251" s="8">
        <f t="shared" si="15"/>
        <v>350</v>
      </c>
      <c r="J251" t="s">
        <v>79</v>
      </c>
    </row>
    <row r="252" spans="1:10" x14ac:dyDescent="0.25">
      <c r="A252" s="5">
        <v>45897</v>
      </c>
      <c r="B252" t="s">
        <v>16</v>
      </c>
      <c r="C252">
        <v>11</v>
      </c>
      <c r="D252">
        <v>3880</v>
      </c>
      <c r="E252">
        <v>3600</v>
      </c>
      <c r="F252">
        <f t="shared" si="12"/>
        <v>280</v>
      </c>
      <c r="G252" s="8">
        <f t="shared" si="13"/>
        <v>42680</v>
      </c>
      <c r="H252" s="8">
        <f t="shared" si="14"/>
        <v>39600</v>
      </c>
      <c r="I252" s="8">
        <f t="shared" si="15"/>
        <v>3080</v>
      </c>
      <c r="J252" t="s">
        <v>79</v>
      </c>
    </row>
    <row r="253" spans="1:10" x14ac:dyDescent="0.25">
      <c r="A253" s="5">
        <v>45897</v>
      </c>
      <c r="B253" t="s">
        <v>18</v>
      </c>
      <c r="C253">
        <v>1</v>
      </c>
      <c r="D253">
        <v>1850</v>
      </c>
      <c r="E253">
        <v>2225</v>
      </c>
      <c r="F253">
        <f t="shared" si="12"/>
        <v>-375</v>
      </c>
      <c r="G253" s="8">
        <f t="shared" si="13"/>
        <v>1850</v>
      </c>
      <c r="H253" s="8">
        <f t="shared" si="14"/>
        <v>2225</v>
      </c>
      <c r="I253" s="8">
        <f t="shared" si="15"/>
        <v>-375</v>
      </c>
      <c r="J253" t="s">
        <v>79</v>
      </c>
    </row>
    <row r="254" spans="1:10" x14ac:dyDescent="0.25">
      <c r="A254" s="5">
        <v>45897</v>
      </c>
      <c r="B254" t="s">
        <v>17</v>
      </c>
      <c r="C254">
        <v>2</v>
      </c>
      <c r="D254">
        <v>4300</v>
      </c>
      <c r="E254">
        <v>3700</v>
      </c>
      <c r="F254">
        <f t="shared" si="12"/>
        <v>600</v>
      </c>
      <c r="G254" s="8">
        <f t="shared" si="13"/>
        <v>8600</v>
      </c>
      <c r="H254" s="8">
        <f t="shared" si="14"/>
        <v>7400</v>
      </c>
      <c r="I254" s="8">
        <f t="shared" si="15"/>
        <v>1200</v>
      </c>
      <c r="J254" t="s">
        <v>79</v>
      </c>
    </row>
    <row r="255" spans="1:10" x14ac:dyDescent="0.25">
      <c r="A255" s="5">
        <v>45897</v>
      </c>
      <c r="B255" t="s">
        <v>16</v>
      </c>
      <c r="C255">
        <v>1</v>
      </c>
      <c r="D255">
        <v>3600</v>
      </c>
      <c r="E255">
        <v>3500</v>
      </c>
      <c r="F255">
        <f t="shared" si="12"/>
        <v>100</v>
      </c>
      <c r="G255" s="8">
        <f t="shared" si="13"/>
        <v>3600</v>
      </c>
      <c r="H255" s="8">
        <f t="shared" si="14"/>
        <v>3500</v>
      </c>
      <c r="I255" s="8">
        <f t="shared" si="15"/>
        <v>100</v>
      </c>
      <c r="J255" t="s">
        <v>79</v>
      </c>
    </row>
    <row r="256" spans="1:10" x14ac:dyDescent="0.25">
      <c r="A256" s="5">
        <v>45897</v>
      </c>
      <c r="B256" t="s">
        <v>72</v>
      </c>
      <c r="C256">
        <v>1</v>
      </c>
      <c r="D256">
        <v>5300</v>
      </c>
      <c r="E256">
        <v>4770</v>
      </c>
      <c r="F256">
        <f t="shared" si="12"/>
        <v>530</v>
      </c>
      <c r="G256" s="8">
        <f t="shared" si="13"/>
        <v>5300</v>
      </c>
      <c r="H256" s="8">
        <f t="shared" si="14"/>
        <v>4770</v>
      </c>
      <c r="I256" s="8">
        <f t="shared" si="15"/>
        <v>530</v>
      </c>
      <c r="J256" t="s">
        <v>79</v>
      </c>
    </row>
    <row r="257" spans="1:10" x14ac:dyDescent="0.25">
      <c r="A257" s="5">
        <v>45897</v>
      </c>
      <c r="B257" t="s">
        <v>73</v>
      </c>
      <c r="C257">
        <v>2</v>
      </c>
      <c r="D257">
        <v>1650</v>
      </c>
      <c r="E257">
        <v>1584</v>
      </c>
      <c r="F257">
        <f t="shared" si="12"/>
        <v>66</v>
      </c>
      <c r="G257" s="8">
        <f t="shared" si="13"/>
        <v>3300</v>
      </c>
      <c r="H257" s="8">
        <f t="shared" si="14"/>
        <v>3168</v>
      </c>
      <c r="I257" s="8">
        <f t="shared" si="15"/>
        <v>132</v>
      </c>
      <c r="J257" t="s">
        <v>79</v>
      </c>
    </row>
    <row r="258" spans="1:10" x14ac:dyDescent="0.25">
      <c r="A258" s="5">
        <v>45897</v>
      </c>
      <c r="B258" t="s">
        <v>17</v>
      </c>
      <c r="C258">
        <v>1</v>
      </c>
      <c r="D258">
        <v>4800</v>
      </c>
      <c r="E258">
        <v>3700</v>
      </c>
      <c r="F258">
        <f t="shared" ref="F258:F271" si="16">D258-E258</f>
        <v>1100</v>
      </c>
      <c r="G258" s="8">
        <f t="shared" ref="G258:G271" si="17">D258*C258</f>
        <v>4800</v>
      </c>
      <c r="H258" s="8">
        <f t="shared" ref="H258:H271" si="18">E258*C258</f>
        <v>3700</v>
      </c>
      <c r="I258" s="8">
        <f t="shared" ref="I258:I271" si="19">G258-H258</f>
        <v>1100</v>
      </c>
      <c r="J258" t="s">
        <v>79</v>
      </c>
    </row>
    <row r="259" spans="1:10" x14ac:dyDescent="0.25">
      <c r="A259" s="5">
        <v>45897</v>
      </c>
      <c r="B259" t="s">
        <v>74</v>
      </c>
      <c r="C259">
        <v>1</v>
      </c>
      <c r="D259">
        <v>2450</v>
      </c>
      <c r="E259">
        <v>2200</v>
      </c>
      <c r="F259">
        <f t="shared" si="16"/>
        <v>250</v>
      </c>
      <c r="G259" s="8">
        <f t="shared" si="17"/>
        <v>2450</v>
      </c>
      <c r="H259" s="8">
        <f t="shared" si="18"/>
        <v>2200</v>
      </c>
      <c r="I259" s="8">
        <f t="shared" si="19"/>
        <v>250</v>
      </c>
      <c r="J259" t="s">
        <v>79</v>
      </c>
    </row>
    <row r="260" spans="1:10" x14ac:dyDescent="0.25">
      <c r="A260" s="5">
        <v>45897</v>
      </c>
      <c r="B260" t="s">
        <v>13</v>
      </c>
      <c r="C260">
        <v>2</v>
      </c>
      <c r="D260">
        <v>2740</v>
      </c>
      <c r="E260">
        <v>2580</v>
      </c>
      <c r="F260">
        <f t="shared" si="16"/>
        <v>160</v>
      </c>
      <c r="G260" s="8">
        <f t="shared" si="17"/>
        <v>5480</v>
      </c>
      <c r="H260" s="8">
        <f t="shared" si="18"/>
        <v>5160</v>
      </c>
      <c r="I260" s="8">
        <f t="shared" si="19"/>
        <v>320</v>
      </c>
      <c r="J260" t="s">
        <v>79</v>
      </c>
    </row>
    <row r="261" spans="1:10" x14ac:dyDescent="0.25">
      <c r="A261" s="5">
        <v>45898</v>
      </c>
      <c r="B261" t="s">
        <v>37</v>
      </c>
      <c r="C261">
        <v>2</v>
      </c>
      <c r="D261">
        <v>2000</v>
      </c>
      <c r="E261">
        <v>1800</v>
      </c>
      <c r="F261">
        <f t="shared" si="16"/>
        <v>200</v>
      </c>
      <c r="G261" s="8">
        <f t="shared" si="17"/>
        <v>4000</v>
      </c>
      <c r="H261" s="8">
        <f t="shared" si="18"/>
        <v>3600</v>
      </c>
      <c r="I261" s="8">
        <f t="shared" si="19"/>
        <v>400</v>
      </c>
      <c r="J261" t="s">
        <v>79</v>
      </c>
    </row>
    <row r="262" spans="1:10" x14ac:dyDescent="0.25">
      <c r="A262" s="5">
        <v>45898</v>
      </c>
      <c r="B262" t="s">
        <v>13</v>
      </c>
      <c r="C262">
        <v>2</v>
      </c>
      <c r="D262">
        <v>2550</v>
      </c>
      <c r="E262">
        <v>2400</v>
      </c>
      <c r="F262">
        <f t="shared" si="16"/>
        <v>150</v>
      </c>
      <c r="G262" s="8">
        <f t="shared" si="17"/>
        <v>5100</v>
      </c>
      <c r="H262" s="8">
        <f t="shared" si="18"/>
        <v>4800</v>
      </c>
      <c r="I262" s="8">
        <f t="shared" si="19"/>
        <v>300</v>
      </c>
      <c r="J262" t="s">
        <v>79</v>
      </c>
    </row>
    <row r="263" spans="1:10" x14ac:dyDescent="0.25">
      <c r="A263" s="5">
        <v>45898</v>
      </c>
      <c r="B263" t="s">
        <v>75</v>
      </c>
      <c r="C263">
        <v>4</v>
      </c>
      <c r="D263">
        <v>980</v>
      </c>
      <c r="E263">
        <v>864</v>
      </c>
      <c r="F263">
        <f t="shared" si="16"/>
        <v>116</v>
      </c>
      <c r="G263" s="8">
        <f t="shared" si="17"/>
        <v>3920</v>
      </c>
      <c r="H263" s="8">
        <f t="shared" si="18"/>
        <v>3456</v>
      </c>
      <c r="I263" s="8">
        <f t="shared" si="19"/>
        <v>464</v>
      </c>
      <c r="J263" t="s">
        <v>79</v>
      </c>
    </row>
    <row r="264" spans="1:10" x14ac:dyDescent="0.25">
      <c r="A264" s="5">
        <v>45899</v>
      </c>
      <c r="B264" t="s">
        <v>13</v>
      </c>
      <c r="C264">
        <v>1</v>
      </c>
      <c r="D264">
        <v>2670</v>
      </c>
      <c r="E264">
        <v>2580</v>
      </c>
      <c r="F264">
        <f t="shared" si="16"/>
        <v>90</v>
      </c>
      <c r="G264" s="8">
        <f t="shared" si="17"/>
        <v>2670</v>
      </c>
      <c r="H264" s="8">
        <f t="shared" si="18"/>
        <v>2580</v>
      </c>
      <c r="I264" s="8">
        <f t="shared" si="19"/>
        <v>90</v>
      </c>
      <c r="J264" t="s">
        <v>79</v>
      </c>
    </row>
    <row r="265" spans="1:10" x14ac:dyDescent="0.25">
      <c r="A265" s="5">
        <v>45899</v>
      </c>
      <c r="B265" t="s">
        <v>13</v>
      </c>
      <c r="C265">
        <v>2</v>
      </c>
      <c r="D265">
        <v>2530</v>
      </c>
      <c r="E265">
        <v>2400</v>
      </c>
      <c r="F265">
        <f t="shared" si="16"/>
        <v>130</v>
      </c>
      <c r="G265" s="8">
        <f t="shared" si="17"/>
        <v>5060</v>
      </c>
      <c r="H265" s="8">
        <f t="shared" si="18"/>
        <v>4800</v>
      </c>
      <c r="I265" s="8">
        <f t="shared" si="19"/>
        <v>260</v>
      </c>
      <c r="J265" t="s">
        <v>79</v>
      </c>
    </row>
    <row r="266" spans="1:10" x14ac:dyDescent="0.25">
      <c r="A266" s="5">
        <v>45899</v>
      </c>
      <c r="B266" t="s">
        <v>13</v>
      </c>
      <c r="C266">
        <v>3</v>
      </c>
      <c r="D266">
        <v>2600</v>
      </c>
      <c r="E266">
        <v>2500</v>
      </c>
      <c r="F266">
        <f t="shared" si="16"/>
        <v>100</v>
      </c>
      <c r="G266" s="8">
        <f t="shared" si="17"/>
        <v>7800</v>
      </c>
      <c r="H266" s="8">
        <f t="shared" si="18"/>
        <v>7500</v>
      </c>
      <c r="I266" s="8">
        <f t="shared" si="19"/>
        <v>300</v>
      </c>
      <c r="J266" t="s">
        <v>79</v>
      </c>
    </row>
    <row r="267" spans="1:10" x14ac:dyDescent="0.25">
      <c r="A267" s="5">
        <v>45899</v>
      </c>
      <c r="B267" t="s">
        <v>13</v>
      </c>
      <c r="C267">
        <v>1</v>
      </c>
      <c r="D267">
        <v>2600</v>
      </c>
      <c r="E267">
        <v>2500</v>
      </c>
      <c r="F267">
        <f t="shared" si="16"/>
        <v>100</v>
      </c>
      <c r="G267" s="8">
        <f t="shared" si="17"/>
        <v>2600</v>
      </c>
      <c r="H267" s="8">
        <f t="shared" si="18"/>
        <v>2500</v>
      </c>
      <c r="I267" s="8">
        <f t="shared" si="19"/>
        <v>100</v>
      </c>
      <c r="J267" t="s">
        <v>79</v>
      </c>
    </row>
    <row r="268" spans="1:10" x14ac:dyDescent="0.25">
      <c r="A268" s="5">
        <v>45899</v>
      </c>
      <c r="B268" t="s">
        <v>76</v>
      </c>
      <c r="C268">
        <v>2</v>
      </c>
      <c r="D268">
        <v>2800</v>
      </c>
      <c r="E268">
        <v>2300</v>
      </c>
      <c r="F268">
        <f t="shared" si="16"/>
        <v>500</v>
      </c>
      <c r="G268" s="8">
        <f t="shared" si="17"/>
        <v>5600</v>
      </c>
      <c r="H268" s="8">
        <f t="shared" si="18"/>
        <v>4600</v>
      </c>
      <c r="I268" s="8">
        <f t="shared" si="19"/>
        <v>1000</v>
      </c>
      <c r="J268" t="s">
        <v>79</v>
      </c>
    </row>
    <row r="269" spans="1:10" x14ac:dyDescent="0.25">
      <c r="A269" s="5">
        <v>45899</v>
      </c>
      <c r="B269" t="s">
        <v>77</v>
      </c>
      <c r="C269">
        <v>1</v>
      </c>
      <c r="D269">
        <v>900</v>
      </c>
      <c r="E269">
        <v>900</v>
      </c>
      <c r="F269">
        <f t="shared" si="16"/>
        <v>0</v>
      </c>
      <c r="G269" s="8">
        <f t="shared" si="17"/>
        <v>900</v>
      </c>
      <c r="H269" s="8">
        <f t="shared" si="18"/>
        <v>900</v>
      </c>
      <c r="I269" s="8">
        <f t="shared" si="19"/>
        <v>0</v>
      </c>
      <c r="J269" t="s">
        <v>79</v>
      </c>
    </row>
    <row r="270" spans="1:10" x14ac:dyDescent="0.25">
      <c r="A270" s="5">
        <v>45900</v>
      </c>
      <c r="B270" t="s">
        <v>18</v>
      </c>
      <c r="C270">
        <v>2</v>
      </c>
      <c r="D270">
        <v>2330</v>
      </c>
      <c r="E270">
        <v>2225</v>
      </c>
      <c r="F270">
        <f t="shared" si="16"/>
        <v>105</v>
      </c>
      <c r="G270" s="8">
        <f t="shared" si="17"/>
        <v>4660</v>
      </c>
      <c r="H270" s="8">
        <f t="shared" si="18"/>
        <v>4450</v>
      </c>
      <c r="I270" s="8">
        <f t="shared" si="19"/>
        <v>210</v>
      </c>
      <c r="J270" t="s">
        <v>79</v>
      </c>
    </row>
    <row r="271" spans="1:10" x14ac:dyDescent="0.25">
      <c r="A271" s="5">
        <v>45900</v>
      </c>
      <c r="B271" t="s">
        <v>18</v>
      </c>
      <c r="C271">
        <v>1</v>
      </c>
      <c r="D271">
        <v>1850</v>
      </c>
      <c r="E271">
        <v>2225</v>
      </c>
      <c r="F271">
        <f t="shared" si="16"/>
        <v>-375</v>
      </c>
      <c r="G271" s="8">
        <f t="shared" si="17"/>
        <v>1850</v>
      </c>
      <c r="H271" s="8">
        <f t="shared" si="18"/>
        <v>2225</v>
      </c>
      <c r="I271" s="8">
        <f t="shared" si="19"/>
        <v>-375</v>
      </c>
      <c r="J271" t="s">
        <v>79</v>
      </c>
    </row>
    <row r="274" spans="7:9" x14ac:dyDescent="0.25">
      <c r="I274" s="8">
        <f>SUM(I2:I273)</f>
        <v>361226.86999999994</v>
      </c>
    </row>
    <row r="275" spans="7:9" ht="26.25" x14ac:dyDescent="0.4">
      <c r="G275" s="9">
        <f>SUM(G2:G274)</f>
        <v>2619439.5499999998</v>
      </c>
      <c r="H275" s="9">
        <f>SUM(H2:H274)</f>
        <v>2258212.6800000002</v>
      </c>
      <c r="I275" s="9">
        <v>361226.87</v>
      </c>
    </row>
    <row r="276" spans="7:9" ht="26.25" x14ac:dyDescent="0.4">
      <c r="G276" s="10" t="s">
        <v>6</v>
      </c>
      <c r="H276" s="10" t="s">
        <v>83</v>
      </c>
      <c r="I276" s="10" t="s">
        <v>8</v>
      </c>
    </row>
    <row r="292" spans="2:3" ht="26.25" x14ac:dyDescent="0.4">
      <c r="B292" s="21"/>
      <c r="C292" s="20"/>
    </row>
    <row r="298" spans="2:3" x14ac:dyDescent="0.25">
      <c r="C298" s="20"/>
    </row>
  </sheetData>
  <sortState xmlns:xlrd2="http://schemas.microsoft.com/office/spreadsheetml/2017/richdata2" ref="A2:J271">
    <sortCondition ref="J2:J2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67CB-E7C5-4B19-BCDA-BE763751BE99}">
  <dimension ref="A1:J191"/>
  <sheetViews>
    <sheetView topLeftCell="A163" workbookViewId="0">
      <selection activeCell="C191" sqref="C191"/>
    </sheetView>
  </sheetViews>
  <sheetFormatPr defaultRowHeight="15" x14ac:dyDescent="0.25"/>
  <cols>
    <col min="1" max="1" width="17.7109375" customWidth="1"/>
    <col min="2" max="2" width="35" customWidth="1"/>
    <col min="3" max="3" width="19.85546875" customWidth="1"/>
    <col min="4" max="5" width="18.28515625" customWidth="1"/>
    <col min="6" max="6" width="18.42578125" customWidth="1"/>
    <col min="7" max="7" width="18.140625" customWidth="1"/>
    <col min="8" max="9" width="18" customWidth="1"/>
    <col min="10" max="10" width="19.710937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5">
        <v>45870</v>
      </c>
      <c r="B2" t="s">
        <v>37</v>
      </c>
      <c r="C2">
        <v>8</v>
      </c>
      <c r="D2">
        <v>1845</v>
      </c>
      <c r="E2">
        <v>1800</v>
      </c>
      <c r="F2">
        <f t="shared" ref="F2:F33" si="0">D2-E2</f>
        <v>45</v>
      </c>
      <c r="G2" s="8">
        <f t="shared" ref="G2:G33" si="1">D2*C2</f>
        <v>14760</v>
      </c>
      <c r="H2" s="8">
        <f t="shared" ref="H2:H33" si="2">E2*C2</f>
        <v>14400</v>
      </c>
      <c r="I2" s="8">
        <f t="shared" ref="I2:I33" si="3">G2-H2</f>
        <v>360</v>
      </c>
      <c r="J2" t="s">
        <v>79</v>
      </c>
    </row>
    <row r="3" spans="1:10" x14ac:dyDescent="0.25">
      <c r="A3" s="5">
        <v>45871</v>
      </c>
      <c r="B3" t="s">
        <v>13</v>
      </c>
      <c r="C3">
        <v>1</v>
      </c>
      <c r="D3">
        <v>2740</v>
      </c>
      <c r="E3">
        <v>2580</v>
      </c>
      <c r="F3">
        <f t="shared" si="0"/>
        <v>160</v>
      </c>
      <c r="G3" s="8">
        <f t="shared" si="1"/>
        <v>2740</v>
      </c>
      <c r="H3" s="8">
        <f t="shared" si="2"/>
        <v>2580</v>
      </c>
      <c r="I3" s="8">
        <f t="shared" si="3"/>
        <v>160</v>
      </c>
      <c r="J3" t="s">
        <v>79</v>
      </c>
    </row>
    <row r="4" spans="1:10" x14ac:dyDescent="0.25">
      <c r="A4" s="5">
        <v>45871</v>
      </c>
      <c r="B4" t="s">
        <v>16</v>
      </c>
      <c r="C4">
        <v>8</v>
      </c>
      <c r="D4">
        <v>3935</v>
      </c>
      <c r="E4">
        <v>3600</v>
      </c>
      <c r="F4">
        <f t="shared" si="0"/>
        <v>335</v>
      </c>
      <c r="G4" s="8">
        <f t="shared" si="1"/>
        <v>31480</v>
      </c>
      <c r="H4" s="8">
        <f t="shared" si="2"/>
        <v>28800</v>
      </c>
      <c r="I4" s="8">
        <f t="shared" si="3"/>
        <v>2680</v>
      </c>
      <c r="J4" t="s">
        <v>79</v>
      </c>
    </row>
    <row r="5" spans="1:10" x14ac:dyDescent="0.25">
      <c r="A5" s="5">
        <v>45871</v>
      </c>
      <c r="B5" t="s">
        <v>17</v>
      </c>
      <c r="C5">
        <v>7</v>
      </c>
      <c r="D5">
        <v>4890</v>
      </c>
      <c r="E5">
        <v>3700</v>
      </c>
      <c r="F5">
        <f t="shared" si="0"/>
        <v>1190</v>
      </c>
      <c r="G5" s="8">
        <f t="shared" si="1"/>
        <v>34230</v>
      </c>
      <c r="H5" s="8">
        <f t="shared" si="2"/>
        <v>25900</v>
      </c>
      <c r="I5" s="8">
        <f t="shared" si="3"/>
        <v>8330</v>
      </c>
      <c r="J5" t="s">
        <v>79</v>
      </c>
    </row>
    <row r="6" spans="1:10" x14ac:dyDescent="0.25">
      <c r="A6" s="5">
        <v>45871</v>
      </c>
      <c r="B6" t="s">
        <v>19</v>
      </c>
      <c r="C6">
        <v>1</v>
      </c>
      <c r="D6">
        <v>6000</v>
      </c>
      <c r="E6">
        <v>4100</v>
      </c>
      <c r="F6">
        <f t="shared" si="0"/>
        <v>1900</v>
      </c>
      <c r="G6" s="8">
        <f t="shared" si="1"/>
        <v>6000</v>
      </c>
      <c r="H6" s="8">
        <f t="shared" si="2"/>
        <v>4100</v>
      </c>
      <c r="I6" s="8">
        <f t="shared" si="3"/>
        <v>1900</v>
      </c>
      <c r="J6" t="s">
        <v>79</v>
      </c>
    </row>
    <row r="7" spans="1:10" x14ac:dyDescent="0.25">
      <c r="A7" s="5">
        <v>45871</v>
      </c>
      <c r="B7" t="s">
        <v>18</v>
      </c>
      <c r="C7">
        <v>2</v>
      </c>
      <c r="D7">
        <v>2450</v>
      </c>
      <c r="E7">
        <v>2410</v>
      </c>
      <c r="F7">
        <f t="shared" si="0"/>
        <v>40</v>
      </c>
      <c r="G7" s="8">
        <f t="shared" si="1"/>
        <v>4900</v>
      </c>
      <c r="H7" s="8">
        <f t="shared" si="2"/>
        <v>4820</v>
      </c>
      <c r="I7" s="8">
        <f t="shared" si="3"/>
        <v>80</v>
      </c>
      <c r="J7" t="s">
        <v>79</v>
      </c>
    </row>
    <row r="8" spans="1:10" x14ac:dyDescent="0.25">
      <c r="A8" s="5">
        <v>45871</v>
      </c>
      <c r="B8" t="s">
        <v>20</v>
      </c>
      <c r="C8">
        <v>2</v>
      </c>
      <c r="D8">
        <v>1390</v>
      </c>
      <c r="E8">
        <v>1220</v>
      </c>
      <c r="F8">
        <f t="shared" si="0"/>
        <v>170</v>
      </c>
      <c r="G8" s="8">
        <f t="shared" si="1"/>
        <v>2780</v>
      </c>
      <c r="H8" s="8">
        <f t="shared" si="2"/>
        <v>2440</v>
      </c>
      <c r="I8" s="8">
        <f t="shared" si="3"/>
        <v>340</v>
      </c>
      <c r="J8" t="s">
        <v>79</v>
      </c>
    </row>
    <row r="9" spans="1:10" x14ac:dyDescent="0.25">
      <c r="A9" s="11">
        <v>45871</v>
      </c>
      <c r="B9" s="12" t="s">
        <v>21</v>
      </c>
      <c r="C9" s="12">
        <v>1</v>
      </c>
      <c r="D9" s="12">
        <v>1190</v>
      </c>
      <c r="E9" s="12">
        <v>1220</v>
      </c>
      <c r="F9" s="12">
        <f t="shared" si="0"/>
        <v>-30</v>
      </c>
      <c r="G9" s="13">
        <f t="shared" si="1"/>
        <v>1190</v>
      </c>
      <c r="H9" s="13">
        <f t="shared" si="2"/>
        <v>1220</v>
      </c>
      <c r="I9" s="13">
        <f t="shared" si="3"/>
        <v>-30</v>
      </c>
      <c r="J9" s="12" t="s">
        <v>79</v>
      </c>
    </row>
    <row r="10" spans="1:10" x14ac:dyDescent="0.25">
      <c r="A10" s="5">
        <v>45871</v>
      </c>
      <c r="B10" t="s">
        <v>13</v>
      </c>
      <c r="C10">
        <v>9</v>
      </c>
      <c r="D10">
        <v>2715</v>
      </c>
      <c r="E10">
        <v>2580</v>
      </c>
      <c r="F10">
        <f t="shared" si="0"/>
        <v>135</v>
      </c>
      <c r="G10" s="8">
        <f t="shared" si="1"/>
        <v>24435</v>
      </c>
      <c r="H10" s="8">
        <f t="shared" si="2"/>
        <v>23220</v>
      </c>
      <c r="I10" s="8">
        <f t="shared" si="3"/>
        <v>1215</v>
      </c>
      <c r="J10" t="s">
        <v>79</v>
      </c>
    </row>
    <row r="11" spans="1:10" x14ac:dyDescent="0.25">
      <c r="A11" s="5">
        <v>45871</v>
      </c>
      <c r="B11" t="s">
        <v>13</v>
      </c>
      <c r="C11">
        <v>6</v>
      </c>
      <c r="D11">
        <v>2450</v>
      </c>
      <c r="E11">
        <v>2400</v>
      </c>
      <c r="F11">
        <f t="shared" si="0"/>
        <v>50</v>
      </c>
      <c r="G11" s="8">
        <f t="shared" si="1"/>
        <v>14700</v>
      </c>
      <c r="H11" s="8">
        <f t="shared" si="2"/>
        <v>14400</v>
      </c>
      <c r="I11" s="8">
        <f t="shared" si="3"/>
        <v>300</v>
      </c>
      <c r="J11" t="s">
        <v>79</v>
      </c>
    </row>
    <row r="12" spans="1:10" x14ac:dyDescent="0.25">
      <c r="A12" s="5">
        <v>45871</v>
      </c>
      <c r="B12" t="s">
        <v>13</v>
      </c>
      <c r="C12">
        <v>4</v>
      </c>
      <c r="D12">
        <v>2550</v>
      </c>
      <c r="E12">
        <v>2500</v>
      </c>
      <c r="F12">
        <f t="shared" si="0"/>
        <v>50</v>
      </c>
      <c r="G12" s="8">
        <f t="shared" si="1"/>
        <v>10200</v>
      </c>
      <c r="H12" s="8">
        <f t="shared" si="2"/>
        <v>10000</v>
      </c>
      <c r="I12" s="8">
        <f t="shared" si="3"/>
        <v>200</v>
      </c>
      <c r="J12" t="s">
        <v>79</v>
      </c>
    </row>
    <row r="13" spans="1:10" x14ac:dyDescent="0.25">
      <c r="A13" s="5">
        <v>45871</v>
      </c>
      <c r="B13" t="s">
        <v>24</v>
      </c>
      <c r="C13">
        <v>1</v>
      </c>
      <c r="D13">
        <v>2950</v>
      </c>
      <c r="E13">
        <v>2700</v>
      </c>
      <c r="F13">
        <f t="shared" si="0"/>
        <v>250</v>
      </c>
      <c r="G13" s="8">
        <f t="shared" si="1"/>
        <v>2950</v>
      </c>
      <c r="H13" s="8">
        <f t="shared" si="2"/>
        <v>2700</v>
      </c>
      <c r="I13" s="8">
        <f t="shared" si="3"/>
        <v>250</v>
      </c>
      <c r="J13" t="s">
        <v>79</v>
      </c>
    </row>
    <row r="14" spans="1:10" x14ac:dyDescent="0.25">
      <c r="A14" s="5">
        <v>45871</v>
      </c>
      <c r="B14" t="s">
        <v>24</v>
      </c>
      <c r="C14">
        <v>1</v>
      </c>
      <c r="D14">
        <v>2780</v>
      </c>
      <c r="E14">
        <v>2600</v>
      </c>
      <c r="F14">
        <f t="shared" si="0"/>
        <v>180</v>
      </c>
      <c r="G14" s="8">
        <f t="shared" si="1"/>
        <v>2780</v>
      </c>
      <c r="H14" s="8">
        <f t="shared" si="2"/>
        <v>2600</v>
      </c>
      <c r="I14" s="8">
        <f t="shared" si="3"/>
        <v>180</v>
      </c>
      <c r="J14" t="s">
        <v>79</v>
      </c>
    </row>
    <row r="15" spans="1:10" x14ac:dyDescent="0.25">
      <c r="A15" s="5">
        <v>45871</v>
      </c>
      <c r="B15" t="s">
        <v>25</v>
      </c>
      <c r="C15">
        <v>1</v>
      </c>
      <c r="D15">
        <v>3200</v>
      </c>
      <c r="E15">
        <v>2750</v>
      </c>
      <c r="F15">
        <f t="shared" si="0"/>
        <v>450</v>
      </c>
      <c r="G15" s="8">
        <f t="shared" si="1"/>
        <v>3200</v>
      </c>
      <c r="H15" s="8">
        <f t="shared" si="2"/>
        <v>2750</v>
      </c>
      <c r="I15" s="8">
        <f t="shared" si="3"/>
        <v>450</v>
      </c>
      <c r="J15" t="s">
        <v>79</v>
      </c>
    </row>
    <row r="16" spans="1:10" x14ac:dyDescent="0.25">
      <c r="A16" s="5">
        <v>45871</v>
      </c>
      <c r="B16" t="s">
        <v>26</v>
      </c>
      <c r="C16">
        <v>3</v>
      </c>
      <c r="D16">
        <v>2020</v>
      </c>
      <c r="E16">
        <v>1950</v>
      </c>
      <c r="F16">
        <f t="shared" si="0"/>
        <v>70</v>
      </c>
      <c r="G16" s="8">
        <f t="shared" si="1"/>
        <v>6060</v>
      </c>
      <c r="H16" s="8">
        <f t="shared" si="2"/>
        <v>5850</v>
      </c>
      <c r="I16" s="8">
        <f t="shared" si="3"/>
        <v>210</v>
      </c>
      <c r="J16" t="s">
        <v>79</v>
      </c>
    </row>
    <row r="17" spans="1:10" x14ac:dyDescent="0.25">
      <c r="A17" s="5">
        <v>45871</v>
      </c>
      <c r="B17" t="s">
        <v>26</v>
      </c>
      <c r="C17">
        <v>1</v>
      </c>
      <c r="D17">
        <v>2050</v>
      </c>
      <c r="E17">
        <v>1950</v>
      </c>
      <c r="F17">
        <f t="shared" si="0"/>
        <v>100</v>
      </c>
      <c r="G17" s="8">
        <f t="shared" si="1"/>
        <v>2050</v>
      </c>
      <c r="H17" s="8">
        <f t="shared" si="2"/>
        <v>1950</v>
      </c>
      <c r="I17" s="8">
        <f t="shared" si="3"/>
        <v>100</v>
      </c>
      <c r="J17" t="s">
        <v>79</v>
      </c>
    </row>
    <row r="18" spans="1:10" x14ac:dyDescent="0.25">
      <c r="A18" s="5">
        <v>45871</v>
      </c>
      <c r="B18" t="s">
        <v>27</v>
      </c>
      <c r="C18">
        <v>1</v>
      </c>
      <c r="D18">
        <v>2280</v>
      </c>
      <c r="E18">
        <v>2100</v>
      </c>
      <c r="F18">
        <f t="shared" si="0"/>
        <v>180</v>
      </c>
      <c r="G18" s="8">
        <f t="shared" si="1"/>
        <v>2280</v>
      </c>
      <c r="H18" s="8">
        <f t="shared" si="2"/>
        <v>2100</v>
      </c>
      <c r="I18" s="8">
        <f t="shared" si="3"/>
        <v>180</v>
      </c>
      <c r="J18" t="s">
        <v>79</v>
      </c>
    </row>
    <row r="19" spans="1:10" x14ac:dyDescent="0.25">
      <c r="A19" s="5">
        <v>45871</v>
      </c>
      <c r="B19" t="s">
        <v>27</v>
      </c>
      <c r="C19">
        <v>1</v>
      </c>
      <c r="D19">
        <v>2320</v>
      </c>
      <c r="E19">
        <v>2150</v>
      </c>
      <c r="F19">
        <f t="shared" si="0"/>
        <v>170</v>
      </c>
      <c r="G19" s="8">
        <f t="shared" si="1"/>
        <v>2320</v>
      </c>
      <c r="H19" s="8">
        <f t="shared" si="2"/>
        <v>2150</v>
      </c>
      <c r="I19" s="8">
        <f t="shared" si="3"/>
        <v>170</v>
      </c>
      <c r="J19" t="s">
        <v>79</v>
      </c>
    </row>
    <row r="20" spans="1:10" x14ac:dyDescent="0.25">
      <c r="A20" s="5">
        <v>45871</v>
      </c>
      <c r="B20" t="s">
        <v>28</v>
      </c>
      <c r="C20">
        <v>7</v>
      </c>
      <c r="D20">
        <v>1740</v>
      </c>
      <c r="E20">
        <v>1650</v>
      </c>
      <c r="F20">
        <f t="shared" si="0"/>
        <v>90</v>
      </c>
      <c r="G20" s="8">
        <f t="shared" si="1"/>
        <v>12180</v>
      </c>
      <c r="H20" s="8">
        <f t="shared" si="2"/>
        <v>11550</v>
      </c>
      <c r="I20" s="8">
        <f t="shared" si="3"/>
        <v>630</v>
      </c>
      <c r="J20" t="s">
        <v>79</v>
      </c>
    </row>
    <row r="21" spans="1:10" x14ac:dyDescent="0.25">
      <c r="A21" s="5">
        <v>45871</v>
      </c>
      <c r="B21" t="s">
        <v>29</v>
      </c>
      <c r="C21">
        <v>4</v>
      </c>
      <c r="D21">
        <v>1500</v>
      </c>
      <c r="E21">
        <v>1450</v>
      </c>
      <c r="F21">
        <f t="shared" si="0"/>
        <v>50</v>
      </c>
      <c r="G21" s="8">
        <f t="shared" si="1"/>
        <v>6000</v>
      </c>
      <c r="H21" s="8">
        <f t="shared" si="2"/>
        <v>5800</v>
      </c>
      <c r="I21" s="8">
        <f t="shared" si="3"/>
        <v>200</v>
      </c>
      <c r="J21" t="s">
        <v>79</v>
      </c>
    </row>
    <row r="22" spans="1:10" x14ac:dyDescent="0.25">
      <c r="A22" s="5">
        <v>45871</v>
      </c>
      <c r="B22" t="s">
        <v>30</v>
      </c>
      <c r="C22">
        <v>1</v>
      </c>
      <c r="D22">
        <v>1650</v>
      </c>
      <c r="E22">
        <v>1600</v>
      </c>
      <c r="F22">
        <f t="shared" si="0"/>
        <v>50</v>
      </c>
      <c r="G22" s="8">
        <f t="shared" si="1"/>
        <v>1650</v>
      </c>
      <c r="H22" s="8">
        <f t="shared" si="2"/>
        <v>1600</v>
      </c>
      <c r="I22" s="8">
        <f t="shared" si="3"/>
        <v>50</v>
      </c>
      <c r="J22" t="s">
        <v>79</v>
      </c>
    </row>
    <row r="23" spans="1:10" x14ac:dyDescent="0.25">
      <c r="A23" s="5">
        <v>45871</v>
      </c>
      <c r="B23" t="s">
        <v>31</v>
      </c>
      <c r="C23">
        <v>24</v>
      </c>
      <c r="D23">
        <v>2435</v>
      </c>
      <c r="E23">
        <v>2129.9</v>
      </c>
      <c r="F23">
        <f t="shared" si="0"/>
        <v>305.09999999999991</v>
      </c>
      <c r="G23" s="8">
        <f t="shared" si="1"/>
        <v>58440</v>
      </c>
      <c r="H23" s="8">
        <f t="shared" si="2"/>
        <v>51117.600000000006</v>
      </c>
      <c r="I23" s="8">
        <f t="shared" si="3"/>
        <v>7322.3999999999942</v>
      </c>
      <c r="J23" t="s">
        <v>79</v>
      </c>
    </row>
    <row r="24" spans="1:10" x14ac:dyDescent="0.25">
      <c r="A24" s="5">
        <v>45871</v>
      </c>
      <c r="B24" t="s">
        <v>32</v>
      </c>
      <c r="C24">
        <v>30</v>
      </c>
      <c r="D24">
        <v>1695</v>
      </c>
      <c r="E24">
        <v>1407.9</v>
      </c>
      <c r="F24">
        <f t="shared" si="0"/>
        <v>287.09999999999991</v>
      </c>
      <c r="G24" s="8">
        <f t="shared" si="1"/>
        <v>50850</v>
      </c>
      <c r="H24" s="8">
        <f t="shared" si="2"/>
        <v>42237</v>
      </c>
      <c r="I24" s="8">
        <f t="shared" si="3"/>
        <v>8613</v>
      </c>
      <c r="J24" t="s">
        <v>79</v>
      </c>
    </row>
    <row r="25" spans="1:10" x14ac:dyDescent="0.25">
      <c r="A25" s="5">
        <v>45871</v>
      </c>
      <c r="B25" t="s">
        <v>33</v>
      </c>
      <c r="C25">
        <v>13</v>
      </c>
      <c r="D25">
        <v>1420</v>
      </c>
      <c r="E25">
        <v>1227.4000000000001</v>
      </c>
      <c r="F25">
        <f t="shared" si="0"/>
        <v>192.59999999999991</v>
      </c>
      <c r="G25" s="8">
        <f t="shared" si="1"/>
        <v>18460</v>
      </c>
      <c r="H25" s="8">
        <f t="shared" si="2"/>
        <v>15956.2</v>
      </c>
      <c r="I25" s="8">
        <f t="shared" si="3"/>
        <v>2503.7999999999993</v>
      </c>
      <c r="J25" t="s">
        <v>79</v>
      </c>
    </row>
    <row r="26" spans="1:10" x14ac:dyDescent="0.25">
      <c r="A26" s="5">
        <v>45871</v>
      </c>
      <c r="B26" t="s">
        <v>34</v>
      </c>
      <c r="C26">
        <v>5</v>
      </c>
      <c r="D26">
        <v>1710</v>
      </c>
      <c r="E26">
        <v>1534.25</v>
      </c>
      <c r="F26">
        <f t="shared" si="0"/>
        <v>175.75</v>
      </c>
      <c r="G26" s="8">
        <f t="shared" si="1"/>
        <v>8550</v>
      </c>
      <c r="H26" s="8">
        <f t="shared" si="2"/>
        <v>7671.25</v>
      </c>
      <c r="I26" s="8">
        <f t="shared" si="3"/>
        <v>878.75</v>
      </c>
      <c r="J26" t="s">
        <v>79</v>
      </c>
    </row>
    <row r="27" spans="1:10" x14ac:dyDescent="0.25">
      <c r="A27" s="5">
        <v>45871</v>
      </c>
      <c r="B27" t="s">
        <v>35</v>
      </c>
      <c r="C27">
        <v>2</v>
      </c>
      <c r="D27">
        <v>650</v>
      </c>
      <c r="E27">
        <v>505.4</v>
      </c>
      <c r="F27">
        <f t="shared" si="0"/>
        <v>144.60000000000002</v>
      </c>
      <c r="G27" s="8">
        <f t="shared" si="1"/>
        <v>1300</v>
      </c>
      <c r="H27" s="8">
        <f t="shared" si="2"/>
        <v>1010.8</v>
      </c>
      <c r="I27" s="8">
        <f t="shared" si="3"/>
        <v>289.20000000000005</v>
      </c>
      <c r="J27" t="s">
        <v>79</v>
      </c>
    </row>
    <row r="28" spans="1:10" x14ac:dyDescent="0.25">
      <c r="A28" s="5">
        <v>45871</v>
      </c>
      <c r="B28" t="s">
        <v>36</v>
      </c>
      <c r="C28">
        <v>2</v>
      </c>
      <c r="D28">
        <v>1650</v>
      </c>
      <c r="E28">
        <v>1606.45</v>
      </c>
      <c r="F28">
        <f t="shared" si="0"/>
        <v>43.549999999999955</v>
      </c>
      <c r="G28" s="8">
        <f t="shared" si="1"/>
        <v>3300</v>
      </c>
      <c r="H28" s="8">
        <f t="shared" si="2"/>
        <v>3212.9</v>
      </c>
      <c r="I28" s="8">
        <f t="shared" si="3"/>
        <v>87.099999999999909</v>
      </c>
      <c r="J28" t="s">
        <v>79</v>
      </c>
    </row>
    <row r="29" spans="1:10" x14ac:dyDescent="0.25">
      <c r="A29" s="5">
        <v>45872</v>
      </c>
      <c r="B29" t="s">
        <v>13</v>
      </c>
      <c r="C29">
        <v>9</v>
      </c>
      <c r="D29">
        <v>2745</v>
      </c>
      <c r="E29">
        <v>2580</v>
      </c>
      <c r="F29">
        <f t="shared" si="0"/>
        <v>165</v>
      </c>
      <c r="G29" s="8">
        <f t="shared" si="1"/>
        <v>24705</v>
      </c>
      <c r="H29" s="8">
        <f t="shared" si="2"/>
        <v>23220</v>
      </c>
      <c r="I29" s="8">
        <f t="shared" si="3"/>
        <v>1485</v>
      </c>
      <c r="J29" t="s">
        <v>79</v>
      </c>
    </row>
    <row r="30" spans="1:10" x14ac:dyDescent="0.25">
      <c r="A30" s="5">
        <v>45872</v>
      </c>
      <c r="B30" t="s">
        <v>13</v>
      </c>
      <c r="C30">
        <v>4</v>
      </c>
      <c r="D30">
        <v>2745</v>
      </c>
      <c r="E30">
        <v>2580</v>
      </c>
      <c r="F30">
        <f t="shared" si="0"/>
        <v>165</v>
      </c>
      <c r="G30" s="8">
        <f t="shared" si="1"/>
        <v>10980</v>
      </c>
      <c r="H30" s="8">
        <f t="shared" si="2"/>
        <v>10320</v>
      </c>
      <c r="I30" s="8">
        <f t="shared" si="3"/>
        <v>660</v>
      </c>
      <c r="J30" t="s">
        <v>79</v>
      </c>
    </row>
    <row r="31" spans="1:10" x14ac:dyDescent="0.25">
      <c r="A31" s="5">
        <v>45872</v>
      </c>
      <c r="B31" t="s">
        <v>37</v>
      </c>
      <c r="C31">
        <v>9</v>
      </c>
      <c r="D31">
        <v>1875</v>
      </c>
      <c r="E31">
        <v>1800</v>
      </c>
      <c r="F31">
        <f t="shared" si="0"/>
        <v>75</v>
      </c>
      <c r="G31" s="8">
        <f t="shared" si="1"/>
        <v>16875</v>
      </c>
      <c r="H31" s="8">
        <f t="shared" si="2"/>
        <v>16200</v>
      </c>
      <c r="I31" s="8">
        <f t="shared" si="3"/>
        <v>675</v>
      </c>
      <c r="J31" t="s">
        <v>79</v>
      </c>
    </row>
    <row r="32" spans="1:10" x14ac:dyDescent="0.25">
      <c r="A32" s="5">
        <v>45872</v>
      </c>
      <c r="B32" t="s">
        <v>13</v>
      </c>
      <c r="C32">
        <v>3</v>
      </c>
      <c r="D32">
        <v>2760</v>
      </c>
      <c r="E32">
        <v>2580</v>
      </c>
      <c r="F32">
        <f t="shared" si="0"/>
        <v>180</v>
      </c>
      <c r="G32" s="8">
        <f t="shared" si="1"/>
        <v>8280</v>
      </c>
      <c r="H32" s="8">
        <f t="shared" si="2"/>
        <v>7740</v>
      </c>
      <c r="I32" s="8">
        <f t="shared" si="3"/>
        <v>540</v>
      </c>
      <c r="J32" t="s">
        <v>79</v>
      </c>
    </row>
    <row r="33" spans="1:10" x14ac:dyDescent="0.25">
      <c r="A33" s="5">
        <v>45873</v>
      </c>
      <c r="B33" t="s">
        <v>16</v>
      </c>
      <c r="C33">
        <v>3</v>
      </c>
      <c r="D33">
        <v>3935</v>
      </c>
      <c r="E33">
        <v>3600</v>
      </c>
      <c r="F33">
        <f t="shared" si="0"/>
        <v>335</v>
      </c>
      <c r="G33" s="8">
        <f t="shared" si="1"/>
        <v>11805</v>
      </c>
      <c r="H33" s="8">
        <f t="shared" si="2"/>
        <v>10800</v>
      </c>
      <c r="I33" s="8">
        <f t="shared" si="3"/>
        <v>1005</v>
      </c>
      <c r="J33" t="s">
        <v>79</v>
      </c>
    </row>
    <row r="34" spans="1:10" x14ac:dyDescent="0.25">
      <c r="A34" s="5">
        <v>45873</v>
      </c>
      <c r="B34" t="s">
        <v>18</v>
      </c>
      <c r="C34">
        <v>1</v>
      </c>
      <c r="D34">
        <v>2450</v>
      </c>
      <c r="E34">
        <v>2410</v>
      </c>
      <c r="F34">
        <f t="shared" ref="F34:F65" si="4">D34-E34</f>
        <v>40</v>
      </c>
      <c r="G34" s="8">
        <f t="shared" ref="G34:G65" si="5">D34*C34</f>
        <v>2450</v>
      </c>
      <c r="H34" s="8">
        <f t="shared" ref="H34:H65" si="6">E34*C34</f>
        <v>2410</v>
      </c>
      <c r="I34" s="8">
        <f t="shared" ref="I34:I65" si="7">G34-H34</f>
        <v>40</v>
      </c>
      <c r="J34" t="s">
        <v>79</v>
      </c>
    </row>
    <row r="35" spans="1:10" x14ac:dyDescent="0.25">
      <c r="A35" s="5">
        <v>45873</v>
      </c>
      <c r="B35" t="s">
        <v>41</v>
      </c>
      <c r="C35">
        <v>1</v>
      </c>
      <c r="D35">
        <v>3850</v>
      </c>
      <c r="E35">
        <v>3350</v>
      </c>
      <c r="F35">
        <f t="shared" si="4"/>
        <v>500</v>
      </c>
      <c r="G35" s="8">
        <f t="shared" si="5"/>
        <v>3850</v>
      </c>
      <c r="H35" s="8">
        <f t="shared" si="6"/>
        <v>3350</v>
      </c>
      <c r="I35" s="8">
        <f t="shared" si="7"/>
        <v>500</v>
      </c>
      <c r="J35" t="s">
        <v>79</v>
      </c>
    </row>
    <row r="36" spans="1:10" x14ac:dyDescent="0.25">
      <c r="A36" s="5">
        <v>45873</v>
      </c>
      <c r="B36" t="s">
        <v>42</v>
      </c>
      <c r="C36">
        <v>1</v>
      </c>
      <c r="D36">
        <v>2250</v>
      </c>
      <c r="E36">
        <v>2200</v>
      </c>
      <c r="F36">
        <f t="shared" si="4"/>
        <v>50</v>
      </c>
      <c r="G36" s="8">
        <f t="shared" si="5"/>
        <v>2250</v>
      </c>
      <c r="H36" s="8">
        <f t="shared" si="6"/>
        <v>2200</v>
      </c>
      <c r="I36" s="8">
        <f t="shared" si="7"/>
        <v>50</v>
      </c>
      <c r="J36" t="s">
        <v>79</v>
      </c>
    </row>
    <row r="37" spans="1:10" x14ac:dyDescent="0.25">
      <c r="A37" s="5">
        <v>45874</v>
      </c>
      <c r="B37" t="s">
        <v>29</v>
      </c>
      <c r="C37">
        <v>2</v>
      </c>
      <c r="D37">
        <v>1550</v>
      </c>
      <c r="E37">
        <v>1450</v>
      </c>
      <c r="F37">
        <f t="shared" si="4"/>
        <v>100</v>
      </c>
      <c r="G37" s="8">
        <f t="shared" si="5"/>
        <v>3100</v>
      </c>
      <c r="H37" s="8">
        <f t="shared" si="6"/>
        <v>2900</v>
      </c>
      <c r="I37" s="8">
        <f t="shared" si="7"/>
        <v>200</v>
      </c>
      <c r="J37" t="s">
        <v>79</v>
      </c>
    </row>
    <row r="38" spans="1:10" x14ac:dyDescent="0.25">
      <c r="A38" s="5">
        <v>45874</v>
      </c>
      <c r="B38" t="s">
        <v>29</v>
      </c>
      <c r="C38">
        <v>3</v>
      </c>
      <c r="D38">
        <v>1570</v>
      </c>
      <c r="E38">
        <v>1450</v>
      </c>
      <c r="F38">
        <f t="shared" si="4"/>
        <v>120</v>
      </c>
      <c r="G38" s="8">
        <f t="shared" si="5"/>
        <v>4710</v>
      </c>
      <c r="H38" s="8">
        <f t="shared" si="6"/>
        <v>4350</v>
      </c>
      <c r="I38" s="8">
        <f t="shared" si="7"/>
        <v>360</v>
      </c>
      <c r="J38" t="s">
        <v>79</v>
      </c>
    </row>
    <row r="39" spans="1:10" x14ac:dyDescent="0.25">
      <c r="A39" s="5">
        <v>45874</v>
      </c>
      <c r="B39" t="s">
        <v>13</v>
      </c>
      <c r="C39">
        <v>6</v>
      </c>
      <c r="D39">
        <v>2750</v>
      </c>
      <c r="E39">
        <v>2580</v>
      </c>
      <c r="F39">
        <f t="shared" si="4"/>
        <v>170</v>
      </c>
      <c r="G39" s="8">
        <f t="shared" si="5"/>
        <v>16500</v>
      </c>
      <c r="H39" s="8">
        <f t="shared" si="6"/>
        <v>15480</v>
      </c>
      <c r="I39" s="8">
        <f t="shared" si="7"/>
        <v>1020</v>
      </c>
      <c r="J39" t="s">
        <v>79</v>
      </c>
    </row>
    <row r="40" spans="1:10" x14ac:dyDescent="0.25">
      <c r="A40" s="5">
        <v>45874</v>
      </c>
      <c r="B40" t="s">
        <v>13</v>
      </c>
      <c r="C40">
        <v>4</v>
      </c>
      <c r="D40">
        <v>2470</v>
      </c>
      <c r="E40">
        <v>2400</v>
      </c>
      <c r="F40">
        <f t="shared" si="4"/>
        <v>70</v>
      </c>
      <c r="G40" s="8">
        <f t="shared" si="5"/>
        <v>9880</v>
      </c>
      <c r="H40" s="8">
        <f t="shared" si="6"/>
        <v>9600</v>
      </c>
      <c r="I40" s="8">
        <f t="shared" si="7"/>
        <v>280</v>
      </c>
      <c r="J40" t="s">
        <v>79</v>
      </c>
    </row>
    <row r="41" spans="1:10" x14ac:dyDescent="0.25">
      <c r="A41" s="5">
        <v>45874</v>
      </c>
      <c r="B41" t="s">
        <v>43</v>
      </c>
      <c r="C41">
        <v>5</v>
      </c>
      <c r="D41">
        <v>2000</v>
      </c>
      <c r="E41">
        <v>1900</v>
      </c>
      <c r="F41">
        <f t="shared" si="4"/>
        <v>100</v>
      </c>
      <c r="G41" s="8">
        <f t="shared" si="5"/>
        <v>10000</v>
      </c>
      <c r="H41" s="8">
        <f t="shared" si="6"/>
        <v>9500</v>
      </c>
      <c r="I41" s="8">
        <f t="shared" si="7"/>
        <v>500</v>
      </c>
      <c r="J41" t="s">
        <v>79</v>
      </c>
    </row>
    <row r="42" spans="1:10" x14ac:dyDescent="0.25">
      <c r="A42" s="5">
        <v>45874</v>
      </c>
      <c r="B42" t="s">
        <v>37</v>
      </c>
      <c r="C42">
        <v>5</v>
      </c>
      <c r="D42">
        <v>1900</v>
      </c>
      <c r="E42">
        <v>1800</v>
      </c>
      <c r="F42">
        <f t="shared" si="4"/>
        <v>100</v>
      </c>
      <c r="G42" s="8">
        <f t="shared" si="5"/>
        <v>9500</v>
      </c>
      <c r="H42" s="8">
        <f t="shared" si="6"/>
        <v>9000</v>
      </c>
      <c r="I42" s="8">
        <f t="shared" si="7"/>
        <v>500</v>
      </c>
      <c r="J42" t="s">
        <v>79</v>
      </c>
    </row>
    <row r="43" spans="1:10" x14ac:dyDescent="0.25">
      <c r="A43" s="5">
        <v>45874</v>
      </c>
      <c r="B43" t="s">
        <v>33</v>
      </c>
      <c r="C43">
        <v>12</v>
      </c>
      <c r="D43">
        <v>1420</v>
      </c>
      <c r="E43">
        <v>1227.4000000000001</v>
      </c>
      <c r="F43">
        <f t="shared" si="4"/>
        <v>192.59999999999991</v>
      </c>
      <c r="G43" s="8">
        <f t="shared" si="5"/>
        <v>17040</v>
      </c>
      <c r="H43" s="8">
        <f t="shared" si="6"/>
        <v>14728.800000000001</v>
      </c>
      <c r="I43" s="8">
        <f t="shared" si="7"/>
        <v>2311.1999999999989</v>
      </c>
      <c r="J43" t="s">
        <v>79</v>
      </c>
    </row>
    <row r="44" spans="1:10" x14ac:dyDescent="0.25">
      <c r="A44" s="5">
        <v>45874</v>
      </c>
      <c r="B44" t="s">
        <v>33</v>
      </c>
      <c r="C44">
        <v>6</v>
      </c>
      <c r="D44">
        <v>1420</v>
      </c>
      <c r="E44">
        <v>1227.4000000000001</v>
      </c>
      <c r="F44">
        <f t="shared" si="4"/>
        <v>192.59999999999991</v>
      </c>
      <c r="G44" s="8">
        <f t="shared" si="5"/>
        <v>8520</v>
      </c>
      <c r="H44" s="8">
        <f t="shared" si="6"/>
        <v>7364.4000000000005</v>
      </c>
      <c r="I44" s="8">
        <f t="shared" si="7"/>
        <v>1155.5999999999995</v>
      </c>
      <c r="J44" t="s">
        <v>79</v>
      </c>
    </row>
    <row r="45" spans="1:10" x14ac:dyDescent="0.25">
      <c r="A45" s="5">
        <v>45874</v>
      </c>
      <c r="B45" t="s">
        <v>31</v>
      </c>
      <c r="C45">
        <v>10</v>
      </c>
      <c r="D45">
        <v>2435</v>
      </c>
      <c r="E45">
        <v>2129.9</v>
      </c>
      <c r="F45">
        <f t="shared" si="4"/>
        <v>305.09999999999991</v>
      </c>
      <c r="G45" s="8">
        <f t="shared" si="5"/>
        <v>24350</v>
      </c>
      <c r="H45" s="8">
        <f t="shared" si="6"/>
        <v>21299</v>
      </c>
      <c r="I45" s="8">
        <f t="shared" si="7"/>
        <v>3051</v>
      </c>
      <c r="J45" t="s">
        <v>79</v>
      </c>
    </row>
    <row r="46" spans="1:10" x14ac:dyDescent="0.25">
      <c r="A46" s="5">
        <v>45874</v>
      </c>
      <c r="B46" t="s">
        <v>32</v>
      </c>
      <c r="C46">
        <v>21</v>
      </c>
      <c r="D46">
        <v>1690</v>
      </c>
      <c r="E46">
        <v>1407.9</v>
      </c>
      <c r="F46">
        <f t="shared" si="4"/>
        <v>282.09999999999991</v>
      </c>
      <c r="G46" s="8">
        <f t="shared" si="5"/>
        <v>35490</v>
      </c>
      <c r="H46" s="8">
        <f t="shared" si="6"/>
        <v>29565.9</v>
      </c>
      <c r="I46" s="8">
        <f t="shared" si="7"/>
        <v>5924.0999999999985</v>
      </c>
      <c r="J46" t="s">
        <v>79</v>
      </c>
    </row>
    <row r="47" spans="1:10" x14ac:dyDescent="0.25">
      <c r="A47" s="5">
        <v>45874</v>
      </c>
      <c r="B47" t="s">
        <v>34</v>
      </c>
      <c r="C47">
        <v>13</v>
      </c>
      <c r="D47">
        <v>1710</v>
      </c>
      <c r="E47">
        <v>1534.25</v>
      </c>
      <c r="F47">
        <f t="shared" si="4"/>
        <v>175.75</v>
      </c>
      <c r="G47" s="8">
        <f t="shared" si="5"/>
        <v>22230</v>
      </c>
      <c r="H47" s="8">
        <f t="shared" si="6"/>
        <v>19945.25</v>
      </c>
      <c r="I47" s="8">
        <f t="shared" si="7"/>
        <v>2284.75</v>
      </c>
      <c r="J47" t="s">
        <v>79</v>
      </c>
    </row>
    <row r="48" spans="1:10" x14ac:dyDescent="0.25">
      <c r="A48" s="5">
        <v>45874</v>
      </c>
      <c r="B48" t="s">
        <v>44</v>
      </c>
      <c r="C48">
        <v>2</v>
      </c>
      <c r="D48">
        <v>2050</v>
      </c>
      <c r="E48">
        <v>1950</v>
      </c>
      <c r="F48">
        <f t="shared" si="4"/>
        <v>100</v>
      </c>
      <c r="G48" s="8">
        <f t="shared" si="5"/>
        <v>4100</v>
      </c>
      <c r="H48" s="8">
        <f t="shared" si="6"/>
        <v>3900</v>
      </c>
      <c r="I48" s="8">
        <f t="shared" si="7"/>
        <v>200</v>
      </c>
      <c r="J48" t="s">
        <v>79</v>
      </c>
    </row>
    <row r="49" spans="1:10" x14ac:dyDescent="0.25">
      <c r="A49" s="5">
        <v>45875</v>
      </c>
      <c r="B49" t="s">
        <v>13</v>
      </c>
      <c r="C49">
        <v>7</v>
      </c>
      <c r="D49">
        <v>2450</v>
      </c>
      <c r="E49">
        <v>2400</v>
      </c>
      <c r="F49">
        <f t="shared" si="4"/>
        <v>50</v>
      </c>
      <c r="G49" s="8">
        <f t="shared" si="5"/>
        <v>17150</v>
      </c>
      <c r="H49" s="8">
        <f t="shared" si="6"/>
        <v>16800</v>
      </c>
      <c r="I49" s="8">
        <f t="shared" si="7"/>
        <v>350</v>
      </c>
      <c r="J49" t="s">
        <v>79</v>
      </c>
    </row>
    <row r="50" spans="1:10" x14ac:dyDescent="0.25">
      <c r="A50" s="5">
        <v>45875</v>
      </c>
      <c r="B50" t="s">
        <v>13</v>
      </c>
      <c r="C50">
        <v>5</v>
      </c>
      <c r="D50">
        <v>2550</v>
      </c>
      <c r="E50">
        <v>2500</v>
      </c>
      <c r="F50">
        <f t="shared" si="4"/>
        <v>50</v>
      </c>
      <c r="G50" s="8">
        <f t="shared" si="5"/>
        <v>12750</v>
      </c>
      <c r="H50" s="8">
        <f t="shared" si="6"/>
        <v>12500</v>
      </c>
      <c r="I50" s="8">
        <f t="shared" si="7"/>
        <v>250</v>
      </c>
      <c r="J50" t="s">
        <v>79</v>
      </c>
    </row>
    <row r="51" spans="1:10" x14ac:dyDescent="0.25">
      <c r="A51" s="5">
        <v>45875</v>
      </c>
      <c r="B51" t="s">
        <v>13</v>
      </c>
      <c r="C51">
        <v>1</v>
      </c>
      <c r="D51">
        <v>2495</v>
      </c>
      <c r="E51">
        <v>2350</v>
      </c>
      <c r="F51">
        <f t="shared" si="4"/>
        <v>145</v>
      </c>
      <c r="G51" s="8">
        <f t="shared" si="5"/>
        <v>2495</v>
      </c>
      <c r="H51" s="8">
        <f t="shared" si="6"/>
        <v>2350</v>
      </c>
      <c r="I51" s="8">
        <f t="shared" si="7"/>
        <v>145</v>
      </c>
      <c r="J51" t="s">
        <v>79</v>
      </c>
    </row>
    <row r="52" spans="1:10" x14ac:dyDescent="0.25">
      <c r="A52" s="5">
        <v>45875</v>
      </c>
      <c r="B52" t="s">
        <v>13</v>
      </c>
      <c r="C52">
        <v>1</v>
      </c>
      <c r="D52">
        <v>2550</v>
      </c>
      <c r="E52">
        <v>2400</v>
      </c>
      <c r="F52">
        <f t="shared" si="4"/>
        <v>150</v>
      </c>
      <c r="G52" s="8">
        <f t="shared" si="5"/>
        <v>2550</v>
      </c>
      <c r="H52" s="8">
        <f t="shared" si="6"/>
        <v>2400</v>
      </c>
      <c r="I52" s="8">
        <f t="shared" si="7"/>
        <v>150</v>
      </c>
      <c r="J52" t="s">
        <v>79</v>
      </c>
    </row>
    <row r="53" spans="1:10" x14ac:dyDescent="0.25">
      <c r="A53" s="5">
        <v>45875</v>
      </c>
      <c r="B53" t="s">
        <v>25</v>
      </c>
      <c r="C53">
        <v>4</v>
      </c>
      <c r="D53">
        <v>3190</v>
      </c>
      <c r="E53">
        <v>2800</v>
      </c>
      <c r="F53">
        <f t="shared" si="4"/>
        <v>390</v>
      </c>
      <c r="G53" s="8">
        <f t="shared" si="5"/>
        <v>12760</v>
      </c>
      <c r="H53" s="8">
        <f t="shared" si="6"/>
        <v>11200</v>
      </c>
      <c r="I53" s="8">
        <f t="shared" si="7"/>
        <v>1560</v>
      </c>
      <c r="J53" t="s">
        <v>79</v>
      </c>
    </row>
    <row r="54" spans="1:10" x14ac:dyDescent="0.25">
      <c r="A54" s="5">
        <v>45875</v>
      </c>
      <c r="B54" t="s">
        <v>26</v>
      </c>
      <c r="C54">
        <v>2</v>
      </c>
      <c r="D54">
        <v>2140</v>
      </c>
      <c r="E54">
        <v>2070</v>
      </c>
      <c r="F54">
        <f t="shared" si="4"/>
        <v>70</v>
      </c>
      <c r="G54" s="8">
        <f t="shared" si="5"/>
        <v>4280</v>
      </c>
      <c r="H54" s="8">
        <f t="shared" si="6"/>
        <v>4140</v>
      </c>
      <c r="I54" s="8">
        <f t="shared" si="7"/>
        <v>140</v>
      </c>
      <c r="J54" t="s">
        <v>79</v>
      </c>
    </row>
    <row r="55" spans="1:10" x14ac:dyDescent="0.25">
      <c r="A55" s="5">
        <v>45875</v>
      </c>
      <c r="B55" t="s">
        <v>26</v>
      </c>
      <c r="C55">
        <v>1</v>
      </c>
      <c r="D55">
        <v>2050</v>
      </c>
      <c r="E55">
        <v>1950</v>
      </c>
      <c r="F55">
        <f t="shared" si="4"/>
        <v>100</v>
      </c>
      <c r="G55" s="8">
        <f t="shared" si="5"/>
        <v>2050</v>
      </c>
      <c r="H55" s="8">
        <f t="shared" si="6"/>
        <v>1950</v>
      </c>
      <c r="I55" s="8">
        <f t="shared" si="7"/>
        <v>100</v>
      </c>
      <c r="J55" t="s">
        <v>79</v>
      </c>
    </row>
    <row r="56" spans="1:10" x14ac:dyDescent="0.25">
      <c r="A56" s="5">
        <v>45875</v>
      </c>
      <c r="B56" t="s">
        <v>26</v>
      </c>
      <c r="C56">
        <v>3</v>
      </c>
      <c r="D56">
        <v>2020</v>
      </c>
      <c r="E56">
        <v>1950</v>
      </c>
      <c r="F56">
        <f t="shared" si="4"/>
        <v>70</v>
      </c>
      <c r="G56" s="8">
        <f t="shared" si="5"/>
        <v>6060</v>
      </c>
      <c r="H56" s="8">
        <f t="shared" si="6"/>
        <v>5850</v>
      </c>
      <c r="I56" s="8">
        <f t="shared" si="7"/>
        <v>210</v>
      </c>
      <c r="J56" t="s">
        <v>79</v>
      </c>
    </row>
    <row r="57" spans="1:10" x14ac:dyDescent="0.25">
      <c r="A57" s="5">
        <v>45875</v>
      </c>
      <c r="B57" t="s">
        <v>27</v>
      </c>
      <c r="C57">
        <v>2</v>
      </c>
      <c r="D57">
        <v>2380</v>
      </c>
      <c r="E57">
        <v>2150</v>
      </c>
      <c r="F57">
        <f t="shared" si="4"/>
        <v>230</v>
      </c>
      <c r="G57" s="8">
        <f t="shared" si="5"/>
        <v>4760</v>
      </c>
      <c r="H57" s="8">
        <f t="shared" si="6"/>
        <v>4300</v>
      </c>
      <c r="I57" s="8">
        <f t="shared" si="7"/>
        <v>460</v>
      </c>
      <c r="J57" t="s">
        <v>79</v>
      </c>
    </row>
    <row r="58" spans="1:10" x14ac:dyDescent="0.25">
      <c r="A58" s="5">
        <v>45875</v>
      </c>
      <c r="B58" t="s">
        <v>27</v>
      </c>
      <c r="C58">
        <v>1</v>
      </c>
      <c r="D58">
        <v>2320</v>
      </c>
      <c r="E58">
        <v>2150</v>
      </c>
      <c r="F58">
        <f t="shared" si="4"/>
        <v>170</v>
      </c>
      <c r="G58" s="8">
        <f t="shared" si="5"/>
        <v>2320</v>
      </c>
      <c r="H58" s="8">
        <f t="shared" si="6"/>
        <v>2150</v>
      </c>
      <c r="I58" s="8">
        <f t="shared" si="7"/>
        <v>170</v>
      </c>
      <c r="J58" t="s">
        <v>79</v>
      </c>
    </row>
    <row r="59" spans="1:10" x14ac:dyDescent="0.25">
      <c r="A59" s="5">
        <v>45875</v>
      </c>
      <c r="B59" t="s">
        <v>27</v>
      </c>
      <c r="C59">
        <v>1</v>
      </c>
      <c r="D59">
        <v>2280</v>
      </c>
      <c r="E59">
        <v>2100</v>
      </c>
      <c r="F59">
        <f t="shared" si="4"/>
        <v>180</v>
      </c>
      <c r="G59" s="8">
        <f t="shared" si="5"/>
        <v>2280</v>
      </c>
      <c r="H59" s="8">
        <f t="shared" si="6"/>
        <v>2100</v>
      </c>
      <c r="I59" s="8">
        <f t="shared" si="7"/>
        <v>180</v>
      </c>
      <c r="J59" t="s">
        <v>79</v>
      </c>
    </row>
    <row r="60" spans="1:10" x14ac:dyDescent="0.25">
      <c r="A60" s="5">
        <v>45875</v>
      </c>
      <c r="B60" t="s">
        <v>45</v>
      </c>
      <c r="C60">
        <v>1</v>
      </c>
      <c r="D60">
        <v>2530</v>
      </c>
      <c r="E60">
        <v>2200</v>
      </c>
      <c r="F60">
        <f t="shared" si="4"/>
        <v>330</v>
      </c>
      <c r="G60" s="8">
        <f t="shared" si="5"/>
        <v>2530</v>
      </c>
      <c r="H60" s="8">
        <f t="shared" si="6"/>
        <v>2200</v>
      </c>
      <c r="I60" s="8">
        <f t="shared" si="7"/>
        <v>330</v>
      </c>
      <c r="J60" t="s">
        <v>79</v>
      </c>
    </row>
    <row r="61" spans="1:10" x14ac:dyDescent="0.25">
      <c r="A61" s="5">
        <v>45875</v>
      </c>
      <c r="B61" t="s">
        <v>13</v>
      </c>
      <c r="C61">
        <v>5</v>
      </c>
      <c r="D61">
        <v>2715</v>
      </c>
      <c r="E61">
        <v>2580</v>
      </c>
      <c r="F61">
        <f t="shared" si="4"/>
        <v>135</v>
      </c>
      <c r="G61" s="8">
        <f t="shared" si="5"/>
        <v>13575</v>
      </c>
      <c r="H61" s="8">
        <f t="shared" si="6"/>
        <v>12900</v>
      </c>
      <c r="I61" s="8">
        <f t="shared" si="7"/>
        <v>675</v>
      </c>
      <c r="J61" t="s">
        <v>79</v>
      </c>
    </row>
    <row r="62" spans="1:10" x14ac:dyDescent="0.25">
      <c r="A62" s="5">
        <v>45875</v>
      </c>
      <c r="B62" t="s">
        <v>13</v>
      </c>
      <c r="C62">
        <v>2</v>
      </c>
      <c r="D62">
        <v>2650</v>
      </c>
      <c r="E62">
        <v>2500</v>
      </c>
      <c r="F62">
        <f t="shared" si="4"/>
        <v>150</v>
      </c>
      <c r="G62" s="8">
        <f t="shared" si="5"/>
        <v>5300</v>
      </c>
      <c r="H62" s="8">
        <f t="shared" si="6"/>
        <v>5000</v>
      </c>
      <c r="I62" s="8">
        <f t="shared" si="7"/>
        <v>300</v>
      </c>
      <c r="J62" t="s">
        <v>79</v>
      </c>
    </row>
    <row r="63" spans="1:10" x14ac:dyDescent="0.25">
      <c r="A63" s="5">
        <v>45875</v>
      </c>
      <c r="B63" t="s">
        <v>24</v>
      </c>
      <c r="C63">
        <v>2</v>
      </c>
      <c r="D63">
        <v>2950</v>
      </c>
      <c r="E63">
        <v>2700</v>
      </c>
      <c r="F63">
        <f t="shared" si="4"/>
        <v>250</v>
      </c>
      <c r="G63" s="8">
        <f t="shared" si="5"/>
        <v>5900</v>
      </c>
      <c r="H63" s="8">
        <f t="shared" si="6"/>
        <v>5400</v>
      </c>
      <c r="I63" s="8">
        <f t="shared" si="7"/>
        <v>500</v>
      </c>
      <c r="J63" t="s">
        <v>79</v>
      </c>
    </row>
    <row r="64" spans="1:10" x14ac:dyDescent="0.25">
      <c r="A64" s="5">
        <v>45875</v>
      </c>
      <c r="B64" t="s">
        <v>24</v>
      </c>
      <c r="C64">
        <v>2</v>
      </c>
      <c r="D64">
        <v>2780</v>
      </c>
      <c r="E64">
        <v>2600</v>
      </c>
      <c r="F64">
        <f t="shared" si="4"/>
        <v>180</v>
      </c>
      <c r="G64" s="8">
        <f t="shared" si="5"/>
        <v>5560</v>
      </c>
      <c r="H64" s="8">
        <f t="shared" si="6"/>
        <v>5200</v>
      </c>
      <c r="I64" s="8">
        <f t="shared" si="7"/>
        <v>360</v>
      </c>
      <c r="J64" t="s">
        <v>79</v>
      </c>
    </row>
    <row r="65" spans="1:10" x14ac:dyDescent="0.25">
      <c r="A65" s="5">
        <v>45880</v>
      </c>
      <c r="B65" t="s">
        <v>31</v>
      </c>
      <c r="C65">
        <v>4</v>
      </c>
      <c r="D65">
        <v>2380</v>
      </c>
      <c r="E65">
        <v>2129.9</v>
      </c>
      <c r="F65">
        <f t="shared" si="4"/>
        <v>250.09999999999991</v>
      </c>
      <c r="G65" s="8">
        <f t="shared" si="5"/>
        <v>9520</v>
      </c>
      <c r="H65" s="8">
        <f t="shared" si="6"/>
        <v>8519.6</v>
      </c>
      <c r="I65" s="8">
        <f t="shared" si="7"/>
        <v>1000.3999999999996</v>
      </c>
      <c r="J65" t="s">
        <v>79</v>
      </c>
    </row>
    <row r="66" spans="1:10" x14ac:dyDescent="0.25">
      <c r="A66" s="5">
        <v>45880</v>
      </c>
      <c r="B66" t="s">
        <v>44</v>
      </c>
      <c r="C66">
        <v>3</v>
      </c>
      <c r="D66">
        <v>2000</v>
      </c>
      <c r="E66">
        <v>1696.7</v>
      </c>
      <c r="F66">
        <f t="shared" ref="F66:F97" si="8">D66-E66</f>
        <v>303.29999999999995</v>
      </c>
      <c r="G66" s="8">
        <f t="shared" ref="G66:G97" si="9">D66*C66</f>
        <v>6000</v>
      </c>
      <c r="H66" s="8">
        <f t="shared" ref="H66:H97" si="10">E66*C66</f>
        <v>5090.1000000000004</v>
      </c>
      <c r="I66" s="8">
        <f t="shared" ref="I66:I97" si="11">G66-H66</f>
        <v>909.89999999999964</v>
      </c>
      <c r="J66" t="s">
        <v>79</v>
      </c>
    </row>
    <row r="67" spans="1:10" x14ac:dyDescent="0.25">
      <c r="A67" s="5">
        <v>45880</v>
      </c>
      <c r="B67" t="s">
        <v>34</v>
      </c>
      <c r="C67">
        <v>1</v>
      </c>
      <c r="D67">
        <v>1700</v>
      </c>
      <c r="E67">
        <v>1534.25</v>
      </c>
      <c r="F67">
        <f t="shared" si="8"/>
        <v>165.75</v>
      </c>
      <c r="G67" s="8">
        <f t="shared" si="9"/>
        <v>1700</v>
      </c>
      <c r="H67" s="8">
        <f t="shared" si="10"/>
        <v>1534.25</v>
      </c>
      <c r="I67" s="8">
        <f t="shared" si="11"/>
        <v>165.75</v>
      </c>
      <c r="J67" t="s">
        <v>79</v>
      </c>
    </row>
    <row r="68" spans="1:10" x14ac:dyDescent="0.25">
      <c r="A68" s="5">
        <v>45880</v>
      </c>
      <c r="B68" t="s">
        <v>47</v>
      </c>
      <c r="C68">
        <v>14</v>
      </c>
      <c r="D68">
        <v>110</v>
      </c>
      <c r="E68">
        <v>126.35</v>
      </c>
      <c r="F68">
        <f t="shared" si="8"/>
        <v>-16.349999999999994</v>
      </c>
      <c r="G68" s="8">
        <f t="shared" si="9"/>
        <v>1540</v>
      </c>
      <c r="H68" s="8">
        <f t="shared" si="10"/>
        <v>1768.8999999999999</v>
      </c>
      <c r="I68" s="8">
        <f t="shared" si="11"/>
        <v>-228.89999999999986</v>
      </c>
      <c r="J68" t="s">
        <v>79</v>
      </c>
    </row>
    <row r="69" spans="1:10" x14ac:dyDescent="0.25">
      <c r="A69" s="5">
        <v>45881</v>
      </c>
      <c r="B69" t="s">
        <v>18</v>
      </c>
      <c r="C69">
        <v>2</v>
      </c>
      <c r="D69">
        <v>2300</v>
      </c>
      <c r="E69">
        <v>2410</v>
      </c>
      <c r="F69">
        <f t="shared" si="8"/>
        <v>-110</v>
      </c>
      <c r="G69" s="8">
        <f t="shared" si="9"/>
        <v>4600</v>
      </c>
      <c r="H69" s="8">
        <f t="shared" si="10"/>
        <v>4820</v>
      </c>
      <c r="I69" s="8">
        <f t="shared" si="11"/>
        <v>-220</v>
      </c>
      <c r="J69" t="s">
        <v>79</v>
      </c>
    </row>
    <row r="70" spans="1:10" x14ac:dyDescent="0.25">
      <c r="A70" s="5">
        <v>45881</v>
      </c>
      <c r="B70" t="s">
        <v>17</v>
      </c>
      <c r="C70">
        <v>1</v>
      </c>
      <c r="D70">
        <v>4500</v>
      </c>
      <c r="E70">
        <v>3700</v>
      </c>
      <c r="F70">
        <f t="shared" si="8"/>
        <v>800</v>
      </c>
      <c r="G70" s="8">
        <f t="shared" si="9"/>
        <v>4500</v>
      </c>
      <c r="H70" s="8">
        <f t="shared" si="10"/>
        <v>3700</v>
      </c>
      <c r="I70" s="8">
        <f t="shared" si="11"/>
        <v>800</v>
      </c>
      <c r="J70" t="s">
        <v>79</v>
      </c>
    </row>
    <row r="71" spans="1:10" x14ac:dyDescent="0.25">
      <c r="A71" s="11">
        <v>45882</v>
      </c>
      <c r="B71" s="12" t="s">
        <v>18</v>
      </c>
      <c r="C71" s="12">
        <v>6</v>
      </c>
      <c r="D71" s="12">
        <v>2300</v>
      </c>
      <c r="E71" s="12">
        <v>2350</v>
      </c>
      <c r="F71" s="12">
        <f t="shared" si="8"/>
        <v>-50</v>
      </c>
      <c r="G71" s="13">
        <f t="shared" si="9"/>
        <v>13800</v>
      </c>
      <c r="H71" s="13">
        <f t="shared" si="10"/>
        <v>14100</v>
      </c>
      <c r="I71" s="13">
        <f t="shared" si="11"/>
        <v>-300</v>
      </c>
      <c r="J71" s="12" t="s">
        <v>79</v>
      </c>
    </row>
    <row r="72" spans="1:10" x14ac:dyDescent="0.25">
      <c r="A72" s="5">
        <v>45882</v>
      </c>
      <c r="B72" t="s">
        <v>16</v>
      </c>
      <c r="C72">
        <v>1</v>
      </c>
      <c r="D72">
        <v>3600</v>
      </c>
      <c r="E72">
        <v>3500</v>
      </c>
      <c r="F72">
        <f t="shared" si="8"/>
        <v>100</v>
      </c>
      <c r="G72" s="8">
        <f t="shared" si="9"/>
        <v>3600</v>
      </c>
      <c r="H72" s="8">
        <f t="shared" si="10"/>
        <v>3500</v>
      </c>
      <c r="I72" s="8">
        <f t="shared" si="11"/>
        <v>100</v>
      </c>
      <c r="J72" t="s">
        <v>79</v>
      </c>
    </row>
    <row r="73" spans="1:10" x14ac:dyDescent="0.25">
      <c r="A73" s="5">
        <v>45882</v>
      </c>
      <c r="B73" t="s">
        <v>16</v>
      </c>
      <c r="C73">
        <v>2</v>
      </c>
      <c r="D73">
        <v>3750</v>
      </c>
      <c r="E73">
        <v>3600</v>
      </c>
      <c r="F73">
        <f t="shared" si="8"/>
        <v>150</v>
      </c>
      <c r="G73" s="8">
        <f t="shared" si="9"/>
        <v>7500</v>
      </c>
      <c r="H73" s="8">
        <f t="shared" si="10"/>
        <v>7200</v>
      </c>
      <c r="I73" s="8">
        <f t="shared" si="11"/>
        <v>300</v>
      </c>
      <c r="J73" t="s">
        <v>79</v>
      </c>
    </row>
    <row r="74" spans="1:10" x14ac:dyDescent="0.25">
      <c r="A74" s="5">
        <v>45882</v>
      </c>
      <c r="B74" t="s">
        <v>19</v>
      </c>
      <c r="C74">
        <v>2</v>
      </c>
      <c r="D74">
        <v>5900</v>
      </c>
      <c r="E74">
        <v>4100</v>
      </c>
      <c r="F74">
        <f t="shared" si="8"/>
        <v>1800</v>
      </c>
      <c r="G74" s="8">
        <f t="shared" si="9"/>
        <v>11800</v>
      </c>
      <c r="H74" s="8">
        <f t="shared" si="10"/>
        <v>8200</v>
      </c>
      <c r="I74" s="8">
        <f t="shared" si="11"/>
        <v>3600</v>
      </c>
      <c r="J74" t="s">
        <v>79</v>
      </c>
    </row>
    <row r="75" spans="1:10" x14ac:dyDescent="0.25">
      <c r="A75" s="5">
        <v>45882</v>
      </c>
      <c r="B75" t="s">
        <v>19</v>
      </c>
      <c r="C75">
        <v>1</v>
      </c>
      <c r="D75">
        <v>6050</v>
      </c>
      <c r="E75">
        <v>4100</v>
      </c>
      <c r="F75">
        <f t="shared" si="8"/>
        <v>1950</v>
      </c>
      <c r="G75" s="8">
        <f t="shared" si="9"/>
        <v>6050</v>
      </c>
      <c r="H75" s="8">
        <f t="shared" si="10"/>
        <v>4100</v>
      </c>
      <c r="I75" s="8">
        <f t="shared" si="11"/>
        <v>1950</v>
      </c>
      <c r="J75" t="s">
        <v>79</v>
      </c>
    </row>
    <row r="76" spans="1:10" x14ac:dyDescent="0.25">
      <c r="A76" s="5">
        <v>45882</v>
      </c>
      <c r="B76" t="s">
        <v>54</v>
      </c>
      <c r="C76">
        <v>1</v>
      </c>
      <c r="D76">
        <v>5200</v>
      </c>
      <c r="E76">
        <v>3700</v>
      </c>
      <c r="F76">
        <f t="shared" si="8"/>
        <v>1500</v>
      </c>
      <c r="G76" s="8">
        <f t="shared" si="9"/>
        <v>5200</v>
      </c>
      <c r="H76" s="8">
        <f t="shared" si="10"/>
        <v>3700</v>
      </c>
      <c r="I76" s="8">
        <f t="shared" si="11"/>
        <v>1500</v>
      </c>
      <c r="J76" t="s">
        <v>79</v>
      </c>
    </row>
    <row r="77" spans="1:10" x14ac:dyDescent="0.25">
      <c r="A77" s="5">
        <v>45882</v>
      </c>
      <c r="B77" t="s">
        <v>42</v>
      </c>
      <c r="C77">
        <v>1</v>
      </c>
      <c r="D77">
        <v>1690</v>
      </c>
      <c r="E77">
        <v>1584</v>
      </c>
      <c r="F77">
        <f t="shared" si="8"/>
        <v>106</v>
      </c>
      <c r="G77" s="8">
        <f t="shared" si="9"/>
        <v>1690</v>
      </c>
      <c r="H77" s="8">
        <f t="shared" si="10"/>
        <v>1584</v>
      </c>
      <c r="I77" s="8">
        <f t="shared" si="11"/>
        <v>106</v>
      </c>
      <c r="J77" t="s">
        <v>79</v>
      </c>
    </row>
    <row r="78" spans="1:10" x14ac:dyDescent="0.25">
      <c r="A78" s="5">
        <v>45883</v>
      </c>
      <c r="B78" t="s">
        <v>37</v>
      </c>
      <c r="C78">
        <v>8</v>
      </c>
      <c r="D78">
        <v>1920</v>
      </c>
      <c r="E78">
        <v>1800</v>
      </c>
      <c r="F78">
        <f t="shared" si="8"/>
        <v>120</v>
      </c>
      <c r="G78" s="8">
        <f t="shared" si="9"/>
        <v>15360</v>
      </c>
      <c r="H78" s="8">
        <f t="shared" si="10"/>
        <v>14400</v>
      </c>
      <c r="I78" s="8">
        <f t="shared" si="11"/>
        <v>960</v>
      </c>
      <c r="J78" t="s">
        <v>79</v>
      </c>
    </row>
    <row r="79" spans="1:10" x14ac:dyDescent="0.25">
      <c r="A79" s="5">
        <v>45883</v>
      </c>
      <c r="B79" t="s">
        <v>13</v>
      </c>
      <c r="C79">
        <v>5</v>
      </c>
      <c r="D79">
        <v>2480</v>
      </c>
      <c r="E79">
        <v>2400</v>
      </c>
      <c r="F79">
        <f t="shared" si="8"/>
        <v>80</v>
      </c>
      <c r="G79" s="8">
        <f t="shared" si="9"/>
        <v>12400</v>
      </c>
      <c r="H79" s="8">
        <f t="shared" si="10"/>
        <v>12000</v>
      </c>
      <c r="I79" s="8">
        <f t="shared" si="11"/>
        <v>400</v>
      </c>
      <c r="J79" t="s">
        <v>79</v>
      </c>
    </row>
    <row r="80" spans="1:10" x14ac:dyDescent="0.25">
      <c r="A80" s="5">
        <v>45883</v>
      </c>
      <c r="B80" t="s">
        <v>13</v>
      </c>
      <c r="C80">
        <v>5</v>
      </c>
      <c r="D80">
        <v>2750</v>
      </c>
      <c r="E80">
        <v>2580</v>
      </c>
      <c r="F80">
        <f t="shared" si="8"/>
        <v>170</v>
      </c>
      <c r="G80" s="8">
        <f t="shared" si="9"/>
        <v>13750</v>
      </c>
      <c r="H80" s="8">
        <f t="shared" si="10"/>
        <v>12900</v>
      </c>
      <c r="I80" s="8">
        <f t="shared" si="11"/>
        <v>850</v>
      </c>
      <c r="J80" t="s">
        <v>79</v>
      </c>
    </row>
    <row r="81" spans="1:10" x14ac:dyDescent="0.25">
      <c r="A81" s="5">
        <v>45883</v>
      </c>
      <c r="B81" t="s">
        <v>37</v>
      </c>
      <c r="C81">
        <v>4</v>
      </c>
      <c r="D81">
        <v>1980</v>
      </c>
      <c r="E81">
        <v>1800</v>
      </c>
      <c r="F81">
        <f t="shared" si="8"/>
        <v>180</v>
      </c>
      <c r="G81" s="8">
        <f t="shared" si="9"/>
        <v>7920</v>
      </c>
      <c r="H81" s="8">
        <f t="shared" si="10"/>
        <v>7200</v>
      </c>
      <c r="I81" s="8">
        <f t="shared" si="11"/>
        <v>720</v>
      </c>
      <c r="J81" t="s">
        <v>79</v>
      </c>
    </row>
    <row r="82" spans="1:10" x14ac:dyDescent="0.25">
      <c r="A82" s="5">
        <v>45883</v>
      </c>
      <c r="B82" t="s">
        <v>43</v>
      </c>
      <c r="C82">
        <v>1</v>
      </c>
      <c r="D82">
        <v>2080</v>
      </c>
      <c r="E82">
        <v>1900</v>
      </c>
      <c r="F82">
        <f t="shared" si="8"/>
        <v>180</v>
      </c>
      <c r="G82" s="8">
        <f t="shared" si="9"/>
        <v>2080</v>
      </c>
      <c r="H82" s="8">
        <f t="shared" si="10"/>
        <v>1900</v>
      </c>
      <c r="I82" s="8">
        <f t="shared" si="11"/>
        <v>180</v>
      </c>
      <c r="J82" t="s">
        <v>79</v>
      </c>
    </row>
    <row r="83" spans="1:10" x14ac:dyDescent="0.25">
      <c r="A83" s="5">
        <v>45884</v>
      </c>
      <c r="B83" t="s">
        <v>18</v>
      </c>
      <c r="C83">
        <v>1</v>
      </c>
      <c r="D83">
        <v>2440</v>
      </c>
      <c r="E83">
        <v>2410</v>
      </c>
      <c r="F83">
        <f t="shared" si="8"/>
        <v>30</v>
      </c>
      <c r="G83" s="8">
        <f t="shared" si="9"/>
        <v>2440</v>
      </c>
      <c r="H83" s="8">
        <f t="shared" si="10"/>
        <v>2410</v>
      </c>
      <c r="I83" s="8">
        <f t="shared" si="11"/>
        <v>30</v>
      </c>
      <c r="J83" t="s">
        <v>79</v>
      </c>
    </row>
    <row r="84" spans="1:10" x14ac:dyDescent="0.25">
      <c r="A84" s="5">
        <v>45884</v>
      </c>
      <c r="B84" t="s">
        <v>13</v>
      </c>
      <c r="C84">
        <v>15</v>
      </c>
      <c r="D84">
        <v>2530</v>
      </c>
      <c r="E84">
        <v>2400</v>
      </c>
      <c r="F84">
        <f t="shared" si="8"/>
        <v>130</v>
      </c>
      <c r="G84" s="8">
        <f t="shared" si="9"/>
        <v>37950</v>
      </c>
      <c r="H84" s="8">
        <f t="shared" si="10"/>
        <v>36000</v>
      </c>
      <c r="I84" s="8">
        <f t="shared" si="11"/>
        <v>1950</v>
      </c>
      <c r="J84" t="s">
        <v>79</v>
      </c>
    </row>
    <row r="85" spans="1:10" x14ac:dyDescent="0.25">
      <c r="A85" s="5">
        <v>45884</v>
      </c>
      <c r="B85" t="s">
        <v>13</v>
      </c>
      <c r="C85">
        <v>5</v>
      </c>
      <c r="D85">
        <v>2670</v>
      </c>
      <c r="E85">
        <v>2580</v>
      </c>
      <c r="F85">
        <f t="shared" si="8"/>
        <v>90</v>
      </c>
      <c r="G85" s="8">
        <f t="shared" si="9"/>
        <v>13350</v>
      </c>
      <c r="H85" s="8">
        <f t="shared" si="10"/>
        <v>12900</v>
      </c>
      <c r="I85" s="8">
        <f t="shared" si="11"/>
        <v>450</v>
      </c>
      <c r="J85" t="s">
        <v>79</v>
      </c>
    </row>
    <row r="86" spans="1:10" x14ac:dyDescent="0.25">
      <c r="A86" s="5">
        <v>45884</v>
      </c>
      <c r="B86" t="s">
        <v>13</v>
      </c>
      <c r="C86">
        <v>2</v>
      </c>
      <c r="D86">
        <v>2600</v>
      </c>
      <c r="E86">
        <v>2500</v>
      </c>
      <c r="F86">
        <f t="shared" si="8"/>
        <v>100</v>
      </c>
      <c r="G86" s="8">
        <f t="shared" si="9"/>
        <v>5200</v>
      </c>
      <c r="H86" s="8">
        <f t="shared" si="10"/>
        <v>5000</v>
      </c>
      <c r="I86" s="8">
        <f t="shared" si="11"/>
        <v>200</v>
      </c>
      <c r="J86" t="s">
        <v>79</v>
      </c>
    </row>
    <row r="87" spans="1:10" x14ac:dyDescent="0.25">
      <c r="A87" s="5">
        <v>45884</v>
      </c>
      <c r="B87" t="s">
        <v>24</v>
      </c>
      <c r="C87">
        <v>1</v>
      </c>
      <c r="D87">
        <v>2940</v>
      </c>
      <c r="E87">
        <v>2700</v>
      </c>
      <c r="F87">
        <f t="shared" si="8"/>
        <v>240</v>
      </c>
      <c r="G87" s="8">
        <f t="shared" si="9"/>
        <v>2940</v>
      </c>
      <c r="H87" s="8">
        <f t="shared" si="10"/>
        <v>2700</v>
      </c>
      <c r="I87" s="8">
        <f t="shared" si="11"/>
        <v>240</v>
      </c>
      <c r="J87" t="s">
        <v>79</v>
      </c>
    </row>
    <row r="88" spans="1:10" x14ac:dyDescent="0.25">
      <c r="A88" s="5">
        <v>45884</v>
      </c>
      <c r="B88" t="s">
        <v>27</v>
      </c>
      <c r="C88">
        <v>3</v>
      </c>
      <c r="D88">
        <v>2340</v>
      </c>
      <c r="E88">
        <v>2100</v>
      </c>
      <c r="F88">
        <f t="shared" si="8"/>
        <v>240</v>
      </c>
      <c r="G88" s="8">
        <f t="shared" si="9"/>
        <v>7020</v>
      </c>
      <c r="H88" s="8">
        <f t="shared" si="10"/>
        <v>6300</v>
      </c>
      <c r="I88" s="8">
        <f t="shared" si="11"/>
        <v>720</v>
      </c>
      <c r="J88" t="s">
        <v>79</v>
      </c>
    </row>
    <row r="89" spans="1:10" x14ac:dyDescent="0.25">
      <c r="A89" s="5">
        <v>45884</v>
      </c>
      <c r="B89" t="s">
        <v>37</v>
      </c>
      <c r="C89">
        <v>1</v>
      </c>
      <c r="D89">
        <v>1850</v>
      </c>
      <c r="E89">
        <v>1800</v>
      </c>
      <c r="F89">
        <f t="shared" si="8"/>
        <v>50</v>
      </c>
      <c r="G89" s="8">
        <f t="shared" si="9"/>
        <v>1850</v>
      </c>
      <c r="H89" s="8">
        <f t="shared" si="10"/>
        <v>1800</v>
      </c>
      <c r="I89" s="8">
        <f t="shared" si="11"/>
        <v>50</v>
      </c>
      <c r="J89" t="s">
        <v>79</v>
      </c>
    </row>
    <row r="90" spans="1:10" x14ac:dyDescent="0.25">
      <c r="A90" s="5">
        <v>45884</v>
      </c>
      <c r="B90" t="s">
        <v>37</v>
      </c>
      <c r="C90">
        <v>1</v>
      </c>
      <c r="D90">
        <v>1700</v>
      </c>
      <c r="E90">
        <v>1800</v>
      </c>
      <c r="F90">
        <f t="shared" si="8"/>
        <v>-100</v>
      </c>
      <c r="G90" s="8">
        <f t="shared" si="9"/>
        <v>1700</v>
      </c>
      <c r="H90" s="8">
        <f t="shared" si="10"/>
        <v>1800</v>
      </c>
      <c r="I90" s="8">
        <f t="shared" si="11"/>
        <v>-100</v>
      </c>
      <c r="J90" t="s">
        <v>79</v>
      </c>
    </row>
    <row r="91" spans="1:10" x14ac:dyDescent="0.25">
      <c r="A91" s="5">
        <v>45884</v>
      </c>
      <c r="B91" t="s">
        <v>56</v>
      </c>
      <c r="C91">
        <v>1</v>
      </c>
      <c r="D91">
        <v>1100</v>
      </c>
      <c r="E91">
        <v>1100</v>
      </c>
      <c r="F91">
        <f t="shared" si="8"/>
        <v>0</v>
      </c>
      <c r="G91" s="8">
        <f t="shared" si="9"/>
        <v>1100</v>
      </c>
      <c r="H91" s="8">
        <f t="shared" si="10"/>
        <v>1100</v>
      </c>
      <c r="I91" s="8">
        <f t="shared" si="11"/>
        <v>0</v>
      </c>
      <c r="J91" t="s">
        <v>79</v>
      </c>
    </row>
    <row r="92" spans="1:10" x14ac:dyDescent="0.25">
      <c r="A92" s="5">
        <v>45884</v>
      </c>
      <c r="B92" t="s">
        <v>37</v>
      </c>
      <c r="C92">
        <v>1</v>
      </c>
      <c r="D92">
        <v>1930</v>
      </c>
      <c r="E92">
        <v>1800</v>
      </c>
      <c r="F92">
        <f t="shared" si="8"/>
        <v>130</v>
      </c>
      <c r="G92" s="8">
        <f t="shared" si="9"/>
        <v>1930</v>
      </c>
      <c r="H92" s="8">
        <f t="shared" si="10"/>
        <v>1800</v>
      </c>
      <c r="I92" s="8">
        <f t="shared" si="11"/>
        <v>130</v>
      </c>
      <c r="J92" t="s">
        <v>79</v>
      </c>
    </row>
    <row r="93" spans="1:10" x14ac:dyDescent="0.25">
      <c r="A93" s="5">
        <v>45884</v>
      </c>
      <c r="B93" t="s">
        <v>13</v>
      </c>
      <c r="C93">
        <v>3</v>
      </c>
      <c r="D93">
        <v>2755</v>
      </c>
      <c r="E93">
        <v>2580</v>
      </c>
      <c r="F93">
        <f t="shared" si="8"/>
        <v>175</v>
      </c>
      <c r="G93" s="8">
        <f t="shared" si="9"/>
        <v>8265</v>
      </c>
      <c r="H93" s="8">
        <f t="shared" si="10"/>
        <v>7740</v>
      </c>
      <c r="I93" s="8">
        <f t="shared" si="11"/>
        <v>525</v>
      </c>
      <c r="J93" t="s">
        <v>79</v>
      </c>
    </row>
    <row r="94" spans="1:10" x14ac:dyDescent="0.25">
      <c r="A94" s="5">
        <v>45886</v>
      </c>
      <c r="B94" t="s">
        <v>13</v>
      </c>
      <c r="C94">
        <v>6</v>
      </c>
      <c r="D94">
        <v>2755</v>
      </c>
      <c r="E94">
        <v>2580</v>
      </c>
      <c r="F94">
        <f t="shared" si="8"/>
        <v>175</v>
      </c>
      <c r="G94" s="8">
        <f t="shared" si="9"/>
        <v>16530</v>
      </c>
      <c r="H94" s="8">
        <f t="shared" si="10"/>
        <v>15480</v>
      </c>
      <c r="I94" s="8">
        <f t="shared" si="11"/>
        <v>1050</v>
      </c>
      <c r="J94" t="s">
        <v>79</v>
      </c>
    </row>
    <row r="95" spans="1:10" x14ac:dyDescent="0.25">
      <c r="A95" s="5">
        <v>45887</v>
      </c>
      <c r="B95" t="s">
        <v>30</v>
      </c>
      <c r="C95">
        <v>1</v>
      </c>
      <c r="D95">
        <v>1650</v>
      </c>
      <c r="E95">
        <v>1600</v>
      </c>
      <c r="F95">
        <f t="shared" si="8"/>
        <v>50</v>
      </c>
      <c r="G95" s="8">
        <f t="shared" si="9"/>
        <v>1650</v>
      </c>
      <c r="H95" s="8">
        <f t="shared" si="10"/>
        <v>1600</v>
      </c>
      <c r="I95" s="8">
        <f t="shared" si="11"/>
        <v>50</v>
      </c>
      <c r="J95" t="s">
        <v>79</v>
      </c>
    </row>
    <row r="96" spans="1:10" x14ac:dyDescent="0.25">
      <c r="A96" s="5">
        <v>45887</v>
      </c>
      <c r="B96" t="s">
        <v>26</v>
      </c>
      <c r="C96">
        <v>5</v>
      </c>
      <c r="D96">
        <v>2150</v>
      </c>
      <c r="E96">
        <v>2070</v>
      </c>
      <c r="F96">
        <f t="shared" si="8"/>
        <v>80</v>
      </c>
      <c r="G96" s="8">
        <f t="shared" si="9"/>
        <v>10750</v>
      </c>
      <c r="H96" s="8">
        <f t="shared" si="10"/>
        <v>10350</v>
      </c>
      <c r="I96" s="8">
        <f t="shared" si="11"/>
        <v>400</v>
      </c>
      <c r="J96" t="s">
        <v>79</v>
      </c>
    </row>
    <row r="97" spans="1:10" x14ac:dyDescent="0.25">
      <c r="A97" s="5">
        <v>45887</v>
      </c>
      <c r="B97" t="s">
        <v>26</v>
      </c>
      <c r="C97">
        <v>2</v>
      </c>
      <c r="D97">
        <v>2000</v>
      </c>
      <c r="E97">
        <v>1950</v>
      </c>
      <c r="F97">
        <f t="shared" si="8"/>
        <v>50</v>
      </c>
      <c r="G97" s="8">
        <f t="shared" si="9"/>
        <v>4000</v>
      </c>
      <c r="H97" s="8">
        <f t="shared" si="10"/>
        <v>3900</v>
      </c>
      <c r="I97" s="8">
        <f t="shared" si="11"/>
        <v>100</v>
      </c>
      <c r="J97" t="s">
        <v>79</v>
      </c>
    </row>
    <row r="98" spans="1:10" x14ac:dyDescent="0.25">
      <c r="A98" s="5">
        <v>45887</v>
      </c>
      <c r="B98" t="s">
        <v>26</v>
      </c>
      <c r="C98">
        <v>1</v>
      </c>
      <c r="D98">
        <v>2070</v>
      </c>
      <c r="E98">
        <v>1950</v>
      </c>
      <c r="F98">
        <f t="shared" ref="F98:F129" si="12">D98-E98</f>
        <v>120</v>
      </c>
      <c r="G98" s="8">
        <f t="shared" ref="G98:G129" si="13">D98*C98</f>
        <v>2070</v>
      </c>
      <c r="H98" s="8">
        <f t="shared" ref="H98:H129" si="14">E98*C98</f>
        <v>1950</v>
      </c>
      <c r="I98" s="8">
        <f t="shared" ref="I98:I129" si="15">G98-H98</f>
        <v>120</v>
      </c>
      <c r="J98" t="s">
        <v>79</v>
      </c>
    </row>
    <row r="99" spans="1:10" x14ac:dyDescent="0.25">
      <c r="A99" s="5">
        <v>45887</v>
      </c>
      <c r="B99" t="s">
        <v>29</v>
      </c>
      <c r="C99">
        <v>2</v>
      </c>
      <c r="D99">
        <v>1550</v>
      </c>
      <c r="E99">
        <v>1400</v>
      </c>
      <c r="F99">
        <f t="shared" si="12"/>
        <v>150</v>
      </c>
      <c r="G99" s="8">
        <f t="shared" si="13"/>
        <v>3100</v>
      </c>
      <c r="H99" s="8">
        <f t="shared" si="14"/>
        <v>2800</v>
      </c>
      <c r="I99" s="8">
        <f t="shared" si="15"/>
        <v>300</v>
      </c>
      <c r="J99" t="s">
        <v>79</v>
      </c>
    </row>
    <row r="100" spans="1:10" x14ac:dyDescent="0.25">
      <c r="A100" s="5">
        <v>45887</v>
      </c>
      <c r="B100" t="s">
        <v>59</v>
      </c>
      <c r="C100">
        <v>1</v>
      </c>
      <c r="D100">
        <v>1925</v>
      </c>
      <c r="E100">
        <v>1800</v>
      </c>
      <c r="F100">
        <f t="shared" si="12"/>
        <v>125</v>
      </c>
      <c r="G100" s="8">
        <f t="shared" si="13"/>
        <v>1925</v>
      </c>
      <c r="H100" s="8">
        <f t="shared" si="14"/>
        <v>1800</v>
      </c>
      <c r="I100" s="8">
        <f t="shared" si="15"/>
        <v>125</v>
      </c>
      <c r="J100" t="s">
        <v>79</v>
      </c>
    </row>
    <row r="101" spans="1:10" x14ac:dyDescent="0.25">
      <c r="A101" s="5">
        <v>45887</v>
      </c>
      <c r="B101" t="s">
        <v>13</v>
      </c>
      <c r="C101">
        <v>2</v>
      </c>
      <c r="D101">
        <v>2755</v>
      </c>
      <c r="E101">
        <v>2580</v>
      </c>
      <c r="F101">
        <f t="shared" si="12"/>
        <v>175</v>
      </c>
      <c r="G101" s="8">
        <f t="shared" si="13"/>
        <v>5510</v>
      </c>
      <c r="H101" s="8">
        <f t="shared" si="14"/>
        <v>5160</v>
      </c>
      <c r="I101" s="8">
        <f t="shared" si="15"/>
        <v>350</v>
      </c>
      <c r="J101" t="s">
        <v>79</v>
      </c>
    </row>
    <row r="102" spans="1:10" x14ac:dyDescent="0.25">
      <c r="A102" s="5">
        <v>45888</v>
      </c>
      <c r="B102" t="s">
        <v>60</v>
      </c>
      <c r="C102">
        <v>1</v>
      </c>
      <c r="D102">
        <v>3300</v>
      </c>
      <c r="E102">
        <v>3250</v>
      </c>
      <c r="F102">
        <f t="shared" si="12"/>
        <v>50</v>
      </c>
      <c r="G102" s="8">
        <f t="shared" si="13"/>
        <v>3300</v>
      </c>
      <c r="H102" s="8">
        <f t="shared" si="14"/>
        <v>3250</v>
      </c>
      <c r="I102" s="8">
        <f t="shared" si="15"/>
        <v>50</v>
      </c>
      <c r="J102" t="s">
        <v>79</v>
      </c>
    </row>
    <row r="103" spans="1:10" x14ac:dyDescent="0.25">
      <c r="A103" s="5">
        <v>45889</v>
      </c>
      <c r="B103" t="s">
        <v>16</v>
      </c>
      <c r="C103">
        <v>4</v>
      </c>
      <c r="D103">
        <v>3930</v>
      </c>
      <c r="E103">
        <v>3600</v>
      </c>
      <c r="F103">
        <f t="shared" si="12"/>
        <v>330</v>
      </c>
      <c r="G103" s="8">
        <f t="shared" si="13"/>
        <v>15720</v>
      </c>
      <c r="H103" s="8">
        <f t="shared" si="14"/>
        <v>14400</v>
      </c>
      <c r="I103" s="8">
        <f t="shared" si="15"/>
        <v>1320</v>
      </c>
      <c r="J103" t="s">
        <v>79</v>
      </c>
    </row>
    <row r="104" spans="1:10" x14ac:dyDescent="0.25">
      <c r="A104" s="5">
        <v>45889</v>
      </c>
      <c r="B104" t="s">
        <v>16</v>
      </c>
      <c r="C104">
        <v>1</v>
      </c>
      <c r="D104">
        <v>3700</v>
      </c>
      <c r="E104">
        <v>3500</v>
      </c>
      <c r="F104">
        <f t="shared" si="12"/>
        <v>200</v>
      </c>
      <c r="G104" s="8">
        <f t="shared" si="13"/>
        <v>3700</v>
      </c>
      <c r="H104" s="8">
        <f t="shared" si="14"/>
        <v>3500</v>
      </c>
      <c r="I104" s="8">
        <f t="shared" si="15"/>
        <v>200</v>
      </c>
      <c r="J104" t="s">
        <v>79</v>
      </c>
    </row>
    <row r="105" spans="1:10" x14ac:dyDescent="0.25">
      <c r="A105" s="5">
        <v>45891</v>
      </c>
      <c r="B105" t="s">
        <v>33</v>
      </c>
      <c r="C105">
        <v>26</v>
      </c>
      <c r="D105">
        <v>1520</v>
      </c>
      <c r="E105">
        <v>1191.3</v>
      </c>
      <c r="F105">
        <f t="shared" si="12"/>
        <v>328.70000000000005</v>
      </c>
      <c r="G105" s="8">
        <f t="shared" si="13"/>
        <v>39520</v>
      </c>
      <c r="H105" s="8">
        <f t="shared" si="14"/>
        <v>30973.8</v>
      </c>
      <c r="I105" s="8">
        <f t="shared" si="15"/>
        <v>8546.2000000000007</v>
      </c>
      <c r="J105" t="s">
        <v>79</v>
      </c>
    </row>
    <row r="106" spans="1:10" x14ac:dyDescent="0.25">
      <c r="A106" s="5">
        <v>45891</v>
      </c>
      <c r="B106" t="s">
        <v>36</v>
      </c>
      <c r="C106">
        <v>6</v>
      </c>
      <c r="D106">
        <v>1650</v>
      </c>
      <c r="E106">
        <v>1606.45</v>
      </c>
      <c r="F106">
        <f t="shared" si="12"/>
        <v>43.549999999999955</v>
      </c>
      <c r="G106" s="8">
        <f t="shared" si="13"/>
        <v>9900</v>
      </c>
      <c r="H106" s="8">
        <f t="shared" si="14"/>
        <v>9638.7000000000007</v>
      </c>
      <c r="I106" s="8">
        <f t="shared" si="15"/>
        <v>261.29999999999927</v>
      </c>
      <c r="J106" t="s">
        <v>79</v>
      </c>
    </row>
    <row r="107" spans="1:10" x14ac:dyDescent="0.25">
      <c r="A107" s="5">
        <v>45891</v>
      </c>
      <c r="B107" t="s">
        <v>32</v>
      </c>
      <c r="C107">
        <v>4</v>
      </c>
      <c r="D107">
        <v>1665</v>
      </c>
      <c r="E107">
        <v>1404</v>
      </c>
      <c r="F107">
        <f t="shared" si="12"/>
        <v>261</v>
      </c>
      <c r="G107" s="8">
        <f t="shared" si="13"/>
        <v>6660</v>
      </c>
      <c r="H107" s="8">
        <f t="shared" si="14"/>
        <v>5616</v>
      </c>
      <c r="I107" s="8">
        <f t="shared" si="15"/>
        <v>1044</v>
      </c>
      <c r="J107" t="s">
        <v>79</v>
      </c>
    </row>
    <row r="108" spans="1:10" x14ac:dyDescent="0.25">
      <c r="A108" s="5">
        <v>45891</v>
      </c>
      <c r="B108" t="s">
        <v>32</v>
      </c>
      <c r="C108">
        <v>5</v>
      </c>
      <c r="D108">
        <v>1740</v>
      </c>
      <c r="E108">
        <v>1404</v>
      </c>
      <c r="F108">
        <f t="shared" si="12"/>
        <v>336</v>
      </c>
      <c r="G108" s="8">
        <f t="shared" si="13"/>
        <v>8700</v>
      </c>
      <c r="H108" s="8">
        <f t="shared" si="14"/>
        <v>7020</v>
      </c>
      <c r="I108" s="8">
        <f t="shared" si="15"/>
        <v>1680</v>
      </c>
      <c r="J108" t="s">
        <v>79</v>
      </c>
    </row>
    <row r="109" spans="1:10" x14ac:dyDescent="0.25">
      <c r="A109" s="5">
        <v>45892</v>
      </c>
      <c r="B109" t="s">
        <v>13</v>
      </c>
      <c r="C109">
        <v>7</v>
      </c>
      <c r="D109">
        <v>2530</v>
      </c>
      <c r="E109">
        <v>2400</v>
      </c>
      <c r="F109">
        <f t="shared" si="12"/>
        <v>130</v>
      </c>
      <c r="G109" s="8">
        <f t="shared" si="13"/>
        <v>17710</v>
      </c>
      <c r="H109" s="8">
        <f t="shared" si="14"/>
        <v>16800</v>
      </c>
      <c r="I109" s="8">
        <f t="shared" si="15"/>
        <v>910</v>
      </c>
      <c r="J109" t="s">
        <v>79</v>
      </c>
    </row>
    <row r="110" spans="1:10" x14ac:dyDescent="0.25">
      <c r="A110" s="5">
        <v>45892</v>
      </c>
      <c r="B110" t="s">
        <v>13</v>
      </c>
      <c r="C110">
        <v>2</v>
      </c>
      <c r="D110">
        <v>2670</v>
      </c>
      <c r="E110">
        <v>2580</v>
      </c>
      <c r="F110">
        <f t="shared" si="12"/>
        <v>90</v>
      </c>
      <c r="G110" s="8">
        <f t="shared" si="13"/>
        <v>5340</v>
      </c>
      <c r="H110" s="8">
        <f t="shared" si="14"/>
        <v>5160</v>
      </c>
      <c r="I110" s="8">
        <f t="shared" si="15"/>
        <v>180</v>
      </c>
      <c r="J110" t="s">
        <v>79</v>
      </c>
    </row>
    <row r="111" spans="1:10" x14ac:dyDescent="0.25">
      <c r="A111" s="5">
        <v>45892</v>
      </c>
      <c r="B111" t="s">
        <v>24</v>
      </c>
      <c r="C111">
        <v>2</v>
      </c>
      <c r="D111">
        <v>2940</v>
      </c>
      <c r="E111">
        <v>2700</v>
      </c>
      <c r="F111">
        <f t="shared" si="12"/>
        <v>240</v>
      </c>
      <c r="G111" s="8">
        <f t="shared" si="13"/>
        <v>5880</v>
      </c>
      <c r="H111" s="8">
        <f t="shared" si="14"/>
        <v>5400</v>
      </c>
      <c r="I111" s="8">
        <f t="shared" si="15"/>
        <v>480</v>
      </c>
      <c r="J111" t="s">
        <v>79</v>
      </c>
    </row>
    <row r="112" spans="1:10" x14ac:dyDescent="0.25">
      <c r="A112" s="5">
        <v>45892</v>
      </c>
      <c r="B112" t="s">
        <v>45</v>
      </c>
      <c r="C112">
        <v>2</v>
      </c>
      <c r="D112">
        <v>2650</v>
      </c>
      <c r="E112">
        <v>2200</v>
      </c>
      <c r="F112">
        <f t="shared" si="12"/>
        <v>450</v>
      </c>
      <c r="G112" s="8">
        <f t="shared" si="13"/>
        <v>5300</v>
      </c>
      <c r="H112" s="8">
        <f t="shared" si="14"/>
        <v>4400</v>
      </c>
      <c r="I112" s="8">
        <f t="shared" si="15"/>
        <v>900</v>
      </c>
      <c r="J112" t="s">
        <v>79</v>
      </c>
    </row>
    <row r="113" spans="1:10" x14ac:dyDescent="0.25">
      <c r="A113" s="5">
        <v>45892</v>
      </c>
      <c r="B113" t="s">
        <v>13</v>
      </c>
      <c r="C113">
        <v>1</v>
      </c>
      <c r="D113">
        <v>2500</v>
      </c>
      <c r="E113">
        <v>2400</v>
      </c>
      <c r="F113">
        <f t="shared" si="12"/>
        <v>100</v>
      </c>
      <c r="G113" s="8">
        <f t="shared" si="13"/>
        <v>2500</v>
      </c>
      <c r="H113" s="8">
        <f t="shared" si="14"/>
        <v>2400</v>
      </c>
      <c r="I113" s="8">
        <f t="shared" si="15"/>
        <v>100</v>
      </c>
      <c r="J113" t="s">
        <v>79</v>
      </c>
    </row>
    <row r="114" spans="1:10" x14ac:dyDescent="0.25">
      <c r="A114" s="5">
        <v>45892</v>
      </c>
      <c r="B114" t="s">
        <v>37</v>
      </c>
      <c r="C114">
        <v>4</v>
      </c>
      <c r="D114">
        <v>1980</v>
      </c>
      <c r="E114">
        <v>1800</v>
      </c>
      <c r="F114">
        <f t="shared" si="12"/>
        <v>180</v>
      </c>
      <c r="G114" s="8">
        <f t="shared" si="13"/>
        <v>7920</v>
      </c>
      <c r="H114" s="8">
        <f t="shared" si="14"/>
        <v>7200</v>
      </c>
      <c r="I114" s="8">
        <f t="shared" si="15"/>
        <v>720</v>
      </c>
      <c r="J114" t="s">
        <v>79</v>
      </c>
    </row>
    <row r="115" spans="1:10" x14ac:dyDescent="0.25">
      <c r="A115" s="5">
        <v>45892</v>
      </c>
      <c r="B115" t="s">
        <v>13</v>
      </c>
      <c r="C115">
        <v>7</v>
      </c>
      <c r="D115">
        <v>2745</v>
      </c>
      <c r="E115">
        <v>2580</v>
      </c>
      <c r="F115">
        <f t="shared" si="12"/>
        <v>165</v>
      </c>
      <c r="G115" s="8">
        <f t="shared" si="13"/>
        <v>19215</v>
      </c>
      <c r="H115" s="8">
        <f t="shared" si="14"/>
        <v>18060</v>
      </c>
      <c r="I115" s="8">
        <f t="shared" si="15"/>
        <v>1155</v>
      </c>
      <c r="J115" t="s">
        <v>79</v>
      </c>
    </row>
    <row r="116" spans="1:10" x14ac:dyDescent="0.25">
      <c r="A116" s="5">
        <v>45892</v>
      </c>
      <c r="B116" t="s">
        <v>26</v>
      </c>
      <c r="C116">
        <v>5</v>
      </c>
      <c r="D116">
        <v>2170</v>
      </c>
      <c r="E116">
        <v>2070</v>
      </c>
      <c r="F116">
        <f t="shared" si="12"/>
        <v>100</v>
      </c>
      <c r="G116" s="8">
        <f t="shared" si="13"/>
        <v>10850</v>
      </c>
      <c r="H116" s="8">
        <f t="shared" si="14"/>
        <v>10350</v>
      </c>
      <c r="I116" s="8">
        <f t="shared" si="15"/>
        <v>500</v>
      </c>
      <c r="J116" t="s">
        <v>79</v>
      </c>
    </row>
    <row r="117" spans="1:10" x14ac:dyDescent="0.25">
      <c r="A117" s="5">
        <v>45892</v>
      </c>
      <c r="B117" t="s">
        <v>13</v>
      </c>
      <c r="C117">
        <v>1</v>
      </c>
      <c r="D117">
        <v>2620</v>
      </c>
      <c r="E117">
        <v>2500</v>
      </c>
      <c r="F117">
        <f t="shared" si="12"/>
        <v>120</v>
      </c>
      <c r="G117" s="8">
        <f t="shared" si="13"/>
        <v>2620</v>
      </c>
      <c r="H117" s="8">
        <f t="shared" si="14"/>
        <v>2500</v>
      </c>
      <c r="I117" s="8">
        <f t="shared" si="15"/>
        <v>120</v>
      </c>
      <c r="J117" t="s">
        <v>79</v>
      </c>
    </row>
    <row r="118" spans="1:10" x14ac:dyDescent="0.25">
      <c r="A118" s="5">
        <v>45894</v>
      </c>
      <c r="B118" t="s">
        <v>31</v>
      </c>
      <c r="C118">
        <v>11</v>
      </c>
      <c r="D118">
        <v>2400</v>
      </c>
      <c r="E118">
        <v>2160</v>
      </c>
      <c r="F118">
        <f t="shared" si="12"/>
        <v>240</v>
      </c>
      <c r="G118" s="8">
        <f t="shared" si="13"/>
        <v>26400</v>
      </c>
      <c r="H118" s="8">
        <f t="shared" si="14"/>
        <v>23760</v>
      </c>
      <c r="I118" s="8">
        <f t="shared" si="15"/>
        <v>2640</v>
      </c>
      <c r="J118" t="s">
        <v>79</v>
      </c>
    </row>
    <row r="119" spans="1:10" x14ac:dyDescent="0.25">
      <c r="A119" s="5">
        <v>45894</v>
      </c>
      <c r="B119" t="s">
        <v>32</v>
      </c>
      <c r="C119">
        <v>4</v>
      </c>
      <c r="D119">
        <v>1680</v>
      </c>
      <c r="F119">
        <f t="shared" si="12"/>
        <v>1680</v>
      </c>
      <c r="G119" s="8">
        <f t="shared" si="13"/>
        <v>6720</v>
      </c>
      <c r="H119" s="8">
        <f t="shared" si="14"/>
        <v>0</v>
      </c>
      <c r="I119" s="8">
        <f t="shared" si="15"/>
        <v>6720</v>
      </c>
      <c r="J119" t="s">
        <v>79</v>
      </c>
    </row>
    <row r="120" spans="1:10" x14ac:dyDescent="0.25">
      <c r="A120" s="5">
        <v>45894</v>
      </c>
      <c r="B120" t="s">
        <v>33</v>
      </c>
      <c r="C120">
        <v>1</v>
      </c>
      <c r="D120">
        <v>1470</v>
      </c>
      <c r="E120">
        <v>1180</v>
      </c>
      <c r="F120">
        <f t="shared" si="12"/>
        <v>290</v>
      </c>
      <c r="G120" s="8">
        <f t="shared" si="13"/>
        <v>1470</v>
      </c>
      <c r="H120" s="8">
        <f t="shared" si="14"/>
        <v>1180</v>
      </c>
      <c r="I120" s="8">
        <f t="shared" si="15"/>
        <v>290</v>
      </c>
      <c r="J120" t="s">
        <v>79</v>
      </c>
    </row>
    <row r="121" spans="1:10" x14ac:dyDescent="0.25">
      <c r="A121" s="5">
        <v>45894</v>
      </c>
      <c r="B121" t="s">
        <v>33</v>
      </c>
      <c r="C121">
        <v>2</v>
      </c>
      <c r="D121">
        <v>1440</v>
      </c>
      <c r="E121">
        <v>1180</v>
      </c>
      <c r="F121">
        <f t="shared" si="12"/>
        <v>260</v>
      </c>
      <c r="G121" s="8">
        <f t="shared" si="13"/>
        <v>2880</v>
      </c>
      <c r="H121" s="8">
        <f t="shared" si="14"/>
        <v>2360</v>
      </c>
      <c r="I121" s="8">
        <f t="shared" si="15"/>
        <v>520</v>
      </c>
      <c r="J121" t="s">
        <v>79</v>
      </c>
    </row>
    <row r="122" spans="1:10" x14ac:dyDescent="0.25">
      <c r="A122" s="5">
        <v>45894</v>
      </c>
      <c r="B122" t="s">
        <v>34</v>
      </c>
      <c r="C122">
        <v>7</v>
      </c>
      <c r="D122">
        <v>1745</v>
      </c>
      <c r="E122">
        <v>1530</v>
      </c>
      <c r="F122">
        <f t="shared" si="12"/>
        <v>215</v>
      </c>
      <c r="G122" s="8">
        <f t="shared" si="13"/>
        <v>12215</v>
      </c>
      <c r="H122" s="8">
        <f t="shared" si="14"/>
        <v>10710</v>
      </c>
      <c r="I122" s="8">
        <f t="shared" si="15"/>
        <v>1505</v>
      </c>
      <c r="J122" t="s">
        <v>79</v>
      </c>
    </row>
    <row r="123" spans="1:10" x14ac:dyDescent="0.25">
      <c r="A123" s="5">
        <v>45894</v>
      </c>
      <c r="B123" t="s">
        <v>66</v>
      </c>
      <c r="C123">
        <v>1</v>
      </c>
      <c r="D123">
        <v>960</v>
      </c>
      <c r="E123">
        <v>792</v>
      </c>
      <c r="F123">
        <f t="shared" si="12"/>
        <v>168</v>
      </c>
      <c r="G123" s="8">
        <f t="shared" si="13"/>
        <v>960</v>
      </c>
      <c r="H123" s="8">
        <f t="shared" si="14"/>
        <v>792</v>
      </c>
      <c r="I123" s="8">
        <f t="shared" si="15"/>
        <v>168</v>
      </c>
      <c r="J123" t="s">
        <v>79</v>
      </c>
    </row>
    <row r="124" spans="1:10" x14ac:dyDescent="0.25">
      <c r="A124" s="5">
        <v>45894</v>
      </c>
      <c r="B124" t="s">
        <v>37</v>
      </c>
      <c r="C124">
        <v>1</v>
      </c>
      <c r="D124">
        <v>1980</v>
      </c>
      <c r="E124">
        <v>1800</v>
      </c>
      <c r="F124">
        <f t="shared" si="12"/>
        <v>180</v>
      </c>
      <c r="G124" s="8">
        <f t="shared" si="13"/>
        <v>1980</v>
      </c>
      <c r="H124" s="8">
        <f t="shared" si="14"/>
        <v>1800</v>
      </c>
      <c r="I124" s="8">
        <f t="shared" si="15"/>
        <v>180</v>
      </c>
      <c r="J124" t="s">
        <v>79</v>
      </c>
    </row>
    <row r="125" spans="1:10" x14ac:dyDescent="0.25">
      <c r="A125" s="5">
        <v>45894</v>
      </c>
      <c r="B125" t="s">
        <v>13</v>
      </c>
      <c r="C125">
        <v>1</v>
      </c>
      <c r="D125">
        <v>2740</v>
      </c>
      <c r="E125">
        <v>2580</v>
      </c>
      <c r="F125">
        <f t="shared" si="12"/>
        <v>160</v>
      </c>
      <c r="G125" s="8">
        <f t="shared" si="13"/>
        <v>2740</v>
      </c>
      <c r="H125" s="8">
        <f t="shared" si="14"/>
        <v>2580</v>
      </c>
      <c r="I125" s="8">
        <f t="shared" si="15"/>
        <v>160</v>
      </c>
      <c r="J125" t="s">
        <v>79</v>
      </c>
    </row>
    <row r="126" spans="1:10" x14ac:dyDescent="0.25">
      <c r="A126" s="5">
        <v>45894</v>
      </c>
      <c r="B126" t="s">
        <v>26</v>
      </c>
      <c r="C126">
        <v>2</v>
      </c>
      <c r="D126">
        <v>2030</v>
      </c>
      <c r="E126">
        <v>1950</v>
      </c>
      <c r="F126">
        <f t="shared" si="12"/>
        <v>80</v>
      </c>
      <c r="G126" s="8">
        <f t="shared" si="13"/>
        <v>4060</v>
      </c>
      <c r="H126" s="8">
        <f t="shared" si="14"/>
        <v>3900</v>
      </c>
      <c r="I126" s="8">
        <f t="shared" si="15"/>
        <v>160</v>
      </c>
      <c r="J126" t="s">
        <v>79</v>
      </c>
    </row>
    <row r="127" spans="1:10" x14ac:dyDescent="0.25">
      <c r="A127" s="5">
        <v>45894</v>
      </c>
      <c r="B127" t="s">
        <v>26</v>
      </c>
      <c r="C127">
        <v>1</v>
      </c>
      <c r="D127">
        <v>2160</v>
      </c>
      <c r="E127">
        <v>2070</v>
      </c>
      <c r="F127">
        <f t="shared" si="12"/>
        <v>90</v>
      </c>
      <c r="G127" s="8">
        <f t="shared" si="13"/>
        <v>2160</v>
      </c>
      <c r="H127" s="8">
        <f t="shared" si="14"/>
        <v>2070</v>
      </c>
      <c r="I127" s="8">
        <f t="shared" si="15"/>
        <v>90</v>
      </c>
      <c r="J127" t="s">
        <v>79</v>
      </c>
    </row>
    <row r="128" spans="1:10" x14ac:dyDescent="0.25">
      <c r="A128" s="5">
        <v>45894</v>
      </c>
      <c r="B128" t="s">
        <v>45</v>
      </c>
      <c r="C128">
        <v>1</v>
      </c>
      <c r="D128">
        <v>2430</v>
      </c>
      <c r="E128">
        <v>2200</v>
      </c>
      <c r="F128">
        <f t="shared" si="12"/>
        <v>230</v>
      </c>
      <c r="G128" s="8">
        <f t="shared" si="13"/>
        <v>2430</v>
      </c>
      <c r="H128" s="8">
        <f t="shared" si="14"/>
        <v>2200</v>
      </c>
      <c r="I128" s="8">
        <f t="shared" si="15"/>
        <v>230</v>
      </c>
      <c r="J128" t="s">
        <v>79</v>
      </c>
    </row>
    <row r="129" spans="1:10" x14ac:dyDescent="0.25">
      <c r="A129" s="5">
        <v>45894</v>
      </c>
      <c r="B129" t="s">
        <v>26</v>
      </c>
      <c r="C129">
        <v>1</v>
      </c>
      <c r="D129">
        <v>2100</v>
      </c>
      <c r="E129">
        <v>1950</v>
      </c>
      <c r="F129">
        <f t="shared" si="12"/>
        <v>150</v>
      </c>
      <c r="G129" s="8">
        <f t="shared" si="13"/>
        <v>2100</v>
      </c>
      <c r="H129" s="8">
        <f t="shared" si="14"/>
        <v>1950</v>
      </c>
      <c r="I129" s="8">
        <f t="shared" si="15"/>
        <v>150</v>
      </c>
      <c r="J129" t="s">
        <v>79</v>
      </c>
    </row>
    <row r="130" spans="1:10" x14ac:dyDescent="0.25">
      <c r="A130" s="5">
        <v>45894</v>
      </c>
      <c r="B130" t="s">
        <v>27</v>
      </c>
      <c r="C130">
        <v>1</v>
      </c>
      <c r="D130">
        <v>2250</v>
      </c>
      <c r="E130">
        <v>2100</v>
      </c>
      <c r="F130">
        <f t="shared" ref="F130:F161" si="16">D130-E130</f>
        <v>150</v>
      </c>
      <c r="G130" s="8">
        <f t="shared" ref="G130:G161" si="17">D130*C130</f>
        <v>2250</v>
      </c>
      <c r="H130" s="8">
        <f t="shared" ref="H130:H161" si="18">E130*C130</f>
        <v>2100</v>
      </c>
      <c r="I130" s="8">
        <f t="shared" ref="I130:I161" si="19">G130-H130</f>
        <v>150</v>
      </c>
      <c r="J130" t="s">
        <v>79</v>
      </c>
    </row>
    <row r="131" spans="1:10" x14ac:dyDescent="0.25">
      <c r="A131" s="5">
        <v>45894</v>
      </c>
      <c r="B131" t="s">
        <v>29</v>
      </c>
      <c r="C131">
        <v>1</v>
      </c>
      <c r="D131">
        <v>1500</v>
      </c>
      <c r="E131">
        <v>1400</v>
      </c>
      <c r="F131">
        <f t="shared" si="16"/>
        <v>100</v>
      </c>
      <c r="G131" s="8">
        <f t="shared" si="17"/>
        <v>1500</v>
      </c>
      <c r="H131" s="8">
        <f t="shared" si="18"/>
        <v>1400</v>
      </c>
      <c r="I131" s="8">
        <f t="shared" si="19"/>
        <v>100</v>
      </c>
      <c r="J131" t="s">
        <v>79</v>
      </c>
    </row>
    <row r="132" spans="1:10" x14ac:dyDescent="0.25">
      <c r="A132" s="5">
        <v>45895</v>
      </c>
      <c r="B132" t="s">
        <v>25</v>
      </c>
      <c r="C132">
        <v>1</v>
      </c>
      <c r="D132">
        <v>3250</v>
      </c>
      <c r="E132">
        <v>2800</v>
      </c>
      <c r="F132">
        <f t="shared" si="16"/>
        <v>450</v>
      </c>
      <c r="G132" s="8">
        <f t="shared" si="17"/>
        <v>3250</v>
      </c>
      <c r="H132" s="8">
        <f t="shared" si="18"/>
        <v>2800</v>
      </c>
      <c r="I132" s="8">
        <f t="shared" si="19"/>
        <v>450</v>
      </c>
      <c r="J132" t="s">
        <v>79</v>
      </c>
    </row>
    <row r="133" spans="1:10" x14ac:dyDescent="0.25">
      <c r="A133" s="5">
        <v>45895</v>
      </c>
      <c r="B133" t="s">
        <v>13</v>
      </c>
      <c r="C133">
        <v>1</v>
      </c>
      <c r="D133">
        <v>2630</v>
      </c>
      <c r="E133">
        <v>2580</v>
      </c>
      <c r="F133">
        <f t="shared" si="16"/>
        <v>50</v>
      </c>
      <c r="G133" s="8">
        <f t="shared" si="17"/>
        <v>2630</v>
      </c>
      <c r="H133" s="8">
        <f t="shared" si="18"/>
        <v>2580</v>
      </c>
      <c r="I133" s="8">
        <f t="shared" si="19"/>
        <v>50</v>
      </c>
      <c r="J133" t="s">
        <v>79</v>
      </c>
    </row>
    <row r="134" spans="1:10" x14ac:dyDescent="0.25">
      <c r="A134" s="5">
        <v>45895</v>
      </c>
      <c r="B134" t="s">
        <v>13</v>
      </c>
      <c r="C134">
        <v>3</v>
      </c>
      <c r="D134">
        <v>2530</v>
      </c>
      <c r="E134">
        <v>2400</v>
      </c>
      <c r="F134">
        <f t="shared" si="16"/>
        <v>130</v>
      </c>
      <c r="G134" s="8">
        <f t="shared" si="17"/>
        <v>7590</v>
      </c>
      <c r="H134" s="8">
        <f t="shared" si="18"/>
        <v>7200</v>
      </c>
      <c r="I134" s="8">
        <f t="shared" si="19"/>
        <v>390</v>
      </c>
      <c r="J134" t="s">
        <v>79</v>
      </c>
    </row>
    <row r="135" spans="1:10" x14ac:dyDescent="0.25">
      <c r="A135" s="5">
        <v>45895</v>
      </c>
      <c r="B135" t="s">
        <v>27</v>
      </c>
      <c r="C135">
        <v>1</v>
      </c>
      <c r="D135">
        <v>2330</v>
      </c>
      <c r="E135">
        <v>2100</v>
      </c>
      <c r="F135">
        <f t="shared" si="16"/>
        <v>230</v>
      </c>
      <c r="G135" s="8">
        <f t="shared" si="17"/>
        <v>2330</v>
      </c>
      <c r="H135" s="8">
        <f t="shared" si="18"/>
        <v>2100</v>
      </c>
      <c r="I135" s="8">
        <f t="shared" si="19"/>
        <v>230</v>
      </c>
      <c r="J135" t="s">
        <v>79</v>
      </c>
    </row>
    <row r="136" spans="1:10" x14ac:dyDescent="0.25">
      <c r="A136" s="5">
        <v>45895</v>
      </c>
      <c r="B136" t="s">
        <v>26</v>
      </c>
      <c r="C136">
        <v>2</v>
      </c>
      <c r="D136">
        <v>2050</v>
      </c>
      <c r="E136">
        <v>1950</v>
      </c>
      <c r="F136">
        <f t="shared" si="16"/>
        <v>100</v>
      </c>
      <c r="G136" s="8">
        <f t="shared" si="17"/>
        <v>4100</v>
      </c>
      <c r="H136" s="8">
        <f t="shared" si="18"/>
        <v>3900</v>
      </c>
      <c r="I136" s="8">
        <f t="shared" si="19"/>
        <v>200</v>
      </c>
      <c r="J136" t="s">
        <v>79</v>
      </c>
    </row>
    <row r="137" spans="1:10" x14ac:dyDescent="0.25">
      <c r="A137" s="11">
        <v>45895</v>
      </c>
      <c r="B137" s="12" t="s">
        <v>18</v>
      </c>
      <c r="C137" s="12">
        <v>13</v>
      </c>
      <c r="D137" s="12">
        <v>2200</v>
      </c>
      <c r="E137" s="12">
        <v>2225</v>
      </c>
      <c r="F137" s="12">
        <f t="shared" si="16"/>
        <v>-25</v>
      </c>
      <c r="G137" s="13">
        <f t="shared" si="17"/>
        <v>28600</v>
      </c>
      <c r="H137" s="13">
        <f t="shared" si="18"/>
        <v>28925</v>
      </c>
      <c r="I137" s="13">
        <f t="shared" si="19"/>
        <v>-325</v>
      </c>
      <c r="J137" s="12" t="s">
        <v>79</v>
      </c>
    </row>
    <row r="138" spans="1:10" x14ac:dyDescent="0.25">
      <c r="A138" s="5">
        <v>45895</v>
      </c>
      <c r="B138" t="s">
        <v>18</v>
      </c>
      <c r="C138">
        <v>4</v>
      </c>
      <c r="D138">
        <v>2250</v>
      </c>
      <c r="E138">
        <v>2225</v>
      </c>
      <c r="F138">
        <f t="shared" si="16"/>
        <v>25</v>
      </c>
      <c r="G138" s="8">
        <f t="shared" si="17"/>
        <v>9000</v>
      </c>
      <c r="H138" s="8">
        <f t="shared" si="18"/>
        <v>8900</v>
      </c>
      <c r="I138" s="8">
        <f t="shared" si="19"/>
        <v>100</v>
      </c>
      <c r="J138" t="s">
        <v>79</v>
      </c>
    </row>
    <row r="139" spans="1:10" x14ac:dyDescent="0.25">
      <c r="A139" s="5">
        <v>45895</v>
      </c>
      <c r="B139" t="s">
        <v>18</v>
      </c>
      <c r="C139">
        <v>2</v>
      </c>
      <c r="D139">
        <v>2250</v>
      </c>
      <c r="E139">
        <v>2225</v>
      </c>
      <c r="F139">
        <f t="shared" si="16"/>
        <v>25</v>
      </c>
      <c r="G139" s="8">
        <f t="shared" si="17"/>
        <v>4500</v>
      </c>
      <c r="H139" s="8">
        <f t="shared" si="18"/>
        <v>4450</v>
      </c>
      <c r="I139" s="8">
        <f t="shared" si="19"/>
        <v>50</v>
      </c>
      <c r="J139" t="s">
        <v>79</v>
      </c>
    </row>
    <row r="140" spans="1:10" x14ac:dyDescent="0.25">
      <c r="A140" s="5">
        <v>45896</v>
      </c>
      <c r="B140" t="s">
        <v>67</v>
      </c>
      <c r="C140">
        <v>1</v>
      </c>
      <c r="D140">
        <v>630</v>
      </c>
      <c r="E140">
        <v>600</v>
      </c>
      <c r="F140">
        <f t="shared" si="16"/>
        <v>30</v>
      </c>
      <c r="G140" s="8">
        <f t="shared" si="17"/>
        <v>630</v>
      </c>
      <c r="H140" s="8">
        <f t="shared" si="18"/>
        <v>600</v>
      </c>
      <c r="I140" s="8">
        <f t="shared" si="19"/>
        <v>30</v>
      </c>
      <c r="J140" t="s">
        <v>79</v>
      </c>
    </row>
    <row r="141" spans="1:10" x14ac:dyDescent="0.25">
      <c r="A141" s="5">
        <v>45896</v>
      </c>
      <c r="B141" t="s">
        <v>67</v>
      </c>
      <c r="C141">
        <v>1</v>
      </c>
      <c r="D141">
        <v>730</v>
      </c>
      <c r="E141">
        <v>600</v>
      </c>
      <c r="F141">
        <f t="shared" si="16"/>
        <v>130</v>
      </c>
      <c r="G141" s="8">
        <f t="shared" si="17"/>
        <v>730</v>
      </c>
      <c r="H141" s="8">
        <f t="shared" si="18"/>
        <v>600</v>
      </c>
      <c r="I141" s="8">
        <f t="shared" si="19"/>
        <v>130</v>
      </c>
      <c r="J141" t="s">
        <v>79</v>
      </c>
    </row>
    <row r="142" spans="1:10" x14ac:dyDescent="0.25">
      <c r="A142" s="5">
        <v>45896</v>
      </c>
      <c r="B142" t="s">
        <v>68</v>
      </c>
      <c r="C142">
        <v>1</v>
      </c>
      <c r="D142">
        <v>1330</v>
      </c>
      <c r="E142">
        <v>1230</v>
      </c>
      <c r="F142">
        <f t="shared" si="16"/>
        <v>100</v>
      </c>
      <c r="G142" s="8">
        <f t="shared" si="17"/>
        <v>1330</v>
      </c>
      <c r="H142" s="8">
        <f t="shared" si="18"/>
        <v>1230</v>
      </c>
      <c r="I142" s="8">
        <f t="shared" si="19"/>
        <v>100</v>
      </c>
      <c r="J142" t="s">
        <v>79</v>
      </c>
    </row>
    <row r="143" spans="1:10" x14ac:dyDescent="0.25">
      <c r="A143" s="5">
        <v>45896</v>
      </c>
      <c r="B143" t="s">
        <v>69</v>
      </c>
      <c r="C143">
        <v>2</v>
      </c>
      <c r="D143">
        <v>4750</v>
      </c>
      <c r="E143">
        <v>4752</v>
      </c>
      <c r="F143">
        <f t="shared" si="16"/>
        <v>-2</v>
      </c>
      <c r="G143" s="8">
        <f t="shared" si="17"/>
        <v>9500</v>
      </c>
      <c r="H143" s="8">
        <f t="shared" si="18"/>
        <v>9504</v>
      </c>
      <c r="I143" s="8">
        <f t="shared" si="19"/>
        <v>-4</v>
      </c>
      <c r="J143" t="s">
        <v>79</v>
      </c>
    </row>
    <row r="144" spans="1:10" x14ac:dyDescent="0.25">
      <c r="A144" s="5">
        <v>45896</v>
      </c>
      <c r="B144" t="s">
        <v>13</v>
      </c>
      <c r="C144">
        <v>2</v>
      </c>
      <c r="D144">
        <v>2745</v>
      </c>
      <c r="E144">
        <v>2580</v>
      </c>
      <c r="F144">
        <f t="shared" si="16"/>
        <v>165</v>
      </c>
      <c r="G144" s="8">
        <f t="shared" si="17"/>
        <v>5490</v>
      </c>
      <c r="H144" s="8">
        <f t="shared" si="18"/>
        <v>5160</v>
      </c>
      <c r="I144" s="8">
        <f t="shared" si="19"/>
        <v>330</v>
      </c>
      <c r="J144" t="s">
        <v>79</v>
      </c>
    </row>
    <row r="145" spans="1:10" x14ac:dyDescent="0.25">
      <c r="A145" s="5">
        <v>45896</v>
      </c>
      <c r="B145" t="s">
        <v>37</v>
      </c>
      <c r="C145">
        <v>2</v>
      </c>
      <c r="D145">
        <v>2000</v>
      </c>
      <c r="E145">
        <v>1800</v>
      </c>
      <c r="F145">
        <f t="shared" si="16"/>
        <v>200</v>
      </c>
      <c r="G145" s="8">
        <f t="shared" si="17"/>
        <v>4000</v>
      </c>
      <c r="H145" s="8">
        <f t="shared" si="18"/>
        <v>3600</v>
      </c>
      <c r="I145" s="8">
        <f t="shared" si="19"/>
        <v>400</v>
      </c>
      <c r="J145" t="s">
        <v>79</v>
      </c>
    </row>
    <row r="146" spans="1:10" x14ac:dyDescent="0.25">
      <c r="A146" s="5">
        <v>45896</v>
      </c>
      <c r="B146" t="s">
        <v>26</v>
      </c>
      <c r="C146">
        <v>1</v>
      </c>
      <c r="D146">
        <v>2160</v>
      </c>
      <c r="E146">
        <v>2070</v>
      </c>
      <c r="F146">
        <f t="shared" si="16"/>
        <v>90</v>
      </c>
      <c r="G146" s="8">
        <f t="shared" si="17"/>
        <v>2160</v>
      </c>
      <c r="H146" s="8">
        <f t="shared" si="18"/>
        <v>2070</v>
      </c>
      <c r="I146" s="8">
        <f t="shared" si="19"/>
        <v>90</v>
      </c>
      <c r="J146" t="s">
        <v>79</v>
      </c>
    </row>
    <row r="147" spans="1:10" x14ac:dyDescent="0.25">
      <c r="A147" s="5">
        <v>45897</v>
      </c>
      <c r="B147" t="s">
        <v>71</v>
      </c>
      <c r="C147">
        <v>1</v>
      </c>
      <c r="D147">
        <v>3700</v>
      </c>
      <c r="E147">
        <v>3350</v>
      </c>
      <c r="F147">
        <f t="shared" si="16"/>
        <v>350</v>
      </c>
      <c r="G147" s="8">
        <f t="shared" si="17"/>
        <v>3700</v>
      </c>
      <c r="H147" s="8">
        <f t="shared" si="18"/>
        <v>3350</v>
      </c>
      <c r="I147" s="8">
        <f t="shared" si="19"/>
        <v>350</v>
      </c>
      <c r="J147" t="s">
        <v>79</v>
      </c>
    </row>
    <row r="148" spans="1:10" x14ac:dyDescent="0.25">
      <c r="A148" s="5">
        <v>45897</v>
      </c>
      <c r="B148" t="s">
        <v>16</v>
      </c>
      <c r="C148">
        <v>11</v>
      </c>
      <c r="D148">
        <v>3880</v>
      </c>
      <c r="E148">
        <v>3600</v>
      </c>
      <c r="F148">
        <f t="shared" si="16"/>
        <v>280</v>
      </c>
      <c r="G148" s="8">
        <f t="shared" si="17"/>
        <v>42680</v>
      </c>
      <c r="H148" s="8">
        <f t="shared" si="18"/>
        <v>39600</v>
      </c>
      <c r="I148" s="8">
        <f t="shared" si="19"/>
        <v>3080</v>
      </c>
      <c r="J148" t="s">
        <v>79</v>
      </c>
    </row>
    <row r="149" spans="1:10" x14ac:dyDescent="0.25">
      <c r="A149" s="11">
        <v>45897</v>
      </c>
      <c r="B149" s="12" t="s">
        <v>18</v>
      </c>
      <c r="C149" s="12">
        <v>1</v>
      </c>
      <c r="D149" s="12">
        <v>1850</v>
      </c>
      <c r="E149" s="12">
        <v>2225</v>
      </c>
      <c r="F149" s="12">
        <f t="shared" si="16"/>
        <v>-375</v>
      </c>
      <c r="G149" s="13">
        <f t="shared" si="17"/>
        <v>1850</v>
      </c>
      <c r="H149" s="13">
        <f t="shared" si="18"/>
        <v>2225</v>
      </c>
      <c r="I149" s="13">
        <f t="shared" si="19"/>
        <v>-375</v>
      </c>
      <c r="J149" s="12" t="s">
        <v>79</v>
      </c>
    </row>
    <row r="150" spans="1:10" x14ac:dyDescent="0.25">
      <c r="A150" s="5">
        <v>45897</v>
      </c>
      <c r="B150" t="s">
        <v>17</v>
      </c>
      <c r="C150">
        <v>2</v>
      </c>
      <c r="D150">
        <v>4300</v>
      </c>
      <c r="E150">
        <v>3700</v>
      </c>
      <c r="F150">
        <f t="shared" si="16"/>
        <v>600</v>
      </c>
      <c r="G150" s="8">
        <f t="shared" si="17"/>
        <v>8600</v>
      </c>
      <c r="H150" s="8">
        <f t="shared" si="18"/>
        <v>7400</v>
      </c>
      <c r="I150" s="8">
        <f t="shared" si="19"/>
        <v>1200</v>
      </c>
      <c r="J150" t="s">
        <v>79</v>
      </c>
    </row>
    <row r="151" spans="1:10" x14ac:dyDescent="0.25">
      <c r="A151" s="5">
        <v>45897</v>
      </c>
      <c r="B151" t="s">
        <v>16</v>
      </c>
      <c r="C151">
        <v>1</v>
      </c>
      <c r="D151">
        <v>3600</v>
      </c>
      <c r="E151">
        <v>3500</v>
      </c>
      <c r="F151">
        <f t="shared" si="16"/>
        <v>100</v>
      </c>
      <c r="G151" s="8">
        <f t="shared" si="17"/>
        <v>3600</v>
      </c>
      <c r="H151" s="8">
        <f t="shared" si="18"/>
        <v>3500</v>
      </c>
      <c r="I151" s="8">
        <f t="shared" si="19"/>
        <v>100</v>
      </c>
      <c r="J151" t="s">
        <v>79</v>
      </c>
    </row>
    <row r="152" spans="1:10" x14ac:dyDescent="0.25">
      <c r="A152" s="5">
        <v>45897</v>
      </c>
      <c r="B152" t="s">
        <v>72</v>
      </c>
      <c r="C152">
        <v>1</v>
      </c>
      <c r="D152">
        <v>5300</v>
      </c>
      <c r="E152">
        <v>4770</v>
      </c>
      <c r="F152">
        <f t="shared" si="16"/>
        <v>530</v>
      </c>
      <c r="G152" s="8">
        <f t="shared" si="17"/>
        <v>5300</v>
      </c>
      <c r="H152" s="8">
        <f t="shared" si="18"/>
        <v>4770</v>
      </c>
      <c r="I152" s="8">
        <f t="shared" si="19"/>
        <v>530</v>
      </c>
      <c r="J152" t="s">
        <v>79</v>
      </c>
    </row>
    <row r="153" spans="1:10" x14ac:dyDescent="0.25">
      <c r="A153" s="5">
        <v>45897</v>
      </c>
      <c r="B153" t="s">
        <v>73</v>
      </c>
      <c r="C153">
        <v>2</v>
      </c>
      <c r="D153">
        <v>1650</v>
      </c>
      <c r="E153">
        <v>1584</v>
      </c>
      <c r="F153">
        <f t="shared" si="16"/>
        <v>66</v>
      </c>
      <c r="G153" s="8">
        <f t="shared" si="17"/>
        <v>3300</v>
      </c>
      <c r="H153" s="8">
        <f t="shared" si="18"/>
        <v>3168</v>
      </c>
      <c r="I153" s="8">
        <f t="shared" si="19"/>
        <v>132</v>
      </c>
      <c r="J153" t="s">
        <v>79</v>
      </c>
    </row>
    <row r="154" spans="1:10" x14ac:dyDescent="0.25">
      <c r="A154" s="5">
        <v>45897</v>
      </c>
      <c r="B154" t="s">
        <v>17</v>
      </c>
      <c r="C154">
        <v>1</v>
      </c>
      <c r="D154">
        <v>4800</v>
      </c>
      <c r="E154">
        <v>3700</v>
      </c>
      <c r="F154">
        <f t="shared" si="16"/>
        <v>1100</v>
      </c>
      <c r="G154" s="8">
        <f t="shared" si="17"/>
        <v>4800</v>
      </c>
      <c r="H154" s="8">
        <f t="shared" si="18"/>
        <v>3700</v>
      </c>
      <c r="I154" s="8">
        <f t="shared" si="19"/>
        <v>1100</v>
      </c>
      <c r="J154" t="s">
        <v>79</v>
      </c>
    </row>
    <row r="155" spans="1:10" x14ac:dyDescent="0.25">
      <c r="A155" s="5">
        <v>45897</v>
      </c>
      <c r="B155" t="s">
        <v>74</v>
      </c>
      <c r="C155">
        <v>1</v>
      </c>
      <c r="D155">
        <v>2450</v>
      </c>
      <c r="E155">
        <v>2200</v>
      </c>
      <c r="F155">
        <f t="shared" si="16"/>
        <v>250</v>
      </c>
      <c r="G155" s="8">
        <f t="shared" si="17"/>
        <v>2450</v>
      </c>
      <c r="H155" s="8">
        <f t="shared" si="18"/>
        <v>2200</v>
      </c>
      <c r="I155" s="8">
        <f t="shared" si="19"/>
        <v>250</v>
      </c>
      <c r="J155" t="s">
        <v>79</v>
      </c>
    </row>
    <row r="156" spans="1:10" x14ac:dyDescent="0.25">
      <c r="A156" s="5">
        <v>45897</v>
      </c>
      <c r="B156" t="s">
        <v>13</v>
      </c>
      <c r="C156">
        <v>2</v>
      </c>
      <c r="D156">
        <v>2740</v>
      </c>
      <c r="E156">
        <v>2580</v>
      </c>
      <c r="F156">
        <f t="shared" si="16"/>
        <v>160</v>
      </c>
      <c r="G156" s="8">
        <f t="shared" si="17"/>
        <v>5480</v>
      </c>
      <c r="H156" s="8">
        <f t="shared" si="18"/>
        <v>5160</v>
      </c>
      <c r="I156" s="8">
        <f t="shared" si="19"/>
        <v>320</v>
      </c>
      <c r="J156" t="s">
        <v>79</v>
      </c>
    </row>
    <row r="157" spans="1:10" x14ac:dyDescent="0.25">
      <c r="A157" s="5">
        <v>45898</v>
      </c>
      <c r="B157" t="s">
        <v>37</v>
      </c>
      <c r="C157">
        <v>2</v>
      </c>
      <c r="D157">
        <v>2000</v>
      </c>
      <c r="E157">
        <v>1800</v>
      </c>
      <c r="F157">
        <f t="shared" si="16"/>
        <v>200</v>
      </c>
      <c r="G157" s="8">
        <f t="shared" si="17"/>
        <v>4000</v>
      </c>
      <c r="H157" s="8">
        <f t="shared" si="18"/>
        <v>3600</v>
      </c>
      <c r="I157" s="8">
        <f t="shared" si="19"/>
        <v>400</v>
      </c>
      <c r="J157" t="s">
        <v>79</v>
      </c>
    </row>
    <row r="158" spans="1:10" x14ac:dyDescent="0.25">
      <c r="A158" s="5">
        <v>45898</v>
      </c>
      <c r="B158" t="s">
        <v>13</v>
      </c>
      <c r="C158">
        <v>2</v>
      </c>
      <c r="D158">
        <v>2550</v>
      </c>
      <c r="E158">
        <v>2400</v>
      </c>
      <c r="F158">
        <f t="shared" si="16"/>
        <v>150</v>
      </c>
      <c r="G158" s="8">
        <f t="shared" si="17"/>
        <v>5100</v>
      </c>
      <c r="H158" s="8">
        <f t="shared" si="18"/>
        <v>4800</v>
      </c>
      <c r="I158" s="8">
        <f t="shared" si="19"/>
        <v>300</v>
      </c>
      <c r="J158" t="s">
        <v>79</v>
      </c>
    </row>
    <row r="159" spans="1:10" x14ac:dyDescent="0.25">
      <c r="A159" s="5">
        <v>45898</v>
      </c>
      <c r="B159" t="s">
        <v>75</v>
      </c>
      <c r="C159">
        <v>4</v>
      </c>
      <c r="D159">
        <v>980</v>
      </c>
      <c r="E159">
        <v>864</v>
      </c>
      <c r="F159">
        <f t="shared" si="16"/>
        <v>116</v>
      </c>
      <c r="G159" s="8">
        <f t="shared" si="17"/>
        <v>3920</v>
      </c>
      <c r="H159" s="8">
        <f t="shared" si="18"/>
        <v>3456</v>
      </c>
      <c r="I159" s="8">
        <f t="shared" si="19"/>
        <v>464</v>
      </c>
      <c r="J159" t="s">
        <v>79</v>
      </c>
    </row>
    <row r="160" spans="1:10" x14ac:dyDescent="0.25">
      <c r="A160" s="5">
        <v>45899</v>
      </c>
      <c r="B160" t="s">
        <v>13</v>
      </c>
      <c r="C160">
        <v>1</v>
      </c>
      <c r="D160">
        <v>2670</v>
      </c>
      <c r="E160">
        <v>2580</v>
      </c>
      <c r="F160">
        <f t="shared" si="16"/>
        <v>90</v>
      </c>
      <c r="G160" s="8">
        <f t="shared" si="17"/>
        <v>2670</v>
      </c>
      <c r="H160" s="8">
        <f t="shared" si="18"/>
        <v>2580</v>
      </c>
      <c r="I160" s="8">
        <f t="shared" si="19"/>
        <v>90</v>
      </c>
      <c r="J160" t="s">
        <v>79</v>
      </c>
    </row>
    <row r="161" spans="1:10" x14ac:dyDescent="0.25">
      <c r="A161" s="5">
        <v>45899</v>
      </c>
      <c r="B161" t="s">
        <v>13</v>
      </c>
      <c r="C161">
        <v>2</v>
      </c>
      <c r="D161">
        <v>2530</v>
      </c>
      <c r="E161">
        <v>2400</v>
      </c>
      <c r="F161">
        <f t="shared" si="16"/>
        <v>130</v>
      </c>
      <c r="G161" s="8">
        <f t="shared" si="17"/>
        <v>5060</v>
      </c>
      <c r="H161" s="8">
        <f t="shared" si="18"/>
        <v>4800</v>
      </c>
      <c r="I161" s="8">
        <f t="shared" si="19"/>
        <v>260</v>
      </c>
      <c r="J161" t="s">
        <v>79</v>
      </c>
    </row>
    <row r="162" spans="1:10" x14ac:dyDescent="0.25">
      <c r="A162" s="5">
        <v>45899</v>
      </c>
      <c r="B162" t="s">
        <v>13</v>
      </c>
      <c r="C162">
        <v>3</v>
      </c>
      <c r="D162">
        <v>2600</v>
      </c>
      <c r="E162">
        <v>2500</v>
      </c>
      <c r="F162">
        <f t="shared" ref="F162:F167" si="20">D162-E162</f>
        <v>100</v>
      </c>
      <c r="G162" s="8">
        <f t="shared" ref="G162:G167" si="21">D162*C162</f>
        <v>7800</v>
      </c>
      <c r="H162" s="8">
        <f t="shared" ref="H162:H167" si="22">E162*C162</f>
        <v>7500</v>
      </c>
      <c r="I162" s="8">
        <f t="shared" ref="I162:I167" si="23">G162-H162</f>
        <v>300</v>
      </c>
      <c r="J162" t="s">
        <v>79</v>
      </c>
    </row>
    <row r="163" spans="1:10" x14ac:dyDescent="0.25">
      <c r="A163" s="5">
        <v>45899</v>
      </c>
      <c r="B163" t="s">
        <v>13</v>
      </c>
      <c r="C163">
        <v>1</v>
      </c>
      <c r="D163">
        <v>2600</v>
      </c>
      <c r="E163">
        <v>2500</v>
      </c>
      <c r="F163">
        <f t="shared" si="20"/>
        <v>100</v>
      </c>
      <c r="G163" s="8">
        <f t="shared" si="21"/>
        <v>2600</v>
      </c>
      <c r="H163" s="8">
        <f t="shared" si="22"/>
        <v>2500</v>
      </c>
      <c r="I163" s="8">
        <f t="shared" si="23"/>
        <v>100</v>
      </c>
      <c r="J163" t="s">
        <v>79</v>
      </c>
    </row>
    <row r="164" spans="1:10" x14ac:dyDescent="0.25">
      <c r="A164" s="5">
        <v>45899</v>
      </c>
      <c r="B164" t="s">
        <v>76</v>
      </c>
      <c r="C164">
        <v>2</v>
      </c>
      <c r="D164">
        <v>2800</v>
      </c>
      <c r="E164">
        <v>2300</v>
      </c>
      <c r="F164">
        <f t="shared" si="20"/>
        <v>500</v>
      </c>
      <c r="G164" s="8">
        <f t="shared" si="21"/>
        <v>5600</v>
      </c>
      <c r="H164" s="8">
        <f t="shared" si="22"/>
        <v>4600</v>
      </c>
      <c r="I164" s="8">
        <f t="shared" si="23"/>
        <v>1000</v>
      </c>
      <c r="J164" t="s">
        <v>79</v>
      </c>
    </row>
    <row r="165" spans="1:10" x14ac:dyDescent="0.25">
      <c r="A165" s="5">
        <v>45899</v>
      </c>
      <c r="B165" t="s">
        <v>77</v>
      </c>
      <c r="C165">
        <v>1</v>
      </c>
      <c r="D165">
        <v>900</v>
      </c>
      <c r="E165">
        <v>900</v>
      </c>
      <c r="F165">
        <f t="shared" si="20"/>
        <v>0</v>
      </c>
      <c r="G165" s="8">
        <f t="shared" si="21"/>
        <v>900</v>
      </c>
      <c r="H165" s="8">
        <f t="shared" si="22"/>
        <v>900</v>
      </c>
      <c r="I165" s="8">
        <f t="shared" si="23"/>
        <v>0</v>
      </c>
      <c r="J165" t="s">
        <v>79</v>
      </c>
    </row>
    <row r="166" spans="1:10" x14ac:dyDescent="0.25">
      <c r="A166" s="5">
        <v>45900</v>
      </c>
      <c r="B166" t="s">
        <v>18</v>
      </c>
      <c r="C166">
        <v>2</v>
      </c>
      <c r="D166">
        <v>2330</v>
      </c>
      <c r="E166">
        <v>2225</v>
      </c>
      <c r="F166">
        <f t="shared" si="20"/>
        <v>105</v>
      </c>
      <c r="G166" s="8">
        <f t="shared" si="21"/>
        <v>4660</v>
      </c>
      <c r="H166" s="8">
        <f t="shared" si="22"/>
        <v>4450</v>
      </c>
      <c r="I166" s="8">
        <f t="shared" si="23"/>
        <v>210</v>
      </c>
      <c r="J166" t="s">
        <v>79</v>
      </c>
    </row>
    <row r="167" spans="1:10" x14ac:dyDescent="0.25">
      <c r="A167" s="11">
        <v>45900</v>
      </c>
      <c r="B167" s="12" t="s">
        <v>18</v>
      </c>
      <c r="C167" s="12">
        <v>1</v>
      </c>
      <c r="D167" s="12">
        <v>1850</v>
      </c>
      <c r="E167" s="12">
        <v>2225</v>
      </c>
      <c r="F167" s="12">
        <f t="shared" si="20"/>
        <v>-375</v>
      </c>
      <c r="G167" s="13">
        <f t="shared" si="21"/>
        <v>1850</v>
      </c>
      <c r="H167" s="13">
        <f t="shared" si="22"/>
        <v>2225</v>
      </c>
      <c r="I167" s="13">
        <f t="shared" si="23"/>
        <v>-375</v>
      </c>
      <c r="J167" s="12" t="s">
        <v>79</v>
      </c>
    </row>
    <row r="169" spans="1:10" x14ac:dyDescent="0.25">
      <c r="H169" s="22">
        <f>SUM(H2:H168)</f>
        <v>1254829.4500000002</v>
      </c>
      <c r="I169" s="20">
        <f>SUM(I2:I168)</f>
        <v>128640.54999999999</v>
      </c>
    </row>
    <row r="181" spans="1:3" x14ac:dyDescent="0.25">
      <c r="A181" s="15"/>
      <c r="B181" s="16" t="s">
        <v>79</v>
      </c>
      <c r="C181" s="17" t="s">
        <v>85</v>
      </c>
    </row>
    <row r="182" spans="1:3" x14ac:dyDescent="0.25">
      <c r="B182" t="s">
        <v>92</v>
      </c>
      <c r="C182">
        <v>1250</v>
      </c>
    </row>
    <row r="183" spans="1:3" x14ac:dyDescent="0.25">
      <c r="B183" t="s">
        <v>93</v>
      </c>
      <c r="C183">
        <v>1250</v>
      </c>
    </row>
    <row r="184" spans="1:3" x14ac:dyDescent="0.25">
      <c r="B184" t="s">
        <v>94</v>
      </c>
      <c r="C184">
        <v>650</v>
      </c>
    </row>
    <row r="185" spans="1:3" x14ac:dyDescent="0.25">
      <c r="B185" t="s">
        <v>124</v>
      </c>
      <c r="C185">
        <v>2703.5</v>
      </c>
    </row>
    <row r="186" spans="1:3" x14ac:dyDescent="0.25">
      <c r="B186" t="s">
        <v>123</v>
      </c>
      <c r="C186">
        <v>4933.8</v>
      </c>
    </row>
    <row r="188" spans="1:3" x14ac:dyDescent="0.25">
      <c r="B188" s="18" t="s">
        <v>90</v>
      </c>
      <c r="C188">
        <f>SUM(C182:C187)</f>
        <v>10787.3</v>
      </c>
    </row>
    <row r="191" spans="1:3" ht="26.25" x14ac:dyDescent="0.4">
      <c r="B191" s="19" t="s">
        <v>91</v>
      </c>
      <c r="C191" s="20">
        <f>I169-C188</f>
        <v>117853.24999999999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B42D-B15F-4213-B62C-48BDC0E55E40}">
  <dimension ref="A1:J75"/>
  <sheetViews>
    <sheetView topLeftCell="A42" workbookViewId="0">
      <selection activeCell="B79" sqref="B79"/>
    </sheetView>
  </sheetViews>
  <sheetFormatPr defaultRowHeight="15" x14ac:dyDescent="0.25"/>
  <cols>
    <col min="1" max="1" width="16.28515625" customWidth="1"/>
    <col min="2" max="2" width="48.140625" customWidth="1"/>
    <col min="3" max="3" width="18.42578125" customWidth="1"/>
    <col min="4" max="4" width="18.140625" customWidth="1"/>
    <col min="5" max="5" width="17.5703125" customWidth="1"/>
    <col min="6" max="6" width="19.28515625" customWidth="1"/>
    <col min="7" max="7" width="18" customWidth="1"/>
    <col min="8" max="8" width="18.140625" customWidth="1"/>
    <col min="9" max="9" width="17.42578125" customWidth="1"/>
    <col min="10" max="10" width="18.570312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1">
        <v>45870</v>
      </c>
      <c r="B2" s="12" t="s">
        <v>12</v>
      </c>
      <c r="C2" s="12">
        <v>1</v>
      </c>
      <c r="D2" s="12">
        <v>4450</v>
      </c>
      <c r="E2" s="14">
        <v>5339.75</v>
      </c>
      <c r="F2" s="12">
        <f t="shared" ref="F2:F33" si="0">D2-E2</f>
        <v>-889.75</v>
      </c>
      <c r="G2" s="13">
        <f t="shared" ref="G2:G33" si="1">D2*C2</f>
        <v>4450</v>
      </c>
      <c r="H2" s="13">
        <f t="shared" ref="H2:H33" si="2">E2*C2</f>
        <v>5339.75</v>
      </c>
      <c r="I2" s="13">
        <f t="shared" ref="I2:I33" si="3">G2-H2</f>
        <v>-889.75</v>
      </c>
      <c r="J2" s="12" t="s">
        <v>78</v>
      </c>
    </row>
    <row r="3" spans="1:10" x14ac:dyDescent="0.25">
      <c r="A3" s="5">
        <v>45871</v>
      </c>
      <c r="B3" t="s">
        <v>15</v>
      </c>
      <c r="C3">
        <v>1</v>
      </c>
      <c r="D3">
        <v>1750</v>
      </c>
      <c r="E3">
        <v>937</v>
      </c>
      <c r="F3">
        <f t="shared" si="0"/>
        <v>813</v>
      </c>
      <c r="G3" s="8">
        <f t="shared" si="1"/>
        <v>1750</v>
      </c>
      <c r="H3" s="8">
        <f t="shared" si="2"/>
        <v>937</v>
      </c>
      <c r="I3" s="8">
        <f t="shared" si="3"/>
        <v>813</v>
      </c>
      <c r="J3" t="s">
        <v>78</v>
      </c>
    </row>
    <row r="4" spans="1:10" x14ac:dyDescent="0.25">
      <c r="A4" s="5">
        <v>45871</v>
      </c>
      <c r="B4" t="s">
        <v>22</v>
      </c>
      <c r="C4">
        <v>6</v>
      </c>
      <c r="D4">
        <v>8075</v>
      </c>
      <c r="E4">
        <v>7466.63</v>
      </c>
      <c r="F4">
        <f t="shared" si="0"/>
        <v>608.36999999999989</v>
      </c>
      <c r="G4" s="8">
        <f t="shared" si="1"/>
        <v>48450</v>
      </c>
      <c r="H4" s="8">
        <f t="shared" si="2"/>
        <v>44799.78</v>
      </c>
      <c r="I4" s="8">
        <f t="shared" si="3"/>
        <v>3650.2200000000012</v>
      </c>
      <c r="J4" t="s">
        <v>78</v>
      </c>
    </row>
    <row r="5" spans="1:10" x14ac:dyDescent="0.25">
      <c r="A5" s="5">
        <v>45871</v>
      </c>
      <c r="B5" t="s">
        <v>23</v>
      </c>
      <c r="C5">
        <v>10</v>
      </c>
      <c r="D5">
        <v>6800</v>
      </c>
      <c r="E5">
        <v>4951.6400000000003</v>
      </c>
      <c r="F5">
        <f t="shared" si="0"/>
        <v>1848.3599999999997</v>
      </c>
      <c r="G5" s="8">
        <f t="shared" si="1"/>
        <v>68000</v>
      </c>
      <c r="H5" s="8">
        <f t="shared" si="2"/>
        <v>49516.4</v>
      </c>
      <c r="I5" s="8">
        <f t="shared" si="3"/>
        <v>18483.599999999999</v>
      </c>
      <c r="J5" t="s">
        <v>78</v>
      </c>
    </row>
    <row r="6" spans="1:10" x14ac:dyDescent="0.25">
      <c r="A6" s="5">
        <v>45871</v>
      </c>
      <c r="B6" t="s">
        <v>14</v>
      </c>
      <c r="C6">
        <v>10</v>
      </c>
      <c r="D6">
        <v>2460</v>
      </c>
      <c r="E6">
        <v>1429</v>
      </c>
      <c r="F6">
        <f t="shared" si="0"/>
        <v>1031</v>
      </c>
      <c r="G6" s="8">
        <f t="shared" si="1"/>
        <v>24600</v>
      </c>
      <c r="H6" s="8">
        <f t="shared" si="2"/>
        <v>14290</v>
      </c>
      <c r="I6" s="8">
        <f t="shared" si="3"/>
        <v>10310</v>
      </c>
      <c r="J6" t="s">
        <v>78</v>
      </c>
    </row>
    <row r="7" spans="1:10" x14ac:dyDescent="0.25">
      <c r="A7" s="5">
        <v>45873</v>
      </c>
      <c r="B7" t="s">
        <v>38</v>
      </c>
      <c r="C7">
        <v>10</v>
      </c>
      <c r="D7">
        <v>735</v>
      </c>
      <c r="E7">
        <v>730</v>
      </c>
      <c r="F7">
        <f t="shared" si="0"/>
        <v>5</v>
      </c>
      <c r="G7" s="8">
        <f t="shared" si="1"/>
        <v>7350</v>
      </c>
      <c r="H7" s="8">
        <f t="shared" si="2"/>
        <v>7300</v>
      </c>
      <c r="I7" s="8">
        <f t="shared" si="3"/>
        <v>50</v>
      </c>
      <c r="J7" s="7" t="s">
        <v>78</v>
      </c>
    </row>
    <row r="8" spans="1:10" x14ac:dyDescent="0.25">
      <c r="A8" s="5">
        <v>45873</v>
      </c>
      <c r="B8" t="s">
        <v>39</v>
      </c>
      <c r="C8">
        <v>1</v>
      </c>
      <c r="D8">
        <v>8550</v>
      </c>
      <c r="E8" s="7">
        <v>7990</v>
      </c>
      <c r="F8">
        <f t="shared" si="0"/>
        <v>560</v>
      </c>
      <c r="G8" s="8">
        <f t="shared" si="1"/>
        <v>8550</v>
      </c>
      <c r="H8" s="8">
        <f t="shared" si="2"/>
        <v>7990</v>
      </c>
      <c r="I8" s="8">
        <f t="shared" si="3"/>
        <v>560</v>
      </c>
      <c r="J8" s="7" t="s">
        <v>78</v>
      </c>
    </row>
    <row r="9" spans="1:10" x14ac:dyDescent="0.25">
      <c r="A9" s="5">
        <v>45875</v>
      </c>
      <c r="B9" t="s">
        <v>39</v>
      </c>
      <c r="C9">
        <v>2</v>
      </c>
      <c r="D9">
        <v>8550</v>
      </c>
      <c r="E9">
        <v>7990</v>
      </c>
      <c r="F9">
        <f t="shared" si="0"/>
        <v>560</v>
      </c>
      <c r="G9" s="8">
        <f t="shared" si="1"/>
        <v>17100</v>
      </c>
      <c r="H9" s="8">
        <f t="shared" si="2"/>
        <v>15980</v>
      </c>
      <c r="I9" s="8">
        <f t="shared" si="3"/>
        <v>1120</v>
      </c>
      <c r="J9" t="s">
        <v>78</v>
      </c>
    </row>
    <row r="10" spans="1:10" x14ac:dyDescent="0.25">
      <c r="A10" s="5">
        <v>45876</v>
      </c>
      <c r="B10" t="s">
        <v>38</v>
      </c>
      <c r="C10">
        <v>10</v>
      </c>
      <c r="D10">
        <v>730</v>
      </c>
      <c r="E10">
        <v>730</v>
      </c>
      <c r="F10">
        <f t="shared" si="0"/>
        <v>0</v>
      </c>
      <c r="G10" s="8">
        <f t="shared" si="1"/>
        <v>7300</v>
      </c>
      <c r="H10" s="8">
        <f t="shared" si="2"/>
        <v>7300</v>
      </c>
      <c r="I10" s="8">
        <f t="shared" si="3"/>
        <v>0</v>
      </c>
      <c r="J10" t="s">
        <v>78</v>
      </c>
    </row>
    <row r="11" spans="1:10" x14ac:dyDescent="0.25">
      <c r="A11" s="5">
        <v>45876</v>
      </c>
      <c r="B11" t="s">
        <v>39</v>
      </c>
      <c r="C11">
        <v>2</v>
      </c>
      <c r="D11">
        <v>8550</v>
      </c>
      <c r="E11">
        <v>7990</v>
      </c>
      <c r="F11">
        <f t="shared" si="0"/>
        <v>560</v>
      </c>
      <c r="G11" s="8">
        <f t="shared" si="1"/>
        <v>17100</v>
      </c>
      <c r="H11" s="8">
        <f t="shared" si="2"/>
        <v>15980</v>
      </c>
      <c r="I11" s="8">
        <f t="shared" si="3"/>
        <v>1120</v>
      </c>
      <c r="J11" t="s">
        <v>78</v>
      </c>
    </row>
    <row r="12" spans="1:10" x14ac:dyDescent="0.25">
      <c r="A12" s="5">
        <v>45877</v>
      </c>
      <c r="B12" t="s">
        <v>38</v>
      </c>
      <c r="C12">
        <v>15</v>
      </c>
      <c r="D12">
        <v>735</v>
      </c>
      <c r="E12">
        <v>730</v>
      </c>
      <c r="F12">
        <f t="shared" si="0"/>
        <v>5</v>
      </c>
      <c r="G12" s="8">
        <f t="shared" si="1"/>
        <v>11025</v>
      </c>
      <c r="H12" s="8">
        <f t="shared" si="2"/>
        <v>10950</v>
      </c>
      <c r="I12" s="8">
        <f t="shared" si="3"/>
        <v>75</v>
      </c>
      <c r="J12" t="s">
        <v>78</v>
      </c>
    </row>
    <row r="13" spans="1:10" x14ac:dyDescent="0.25">
      <c r="A13" s="5">
        <v>45877</v>
      </c>
      <c r="B13" t="s">
        <v>39</v>
      </c>
      <c r="C13">
        <v>1</v>
      </c>
      <c r="D13">
        <v>8500</v>
      </c>
      <c r="E13">
        <v>7990</v>
      </c>
      <c r="F13">
        <f t="shared" si="0"/>
        <v>510</v>
      </c>
      <c r="G13" s="8">
        <f t="shared" si="1"/>
        <v>8500</v>
      </c>
      <c r="H13" s="8">
        <f t="shared" si="2"/>
        <v>7990</v>
      </c>
      <c r="I13" s="8">
        <f t="shared" si="3"/>
        <v>510</v>
      </c>
      <c r="J13" t="s">
        <v>78</v>
      </c>
    </row>
    <row r="14" spans="1:10" x14ac:dyDescent="0.25">
      <c r="A14" s="5">
        <v>45878</v>
      </c>
      <c r="B14" t="s">
        <v>38</v>
      </c>
      <c r="C14">
        <v>5</v>
      </c>
      <c r="D14">
        <v>735</v>
      </c>
      <c r="E14">
        <v>730</v>
      </c>
      <c r="F14">
        <f t="shared" si="0"/>
        <v>5</v>
      </c>
      <c r="G14" s="8">
        <f t="shared" si="1"/>
        <v>3675</v>
      </c>
      <c r="H14" s="8">
        <f t="shared" si="2"/>
        <v>3650</v>
      </c>
      <c r="I14" s="8">
        <f t="shared" si="3"/>
        <v>25</v>
      </c>
      <c r="J14" t="s">
        <v>78</v>
      </c>
    </row>
    <row r="15" spans="1:10" x14ac:dyDescent="0.25">
      <c r="A15" s="5">
        <v>45878</v>
      </c>
      <c r="B15" t="s">
        <v>22</v>
      </c>
      <c r="C15">
        <v>1</v>
      </c>
      <c r="D15">
        <v>8250</v>
      </c>
      <c r="E15" s="7">
        <v>7466</v>
      </c>
      <c r="F15">
        <f t="shared" si="0"/>
        <v>784</v>
      </c>
      <c r="G15" s="8">
        <f t="shared" si="1"/>
        <v>8250</v>
      </c>
      <c r="H15" s="8">
        <f t="shared" si="2"/>
        <v>7466</v>
      </c>
      <c r="I15" s="8">
        <f t="shared" si="3"/>
        <v>784</v>
      </c>
      <c r="J15" t="s">
        <v>78</v>
      </c>
    </row>
    <row r="16" spans="1:10" x14ac:dyDescent="0.25">
      <c r="A16" s="5">
        <v>45880</v>
      </c>
      <c r="B16" t="s">
        <v>48</v>
      </c>
      <c r="C16">
        <v>6</v>
      </c>
      <c r="D16">
        <v>260</v>
      </c>
      <c r="E16">
        <v>188.19</v>
      </c>
      <c r="F16">
        <f t="shared" si="0"/>
        <v>71.81</v>
      </c>
      <c r="G16" s="8">
        <f t="shared" si="1"/>
        <v>1560</v>
      </c>
      <c r="H16" s="8">
        <f t="shared" si="2"/>
        <v>1129.1399999999999</v>
      </c>
      <c r="I16" s="8">
        <f t="shared" si="3"/>
        <v>430.86000000000013</v>
      </c>
      <c r="J16" t="s">
        <v>78</v>
      </c>
    </row>
    <row r="17" spans="1:10" x14ac:dyDescent="0.25">
      <c r="A17" s="5">
        <v>45880</v>
      </c>
      <c r="B17" t="s">
        <v>49</v>
      </c>
      <c r="C17">
        <v>19</v>
      </c>
      <c r="D17">
        <v>62</v>
      </c>
      <c r="E17">
        <v>38.28</v>
      </c>
      <c r="F17">
        <f t="shared" si="0"/>
        <v>23.72</v>
      </c>
      <c r="G17" s="8">
        <f t="shared" si="1"/>
        <v>1178</v>
      </c>
      <c r="H17" s="8">
        <f t="shared" si="2"/>
        <v>727.32</v>
      </c>
      <c r="I17" s="8">
        <f t="shared" si="3"/>
        <v>450.67999999999995</v>
      </c>
      <c r="J17" t="s">
        <v>78</v>
      </c>
    </row>
    <row r="18" spans="1:10" x14ac:dyDescent="0.25">
      <c r="A18" s="5">
        <v>45880</v>
      </c>
      <c r="B18" t="s">
        <v>50</v>
      </c>
      <c r="C18">
        <v>7</v>
      </c>
      <c r="D18">
        <v>1670</v>
      </c>
      <c r="E18">
        <v>1612.26</v>
      </c>
      <c r="F18">
        <f t="shared" si="0"/>
        <v>57.740000000000009</v>
      </c>
      <c r="G18" s="8">
        <f t="shared" si="1"/>
        <v>11690</v>
      </c>
      <c r="H18" s="8">
        <f t="shared" si="2"/>
        <v>11285.82</v>
      </c>
      <c r="I18" s="8">
        <f t="shared" si="3"/>
        <v>404.18000000000029</v>
      </c>
      <c r="J18" t="s">
        <v>78</v>
      </c>
    </row>
    <row r="19" spans="1:10" x14ac:dyDescent="0.25">
      <c r="A19" s="5">
        <v>45880</v>
      </c>
      <c r="B19" t="s">
        <v>51</v>
      </c>
      <c r="C19">
        <v>2</v>
      </c>
      <c r="D19">
        <v>2700</v>
      </c>
      <c r="E19">
        <v>2300.5</v>
      </c>
      <c r="F19">
        <f t="shared" si="0"/>
        <v>399.5</v>
      </c>
      <c r="G19" s="8">
        <f t="shared" si="1"/>
        <v>5400</v>
      </c>
      <c r="H19" s="8">
        <f t="shared" si="2"/>
        <v>4601</v>
      </c>
      <c r="I19" s="8">
        <f t="shared" si="3"/>
        <v>799</v>
      </c>
      <c r="J19" t="s">
        <v>78</v>
      </c>
    </row>
    <row r="20" spans="1:10" x14ac:dyDescent="0.25">
      <c r="A20" s="5">
        <v>45880</v>
      </c>
      <c r="B20" t="s">
        <v>52</v>
      </c>
      <c r="C20">
        <v>1</v>
      </c>
      <c r="D20">
        <v>1540</v>
      </c>
      <c r="E20">
        <v>1395.5</v>
      </c>
      <c r="F20">
        <f t="shared" si="0"/>
        <v>144.5</v>
      </c>
      <c r="G20" s="8">
        <f t="shared" si="1"/>
        <v>1540</v>
      </c>
      <c r="H20" s="8">
        <f t="shared" si="2"/>
        <v>1395.5</v>
      </c>
      <c r="I20" s="8">
        <f t="shared" si="3"/>
        <v>144.5</v>
      </c>
      <c r="J20" t="s">
        <v>78</v>
      </c>
    </row>
    <row r="21" spans="1:10" x14ac:dyDescent="0.25">
      <c r="A21" s="5">
        <v>45881</v>
      </c>
      <c r="B21" t="s">
        <v>51</v>
      </c>
      <c r="C21">
        <v>2</v>
      </c>
      <c r="D21">
        <v>2700</v>
      </c>
      <c r="E21">
        <v>2300.5</v>
      </c>
      <c r="F21">
        <f t="shared" si="0"/>
        <v>399.5</v>
      </c>
      <c r="G21" s="8">
        <f t="shared" si="1"/>
        <v>5400</v>
      </c>
      <c r="H21" s="8">
        <f t="shared" si="2"/>
        <v>4601</v>
      </c>
      <c r="I21" s="8">
        <f t="shared" si="3"/>
        <v>799</v>
      </c>
      <c r="J21" t="s">
        <v>78</v>
      </c>
    </row>
    <row r="22" spans="1:10" x14ac:dyDescent="0.25">
      <c r="A22" s="5">
        <v>45881</v>
      </c>
      <c r="B22" t="s">
        <v>51</v>
      </c>
      <c r="C22">
        <v>3</v>
      </c>
      <c r="D22">
        <v>2700</v>
      </c>
      <c r="E22">
        <v>2300.5</v>
      </c>
      <c r="F22">
        <f t="shared" si="0"/>
        <v>399.5</v>
      </c>
      <c r="G22" s="8">
        <f t="shared" si="1"/>
        <v>8100</v>
      </c>
      <c r="H22" s="8">
        <f t="shared" si="2"/>
        <v>6901.5</v>
      </c>
      <c r="I22" s="8">
        <f t="shared" si="3"/>
        <v>1198.5</v>
      </c>
      <c r="J22" t="s">
        <v>78</v>
      </c>
    </row>
    <row r="23" spans="1:10" x14ac:dyDescent="0.25">
      <c r="A23" s="11">
        <v>45881</v>
      </c>
      <c r="B23" s="12" t="s">
        <v>12</v>
      </c>
      <c r="C23" s="12">
        <v>1</v>
      </c>
      <c r="D23" s="12">
        <v>4400</v>
      </c>
      <c r="E23" s="14">
        <v>5339.75</v>
      </c>
      <c r="F23" s="12">
        <f t="shared" si="0"/>
        <v>-939.75</v>
      </c>
      <c r="G23" s="13">
        <f t="shared" si="1"/>
        <v>4400</v>
      </c>
      <c r="H23" s="13">
        <f t="shared" si="2"/>
        <v>5339.75</v>
      </c>
      <c r="I23" s="13">
        <f t="shared" si="3"/>
        <v>-939.75</v>
      </c>
      <c r="J23" s="12" t="s">
        <v>78</v>
      </c>
    </row>
    <row r="24" spans="1:10" x14ac:dyDescent="0.25">
      <c r="A24" s="11">
        <v>45883</v>
      </c>
      <c r="B24" s="12" t="s">
        <v>12</v>
      </c>
      <c r="C24" s="12">
        <v>1</v>
      </c>
      <c r="D24" s="12">
        <v>4450</v>
      </c>
      <c r="E24" s="12">
        <v>5339.75</v>
      </c>
      <c r="F24" s="12">
        <f t="shared" si="0"/>
        <v>-889.75</v>
      </c>
      <c r="G24" s="13">
        <f t="shared" si="1"/>
        <v>4450</v>
      </c>
      <c r="H24" s="13">
        <f t="shared" si="2"/>
        <v>5339.75</v>
      </c>
      <c r="I24" s="13">
        <f t="shared" si="3"/>
        <v>-889.75</v>
      </c>
      <c r="J24" s="12" t="s">
        <v>78</v>
      </c>
    </row>
    <row r="25" spans="1:10" x14ac:dyDescent="0.25">
      <c r="A25" s="5">
        <v>45883</v>
      </c>
      <c r="B25" t="s">
        <v>55</v>
      </c>
      <c r="C25">
        <v>1</v>
      </c>
      <c r="D25">
        <v>6650</v>
      </c>
      <c r="E25">
        <v>6244</v>
      </c>
      <c r="F25">
        <f t="shared" si="0"/>
        <v>406</v>
      </c>
      <c r="G25" s="8">
        <f t="shared" si="1"/>
        <v>6650</v>
      </c>
      <c r="H25" s="8">
        <f t="shared" si="2"/>
        <v>6244</v>
      </c>
      <c r="I25" s="8">
        <f t="shared" si="3"/>
        <v>406</v>
      </c>
      <c r="J25" t="s">
        <v>78</v>
      </c>
    </row>
    <row r="26" spans="1:10" x14ac:dyDescent="0.25">
      <c r="A26" s="11">
        <v>45884</v>
      </c>
      <c r="B26" s="12" t="s">
        <v>65</v>
      </c>
      <c r="C26" s="12">
        <v>3</v>
      </c>
      <c r="D26" s="12">
        <v>4200</v>
      </c>
      <c r="E26" s="12">
        <v>5339.75</v>
      </c>
      <c r="F26" s="12">
        <f t="shared" si="0"/>
        <v>-1139.75</v>
      </c>
      <c r="G26" s="13">
        <f t="shared" si="1"/>
        <v>12600</v>
      </c>
      <c r="H26" s="13">
        <f t="shared" si="2"/>
        <v>16019.25</v>
      </c>
      <c r="I26" s="13">
        <f t="shared" si="3"/>
        <v>-3419.25</v>
      </c>
      <c r="J26" s="12" t="s">
        <v>78</v>
      </c>
    </row>
    <row r="27" spans="1:10" x14ac:dyDescent="0.25">
      <c r="A27" s="11">
        <v>45884</v>
      </c>
      <c r="B27" s="12" t="s">
        <v>82</v>
      </c>
      <c r="C27" s="12">
        <v>3</v>
      </c>
      <c r="D27" s="12">
        <v>4200</v>
      </c>
      <c r="E27" s="12">
        <v>5400</v>
      </c>
      <c r="F27" s="12">
        <f t="shared" si="0"/>
        <v>-1200</v>
      </c>
      <c r="G27" s="13">
        <f t="shared" si="1"/>
        <v>12600</v>
      </c>
      <c r="H27" s="13">
        <f t="shared" si="2"/>
        <v>16200</v>
      </c>
      <c r="I27" s="13">
        <f t="shared" si="3"/>
        <v>-3600</v>
      </c>
      <c r="J27" s="12" t="s">
        <v>78</v>
      </c>
    </row>
    <row r="28" spans="1:10" x14ac:dyDescent="0.25">
      <c r="A28" s="5">
        <v>45884</v>
      </c>
      <c r="B28" t="s">
        <v>57</v>
      </c>
      <c r="C28">
        <v>2</v>
      </c>
      <c r="D28">
        <v>960</v>
      </c>
      <c r="E28">
        <v>731</v>
      </c>
      <c r="F28">
        <f t="shared" si="0"/>
        <v>229</v>
      </c>
      <c r="G28" s="8">
        <f t="shared" si="1"/>
        <v>1920</v>
      </c>
      <c r="H28" s="8">
        <f t="shared" si="2"/>
        <v>1462</v>
      </c>
      <c r="I28" s="8">
        <f t="shared" si="3"/>
        <v>458</v>
      </c>
      <c r="J28" t="s">
        <v>78</v>
      </c>
    </row>
    <row r="29" spans="1:10" x14ac:dyDescent="0.25">
      <c r="A29" s="5">
        <v>45888</v>
      </c>
      <c r="B29" t="s">
        <v>55</v>
      </c>
      <c r="C29">
        <v>1</v>
      </c>
      <c r="D29">
        <v>6650</v>
      </c>
      <c r="E29">
        <v>6244</v>
      </c>
      <c r="F29">
        <f t="shared" si="0"/>
        <v>406</v>
      </c>
      <c r="G29" s="8">
        <f t="shared" si="1"/>
        <v>6650</v>
      </c>
      <c r="H29" s="8">
        <f t="shared" si="2"/>
        <v>6244</v>
      </c>
      <c r="I29" s="8">
        <f t="shared" si="3"/>
        <v>406</v>
      </c>
      <c r="J29" t="s">
        <v>78</v>
      </c>
    </row>
    <row r="30" spans="1:10" x14ac:dyDescent="0.25">
      <c r="A30" s="11">
        <v>45888</v>
      </c>
      <c r="B30" s="12" t="s">
        <v>12</v>
      </c>
      <c r="C30" s="12">
        <v>1</v>
      </c>
      <c r="D30" s="12">
        <v>4400</v>
      </c>
      <c r="E30" s="12">
        <v>5339.75</v>
      </c>
      <c r="F30" s="12">
        <f t="shared" si="0"/>
        <v>-939.75</v>
      </c>
      <c r="G30" s="13">
        <f t="shared" si="1"/>
        <v>4400</v>
      </c>
      <c r="H30" s="13">
        <f t="shared" si="2"/>
        <v>5339.75</v>
      </c>
      <c r="I30" s="13">
        <f t="shared" si="3"/>
        <v>-939.75</v>
      </c>
      <c r="J30" s="12" t="s">
        <v>78</v>
      </c>
    </row>
    <row r="31" spans="1:10" x14ac:dyDescent="0.25">
      <c r="A31" s="5">
        <v>45889</v>
      </c>
      <c r="B31" t="s">
        <v>46</v>
      </c>
      <c r="C31">
        <v>50</v>
      </c>
      <c r="D31">
        <v>810</v>
      </c>
      <c r="E31">
        <v>592.20000000000005</v>
      </c>
      <c r="F31">
        <f t="shared" si="0"/>
        <v>217.79999999999995</v>
      </c>
      <c r="G31" s="8">
        <f t="shared" si="1"/>
        <v>40500</v>
      </c>
      <c r="H31" s="8">
        <f t="shared" si="2"/>
        <v>29610.000000000004</v>
      </c>
      <c r="I31" s="8">
        <f t="shared" si="3"/>
        <v>10889.999999999996</v>
      </c>
      <c r="J31" t="s">
        <v>78</v>
      </c>
    </row>
    <row r="32" spans="1:10" x14ac:dyDescent="0.25">
      <c r="A32" s="5">
        <v>45889</v>
      </c>
      <c r="B32" t="s">
        <v>46</v>
      </c>
      <c r="C32">
        <v>5</v>
      </c>
      <c r="D32">
        <v>825</v>
      </c>
      <c r="E32">
        <v>592.20000000000005</v>
      </c>
      <c r="F32">
        <f t="shared" si="0"/>
        <v>232.79999999999995</v>
      </c>
      <c r="G32" s="8">
        <f t="shared" si="1"/>
        <v>4125</v>
      </c>
      <c r="H32" s="8">
        <f t="shared" si="2"/>
        <v>2961</v>
      </c>
      <c r="I32" s="8">
        <f t="shared" si="3"/>
        <v>1164</v>
      </c>
      <c r="J32" t="s">
        <v>78</v>
      </c>
    </row>
    <row r="33" spans="1:10" x14ac:dyDescent="0.25">
      <c r="A33" s="11">
        <v>45890</v>
      </c>
      <c r="B33" s="12" t="s">
        <v>50</v>
      </c>
      <c r="C33" s="12">
        <v>5</v>
      </c>
      <c r="D33" s="12">
        <v>1690</v>
      </c>
      <c r="E33" s="12">
        <v>1773.33</v>
      </c>
      <c r="F33" s="12">
        <f t="shared" si="0"/>
        <v>-83.329999999999927</v>
      </c>
      <c r="G33" s="13">
        <f t="shared" si="1"/>
        <v>8450</v>
      </c>
      <c r="H33" s="13">
        <f t="shared" si="2"/>
        <v>8866.65</v>
      </c>
      <c r="I33" s="13">
        <f t="shared" si="3"/>
        <v>-416.64999999999964</v>
      </c>
      <c r="J33" s="12" t="s">
        <v>78</v>
      </c>
    </row>
    <row r="34" spans="1:10" x14ac:dyDescent="0.25">
      <c r="A34" s="5">
        <v>45890</v>
      </c>
      <c r="B34" t="s">
        <v>46</v>
      </c>
      <c r="C34">
        <v>30</v>
      </c>
      <c r="D34">
        <v>825</v>
      </c>
      <c r="E34">
        <v>592.20000000000005</v>
      </c>
      <c r="F34">
        <f t="shared" ref="F34:F63" si="4">D34-E34</f>
        <v>232.79999999999995</v>
      </c>
      <c r="G34" s="8">
        <f t="shared" ref="G34:G63" si="5">D34*C34</f>
        <v>24750</v>
      </c>
      <c r="H34" s="8">
        <f t="shared" ref="H34:H63" si="6">E34*C34</f>
        <v>17766</v>
      </c>
      <c r="I34" s="8">
        <f t="shared" ref="I34:I63" si="7">G34-H34</f>
        <v>6984</v>
      </c>
      <c r="J34" t="s">
        <v>78</v>
      </c>
    </row>
    <row r="35" spans="1:10" x14ac:dyDescent="0.25">
      <c r="A35" s="11">
        <v>45890</v>
      </c>
      <c r="B35" s="12" t="s">
        <v>12</v>
      </c>
      <c r="C35" s="12">
        <v>2</v>
      </c>
      <c r="D35" s="12">
        <v>4400</v>
      </c>
      <c r="E35" s="12">
        <v>5339.75</v>
      </c>
      <c r="F35" s="12">
        <f t="shared" si="4"/>
        <v>-939.75</v>
      </c>
      <c r="G35" s="13">
        <f t="shared" si="5"/>
        <v>8800</v>
      </c>
      <c r="H35" s="13">
        <f t="shared" si="6"/>
        <v>10679.5</v>
      </c>
      <c r="I35" s="13">
        <f t="shared" si="7"/>
        <v>-1879.5</v>
      </c>
      <c r="J35" s="12" t="s">
        <v>78</v>
      </c>
    </row>
    <row r="36" spans="1:10" x14ac:dyDescent="0.25">
      <c r="A36" s="5">
        <v>45890</v>
      </c>
      <c r="B36" t="s">
        <v>55</v>
      </c>
      <c r="C36">
        <v>1</v>
      </c>
      <c r="D36">
        <v>6700</v>
      </c>
      <c r="E36">
        <v>6244</v>
      </c>
      <c r="F36">
        <f t="shared" si="4"/>
        <v>456</v>
      </c>
      <c r="G36" s="8">
        <f t="shared" si="5"/>
        <v>6700</v>
      </c>
      <c r="H36" s="8">
        <f t="shared" si="6"/>
        <v>6244</v>
      </c>
      <c r="I36" s="8">
        <f t="shared" si="7"/>
        <v>456</v>
      </c>
      <c r="J36" t="s">
        <v>78</v>
      </c>
    </row>
    <row r="37" spans="1:10" x14ac:dyDescent="0.25">
      <c r="A37" s="5">
        <v>45890</v>
      </c>
      <c r="B37" t="s">
        <v>51</v>
      </c>
      <c r="C37">
        <v>4</v>
      </c>
      <c r="D37">
        <v>2600</v>
      </c>
      <c r="E37">
        <v>2300.5</v>
      </c>
      <c r="F37">
        <f t="shared" si="4"/>
        <v>299.5</v>
      </c>
      <c r="G37" s="8">
        <f t="shared" si="5"/>
        <v>10400</v>
      </c>
      <c r="H37" s="8">
        <f t="shared" si="6"/>
        <v>9202</v>
      </c>
      <c r="I37" s="8">
        <f t="shared" si="7"/>
        <v>1198</v>
      </c>
      <c r="J37" t="s">
        <v>78</v>
      </c>
    </row>
    <row r="38" spans="1:10" x14ac:dyDescent="0.25">
      <c r="A38" s="5">
        <v>45891</v>
      </c>
      <c r="B38" t="s">
        <v>51</v>
      </c>
      <c r="C38">
        <v>2</v>
      </c>
      <c r="D38">
        <v>2700</v>
      </c>
      <c r="E38">
        <v>2300.5</v>
      </c>
      <c r="F38">
        <f t="shared" si="4"/>
        <v>399.5</v>
      </c>
      <c r="G38" s="8">
        <f t="shared" si="5"/>
        <v>5400</v>
      </c>
      <c r="H38" s="8">
        <f t="shared" si="6"/>
        <v>4601</v>
      </c>
      <c r="I38" s="8">
        <f t="shared" si="7"/>
        <v>799</v>
      </c>
      <c r="J38" t="s">
        <v>78</v>
      </c>
    </row>
    <row r="39" spans="1:10" x14ac:dyDescent="0.25">
      <c r="A39" s="5">
        <v>45891</v>
      </c>
      <c r="B39" t="s">
        <v>51</v>
      </c>
      <c r="C39">
        <v>10</v>
      </c>
      <c r="D39">
        <v>2600</v>
      </c>
      <c r="E39">
        <v>2300.5</v>
      </c>
      <c r="F39">
        <f t="shared" si="4"/>
        <v>299.5</v>
      </c>
      <c r="G39" s="8">
        <f t="shared" si="5"/>
        <v>26000</v>
      </c>
      <c r="H39" s="8">
        <f t="shared" si="6"/>
        <v>23005</v>
      </c>
      <c r="I39" s="8">
        <f t="shared" si="7"/>
        <v>2995</v>
      </c>
      <c r="J39" t="s">
        <v>78</v>
      </c>
    </row>
    <row r="40" spans="1:10" x14ac:dyDescent="0.25">
      <c r="A40" s="5">
        <v>45891</v>
      </c>
      <c r="B40" t="s">
        <v>63</v>
      </c>
      <c r="C40">
        <v>2</v>
      </c>
      <c r="D40">
        <v>165</v>
      </c>
      <c r="E40">
        <v>128</v>
      </c>
      <c r="F40">
        <f t="shared" si="4"/>
        <v>37</v>
      </c>
      <c r="G40" s="8">
        <f t="shared" si="5"/>
        <v>330</v>
      </c>
      <c r="H40" s="8">
        <f t="shared" si="6"/>
        <v>256</v>
      </c>
      <c r="I40" s="8">
        <f t="shared" si="7"/>
        <v>74</v>
      </c>
      <c r="J40" t="s">
        <v>78</v>
      </c>
    </row>
    <row r="41" spans="1:10" x14ac:dyDescent="0.25">
      <c r="A41" s="5">
        <v>45891</v>
      </c>
      <c r="B41" t="s">
        <v>52</v>
      </c>
      <c r="C41">
        <v>2</v>
      </c>
      <c r="D41">
        <v>1520</v>
      </c>
      <c r="E41" s="7">
        <v>1211.94</v>
      </c>
      <c r="F41">
        <f t="shared" si="4"/>
        <v>308.05999999999995</v>
      </c>
      <c r="G41" s="8">
        <f t="shared" si="5"/>
        <v>3040</v>
      </c>
      <c r="H41" s="8">
        <f t="shared" si="6"/>
        <v>2423.88</v>
      </c>
      <c r="I41" s="8">
        <f t="shared" si="7"/>
        <v>616.11999999999989</v>
      </c>
      <c r="J41" t="s">
        <v>78</v>
      </c>
    </row>
    <row r="42" spans="1:10" x14ac:dyDescent="0.25">
      <c r="A42" s="5">
        <v>45892</v>
      </c>
      <c r="B42" t="s">
        <v>64</v>
      </c>
      <c r="C42">
        <v>2</v>
      </c>
      <c r="D42">
        <v>6850</v>
      </c>
      <c r="E42">
        <v>4883.21</v>
      </c>
      <c r="F42">
        <f t="shared" si="4"/>
        <v>1966.79</v>
      </c>
      <c r="G42" s="8">
        <f t="shared" si="5"/>
        <v>13700</v>
      </c>
      <c r="H42" s="8">
        <f t="shared" si="6"/>
        <v>9766.42</v>
      </c>
      <c r="I42" s="8">
        <f t="shared" si="7"/>
        <v>3933.58</v>
      </c>
      <c r="J42" t="s">
        <v>78</v>
      </c>
    </row>
    <row r="43" spans="1:10" x14ac:dyDescent="0.25">
      <c r="A43" s="5">
        <v>45894</v>
      </c>
      <c r="B43" t="s">
        <v>52</v>
      </c>
      <c r="C43">
        <v>2</v>
      </c>
      <c r="D43">
        <v>1510</v>
      </c>
      <c r="E43" s="7">
        <v>1211.94</v>
      </c>
      <c r="F43">
        <f t="shared" si="4"/>
        <v>298.05999999999995</v>
      </c>
      <c r="G43" s="8">
        <f t="shared" si="5"/>
        <v>3020</v>
      </c>
      <c r="H43" s="8">
        <f t="shared" si="6"/>
        <v>2423.88</v>
      </c>
      <c r="I43" s="8">
        <f t="shared" si="7"/>
        <v>596.11999999999989</v>
      </c>
      <c r="J43" t="s">
        <v>78</v>
      </c>
    </row>
    <row r="44" spans="1:10" x14ac:dyDescent="0.25">
      <c r="A44" s="5">
        <v>45895</v>
      </c>
      <c r="B44" t="s">
        <v>51</v>
      </c>
      <c r="C44">
        <v>17</v>
      </c>
      <c r="D44">
        <v>2650</v>
      </c>
      <c r="E44">
        <v>2268.73</v>
      </c>
      <c r="F44">
        <f t="shared" si="4"/>
        <v>381.27</v>
      </c>
      <c r="G44" s="8">
        <f t="shared" si="5"/>
        <v>45050</v>
      </c>
      <c r="H44" s="8">
        <f t="shared" si="6"/>
        <v>38568.410000000003</v>
      </c>
      <c r="I44" s="8">
        <f t="shared" si="7"/>
        <v>6481.5899999999965</v>
      </c>
      <c r="J44" t="s">
        <v>78</v>
      </c>
    </row>
    <row r="45" spans="1:10" x14ac:dyDescent="0.25">
      <c r="A45" s="11">
        <v>45895</v>
      </c>
      <c r="B45" s="12" t="s">
        <v>65</v>
      </c>
      <c r="C45" s="12">
        <v>1</v>
      </c>
      <c r="D45" s="12">
        <v>4450</v>
      </c>
      <c r="E45" s="12">
        <v>5339.75</v>
      </c>
      <c r="F45" s="12">
        <f t="shared" si="4"/>
        <v>-889.75</v>
      </c>
      <c r="G45" s="13">
        <f t="shared" si="5"/>
        <v>4450</v>
      </c>
      <c r="H45" s="13">
        <f t="shared" si="6"/>
        <v>5339.75</v>
      </c>
      <c r="I45" s="13">
        <f t="shared" si="7"/>
        <v>-889.75</v>
      </c>
      <c r="J45" s="12" t="s">
        <v>78</v>
      </c>
    </row>
    <row r="46" spans="1:10" x14ac:dyDescent="0.25">
      <c r="A46" s="5">
        <v>45896</v>
      </c>
      <c r="B46" t="s">
        <v>46</v>
      </c>
      <c r="C46">
        <v>65</v>
      </c>
      <c r="D46">
        <v>810</v>
      </c>
      <c r="E46">
        <v>584.79</v>
      </c>
      <c r="F46">
        <f t="shared" si="4"/>
        <v>225.21000000000004</v>
      </c>
      <c r="G46" s="8">
        <f t="shared" si="5"/>
        <v>52650</v>
      </c>
      <c r="H46" s="8">
        <f t="shared" si="6"/>
        <v>38011.35</v>
      </c>
      <c r="I46" s="8">
        <f t="shared" si="7"/>
        <v>14638.650000000001</v>
      </c>
      <c r="J46" t="s">
        <v>78</v>
      </c>
    </row>
    <row r="47" spans="1:10" x14ac:dyDescent="0.25">
      <c r="A47" s="5">
        <v>45896</v>
      </c>
      <c r="B47" t="s">
        <v>46</v>
      </c>
      <c r="C47">
        <v>60</v>
      </c>
      <c r="D47">
        <v>810</v>
      </c>
      <c r="E47">
        <v>584.79</v>
      </c>
      <c r="F47">
        <f t="shared" si="4"/>
        <v>225.21000000000004</v>
      </c>
      <c r="G47" s="8">
        <f t="shared" si="5"/>
        <v>48600</v>
      </c>
      <c r="H47" s="8">
        <f t="shared" si="6"/>
        <v>35087.399999999994</v>
      </c>
      <c r="I47" s="8">
        <f t="shared" si="7"/>
        <v>13512.600000000006</v>
      </c>
      <c r="J47" t="s">
        <v>78</v>
      </c>
    </row>
    <row r="48" spans="1:10" x14ac:dyDescent="0.25">
      <c r="A48" s="5">
        <v>45896</v>
      </c>
      <c r="B48" t="s">
        <v>46</v>
      </c>
      <c r="C48">
        <v>5</v>
      </c>
      <c r="D48">
        <v>810</v>
      </c>
      <c r="E48">
        <v>584.79</v>
      </c>
      <c r="F48">
        <f t="shared" si="4"/>
        <v>225.21000000000004</v>
      </c>
      <c r="G48" s="8">
        <f t="shared" si="5"/>
        <v>4050</v>
      </c>
      <c r="H48" s="8">
        <f t="shared" si="6"/>
        <v>2923.95</v>
      </c>
      <c r="I48" s="8">
        <f t="shared" si="7"/>
        <v>1126.0500000000002</v>
      </c>
      <c r="J48" t="s">
        <v>78</v>
      </c>
    </row>
    <row r="49" spans="1:10" x14ac:dyDescent="0.25">
      <c r="A49" s="5">
        <v>45896</v>
      </c>
      <c r="B49" t="s">
        <v>46</v>
      </c>
      <c r="C49">
        <v>15</v>
      </c>
      <c r="D49">
        <v>810</v>
      </c>
      <c r="E49">
        <v>584.79</v>
      </c>
      <c r="F49">
        <f t="shared" si="4"/>
        <v>225.21000000000004</v>
      </c>
      <c r="G49" s="8">
        <f t="shared" si="5"/>
        <v>12150</v>
      </c>
      <c r="H49" s="8">
        <f t="shared" si="6"/>
        <v>8771.8499999999985</v>
      </c>
      <c r="I49" s="8">
        <f t="shared" si="7"/>
        <v>3378.1500000000015</v>
      </c>
      <c r="J49" t="s">
        <v>78</v>
      </c>
    </row>
    <row r="50" spans="1:10" x14ac:dyDescent="0.25">
      <c r="A50" s="5">
        <v>45896</v>
      </c>
      <c r="B50" t="s">
        <v>46</v>
      </c>
      <c r="C50">
        <v>20</v>
      </c>
      <c r="D50">
        <v>810</v>
      </c>
      <c r="E50">
        <v>584.79</v>
      </c>
      <c r="F50">
        <f t="shared" si="4"/>
        <v>225.21000000000004</v>
      </c>
      <c r="G50" s="8">
        <f t="shared" si="5"/>
        <v>16200</v>
      </c>
      <c r="H50" s="8">
        <f t="shared" si="6"/>
        <v>11695.8</v>
      </c>
      <c r="I50" s="8">
        <f t="shared" si="7"/>
        <v>4504.2000000000007</v>
      </c>
      <c r="J50" t="s">
        <v>78</v>
      </c>
    </row>
    <row r="51" spans="1:10" x14ac:dyDescent="0.25">
      <c r="A51" s="5">
        <v>45897</v>
      </c>
      <c r="B51" t="s">
        <v>46</v>
      </c>
      <c r="C51">
        <v>4</v>
      </c>
      <c r="D51">
        <v>810</v>
      </c>
      <c r="E51">
        <v>584.79</v>
      </c>
      <c r="F51">
        <f t="shared" si="4"/>
        <v>225.21000000000004</v>
      </c>
      <c r="G51" s="8">
        <f t="shared" si="5"/>
        <v>3240</v>
      </c>
      <c r="H51" s="8">
        <f t="shared" si="6"/>
        <v>2339.16</v>
      </c>
      <c r="I51" s="8">
        <f t="shared" si="7"/>
        <v>900.84000000000015</v>
      </c>
      <c r="J51" t="s">
        <v>78</v>
      </c>
    </row>
    <row r="52" spans="1:10" x14ac:dyDescent="0.25">
      <c r="A52" s="5">
        <v>45897</v>
      </c>
      <c r="B52" t="s">
        <v>46</v>
      </c>
      <c r="C52">
        <v>20</v>
      </c>
      <c r="D52">
        <v>805</v>
      </c>
      <c r="E52">
        <v>584.79</v>
      </c>
      <c r="F52">
        <f t="shared" si="4"/>
        <v>220.21000000000004</v>
      </c>
      <c r="G52" s="8">
        <f t="shared" si="5"/>
        <v>16100</v>
      </c>
      <c r="H52" s="8">
        <f t="shared" si="6"/>
        <v>11695.8</v>
      </c>
      <c r="I52" s="8">
        <f t="shared" si="7"/>
        <v>4404.2000000000007</v>
      </c>
      <c r="J52" t="s">
        <v>78</v>
      </c>
    </row>
    <row r="53" spans="1:10" x14ac:dyDescent="0.25">
      <c r="A53" s="5">
        <v>45897</v>
      </c>
      <c r="B53" t="s">
        <v>46</v>
      </c>
      <c r="C53">
        <v>87</v>
      </c>
      <c r="D53">
        <v>805</v>
      </c>
      <c r="E53">
        <v>584.79</v>
      </c>
      <c r="F53">
        <f t="shared" si="4"/>
        <v>220.21000000000004</v>
      </c>
      <c r="G53" s="8">
        <f t="shared" si="5"/>
        <v>70035</v>
      </c>
      <c r="H53" s="8">
        <f t="shared" si="6"/>
        <v>50876.729999999996</v>
      </c>
      <c r="I53" s="8">
        <f t="shared" si="7"/>
        <v>19158.270000000004</v>
      </c>
      <c r="J53" t="s">
        <v>78</v>
      </c>
    </row>
    <row r="54" spans="1:10" x14ac:dyDescent="0.25">
      <c r="A54" s="5">
        <v>45897</v>
      </c>
      <c r="B54" t="s">
        <v>46</v>
      </c>
      <c r="C54">
        <v>6</v>
      </c>
      <c r="D54">
        <v>805</v>
      </c>
      <c r="E54">
        <v>584.79</v>
      </c>
      <c r="F54">
        <f t="shared" si="4"/>
        <v>220.21000000000004</v>
      </c>
      <c r="G54" s="8">
        <f t="shared" si="5"/>
        <v>4830</v>
      </c>
      <c r="H54" s="8">
        <f t="shared" si="6"/>
        <v>3508.74</v>
      </c>
      <c r="I54" s="8">
        <f t="shared" si="7"/>
        <v>1321.2600000000002</v>
      </c>
      <c r="J54" t="s">
        <v>78</v>
      </c>
    </row>
    <row r="55" spans="1:10" x14ac:dyDescent="0.25">
      <c r="A55" s="5">
        <v>45898</v>
      </c>
      <c r="B55" t="s">
        <v>46</v>
      </c>
      <c r="C55">
        <v>5</v>
      </c>
      <c r="D55">
        <v>800</v>
      </c>
      <c r="E55">
        <v>584.79</v>
      </c>
      <c r="F55">
        <f t="shared" si="4"/>
        <v>215.21000000000004</v>
      </c>
      <c r="G55" s="8">
        <f t="shared" si="5"/>
        <v>4000</v>
      </c>
      <c r="H55" s="8">
        <f t="shared" si="6"/>
        <v>2923.95</v>
      </c>
      <c r="I55" s="8">
        <f t="shared" si="7"/>
        <v>1076.0500000000002</v>
      </c>
      <c r="J55" t="s">
        <v>78</v>
      </c>
    </row>
    <row r="56" spans="1:10" x14ac:dyDescent="0.25">
      <c r="A56" s="5">
        <v>45898</v>
      </c>
      <c r="B56" t="s">
        <v>46</v>
      </c>
      <c r="C56">
        <v>10</v>
      </c>
      <c r="D56">
        <v>800</v>
      </c>
      <c r="E56">
        <v>584.79</v>
      </c>
      <c r="F56">
        <f t="shared" si="4"/>
        <v>215.21000000000004</v>
      </c>
      <c r="G56" s="8">
        <f t="shared" si="5"/>
        <v>8000</v>
      </c>
      <c r="H56" s="8">
        <f t="shared" si="6"/>
        <v>5847.9</v>
      </c>
      <c r="I56" s="8">
        <f t="shared" si="7"/>
        <v>2152.1000000000004</v>
      </c>
      <c r="J56" t="s">
        <v>78</v>
      </c>
    </row>
    <row r="57" spans="1:10" x14ac:dyDescent="0.25">
      <c r="A57" s="5">
        <v>45899</v>
      </c>
      <c r="B57" t="s">
        <v>46</v>
      </c>
      <c r="C57">
        <v>20</v>
      </c>
      <c r="D57">
        <v>800</v>
      </c>
      <c r="E57">
        <v>584.79</v>
      </c>
      <c r="F57">
        <f t="shared" si="4"/>
        <v>215.21000000000004</v>
      </c>
      <c r="G57" s="8">
        <f t="shared" si="5"/>
        <v>16000</v>
      </c>
      <c r="H57" s="8">
        <f t="shared" si="6"/>
        <v>11695.8</v>
      </c>
      <c r="I57" s="8">
        <f t="shared" si="7"/>
        <v>4304.2000000000007</v>
      </c>
      <c r="J57" t="s">
        <v>78</v>
      </c>
    </row>
    <row r="58" spans="1:10" x14ac:dyDescent="0.25">
      <c r="A58" s="5">
        <v>45899</v>
      </c>
      <c r="B58" t="s">
        <v>46</v>
      </c>
      <c r="C58">
        <v>42</v>
      </c>
      <c r="D58">
        <v>795</v>
      </c>
      <c r="E58">
        <v>584.79</v>
      </c>
      <c r="F58">
        <f t="shared" si="4"/>
        <v>210.21000000000004</v>
      </c>
      <c r="G58" s="8">
        <f t="shared" si="5"/>
        <v>33390</v>
      </c>
      <c r="H58" s="8">
        <f t="shared" si="6"/>
        <v>24561.18</v>
      </c>
      <c r="I58" s="8">
        <f t="shared" si="7"/>
        <v>8828.82</v>
      </c>
      <c r="J58" t="s">
        <v>78</v>
      </c>
    </row>
    <row r="59" spans="1:10" x14ac:dyDescent="0.25">
      <c r="A59" s="5">
        <v>45899</v>
      </c>
      <c r="B59" t="s">
        <v>46</v>
      </c>
      <c r="C59">
        <v>20</v>
      </c>
      <c r="D59">
        <v>825</v>
      </c>
      <c r="E59">
        <v>584.79</v>
      </c>
      <c r="F59">
        <f t="shared" si="4"/>
        <v>240.21000000000004</v>
      </c>
      <c r="G59" s="8">
        <f t="shared" si="5"/>
        <v>16500</v>
      </c>
      <c r="H59" s="8">
        <f t="shared" si="6"/>
        <v>11695.8</v>
      </c>
      <c r="I59" s="8">
        <f t="shared" si="7"/>
        <v>4804.2000000000007</v>
      </c>
      <c r="J59" t="s">
        <v>78</v>
      </c>
    </row>
    <row r="60" spans="1:10" x14ac:dyDescent="0.25">
      <c r="A60" s="5">
        <v>45899</v>
      </c>
      <c r="B60" t="s">
        <v>39</v>
      </c>
      <c r="C60">
        <v>1</v>
      </c>
      <c r="D60">
        <v>8500</v>
      </c>
      <c r="E60">
        <v>8003.5</v>
      </c>
      <c r="F60">
        <f t="shared" si="4"/>
        <v>496.5</v>
      </c>
      <c r="G60" s="8">
        <f t="shared" si="5"/>
        <v>8500</v>
      </c>
      <c r="H60" s="8">
        <f t="shared" si="6"/>
        <v>8003.5</v>
      </c>
      <c r="I60" s="8">
        <f t="shared" si="7"/>
        <v>496.5</v>
      </c>
      <c r="J60" t="s">
        <v>78</v>
      </c>
    </row>
    <row r="61" spans="1:10" x14ac:dyDescent="0.25">
      <c r="A61" s="5">
        <v>45899</v>
      </c>
      <c r="B61" t="s">
        <v>46</v>
      </c>
      <c r="C61">
        <v>10</v>
      </c>
      <c r="D61">
        <v>795</v>
      </c>
      <c r="E61">
        <v>584.79</v>
      </c>
      <c r="F61">
        <f t="shared" si="4"/>
        <v>210.21000000000004</v>
      </c>
      <c r="G61" s="8">
        <f t="shared" si="5"/>
        <v>7950</v>
      </c>
      <c r="H61" s="8">
        <f t="shared" si="6"/>
        <v>5847.9</v>
      </c>
      <c r="I61" s="8">
        <f t="shared" si="7"/>
        <v>2102.1000000000004</v>
      </c>
      <c r="J61" t="s">
        <v>78</v>
      </c>
    </row>
    <row r="62" spans="1:10" x14ac:dyDescent="0.25">
      <c r="A62" s="5">
        <v>45899</v>
      </c>
      <c r="B62" t="s">
        <v>46</v>
      </c>
      <c r="C62">
        <v>3</v>
      </c>
      <c r="D62">
        <v>800</v>
      </c>
      <c r="E62">
        <v>584.79</v>
      </c>
      <c r="F62">
        <f t="shared" si="4"/>
        <v>215.21000000000004</v>
      </c>
      <c r="G62" s="8">
        <f t="shared" si="5"/>
        <v>2400</v>
      </c>
      <c r="H62" s="8">
        <f t="shared" si="6"/>
        <v>1754.37</v>
      </c>
      <c r="I62" s="8">
        <f t="shared" si="7"/>
        <v>645.63000000000011</v>
      </c>
      <c r="J62" t="s">
        <v>78</v>
      </c>
    </row>
    <row r="63" spans="1:10" x14ac:dyDescent="0.25">
      <c r="A63" s="5">
        <v>45899</v>
      </c>
      <c r="B63" t="s">
        <v>46</v>
      </c>
      <c r="C63">
        <v>8</v>
      </c>
      <c r="D63">
        <v>795</v>
      </c>
      <c r="E63">
        <v>584.79</v>
      </c>
      <c r="F63">
        <f t="shared" si="4"/>
        <v>210.21000000000004</v>
      </c>
      <c r="G63" s="8">
        <f t="shared" si="5"/>
        <v>6360</v>
      </c>
      <c r="H63" s="8">
        <f t="shared" si="6"/>
        <v>4678.32</v>
      </c>
      <c r="I63" s="8">
        <f t="shared" si="7"/>
        <v>1681.6800000000003</v>
      </c>
      <c r="J63" t="s">
        <v>78</v>
      </c>
    </row>
    <row r="64" spans="1:10" x14ac:dyDescent="0.25">
      <c r="A64" s="5">
        <v>45895</v>
      </c>
      <c r="B64" t="s">
        <v>46</v>
      </c>
      <c r="C64">
        <v>57</v>
      </c>
      <c r="D64">
        <v>810</v>
      </c>
      <c r="E64">
        <v>640.30999999999995</v>
      </c>
      <c r="F64">
        <f>D64-E64</f>
        <v>169.69000000000005</v>
      </c>
      <c r="G64" s="8">
        <f>D64*C64</f>
        <v>46170</v>
      </c>
      <c r="H64" s="8">
        <f>E64*C64</f>
        <v>36497.67</v>
      </c>
      <c r="I64" s="8">
        <f>G64-H64</f>
        <v>9672.3300000000017</v>
      </c>
      <c r="J64" t="s">
        <v>78</v>
      </c>
    </row>
    <row r="66" spans="1:9" x14ac:dyDescent="0.25">
      <c r="H66" s="22">
        <f>SUM(H2:H65)</f>
        <v>742449.37000000023</v>
      </c>
      <c r="I66" s="20">
        <f>SUM(I2:I65)</f>
        <v>164028.63</v>
      </c>
    </row>
    <row r="67" spans="1:9" x14ac:dyDescent="0.25">
      <c r="A67" s="15"/>
      <c r="B67" s="16" t="s">
        <v>84</v>
      </c>
      <c r="C67" s="17" t="s">
        <v>85</v>
      </c>
    </row>
    <row r="68" spans="1:9" x14ac:dyDescent="0.25">
      <c r="A68" t="s">
        <v>88</v>
      </c>
      <c r="B68" t="s">
        <v>86</v>
      </c>
      <c r="C68">
        <v>14196</v>
      </c>
    </row>
    <row r="69" spans="1:9" x14ac:dyDescent="0.25">
      <c r="A69" t="s">
        <v>89</v>
      </c>
      <c r="B69" t="s">
        <v>87</v>
      </c>
      <c r="C69">
        <v>9517</v>
      </c>
    </row>
    <row r="72" spans="1:9" x14ac:dyDescent="0.25">
      <c r="B72" s="18" t="s">
        <v>90</v>
      </c>
      <c r="C72">
        <f>SUM(C68:C71)</f>
        <v>23713</v>
      </c>
    </row>
    <row r="75" spans="1:9" ht="26.25" x14ac:dyDescent="0.4">
      <c r="B75" s="19" t="s">
        <v>91</v>
      </c>
      <c r="C75" s="20">
        <f>I66-C72</f>
        <v>140315.63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D690-1B22-4F0A-B130-AFFFACCA8B4C}">
  <dimension ref="A1:J29"/>
  <sheetViews>
    <sheetView workbookViewId="0">
      <selection activeCell="C29" sqref="C29"/>
    </sheetView>
  </sheetViews>
  <sheetFormatPr defaultRowHeight="15" x14ac:dyDescent="0.25"/>
  <cols>
    <col min="1" max="1" width="17.42578125" customWidth="1"/>
    <col min="2" max="2" width="36" customWidth="1"/>
    <col min="3" max="3" width="19.5703125" customWidth="1"/>
    <col min="4" max="4" width="20.140625" customWidth="1"/>
    <col min="5" max="5" width="22.5703125" customWidth="1"/>
    <col min="6" max="7" width="17.28515625" customWidth="1"/>
    <col min="8" max="8" width="16.85546875" customWidth="1"/>
    <col min="9" max="9" width="16.28515625" customWidth="1"/>
    <col min="10" max="10" width="16.7109375" customWidth="1"/>
    <col min="11" max="11" width="10.4257812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5">
        <v>45870</v>
      </c>
      <c r="B2" t="s">
        <v>10</v>
      </c>
      <c r="C2">
        <v>1</v>
      </c>
      <c r="D2">
        <v>3975</v>
      </c>
      <c r="E2">
        <v>2487.9299999999998</v>
      </c>
      <c r="F2">
        <f t="shared" ref="F2:F15" si="0">D2-E2</f>
        <v>1487.0700000000002</v>
      </c>
      <c r="G2" s="8">
        <f t="shared" ref="G2:G15" si="1">D2*C2</f>
        <v>3975</v>
      </c>
      <c r="H2" s="8">
        <f t="shared" ref="H2:H15" si="2">E2*C2</f>
        <v>2487.9299999999998</v>
      </c>
      <c r="I2" s="8">
        <f t="shared" ref="I2:I15" si="3">G2-H2</f>
        <v>1487.0700000000002</v>
      </c>
      <c r="J2" t="s">
        <v>80</v>
      </c>
    </row>
    <row r="3" spans="1:10" x14ac:dyDescent="0.25">
      <c r="A3" s="5">
        <v>45870</v>
      </c>
      <c r="B3" t="s">
        <v>11</v>
      </c>
      <c r="C3">
        <v>3</v>
      </c>
      <c r="D3">
        <v>525</v>
      </c>
      <c r="E3">
        <v>440</v>
      </c>
      <c r="F3">
        <f t="shared" si="0"/>
        <v>85</v>
      </c>
      <c r="G3" s="8">
        <f t="shared" si="1"/>
        <v>1575</v>
      </c>
      <c r="H3" s="8">
        <f t="shared" si="2"/>
        <v>1320</v>
      </c>
      <c r="I3" s="8">
        <f t="shared" si="3"/>
        <v>255</v>
      </c>
      <c r="J3" t="s">
        <v>80</v>
      </c>
    </row>
    <row r="4" spans="1:10" x14ac:dyDescent="0.25">
      <c r="A4" s="5">
        <v>45871</v>
      </c>
      <c r="B4" t="s">
        <v>14</v>
      </c>
      <c r="C4">
        <v>3</v>
      </c>
      <c r="D4">
        <v>2475</v>
      </c>
      <c r="E4">
        <v>1404</v>
      </c>
      <c r="F4">
        <f t="shared" si="0"/>
        <v>1071</v>
      </c>
      <c r="G4" s="8">
        <f t="shared" si="1"/>
        <v>7425</v>
      </c>
      <c r="H4" s="8">
        <f t="shared" si="2"/>
        <v>4212</v>
      </c>
      <c r="I4" s="8">
        <f t="shared" si="3"/>
        <v>3213</v>
      </c>
      <c r="J4" t="s">
        <v>80</v>
      </c>
    </row>
    <row r="5" spans="1:10" x14ac:dyDescent="0.25">
      <c r="A5" s="5">
        <v>45884</v>
      </c>
      <c r="B5" t="s">
        <v>46</v>
      </c>
      <c r="C5">
        <v>100</v>
      </c>
      <c r="D5">
        <v>900</v>
      </c>
      <c r="E5">
        <v>579.87</v>
      </c>
      <c r="F5">
        <f t="shared" si="0"/>
        <v>320.13</v>
      </c>
      <c r="G5" s="8">
        <f t="shared" si="1"/>
        <v>90000</v>
      </c>
      <c r="H5" s="8">
        <f t="shared" si="2"/>
        <v>57987</v>
      </c>
      <c r="I5" s="8">
        <f t="shared" si="3"/>
        <v>32013</v>
      </c>
      <c r="J5" t="s">
        <v>80</v>
      </c>
    </row>
    <row r="6" spans="1:10" x14ac:dyDescent="0.25">
      <c r="A6" s="5">
        <v>45884</v>
      </c>
      <c r="B6" t="s">
        <v>46</v>
      </c>
      <c r="C6">
        <v>4</v>
      </c>
      <c r="D6">
        <v>890</v>
      </c>
      <c r="E6">
        <v>579.87</v>
      </c>
      <c r="F6">
        <f t="shared" si="0"/>
        <v>310.13</v>
      </c>
      <c r="G6" s="8">
        <f t="shared" si="1"/>
        <v>3560</v>
      </c>
      <c r="H6" s="8">
        <f t="shared" si="2"/>
        <v>2319.48</v>
      </c>
      <c r="I6" s="8">
        <f t="shared" si="3"/>
        <v>1240.52</v>
      </c>
      <c r="J6" t="s">
        <v>80</v>
      </c>
    </row>
    <row r="7" spans="1:10" x14ac:dyDescent="0.25">
      <c r="A7" s="5">
        <v>45884</v>
      </c>
      <c r="B7" t="s">
        <v>46</v>
      </c>
      <c r="C7">
        <v>2</v>
      </c>
      <c r="D7">
        <v>880</v>
      </c>
      <c r="E7">
        <v>579.87</v>
      </c>
      <c r="F7">
        <f t="shared" si="0"/>
        <v>300.13</v>
      </c>
      <c r="G7" s="8">
        <f t="shared" si="1"/>
        <v>1760</v>
      </c>
      <c r="H7" s="8">
        <f t="shared" si="2"/>
        <v>1159.74</v>
      </c>
      <c r="I7" s="8">
        <f t="shared" si="3"/>
        <v>600.26</v>
      </c>
      <c r="J7" t="s">
        <v>80</v>
      </c>
    </row>
    <row r="8" spans="1:10" x14ac:dyDescent="0.25">
      <c r="A8" s="5">
        <v>45884</v>
      </c>
      <c r="B8" t="s">
        <v>58</v>
      </c>
      <c r="C8">
        <v>4</v>
      </c>
      <c r="D8">
        <v>4450</v>
      </c>
      <c r="E8">
        <v>2809</v>
      </c>
      <c r="F8">
        <f t="shared" si="0"/>
        <v>1641</v>
      </c>
      <c r="G8" s="8">
        <f t="shared" si="1"/>
        <v>17800</v>
      </c>
      <c r="H8" s="8">
        <f t="shared" si="2"/>
        <v>11236</v>
      </c>
      <c r="I8" s="8">
        <f t="shared" si="3"/>
        <v>6564</v>
      </c>
      <c r="J8" t="s">
        <v>80</v>
      </c>
    </row>
    <row r="9" spans="1:10" x14ac:dyDescent="0.25">
      <c r="A9" s="5">
        <v>45885</v>
      </c>
      <c r="B9" t="s">
        <v>58</v>
      </c>
      <c r="C9">
        <v>2</v>
      </c>
      <c r="D9">
        <v>4450</v>
      </c>
      <c r="E9">
        <v>2809</v>
      </c>
      <c r="F9">
        <f t="shared" si="0"/>
        <v>1641</v>
      </c>
      <c r="G9" s="8">
        <f t="shared" si="1"/>
        <v>8900</v>
      </c>
      <c r="H9" s="8">
        <f t="shared" si="2"/>
        <v>5618</v>
      </c>
      <c r="I9" s="8">
        <f t="shared" si="3"/>
        <v>3282</v>
      </c>
      <c r="J9" t="s">
        <v>80</v>
      </c>
    </row>
    <row r="10" spans="1:10" x14ac:dyDescent="0.25">
      <c r="A10" s="5">
        <v>45885</v>
      </c>
      <c r="B10" t="s">
        <v>58</v>
      </c>
      <c r="C10">
        <v>3</v>
      </c>
      <c r="D10">
        <v>4450</v>
      </c>
      <c r="E10">
        <v>2809</v>
      </c>
      <c r="F10">
        <f t="shared" si="0"/>
        <v>1641</v>
      </c>
      <c r="G10" s="8">
        <f t="shared" si="1"/>
        <v>13350</v>
      </c>
      <c r="H10" s="8">
        <f t="shared" si="2"/>
        <v>8427</v>
      </c>
      <c r="I10" s="8">
        <f t="shared" si="3"/>
        <v>4923</v>
      </c>
      <c r="J10" t="s">
        <v>80</v>
      </c>
    </row>
    <row r="11" spans="1:10" x14ac:dyDescent="0.25">
      <c r="A11" s="5">
        <v>45887</v>
      </c>
      <c r="B11" t="s">
        <v>58</v>
      </c>
      <c r="C11">
        <v>1</v>
      </c>
      <c r="D11">
        <v>4475</v>
      </c>
      <c r="E11">
        <v>2809</v>
      </c>
      <c r="F11">
        <f t="shared" si="0"/>
        <v>1666</v>
      </c>
      <c r="G11" s="8">
        <f t="shared" si="1"/>
        <v>4475</v>
      </c>
      <c r="H11" s="8">
        <f t="shared" si="2"/>
        <v>2809</v>
      </c>
      <c r="I11" s="8">
        <f t="shared" si="3"/>
        <v>1666</v>
      </c>
      <c r="J11" t="s">
        <v>80</v>
      </c>
    </row>
    <row r="12" spans="1:10" x14ac:dyDescent="0.25">
      <c r="A12" s="5">
        <v>45887</v>
      </c>
      <c r="B12" t="s">
        <v>58</v>
      </c>
      <c r="C12">
        <v>2</v>
      </c>
      <c r="D12">
        <v>4450</v>
      </c>
      <c r="E12">
        <v>2809</v>
      </c>
      <c r="F12">
        <f t="shared" si="0"/>
        <v>1641</v>
      </c>
      <c r="G12" s="8">
        <f t="shared" si="1"/>
        <v>8900</v>
      </c>
      <c r="H12" s="8">
        <f t="shared" si="2"/>
        <v>5618</v>
      </c>
      <c r="I12" s="8">
        <f t="shared" si="3"/>
        <v>3282</v>
      </c>
      <c r="J12" t="s">
        <v>80</v>
      </c>
    </row>
    <row r="13" spans="1:10" x14ac:dyDescent="0.25">
      <c r="A13" s="5">
        <v>45888</v>
      </c>
      <c r="B13" t="s">
        <v>46</v>
      </c>
      <c r="C13">
        <v>5</v>
      </c>
      <c r="D13">
        <v>830</v>
      </c>
      <c r="E13">
        <v>579.87</v>
      </c>
      <c r="F13">
        <f t="shared" si="0"/>
        <v>250.13</v>
      </c>
      <c r="G13" s="8">
        <f t="shared" si="1"/>
        <v>4150</v>
      </c>
      <c r="H13" s="8">
        <f t="shared" si="2"/>
        <v>2899.35</v>
      </c>
      <c r="I13" s="8">
        <f t="shared" si="3"/>
        <v>1250.6500000000001</v>
      </c>
      <c r="J13" t="s">
        <v>80</v>
      </c>
    </row>
    <row r="14" spans="1:10" x14ac:dyDescent="0.25">
      <c r="A14" s="11">
        <v>45888</v>
      </c>
      <c r="B14" s="12" t="s">
        <v>61</v>
      </c>
      <c r="C14" s="12">
        <v>6</v>
      </c>
      <c r="D14" s="12">
        <v>1280</v>
      </c>
      <c r="E14" s="12">
        <v>1637.5</v>
      </c>
      <c r="F14" s="12">
        <f t="shared" si="0"/>
        <v>-357.5</v>
      </c>
      <c r="G14" s="13">
        <f t="shared" si="1"/>
        <v>7680</v>
      </c>
      <c r="H14" s="13">
        <f t="shared" si="2"/>
        <v>9825</v>
      </c>
      <c r="I14" s="13">
        <f t="shared" si="3"/>
        <v>-2145</v>
      </c>
      <c r="J14" s="12" t="s">
        <v>80</v>
      </c>
    </row>
    <row r="15" spans="1:10" x14ac:dyDescent="0.25">
      <c r="A15" s="11">
        <v>45888</v>
      </c>
      <c r="B15" s="12" t="s">
        <v>62</v>
      </c>
      <c r="C15" s="12">
        <v>2</v>
      </c>
      <c r="D15" s="12">
        <v>1280</v>
      </c>
      <c r="E15" s="12">
        <v>1652.21</v>
      </c>
      <c r="F15" s="12">
        <f t="shared" si="0"/>
        <v>-372.21000000000004</v>
      </c>
      <c r="G15" s="13">
        <f t="shared" si="1"/>
        <v>2560</v>
      </c>
      <c r="H15" s="13">
        <f t="shared" si="2"/>
        <v>3304.42</v>
      </c>
      <c r="I15" s="13">
        <f t="shared" si="3"/>
        <v>-744.42000000000007</v>
      </c>
      <c r="J15" s="12" t="s">
        <v>80</v>
      </c>
    </row>
    <row r="18" spans="1:9" x14ac:dyDescent="0.25">
      <c r="H18" s="22">
        <f>SUM(H2:H17)</f>
        <v>119222.92</v>
      </c>
      <c r="I18" s="20">
        <f>SUM(I2:I17)</f>
        <v>56887.08</v>
      </c>
    </row>
    <row r="21" spans="1:9" x14ac:dyDescent="0.25">
      <c r="A21" s="15"/>
      <c r="B21" s="16" t="s">
        <v>97</v>
      </c>
      <c r="C21" s="17" t="s">
        <v>85</v>
      </c>
    </row>
    <row r="22" spans="1:9" x14ac:dyDescent="0.25">
      <c r="B22" t="s">
        <v>95</v>
      </c>
      <c r="C22">
        <v>397</v>
      </c>
    </row>
    <row r="23" spans="1:9" x14ac:dyDescent="0.25">
      <c r="B23" t="s">
        <v>96</v>
      </c>
      <c r="C23">
        <v>3488</v>
      </c>
    </row>
    <row r="24" spans="1:9" x14ac:dyDescent="0.25">
      <c r="B24" t="s">
        <v>122</v>
      </c>
      <c r="C24">
        <v>32700</v>
      </c>
    </row>
    <row r="26" spans="1:9" x14ac:dyDescent="0.25">
      <c r="B26" s="18" t="s">
        <v>90</v>
      </c>
      <c r="C26">
        <f>SUM(C22:C24)</f>
        <v>36585</v>
      </c>
    </row>
    <row r="29" spans="1:9" ht="26.25" x14ac:dyDescent="0.4">
      <c r="B29" s="19" t="s">
        <v>91</v>
      </c>
      <c r="C29" s="20">
        <f>I18-C26</f>
        <v>20302.080000000002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697F-F3F0-4B4F-9C1B-5D70D2B7F5EE}">
  <dimension ref="A1:J55"/>
  <sheetViews>
    <sheetView tabSelected="1" topLeftCell="B24" workbookViewId="0">
      <selection activeCell="F39" sqref="F39"/>
    </sheetView>
  </sheetViews>
  <sheetFormatPr defaultRowHeight="15" x14ac:dyDescent="0.25"/>
  <cols>
    <col min="1" max="1" width="18.28515625" customWidth="1"/>
    <col min="2" max="2" width="50.5703125" customWidth="1"/>
    <col min="3" max="3" width="17.85546875" customWidth="1"/>
    <col min="4" max="4" width="18.140625" customWidth="1"/>
    <col min="5" max="5" width="22.85546875" customWidth="1"/>
    <col min="6" max="7" width="17.7109375" customWidth="1"/>
    <col min="8" max="8" width="18.28515625" customWidth="1"/>
    <col min="9" max="9" width="18" customWidth="1"/>
    <col min="10" max="10" width="18.8554687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5">
        <v>45873</v>
      </c>
      <c r="B2" t="s">
        <v>13</v>
      </c>
      <c r="C2">
        <v>1</v>
      </c>
      <c r="D2">
        <v>3000</v>
      </c>
      <c r="E2">
        <v>2580</v>
      </c>
      <c r="F2">
        <f t="shared" ref="F2:F23" si="0">D2-E2</f>
        <v>420</v>
      </c>
      <c r="G2" s="8">
        <f t="shared" ref="G2:G23" si="1">D2*C2</f>
        <v>3000</v>
      </c>
      <c r="H2" s="8">
        <f t="shared" ref="H2:H23" si="2">E2*C2</f>
        <v>2580</v>
      </c>
      <c r="I2" s="8">
        <f t="shared" ref="I2:I23" si="3">G2-H2</f>
        <v>420</v>
      </c>
      <c r="J2" t="s">
        <v>40</v>
      </c>
    </row>
    <row r="3" spans="1:10" x14ac:dyDescent="0.25">
      <c r="A3" s="5">
        <v>45873</v>
      </c>
      <c r="B3" t="s">
        <v>24</v>
      </c>
      <c r="C3">
        <v>1</v>
      </c>
      <c r="D3">
        <v>3341.77</v>
      </c>
      <c r="E3">
        <v>2700</v>
      </c>
      <c r="F3">
        <f t="shared" si="0"/>
        <v>641.77</v>
      </c>
      <c r="G3" s="8">
        <f t="shared" si="1"/>
        <v>3341.77</v>
      </c>
      <c r="H3" s="8">
        <f t="shared" si="2"/>
        <v>2700</v>
      </c>
      <c r="I3" s="8">
        <f t="shared" si="3"/>
        <v>641.77</v>
      </c>
      <c r="J3" t="s">
        <v>40</v>
      </c>
    </row>
    <row r="4" spans="1:10" x14ac:dyDescent="0.25">
      <c r="A4" s="5">
        <v>45873</v>
      </c>
      <c r="B4" t="s">
        <v>13</v>
      </c>
      <c r="C4">
        <v>2</v>
      </c>
      <c r="D4">
        <v>3000</v>
      </c>
      <c r="E4">
        <v>2580</v>
      </c>
      <c r="F4">
        <f t="shared" si="0"/>
        <v>420</v>
      </c>
      <c r="G4" s="8">
        <f t="shared" si="1"/>
        <v>6000</v>
      </c>
      <c r="H4" s="8">
        <f t="shared" si="2"/>
        <v>5160</v>
      </c>
      <c r="I4" s="8">
        <f t="shared" si="3"/>
        <v>840</v>
      </c>
      <c r="J4" t="s">
        <v>40</v>
      </c>
    </row>
    <row r="5" spans="1:10" x14ac:dyDescent="0.25">
      <c r="A5" s="5">
        <v>45873</v>
      </c>
      <c r="B5" t="s">
        <v>13</v>
      </c>
      <c r="C5">
        <v>1</v>
      </c>
      <c r="D5">
        <v>3000</v>
      </c>
      <c r="E5">
        <v>2580</v>
      </c>
      <c r="F5">
        <f t="shared" si="0"/>
        <v>420</v>
      </c>
      <c r="G5" s="8">
        <f t="shared" si="1"/>
        <v>3000</v>
      </c>
      <c r="H5" s="8">
        <f t="shared" si="2"/>
        <v>2580</v>
      </c>
      <c r="I5" s="8">
        <f t="shared" si="3"/>
        <v>420</v>
      </c>
      <c r="J5" t="s">
        <v>40</v>
      </c>
    </row>
    <row r="6" spans="1:10" x14ac:dyDescent="0.25">
      <c r="A6" s="5">
        <v>45873</v>
      </c>
      <c r="B6" t="s">
        <v>13</v>
      </c>
      <c r="C6">
        <v>1</v>
      </c>
      <c r="D6">
        <v>3000</v>
      </c>
      <c r="E6">
        <v>2580</v>
      </c>
      <c r="F6">
        <f t="shared" si="0"/>
        <v>420</v>
      </c>
      <c r="G6" s="8">
        <f t="shared" si="1"/>
        <v>3000</v>
      </c>
      <c r="H6" s="8">
        <f t="shared" si="2"/>
        <v>2580</v>
      </c>
      <c r="I6" s="8">
        <f t="shared" si="3"/>
        <v>420</v>
      </c>
      <c r="J6" t="s">
        <v>40</v>
      </c>
    </row>
    <row r="7" spans="1:10" x14ac:dyDescent="0.25">
      <c r="A7" s="5">
        <v>45873</v>
      </c>
      <c r="B7" t="s">
        <v>13</v>
      </c>
      <c r="C7">
        <v>2</v>
      </c>
      <c r="D7">
        <v>3000</v>
      </c>
      <c r="E7">
        <v>2580</v>
      </c>
      <c r="F7">
        <f t="shared" si="0"/>
        <v>420</v>
      </c>
      <c r="G7" s="8">
        <f t="shared" si="1"/>
        <v>6000</v>
      </c>
      <c r="H7" s="8">
        <f t="shared" si="2"/>
        <v>5160</v>
      </c>
      <c r="I7" s="8">
        <f t="shared" si="3"/>
        <v>840</v>
      </c>
      <c r="J7" t="s">
        <v>40</v>
      </c>
    </row>
    <row r="8" spans="1:10" x14ac:dyDescent="0.25">
      <c r="A8" s="5">
        <v>45874</v>
      </c>
      <c r="B8" t="s">
        <v>13</v>
      </c>
      <c r="C8">
        <v>1</v>
      </c>
      <c r="D8">
        <v>2944.09</v>
      </c>
      <c r="E8">
        <v>2580</v>
      </c>
      <c r="F8">
        <f t="shared" si="0"/>
        <v>364.09000000000015</v>
      </c>
      <c r="G8" s="8">
        <f t="shared" si="1"/>
        <v>2944.09</v>
      </c>
      <c r="H8" s="8">
        <f t="shared" si="2"/>
        <v>2580</v>
      </c>
      <c r="I8" s="8">
        <f t="shared" si="3"/>
        <v>364.09000000000015</v>
      </c>
      <c r="J8" t="s">
        <v>40</v>
      </c>
    </row>
    <row r="9" spans="1:10" x14ac:dyDescent="0.25">
      <c r="A9" s="5">
        <v>45876</v>
      </c>
      <c r="B9" t="s">
        <v>13</v>
      </c>
      <c r="C9">
        <v>1</v>
      </c>
      <c r="D9">
        <v>2968.94</v>
      </c>
      <c r="E9">
        <v>2580</v>
      </c>
      <c r="F9">
        <f t="shared" si="0"/>
        <v>388.94000000000005</v>
      </c>
      <c r="G9" s="8">
        <f t="shared" si="1"/>
        <v>2968.94</v>
      </c>
      <c r="H9" s="8">
        <f t="shared" si="2"/>
        <v>2580</v>
      </c>
      <c r="I9" s="8">
        <f t="shared" si="3"/>
        <v>388.94000000000005</v>
      </c>
      <c r="J9" t="s">
        <v>40</v>
      </c>
    </row>
    <row r="10" spans="1:10" x14ac:dyDescent="0.25">
      <c r="A10" s="5">
        <v>45880</v>
      </c>
      <c r="B10" t="s">
        <v>13</v>
      </c>
      <c r="C10">
        <v>1</v>
      </c>
      <c r="D10">
        <v>2956.52</v>
      </c>
      <c r="E10">
        <v>2580</v>
      </c>
      <c r="F10">
        <f t="shared" si="0"/>
        <v>376.52</v>
      </c>
      <c r="G10" s="8">
        <f t="shared" si="1"/>
        <v>2956.52</v>
      </c>
      <c r="H10" s="8">
        <f t="shared" si="2"/>
        <v>2580</v>
      </c>
      <c r="I10" s="8">
        <f t="shared" si="3"/>
        <v>376.52</v>
      </c>
      <c r="J10" t="s">
        <v>40</v>
      </c>
    </row>
    <row r="11" spans="1:10" x14ac:dyDescent="0.25">
      <c r="A11" s="5">
        <v>45881</v>
      </c>
      <c r="B11" t="s">
        <v>37</v>
      </c>
      <c r="C11">
        <v>1</v>
      </c>
      <c r="D11">
        <v>2136.64</v>
      </c>
      <c r="E11">
        <v>1680</v>
      </c>
      <c r="F11">
        <f t="shared" si="0"/>
        <v>456.63999999999987</v>
      </c>
      <c r="G11" s="8">
        <f t="shared" si="1"/>
        <v>2136.64</v>
      </c>
      <c r="H11" s="8">
        <f t="shared" si="2"/>
        <v>1680</v>
      </c>
      <c r="I11" s="8">
        <f t="shared" si="3"/>
        <v>456.63999999999987</v>
      </c>
      <c r="J11" t="s">
        <v>40</v>
      </c>
    </row>
    <row r="12" spans="1:10" x14ac:dyDescent="0.25">
      <c r="A12" s="5">
        <v>45881</v>
      </c>
      <c r="B12" t="s">
        <v>13</v>
      </c>
      <c r="C12">
        <v>1</v>
      </c>
      <c r="D12">
        <v>2956.52</v>
      </c>
      <c r="E12">
        <v>2580</v>
      </c>
      <c r="F12">
        <f t="shared" si="0"/>
        <v>376.52</v>
      </c>
      <c r="G12" s="8">
        <f t="shared" si="1"/>
        <v>2956.52</v>
      </c>
      <c r="H12" s="8">
        <f t="shared" si="2"/>
        <v>2580</v>
      </c>
      <c r="I12" s="8">
        <f t="shared" si="3"/>
        <v>376.52</v>
      </c>
      <c r="J12" t="s">
        <v>40</v>
      </c>
    </row>
    <row r="13" spans="1:10" x14ac:dyDescent="0.25">
      <c r="A13" s="5">
        <v>45882</v>
      </c>
      <c r="B13" t="s">
        <v>13</v>
      </c>
      <c r="C13">
        <v>1</v>
      </c>
      <c r="D13">
        <v>2708.07</v>
      </c>
      <c r="E13">
        <v>2400</v>
      </c>
      <c r="F13">
        <f t="shared" si="0"/>
        <v>308.07000000000016</v>
      </c>
      <c r="G13" s="8">
        <f t="shared" si="1"/>
        <v>2708.07</v>
      </c>
      <c r="H13" s="8">
        <f t="shared" si="2"/>
        <v>2400</v>
      </c>
      <c r="I13" s="8">
        <f t="shared" si="3"/>
        <v>308.07000000000016</v>
      </c>
      <c r="J13" t="s">
        <v>40</v>
      </c>
    </row>
    <row r="14" spans="1:10" x14ac:dyDescent="0.25">
      <c r="A14" s="5">
        <v>45882</v>
      </c>
      <c r="B14" t="s">
        <v>13</v>
      </c>
      <c r="C14">
        <v>1</v>
      </c>
      <c r="D14">
        <v>2962.73</v>
      </c>
      <c r="E14">
        <v>2580</v>
      </c>
      <c r="F14">
        <f t="shared" si="0"/>
        <v>382.73</v>
      </c>
      <c r="G14" s="8">
        <f t="shared" si="1"/>
        <v>2962.73</v>
      </c>
      <c r="H14" s="8">
        <f t="shared" si="2"/>
        <v>2580</v>
      </c>
      <c r="I14" s="8">
        <f t="shared" si="3"/>
        <v>382.73</v>
      </c>
      <c r="J14" t="s">
        <v>40</v>
      </c>
    </row>
    <row r="15" spans="1:10" x14ac:dyDescent="0.25">
      <c r="A15" s="5">
        <v>45887</v>
      </c>
      <c r="B15" t="s">
        <v>24</v>
      </c>
      <c r="C15">
        <v>1</v>
      </c>
      <c r="D15">
        <v>3267.08</v>
      </c>
      <c r="E15">
        <v>2700</v>
      </c>
      <c r="F15">
        <f t="shared" si="0"/>
        <v>567.07999999999993</v>
      </c>
      <c r="G15" s="8">
        <f t="shared" si="1"/>
        <v>3267.08</v>
      </c>
      <c r="H15" s="8">
        <f t="shared" si="2"/>
        <v>2700</v>
      </c>
      <c r="I15" s="8">
        <f t="shared" si="3"/>
        <v>567.07999999999993</v>
      </c>
      <c r="J15" t="s">
        <v>40</v>
      </c>
    </row>
    <row r="16" spans="1:10" x14ac:dyDescent="0.25">
      <c r="A16" s="5">
        <v>45887</v>
      </c>
      <c r="B16" t="s">
        <v>24</v>
      </c>
      <c r="C16">
        <v>1</v>
      </c>
      <c r="D16">
        <v>3279.5</v>
      </c>
      <c r="E16">
        <v>2700</v>
      </c>
      <c r="F16">
        <f t="shared" si="0"/>
        <v>579.5</v>
      </c>
      <c r="G16" s="8">
        <f t="shared" si="1"/>
        <v>3279.5</v>
      </c>
      <c r="H16" s="8">
        <f t="shared" si="2"/>
        <v>2700</v>
      </c>
      <c r="I16" s="8">
        <f t="shared" si="3"/>
        <v>579.5</v>
      </c>
      <c r="J16" t="s">
        <v>40</v>
      </c>
    </row>
    <row r="17" spans="1:10" x14ac:dyDescent="0.25">
      <c r="A17" s="5">
        <v>45887</v>
      </c>
      <c r="B17" t="s">
        <v>13</v>
      </c>
      <c r="C17">
        <v>1</v>
      </c>
      <c r="D17">
        <v>2906.83</v>
      </c>
      <c r="E17">
        <v>2580</v>
      </c>
      <c r="F17">
        <f t="shared" si="0"/>
        <v>326.82999999999993</v>
      </c>
      <c r="G17" s="8">
        <f t="shared" si="1"/>
        <v>2906.83</v>
      </c>
      <c r="H17" s="8">
        <f t="shared" si="2"/>
        <v>2580</v>
      </c>
      <c r="I17" s="8">
        <f t="shared" si="3"/>
        <v>326.82999999999993</v>
      </c>
      <c r="J17" t="s">
        <v>40</v>
      </c>
    </row>
    <row r="18" spans="1:10" x14ac:dyDescent="0.25">
      <c r="A18" s="5">
        <v>45892</v>
      </c>
      <c r="B18" t="s">
        <v>24</v>
      </c>
      <c r="C18">
        <v>1</v>
      </c>
      <c r="D18">
        <v>3167.7</v>
      </c>
      <c r="E18">
        <v>2700</v>
      </c>
      <c r="F18">
        <f t="shared" si="0"/>
        <v>467.69999999999982</v>
      </c>
      <c r="G18" s="8">
        <f t="shared" si="1"/>
        <v>3167.7</v>
      </c>
      <c r="H18" s="8">
        <f t="shared" si="2"/>
        <v>2700</v>
      </c>
      <c r="I18" s="8">
        <f t="shared" si="3"/>
        <v>467.69999999999982</v>
      </c>
      <c r="J18" t="s">
        <v>40</v>
      </c>
    </row>
    <row r="19" spans="1:10" x14ac:dyDescent="0.25">
      <c r="A19" s="5">
        <v>45892</v>
      </c>
      <c r="B19" t="s">
        <v>13</v>
      </c>
      <c r="C19">
        <v>5</v>
      </c>
      <c r="D19">
        <v>2950.31</v>
      </c>
      <c r="E19">
        <v>2580</v>
      </c>
      <c r="F19">
        <f t="shared" si="0"/>
        <v>370.30999999999995</v>
      </c>
      <c r="G19" s="8">
        <f t="shared" si="1"/>
        <v>14751.55</v>
      </c>
      <c r="H19" s="8">
        <f t="shared" si="2"/>
        <v>12900</v>
      </c>
      <c r="I19" s="8">
        <f t="shared" si="3"/>
        <v>1851.5499999999993</v>
      </c>
      <c r="J19" t="s">
        <v>40</v>
      </c>
    </row>
    <row r="20" spans="1:10" x14ac:dyDescent="0.25">
      <c r="A20" s="5">
        <v>45895</v>
      </c>
      <c r="B20" t="s">
        <v>13</v>
      </c>
      <c r="C20">
        <v>1</v>
      </c>
      <c r="D20">
        <v>2633.54</v>
      </c>
      <c r="E20">
        <v>2400</v>
      </c>
      <c r="F20">
        <f t="shared" si="0"/>
        <v>233.53999999999996</v>
      </c>
      <c r="G20" s="8">
        <f t="shared" si="1"/>
        <v>2633.54</v>
      </c>
      <c r="H20" s="8">
        <f t="shared" si="2"/>
        <v>2400</v>
      </c>
      <c r="I20" s="8">
        <f t="shared" si="3"/>
        <v>233.53999999999996</v>
      </c>
      <c r="J20" t="s">
        <v>40</v>
      </c>
    </row>
    <row r="21" spans="1:10" x14ac:dyDescent="0.25">
      <c r="A21" s="5">
        <v>45895</v>
      </c>
      <c r="B21" t="s">
        <v>26</v>
      </c>
      <c r="C21">
        <v>1</v>
      </c>
      <c r="D21">
        <v>2360.2399999999998</v>
      </c>
      <c r="E21">
        <v>2347.8200000000002</v>
      </c>
      <c r="F21">
        <f t="shared" si="0"/>
        <v>12.419999999999618</v>
      </c>
      <c r="G21" s="8">
        <f t="shared" si="1"/>
        <v>2360.2399999999998</v>
      </c>
      <c r="H21" s="8">
        <f t="shared" si="2"/>
        <v>2347.8200000000002</v>
      </c>
      <c r="I21" s="8">
        <f t="shared" si="3"/>
        <v>12.419999999999618</v>
      </c>
      <c r="J21" t="s">
        <v>40</v>
      </c>
    </row>
    <row r="22" spans="1:10" x14ac:dyDescent="0.25">
      <c r="A22" s="5">
        <v>45899</v>
      </c>
      <c r="B22" t="s">
        <v>13</v>
      </c>
      <c r="C22">
        <v>1</v>
      </c>
      <c r="D22">
        <v>2930.81</v>
      </c>
      <c r="E22">
        <v>2580</v>
      </c>
      <c r="F22">
        <f t="shared" si="0"/>
        <v>350.80999999999995</v>
      </c>
      <c r="G22" s="8">
        <f t="shared" si="1"/>
        <v>2930.81</v>
      </c>
      <c r="H22" s="8">
        <f t="shared" si="2"/>
        <v>2580</v>
      </c>
      <c r="I22" s="8">
        <f t="shared" si="3"/>
        <v>350.80999999999995</v>
      </c>
      <c r="J22" t="s">
        <v>40</v>
      </c>
    </row>
    <row r="23" spans="1:10" x14ac:dyDescent="0.25">
      <c r="A23" s="5">
        <v>45899</v>
      </c>
      <c r="B23" t="s">
        <v>24</v>
      </c>
      <c r="C23">
        <v>1</v>
      </c>
      <c r="D23">
        <v>3044.02</v>
      </c>
      <c r="E23">
        <v>2600</v>
      </c>
      <c r="F23">
        <f t="shared" si="0"/>
        <v>444.02</v>
      </c>
      <c r="G23" s="8">
        <f t="shared" si="1"/>
        <v>3044.02</v>
      </c>
      <c r="H23" s="8">
        <f t="shared" si="2"/>
        <v>2600</v>
      </c>
      <c r="I23" s="8">
        <f t="shared" si="3"/>
        <v>444.02</v>
      </c>
      <c r="J23" t="s">
        <v>40</v>
      </c>
    </row>
    <row r="25" spans="1:10" x14ac:dyDescent="0.25">
      <c r="H25" s="22">
        <f>SUM(H2:H24)</f>
        <v>71247.820000000007</v>
      </c>
      <c r="I25" s="20">
        <f>SUM(I2:I24)</f>
        <v>11068.73</v>
      </c>
    </row>
    <row r="28" spans="1:10" x14ac:dyDescent="0.25">
      <c r="A28" s="15"/>
      <c r="B28" s="16" t="s">
        <v>118</v>
      </c>
      <c r="C28" s="17" t="s">
        <v>85</v>
      </c>
    </row>
    <row r="30" spans="1:10" x14ac:dyDescent="0.25">
      <c r="B30" t="s">
        <v>98</v>
      </c>
      <c r="C30">
        <v>127</v>
      </c>
    </row>
    <row r="31" spans="1:10" x14ac:dyDescent="0.25">
      <c r="B31" t="s">
        <v>99</v>
      </c>
      <c r="C31">
        <v>6</v>
      </c>
    </row>
    <row r="32" spans="1:10" x14ac:dyDescent="0.25">
      <c r="B32" t="s">
        <v>100</v>
      </c>
      <c r="C32">
        <v>584</v>
      </c>
    </row>
    <row r="33" spans="2:3" x14ac:dyDescent="0.25">
      <c r="B33" t="s">
        <v>101</v>
      </c>
      <c r="C33">
        <v>621</v>
      </c>
    </row>
    <row r="34" spans="2:3" x14ac:dyDescent="0.25">
      <c r="B34" t="s">
        <v>102</v>
      </c>
      <c r="C34">
        <v>621</v>
      </c>
    </row>
    <row r="35" spans="2:3" x14ac:dyDescent="0.25">
      <c r="B35" t="s">
        <v>103</v>
      </c>
      <c r="C35">
        <v>360</v>
      </c>
    </row>
    <row r="36" spans="2:3" x14ac:dyDescent="0.25">
      <c r="B36" t="s">
        <v>117</v>
      </c>
      <c r="C36">
        <v>372.67</v>
      </c>
    </row>
    <row r="37" spans="2:3" x14ac:dyDescent="0.25">
      <c r="B37" t="s">
        <v>104</v>
      </c>
      <c r="C37">
        <v>261</v>
      </c>
    </row>
    <row r="38" spans="2:3" x14ac:dyDescent="0.25">
      <c r="B38" t="s">
        <v>105</v>
      </c>
      <c r="C38">
        <v>31</v>
      </c>
    </row>
    <row r="39" spans="2:3" x14ac:dyDescent="0.25">
      <c r="B39" t="s">
        <v>106</v>
      </c>
      <c r="C39">
        <v>1466</v>
      </c>
    </row>
    <row r="40" spans="2:3" x14ac:dyDescent="0.25">
      <c r="B40" t="s">
        <v>107</v>
      </c>
      <c r="C40">
        <v>118</v>
      </c>
    </row>
    <row r="41" spans="2:3" x14ac:dyDescent="0.25">
      <c r="B41" t="s">
        <v>108</v>
      </c>
      <c r="C41">
        <v>696</v>
      </c>
    </row>
    <row r="42" spans="2:3" x14ac:dyDescent="0.25">
      <c r="B42" t="s">
        <v>109</v>
      </c>
      <c r="C42">
        <v>9</v>
      </c>
    </row>
    <row r="43" spans="2:3" x14ac:dyDescent="0.25">
      <c r="B43" t="s">
        <v>110</v>
      </c>
      <c r="C43">
        <v>522</v>
      </c>
    </row>
    <row r="44" spans="2:3" x14ac:dyDescent="0.25">
      <c r="B44" t="s">
        <v>111</v>
      </c>
      <c r="C44">
        <v>4</v>
      </c>
    </row>
    <row r="45" spans="2:3" x14ac:dyDescent="0.25">
      <c r="B45" t="s">
        <v>112</v>
      </c>
      <c r="C45">
        <v>19</v>
      </c>
    </row>
    <row r="46" spans="2:3" x14ac:dyDescent="0.25">
      <c r="B46" t="s">
        <v>113</v>
      </c>
      <c r="C46">
        <v>5</v>
      </c>
    </row>
    <row r="47" spans="2:3" x14ac:dyDescent="0.25">
      <c r="B47" t="s">
        <v>114</v>
      </c>
      <c r="C47">
        <v>7</v>
      </c>
    </row>
    <row r="48" spans="2:3" x14ac:dyDescent="0.25">
      <c r="B48" t="s">
        <v>115</v>
      </c>
      <c r="C48">
        <v>31</v>
      </c>
    </row>
    <row r="49" spans="2:3" x14ac:dyDescent="0.25">
      <c r="B49" t="s">
        <v>116</v>
      </c>
      <c r="C49">
        <v>1553</v>
      </c>
    </row>
    <row r="52" spans="2:3" x14ac:dyDescent="0.25">
      <c r="B52" s="18" t="s">
        <v>90</v>
      </c>
      <c r="C52">
        <f>SUM(C30:C51)</f>
        <v>7413.67</v>
      </c>
    </row>
    <row r="55" spans="2:3" ht="26.25" x14ac:dyDescent="0.4">
      <c r="B55" s="19" t="s">
        <v>91</v>
      </c>
      <c r="C55" s="20">
        <f>I25-C52</f>
        <v>3655.0599999999995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372B-4523-48E7-B1E6-4B24CBA5E892}">
  <dimension ref="A1:J19"/>
  <sheetViews>
    <sheetView topLeftCell="A10" workbookViewId="0">
      <selection activeCell="E22" sqref="E22"/>
    </sheetView>
  </sheetViews>
  <sheetFormatPr defaultRowHeight="15" x14ac:dyDescent="0.25"/>
  <cols>
    <col min="1" max="1" width="18" customWidth="1"/>
    <col min="2" max="2" width="30.7109375" customWidth="1"/>
    <col min="3" max="4" width="18.5703125" customWidth="1"/>
    <col min="5" max="5" width="18.7109375" customWidth="1"/>
    <col min="6" max="6" width="18.5703125" customWidth="1"/>
    <col min="7" max="7" width="17.7109375" customWidth="1"/>
    <col min="8" max="8" width="18.7109375" customWidth="1"/>
    <col min="9" max="10" width="17.8554687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1">
        <v>45876</v>
      </c>
      <c r="B2" s="12" t="s">
        <v>46</v>
      </c>
      <c r="C2" s="12">
        <v>3</v>
      </c>
      <c r="D2" s="12">
        <v>1025</v>
      </c>
      <c r="E2" s="12">
        <v>1085</v>
      </c>
      <c r="F2" s="12">
        <f>D2-E2</f>
        <v>-60</v>
      </c>
      <c r="G2" s="13">
        <f>D2*C2</f>
        <v>3075</v>
      </c>
      <c r="H2" s="13">
        <f>E2*C2</f>
        <v>3255</v>
      </c>
      <c r="I2" s="13">
        <f>G2-H2</f>
        <v>-180</v>
      </c>
      <c r="J2" s="12" t="s">
        <v>81</v>
      </c>
    </row>
    <row r="3" spans="1:10" x14ac:dyDescent="0.25">
      <c r="A3" s="11">
        <v>45880</v>
      </c>
      <c r="B3" s="12" t="s">
        <v>46</v>
      </c>
      <c r="C3" s="12">
        <v>6</v>
      </c>
      <c r="D3" s="12">
        <v>900</v>
      </c>
      <c r="E3" s="12">
        <v>1085</v>
      </c>
      <c r="F3" s="12">
        <f>D3-E3</f>
        <v>-185</v>
      </c>
      <c r="G3" s="13">
        <f>D3*C3</f>
        <v>5400</v>
      </c>
      <c r="H3" s="13">
        <f>E3*C3</f>
        <v>6510</v>
      </c>
      <c r="I3" s="13">
        <f>G3-H3</f>
        <v>-1110</v>
      </c>
      <c r="J3" s="12" t="s">
        <v>81</v>
      </c>
    </row>
    <row r="4" spans="1:10" x14ac:dyDescent="0.25">
      <c r="A4" s="5">
        <v>45882</v>
      </c>
      <c r="B4" t="s">
        <v>53</v>
      </c>
      <c r="C4">
        <v>70</v>
      </c>
      <c r="D4">
        <v>850</v>
      </c>
      <c r="E4">
        <v>840</v>
      </c>
      <c r="F4">
        <f>D4-E4</f>
        <v>10</v>
      </c>
      <c r="G4" s="8">
        <f>D4*C4</f>
        <v>59500</v>
      </c>
      <c r="H4" s="8">
        <f>E4*C4</f>
        <v>58800</v>
      </c>
      <c r="I4" s="8">
        <f>G4-H4</f>
        <v>700</v>
      </c>
      <c r="J4" t="s">
        <v>81</v>
      </c>
    </row>
    <row r="5" spans="1:10" x14ac:dyDescent="0.25">
      <c r="A5" s="5">
        <v>45897</v>
      </c>
      <c r="B5" t="s">
        <v>70</v>
      </c>
      <c r="C5">
        <v>55</v>
      </c>
      <c r="D5">
        <v>12</v>
      </c>
      <c r="E5">
        <v>7</v>
      </c>
      <c r="F5">
        <f>D5-E5</f>
        <v>5</v>
      </c>
      <c r="G5" s="8">
        <f>D5*C5</f>
        <v>660</v>
      </c>
      <c r="H5" s="8">
        <f>E5*C5</f>
        <v>385</v>
      </c>
      <c r="I5" s="8">
        <f>G5-H5</f>
        <v>275</v>
      </c>
      <c r="J5" t="s">
        <v>81</v>
      </c>
    </row>
    <row r="6" spans="1:10" x14ac:dyDescent="0.25">
      <c r="A6" s="5">
        <v>45898</v>
      </c>
      <c r="B6" t="s">
        <v>31</v>
      </c>
      <c r="C6">
        <v>1</v>
      </c>
      <c r="D6">
        <v>2430</v>
      </c>
      <c r="E6">
        <v>2300</v>
      </c>
      <c r="F6">
        <f>D6-E6</f>
        <v>130</v>
      </c>
      <c r="G6" s="8">
        <f>D6*C6</f>
        <v>2430</v>
      </c>
      <c r="H6" s="8">
        <f>E6*C6</f>
        <v>2300</v>
      </c>
      <c r="I6" s="8">
        <f>G6-H6</f>
        <v>130</v>
      </c>
      <c r="J6" t="s">
        <v>81</v>
      </c>
    </row>
    <row r="8" spans="1:10" x14ac:dyDescent="0.25">
      <c r="I8" s="20">
        <f>SUM(I2:I7)</f>
        <v>-185</v>
      </c>
    </row>
    <row r="11" spans="1:10" x14ac:dyDescent="0.25">
      <c r="A11" s="15"/>
      <c r="B11" s="16" t="s">
        <v>81</v>
      </c>
      <c r="C11" s="17" t="s">
        <v>85</v>
      </c>
    </row>
    <row r="12" spans="1:10" x14ac:dyDescent="0.25">
      <c r="B12" t="s">
        <v>119</v>
      </c>
      <c r="C12">
        <v>4377</v>
      </c>
    </row>
    <row r="13" spans="1:10" x14ac:dyDescent="0.25">
      <c r="B13" t="s">
        <v>120</v>
      </c>
      <c r="C13">
        <v>15000</v>
      </c>
    </row>
    <row r="14" spans="1:10" x14ac:dyDescent="0.25">
      <c r="B14" t="s">
        <v>121</v>
      </c>
      <c r="C14">
        <v>1575</v>
      </c>
    </row>
    <row r="16" spans="1:10" x14ac:dyDescent="0.25">
      <c r="B16" s="18" t="s">
        <v>90</v>
      </c>
      <c r="C16">
        <f>SUM(C12:C15)</f>
        <v>20952</v>
      </c>
    </row>
    <row r="19" spans="2:3" ht="26.25" x14ac:dyDescent="0.4">
      <c r="B19" s="19" t="s">
        <v>91</v>
      </c>
      <c r="C19" s="20">
        <f>I8-C16</f>
        <v>-21137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USA</vt:lpstr>
      <vt:lpstr>Australia</vt:lpstr>
      <vt:lpstr>Newzealand</vt:lpstr>
      <vt:lpstr>Karachi</vt:lpstr>
      <vt:lpstr>Dubai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Swiss Tech</cp:lastModifiedBy>
  <dcterms:created xsi:type="dcterms:W3CDTF">2025-08-23T13:34:24Z</dcterms:created>
  <dcterms:modified xsi:type="dcterms:W3CDTF">2026-05-09T15:38:44Z</dcterms:modified>
</cp:coreProperties>
</file>