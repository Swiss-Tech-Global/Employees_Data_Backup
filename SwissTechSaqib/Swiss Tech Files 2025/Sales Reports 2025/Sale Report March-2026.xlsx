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66855DC0-BC97-4836-B1C0-C599E987636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ale_wise_Profit" sheetId="1" r:id="rId1"/>
    <sheet name="Australia" sheetId="3" r:id="rId2"/>
    <sheet name="Usa" sheetId="2" r:id="rId3"/>
    <sheet name="Karachi" sheetId="6" r:id="rId4"/>
    <sheet name="Newzealand" sheetId="4" r:id="rId5"/>
    <sheet name="Dubai" sheetId="5" r:id="rId6"/>
  </sheets>
  <definedNames>
    <definedName name="_xlnm._FilterDatabase" localSheetId="0" hidden="1">Sale_wise_Profit!$A$4:$I$923</definedName>
    <definedName name="_xlnm._FilterDatabase" localSheetId="2" hidden="1">Usa!$A$1:$I$340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3" i="3" l="1"/>
  <c r="F313" i="3"/>
  <c r="D317" i="3" l="1"/>
  <c r="C25" i="5"/>
  <c r="C23" i="5"/>
  <c r="C78" i="6"/>
  <c r="C76" i="6"/>
  <c r="D350" i="2"/>
  <c r="C305" i="3"/>
  <c r="C303" i="3"/>
  <c r="D346" i="2"/>
  <c r="D347" i="2"/>
  <c r="D348" i="2"/>
  <c r="D345" i="2"/>
  <c r="H70" i="6"/>
  <c r="E70" i="6"/>
  <c r="F70" i="6"/>
  <c r="G70" i="6"/>
  <c r="H35" i="2"/>
  <c r="H246" i="2"/>
  <c r="H247" i="2"/>
  <c r="H248" i="2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2" i="6"/>
  <c r="H12" i="5"/>
  <c r="E12" i="5"/>
  <c r="F12" i="5"/>
  <c r="G12" i="5"/>
  <c r="J212" i="4"/>
  <c r="E212" i="4"/>
  <c r="F212" i="4"/>
  <c r="G212" i="4"/>
  <c r="H212" i="4"/>
  <c r="I212" i="4"/>
  <c r="E291" i="3"/>
  <c r="F291" i="3"/>
  <c r="G3" i="3"/>
  <c r="H3" i="3" s="1"/>
  <c r="G4" i="3"/>
  <c r="H4" i="3" s="1"/>
  <c r="G5" i="3"/>
  <c r="H5" i="3" s="1"/>
  <c r="J5" i="3" s="1"/>
  <c r="G6" i="3"/>
  <c r="H6" i="3" s="1"/>
  <c r="J6" i="3" s="1"/>
  <c r="G7" i="3"/>
  <c r="H7" i="3" s="1"/>
  <c r="I7" i="3" s="1"/>
  <c r="G8" i="3"/>
  <c r="H8" i="3" s="1"/>
  <c r="I8" i="3" s="1"/>
  <c r="G9" i="3"/>
  <c r="H9" i="3" s="1"/>
  <c r="I9" i="3" s="1"/>
  <c r="G10" i="3"/>
  <c r="H10" i="3" s="1"/>
  <c r="G11" i="3"/>
  <c r="H11" i="3" s="1"/>
  <c r="J11" i="3" s="1"/>
  <c r="G12" i="3"/>
  <c r="H12" i="3" s="1"/>
  <c r="J12" i="3" s="1"/>
  <c r="G13" i="3"/>
  <c r="H13" i="3" s="1"/>
  <c r="J13" i="3" s="1"/>
  <c r="G14" i="3"/>
  <c r="H14" i="3" s="1"/>
  <c r="G15" i="3"/>
  <c r="H15" i="3" s="1"/>
  <c r="G16" i="3"/>
  <c r="H16" i="3" s="1"/>
  <c r="I16" i="3" s="1"/>
  <c r="G17" i="3"/>
  <c r="H17" i="3" s="1"/>
  <c r="I17" i="3" s="1"/>
  <c r="G18" i="3"/>
  <c r="H18" i="3" s="1"/>
  <c r="G19" i="3"/>
  <c r="H19" i="3" s="1"/>
  <c r="J19" i="3" s="1"/>
  <c r="G20" i="3"/>
  <c r="H20" i="3" s="1"/>
  <c r="G21" i="3"/>
  <c r="H21" i="3" s="1"/>
  <c r="I21" i="3" s="1"/>
  <c r="G22" i="3"/>
  <c r="H22" i="3" s="1"/>
  <c r="I22" i="3" s="1"/>
  <c r="G23" i="3"/>
  <c r="H23" i="3" s="1"/>
  <c r="G24" i="3"/>
  <c r="H24" i="3" s="1"/>
  <c r="G25" i="3"/>
  <c r="H25" i="3" s="1"/>
  <c r="G26" i="3"/>
  <c r="H26" i="3" s="1"/>
  <c r="J26" i="3" s="1"/>
  <c r="G27" i="3"/>
  <c r="H27" i="3" s="1"/>
  <c r="J27" i="3" s="1"/>
  <c r="G28" i="3"/>
  <c r="H28" i="3" s="1"/>
  <c r="G29" i="3"/>
  <c r="H29" i="3" s="1"/>
  <c r="G30" i="3"/>
  <c r="H30" i="3" s="1"/>
  <c r="I30" i="3" s="1"/>
  <c r="G31" i="3"/>
  <c r="H31" i="3" s="1"/>
  <c r="G32" i="3"/>
  <c r="H32" i="3" s="1"/>
  <c r="J32" i="3" s="1"/>
  <c r="G33" i="3"/>
  <c r="H33" i="3" s="1"/>
  <c r="G34" i="3"/>
  <c r="H34" i="3" s="1"/>
  <c r="G35" i="3"/>
  <c r="H35" i="3" s="1"/>
  <c r="J35" i="3" s="1"/>
  <c r="G36" i="3"/>
  <c r="H36" i="3" s="1"/>
  <c r="G37" i="3"/>
  <c r="H37" i="3" s="1"/>
  <c r="I37" i="3" s="1"/>
  <c r="G38" i="3"/>
  <c r="H38" i="3" s="1"/>
  <c r="G39" i="3"/>
  <c r="H39" i="3" s="1"/>
  <c r="G40" i="3"/>
  <c r="H40" i="3" s="1"/>
  <c r="G41" i="3"/>
  <c r="H41" i="3" s="1"/>
  <c r="G42" i="3"/>
  <c r="H42" i="3" s="1"/>
  <c r="J42" i="3" s="1"/>
  <c r="G43" i="3"/>
  <c r="H43" i="3" s="1"/>
  <c r="J43" i="3" s="1"/>
  <c r="G44" i="3"/>
  <c r="H44" i="3" s="1"/>
  <c r="G45" i="3"/>
  <c r="H45" i="3" s="1"/>
  <c r="G46" i="3"/>
  <c r="H46" i="3" s="1"/>
  <c r="G47" i="3"/>
  <c r="H47" i="3" s="1"/>
  <c r="G48" i="3"/>
  <c r="H48" i="3" s="1"/>
  <c r="J48" i="3" s="1"/>
  <c r="G49" i="3"/>
  <c r="H49" i="3" s="1"/>
  <c r="G50" i="3"/>
  <c r="H50" i="3" s="1"/>
  <c r="J50" i="3" s="1"/>
  <c r="G51" i="3"/>
  <c r="H51" i="3" s="1"/>
  <c r="I51" i="3" s="1"/>
  <c r="G52" i="3"/>
  <c r="H52" i="3" s="1"/>
  <c r="G53" i="3"/>
  <c r="H53" i="3" s="1"/>
  <c r="I53" i="3" s="1"/>
  <c r="G54" i="3"/>
  <c r="H54" i="3" s="1"/>
  <c r="J54" i="3" s="1"/>
  <c r="G55" i="3"/>
  <c r="H55" i="3" s="1"/>
  <c r="G56" i="3"/>
  <c r="H56" i="3" s="1"/>
  <c r="I56" i="3" s="1"/>
  <c r="G57" i="3"/>
  <c r="H57" i="3" s="1"/>
  <c r="G58" i="3"/>
  <c r="H58" i="3" s="1"/>
  <c r="G59" i="3"/>
  <c r="H59" i="3" s="1"/>
  <c r="J59" i="3" s="1"/>
  <c r="G60" i="3"/>
  <c r="H60" i="3" s="1"/>
  <c r="J60" i="3" s="1"/>
  <c r="G61" i="3"/>
  <c r="H61" i="3" s="1"/>
  <c r="G62" i="3"/>
  <c r="H62" i="3" s="1"/>
  <c r="G63" i="3"/>
  <c r="H63" i="3" s="1"/>
  <c r="I63" i="3" s="1"/>
  <c r="G64" i="3"/>
  <c r="H64" i="3" s="1"/>
  <c r="G65" i="3"/>
  <c r="H65" i="3" s="1"/>
  <c r="G66" i="3"/>
  <c r="H66" i="3" s="1"/>
  <c r="J66" i="3" s="1"/>
  <c r="G67" i="3"/>
  <c r="H67" i="3" s="1"/>
  <c r="J67" i="3" s="1"/>
  <c r="G68" i="3"/>
  <c r="H68" i="3" s="1"/>
  <c r="G69" i="3"/>
  <c r="H69" i="3" s="1"/>
  <c r="G70" i="3"/>
  <c r="H70" i="3" s="1"/>
  <c r="G71" i="3"/>
  <c r="H71" i="3" s="1"/>
  <c r="I71" i="3" s="1"/>
  <c r="G72" i="3"/>
  <c r="H72" i="3" s="1"/>
  <c r="G73" i="3"/>
  <c r="H73" i="3" s="1"/>
  <c r="G74" i="3"/>
  <c r="H74" i="3" s="1"/>
  <c r="J74" i="3" s="1"/>
  <c r="G75" i="3"/>
  <c r="H75" i="3" s="1"/>
  <c r="J75" i="3" s="1"/>
  <c r="G76" i="3"/>
  <c r="H76" i="3" s="1"/>
  <c r="G77" i="3"/>
  <c r="H77" i="3" s="1"/>
  <c r="G78" i="3"/>
  <c r="H78" i="3" s="1"/>
  <c r="G79" i="3"/>
  <c r="H79" i="3" s="1"/>
  <c r="I79" i="3" s="1"/>
  <c r="G80" i="3"/>
  <c r="H80" i="3" s="1"/>
  <c r="G81" i="3"/>
  <c r="H81" i="3" s="1"/>
  <c r="G82" i="3"/>
  <c r="H82" i="3" s="1"/>
  <c r="J82" i="3" s="1"/>
  <c r="G83" i="3"/>
  <c r="H83" i="3" s="1"/>
  <c r="J83" i="3" s="1"/>
  <c r="G84" i="3"/>
  <c r="H84" i="3" s="1"/>
  <c r="G85" i="3"/>
  <c r="H85" i="3" s="1"/>
  <c r="G86" i="3"/>
  <c r="H86" i="3" s="1"/>
  <c r="G87" i="3"/>
  <c r="H87" i="3" s="1"/>
  <c r="I87" i="3" s="1"/>
  <c r="G88" i="3"/>
  <c r="H88" i="3" s="1"/>
  <c r="G89" i="3"/>
  <c r="H89" i="3" s="1"/>
  <c r="G90" i="3"/>
  <c r="H90" i="3" s="1"/>
  <c r="J90" i="3" s="1"/>
  <c r="G91" i="3"/>
  <c r="H91" i="3" s="1"/>
  <c r="J91" i="3" s="1"/>
  <c r="G92" i="3"/>
  <c r="H92" i="3" s="1"/>
  <c r="J92" i="3" s="1"/>
  <c r="G93" i="3"/>
  <c r="H93" i="3" s="1"/>
  <c r="G94" i="3"/>
  <c r="H94" i="3" s="1"/>
  <c r="G95" i="3"/>
  <c r="H95" i="3" s="1"/>
  <c r="I95" i="3" s="1"/>
  <c r="G96" i="3"/>
  <c r="H96" i="3" s="1"/>
  <c r="G97" i="3"/>
  <c r="H97" i="3" s="1"/>
  <c r="G98" i="3"/>
  <c r="H98" i="3" s="1"/>
  <c r="J98" i="3" s="1"/>
  <c r="G99" i="3"/>
  <c r="H99" i="3" s="1"/>
  <c r="J99" i="3" s="1"/>
  <c r="G100" i="3"/>
  <c r="H100" i="3" s="1"/>
  <c r="J100" i="3" s="1"/>
  <c r="G101" i="3"/>
  <c r="H101" i="3" s="1"/>
  <c r="G102" i="3"/>
  <c r="H102" i="3" s="1"/>
  <c r="G103" i="3"/>
  <c r="H103" i="3" s="1"/>
  <c r="I103" i="3" s="1"/>
  <c r="G104" i="3"/>
  <c r="H104" i="3" s="1"/>
  <c r="G105" i="3"/>
  <c r="H105" i="3" s="1"/>
  <c r="G106" i="3"/>
  <c r="H106" i="3" s="1"/>
  <c r="J106" i="3" s="1"/>
  <c r="G107" i="3"/>
  <c r="H107" i="3" s="1"/>
  <c r="J107" i="3" s="1"/>
  <c r="G108" i="3"/>
  <c r="H108" i="3" s="1"/>
  <c r="J108" i="3" s="1"/>
  <c r="G109" i="3"/>
  <c r="H109" i="3" s="1"/>
  <c r="G110" i="3"/>
  <c r="H110" i="3" s="1"/>
  <c r="G111" i="3"/>
  <c r="H111" i="3" s="1"/>
  <c r="I111" i="3" s="1"/>
  <c r="G112" i="3"/>
  <c r="H112" i="3" s="1"/>
  <c r="G113" i="3"/>
  <c r="H113" i="3" s="1"/>
  <c r="G114" i="3"/>
  <c r="H114" i="3" s="1"/>
  <c r="J114" i="3" s="1"/>
  <c r="G115" i="3"/>
  <c r="H115" i="3" s="1"/>
  <c r="J115" i="3" s="1"/>
  <c r="G116" i="3"/>
  <c r="H116" i="3" s="1"/>
  <c r="J116" i="3" s="1"/>
  <c r="G117" i="3"/>
  <c r="H117" i="3" s="1"/>
  <c r="G118" i="3"/>
  <c r="H118" i="3" s="1"/>
  <c r="G119" i="3"/>
  <c r="H119" i="3" s="1"/>
  <c r="I119" i="3" s="1"/>
  <c r="G120" i="3"/>
  <c r="H120" i="3" s="1"/>
  <c r="G121" i="3"/>
  <c r="H121" i="3" s="1"/>
  <c r="G122" i="3"/>
  <c r="H122" i="3" s="1"/>
  <c r="J122" i="3" s="1"/>
  <c r="G123" i="3"/>
  <c r="H123" i="3" s="1"/>
  <c r="J123" i="3" s="1"/>
  <c r="G124" i="3"/>
  <c r="H124" i="3" s="1"/>
  <c r="J124" i="3" s="1"/>
  <c r="G125" i="3"/>
  <c r="H125" i="3" s="1"/>
  <c r="G126" i="3"/>
  <c r="H126" i="3" s="1"/>
  <c r="G127" i="3"/>
  <c r="H127" i="3" s="1"/>
  <c r="I127" i="3" s="1"/>
  <c r="G128" i="3"/>
  <c r="H128" i="3" s="1"/>
  <c r="G129" i="3"/>
  <c r="H129" i="3" s="1"/>
  <c r="G130" i="3"/>
  <c r="H130" i="3" s="1"/>
  <c r="J130" i="3" s="1"/>
  <c r="G131" i="3"/>
  <c r="H131" i="3" s="1"/>
  <c r="J131" i="3" s="1"/>
  <c r="G132" i="3"/>
  <c r="H132" i="3" s="1"/>
  <c r="J132" i="3" s="1"/>
  <c r="G133" i="3"/>
  <c r="H133" i="3" s="1"/>
  <c r="G134" i="3"/>
  <c r="H134" i="3" s="1"/>
  <c r="G135" i="3"/>
  <c r="H135" i="3" s="1"/>
  <c r="I135" i="3" s="1"/>
  <c r="G136" i="3"/>
  <c r="H136" i="3" s="1"/>
  <c r="G137" i="3"/>
  <c r="H137" i="3" s="1"/>
  <c r="G138" i="3"/>
  <c r="H138" i="3" s="1"/>
  <c r="J138" i="3" s="1"/>
  <c r="G139" i="3"/>
  <c r="H139" i="3" s="1"/>
  <c r="J139" i="3" s="1"/>
  <c r="G140" i="3"/>
  <c r="H140" i="3" s="1"/>
  <c r="J140" i="3" s="1"/>
  <c r="G141" i="3"/>
  <c r="H141" i="3" s="1"/>
  <c r="G142" i="3"/>
  <c r="H142" i="3" s="1"/>
  <c r="G143" i="3"/>
  <c r="H143" i="3" s="1"/>
  <c r="I143" i="3" s="1"/>
  <c r="G144" i="3"/>
  <c r="H144" i="3" s="1"/>
  <c r="G145" i="3"/>
  <c r="H145" i="3" s="1"/>
  <c r="G146" i="3"/>
  <c r="H146" i="3" s="1"/>
  <c r="J146" i="3" s="1"/>
  <c r="G147" i="3"/>
  <c r="H147" i="3" s="1"/>
  <c r="J147" i="3" s="1"/>
  <c r="G148" i="3"/>
  <c r="H148" i="3" s="1"/>
  <c r="J148" i="3" s="1"/>
  <c r="G149" i="3"/>
  <c r="H149" i="3" s="1"/>
  <c r="G150" i="3"/>
  <c r="H150" i="3" s="1"/>
  <c r="G151" i="3"/>
  <c r="H151" i="3" s="1"/>
  <c r="I151" i="3" s="1"/>
  <c r="G152" i="3"/>
  <c r="H152" i="3" s="1"/>
  <c r="G153" i="3"/>
  <c r="H153" i="3" s="1"/>
  <c r="G154" i="3"/>
  <c r="H154" i="3" s="1"/>
  <c r="G155" i="3"/>
  <c r="H155" i="3" s="1"/>
  <c r="J155" i="3" s="1"/>
  <c r="G156" i="3"/>
  <c r="H156" i="3" s="1"/>
  <c r="J156" i="3" s="1"/>
  <c r="G157" i="3"/>
  <c r="H157" i="3" s="1"/>
  <c r="G158" i="3"/>
  <c r="H158" i="3" s="1"/>
  <c r="I158" i="3" s="1"/>
  <c r="G159" i="3"/>
  <c r="H159" i="3" s="1"/>
  <c r="I159" i="3" s="1"/>
  <c r="G160" i="3"/>
  <c r="H160" i="3" s="1"/>
  <c r="G161" i="3"/>
  <c r="H161" i="3" s="1"/>
  <c r="J161" i="3" s="1"/>
  <c r="G162" i="3"/>
  <c r="H162" i="3" s="1"/>
  <c r="G163" i="3"/>
  <c r="H163" i="3" s="1"/>
  <c r="J163" i="3" s="1"/>
  <c r="G164" i="3"/>
  <c r="H164" i="3" s="1"/>
  <c r="G165" i="3"/>
  <c r="H165" i="3"/>
  <c r="G166" i="3"/>
  <c r="H166" i="3" s="1"/>
  <c r="I166" i="3" s="1"/>
  <c r="G167" i="3"/>
  <c r="H167" i="3" s="1"/>
  <c r="I167" i="3" s="1"/>
  <c r="G168" i="3"/>
  <c r="H168" i="3" s="1"/>
  <c r="G169" i="3"/>
  <c r="H169" i="3" s="1"/>
  <c r="J169" i="3" s="1"/>
  <c r="G170" i="3"/>
  <c r="H170" i="3" s="1"/>
  <c r="G171" i="3"/>
  <c r="H171" i="3" s="1"/>
  <c r="J171" i="3" s="1"/>
  <c r="G172" i="3"/>
  <c r="H172" i="3" s="1"/>
  <c r="G173" i="3"/>
  <c r="H173" i="3" s="1"/>
  <c r="G174" i="3"/>
  <c r="H174" i="3" s="1"/>
  <c r="I174" i="3" s="1"/>
  <c r="G175" i="3"/>
  <c r="H175" i="3" s="1"/>
  <c r="I175" i="3" s="1"/>
  <c r="G176" i="3"/>
  <c r="H176" i="3" s="1"/>
  <c r="G177" i="3"/>
  <c r="H177" i="3" s="1"/>
  <c r="G178" i="3"/>
  <c r="H178" i="3" s="1"/>
  <c r="J178" i="3" s="1"/>
  <c r="G179" i="3"/>
  <c r="H179" i="3" s="1"/>
  <c r="J179" i="3" s="1"/>
  <c r="G180" i="3"/>
  <c r="H180" i="3" s="1"/>
  <c r="G181" i="3"/>
  <c r="H181" i="3" s="1"/>
  <c r="G182" i="3"/>
  <c r="H182" i="3" s="1"/>
  <c r="G183" i="3"/>
  <c r="H183" i="3" s="1"/>
  <c r="I183" i="3" s="1"/>
  <c r="G184" i="3"/>
  <c r="H184" i="3" s="1"/>
  <c r="G185" i="3"/>
  <c r="H185" i="3" s="1"/>
  <c r="J185" i="3" s="1"/>
  <c r="G186" i="3"/>
  <c r="H186" i="3" s="1"/>
  <c r="G187" i="3"/>
  <c r="H187" i="3" s="1"/>
  <c r="J187" i="3" s="1"/>
  <c r="G188" i="3"/>
  <c r="H188" i="3" s="1"/>
  <c r="J188" i="3" s="1"/>
  <c r="G189" i="3"/>
  <c r="H189" i="3" s="1"/>
  <c r="G190" i="3"/>
  <c r="H190" i="3" s="1"/>
  <c r="I190" i="3" s="1"/>
  <c r="G191" i="3"/>
  <c r="H191" i="3" s="1"/>
  <c r="I191" i="3" s="1"/>
  <c r="G192" i="3"/>
  <c r="H192" i="3" s="1"/>
  <c r="J192" i="3" s="1"/>
  <c r="G193" i="3"/>
  <c r="H193" i="3" s="1"/>
  <c r="G194" i="3"/>
  <c r="H194" i="3" s="1"/>
  <c r="G195" i="3"/>
  <c r="H195" i="3" s="1"/>
  <c r="J195" i="3" s="1"/>
  <c r="G196" i="3"/>
  <c r="H196" i="3" s="1"/>
  <c r="G197" i="3"/>
  <c r="H197" i="3" s="1"/>
  <c r="J197" i="3" s="1"/>
  <c r="G198" i="3"/>
  <c r="H198" i="3" s="1"/>
  <c r="G199" i="3"/>
  <c r="H199" i="3" s="1"/>
  <c r="I199" i="3" s="1"/>
  <c r="G200" i="3"/>
  <c r="H200" i="3" s="1"/>
  <c r="J200" i="3" s="1"/>
  <c r="G201" i="3"/>
  <c r="H201" i="3" s="1"/>
  <c r="J201" i="3" s="1"/>
  <c r="G202" i="3"/>
  <c r="H202" i="3" s="1"/>
  <c r="J202" i="3" s="1"/>
  <c r="G203" i="3"/>
  <c r="H203" i="3" s="1"/>
  <c r="J203" i="3" s="1"/>
  <c r="G204" i="3"/>
  <c r="H204" i="3" s="1"/>
  <c r="G205" i="3"/>
  <c r="H205" i="3" s="1"/>
  <c r="J205" i="3" s="1"/>
  <c r="G206" i="3"/>
  <c r="H206" i="3" s="1"/>
  <c r="I206" i="3" s="1"/>
  <c r="G207" i="3"/>
  <c r="H207" i="3" s="1"/>
  <c r="I207" i="3" s="1"/>
  <c r="G208" i="3"/>
  <c r="H208" i="3" s="1"/>
  <c r="G209" i="3"/>
  <c r="H209" i="3" s="1"/>
  <c r="J209" i="3" s="1"/>
  <c r="G210" i="3"/>
  <c r="H210" i="3" s="1"/>
  <c r="J210" i="3" s="1"/>
  <c r="G211" i="3"/>
  <c r="H211" i="3" s="1"/>
  <c r="J211" i="3" s="1"/>
  <c r="G212" i="3"/>
  <c r="H212" i="3" s="1"/>
  <c r="J212" i="3" s="1"/>
  <c r="G213" i="3"/>
  <c r="H213" i="3" s="1"/>
  <c r="G214" i="3"/>
  <c r="H214" i="3" s="1"/>
  <c r="G215" i="3"/>
  <c r="H215" i="3" s="1"/>
  <c r="I215" i="3" s="1"/>
  <c r="G216" i="3"/>
  <c r="H216" i="3" s="1"/>
  <c r="G217" i="3"/>
  <c r="H217" i="3" s="1"/>
  <c r="G218" i="3"/>
  <c r="H218" i="3" s="1"/>
  <c r="G219" i="3"/>
  <c r="H219" i="3" s="1"/>
  <c r="J219" i="3" s="1"/>
  <c r="G220" i="3"/>
  <c r="H220" i="3" s="1"/>
  <c r="J220" i="3" s="1"/>
  <c r="G221" i="3"/>
  <c r="H221" i="3" s="1"/>
  <c r="J221" i="3" s="1"/>
  <c r="G222" i="3"/>
  <c r="H222" i="3" s="1"/>
  <c r="G223" i="3"/>
  <c r="H223" i="3" s="1"/>
  <c r="I223" i="3" s="1"/>
  <c r="G224" i="3"/>
  <c r="H224" i="3" s="1"/>
  <c r="J224" i="3" s="1"/>
  <c r="G225" i="3"/>
  <c r="H225" i="3" s="1"/>
  <c r="G226" i="3"/>
  <c r="H226" i="3" s="1"/>
  <c r="J226" i="3" s="1"/>
  <c r="G227" i="3"/>
  <c r="H227" i="3" s="1"/>
  <c r="J227" i="3" s="1"/>
  <c r="G228" i="3"/>
  <c r="H228" i="3" s="1"/>
  <c r="G229" i="3"/>
  <c r="H229" i="3" s="1"/>
  <c r="G230" i="3"/>
  <c r="H230" i="3" s="1"/>
  <c r="G231" i="3"/>
  <c r="H231" i="3" s="1"/>
  <c r="I231" i="3" s="1"/>
  <c r="G232" i="3"/>
  <c r="H232" i="3" s="1"/>
  <c r="G233" i="3"/>
  <c r="H233" i="3" s="1"/>
  <c r="J233" i="3" s="1"/>
  <c r="G234" i="3"/>
  <c r="H234" i="3" s="1"/>
  <c r="J234" i="3" s="1"/>
  <c r="G235" i="3"/>
  <c r="H235" i="3" s="1"/>
  <c r="J235" i="3" s="1"/>
  <c r="G236" i="3"/>
  <c r="H236" i="3" s="1"/>
  <c r="J236" i="3" s="1"/>
  <c r="G237" i="3"/>
  <c r="H237" i="3" s="1"/>
  <c r="G238" i="3"/>
  <c r="H238" i="3" s="1"/>
  <c r="I238" i="3" s="1"/>
  <c r="G239" i="3"/>
  <c r="H239" i="3" s="1"/>
  <c r="I239" i="3" s="1"/>
  <c r="G240" i="3"/>
  <c r="H240" i="3" s="1"/>
  <c r="G241" i="3"/>
  <c r="H241" i="3" s="1"/>
  <c r="G242" i="3"/>
  <c r="H242" i="3" s="1"/>
  <c r="J242" i="3" s="1"/>
  <c r="G243" i="3"/>
  <c r="H243" i="3" s="1"/>
  <c r="J243" i="3" s="1"/>
  <c r="G244" i="3"/>
  <c r="H244" i="3" s="1"/>
  <c r="J244" i="3" s="1"/>
  <c r="G245" i="3"/>
  <c r="H245" i="3" s="1"/>
  <c r="G246" i="3"/>
  <c r="H246" i="3" s="1"/>
  <c r="G247" i="3"/>
  <c r="H247" i="3" s="1"/>
  <c r="I247" i="3" s="1"/>
  <c r="G248" i="3"/>
  <c r="H248" i="3" s="1"/>
  <c r="J248" i="3" s="1"/>
  <c r="G249" i="3"/>
  <c r="H249" i="3" s="1"/>
  <c r="G250" i="3"/>
  <c r="H250" i="3" s="1"/>
  <c r="J250" i="3" s="1"/>
  <c r="G251" i="3"/>
  <c r="H251" i="3" s="1"/>
  <c r="J251" i="3" s="1"/>
  <c r="G252" i="3"/>
  <c r="H252" i="3" s="1"/>
  <c r="G253" i="3"/>
  <c r="H253" i="3" s="1"/>
  <c r="J253" i="3" s="1"/>
  <c r="G254" i="3"/>
  <c r="H254" i="3" s="1"/>
  <c r="G255" i="3"/>
  <c r="H255" i="3" s="1"/>
  <c r="I255" i="3" s="1"/>
  <c r="G256" i="3"/>
  <c r="H256" i="3" s="1"/>
  <c r="G257" i="3"/>
  <c r="H257" i="3" s="1"/>
  <c r="J257" i="3" s="1"/>
  <c r="G258" i="3"/>
  <c r="H258" i="3" s="1"/>
  <c r="G259" i="3"/>
  <c r="H259" i="3" s="1"/>
  <c r="J259" i="3" s="1"/>
  <c r="G260" i="3"/>
  <c r="H260" i="3" s="1"/>
  <c r="G261" i="3"/>
  <c r="H261" i="3" s="1"/>
  <c r="G262" i="3"/>
  <c r="H262" i="3" s="1"/>
  <c r="I262" i="3" s="1"/>
  <c r="G263" i="3"/>
  <c r="H263" i="3" s="1"/>
  <c r="I263" i="3" s="1"/>
  <c r="G264" i="3"/>
  <c r="H264" i="3" s="1"/>
  <c r="J264" i="3" s="1"/>
  <c r="G265" i="3"/>
  <c r="H265" i="3" s="1"/>
  <c r="G266" i="3"/>
  <c r="H266" i="3" s="1"/>
  <c r="J266" i="3" s="1"/>
  <c r="G267" i="3"/>
  <c r="H267" i="3" s="1"/>
  <c r="J267" i="3" s="1"/>
  <c r="G268" i="3"/>
  <c r="H268" i="3" s="1"/>
  <c r="G269" i="3"/>
  <c r="H269" i="3" s="1"/>
  <c r="G270" i="3"/>
  <c r="H270" i="3" s="1"/>
  <c r="G271" i="3"/>
  <c r="H271" i="3" s="1"/>
  <c r="I271" i="3" s="1"/>
  <c r="G272" i="3"/>
  <c r="H272" i="3" s="1"/>
  <c r="G273" i="3"/>
  <c r="H273" i="3" s="1"/>
  <c r="J273" i="3" s="1"/>
  <c r="G274" i="3"/>
  <c r="H274" i="3" s="1"/>
  <c r="G275" i="3"/>
  <c r="H275" i="3" s="1"/>
  <c r="J275" i="3" s="1"/>
  <c r="G276" i="3"/>
  <c r="H276" i="3" s="1"/>
  <c r="J276" i="3" s="1"/>
  <c r="G277" i="3"/>
  <c r="H277" i="3" s="1"/>
  <c r="G278" i="3"/>
  <c r="H278" i="3" s="1"/>
  <c r="G279" i="3"/>
  <c r="H279" i="3" s="1"/>
  <c r="I279" i="3" s="1"/>
  <c r="G280" i="3"/>
  <c r="H280" i="3" s="1"/>
  <c r="J280" i="3" s="1"/>
  <c r="G281" i="3"/>
  <c r="H281" i="3" s="1"/>
  <c r="G282" i="3"/>
  <c r="H282" i="3" s="1"/>
  <c r="J282" i="3" s="1"/>
  <c r="G283" i="3"/>
  <c r="H283" i="3" s="1"/>
  <c r="J283" i="3" s="1"/>
  <c r="G284" i="3"/>
  <c r="H284" i="3" s="1"/>
  <c r="G285" i="3"/>
  <c r="H285" i="3" s="1"/>
  <c r="J285" i="3" s="1"/>
  <c r="G286" i="3"/>
  <c r="H286" i="3" s="1"/>
  <c r="G287" i="3"/>
  <c r="H287" i="3" s="1"/>
  <c r="I287" i="3" s="1"/>
  <c r="G288" i="3"/>
  <c r="H288" i="3" s="1"/>
  <c r="G289" i="3"/>
  <c r="H289" i="3" s="1"/>
  <c r="J289" i="3" s="1"/>
  <c r="G2" i="3"/>
  <c r="H2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" i="4"/>
  <c r="I27" i="3" l="1"/>
  <c r="I107" i="3"/>
  <c r="J183" i="3"/>
  <c r="J87" i="3"/>
  <c r="I171" i="3"/>
  <c r="I123" i="3"/>
  <c r="J33" i="3"/>
  <c r="I33" i="3"/>
  <c r="I214" i="3"/>
  <c r="J214" i="3"/>
  <c r="I38" i="3"/>
  <c r="J38" i="3"/>
  <c r="J18" i="3"/>
  <c r="I18" i="3"/>
  <c r="J229" i="3"/>
  <c r="I229" i="3"/>
  <c r="I148" i="3"/>
  <c r="I242" i="3"/>
  <c r="I140" i="3"/>
  <c r="I100" i="3"/>
  <c r="I19" i="3"/>
  <c r="J151" i="3"/>
  <c r="I251" i="3"/>
  <c r="I139" i="3"/>
  <c r="I92" i="3"/>
  <c r="J135" i="3"/>
  <c r="J21" i="3"/>
  <c r="I219" i="3"/>
  <c r="I132" i="3"/>
  <c r="I91" i="3"/>
  <c r="J279" i="3"/>
  <c r="J119" i="3"/>
  <c r="J53" i="3"/>
  <c r="I209" i="3"/>
  <c r="I124" i="3"/>
  <c r="I43" i="3"/>
  <c r="J247" i="3"/>
  <c r="J103" i="3"/>
  <c r="I187" i="3"/>
  <c r="I42" i="3"/>
  <c r="J215" i="3"/>
  <c r="I116" i="3"/>
  <c r="J71" i="3"/>
  <c r="I283" i="3"/>
  <c r="I155" i="3"/>
  <c r="I108" i="3"/>
  <c r="I32" i="3"/>
  <c r="J199" i="3"/>
  <c r="J56" i="3"/>
  <c r="J232" i="3"/>
  <c r="I232" i="3"/>
  <c r="J281" i="3"/>
  <c r="I281" i="3"/>
  <c r="J268" i="3"/>
  <c r="I268" i="3"/>
  <c r="J256" i="3"/>
  <c r="I256" i="3"/>
  <c r="J237" i="3"/>
  <c r="I237" i="3"/>
  <c r="J225" i="3"/>
  <c r="I225" i="3"/>
  <c r="I182" i="3"/>
  <c r="J182" i="3"/>
  <c r="J170" i="3"/>
  <c r="I170" i="3"/>
  <c r="J121" i="3"/>
  <c r="I121" i="3"/>
  <c r="J89" i="3"/>
  <c r="I89" i="3"/>
  <c r="J58" i="3"/>
  <c r="I58" i="3"/>
  <c r="I286" i="3"/>
  <c r="J286" i="3"/>
  <c r="J274" i="3"/>
  <c r="I274" i="3"/>
  <c r="J249" i="3"/>
  <c r="I249" i="3"/>
  <c r="I230" i="3"/>
  <c r="J230" i="3"/>
  <c r="J218" i="3"/>
  <c r="I218" i="3"/>
  <c r="J194" i="3"/>
  <c r="I194" i="3"/>
  <c r="J164" i="3"/>
  <c r="I164" i="3"/>
  <c r="I126" i="3"/>
  <c r="J126" i="3"/>
  <c r="I94" i="3"/>
  <c r="J94" i="3"/>
  <c r="I62" i="3"/>
  <c r="J62" i="3"/>
  <c r="I46" i="3"/>
  <c r="J46" i="3"/>
  <c r="J261" i="3"/>
  <c r="I261" i="3"/>
  <c r="I254" i="3"/>
  <c r="J254" i="3"/>
  <c r="J217" i="3"/>
  <c r="I217" i="3"/>
  <c r="J193" i="3"/>
  <c r="I193" i="3"/>
  <c r="I157" i="3"/>
  <c r="J157" i="3"/>
  <c r="J145" i="3"/>
  <c r="I145" i="3"/>
  <c r="J113" i="3"/>
  <c r="I113" i="3"/>
  <c r="J81" i="3"/>
  <c r="I81" i="3"/>
  <c r="I45" i="3"/>
  <c r="J45" i="3"/>
  <c r="J213" i="3"/>
  <c r="I213" i="3"/>
  <c r="J288" i="3"/>
  <c r="I288" i="3"/>
  <c r="J241" i="3"/>
  <c r="I241" i="3"/>
  <c r="I222" i="3"/>
  <c r="J222" i="3"/>
  <c r="J186" i="3"/>
  <c r="I186" i="3"/>
  <c r="J162" i="3"/>
  <c r="I162" i="3"/>
  <c r="I150" i="3"/>
  <c r="J150" i="3"/>
  <c r="I118" i="3"/>
  <c r="J118" i="3"/>
  <c r="I86" i="3"/>
  <c r="J86" i="3"/>
  <c r="J55" i="3"/>
  <c r="I55" i="3"/>
  <c r="J284" i="3"/>
  <c r="I284" i="3"/>
  <c r="I278" i="3"/>
  <c r="J278" i="3"/>
  <c r="J272" i="3"/>
  <c r="I272" i="3"/>
  <c r="J265" i="3"/>
  <c r="I265" i="3"/>
  <c r="J240" i="3"/>
  <c r="I240" i="3"/>
  <c r="J228" i="3"/>
  <c r="I228" i="3"/>
  <c r="J204" i="3"/>
  <c r="I204" i="3"/>
  <c r="I198" i="3"/>
  <c r="J198" i="3"/>
  <c r="J137" i="3"/>
  <c r="I137" i="3"/>
  <c r="J105" i="3"/>
  <c r="I105" i="3"/>
  <c r="J73" i="3"/>
  <c r="I73" i="3"/>
  <c r="J277" i="3"/>
  <c r="I277" i="3"/>
  <c r="J258" i="3"/>
  <c r="I258" i="3"/>
  <c r="J252" i="3"/>
  <c r="I252" i="3"/>
  <c r="I246" i="3"/>
  <c r="J246" i="3"/>
  <c r="I142" i="3"/>
  <c r="J142" i="3"/>
  <c r="I110" i="3"/>
  <c r="J110" i="3"/>
  <c r="I78" i="3"/>
  <c r="J78" i="3"/>
  <c r="J49" i="3"/>
  <c r="I49" i="3"/>
  <c r="I29" i="3"/>
  <c r="J29" i="3"/>
  <c r="J260" i="3"/>
  <c r="I260" i="3"/>
  <c r="J216" i="3"/>
  <c r="I216" i="3"/>
  <c r="J180" i="3"/>
  <c r="I180" i="3"/>
  <c r="I270" i="3"/>
  <c r="J270" i="3"/>
  <c r="J245" i="3"/>
  <c r="I245" i="3"/>
  <c r="J208" i="3"/>
  <c r="I208" i="3"/>
  <c r="J184" i="3"/>
  <c r="I184" i="3"/>
  <c r="J177" i="3"/>
  <c r="I177" i="3"/>
  <c r="J172" i="3"/>
  <c r="I172" i="3"/>
  <c r="J154" i="3"/>
  <c r="I154" i="3"/>
  <c r="J129" i="3"/>
  <c r="I129" i="3"/>
  <c r="J97" i="3"/>
  <c r="I97" i="3"/>
  <c r="J65" i="3"/>
  <c r="I65" i="3"/>
  <c r="J41" i="3"/>
  <c r="I41" i="3"/>
  <c r="J34" i="3"/>
  <c r="I34" i="3"/>
  <c r="J269" i="3"/>
  <c r="I269" i="3"/>
  <c r="J196" i="3"/>
  <c r="I196" i="3"/>
  <c r="J153" i="3"/>
  <c r="I153" i="3"/>
  <c r="I134" i="3"/>
  <c r="J134" i="3"/>
  <c r="I102" i="3"/>
  <c r="J102" i="3"/>
  <c r="I70" i="3"/>
  <c r="J70" i="3"/>
  <c r="J189" i="3"/>
  <c r="I189" i="3"/>
  <c r="J144" i="3"/>
  <c r="I144" i="3"/>
  <c r="J96" i="3"/>
  <c r="I96" i="3"/>
  <c r="I85" i="3"/>
  <c r="J85" i="3"/>
  <c r="J80" i="3"/>
  <c r="I80" i="3"/>
  <c r="I69" i="3"/>
  <c r="J69" i="3"/>
  <c r="J40" i="3"/>
  <c r="I40" i="3"/>
  <c r="J39" i="3"/>
  <c r="I39" i="3"/>
  <c r="I28" i="3"/>
  <c r="J28" i="3"/>
  <c r="I10" i="3"/>
  <c r="J10" i="3"/>
  <c r="J4" i="3"/>
  <c r="I4" i="3"/>
  <c r="I282" i="3"/>
  <c r="I250" i="3"/>
  <c r="I138" i="3"/>
  <c r="I122" i="3"/>
  <c r="I106" i="3"/>
  <c r="I90" i="3"/>
  <c r="I67" i="3"/>
  <c r="J271" i="3"/>
  <c r="J239" i="3"/>
  <c r="J207" i="3"/>
  <c r="J175" i="3"/>
  <c r="J143" i="3"/>
  <c r="J111" i="3"/>
  <c r="J79" i="3"/>
  <c r="J8" i="3"/>
  <c r="I149" i="3"/>
  <c r="J149" i="3"/>
  <c r="J128" i="3"/>
  <c r="I128" i="3"/>
  <c r="J112" i="3"/>
  <c r="I112" i="3"/>
  <c r="I101" i="3"/>
  <c r="J101" i="3"/>
  <c r="J64" i="3"/>
  <c r="I64" i="3"/>
  <c r="I273" i="3"/>
  <c r="I197" i="3"/>
  <c r="G291" i="3"/>
  <c r="I84" i="3"/>
  <c r="J84" i="3"/>
  <c r="I68" i="3"/>
  <c r="J68" i="3"/>
  <c r="I15" i="3"/>
  <c r="J15" i="3"/>
  <c r="I3" i="3"/>
  <c r="J3" i="3"/>
  <c r="I259" i="3"/>
  <c r="I227" i="3"/>
  <c r="I205" i="3"/>
  <c r="I195" i="3"/>
  <c r="I185" i="3"/>
  <c r="I169" i="3"/>
  <c r="I66" i="3"/>
  <c r="I26" i="3"/>
  <c r="J238" i="3"/>
  <c r="J206" i="3"/>
  <c r="J174" i="3"/>
  <c r="J7" i="3"/>
  <c r="I133" i="3"/>
  <c r="J133" i="3"/>
  <c r="J2" i="3"/>
  <c r="H291" i="3"/>
  <c r="I181" i="3"/>
  <c r="J181" i="3"/>
  <c r="J176" i="3"/>
  <c r="I176" i="3"/>
  <c r="J152" i="3"/>
  <c r="I152" i="3"/>
  <c r="I52" i="3"/>
  <c r="J52" i="3"/>
  <c r="I44" i="3"/>
  <c r="J44" i="3"/>
  <c r="I20" i="3"/>
  <c r="J20" i="3"/>
  <c r="J14" i="3"/>
  <c r="I14" i="3"/>
  <c r="I2" i="3"/>
  <c r="I280" i="3"/>
  <c r="I248" i="3"/>
  <c r="I236" i="3"/>
  <c r="I226" i="3"/>
  <c r="I83" i="3"/>
  <c r="J263" i="3"/>
  <c r="J231" i="3"/>
  <c r="J167" i="3"/>
  <c r="J136" i="3"/>
  <c r="I136" i="3"/>
  <c r="J120" i="3"/>
  <c r="I120" i="3"/>
  <c r="J104" i="3"/>
  <c r="I104" i="3"/>
  <c r="I77" i="3"/>
  <c r="J77" i="3"/>
  <c r="J72" i="3"/>
  <c r="I72" i="3"/>
  <c r="J57" i="3"/>
  <c r="I57" i="3"/>
  <c r="J31" i="3"/>
  <c r="I31" i="3"/>
  <c r="J25" i="3"/>
  <c r="I25" i="3"/>
  <c r="I289" i="3"/>
  <c r="I267" i="3"/>
  <c r="I257" i="3"/>
  <c r="I235" i="3"/>
  <c r="I203" i="3"/>
  <c r="I179" i="3"/>
  <c r="I163" i="3"/>
  <c r="I147" i="3"/>
  <c r="I131" i="3"/>
  <c r="I115" i="3"/>
  <c r="I99" i="3"/>
  <c r="I82" i="3"/>
  <c r="I60" i="3"/>
  <c r="J262" i="3"/>
  <c r="J166" i="3"/>
  <c r="J37" i="3"/>
  <c r="I141" i="3"/>
  <c r="J141" i="3"/>
  <c r="I125" i="3"/>
  <c r="J125" i="3"/>
  <c r="J88" i="3"/>
  <c r="I88" i="3"/>
  <c r="I165" i="3"/>
  <c r="J165" i="3"/>
  <c r="I36" i="3"/>
  <c r="J36" i="3"/>
  <c r="I276" i="3"/>
  <c r="I266" i="3"/>
  <c r="I244" i="3"/>
  <c r="I234" i="3"/>
  <c r="I224" i="3"/>
  <c r="I212" i="3"/>
  <c r="I202" i="3"/>
  <c r="I192" i="3"/>
  <c r="I178" i="3"/>
  <c r="I146" i="3"/>
  <c r="I130" i="3"/>
  <c r="I114" i="3"/>
  <c r="I98" i="3"/>
  <c r="I59" i="3"/>
  <c r="I35" i="3"/>
  <c r="J287" i="3"/>
  <c r="J255" i="3"/>
  <c r="J223" i="3"/>
  <c r="J191" i="3"/>
  <c r="J159" i="3"/>
  <c r="J127" i="3"/>
  <c r="J95" i="3"/>
  <c r="J63" i="3"/>
  <c r="J30" i="3"/>
  <c r="I173" i="3"/>
  <c r="J173" i="3"/>
  <c r="I109" i="3"/>
  <c r="J109" i="3"/>
  <c r="I93" i="3"/>
  <c r="J93" i="3"/>
  <c r="J160" i="3"/>
  <c r="I160" i="3"/>
  <c r="I76" i="3"/>
  <c r="J76" i="3"/>
  <c r="I61" i="3"/>
  <c r="J61" i="3"/>
  <c r="J47" i="3"/>
  <c r="I47" i="3"/>
  <c r="J24" i="3"/>
  <c r="I24" i="3"/>
  <c r="I285" i="3"/>
  <c r="I275" i="3"/>
  <c r="I253" i="3"/>
  <c r="I243" i="3"/>
  <c r="I233" i="3"/>
  <c r="I221" i="3"/>
  <c r="I211" i="3"/>
  <c r="I201" i="3"/>
  <c r="I161" i="3"/>
  <c r="I75" i="3"/>
  <c r="J190" i="3"/>
  <c r="J158" i="3"/>
  <c r="J168" i="3"/>
  <c r="I168" i="3"/>
  <c r="I117" i="3"/>
  <c r="J117" i="3"/>
  <c r="J23" i="3"/>
  <c r="I23" i="3"/>
  <c r="I264" i="3"/>
  <c r="I220" i="3"/>
  <c r="I210" i="3"/>
  <c r="I200" i="3"/>
  <c r="I188" i="3"/>
  <c r="I156" i="3"/>
  <c r="I74" i="3"/>
  <c r="J22" i="3"/>
  <c r="I48" i="3"/>
  <c r="J16" i="3"/>
  <c r="I54" i="3"/>
  <c r="J51" i="3"/>
  <c r="I50" i="3"/>
  <c r="I12" i="3"/>
  <c r="I6" i="3"/>
  <c r="I13" i="3"/>
  <c r="I5" i="3"/>
  <c r="J17" i="3"/>
  <c r="J9" i="3"/>
  <c r="I11" i="3"/>
  <c r="I291" i="3" l="1"/>
  <c r="J291" i="3"/>
  <c r="H3" i="2" l="1"/>
  <c r="H37" i="2"/>
  <c r="H4" i="2"/>
  <c r="H5" i="2"/>
  <c r="H6" i="2"/>
  <c r="H7" i="2"/>
  <c r="H8" i="2"/>
  <c r="H38" i="2"/>
  <c r="H9" i="2"/>
  <c r="H10" i="2"/>
  <c r="H39" i="2"/>
  <c r="H11" i="2"/>
  <c r="H12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13" i="2"/>
  <c r="H14" i="2"/>
  <c r="H15" i="2"/>
  <c r="H55" i="2"/>
  <c r="H56" i="2"/>
  <c r="H16" i="2"/>
  <c r="H17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18" i="2"/>
  <c r="H78" i="2"/>
  <c r="H79" i="2"/>
  <c r="H80" i="2"/>
  <c r="H81" i="2"/>
  <c r="H82" i="2"/>
  <c r="H19" i="2"/>
  <c r="H83" i="2"/>
  <c r="H84" i="2"/>
  <c r="H85" i="2"/>
  <c r="H86" i="2"/>
  <c r="H87" i="2"/>
  <c r="H88" i="2"/>
  <c r="H89" i="2"/>
  <c r="H20" i="2"/>
  <c r="H90" i="2"/>
  <c r="H91" i="2"/>
  <c r="H21" i="2"/>
  <c r="H92" i="2"/>
  <c r="H22" i="2"/>
  <c r="H23" i="2"/>
  <c r="H24" i="2"/>
  <c r="H25" i="2"/>
  <c r="H26" i="2"/>
  <c r="H27" i="2"/>
  <c r="H93" i="2"/>
  <c r="H94" i="2"/>
  <c r="H95" i="2"/>
  <c r="H96" i="2"/>
  <c r="H97" i="2"/>
  <c r="H98" i="2"/>
  <c r="H99" i="2"/>
  <c r="H28" i="2"/>
  <c r="H100" i="2"/>
  <c r="H29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30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31" i="2"/>
  <c r="H177" i="2"/>
  <c r="H178" i="2"/>
  <c r="H32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33" i="2"/>
  <c r="H229" i="2"/>
  <c r="H230" i="2"/>
  <c r="H231" i="2"/>
  <c r="H34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9" i="2"/>
  <c r="H250" i="2"/>
  <c r="H251" i="2"/>
  <c r="H252" i="2"/>
  <c r="H253" i="2"/>
  <c r="H254" i="2"/>
  <c r="H36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2" i="2"/>
  <c r="E340" i="2"/>
  <c r="F340" i="2"/>
  <c r="G340" i="2"/>
  <c r="D352" i="2" s="1"/>
  <c r="H340" i="2" l="1"/>
</calcChain>
</file>

<file path=xl/sharedStrings.xml><?xml version="1.0" encoding="utf-8"?>
<sst xmlns="http://schemas.openxmlformats.org/spreadsheetml/2006/main" count="8612" uniqueCount="774">
  <si>
    <t>Sale wise Profit Report</t>
  </si>
  <si>
    <t>From: 2026-03-01</t>
  </si>
  <si>
    <t>To: 2026-03-31</t>
  </si>
  <si>
    <t>sale date</t>
  </si>
  <si>
    <t>item name</t>
  </si>
  <si>
    <t>serial number</t>
  </si>
  <si>
    <t>serial comment</t>
  </si>
  <si>
    <t>sale price</t>
  </si>
  <si>
    <t>purchase price</t>
  </si>
  <si>
    <t>profit loss</t>
  </si>
  <si>
    <t>profit loss percent</t>
  </si>
  <si>
    <t>vendor name</t>
  </si>
  <si>
    <t>2026-03-01</t>
  </si>
  <si>
    <t>DJI MAVIC 4 PRO CREATOR COMBO</t>
  </si>
  <si>
    <t>1581F986C258K00239W8</t>
  </si>
  <si>
    <t/>
  </si>
  <si>
    <t>WAHEED BHAI</t>
  </si>
  <si>
    <t>1581F986C258U0023LW9</t>
  </si>
  <si>
    <t>IPAD A16 (W) 256 GB</t>
  </si>
  <si>
    <t>SDPHFCQN7CC</t>
  </si>
  <si>
    <t>OWAIS HOUSTON</t>
  </si>
  <si>
    <t>SF6XJVT6F64</t>
  </si>
  <si>
    <t>SJM6YL0WG9F</t>
  </si>
  <si>
    <t>SM2PQM26CRW</t>
  </si>
  <si>
    <t>IPAD A16 (W+C) 256 GB</t>
  </si>
  <si>
    <t>IPAD A16 (W+C)128 GB</t>
  </si>
  <si>
    <t>Active</t>
  </si>
  <si>
    <t>UNLOCK</t>
  </si>
  <si>
    <t>IPAD AIR M3 11 (W) 128 GB</t>
  </si>
  <si>
    <t>SJK9F4W14RN</t>
  </si>
  <si>
    <t>SL4V6TLJ7VW</t>
  </si>
  <si>
    <t>IPAD AIR M3 11 (W) 256 GB</t>
  </si>
  <si>
    <t>SF61XX7J1K6</t>
  </si>
  <si>
    <t>IPAD AIR M3 13 (W) 128 GB</t>
  </si>
  <si>
    <t>SF4WYGR9J27</t>
  </si>
  <si>
    <t>SM1VX4W3QM9</t>
  </si>
  <si>
    <t>IPAD AIR M3 13 (W) 256 GB</t>
  </si>
  <si>
    <t>SHRYXKGX6TF</t>
  </si>
  <si>
    <t>IPAD AIR M3 13 (W+C) 128GB</t>
  </si>
  <si>
    <t>MUDASSIR</t>
  </si>
  <si>
    <t>IPAD PRO M4 11 (W) 256 GB</t>
  </si>
  <si>
    <t>SH2RRXPMHH2</t>
  </si>
  <si>
    <t>IPAD PRO M4 13 (W+C) 2 TB</t>
  </si>
  <si>
    <t>IPAD PRO M5 11 (W+C) 256 GB</t>
  </si>
  <si>
    <t>Locked</t>
  </si>
  <si>
    <t>IPAD PRO M5 13 (W) 256 GB</t>
  </si>
  <si>
    <t>T-M</t>
  </si>
  <si>
    <t>Active, Fully Damaged Box</t>
  </si>
  <si>
    <t>SC74XW29FHW</t>
  </si>
  <si>
    <t>SD6C9VM3V6C</t>
  </si>
  <si>
    <t>SDFRX76FXWF</t>
  </si>
  <si>
    <t>IPAD PRO M5 13 (W+C) 256 GB</t>
  </si>
  <si>
    <t>IPAD PRO M5 13 (W+C) 2TB</t>
  </si>
  <si>
    <t>IPAD PRO M5 13 (W+C) 512 GB</t>
  </si>
  <si>
    <t>2026-03-02</t>
  </si>
  <si>
    <t>IPHONE 17 256 GB</t>
  </si>
  <si>
    <t>T-Mobile</t>
  </si>
  <si>
    <t>IPHONE 17 PRO MAX 1 TB</t>
  </si>
  <si>
    <t>IPHONE 17 PRO MAX 256 GB</t>
  </si>
  <si>
    <t>Replaced Device Unlock</t>
  </si>
  <si>
    <t>Active T-Mobile</t>
  </si>
  <si>
    <t>IPHONE 17 PRO MAX 512 GB</t>
  </si>
  <si>
    <t>2026-03-03</t>
  </si>
  <si>
    <t>IPHONE 16 128 GB</t>
  </si>
  <si>
    <t>IPHONE 17 PRO 256 GB</t>
  </si>
  <si>
    <t>Unlock</t>
  </si>
  <si>
    <t>Active Unlock</t>
  </si>
  <si>
    <t>2026-03-04</t>
  </si>
  <si>
    <t>INSTAX MINI EVO</t>
  </si>
  <si>
    <t>5TN33904</t>
  </si>
  <si>
    <t>AUSTRALIA PURCHASING</t>
  </si>
  <si>
    <t>5TN33907</t>
  </si>
  <si>
    <t>5UN10346</t>
  </si>
  <si>
    <t>5UN37219</t>
  </si>
  <si>
    <t>5UN37220</t>
  </si>
  <si>
    <t>5UN37221</t>
  </si>
  <si>
    <t>5UN37222</t>
  </si>
  <si>
    <t>5UN37223</t>
  </si>
  <si>
    <t>5UN37224</t>
  </si>
  <si>
    <t>5UN37225</t>
  </si>
  <si>
    <t>5UN37226</t>
  </si>
  <si>
    <t>5UN37227</t>
  </si>
  <si>
    <t>5UN37228</t>
  </si>
  <si>
    <t>5UN37229</t>
  </si>
  <si>
    <t>5UN37230</t>
  </si>
  <si>
    <t>IPHONE 15 128 GB</t>
  </si>
  <si>
    <t>IPHONE 16E 128 GB</t>
  </si>
  <si>
    <t>IPHONE 17 AIR 256 GB</t>
  </si>
  <si>
    <t>Active, Fully Damaged Box, Scratch</t>
  </si>
  <si>
    <t>MACBOOK PRO M4 PRO 16 48 GB, 512 GB</t>
  </si>
  <si>
    <t>SC2NQP3VGX5</t>
  </si>
  <si>
    <t>Active UNLOCK</t>
  </si>
  <si>
    <t>SKX7D6QF039</t>
  </si>
  <si>
    <t>2026-03-05</t>
  </si>
  <si>
    <t>5UN37232</t>
  </si>
  <si>
    <t>5UN37241</t>
  </si>
  <si>
    <t>5UN37242</t>
  </si>
  <si>
    <t>5UN37243</t>
  </si>
  <si>
    <t>5UN37244</t>
  </si>
  <si>
    <t>5UN37245</t>
  </si>
  <si>
    <t>5UN37246</t>
  </si>
  <si>
    <t>5UN37247</t>
  </si>
  <si>
    <t>5UN37248</t>
  </si>
  <si>
    <t>5UN37249</t>
  </si>
  <si>
    <t>5UN37250</t>
  </si>
  <si>
    <t>5UN42062</t>
  </si>
  <si>
    <t>5UN42085</t>
  </si>
  <si>
    <t>5UN42121</t>
  </si>
  <si>
    <t>5UN42127</t>
  </si>
  <si>
    <t>5UN42141</t>
  </si>
  <si>
    <t>5UN42142</t>
  </si>
  <si>
    <t>5UN42143</t>
  </si>
  <si>
    <t>5UN42144</t>
  </si>
  <si>
    <t>5UN42145</t>
  </si>
  <si>
    <t>5UN42146</t>
  </si>
  <si>
    <t>5UN42147</t>
  </si>
  <si>
    <t>5UN42148</t>
  </si>
  <si>
    <t>5UN42149</t>
  </si>
  <si>
    <t>5UN42150</t>
  </si>
  <si>
    <t>5UN42151</t>
  </si>
  <si>
    <t>5UN42152</t>
  </si>
  <si>
    <t>5UN42156</t>
  </si>
  <si>
    <t>5UN42157</t>
  </si>
  <si>
    <t>5UN42158</t>
  </si>
  <si>
    <t>5UN42159</t>
  </si>
  <si>
    <t>5UN42160</t>
  </si>
  <si>
    <t>5UN42161</t>
  </si>
  <si>
    <t>5UN42162</t>
  </si>
  <si>
    <t>5UN42163</t>
  </si>
  <si>
    <t>5UN42164</t>
  </si>
  <si>
    <t>5UN42165</t>
  </si>
  <si>
    <t>5UN42166</t>
  </si>
  <si>
    <t>5UN42167</t>
  </si>
  <si>
    <t>5UN42168</t>
  </si>
  <si>
    <t>5UN42169</t>
  </si>
  <si>
    <t>5UN42170</t>
  </si>
  <si>
    <t>5UN42171</t>
  </si>
  <si>
    <t>5UN42172</t>
  </si>
  <si>
    <t>5UN42173</t>
  </si>
  <si>
    <t>5UN42174</t>
  </si>
  <si>
    <t>5UN42175</t>
  </si>
  <si>
    <t>5UN42176</t>
  </si>
  <si>
    <t>5UN42177</t>
  </si>
  <si>
    <t>5UN42178</t>
  </si>
  <si>
    <t>MACBOOK AIR M4 13 16 GB, 512 GB</t>
  </si>
  <si>
    <t>SJ0NWKLWDJP</t>
  </si>
  <si>
    <t>Midnight</t>
  </si>
  <si>
    <t>2026-03-06</t>
  </si>
  <si>
    <t>APPLE WATCH ULTRA 3 49MM</t>
  </si>
  <si>
    <t>GALAXY S25 ULTRA 256 GB</t>
  </si>
  <si>
    <t>IPAD AIR M3 11 (W+C) 128 GB</t>
  </si>
  <si>
    <t>ACTIVE</t>
  </si>
  <si>
    <t>MACBOOK PRO M4 PRO 16 24 GB, 512 GB</t>
  </si>
  <si>
    <t>SDG7N4X9Y2K</t>
  </si>
  <si>
    <t>2026-03-07</t>
  </si>
  <si>
    <t>DJI MINI 4 PRO 34 MINS</t>
  </si>
  <si>
    <t>1581F6Z9C2466003V1W2</t>
  </si>
  <si>
    <t>1581F6Z9C253R003CSR1</t>
  </si>
  <si>
    <t>IPHONE 16 PRO MAX 256 GB</t>
  </si>
  <si>
    <t>2026-03-09</t>
  </si>
  <si>
    <t>AIRPODS 4</t>
  </si>
  <si>
    <t>SF6FH0W9YC3</t>
  </si>
  <si>
    <t>AIRPODS 4 (ANC)</t>
  </si>
  <si>
    <t>SFR2MTF47V1</t>
  </si>
  <si>
    <t>SGQXNHP41GJ</t>
  </si>
  <si>
    <t>SHC2WPLX97K</t>
  </si>
  <si>
    <t>SHVXM9L7WXD</t>
  </si>
  <si>
    <t>SK25CVJ0022</t>
  </si>
  <si>
    <t>SKF24J3L34K</t>
  </si>
  <si>
    <t>SM3X9MM2Q33</t>
  </si>
  <si>
    <t>AIRPODS PRO 3</t>
  </si>
  <si>
    <t>SC39D9MK224</t>
  </si>
  <si>
    <t>SCXTWPHF2CV</t>
  </si>
  <si>
    <t>SFQ4L2CX7F5</t>
  </si>
  <si>
    <t>SGHF7JVCQ50</t>
  </si>
  <si>
    <t>SJQCN6DF49Q</t>
  </si>
  <si>
    <t>SJR3G9136NF</t>
  </si>
  <si>
    <t>SJRQ914KM7T</t>
  </si>
  <si>
    <t>SK0PV9M7474</t>
  </si>
  <si>
    <t>SLXNC66QXX4</t>
  </si>
  <si>
    <t>SMJ46J6MYVQ</t>
  </si>
  <si>
    <t>CANON IXUS 285 HA</t>
  </si>
  <si>
    <t>]C121159503000039</t>
  </si>
  <si>
    <t>]C121159503000051</t>
  </si>
  <si>
    <t>]C121159503000055</t>
  </si>
  <si>
    <t>]C121159503000057</t>
  </si>
  <si>
    <t>]C121159503000140</t>
  </si>
  <si>
    <t>]C121159503000196</t>
  </si>
  <si>
    <t>]C121159503000233</t>
  </si>
  <si>
    <t>]C121159503000235</t>
  </si>
  <si>
    <t>]C121159503000385</t>
  </si>
  <si>
    <t>]C121159503000493</t>
  </si>
  <si>
    <t>]C121159503000496</t>
  </si>
  <si>
    <t>]C121159503000499</t>
  </si>
  <si>
    <t>CANON SX 740 HS</t>
  </si>
  <si>
    <t>]C121105081000306</t>
  </si>
  <si>
    <t>]C121105081001695</t>
  </si>
  <si>
    <t>]C121105081001699</t>
  </si>
  <si>
    <t>]C121105081001701</t>
  </si>
  <si>
    <t>]C121105081001814</t>
  </si>
  <si>
    <t>]C121105081001816</t>
  </si>
  <si>
    <t>]C121105081001818</t>
  </si>
  <si>
    <t>]C121105081001821</t>
  </si>
  <si>
    <t>]C121105081001822</t>
  </si>
  <si>
    <t>]C121105081001824</t>
  </si>
  <si>
    <t>]C121105081001825</t>
  </si>
  <si>
    <t>]C121105081001826</t>
  </si>
  <si>
    <t>HOME POD</t>
  </si>
  <si>
    <t>SKL7NTV5JX4</t>
  </si>
  <si>
    <t>5UN42179</t>
  </si>
  <si>
    <t>5UN42180</t>
  </si>
  <si>
    <t>5UN42181</t>
  </si>
  <si>
    <t>5UN42182</t>
  </si>
  <si>
    <t>5UN42184</t>
  </si>
  <si>
    <t>5UN42200</t>
  </si>
  <si>
    <t>5UN42205</t>
  </si>
  <si>
    <t>5UN42211</t>
  </si>
  <si>
    <t>5UN42216</t>
  </si>
  <si>
    <t>5UN42217</t>
  </si>
  <si>
    <t>5UN42218</t>
  </si>
  <si>
    <t>5UN42220</t>
  </si>
  <si>
    <t>5UN42221</t>
  </si>
  <si>
    <t>5UN42224</t>
  </si>
  <si>
    <t>5UN42225</t>
  </si>
  <si>
    <t>5UN42226</t>
  </si>
  <si>
    <t>5UN42228</t>
  </si>
  <si>
    <t>5UN42229</t>
  </si>
  <si>
    <t>5UN42230</t>
  </si>
  <si>
    <t>5UN42251</t>
  </si>
  <si>
    <t>5UN42252</t>
  </si>
  <si>
    <t>5UN42253</t>
  </si>
  <si>
    <t>5UN42254</t>
  </si>
  <si>
    <t>5UN42255</t>
  </si>
  <si>
    <t>5UN42256</t>
  </si>
  <si>
    <t>5UN42257</t>
  </si>
  <si>
    <t>5UN42258</t>
  </si>
  <si>
    <t>5UN42259</t>
  </si>
  <si>
    <t>5UN42260</t>
  </si>
  <si>
    <t>5UN60101</t>
  </si>
  <si>
    <t>5UN60102</t>
  </si>
  <si>
    <t>5UN60103</t>
  </si>
  <si>
    <t>5UN60104</t>
  </si>
  <si>
    <t>5UN60105</t>
  </si>
  <si>
    <t>5UN60106</t>
  </si>
  <si>
    <t>5UN60107</t>
  </si>
  <si>
    <t>5UN60108</t>
  </si>
  <si>
    <t>5UN60109</t>
  </si>
  <si>
    <t>5UN60110</t>
  </si>
  <si>
    <t>5UN60111</t>
  </si>
  <si>
    <t>5UN60112</t>
  </si>
  <si>
    <t>5UN60113</t>
  </si>
  <si>
    <t>5UN60114</t>
  </si>
  <si>
    <t>5UN60115</t>
  </si>
  <si>
    <t>5UN60116</t>
  </si>
  <si>
    <t>5UN60117</t>
  </si>
  <si>
    <t>5UN60118</t>
  </si>
  <si>
    <t>5UN60119</t>
  </si>
  <si>
    <t>5UN60120</t>
  </si>
  <si>
    <t>5UN60121</t>
  </si>
  <si>
    <t>L158639</t>
  </si>
  <si>
    <t>L158761</t>
  </si>
  <si>
    <t>L158814</t>
  </si>
  <si>
    <t>L158822</t>
  </si>
  <si>
    <t>L158823</t>
  </si>
  <si>
    <t>L158824</t>
  </si>
  <si>
    <t>L158825</t>
  </si>
  <si>
    <t>L158827</t>
  </si>
  <si>
    <t>L158828</t>
  </si>
  <si>
    <t>L158829</t>
  </si>
  <si>
    <t>MACBOOK AIR M4 13 16 GB, 256 GB</t>
  </si>
  <si>
    <t>SL6JFHCJWDP</t>
  </si>
  <si>
    <t>MACBOOK AIR M4 15 16 GB, 512 GB</t>
  </si>
  <si>
    <t>SF922HPX2GV</t>
  </si>
  <si>
    <t>META QUEST 3 512 GB</t>
  </si>
  <si>
    <t>2G0YBMTGCQ05LV</t>
  </si>
  <si>
    <t>2G97BMMH4Y0347</t>
  </si>
  <si>
    <t>2G97BMMH5D00BK</t>
  </si>
  <si>
    <t>2G97BMMH5F0211</t>
  </si>
  <si>
    <t>2G97BMMH5J0440</t>
  </si>
  <si>
    <t>2G97BMMH5N00VY</t>
  </si>
  <si>
    <t>2G97BMMH6103CB</t>
  </si>
  <si>
    <t>2G97BMMH6L02GB</t>
  </si>
  <si>
    <t>2G97BMMH6L02HS</t>
  </si>
  <si>
    <t>2G97BMMH9G00L4</t>
  </si>
  <si>
    <t>2G97BMMH9H02Q8</t>
  </si>
  <si>
    <t>2G97BMMH9Q04VP</t>
  </si>
  <si>
    <t>2G97BMMHB601MB</t>
  </si>
  <si>
    <t>2G97BMMHB601XD</t>
  </si>
  <si>
    <t>2G97BMMHB601YJ</t>
  </si>
  <si>
    <t>META VANGUARD</t>
  </si>
  <si>
    <t>3Z37V02H9900MZ</t>
  </si>
  <si>
    <t>3Z37V02H9N01Q2</t>
  </si>
  <si>
    <t>3Z37V02HB0006H</t>
  </si>
  <si>
    <t>META WAYFARER</t>
  </si>
  <si>
    <t>2Q9GS01H850597</t>
  </si>
  <si>
    <t>META WAYFARER GEN 2</t>
  </si>
  <si>
    <t>4V0ZW23H7303H1</t>
  </si>
  <si>
    <t>PRESTO ELECTRIC KETTLE</t>
  </si>
  <si>
    <t>prestoelectrickettle001</t>
  </si>
  <si>
    <t>HOLD</t>
  </si>
  <si>
    <t>PS5 PRO</t>
  </si>
  <si>
    <t>S01K14C01M8110301175</t>
  </si>
  <si>
    <t>S01K25701VJ910339628</t>
  </si>
  <si>
    <t>S01K25801VJ910362401</t>
  </si>
  <si>
    <t>2026-03-10</t>
  </si>
  <si>
    <t>5UN60122</t>
  </si>
  <si>
    <t>5UN60123</t>
  </si>
  <si>
    <t>5UN60124</t>
  </si>
  <si>
    <t>5UN60125</t>
  </si>
  <si>
    <t>5UN60126</t>
  </si>
  <si>
    <t>5UN60127</t>
  </si>
  <si>
    <t>5UN60128</t>
  </si>
  <si>
    <t>5UN60129</t>
  </si>
  <si>
    <t>5UN60130</t>
  </si>
  <si>
    <t>5UN60131</t>
  </si>
  <si>
    <t>5UN60132</t>
  </si>
  <si>
    <t>5UN60133</t>
  </si>
  <si>
    <t>5UN60134</t>
  </si>
  <si>
    <t>5UN60135</t>
  </si>
  <si>
    <t>5UN60136</t>
  </si>
  <si>
    <t>355820206639553</t>
  </si>
  <si>
    <t>355832518233033</t>
  </si>
  <si>
    <t>NINTENDO SWITCH 2</t>
  </si>
  <si>
    <t>HAW50133386373</t>
  </si>
  <si>
    <t>HAW50552318047</t>
  </si>
  <si>
    <t>HAW50594654479</t>
  </si>
  <si>
    <t>HAW50823681801</t>
  </si>
  <si>
    <t>HAW50879431337</t>
  </si>
  <si>
    <t>HAW50999742764</t>
  </si>
  <si>
    <t>PS5 SLIM DISC</t>
  </si>
  <si>
    <t>S01F55701DR210256752</t>
  </si>
  <si>
    <t>S01F55801DR210266420</t>
  </si>
  <si>
    <t>S01F55901DR210294298</t>
  </si>
  <si>
    <t>S01F55901DR210294799</t>
  </si>
  <si>
    <t>S01F55901DR210307389</t>
  </si>
  <si>
    <t>S01F55901DR210307406</t>
  </si>
  <si>
    <t>S01F55901DR210307418</t>
  </si>
  <si>
    <t>S01F55901DR210308676</t>
  </si>
  <si>
    <t>S01F55901DR210308695</t>
  </si>
  <si>
    <t>SKYLINE V2 POUCH 3</t>
  </si>
  <si>
    <t>skylinev2pouch30006</t>
  </si>
  <si>
    <t>STARLINK HP</t>
  </si>
  <si>
    <t>starlinkhp00001</t>
  </si>
  <si>
    <t>2026-03-11</t>
  </si>
  <si>
    <t>DUAL SENSE EDGE WIRELESS CONTROLLER</t>
  </si>
  <si>
    <t>dualsenseedgewirelesscontroller0009</t>
  </si>
  <si>
    <t>dualsenseedgewirelesscontroller0010</t>
  </si>
  <si>
    <t>dualsenseedgewirelesscontroller0011</t>
  </si>
  <si>
    <t>dualsenseedgewirelesscontroller0012</t>
  </si>
  <si>
    <t>5UN60137</t>
  </si>
  <si>
    <t>5UN60138</t>
  </si>
  <si>
    <t>5UN60139</t>
  </si>
  <si>
    <t>5UN60140</t>
  </si>
  <si>
    <t>5UN60159</t>
  </si>
  <si>
    <t>5UN60161</t>
  </si>
  <si>
    <t>5UN60162</t>
  </si>
  <si>
    <t>5UN60163</t>
  </si>
  <si>
    <t>5UN60164</t>
  </si>
  <si>
    <t>5UN60165</t>
  </si>
  <si>
    <t>5UN60166</t>
  </si>
  <si>
    <t>5UN60167</t>
  </si>
  <si>
    <t>5UN60168</t>
  </si>
  <si>
    <t>5UN60169</t>
  </si>
  <si>
    <t>5UN60171</t>
  </si>
  <si>
    <t>5UN60172</t>
  </si>
  <si>
    <t>5UN60173</t>
  </si>
  <si>
    <t>5UN60174</t>
  </si>
  <si>
    <t>5UN60175</t>
  </si>
  <si>
    <t>5UN60176</t>
  </si>
  <si>
    <t>5UN60177</t>
  </si>
  <si>
    <t>5UN60178</t>
  </si>
  <si>
    <t>5UN60179</t>
  </si>
  <si>
    <t>5UN60180</t>
  </si>
  <si>
    <t>5UN60181</t>
  </si>
  <si>
    <t>5UN60182</t>
  </si>
  <si>
    <t>5UN60183</t>
  </si>
  <si>
    <t>5UN60184</t>
  </si>
  <si>
    <t>5UN60185</t>
  </si>
  <si>
    <t>5UN60186</t>
  </si>
  <si>
    <t>5UN60187</t>
  </si>
  <si>
    <t>5UN60188</t>
  </si>
  <si>
    <t>5UN60189</t>
  </si>
  <si>
    <t>5UN60190</t>
  </si>
  <si>
    <t>5UN60201</t>
  </si>
  <si>
    <t>5UN60202</t>
  </si>
  <si>
    <t>5UN60203</t>
  </si>
  <si>
    <t>5UN60204</t>
  </si>
  <si>
    <t>5UN60205</t>
  </si>
  <si>
    <t>5UN60206</t>
  </si>
  <si>
    <t>5UN60207</t>
  </si>
  <si>
    <t>5UN60208</t>
  </si>
  <si>
    <t>5UN60209</t>
  </si>
  <si>
    <t>5UN60210</t>
  </si>
  <si>
    <t>5UN60551</t>
  </si>
  <si>
    <t>5UN60552</t>
  </si>
  <si>
    <t>5UN60553</t>
  </si>
  <si>
    <t>5UN60554</t>
  </si>
  <si>
    <t>5UN60555</t>
  </si>
  <si>
    <t>5UN60556</t>
  </si>
  <si>
    <t>5UN60557</t>
  </si>
  <si>
    <t>5UN60558</t>
  </si>
  <si>
    <t>5UN60559</t>
  </si>
  <si>
    <t>5UN60560</t>
  </si>
  <si>
    <t>5UN60561</t>
  </si>
  <si>
    <t>FAHAD LAHORE</t>
  </si>
  <si>
    <t>IPHONE 17 PRO MAX 2 TB</t>
  </si>
  <si>
    <t>2G97BMMH9G00QM</t>
  </si>
  <si>
    <t>META QUEST 3S</t>
  </si>
  <si>
    <t>NINJA CREAMI</t>
  </si>
  <si>
    <t>ninjacreami0010</t>
  </si>
  <si>
    <t>NINTENDO SWITCH 2 MARIOKART</t>
  </si>
  <si>
    <t>XKW70042063868</t>
  </si>
  <si>
    <t>NINTENDO SWITCH REGULAR</t>
  </si>
  <si>
    <t>XKW40016891919</t>
  </si>
  <si>
    <t>XKW50103180253</t>
  </si>
  <si>
    <t>PS5 DUAL SENSE CONTROLLER</t>
  </si>
  <si>
    <t>dualsensewirelesscontroller00049</t>
  </si>
  <si>
    <t>dualsensewirelesscontroller00050</t>
  </si>
  <si>
    <t>2026-03-12</t>
  </si>
  <si>
    <t>5UN60562</t>
  </si>
  <si>
    <t>5UN60563</t>
  </si>
  <si>
    <t>5UN60564</t>
  </si>
  <si>
    <t>5UN60565</t>
  </si>
  <si>
    <t>5UN60566</t>
  </si>
  <si>
    <t>5UN60567</t>
  </si>
  <si>
    <t>5UN60568</t>
  </si>
  <si>
    <t>5UN60569</t>
  </si>
  <si>
    <t>5UN60570</t>
  </si>
  <si>
    <t>5WN07231</t>
  </si>
  <si>
    <t>5WN07236</t>
  </si>
  <si>
    <t>5WN07237</t>
  </si>
  <si>
    <t>sampleForBlanace1</t>
  </si>
  <si>
    <t>sampleForBlanace2</t>
  </si>
  <si>
    <t>IPHONE 16 PRO 128 GB</t>
  </si>
  <si>
    <t>S01F55901DR210294299</t>
  </si>
  <si>
    <t>S01F55901DR210309768</t>
  </si>
  <si>
    <t>2026-03-13</t>
  </si>
  <si>
    <t>SCDV2PYNH9K</t>
  </si>
  <si>
    <t>SHG26VVYYVV</t>
  </si>
  <si>
    <t>SHN7V57950D</t>
  </si>
  <si>
    <t>SJ4QDKC6M4Y</t>
  </si>
  <si>
    <t>SJ72XH2Y6YJ</t>
  </si>
  <si>
    <t>SK4XNH997DQ</t>
  </si>
  <si>
    <t>DM4123456</t>
  </si>
  <si>
    <t>Missing in Aus</t>
  </si>
  <si>
    <t>DJI MAVIC 4 PRO FLY MORE COMBO</t>
  </si>
  <si>
    <t>DMF123456</t>
  </si>
  <si>
    <t>DJI MINI 4K FLY MORE COMBO</t>
  </si>
  <si>
    <t>DMN4123456</t>
  </si>
  <si>
    <t>DMN41234567</t>
  </si>
  <si>
    <t>DMN412345678</t>
  </si>
  <si>
    <t>DJI MINI 5 PRO FLY MORE COMBO 52 MINS</t>
  </si>
  <si>
    <t>DMN123456</t>
  </si>
  <si>
    <t>DMN1234567</t>
  </si>
  <si>
    <t>GOOGLE TV STREAMER</t>
  </si>
  <si>
    <t>googlestreamer0001</t>
  </si>
  <si>
    <t>googlestreamer0002</t>
  </si>
  <si>
    <t>googlestreamer0003</t>
  </si>
  <si>
    <t>googlestreamer0004</t>
  </si>
  <si>
    <t>googlestreamer0005</t>
  </si>
  <si>
    <t>MACBOOK PRO M5 14 24 GB, 1 TB</t>
  </si>
  <si>
    <t>Mac123456</t>
  </si>
  <si>
    <t>4V0ZW25H8V04JG</t>
  </si>
  <si>
    <t>4V37W32H9902GH</t>
  </si>
  <si>
    <t>4V37W32HC4012G</t>
  </si>
  <si>
    <t>4V37W32HC401GT</t>
  </si>
  <si>
    <t>2026-03-14</t>
  </si>
  <si>
    <t>IPHONE 13 PRO MAX 128 GB</t>
  </si>
  <si>
    <t>MOTOROLLA EDGE 5G 2025</t>
  </si>
  <si>
    <t>MOTOROLLA G (5G)</t>
  </si>
  <si>
    <t>MOTOROLLA G STYLUS 5G</t>
  </si>
  <si>
    <t>S01K5560179810281816</t>
  </si>
  <si>
    <t>2026-03-15</t>
  </si>
  <si>
    <t>2026-03-16</t>
  </si>
  <si>
    <t>APPLE WATCH SE 3 40MM</t>
  </si>
  <si>
    <t>APPLE WATCH SE 3 44MM</t>
  </si>
  <si>
    <t>APPLE WATCH SERIES 11 42MM</t>
  </si>
  <si>
    <t>APPLE WATCH SERIES 11 46MM</t>
  </si>
  <si>
    <t>SFK4XL2K1Q2</t>
  </si>
  <si>
    <t>SGCX42WGP07</t>
  </si>
  <si>
    <t>IPHONE 16 PRO 256 GB</t>
  </si>
  <si>
    <t>100%, 161 Cycles, Damaged Screen</t>
  </si>
  <si>
    <t>100%, 129 Cycles, Damaged Screen</t>
  </si>
  <si>
    <t>98%, 233 Cycles</t>
  </si>
  <si>
    <t>Active Kit</t>
  </si>
  <si>
    <t>2026-03-17</t>
  </si>
  <si>
    <t>S01F55901DR210312177</t>
  </si>
  <si>
    <t>2026-03-18</t>
  </si>
  <si>
    <t>STARLINK V4</t>
  </si>
  <si>
    <t>starlinkv41276</t>
  </si>
  <si>
    <t>RAZA 503</t>
  </si>
  <si>
    <t>starlinkv41277</t>
  </si>
  <si>
    <t>starlinkv41278</t>
  </si>
  <si>
    <t>starlinkv41279</t>
  </si>
  <si>
    <t>starlinkv41280</t>
  </si>
  <si>
    <t>2026-03-19</t>
  </si>
  <si>
    <t>2026-03-21</t>
  </si>
  <si>
    <t>IPHONE 15 PRO MAX 256 GB</t>
  </si>
  <si>
    <t>2026-03-24</t>
  </si>
  <si>
    <t>starlinkhp00002</t>
  </si>
  <si>
    <t>2026-03-25</t>
  </si>
  <si>
    <t>1581F6Z9C251C003BCNG</t>
  </si>
  <si>
    <t>1581F6Z9C251D003BN7E</t>
  </si>
  <si>
    <t>1581F6Z9C254C003E003</t>
  </si>
  <si>
    <t>1581F6Z9C254F003E8PX</t>
  </si>
  <si>
    <t>strlinkv41276</t>
  </si>
  <si>
    <t>strlinkv41277</t>
  </si>
  <si>
    <t>strlinkv41278</t>
  </si>
  <si>
    <t>strlinkv41279</t>
  </si>
  <si>
    <t>strlinkv41280</t>
  </si>
  <si>
    <t>strlinkv41281</t>
  </si>
  <si>
    <t>strlinkv41282</t>
  </si>
  <si>
    <t>strlinkv41283</t>
  </si>
  <si>
    <t>strlinkv41284</t>
  </si>
  <si>
    <t>strlinkv41285</t>
  </si>
  <si>
    <t>2026-03-26</t>
  </si>
  <si>
    <t>Box Damaged</t>
  </si>
  <si>
    <t>IPHONE AIR 1TB</t>
  </si>
  <si>
    <t>strlinkv41286</t>
  </si>
  <si>
    <t>strlinkv41287</t>
  </si>
  <si>
    <t>strlinkv41288</t>
  </si>
  <si>
    <t>strlinkv41289</t>
  </si>
  <si>
    <t>strlinkv41290</t>
  </si>
  <si>
    <t>strlinkv41291</t>
  </si>
  <si>
    <t>strlinkv41292</t>
  </si>
  <si>
    <t>strlinkv41293</t>
  </si>
  <si>
    <t>strlinkv41294</t>
  </si>
  <si>
    <t>strlinkv41295</t>
  </si>
  <si>
    <t>strlinkv41296</t>
  </si>
  <si>
    <t>strlinkv41297</t>
  </si>
  <si>
    <t>strlinkv41298</t>
  </si>
  <si>
    <t>strlinkv41299</t>
  </si>
  <si>
    <t>strlinkv41300</t>
  </si>
  <si>
    <t>strlinkv41301</t>
  </si>
  <si>
    <t>strlinkv41302</t>
  </si>
  <si>
    <t>strlinkv41303</t>
  </si>
  <si>
    <t>strlinkv41304</t>
  </si>
  <si>
    <t>strlinkv41305</t>
  </si>
  <si>
    <t>strlinkv41306</t>
  </si>
  <si>
    <t>strlinkv41307</t>
  </si>
  <si>
    <t>strlinkv41308</t>
  </si>
  <si>
    <t>strlinkv41309</t>
  </si>
  <si>
    <t>strlinkv41310</t>
  </si>
  <si>
    <t>strlinkv41311</t>
  </si>
  <si>
    <t>strlinkv41312</t>
  </si>
  <si>
    <t>strlinkv41313</t>
  </si>
  <si>
    <t>strlinkv41314</t>
  </si>
  <si>
    <t>strlinkv41315</t>
  </si>
  <si>
    <t>strlinkv41316</t>
  </si>
  <si>
    <t>strlinkv41317</t>
  </si>
  <si>
    <t>strlinkv41318</t>
  </si>
  <si>
    <t>strlinkv41319</t>
  </si>
  <si>
    <t>strlinkv41320</t>
  </si>
  <si>
    <t>strlinkv41321</t>
  </si>
  <si>
    <t>strlinkv41322</t>
  </si>
  <si>
    <t>strlinkv41323</t>
  </si>
  <si>
    <t>strlinkv41324</t>
  </si>
  <si>
    <t>strlinkv41325</t>
  </si>
  <si>
    <t>strlinkv41326</t>
  </si>
  <si>
    <t>strlinkv41327</t>
  </si>
  <si>
    <t>strlinkv41328</t>
  </si>
  <si>
    <t>strlinkv41329</t>
  </si>
  <si>
    <t>strlinkv41330</t>
  </si>
  <si>
    <t>strlinkv41331</t>
  </si>
  <si>
    <t>strlinkv41332</t>
  </si>
  <si>
    <t>strlinkv41333</t>
  </si>
  <si>
    <t>strlinkv41334</t>
  </si>
  <si>
    <t>strlinkv41335</t>
  </si>
  <si>
    <t>strlinkv41336</t>
  </si>
  <si>
    <t>strlinkv41337</t>
  </si>
  <si>
    <t>strlinkv41338</t>
  </si>
  <si>
    <t>strlinkv41339</t>
  </si>
  <si>
    <t>strlinkv41340</t>
  </si>
  <si>
    <t>strlinkv41341</t>
  </si>
  <si>
    <t>strlinkv41342</t>
  </si>
  <si>
    <t>strlinkv41343</t>
  </si>
  <si>
    <t>strlinkv41344</t>
  </si>
  <si>
    <t>strlinkv41345</t>
  </si>
  <si>
    <t>strlinkv41346</t>
  </si>
  <si>
    <t>strlinkv41347</t>
  </si>
  <si>
    <t>strlinkv41348</t>
  </si>
  <si>
    <t>strlinkv41349</t>
  </si>
  <si>
    <t>strlinkv41350</t>
  </si>
  <si>
    <t>strlinkv41351</t>
  </si>
  <si>
    <t>strlinkv41352</t>
  </si>
  <si>
    <t>strlinkv41353</t>
  </si>
  <si>
    <t>strlinkv41354</t>
  </si>
  <si>
    <t>strlinkv41355</t>
  </si>
  <si>
    <t>2026-03-27</t>
  </si>
  <si>
    <t>DJI MAVIC 4 PRO STANDARD</t>
  </si>
  <si>
    <t>1581F8LQC255Q0022GKA</t>
  </si>
  <si>
    <t>1581F8LQC259Q0025JUL</t>
  </si>
  <si>
    <t>1581F8LQC259Q0025K9A</t>
  </si>
  <si>
    <t>1581F8LQC259V0025QG5</t>
  </si>
  <si>
    <t>1581F8LQC25AC00260CR</t>
  </si>
  <si>
    <t>2026-03-28</t>
  </si>
  <si>
    <t>strlinkv41356</t>
  </si>
  <si>
    <t>strlinkv41357</t>
  </si>
  <si>
    <t>strlinkv41358</t>
  </si>
  <si>
    <t>strlinkv41359</t>
  </si>
  <si>
    <t>strlinkv41360</t>
  </si>
  <si>
    <t>strlinkv41361</t>
  </si>
  <si>
    <t>strlinkv41362</t>
  </si>
  <si>
    <t>strlinkv41363</t>
  </si>
  <si>
    <t>strlinkv41364</t>
  </si>
  <si>
    <t>strlinkv41365</t>
  </si>
  <si>
    <t>strlinkv41366</t>
  </si>
  <si>
    <t>strlinkv41367</t>
  </si>
  <si>
    <t>strlinkv41368</t>
  </si>
  <si>
    <t>strlinkv41369</t>
  </si>
  <si>
    <t>strlinkv41370</t>
  </si>
  <si>
    <t>strlinkv41371</t>
  </si>
  <si>
    <t>strlinkv41372</t>
  </si>
  <si>
    <t>strlinkv41373</t>
  </si>
  <si>
    <t>strlinkv41374</t>
  </si>
  <si>
    <t>strlinkv41375</t>
  </si>
  <si>
    <t>strlinkv41376</t>
  </si>
  <si>
    <t>strlinkv41377</t>
  </si>
  <si>
    <t>strlinkv41378</t>
  </si>
  <si>
    <t>strlinkv41379</t>
  </si>
  <si>
    <t>strlinkv41380</t>
  </si>
  <si>
    <t>strlinkv41381</t>
  </si>
  <si>
    <t>strlinkv41382</t>
  </si>
  <si>
    <t>strlinkv41383</t>
  </si>
  <si>
    <t>strlinkv41384</t>
  </si>
  <si>
    <t>strlinkv41385</t>
  </si>
  <si>
    <t>strlinkv41386</t>
  </si>
  <si>
    <t>strlinkv41387</t>
  </si>
  <si>
    <t>strlinkv41388</t>
  </si>
  <si>
    <t>strlinkv41389</t>
  </si>
  <si>
    <t>strlinkv41390</t>
  </si>
  <si>
    <t>strlinkv41391</t>
  </si>
  <si>
    <t>strlinkv41392</t>
  </si>
  <si>
    <t>strlinkv41393</t>
  </si>
  <si>
    <t>strlinkv41394</t>
  </si>
  <si>
    <t>strlinkv41395</t>
  </si>
  <si>
    <t>strlinkv41396</t>
  </si>
  <si>
    <t>strlinkv41397</t>
  </si>
  <si>
    <t>strlinkv41398</t>
  </si>
  <si>
    <t>strlinkv41399</t>
  </si>
  <si>
    <t>strlinkv41400</t>
  </si>
  <si>
    <t>strlinkv41401</t>
  </si>
  <si>
    <t>strlinkv41402</t>
  </si>
  <si>
    <t>strlinkv41403</t>
  </si>
  <si>
    <t>strlinkv41404</t>
  </si>
  <si>
    <t>strlinkv41405</t>
  </si>
  <si>
    <t>strlinkv41406</t>
  </si>
  <si>
    <t>strlinkv41407</t>
  </si>
  <si>
    <t>strlinkv41408</t>
  </si>
  <si>
    <t>strlinkv41409</t>
  </si>
  <si>
    <t>strlinkv41410</t>
  </si>
  <si>
    <t>strlinkv41411</t>
  </si>
  <si>
    <t>strlinkv41412</t>
  </si>
  <si>
    <t>strlinkv41413</t>
  </si>
  <si>
    <t>strlinkv41414</t>
  </si>
  <si>
    <t>strlinkv41415</t>
  </si>
  <si>
    <t>strlinkv41416</t>
  </si>
  <si>
    <t>strlinkv41417</t>
  </si>
  <si>
    <t>strlinkv41418</t>
  </si>
  <si>
    <t>strlinkv41419</t>
  </si>
  <si>
    <t>strlinkv41420</t>
  </si>
  <si>
    <t>strlinkv41421</t>
  </si>
  <si>
    <t>strlinkv41422</t>
  </si>
  <si>
    <t>strlinkv41423</t>
  </si>
  <si>
    <t>strlinkv41424</t>
  </si>
  <si>
    <t>strlinkv41425</t>
  </si>
  <si>
    <t>strlinkv41426</t>
  </si>
  <si>
    <t>strlinkv41427</t>
  </si>
  <si>
    <t>strlinkv41428</t>
  </si>
  <si>
    <t>strlinkv41429</t>
  </si>
  <si>
    <t>strlinkv41430</t>
  </si>
  <si>
    <t>strlinkv41431</t>
  </si>
  <si>
    <t>strlinkv41432</t>
  </si>
  <si>
    <t>strlinkv41433</t>
  </si>
  <si>
    <t>strlinkv41434</t>
  </si>
  <si>
    <t>strlinkv41435</t>
  </si>
  <si>
    <t>strlinkv41436</t>
  </si>
  <si>
    <t>strlinkv41437</t>
  </si>
  <si>
    <t>strlinkv41438</t>
  </si>
  <si>
    <t>strlinkv41439</t>
  </si>
  <si>
    <t>strlinkv41440</t>
  </si>
  <si>
    <t>strlinkv41441</t>
  </si>
  <si>
    <t>strlinkv41442</t>
  </si>
  <si>
    <t>strlinkv41443</t>
  </si>
  <si>
    <t>strlinkv41444</t>
  </si>
  <si>
    <t>strlinkv41445</t>
  </si>
  <si>
    <t>strlinkv41446</t>
  </si>
  <si>
    <t>strlinkv41447</t>
  </si>
  <si>
    <t>strlinkv41448</t>
  </si>
  <si>
    <t>strlinkv41449</t>
  </si>
  <si>
    <t>strlinkv41450</t>
  </si>
  <si>
    <t>strlinkv41451</t>
  </si>
  <si>
    <t>strlinkv41452</t>
  </si>
  <si>
    <t>strlinkv41453</t>
  </si>
  <si>
    <t>strlinkv41454</t>
  </si>
  <si>
    <t>strlinkv41455</t>
  </si>
  <si>
    <t>strlinkv41456</t>
  </si>
  <si>
    <t>strlinkv41457</t>
  </si>
  <si>
    <t>strlinkv41458</t>
  </si>
  <si>
    <t>strlinkv41459</t>
  </si>
  <si>
    <t>strlinkv41460</t>
  </si>
  <si>
    <t>strlinkv41461</t>
  </si>
  <si>
    <t>strlinkv41462</t>
  </si>
  <si>
    <t>strlinkv41463</t>
  </si>
  <si>
    <t>strlinkv41464</t>
  </si>
  <si>
    <t>strlinkv41465</t>
  </si>
  <si>
    <t>strlinkv41466</t>
  </si>
  <si>
    <t>strlinkv41467</t>
  </si>
  <si>
    <t>strlinkv41468</t>
  </si>
  <si>
    <t>strlinkv41469</t>
  </si>
  <si>
    <t>strlinkv41470</t>
  </si>
  <si>
    <t>strlinkv41471</t>
  </si>
  <si>
    <t>strlinkv41472</t>
  </si>
  <si>
    <t>strlinkv41473</t>
  </si>
  <si>
    <t>strlinkv41474</t>
  </si>
  <si>
    <t>strlinkv41475</t>
  </si>
  <si>
    <t>strlinkv41476</t>
  </si>
  <si>
    <t>strlinkv41477</t>
  </si>
  <si>
    <t>strlinkv41478</t>
  </si>
  <si>
    <t>strlinkv41479</t>
  </si>
  <si>
    <t>strlinkv41480</t>
  </si>
  <si>
    <t>strlinkv41481</t>
  </si>
  <si>
    <t>strlinkv41482</t>
  </si>
  <si>
    <t>strlinkv41483</t>
  </si>
  <si>
    <t>strlinkv41484</t>
  </si>
  <si>
    <t>strlinkv41485</t>
  </si>
  <si>
    <t>strlinkv41486</t>
  </si>
  <si>
    <t>strlinkv41487</t>
  </si>
  <si>
    <t>strlinkv41488</t>
  </si>
  <si>
    <t>strlinkv41489</t>
  </si>
  <si>
    <t>strlinkv41490</t>
  </si>
  <si>
    <t>strlinkv41491</t>
  </si>
  <si>
    <t>strlinkv41492</t>
  </si>
  <si>
    <t>2026-03-30</t>
  </si>
  <si>
    <t>IPHONE 17 512 GB</t>
  </si>
  <si>
    <t>local purchase</t>
  </si>
  <si>
    <t>FARAZ GVT</t>
  </si>
  <si>
    <t>2026-03-31</t>
  </si>
  <si>
    <t>T-Mobile Kit</t>
  </si>
  <si>
    <t>TOTAL</t>
  </si>
  <si>
    <t>40.20 (avg)</t>
  </si>
  <si>
    <t>Total Sale</t>
  </si>
  <si>
    <t>Total Purchase</t>
  </si>
  <si>
    <t>Total Profit</t>
  </si>
  <si>
    <t>Average Percentage</t>
  </si>
  <si>
    <t>Less Gst</t>
  </si>
  <si>
    <t>After Gst Cost</t>
  </si>
  <si>
    <t>Starlink V2</t>
  </si>
  <si>
    <t>Total Puchase</t>
  </si>
  <si>
    <t>Total Gst</t>
  </si>
  <si>
    <t>Total Purchasing</t>
  </si>
  <si>
    <t xml:space="preserve"> Total profit loss</t>
  </si>
  <si>
    <t>Australia Office Exp</t>
  </si>
  <si>
    <t>{ INVOICE 00871082 6194.93 AU$ @2.5252 CTF Mel }</t>
  </si>
  <si>
    <t>Bunnings Morayfiled Queensland DC 110AU$ @2.4884</t>
  </si>
  <si>
    <t>Karachi Office Exp</t>
  </si>
  <si>
    <t>Salary Exp Khi</t>
  </si>
  <si>
    <t>Dubai Office Exp</t>
  </si>
  <si>
    <t>Salary Exp</t>
  </si>
  <si>
    <t>Loss A/C Hassan Ashraf</t>
  </si>
  <si>
    <t>inv 00870557 3561.82 AU$ @2.5252 CTF Mel</t>
  </si>
  <si>
    <t>{ inv S00027018 3606.01 AU$ @2.4884 megatop</t>
  </si>
  <si>
    <t>19/03/2026 889772690786</t>
  </si>
  <si>
    <t>19/03/2026 889773348313</t>
  </si>
  <si>
    <t>26/03/2026 870029785624</t>
  </si>
  <si>
    <t>Loss A/C (missing items in Australia)</t>
  </si>
  <si>
    <t>Total Expanse</t>
  </si>
  <si>
    <t>Total Profit in Australia</t>
  </si>
  <si>
    <t>Total Profit in Usa</t>
  </si>
  <si>
    <t>Commission Charges</t>
  </si>
  <si>
    <t>Total Profit in Karachi</t>
  </si>
  <si>
    <t>Total Profit in Newzealand</t>
  </si>
  <si>
    <t>Total Profit in Dubai</t>
  </si>
  <si>
    <t>Overall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</si>
</sst>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9875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3D3D3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0" fillId="0" borderId="0" xfId="0" applyNumberFormat="1"/>
    <xf numFmtId="0" fontId="0" fillId="3" borderId="0" xfId="0" applyNumberFormat="1" applyFill="1"/>
    <xf numFmtId="0" fontId="0" fillId="4" borderId="0" xfId="0" applyNumberFormat="1" applyFill="1"/>
    <xf numFmtId="2" fontId="0" fillId="0" borderId="0" xfId="0" applyNumberFormat="1"/>
    <xf numFmtId="2" fontId="1" fillId="2" borderId="0" xfId="0" applyNumberFormat="1" applyFont="1" applyFill="1"/>
    <xf numFmtId="1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10" fontId="0" fillId="0" borderId="0" xfId="0" applyNumberFormat="1"/>
    <xf numFmtId="0" fontId="1" fillId="2" borderId="1" xfId="0" applyFont="1" applyFill="1" applyBorder="1"/>
    <xf numFmtId="1" fontId="1" fillId="2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/>
    <xf numFmtId="0" fontId="0" fillId="3" borderId="1" xfId="0" applyFill="1" applyBorder="1"/>
    <xf numFmtId="1" fontId="0" fillId="3" borderId="1" xfId="0" applyNumberFormat="1" applyFill="1" applyBorder="1" applyAlignment="1">
      <alignment horizontal="center"/>
    </xf>
    <xf numFmtId="0" fontId="0" fillId="3" borderId="1" xfId="0" applyNumberFormat="1" applyFill="1" applyBorder="1"/>
    <xf numFmtId="10" fontId="0" fillId="3" borderId="1" xfId="0" applyNumberFormat="1" applyFill="1" applyBorder="1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NumberFormat="1" applyBorder="1"/>
    <xf numFmtId="10" fontId="0" fillId="6" borderId="1" xfId="0" applyNumberFormat="1" applyFill="1" applyBorder="1"/>
    <xf numFmtId="0" fontId="3" fillId="0" borderId="1" xfId="0" applyFont="1" applyBorder="1"/>
    <xf numFmtId="10" fontId="3" fillId="0" borderId="1" xfId="0" applyNumberFormat="1" applyFont="1" applyBorder="1"/>
    <xf numFmtId="0" fontId="0" fillId="6" borderId="1" xfId="0" applyFill="1" applyBorder="1"/>
    <xf numFmtId="1" fontId="0" fillId="6" borderId="1" xfId="0" applyNumberFormat="1" applyFill="1" applyBorder="1" applyAlignment="1">
      <alignment horizontal="center"/>
    </xf>
    <xf numFmtId="0" fontId="0" fillId="6" borderId="1" xfId="0" applyNumberFormat="1" applyFill="1" applyBorder="1"/>
    <xf numFmtId="2" fontId="0" fillId="6" borderId="1" xfId="0" applyNumberFormat="1" applyFill="1" applyBorder="1"/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/>
    <xf numFmtId="2" fontId="0" fillId="0" borderId="1" xfId="0" applyNumberFormat="1" applyBorder="1"/>
    <xf numFmtId="10" fontId="0" fillId="0" borderId="1" xfId="0" applyNumberFormat="1" applyBorder="1"/>
    <xf numFmtId="0" fontId="0" fillId="7" borderId="1" xfId="0" applyFill="1" applyBorder="1"/>
    <xf numFmtId="1" fontId="0" fillId="7" borderId="1" xfId="0" applyNumberFormat="1" applyFill="1" applyBorder="1" applyAlignment="1">
      <alignment horizontal="center"/>
    </xf>
    <xf numFmtId="0" fontId="0" fillId="7" borderId="1" xfId="0" applyNumberFormat="1" applyFill="1" applyBorder="1"/>
    <xf numFmtId="2" fontId="0" fillId="7" borderId="1" xfId="0" applyNumberFormat="1" applyFill="1" applyBorder="1"/>
    <xf numFmtId="10" fontId="0" fillId="7" borderId="1" xfId="0" applyNumberFormat="1" applyFill="1" applyBorder="1"/>
    <xf numFmtId="2" fontId="3" fillId="0" borderId="1" xfId="0" applyNumberFormat="1" applyFont="1" applyBorder="1"/>
    <xf numFmtId="1" fontId="5" fillId="0" borderId="1" xfId="0" applyNumberFormat="1" applyFont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0" fillId="0" borderId="0" xfId="0" applyBorder="1"/>
    <xf numFmtId="1" fontId="5" fillId="0" borderId="0" xfId="0" applyNumberFormat="1" applyFont="1" applyBorder="1" applyAlignment="1">
      <alignment horizontal="center" vertical="center" wrapText="1"/>
    </xf>
    <xf numFmtId="1" fontId="3" fillId="6" borderId="0" xfId="0" applyNumberFormat="1" applyFont="1" applyFill="1" applyBorder="1" applyAlignment="1">
      <alignment horizontal="center" vertical="center" wrapText="1"/>
    </xf>
    <xf numFmtId="1" fontId="5" fillId="6" borderId="0" xfId="0" applyNumberFormat="1" applyFont="1" applyFill="1" applyBorder="1" applyAlignment="1">
      <alignment horizontal="center" vertical="center" wrapText="1"/>
    </xf>
    <xf numFmtId="1" fontId="6" fillId="6" borderId="0" xfId="0" applyNumberFormat="1" applyFont="1" applyFill="1" applyBorder="1" applyAlignment="1">
      <alignment horizontal="center" vertical="center"/>
    </xf>
    <xf numFmtId="0" fontId="6" fillId="0" borderId="0" xfId="0" applyFont="1" applyBorder="1"/>
    <xf numFmtId="1" fontId="6" fillId="6" borderId="0" xfId="0" applyNumberFormat="1" applyFont="1" applyFill="1" applyBorder="1" applyAlignment="1">
      <alignment horizontal="center"/>
    </xf>
    <xf numFmtId="10" fontId="0" fillId="6" borderId="0" xfId="0" applyNumberFormat="1" applyFill="1" applyBorder="1"/>
    <xf numFmtId="0" fontId="0" fillId="6" borderId="0" xfId="0" applyFill="1" applyBorder="1"/>
    <xf numFmtId="1" fontId="0" fillId="6" borderId="1" xfId="0" applyNumberFormat="1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/>
    <xf numFmtId="1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/>
    <xf numFmtId="0" fontId="0" fillId="0" borderId="1" xfId="0" applyFill="1" applyBorder="1"/>
    <xf numFmtId="0" fontId="3" fillId="9" borderId="1" xfId="0" applyFont="1" applyFill="1" applyBorder="1" applyAlignment="1">
      <alignment horizontal="center"/>
    </xf>
    <xf numFmtId="2" fontId="3" fillId="9" borderId="1" xfId="0" applyNumberFormat="1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/>
    </xf>
    <xf numFmtId="2" fontId="3" fillId="10" borderId="1" xfId="0" applyNumberFormat="1" applyFont="1" applyFill="1" applyBorder="1" applyAlignment="1">
      <alignment horizontal="right"/>
    </xf>
    <xf numFmtId="1" fontId="3" fillId="11" borderId="1" xfId="0" applyNumberFormat="1" applyFont="1" applyFill="1" applyBorder="1" applyAlignment="1">
      <alignment horizontal="center"/>
    </xf>
    <xf numFmtId="2" fontId="3" fillId="11" borderId="1" xfId="0" applyNumberFormat="1" applyFont="1" applyFill="1" applyBorder="1" applyAlignment="1">
      <alignment horizontal="right"/>
    </xf>
    <xf numFmtId="1" fontId="3" fillId="12" borderId="1" xfId="0" applyNumberFormat="1" applyFont="1" applyFill="1" applyBorder="1" applyAlignment="1">
      <alignment horizontal="center"/>
    </xf>
    <xf numFmtId="2" fontId="3" fillId="12" borderId="1" xfId="0" applyNumberFormat="1" applyFont="1" applyFill="1" applyBorder="1" applyAlignment="1">
      <alignment horizontal="right"/>
    </xf>
    <xf numFmtId="1" fontId="3" fillId="13" borderId="1" xfId="0" applyNumberFormat="1" applyFont="1" applyFill="1" applyBorder="1" applyAlignment="1">
      <alignment horizontal="center"/>
    </xf>
    <xf numFmtId="2" fontId="3" fillId="13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1" fontId="6" fillId="8" borderId="1" xfId="0" applyNumberFormat="1" applyFont="1" applyFill="1" applyBorder="1" applyAlignment="1">
      <alignment horizontal="center"/>
    </xf>
    <xf numFmtId="2" fontId="3" fillId="8" borderId="1" xfId="0" applyNumberFormat="1" applyFont="1" applyFill="1" applyBorder="1" applyAlignment="1">
      <alignment horizontal="right"/>
    </xf>
    <xf numFmtId="0" fontId="0" fillId="8" borderId="1" xfId="0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1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5"/>
  <sheetViews>
    <sheetView topLeftCell="A13" zoomScale="90" zoomScaleNormal="90" workbookViewId="0">
      <selection activeCell="C17" sqref="C17"/>
    </sheetView>
  </sheetViews>
  <sheetFormatPr defaultRowHeight="15" x14ac:dyDescent="0.25"/>
  <cols>
    <col min="1" max="1" width="25" customWidth="1"/>
    <col min="2" max="2" width="39" customWidth="1"/>
    <col min="3" max="3" width="37" style="10" customWidth="1"/>
    <col min="4" max="4" width="36" customWidth="1"/>
    <col min="5" max="5" width="12" customWidth="1"/>
    <col min="6" max="6" width="16" customWidth="1"/>
    <col min="7" max="7" width="13" customWidth="1"/>
    <col min="8" max="8" width="21" customWidth="1"/>
    <col min="9" max="9" width="25.140625" customWidth="1"/>
  </cols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</row>
    <row r="4" spans="1:9" s="1" customFormat="1" x14ac:dyDescent="0.25">
      <c r="A4" s="1" t="s">
        <v>3</v>
      </c>
      <c r="B4" s="1" t="s">
        <v>4</v>
      </c>
      <c r="C4" s="1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x14ac:dyDescent="0.25">
      <c r="A5" t="s">
        <v>12</v>
      </c>
      <c r="B5" t="s">
        <v>13</v>
      </c>
      <c r="C5" s="10" t="s">
        <v>14</v>
      </c>
      <c r="D5" t="s">
        <v>15</v>
      </c>
      <c r="E5" s="5">
        <v>11200</v>
      </c>
      <c r="F5" s="5">
        <v>10586</v>
      </c>
      <c r="G5" s="5">
        <v>614</v>
      </c>
      <c r="H5" s="5">
        <v>5.8</v>
      </c>
      <c r="I5" t="s">
        <v>16</v>
      </c>
    </row>
    <row r="6" spans="1:9" x14ac:dyDescent="0.25">
      <c r="A6" t="s">
        <v>12</v>
      </c>
      <c r="B6" t="s">
        <v>13</v>
      </c>
      <c r="C6" s="10" t="s">
        <v>17</v>
      </c>
      <c r="D6" t="s">
        <v>15</v>
      </c>
      <c r="E6" s="5">
        <v>11200</v>
      </c>
      <c r="F6" s="5">
        <v>7900.33</v>
      </c>
      <c r="G6" s="5">
        <v>3299.67</v>
      </c>
      <c r="H6" s="5">
        <v>41.77</v>
      </c>
      <c r="I6" t="s">
        <v>16</v>
      </c>
    </row>
    <row r="7" spans="1:9" x14ac:dyDescent="0.25">
      <c r="A7" t="s">
        <v>12</v>
      </c>
      <c r="B7" t="s">
        <v>18</v>
      </c>
      <c r="C7" s="10" t="s">
        <v>19</v>
      </c>
      <c r="D7" t="s">
        <v>15</v>
      </c>
      <c r="E7" s="5">
        <v>1440</v>
      </c>
      <c r="F7" s="5">
        <v>1382.15</v>
      </c>
      <c r="G7" s="5">
        <v>57.85</v>
      </c>
      <c r="H7" s="5">
        <v>4.1900000000000004</v>
      </c>
      <c r="I7" t="s">
        <v>20</v>
      </c>
    </row>
    <row r="8" spans="1:9" x14ac:dyDescent="0.25">
      <c r="A8" t="s">
        <v>12</v>
      </c>
      <c r="B8" t="s">
        <v>18</v>
      </c>
      <c r="C8" s="10" t="s">
        <v>21</v>
      </c>
      <c r="D8" t="s">
        <v>15</v>
      </c>
      <c r="E8" s="5">
        <v>1440</v>
      </c>
      <c r="F8" s="5">
        <v>1382.15</v>
      </c>
      <c r="G8" s="5">
        <v>57.85</v>
      </c>
      <c r="H8" s="5">
        <v>4.1900000000000004</v>
      </c>
      <c r="I8" t="s">
        <v>20</v>
      </c>
    </row>
    <row r="9" spans="1:9" x14ac:dyDescent="0.25">
      <c r="A9" t="s">
        <v>12</v>
      </c>
      <c r="B9" t="s">
        <v>18</v>
      </c>
      <c r="C9" s="10" t="s">
        <v>22</v>
      </c>
      <c r="D9" t="s">
        <v>15</v>
      </c>
      <c r="E9" s="5">
        <v>1440</v>
      </c>
      <c r="F9" s="5">
        <v>1382.15</v>
      </c>
      <c r="G9" s="5">
        <v>57.85</v>
      </c>
      <c r="H9" s="5">
        <v>4.1900000000000004</v>
      </c>
      <c r="I9" t="s">
        <v>20</v>
      </c>
    </row>
    <row r="10" spans="1:9" x14ac:dyDescent="0.25">
      <c r="A10" t="s">
        <v>12</v>
      </c>
      <c r="B10" t="s">
        <v>18</v>
      </c>
      <c r="C10" s="10" t="s">
        <v>23</v>
      </c>
      <c r="D10" t="s">
        <v>15</v>
      </c>
      <c r="E10" s="5">
        <v>1440</v>
      </c>
      <c r="F10" s="5">
        <v>1382.15</v>
      </c>
      <c r="G10" s="5">
        <v>57.85</v>
      </c>
      <c r="H10" s="5">
        <v>4.1900000000000004</v>
      </c>
      <c r="I10" t="s">
        <v>20</v>
      </c>
    </row>
    <row r="11" spans="1:9" x14ac:dyDescent="0.25">
      <c r="A11" t="s">
        <v>12</v>
      </c>
      <c r="B11" t="s">
        <v>24</v>
      </c>
      <c r="C11" s="10">
        <v>357585651901984</v>
      </c>
      <c r="D11" t="s">
        <v>15</v>
      </c>
      <c r="E11" s="5">
        <v>2050</v>
      </c>
      <c r="F11" s="5">
        <v>1795</v>
      </c>
      <c r="G11" s="5">
        <v>255</v>
      </c>
      <c r="H11" s="5">
        <v>14.21</v>
      </c>
      <c r="I11" t="s">
        <v>20</v>
      </c>
    </row>
    <row r="12" spans="1:9" x14ac:dyDescent="0.25">
      <c r="A12" t="s">
        <v>12</v>
      </c>
      <c r="B12" t="s">
        <v>25</v>
      </c>
      <c r="C12" s="10">
        <v>351159023117517</v>
      </c>
      <c r="D12" t="s">
        <v>15</v>
      </c>
      <c r="E12" s="5">
        <v>1360</v>
      </c>
      <c r="F12" s="5">
        <v>1249.5</v>
      </c>
      <c r="G12" s="5">
        <v>110.5</v>
      </c>
      <c r="H12" s="5">
        <v>8.84</v>
      </c>
      <c r="I12" t="s">
        <v>20</v>
      </c>
    </row>
    <row r="13" spans="1:9" x14ac:dyDescent="0.25">
      <c r="A13" t="s">
        <v>12</v>
      </c>
      <c r="B13" t="s">
        <v>25</v>
      </c>
      <c r="C13" s="10">
        <v>357585652557637</v>
      </c>
      <c r="D13" t="s">
        <v>26</v>
      </c>
      <c r="E13" s="5">
        <v>1150</v>
      </c>
      <c r="F13" s="5">
        <v>1071</v>
      </c>
      <c r="G13" s="5">
        <v>79</v>
      </c>
      <c r="H13" s="5">
        <v>7.38</v>
      </c>
      <c r="I13" t="s">
        <v>20</v>
      </c>
    </row>
    <row r="14" spans="1:9" x14ac:dyDescent="0.25">
      <c r="A14" t="s">
        <v>12</v>
      </c>
      <c r="B14" t="s">
        <v>25</v>
      </c>
      <c r="C14" s="10">
        <v>357879852424809</v>
      </c>
      <c r="D14" t="s">
        <v>27</v>
      </c>
      <c r="E14" s="5">
        <v>1360</v>
      </c>
      <c r="F14" s="5">
        <v>1220.5999999999999</v>
      </c>
      <c r="G14" s="5">
        <v>139.4</v>
      </c>
      <c r="H14" s="5">
        <v>11.42</v>
      </c>
      <c r="I14" t="s">
        <v>20</v>
      </c>
    </row>
    <row r="15" spans="1:9" x14ac:dyDescent="0.25">
      <c r="A15" t="s">
        <v>12</v>
      </c>
      <c r="B15" t="s">
        <v>28</v>
      </c>
      <c r="C15" s="10" t="s">
        <v>29</v>
      </c>
      <c r="D15" t="s">
        <v>15</v>
      </c>
      <c r="E15" s="5">
        <v>1730</v>
      </c>
      <c r="F15" s="5">
        <v>1570.8</v>
      </c>
      <c r="G15" s="5">
        <v>159.19999999999999</v>
      </c>
      <c r="H15" s="5">
        <v>10.130000000000001</v>
      </c>
      <c r="I15" t="s">
        <v>20</v>
      </c>
    </row>
    <row r="16" spans="1:9" x14ac:dyDescent="0.25">
      <c r="A16" t="s">
        <v>12</v>
      </c>
      <c r="B16" t="s">
        <v>28</v>
      </c>
      <c r="C16" s="10" t="s">
        <v>30</v>
      </c>
      <c r="D16" t="s">
        <v>15</v>
      </c>
      <c r="E16" s="5">
        <v>1730</v>
      </c>
      <c r="F16" s="5">
        <v>1579.6</v>
      </c>
      <c r="G16" s="5">
        <v>150.4</v>
      </c>
      <c r="H16" s="5">
        <v>9.52</v>
      </c>
      <c r="I16" t="s">
        <v>20</v>
      </c>
    </row>
    <row r="17" spans="1:9" x14ac:dyDescent="0.25">
      <c r="A17" t="s">
        <v>12</v>
      </c>
      <c r="B17" t="s">
        <v>31</v>
      </c>
      <c r="C17" s="10" t="s">
        <v>32</v>
      </c>
      <c r="D17" t="s">
        <v>15</v>
      </c>
      <c r="E17" s="5">
        <v>2100</v>
      </c>
      <c r="F17" s="5">
        <v>1874.25</v>
      </c>
      <c r="G17" s="5">
        <v>225.75</v>
      </c>
      <c r="H17" s="5">
        <v>12.04</v>
      </c>
      <c r="I17" t="s">
        <v>20</v>
      </c>
    </row>
    <row r="18" spans="1:9" x14ac:dyDescent="0.25">
      <c r="A18" t="s">
        <v>12</v>
      </c>
      <c r="B18" t="s">
        <v>33</v>
      </c>
      <c r="C18" s="10" t="s">
        <v>34</v>
      </c>
      <c r="D18" t="s">
        <v>15</v>
      </c>
      <c r="E18" s="5">
        <v>2350</v>
      </c>
      <c r="F18" s="5">
        <v>2142</v>
      </c>
      <c r="G18" s="5">
        <v>208</v>
      </c>
      <c r="H18" s="5">
        <v>9.7100000000000009</v>
      </c>
      <c r="I18" t="s">
        <v>20</v>
      </c>
    </row>
    <row r="19" spans="1:9" x14ac:dyDescent="0.25">
      <c r="A19" t="s">
        <v>12</v>
      </c>
      <c r="B19" t="s">
        <v>33</v>
      </c>
      <c r="C19" s="10" t="s">
        <v>35</v>
      </c>
      <c r="D19" t="s">
        <v>15</v>
      </c>
      <c r="E19" s="5">
        <v>2350</v>
      </c>
      <c r="F19" s="5">
        <v>2142</v>
      </c>
      <c r="G19" s="5">
        <v>208</v>
      </c>
      <c r="H19" s="5">
        <v>9.7100000000000009</v>
      </c>
      <c r="I19" t="s">
        <v>20</v>
      </c>
    </row>
    <row r="20" spans="1:9" x14ac:dyDescent="0.25">
      <c r="A20" t="s">
        <v>12</v>
      </c>
      <c r="B20" t="s">
        <v>36</v>
      </c>
      <c r="C20" s="10" t="s">
        <v>37</v>
      </c>
      <c r="D20" t="s">
        <v>15</v>
      </c>
      <c r="E20" s="5">
        <v>2850</v>
      </c>
      <c r="F20" s="5">
        <v>2112.1999999999998</v>
      </c>
      <c r="G20" s="5">
        <v>737.8</v>
      </c>
      <c r="H20" s="5">
        <v>34.93</v>
      </c>
      <c r="I20" t="s">
        <v>20</v>
      </c>
    </row>
    <row r="21" spans="1:9" x14ac:dyDescent="0.25">
      <c r="A21" s="2" t="s">
        <v>12</v>
      </c>
      <c r="B21" s="2" t="s">
        <v>38</v>
      </c>
      <c r="C21" s="12">
        <v>359200571698417</v>
      </c>
      <c r="D21" s="2" t="s">
        <v>15</v>
      </c>
      <c r="E21" s="6">
        <v>2400</v>
      </c>
      <c r="F21" s="6">
        <v>2650</v>
      </c>
      <c r="G21" s="6">
        <v>-250</v>
      </c>
      <c r="H21" s="6">
        <v>-9.43</v>
      </c>
      <c r="I21" s="2" t="s">
        <v>39</v>
      </c>
    </row>
    <row r="22" spans="1:9" x14ac:dyDescent="0.25">
      <c r="A22" s="2" t="s">
        <v>12</v>
      </c>
      <c r="B22" s="2" t="s">
        <v>38</v>
      </c>
      <c r="C22" s="12">
        <v>359200571946774</v>
      </c>
      <c r="D22" s="2" t="s">
        <v>15</v>
      </c>
      <c r="E22" s="6">
        <v>2400</v>
      </c>
      <c r="F22" s="6">
        <v>2700</v>
      </c>
      <c r="G22" s="6">
        <v>-300</v>
      </c>
      <c r="H22" s="6">
        <v>-11.11</v>
      </c>
      <c r="I22" s="2" t="s">
        <v>39</v>
      </c>
    </row>
    <row r="23" spans="1:9" x14ac:dyDescent="0.25">
      <c r="A23" t="s">
        <v>12</v>
      </c>
      <c r="B23" t="s">
        <v>38</v>
      </c>
      <c r="C23" s="10">
        <v>359200572142647</v>
      </c>
      <c r="D23" t="s">
        <v>15</v>
      </c>
      <c r="E23" s="5">
        <v>2400</v>
      </c>
      <c r="F23" s="5">
        <v>2064.25</v>
      </c>
      <c r="G23" s="5">
        <v>335.75</v>
      </c>
      <c r="H23" s="5">
        <v>16.260000000000002</v>
      </c>
      <c r="I23" t="s">
        <v>20</v>
      </c>
    </row>
    <row r="24" spans="1:9" x14ac:dyDescent="0.25">
      <c r="A24" t="s">
        <v>12</v>
      </c>
      <c r="B24" t="s">
        <v>38</v>
      </c>
      <c r="C24" s="10">
        <v>359200573550764</v>
      </c>
      <c r="D24" t="s">
        <v>15</v>
      </c>
      <c r="E24" s="5">
        <v>2400</v>
      </c>
      <c r="F24" s="5">
        <v>2100</v>
      </c>
      <c r="G24" s="5">
        <v>300</v>
      </c>
      <c r="H24" s="5">
        <v>14.29</v>
      </c>
      <c r="I24" t="s">
        <v>39</v>
      </c>
    </row>
    <row r="25" spans="1:9" x14ac:dyDescent="0.25">
      <c r="A25" s="2" t="s">
        <v>12</v>
      </c>
      <c r="B25" s="2" t="s">
        <v>38</v>
      </c>
      <c r="C25" s="12">
        <v>359200575042547</v>
      </c>
      <c r="D25" s="2" t="s">
        <v>15</v>
      </c>
      <c r="E25" s="6">
        <v>2400</v>
      </c>
      <c r="F25" s="6">
        <v>2650</v>
      </c>
      <c r="G25" s="6">
        <v>-250</v>
      </c>
      <c r="H25" s="6">
        <v>-9.43</v>
      </c>
      <c r="I25" s="2" t="s">
        <v>39</v>
      </c>
    </row>
    <row r="26" spans="1:9" x14ac:dyDescent="0.25">
      <c r="A26" s="2" t="s">
        <v>12</v>
      </c>
      <c r="B26" s="2" t="s">
        <v>38</v>
      </c>
      <c r="C26" s="12">
        <v>359200575117430</v>
      </c>
      <c r="D26" s="2" t="s">
        <v>15</v>
      </c>
      <c r="E26" s="6">
        <v>2250</v>
      </c>
      <c r="F26" s="6">
        <v>2650</v>
      </c>
      <c r="G26" s="6">
        <v>-400</v>
      </c>
      <c r="H26" s="6">
        <v>-15.09</v>
      </c>
      <c r="I26" s="2" t="s">
        <v>39</v>
      </c>
    </row>
    <row r="27" spans="1:9" x14ac:dyDescent="0.25">
      <c r="A27" s="2" t="s">
        <v>12</v>
      </c>
      <c r="B27" s="2" t="s">
        <v>38</v>
      </c>
      <c r="C27" s="12">
        <v>359200579040778</v>
      </c>
      <c r="D27" s="2" t="s">
        <v>15</v>
      </c>
      <c r="E27" s="6">
        <v>2400</v>
      </c>
      <c r="F27" s="6">
        <v>2650</v>
      </c>
      <c r="G27" s="6">
        <v>-250</v>
      </c>
      <c r="H27" s="6">
        <v>-9.43</v>
      </c>
      <c r="I27" s="2" t="s">
        <v>39</v>
      </c>
    </row>
    <row r="28" spans="1:9" x14ac:dyDescent="0.25">
      <c r="A28" t="s">
        <v>12</v>
      </c>
      <c r="B28" t="s">
        <v>40</v>
      </c>
      <c r="C28" s="10" t="s">
        <v>41</v>
      </c>
      <c r="D28" t="s">
        <v>15</v>
      </c>
      <c r="E28" s="5">
        <v>2880</v>
      </c>
      <c r="F28" s="5">
        <v>2677.5</v>
      </c>
      <c r="G28" s="5">
        <v>202.5</v>
      </c>
      <c r="H28" s="5">
        <v>7.56</v>
      </c>
      <c r="I28" t="s">
        <v>20</v>
      </c>
    </row>
    <row r="29" spans="1:9" x14ac:dyDescent="0.25">
      <c r="A29" s="2" t="s">
        <v>12</v>
      </c>
      <c r="B29" s="2" t="s">
        <v>42</v>
      </c>
      <c r="C29" s="12">
        <v>352066342215865</v>
      </c>
      <c r="D29" s="2" t="s">
        <v>15</v>
      </c>
      <c r="E29" s="6">
        <v>5100</v>
      </c>
      <c r="F29" s="6">
        <v>5206</v>
      </c>
      <c r="G29" s="6">
        <v>-106</v>
      </c>
      <c r="H29" s="6">
        <v>-2.04</v>
      </c>
      <c r="I29" s="2" t="s">
        <v>20</v>
      </c>
    </row>
    <row r="30" spans="1:9" x14ac:dyDescent="0.25">
      <c r="A30" t="s">
        <v>12</v>
      </c>
      <c r="B30" t="s">
        <v>43</v>
      </c>
      <c r="C30" s="10">
        <v>358112932235725</v>
      </c>
      <c r="D30" t="s">
        <v>15</v>
      </c>
      <c r="E30" s="5">
        <v>3700</v>
      </c>
      <c r="F30" s="5">
        <v>3518.2</v>
      </c>
      <c r="G30" s="5">
        <v>181.8</v>
      </c>
      <c r="H30" s="5">
        <v>5.17</v>
      </c>
      <c r="I30" t="s">
        <v>20</v>
      </c>
    </row>
    <row r="31" spans="1:9" x14ac:dyDescent="0.25">
      <c r="A31" t="s">
        <v>12</v>
      </c>
      <c r="B31" t="s">
        <v>43</v>
      </c>
      <c r="C31" s="10">
        <v>358112932632558</v>
      </c>
      <c r="D31" t="s">
        <v>15</v>
      </c>
      <c r="E31" s="5">
        <v>3700</v>
      </c>
      <c r="F31" s="5">
        <v>3590</v>
      </c>
      <c r="G31" s="5">
        <v>110</v>
      </c>
      <c r="H31" s="5">
        <v>3.06</v>
      </c>
      <c r="I31" t="s">
        <v>20</v>
      </c>
    </row>
    <row r="32" spans="1:9" x14ac:dyDescent="0.25">
      <c r="A32" t="s">
        <v>12</v>
      </c>
      <c r="B32" t="s">
        <v>43</v>
      </c>
      <c r="C32" s="10">
        <v>358112932864458</v>
      </c>
      <c r="D32" t="s">
        <v>44</v>
      </c>
      <c r="E32" s="5">
        <v>3700</v>
      </c>
      <c r="F32" s="5">
        <v>3015.6</v>
      </c>
      <c r="G32" s="5">
        <v>684.4</v>
      </c>
      <c r="H32" s="5">
        <v>22.7</v>
      </c>
      <c r="I32" t="s">
        <v>20</v>
      </c>
    </row>
    <row r="33" spans="1:9" x14ac:dyDescent="0.25">
      <c r="A33" t="s">
        <v>12</v>
      </c>
      <c r="B33" t="s">
        <v>43</v>
      </c>
      <c r="C33" s="10">
        <v>358112933617087</v>
      </c>
      <c r="D33" t="s">
        <v>15</v>
      </c>
      <c r="E33" s="5">
        <v>3700</v>
      </c>
      <c r="F33" s="5">
        <v>3498.6</v>
      </c>
      <c r="G33" s="5">
        <v>201.4</v>
      </c>
      <c r="H33" s="5">
        <v>5.76</v>
      </c>
      <c r="I33" t="s">
        <v>20</v>
      </c>
    </row>
    <row r="34" spans="1:9" x14ac:dyDescent="0.25">
      <c r="A34" t="s">
        <v>12</v>
      </c>
      <c r="B34" t="s">
        <v>43</v>
      </c>
      <c r="C34" s="10">
        <v>358112933692858</v>
      </c>
      <c r="D34" t="s">
        <v>15</v>
      </c>
      <c r="E34" s="5">
        <v>3700</v>
      </c>
      <c r="F34" s="5">
        <v>3518.2</v>
      </c>
      <c r="G34" s="5">
        <v>181.8</v>
      </c>
      <c r="H34" s="5">
        <v>5.17</v>
      </c>
      <c r="I34" t="s">
        <v>20</v>
      </c>
    </row>
    <row r="35" spans="1:9" x14ac:dyDescent="0.25">
      <c r="A35" s="2" t="s">
        <v>12</v>
      </c>
      <c r="B35" s="2" t="s">
        <v>43</v>
      </c>
      <c r="C35" s="12">
        <v>358112934305849</v>
      </c>
      <c r="D35" s="2" t="s">
        <v>15</v>
      </c>
      <c r="E35" s="6">
        <v>3050</v>
      </c>
      <c r="F35" s="6">
        <v>3700</v>
      </c>
      <c r="G35" s="6">
        <v>-650</v>
      </c>
      <c r="H35" s="6">
        <v>-17.57</v>
      </c>
      <c r="I35" s="2" t="s">
        <v>39</v>
      </c>
    </row>
    <row r="36" spans="1:9" x14ac:dyDescent="0.25">
      <c r="A36" s="2" t="s">
        <v>12</v>
      </c>
      <c r="B36" s="2" t="s">
        <v>43</v>
      </c>
      <c r="C36" s="12">
        <v>358112934659435</v>
      </c>
      <c r="D36" s="2" t="s">
        <v>15</v>
      </c>
      <c r="E36" s="6">
        <v>3700</v>
      </c>
      <c r="F36" s="6">
        <v>3855.6</v>
      </c>
      <c r="G36" s="6">
        <v>-155.6</v>
      </c>
      <c r="H36" s="6">
        <v>-4.04</v>
      </c>
      <c r="I36" s="2" t="s">
        <v>20</v>
      </c>
    </row>
    <row r="37" spans="1:9" x14ac:dyDescent="0.25">
      <c r="A37" t="s">
        <v>12</v>
      </c>
      <c r="B37" t="s">
        <v>45</v>
      </c>
      <c r="C37" s="10">
        <v>352355704946237</v>
      </c>
      <c r="D37" t="s">
        <v>46</v>
      </c>
      <c r="E37" s="5">
        <v>4030</v>
      </c>
      <c r="F37" s="5">
        <v>3877.2</v>
      </c>
      <c r="G37" s="5">
        <v>152.80000000000001</v>
      </c>
      <c r="H37" s="5">
        <v>3.94</v>
      </c>
      <c r="I37" t="s">
        <v>20</v>
      </c>
    </row>
    <row r="38" spans="1:9" x14ac:dyDescent="0.25">
      <c r="A38" t="s">
        <v>12</v>
      </c>
      <c r="B38" t="s">
        <v>45</v>
      </c>
      <c r="C38" s="10">
        <v>352355708483302</v>
      </c>
      <c r="D38" t="s">
        <v>47</v>
      </c>
      <c r="E38" s="5">
        <v>4030</v>
      </c>
      <c r="F38" s="5">
        <v>3410.5</v>
      </c>
      <c r="G38" s="5">
        <v>619.5</v>
      </c>
      <c r="H38" s="5">
        <v>18.16</v>
      </c>
      <c r="I38" t="s">
        <v>20</v>
      </c>
    </row>
    <row r="39" spans="1:9" x14ac:dyDescent="0.25">
      <c r="A39" t="s">
        <v>12</v>
      </c>
      <c r="B39" t="s">
        <v>45</v>
      </c>
      <c r="C39" s="10" t="s">
        <v>48</v>
      </c>
      <c r="D39" t="s">
        <v>15</v>
      </c>
      <c r="E39" s="5">
        <v>4030</v>
      </c>
      <c r="F39" s="5">
        <v>3877.2</v>
      </c>
      <c r="G39" s="5">
        <v>152.80000000000001</v>
      </c>
      <c r="H39" s="5">
        <v>3.94</v>
      </c>
      <c r="I39" t="s">
        <v>20</v>
      </c>
    </row>
    <row r="40" spans="1:9" x14ac:dyDescent="0.25">
      <c r="A40" t="s">
        <v>12</v>
      </c>
      <c r="B40" t="s">
        <v>45</v>
      </c>
      <c r="C40" s="10" t="s">
        <v>49</v>
      </c>
      <c r="D40" t="s">
        <v>15</v>
      </c>
      <c r="E40" s="5">
        <v>4030</v>
      </c>
      <c r="F40" s="5">
        <v>3769.5</v>
      </c>
      <c r="G40" s="5">
        <v>260.5</v>
      </c>
      <c r="H40" s="5">
        <v>6.91</v>
      </c>
      <c r="I40" t="s">
        <v>20</v>
      </c>
    </row>
    <row r="41" spans="1:9" x14ac:dyDescent="0.25">
      <c r="A41" t="s">
        <v>12</v>
      </c>
      <c r="B41" t="s">
        <v>45</v>
      </c>
      <c r="C41" s="10" t="s">
        <v>50</v>
      </c>
      <c r="D41" t="s">
        <v>15</v>
      </c>
      <c r="E41" s="5">
        <v>4030</v>
      </c>
      <c r="F41" s="5">
        <v>3877.2</v>
      </c>
      <c r="G41" s="5">
        <v>152.80000000000001</v>
      </c>
      <c r="H41" s="5">
        <v>3.94</v>
      </c>
      <c r="I41" t="s">
        <v>20</v>
      </c>
    </row>
    <row r="42" spans="1:9" x14ac:dyDescent="0.25">
      <c r="A42" s="2" t="s">
        <v>12</v>
      </c>
      <c r="B42" s="2" t="s">
        <v>51</v>
      </c>
      <c r="C42" s="12">
        <v>352355700190574</v>
      </c>
      <c r="D42" s="2" t="s">
        <v>15</v>
      </c>
      <c r="E42" s="6">
        <v>3615</v>
      </c>
      <c r="F42" s="6">
        <v>3850</v>
      </c>
      <c r="G42" s="6">
        <v>-235</v>
      </c>
      <c r="H42" s="6">
        <v>-6.1</v>
      </c>
      <c r="I42" s="2" t="s">
        <v>39</v>
      </c>
    </row>
    <row r="43" spans="1:9" x14ac:dyDescent="0.25">
      <c r="A43" t="s">
        <v>12</v>
      </c>
      <c r="B43" t="s">
        <v>51</v>
      </c>
      <c r="C43" s="10">
        <v>352355700215959</v>
      </c>
      <c r="D43" t="s">
        <v>15</v>
      </c>
      <c r="E43" s="5">
        <v>4000</v>
      </c>
      <c r="F43" s="5">
        <v>3950</v>
      </c>
      <c r="G43" s="5">
        <v>50</v>
      </c>
      <c r="H43" s="5">
        <v>1.27</v>
      </c>
      <c r="I43" t="s">
        <v>39</v>
      </c>
    </row>
    <row r="44" spans="1:9" x14ac:dyDescent="0.25">
      <c r="A44" t="s">
        <v>12</v>
      </c>
      <c r="B44" t="s">
        <v>51</v>
      </c>
      <c r="C44" s="10">
        <v>352355700468632</v>
      </c>
      <c r="D44" t="s">
        <v>44</v>
      </c>
      <c r="E44" s="5">
        <v>4000</v>
      </c>
      <c r="F44" s="5">
        <v>3877.2</v>
      </c>
      <c r="G44" s="5">
        <v>122.8</v>
      </c>
      <c r="H44" s="5">
        <v>3.17</v>
      </c>
      <c r="I44" t="s">
        <v>20</v>
      </c>
    </row>
    <row r="45" spans="1:9" x14ac:dyDescent="0.25">
      <c r="A45" s="2" t="s">
        <v>12</v>
      </c>
      <c r="B45" s="2" t="s">
        <v>51</v>
      </c>
      <c r="C45" s="12">
        <v>352355700564521</v>
      </c>
      <c r="D45" s="2" t="s">
        <v>15</v>
      </c>
      <c r="E45" s="6">
        <v>3615</v>
      </c>
      <c r="F45" s="6">
        <v>3950</v>
      </c>
      <c r="G45" s="6">
        <v>-335</v>
      </c>
      <c r="H45" s="6">
        <v>-8.48</v>
      </c>
      <c r="I45" s="2" t="s">
        <v>39</v>
      </c>
    </row>
    <row r="46" spans="1:9" x14ac:dyDescent="0.25">
      <c r="A46" s="2" t="s">
        <v>12</v>
      </c>
      <c r="B46" s="2" t="s">
        <v>51</v>
      </c>
      <c r="C46" s="12">
        <v>352355700564521</v>
      </c>
      <c r="D46" s="2" t="s">
        <v>15</v>
      </c>
      <c r="E46" s="6">
        <v>3615</v>
      </c>
      <c r="F46" s="6">
        <v>3950</v>
      </c>
      <c r="G46" s="6">
        <v>-335</v>
      </c>
      <c r="H46" s="6">
        <v>-8.48</v>
      </c>
      <c r="I46" s="2" t="s">
        <v>39</v>
      </c>
    </row>
    <row r="47" spans="1:9" x14ac:dyDescent="0.25">
      <c r="A47" s="2" t="s">
        <v>12</v>
      </c>
      <c r="B47" s="2" t="s">
        <v>51</v>
      </c>
      <c r="C47" s="12">
        <v>352355702755622</v>
      </c>
      <c r="D47" s="2" t="s">
        <v>15</v>
      </c>
      <c r="E47" s="6">
        <v>3615</v>
      </c>
      <c r="F47" s="6">
        <v>3950</v>
      </c>
      <c r="G47" s="6">
        <v>-335</v>
      </c>
      <c r="H47" s="6">
        <v>-8.48</v>
      </c>
      <c r="I47" s="2" t="s">
        <v>39</v>
      </c>
    </row>
    <row r="48" spans="1:9" x14ac:dyDescent="0.25">
      <c r="A48" t="s">
        <v>12</v>
      </c>
      <c r="B48" t="s">
        <v>51</v>
      </c>
      <c r="C48" s="10">
        <v>352355703580722</v>
      </c>
      <c r="D48" t="s">
        <v>44</v>
      </c>
      <c r="E48" s="5">
        <v>4000</v>
      </c>
      <c r="F48" s="5">
        <v>3877.2</v>
      </c>
      <c r="G48" s="5">
        <v>122.8</v>
      </c>
      <c r="H48" s="5">
        <v>3.17</v>
      </c>
      <c r="I48" t="s">
        <v>20</v>
      </c>
    </row>
    <row r="49" spans="1:9" x14ac:dyDescent="0.25">
      <c r="A49" t="s">
        <v>12</v>
      </c>
      <c r="B49" t="s">
        <v>51</v>
      </c>
      <c r="C49" s="10">
        <v>352355703868101</v>
      </c>
      <c r="D49" t="s">
        <v>26</v>
      </c>
      <c r="E49" s="5">
        <v>4000</v>
      </c>
      <c r="F49" s="5">
        <v>3850</v>
      </c>
      <c r="G49" s="5">
        <v>150</v>
      </c>
      <c r="H49" s="5">
        <v>3.9</v>
      </c>
      <c r="I49" t="s">
        <v>39</v>
      </c>
    </row>
    <row r="50" spans="1:9" x14ac:dyDescent="0.25">
      <c r="A50" s="2" t="s">
        <v>12</v>
      </c>
      <c r="B50" s="2" t="s">
        <v>51</v>
      </c>
      <c r="C50" s="12">
        <v>352355704693557</v>
      </c>
      <c r="D50" s="2" t="s">
        <v>44</v>
      </c>
      <c r="E50" s="6">
        <v>3750</v>
      </c>
      <c r="F50" s="6">
        <v>3855.6</v>
      </c>
      <c r="G50" s="6">
        <v>-105.6</v>
      </c>
      <c r="H50" s="6">
        <v>-2.74</v>
      </c>
      <c r="I50" s="2" t="s">
        <v>20</v>
      </c>
    </row>
    <row r="51" spans="1:9" x14ac:dyDescent="0.25">
      <c r="A51" s="2" t="s">
        <v>12</v>
      </c>
      <c r="B51" s="2" t="s">
        <v>51</v>
      </c>
      <c r="C51" s="12">
        <v>352355708179843</v>
      </c>
      <c r="D51" s="2" t="s">
        <v>26</v>
      </c>
      <c r="E51" s="6">
        <v>3615</v>
      </c>
      <c r="F51" s="6">
        <v>3850</v>
      </c>
      <c r="G51" s="6">
        <v>-235</v>
      </c>
      <c r="H51" s="6">
        <v>-6.1</v>
      </c>
      <c r="I51" s="2" t="s">
        <v>39</v>
      </c>
    </row>
    <row r="52" spans="1:9" x14ac:dyDescent="0.25">
      <c r="A52" t="s">
        <v>12</v>
      </c>
      <c r="B52" t="s">
        <v>51</v>
      </c>
      <c r="C52" s="10">
        <v>352355708769940</v>
      </c>
      <c r="D52" t="s">
        <v>44</v>
      </c>
      <c r="E52" s="5">
        <v>4000</v>
      </c>
      <c r="F52" s="5">
        <v>3877.2</v>
      </c>
      <c r="G52" s="5">
        <v>122.8</v>
      </c>
      <c r="H52" s="5">
        <v>3.17</v>
      </c>
      <c r="I52" t="s">
        <v>20</v>
      </c>
    </row>
    <row r="53" spans="1:9" x14ac:dyDescent="0.25">
      <c r="A53" t="s">
        <v>12</v>
      </c>
      <c r="B53" t="s">
        <v>51</v>
      </c>
      <c r="C53" s="10">
        <v>352355709045845</v>
      </c>
      <c r="D53" t="s">
        <v>46</v>
      </c>
      <c r="E53" s="5">
        <v>4000</v>
      </c>
      <c r="F53" s="5">
        <v>3877.2</v>
      </c>
      <c r="G53" s="5">
        <v>122.8</v>
      </c>
      <c r="H53" s="5">
        <v>3.17</v>
      </c>
      <c r="I53" t="s">
        <v>20</v>
      </c>
    </row>
    <row r="54" spans="1:9" x14ac:dyDescent="0.25">
      <c r="A54" s="2" t="s">
        <v>12</v>
      </c>
      <c r="B54" s="2" t="s">
        <v>51</v>
      </c>
      <c r="C54" s="12">
        <v>352355709092714</v>
      </c>
      <c r="D54" s="2" t="s">
        <v>15</v>
      </c>
      <c r="E54" s="6">
        <v>3615</v>
      </c>
      <c r="F54" s="6">
        <v>3950</v>
      </c>
      <c r="G54" s="6">
        <v>-335</v>
      </c>
      <c r="H54" s="6">
        <v>-8.48</v>
      </c>
      <c r="I54" s="2" t="s">
        <v>39</v>
      </c>
    </row>
    <row r="55" spans="1:9" x14ac:dyDescent="0.25">
      <c r="A55" s="2" t="s">
        <v>12</v>
      </c>
      <c r="B55" s="2" t="s">
        <v>51</v>
      </c>
      <c r="C55" s="12">
        <v>352355709496667</v>
      </c>
      <c r="D55" s="2" t="s">
        <v>15</v>
      </c>
      <c r="E55" s="6">
        <v>3615</v>
      </c>
      <c r="F55" s="6">
        <v>3877.2</v>
      </c>
      <c r="G55" s="6">
        <v>-262.2</v>
      </c>
      <c r="H55" s="6">
        <v>-6.76</v>
      </c>
      <c r="I55" s="2" t="s">
        <v>20</v>
      </c>
    </row>
    <row r="56" spans="1:9" x14ac:dyDescent="0.25">
      <c r="A56" t="s">
        <v>12</v>
      </c>
      <c r="B56" t="s">
        <v>52</v>
      </c>
      <c r="C56" s="10">
        <v>352355708317864</v>
      </c>
      <c r="D56" t="s">
        <v>15</v>
      </c>
      <c r="E56" s="5">
        <v>6050</v>
      </c>
      <c r="F56" s="5">
        <v>4600</v>
      </c>
      <c r="G56" s="5">
        <v>1450</v>
      </c>
      <c r="H56" s="5">
        <v>31.52</v>
      </c>
      <c r="I56" t="s">
        <v>39</v>
      </c>
    </row>
    <row r="57" spans="1:9" x14ac:dyDescent="0.25">
      <c r="A57" t="s">
        <v>12</v>
      </c>
      <c r="B57" t="s">
        <v>53</v>
      </c>
      <c r="C57" s="10">
        <v>352355701949234</v>
      </c>
      <c r="D57" t="s">
        <v>46</v>
      </c>
      <c r="E57" s="5">
        <v>5050</v>
      </c>
      <c r="F57" s="5">
        <v>4738.8</v>
      </c>
      <c r="G57" s="5">
        <v>311.2</v>
      </c>
      <c r="H57" s="5">
        <v>6.57</v>
      </c>
      <c r="I57" t="s">
        <v>20</v>
      </c>
    </row>
    <row r="58" spans="1:9" x14ac:dyDescent="0.25">
      <c r="A58" s="2" t="s">
        <v>54</v>
      </c>
      <c r="B58" s="2" t="s">
        <v>55</v>
      </c>
      <c r="C58" s="12">
        <v>351807171680906</v>
      </c>
      <c r="D58" s="2" t="s">
        <v>56</v>
      </c>
      <c r="E58" s="6">
        <v>2250</v>
      </c>
      <c r="F58" s="6">
        <v>2297.6</v>
      </c>
      <c r="G58" s="6">
        <v>-47.6</v>
      </c>
      <c r="H58" s="6">
        <v>-2.0699999999999998</v>
      </c>
      <c r="I58" s="2" t="s">
        <v>20</v>
      </c>
    </row>
    <row r="59" spans="1:9" x14ac:dyDescent="0.25">
      <c r="A59" s="2" t="s">
        <v>54</v>
      </c>
      <c r="B59" s="2" t="s">
        <v>55</v>
      </c>
      <c r="C59" s="12">
        <v>353502585377474</v>
      </c>
      <c r="D59" s="2" t="s">
        <v>56</v>
      </c>
      <c r="E59" s="6">
        <v>2250</v>
      </c>
      <c r="F59" s="6">
        <v>2297.6</v>
      </c>
      <c r="G59" s="6">
        <v>-47.6</v>
      </c>
      <c r="H59" s="6">
        <v>-2.0699999999999998</v>
      </c>
      <c r="I59" s="2" t="s">
        <v>20</v>
      </c>
    </row>
    <row r="60" spans="1:9" x14ac:dyDescent="0.25">
      <c r="A60" s="2" t="s">
        <v>54</v>
      </c>
      <c r="B60" s="2" t="s">
        <v>55</v>
      </c>
      <c r="C60" s="12">
        <v>353502589829355</v>
      </c>
      <c r="D60" s="2" t="s">
        <v>56</v>
      </c>
      <c r="E60" s="6">
        <v>2250</v>
      </c>
      <c r="F60" s="6">
        <v>2297.6</v>
      </c>
      <c r="G60" s="6">
        <v>-47.6</v>
      </c>
      <c r="H60" s="6">
        <v>-2.0699999999999998</v>
      </c>
      <c r="I60" s="2" t="s">
        <v>20</v>
      </c>
    </row>
    <row r="61" spans="1:9" x14ac:dyDescent="0.25">
      <c r="A61" s="2" t="s">
        <v>54</v>
      </c>
      <c r="B61" s="2" t="s">
        <v>55</v>
      </c>
      <c r="C61" s="12">
        <v>354717537662067</v>
      </c>
      <c r="D61" s="2" t="s">
        <v>56</v>
      </c>
      <c r="E61" s="6">
        <v>2250</v>
      </c>
      <c r="F61" s="6">
        <v>2297.6</v>
      </c>
      <c r="G61" s="6">
        <v>-47.6</v>
      </c>
      <c r="H61" s="6">
        <v>-2.0699999999999998</v>
      </c>
      <c r="I61" s="2" t="s">
        <v>20</v>
      </c>
    </row>
    <row r="62" spans="1:9" x14ac:dyDescent="0.25">
      <c r="A62" s="2" t="s">
        <v>54</v>
      </c>
      <c r="B62" s="2" t="s">
        <v>55</v>
      </c>
      <c r="C62" s="12">
        <v>355714603147940</v>
      </c>
      <c r="D62" s="2" t="s">
        <v>56</v>
      </c>
      <c r="E62" s="6">
        <v>2250</v>
      </c>
      <c r="F62" s="6">
        <v>2297.6</v>
      </c>
      <c r="G62" s="6">
        <v>-47.6</v>
      </c>
      <c r="H62" s="6">
        <v>-2.0699999999999998</v>
      </c>
      <c r="I62" s="2" t="s">
        <v>20</v>
      </c>
    </row>
    <row r="63" spans="1:9" x14ac:dyDescent="0.25">
      <c r="A63" s="2" t="s">
        <v>54</v>
      </c>
      <c r="B63" s="2" t="s">
        <v>55</v>
      </c>
      <c r="C63" s="12">
        <v>355714605463394</v>
      </c>
      <c r="D63" s="2" t="s">
        <v>56</v>
      </c>
      <c r="E63" s="6">
        <v>2250</v>
      </c>
      <c r="F63" s="6">
        <v>2297.6</v>
      </c>
      <c r="G63" s="6">
        <v>-47.6</v>
      </c>
      <c r="H63" s="6">
        <v>-2.0699999999999998</v>
      </c>
      <c r="I63" s="2" t="s">
        <v>20</v>
      </c>
    </row>
    <row r="64" spans="1:9" x14ac:dyDescent="0.25">
      <c r="A64" t="s">
        <v>54</v>
      </c>
      <c r="B64" t="s">
        <v>57</v>
      </c>
      <c r="C64" s="10">
        <v>356392246941075</v>
      </c>
      <c r="D64" t="s">
        <v>56</v>
      </c>
      <c r="E64" s="5">
        <v>5200</v>
      </c>
      <c r="F64" s="5">
        <v>4595.2</v>
      </c>
      <c r="G64" s="5">
        <v>604.79999999999995</v>
      </c>
      <c r="H64" s="5">
        <v>13.16</v>
      </c>
      <c r="I64" t="s">
        <v>20</v>
      </c>
    </row>
    <row r="65" spans="1:9" x14ac:dyDescent="0.25">
      <c r="A65" t="s">
        <v>54</v>
      </c>
      <c r="B65" t="s">
        <v>57</v>
      </c>
      <c r="C65" s="10">
        <v>359814712557405</v>
      </c>
      <c r="D65" t="s">
        <v>56</v>
      </c>
      <c r="E65" s="5">
        <v>5200</v>
      </c>
      <c r="F65" s="5">
        <v>4595.2</v>
      </c>
      <c r="G65" s="5">
        <v>604.79999999999995</v>
      </c>
      <c r="H65" s="5">
        <v>13.16</v>
      </c>
      <c r="I65" t="s">
        <v>20</v>
      </c>
    </row>
    <row r="66" spans="1:9" x14ac:dyDescent="0.25">
      <c r="A66" t="s">
        <v>54</v>
      </c>
      <c r="B66" t="s">
        <v>57</v>
      </c>
      <c r="C66" s="10">
        <v>359814713098391</v>
      </c>
      <c r="D66" t="s">
        <v>56</v>
      </c>
      <c r="E66" s="5">
        <v>5200</v>
      </c>
      <c r="F66" s="5">
        <v>4595.2</v>
      </c>
      <c r="G66" s="5">
        <v>604.79999999999995</v>
      </c>
      <c r="H66" s="5">
        <v>13.16</v>
      </c>
      <c r="I66" t="s">
        <v>20</v>
      </c>
    </row>
    <row r="67" spans="1:9" x14ac:dyDescent="0.25">
      <c r="A67" t="s">
        <v>54</v>
      </c>
      <c r="B67" t="s">
        <v>58</v>
      </c>
      <c r="C67" s="10">
        <v>353263423085494</v>
      </c>
      <c r="D67" t="s">
        <v>59</v>
      </c>
      <c r="E67" s="5">
        <v>3800</v>
      </c>
      <c r="F67" s="5">
        <v>3769.5</v>
      </c>
      <c r="G67" s="5">
        <v>30.5</v>
      </c>
      <c r="H67" s="5">
        <v>0.81</v>
      </c>
      <c r="I67" t="s">
        <v>20</v>
      </c>
    </row>
    <row r="68" spans="1:9" x14ac:dyDescent="0.25">
      <c r="A68" t="s">
        <v>54</v>
      </c>
      <c r="B68" t="s">
        <v>58</v>
      </c>
      <c r="C68" s="10">
        <v>353497851093964</v>
      </c>
      <c r="D68" t="s">
        <v>56</v>
      </c>
      <c r="E68" s="5">
        <v>3900</v>
      </c>
      <c r="F68" s="5">
        <v>3482.3</v>
      </c>
      <c r="G68" s="5">
        <v>417.7</v>
      </c>
      <c r="H68" s="5">
        <v>11.99</v>
      </c>
      <c r="I68" t="s">
        <v>20</v>
      </c>
    </row>
    <row r="69" spans="1:9" x14ac:dyDescent="0.25">
      <c r="A69" t="s">
        <v>54</v>
      </c>
      <c r="B69" t="s">
        <v>58</v>
      </c>
      <c r="C69" s="10">
        <v>353497853988997</v>
      </c>
      <c r="D69" t="s">
        <v>56</v>
      </c>
      <c r="E69" s="5">
        <v>3900</v>
      </c>
      <c r="F69" s="5">
        <v>3266.9</v>
      </c>
      <c r="G69" s="5">
        <v>633.1</v>
      </c>
      <c r="H69" s="5">
        <v>19.38</v>
      </c>
      <c r="I69" t="s">
        <v>20</v>
      </c>
    </row>
    <row r="70" spans="1:9" x14ac:dyDescent="0.25">
      <c r="A70" t="s">
        <v>54</v>
      </c>
      <c r="B70" t="s">
        <v>58</v>
      </c>
      <c r="C70" s="10">
        <v>355224259504121</v>
      </c>
      <c r="D70" t="s">
        <v>15</v>
      </c>
      <c r="E70" s="5">
        <v>4126.58</v>
      </c>
      <c r="F70" s="5">
        <v>3428.45</v>
      </c>
      <c r="G70" s="5">
        <v>698.13</v>
      </c>
      <c r="H70" s="5">
        <v>20.36</v>
      </c>
      <c r="I70" t="s">
        <v>20</v>
      </c>
    </row>
    <row r="71" spans="1:9" x14ac:dyDescent="0.25">
      <c r="A71" t="s">
        <v>54</v>
      </c>
      <c r="B71" t="s">
        <v>58</v>
      </c>
      <c r="C71" s="10">
        <v>356188169816942</v>
      </c>
      <c r="D71" t="s">
        <v>60</v>
      </c>
      <c r="E71" s="5">
        <v>3900</v>
      </c>
      <c r="F71" s="5">
        <v>3590</v>
      </c>
      <c r="G71" s="5">
        <v>310</v>
      </c>
      <c r="H71" s="5">
        <v>8.64</v>
      </c>
      <c r="I71" t="s">
        <v>20</v>
      </c>
    </row>
    <row r="72" spans="1:9" x14ac:dyDescent="0.25">
      <c r="A72" s="2" t="s">
        <v>54</v>
      </c>
      <c r="B72" s="2" t="s">
        <v>58</v>
      </c>
      <c r="C72" s="12">
        <v>358902510026078</v>
      </c>
      <c r="D72" s="2" t="s">
        <v>56</v>
      </c>
      <c r="E72" s="6">
        <v>3900</v>
      </c>
      <c r="F72" s="6">
        <v>4272.1000000000004</v>
      </c>
      <c r="G72" s="6">
        <v>-372.1</v>
      </c>
      <c r="H72" s="6">
        <v>-8.7100000000000009</v>
      </c>
      <c r="I72" s="2" t="s">
        <v>20</v>
      </c>
    </row>
    <row r="73" spans="1:9" x14ac:dyDescent="0.25">
      <c r="A73" t="s">
        <v>54</v>
      </c>
      <c r="B73" t="s">
        <v>58</v>
      </c>
      <c r="C73" s="10">
        <v>358902510967826</v>
      </c>
      <c r="D73" t="s">
        <v>60</v>
      </c>
      <c r="E73" s="5">
        <v>3900</v>
      </c>
      <c r="F73" s="5">
        <v>3446.4</v>
      </c>
      <c r="G73" s="5">
        <v>453.6</v>
      </c>
      <c r="H73" s="5">
        <v>13.16</v>
      </c>
      <c r="I73" t="s">
        <v>20</v>
      </c>
    </row>
    <row r="74" spans="1:9" x14ac:dyDescent="0.25">
      <c r="A74" s="2" t="s">
        <v>54</v>
      </c>
      <c r="B74" s="2" t="s">
        <v>58</v>
      </c>
      <c r="C74" s="12">
        <v>359802898807108</v>
      </c>
      <c r="D74" s="2" t="s">
        <v>59</v>
      </c>
      <c r="E74" s="6">
        <v>3800</v>
      </c>
      <c r="F74" s="6">
        <v>3913.1</v>
      </c>
      <c r="G74" s="6">
        <v>-113.1</v>
      </c>
      <c r="H74" s="6">
        <v>-2.89</v>
      </c>
      <c r="I74" s="2" t="s">
        <v>20</v>
      </c>
    </row>
    <row r="75" spans="1:9" x14ac:dyDescent="0.25">
      <c r="A75" t="s">
        <v>54</v>
      </c>
      <c r="B75" t="s">
        <v>58</v>
      </c>
      <c r="C75" s="10">
        <v>359814711892837</v>
      </c>
      <c r="D75" t="s">
        <v>56</v>
      </c>
      <c r="E75" s="5">
        <v>3750</v>
      </c>
      <c r="F75" s="5">
        <v>3679.75</v>
      </c>
      <c r="G75" s="5">
        <v>70.25</v>
      </c>
      <c r="H75" s="5">
        <v>1.91</v>
      </c>
      <c r="I75" t="s">
        <v>20</v>
      </c>
    </row>
    <row r="76" spans="1:9" x14ac:dyDescent="0.25">
      <c r="A76" t="s">
        <v>54</v>
      </c>
      <c r="B76" t="s">
        <v>58</v>
      </c>
      <c r="C76" s="10">
        <v>359814713057827</v>
      </c>
      <c r="D76" t="s">
        <v>56</v>
      </c>
      <c r="E76" s="5">
        <v>3750</v>
      </c>
      <c r="F76" s="5">
        <v>3679.75</v>
      </c>
      <c r="G76" s="5">
        <v>70.25</v>
      </c>
      <c r="H76" s="5">
        <v>1.91</v>
      </c>
      <c r="I76" t="s">
        <v>20</v>
      </c>
    </row>
    <row r="77" spans="1:9" x14ac:dyDescent="0.25">
      <c r="A77" t="s">
        <v>54</v>
      </c>
      <c r="B77" t="s">
        <v>61</v>
      </c>
      <c r="C77" s="10">
        <v>357329441424068</v>
      </c>
      <c r="D77" t="s">
        <v>56</v>
      </c>
      <c r="E77" s="5">
        <v>4530</v>
      </c>
      <c r="F77" s="5">
        <v>4236.2</v>
      </c>
      <c r="G77" s="5">
        <v>293.8</v>
      </c>
      <c r="H77" s="5">
        <v>6.94</v>
      </c>
      <c r="I77" t="s">
        <v>20</v>
      </c>
    </row>
    <row r="78" spans="1:9" x14ac:dyDescent="0.25">
      <c r="A78" t="s">
        <v>54</v>
      </c>
      <c r="B78" t="s">
        <v>61</v>
      </c>
      <c r="C78" s="10">
        <v>359814715206307</v>
      </c>
      <c r="D78" t="s">
        <v>56</v>
      </c>
      <c r="E78" s="5">
        <v>4530</v>
      </c>
      <c r="F78" s="5">
        <v>4236.2</v>
      </c>
      <c r="G78" s="5">
        <v>293.8</v>
      </c>
      <c r="H78" s="5">
        <v>6.94</v>
      </c>
      <c r="I78" t="s">
        <v>20</v>
      </c>
    </row>
    <row r="79" spans="1:9" x14ac:dyDescent="0.25">
      <c r="A79" t="s">
        <v>62</v>
      </c>
      <c r="B79" t="s">
        <v>63</v>
      </c>
      <c r="C79" s="10">
        <v>351420495470085</v>
      </c>
      <c r="D79" t="s">
        <v>26</v>
      </c>
      <c r="E79" s="5">
        <v>1784.81</v>
      </c>
      <c r="F79" s="5">
        <v>1500</v>
      </c>
      <c r="G79" s="5">
        <v>284.81</v>
      </c>
      <c r="H79" s="5">
        <v>18.989999999999998</v>
      </c>
      <c r="I79" t="s">
        <v>39</v>
      </c>
    </row>
    <row r="80" spans="1:9" x14ac:dyDescent="0.25">
      <c r="A80" t="s">
        <v>62</v>
      </c>
      <c r="B80" t="s">
        <v>63</v>
      </c>
      <c r="C80" s="10">
        <v>357253673868281</v>
      </c>
      <c r="D80" t="s">
        <v>26</v>
      </c>
      <c r="E80" s="5">
        <v>1734.17</v>
      </c>
      <c r="F80" s="5">
        <v>1600</v>
      </c>
      <c r="G80" s="5">
        <v>134.16999999999999</v>
      </c>
      <c r="H80" s="5">
        <v>8.39</v>
      </c>
      <c r="I80" t="s">
        <v>39</v>
      </c>
    </row>
    <row r="81" spans="1:9" x14ac:dyDescent="0.25">
      <c r="A81" t="s">
        <v>62</v>
      </c>
      <c r="B81" t="s">
        <v>64</v>
      </c>
      <c r="C81" s="10">
        <v>352294447725915</v>
      </c>
      <c r="D81" t="s">
        <v>65</v>
      </c>
      <c r="E81" s="5">
        <v>4130</v>
      </c>
      <c r="F81" s="5">
        <v>3877.2</v>
      </c>
      <c r="G81" s="5">
        <v>252.8</v>
      </c>
      <c r="H81" s="5">
        <v>6.52</v>
      </c>
      <c r="I81" t="s">
        <v>20</v>
      </c>
    </row>
    <row r="82" spans="1:9" x14ac:dyDescent="0.25">
      <c r="A82" t="s">
        <v>62</v>
      </c>
      <c r="B82" t="s">
        <v>64</v>
      </c>
      <c r="C82" s="10">
        <v>352294449052755</v>
      </c>
      <c r="D82" t="s">
        <v>65</v>
      </c>
      <c r="E82" s="5">
        <v>4130</v>
      </c>
      <c r="F82" s="5">
        <v>3877.2</v>
      </c>
      <c r="G82" s="5">
        <v>252.8</v>
      </c>
      <c r="H82" s="5">
        <v>6.52</v>
      </c>
      <c r="I82" t="s">
        <v>20</v>
      </c>
    </row>
    <row r="83" spans="1:9" x14ac:dyDescent="0.25">
      <c r="A83" t="s">
        <v>62</v>
      </c>
      <c r="B83" t="s">
        <v>58</v>
      </c>
      <c r="C83" s="10">
        <v>350599864077034</v>
      </c>
      <c r="D83" t="s">
        <v>66</v>
      </c>
      <c r="E83" s="5">
        <v>4430</v>
      </c>
      <c r="F83" s="5">
        <v>4272.1000000000004</v>
      </c>
      <c r="G83" s="5">
        <v>157.9</v>
      </c>
      <c r="H83" s="5">
        <v>3.7</v>
      </c>
      <c r="I83" t="s">
        <v>20</v>
      </c>
    </row>
    <row r="84" spans="1:9" x14ac:dyDescent="0.25">
      <c r="A84" t="s">
        <v>62</v>
      </c>
      <c r="B84" t="s">
        <v>58</v>
      </c>
      <c r="C84" s="10">
        <v>352791395180480</v>
      </c>
      <c r="D84" t="s">
        <v>15</v>
      </c>
      <c r="E84" s="5">
        <v>3481.01</v>
      </c>
      <c r="F84" s="5">
        <v>3015.6</v>
      </c>
      <c r="G84" s="5">
        <v>465.41</v>
      </c>
      <c r="H84" s="5">
        <v>15.43</v>
      </c>
      <c r="I84" t="s">
        <v>20</v>
      </c>
    </row>
    <row r="85" spans="1:9" x14ac:dyDescent="0.25">
      <c r="A85" t="s">
        <v>62</v>
      </c>
      <c r="B85" t="s">
        <v>58</v>
      </c>
      <c r="C85" s="10">
        <v>353837419424757</v>
      </c>
      <c r="D85" t="s">
        <v>65</v>
      </c>
      <c r="E85" s="5">
        <v>4570</v>
      </c>
      <c r="F85" s="5">
        <v>4236.2</v>
      </c>
      <c r="G85" s="5">
        <v>333.8</v>
      </c>
      <c r="H85" s="5">
        <v>7.88</v>
      </c>
      <c r="I85" t="s">
        <v>20</v>
      </c>
    </row>
    <row r="86" spans="1:9" x14ac:dyDescent="0.25">
      <c r="A86" t="s">
        <v>62</v>
      </c>
      <c r="B86" t="s">
        <v>58</v>
      </c>
      <c r="C86" s="10">
        <v>353837419937733</v>
      </c>
      <c r="D86" t="s">
        <v>65</v>
      </c>
      <c r="E86" s="5">
        <v>4570</v>
      </c>
      <c r="F86" s="5">
        <v>4236.2</v>
      </c>
      <c r="G86" s="5">
        <v>333.8</v>
      </c>
      <c r="H86" s="5">
        <v>7.88</v>
      </c>
      <c r="I86" t="s">
        <v>20</v>
      </c>
    </row>
    <row r="87" spans="1:9" x14ac:dyDescent="0.25">
      <c r="A87" t="s">
        <v>62</v>
      </c>
      <c r="B87" t="s">
        <v>58</v>
      </c>
      <c r="C87" s="10">
        <v>353837419953243</v>
      </c>
      <c r="D87" t="s">
        <v>65</v>
      </c>
      <c r="E87" s="5">
        <v>4570</v>
      </c>
      <c r="F87" s="5">
        <v>4236.2</v>
      </c>
      <c r="G87" s="5">
        <v>333.8</v>
      </c>
      <c r="H87" s="5">
        <v>7.88</v>
      </c>
      <c r="I87" t="s">
        <v>20</v>
      </c>
    </row>
    <row r="88" spans="1:9" x14ac:dyDescent="0.25">
      <c r="A88" t="s">
        <v>62</v>
      </c>
      <c r="B88" t="s">
        <v>58</v>
      </c>
      <c r="C88" s="10">
        <v>356188169957969</v>
      </c>
      <c r="D88" t="s">
        <v>65</v>
      </c>
      <c r="E88" s="5">
        <v>4430</v>
      </c>
      <c r="F88" s="5">
        <v>4272.1000000000004</v>
      </c>
      <c r="G88" s="5">
        <v>157.9</v>
      </c>
      <c r="H88" s="5">
        <v>3.7</v>
      </c>
      <c r="I88" t="s">
        <v>20</v>
      </c>
    </row>
    <row r="89" spans="1:9" x14ac:dyDescent="0.25">
      <c r="A89" t="s">
        <v>62</v>
      </c>
      <c r="B89" t="s">
        <v>58</v>
      </c>
      <c r="C89" s="10">
        <v>357329442466084</v>
      </c>
      <c r="D89" t="s">
        <v>65</v>
      </c>
      <c r="E89" s="5">
        <v>4430</v>
      </c>
      <c r="F89" s="5">
        <v>4236.2</v>
      </c>
      <c r="G89" s="5">
        <v>193.8</v>
      </c>
      <c r="H89" s="5">
        <v>4.57</v>
      </c>
      <c r="I89" t="s">
        <v>20</v>
      </c>
    </row>
    <row r="90" spans="1:9" x14ac:dyDescent="0.25">
      <c r="A90" t="s">
        <v>62</v>
      </c>
      <c r="B90" t="s">
        <v>58</v>
      </c>
      <c r="C90" s="10">
        <v>357329442747004</v>
      </c>
      <c r="D90" t="s">
        <v>65</v>
      </c>
      <c r="E90" s="5">
        <v>4430</v>
      </c>
      <c r="F90" s="5">
        <v>4236.2</v>
      </c>
      <c r="G90" s="5">
        <v>193.8</v>
      </c>
      <c r="H90" s="5">
        <v>4.57</v>
      </c>
      <c r="I90" t="s">
        <v>20</v>
      </c>
    </row>
    <row r="91" spans="1:9" x14ac:dyDescent="0.25">
      <c r="A91" t="s">
        <v>62</v>
      </c>
      <c r="B91" t="s">
        <v>58</v>
      </c>
      <c r="C91" s="10">
        <v>357329443067907</v>
      </c>
      <c r="D91" t="s">
        <v>65</v>
      </c>
      <c r="E91" s="5">
        <v>4430</v>
      </c>
      <c r="F91" s="5">
        <v>4236.2</v>
      </c>
      <c r="G91" s="5">
        <v>193.8</v>
      </c>
      <c r="H91" s="5">
        <v>4.57</v>
      </c>
      <c r="I91" t="s">
        <v>20</v>
      </c>
    </row>
    <row r="92" spans="1:9" x14ac:dyDescent="0.25">
      <c r="A92" t="s">
        <v>62</v>
      </c>
      <c r="B92" t="s">
        <v>58</v>
      </c>
      <c r="C92" s="10">
        <v>357329443543139</v>
      </c>
      <c r="D92" t="s">
        <v>65</v>
      </c>
      <c r="E92" s="5">
        <v>4430</v>
      </c>
      <c r="F92" s="5">
        <v>4236.2</v>
      </c>
      <c r="G92" s="5">
        <v>193.8</v>
      </c>
      <c r="H92" s="5">
        <v>4.57</v>
      </c>
      <c r="I92" t="s">
        <v>20</v>
      </c>
    </row>
    <row r="93" spans="1:9" x14ac:dyDescent="0.25">
      <c r="A93" t="s">
        <v>62</v>
      </c>
      <c r="B93" t="s">
        <v>58</v>
      </c>
      <c r="C93" s="10">
        <v>357329443574662</v>
      </c>
      <c r="D93" t="s">
        <v>65</v>
      </c>
      <c r="E93" s="5">
        <v>4430</v>
      </c>
      <c r="F93" s="5">
        <v>4236.2</v>
      </c>
      <c r="G93" s="5">
        <v>193.8</v>
      </c>
      <c r="H93" s="5">
        <v>4.57</v>
      </c>
      <c r="I93" t="s">
        <v>20</v>
      </c>
    </row>
    <row r="94" spans="1:9" x14ac:dyDescent="0.25">
      <c r="A94" t="s">
        <v>62</v>
      </c>
      <c r="B94" t="s">
        <v>58</v>
      </c>
      <c r="C94" s="10">
        <v>358051329925383</v>
      </c>
      <c r="D94" t="s">
        <v>65</v>
      </c>
      <c r="E94" s="5">
        <v>4430</v>
      </c>
      <c r="F94" s="5">
        <v>4272.1000000000004</v>
      </c>
      <c r="G94" s="5">
        <v>157.9</v>
      </c>
      <c r="H94" s="5">
        <v>3.7</v>
      </c>
      <c r="I94" t="s">
        <v>20</v>
      </c>
    </row>
    <row r="95" spans="1:9" x14ac:dyDescent="0.25">
      <c r="A95" t="s">
        <v>62</v>
      </c>
      <c r="B95" t="s">
        <v>58</v>
      </c>
      <c r="C95" s="10">
        <v>358902510478006</v>
      </c>
      <c r="D95" t="s">
        <v>65</v>
      </c>
      <c r="E95" s="5">
        <v>4430</v>
      </c>
      <c r="F95" s="5">
        <v>4272.1000000000004</v>
      </c>
      <c r="G95" s="5">
        <v>157.9</v>
      </c>
      <c r="H95" s="5">
        <v>3.7</v>
      </c>
      <c r="I95" t="s">
        <v>20</v>
      </c>
    </row>
    <row r="96" spans="1:9" x14ac:dyDescent="0.25">
      <c r="A96" t="s">
        <v>62</v>
      </c>
      <c r="B96" t="s">
        <v>58</v>
      </c>
      <c r="C96" s="10">
        <v>358902510698074</v>
      </c>
      <c r="D96" t="s">
        <v>65</v>
      </c>
      <c r="E96" s="5">
        <v>4430</v>
      </c>
      <c r="F96" s="5">
        <v>4272.1000000000004</v>
      </c>
      <c r="G96" s="5">
        <v>157.9</v>
      </c>
      <c r="H96" s="5">
        <v>3.7</v>
      </c>
      <c r="I96" t="s">
        <v>20</v>
      </c>
    </row>
    <row r="97" spans="1:9" x14ac:dyDescent="0.25">
      <c r="A97" t="s">
        <v>62</v>
      </c>
      <c r="B97" t="s">
        <v>58</v>
      </c>
      <c r="C97" s="10">
        <v>358902514085609</v>
      </c>
      <c r="D97" t="s">
        <v>65</v>
      </c>
      <c r="E97" s="5">
        <v>4430</v>
      </c>
      <c r="F97" s="5">
        <v>4272.1000000000004</v>
      </c>
      <c r="G97" s="5">
        <v>157.9</v>
      </c>
      <c r="H97" s="5">
        <v>3.7</v>
      </c>
      <c r="I97" t="s">
        <v>20</v>
      </c>
    </row>
    <row r="98" spans="1:9" x14ac:dyDescent="0.25">
      <c r="A98" s="2" t="s">
        <v>67</v>
      </c>
      <c r="B98" s="2" t="s">
        <v>68</v>
      </c>
      <c r="C98" s="12" t="s">
        <v>69</v>
      </c>
      <c r="D98" s="2" t="s">
        <v>15</v>
      </c>
      <c r="E98" s="6">
        <v>630</v>
      </c>
      <c r="F98" s="6">
        <v>637</v>
      </c>
      <c r="G98" s="6">
        <v>-7</v>
      </c>
      <c r="H98" s="6">
        <v>-1.1000000000000001</v>
      </c>
      <c r="I98" s="2" t="s">
        <v>70</v>
      </c>
    </row>
    <row r="99" spans="1:9" x14ac:dyDescent="0.25">
      <c r="A99" s="2" t="s">
        <v>67</v>
      </c>
      <c r="B99" s="2" t="s">
        <v>68</v>
      </c>
      <c r="C99" s="12" t="s">
        <v>71</v>
      </c>
      <c r="D99" s="2" t="s">
        <v>15</v>
      </c>
      <c r="E99" s="6">
        <v>630</v>
      </c>
      <c r="F99" s="6">
        <v>637</v>
      </c>
      <c r="G99" s="6">
        <v>-7</v>
      </c>
      <c r="H99" s="6">
        <v>-1.1000000000000001</v>
      </c>
      <c r="I99" s="2" t="s">
        <v>70</v>
      </c>
    </row>
    <row r="100" spans="1:9" x14ac:dyDescent="0.25">
      <c r="A100" s="2" t="s">
        <v>67</v>
      </c>
      <c r="B100" s="2" t="s">
        <v>68</v>
      </c>
      <c r="C100" s="12" t="s">
        <v>72</v>
      </c>
      <c r="D100" s="2" t="s">
        <v>15</v>
      </c>
      <c r="E100" s="6">
        <v>630</v>
      </c>
      <c r="F100" s="6">
        <v>637</v>
      </c>
      <c r="G100" s="6">
        <v>-7</v>
      </c>
      <c r="H100" s="6">
        <v>-1.1000000000000001</v>
      </c>
      <c r="I100" s="2" t="s">
        <v>70</v>
      </c>
    </row>
    <row r="101" spans="1:9" x14ac:dyDescent="0.25">
      <c r="A101" s="2" t="s">
        <v>67</v>
      </c>
      <c r="B101" s="2" t="s">
        <v>68</v>
      </c>
      <c r="C101" s="12" t="s">
        <v>73</v>
      </c>
      <c r="D101" s="2" t="s">
        <v>15</v>
      </c>
      <c r="E101" s="6">
        <v>630</v>
      </c>
      <c r="F101" s="6">
        <v>633.88</v>
      </c>
      <c r="G101" s="6">
        <v>-3.88</v>
      </c>
      <c r="H101" s="6">
        <v>-0.61</v>
      </c>
      <c r="I101" s="2" t="s">
        <v>16</v>
      </c>
    </row>
    <row r="102" spans="1:9" x14ac:dyDescent="0.25">
      <c r="A102" s="2" t="s">
        <v>67</v>
      </c>
      <c r="B102" s="2" t="s">
        <v>68</v>
      </c>
      <c r="C102" s="12" t="s">
        <v>74</v>
      </c>
      <c r="D102" s="2" t="s">
        <v>15</v>
      </c>
      <c r="E102" s="6">
        <v>630</v>
      </c>
      <c r="F102" s="6">
        <v>633.88</v>
      </c>
      <c r="G102" s="6">
        <v>-3.88</v>
      </c>
      <c r="H102" s="6">
        <v>-0.61</v>
      </c>
      <c r="I102" s="2" t="s">
        <v>16</v>
      </c>
    </row>
    <row r="103" spans="1:9" x14ac:dyDescent="0.25">
      <c r="A103" s="2" t="s">
        <v>67</v>
      </c>
      <c r="B103" s="2" t="s">
        <v>68</v>
      </c>
      <c r="C103" s="12" t="s">
        <v>75</v>
      </c>
      <c r="D103" s="2" t="s">
        <v>15</v>
      </c>
      <c r="E103" s="6">
        <v>630</v>
      </c>
      <c r="F103" s="6">
        <v>633.88</v>
      </c>
      <c r="G103" s="6">
        <v>-3.88</v>
      </c>
      <c r="H103" s="6">
        <v>-0.61</v>
      </c>
      <c r="I103" s="2" t="s">
        <v>16</v>
      </c>
    </row>
    <row r="104" spans="1:9" x14ac:dyDescent="0.25">
      <c r="A104" s="2" t="s">
        <v>67</v>
      </c>
      <c r="B104" s="2" t="s">
        <v>68</v>
      </c>
      <c r="C104" s="12" t="s">
        <v>76</v>
      </c>
      <c r="D104" s="2" t="s">
        <v>15</v>
      </c>
      <c r="E104" s="6">
        <v>630</v>
      </c>
      <c r="F104" s="6">
        <v>633.88</v>
      </c>
      <c r="G104" s="6">
        <v>-3.88</v>
      </c>
      <c r="H104" s="6">
        <v>-0.61</v>
      </c>
      <c r="I104" s="2" t="s">
        <v>16</v>
      </c>
    </row>
    <row r="105" spans="1:9" x14ac:dyDescent="0.25">
      <c r="A105" s="2" t="s">
        <v>67</v>
      </c>
      <c r="B105" s="2" t="s">
        <v>68</v>
      </c>
      <c r="C105" s="12" t="s">
        <v>77</v>
      </c>
      <c r="D105" s="2" t="s">
        <v>15</v>
      </c>
      <c r="E105" s="6">
        <v>630</v>
      </c>
      <c r="F105" s="6">
        <v>633.88</v>
      </c>
      <c r="G105" s="6">
        <v>-3.88</v>
      </c>
      <c r="H105" s="6">
        <v>-0.61</v>
      </c>
      <c r="I105" s="2" t="s">
        <v>16</v>
      </c>
    </row>
    <row r="106" spans="1:9" x14ac:dyDescent="0.25">
      <c r="A106" s="2" t="s">
        <v>67</v>
      </c>
      <c r="B106" s="2" t="s">
        <v>68</v>
      </c>
      <c r="C106" s="12" t="s">
        <v>78</v>
      </c>
      <c r="D106" s="2" t="s">
        <v>15</v>
      </c>
      <c r="E106" s="6">
        <v>630</v>
      </c>
      <c r="F106" s="6">
        <v>633.88</v>
      </c>
      <c r="G106" s="6">
        <v>-3.88</v>
      </c>
      <c r="H106" s="6">
        <v>-0.61</v>
      </c>
      <c r="I106" s="2" t="s">
        <v>16</v>
      </c>
    </row>
    <row r="107" spans="1:9" x14ac:dyDescent="0.25">
      <c r="A107" s="2" t="s">
        <v>67</v>
      </c>
      <c r="B107" s="2" t="s">
        <v>68</v>
      </c>
      <c r="C107" s="12" t="s">
        <v>79</v>
      </c>
      <c r="D107" s="2" t="s">
        <v>15</v>
      </c>
      <c r="E107" s="6">
        <v>630</v>
      </c>
      <c r="F107" s="6">
        <v>633.88</v>
      </c>
      <c r="G107" s="6">
        <v>-3.88</v>
      </c>
      <c r="H107" s="6">
        <v>-0.61</v>
      </c>
      <c r="I107" s="2" t="s">
        <v>16</v>
      </c>
    </row>
    <row r="108" spans="1:9" x14ac:dyDescent="0.25">
      <c r="A108" s="2" t="s">
        <v>67</v>
      </c>
      <c r="B108" s="2" t="s">
        <v>68</v>
      </c>
      <c r="C108" s="12" t="s">
        <v>80</v>
      </c>
      <c r="D108" s="2" t="s">
        <v>15</v>
      </c>
      <c r="E108" s="6">
        <v>630</v>
      </c>
      <c r="F108" s="6">
        <v>633.88</v>
      </c>
      <c r="G108" s="6">
        <v>-3.88</v>
      </c>
      <c r="H108" s="6">
        <v>-0.61</v>
      </c>
      <c r="I108" s="2" t="s">
        <v>16</v>
      </c>
    </row>
    <row r="109" spans="1:9" x14ac:dyDescent="0.25">
      <c r="A109" s="2" t="s">
        <v>67</v>
      </c>
      <c r="B109" s="2" t="s">
        <v>68</v>
      </c>
      <c r="C109" s="12" t="s">
        <v>81</v>
      </c>
      <c r="D109" s="2" t="s">
        <v>15</v>
      </c>
      <c r="E109" s="6">
        <v>630</v>
      </c>
      <c r="F109" s="6">
        <v>633.88</v>
      </c>
      <c r="G109" s="6">
        <v>-3.88</v>
      </c>
      <c r="H109" s="6">
        <v>-0.61</v>
      </c>
      <c r="I109" s="2" t="s">
        <v>16</v>
      </c>
    </row>
    <row r="110" spans="1:9" x14ac:dyDescent="0.25">
      <c r="A110" s="2" t="s">
        <v>67</v>
      </c>
      <c r="B110" s="2" t="s">
        <v>68</v>
      </c>
      <c r="C110" s="12" t="s">
        <v>82</v>
      </c>
      <c r="D110" s="2" t="s">
        <v>15</v>
      </c>
      <c r="E110" s="6">
        <v>630</v>
      </c>
      <c r="F110" s="6">
        <v>633.88</v>
      </c>
      <c r="G110" s="6">
        <v>-3.88</v>
      </c>
      <c r="H110" s="6">
        <v>-0.61</v>
      </c>
      <c r="I110" s="2" t="s">
        <v>16</v>
      </c>
    </row>
    <row r="111" spans="1:9" x14ac:dyDescent="0.25">
      <c r="A111" s="2" t="s">
        <v>67</v>
      </c>
      <c r="B111" s="2" t="s">
        <v>68</v>
      </c>
      <c r="C111" s="12" t="s">
        <v>83</v>
      </c>
      <c r="D111" s="2" t="s">
        <v>15</v>
      </c>
      <c r="E111" s="6">
        <v>630</v>
      </c>
      <c r="F111" s="6">
        <v>633.88</v>
      </c>
      <c r="G111" s="6">
        <v>-3.88</v>
      </c>
      <c r="H111" s="6">
        <v>-0.61</v>
      </c>
      <c r="I111" s="2" t="s">
        <v>16</v>
      </c>
    </row>
    <row r="112" spans="1:9" x14ac:dyDescent="0.25">
      <c r="A112" s="2" t="s">
        <v>67</v>
      </c>
      <c r="B112" s="2" t="s">
        <v>68</v>
      </c>
      <c r="C112" s="12" t="s">
        <v>84</v>
      </c>
      <c r="D112" s="2" t="s">
        <v>15</v>
      </c>
      <c r="E112" s="6">
        <v>630</v>
      </c>
      <c r="F112" s="6">
        <v>633.88</v>
      </c>
      <c r="G112" s="6">
        <v>-3.88</v>
      </c>
      <c r="H112" s="6">
        <v>-0.61</v>
      </c>
      <c r="I112" s="2" t="s">
        <v>16</v>
      </c>
    </row>
    <row r="113" spans="1:9" x14ac:dyDescent="0.25">
      <c r="A113" t="s">
        <v>67</v>
      </c>
      <c r="B113" t="s">
        <v>85</v>
      </c>
      <c r="C113" s="10">
        <v>351399085288729</v>
      </c>
      <c r="D113" t="s">
        <v>60</v>
      </c>
      <c r="E113" s="5">
        <v>1140</v>
      </c>
      <c r="F113" s="5">
        <v>981.75</v>
      </c>
      <c r="G113" s="5">
        <v>158.25</v>
      </c>
      <c r="H113" s="5">
        <v>16.12</v>
      </c>
      <c r="I113" t="s">
        <v>20</v>
      </c>
    </row>
    <row r="114" spans="1:9" x14ac:dyDescent="0.25">
      <c r="A114" t="s">
        <v>67</v>
      </c>
      <c r="B114" t="s">
        <v>85</v>
      </c>
      <c r="C114" s="10">
        <v>351682391733748</v>
      </c>
      <c r="D114" t="s">
        <v>56</v>
      </c>
      <c r="E114" s="5">
        <v>1190</v>
      </c>
      <c r="F114" s="5">
        <v>1005.2</v>
      </c>
      <c r="G114" s="5">
        <v>184.8</v>
      </c>
      <c r="H114" s="5">
        <v>18.38</v>
      </c>
      <c r="I114" t="s">
        <v>20</v>
      </c>
    </row>
    <row r="115" spans="1:9" x14ac:dyDescent="0.25">
      <c r="A115" t="s">
        <v>67</v>
      </c>
      <c r="B115" t="s">
        <v>85</v>
      </c>
      <c r="C115" s="10">
        <v>353215877111390</v>
      </c>
      <c r="D115" t="s">
        <v>56</v>
      </c>
      <c r="E115" s="5">
        <v>1190</v>
      </c>
      <c r="F115" s="5">
        <v>1005.2</v>
      </c>
      <c r="G115" s="5">
        <v>184.8</v>
      </c>
      <c r="H115" s="5">
        <v>18.38</v>
      </c>
      <c r="I115" t="s">
        <v>20</v>
      </c>
    </row>
    <row r="116" spans="1:9" x14ac:dyDescent="0.25">
      <c r="A116" t="s">
        <v>67</v>
      </c>
      <c r="B116" t="s">
        <v>85</v>
      </c>
      <c r="C116" s="10">
        <v>353215877148384</v>
      </c>
      <c r="D116" t="s">
        <v>56</v>
      </c>
      <c r="E116" s="5">
        <v>1190</v>
      </c>
      <c r="F116" s="5">
        <v>1005.2</v>
      </c>
      <c r="G116" s="5">
        <v>184.8</v>
      </c>
      <c r="H116" s="5">
        <v>18.38</v>
      </c>
      <c r="I116" t="s">
        <v>20</v>
      </c>
    </row>
    <row r="117" spans="1:9" x14ac:dyDescent="0.25">
      <c r="A117" t="s">
        <v>67</v>
      </c>
      <c r="B117" t="s">
        <v>85</v>
      </c>
      <c r="C117" s="10">
        <v>353215877234358</v>
      </c>
      <c r="D117" t="s">
        <v>56</v>
      </c>
      <c r="E117" s="5">
        <v>1190</v>
      </c>
      <c r="F117" s="5">
        <v>1005.2</v>
      </c>
      <c r="G117" s="5">
        <v>184.8</v>
      </c>
      <c r="H117" s="5">
        <v>18.38</v>
      </c>
      <c r="I117" t="s">
        <v>20</v>
      </c>
    </row>
    <row r="118" spans="1:9" x14ac:dyDescent="0.25">
      <c r="A118" t="s">
        <v>67</v>
      </c>
      <c r="B118" t="s">
        <v>85</v>
      </c>
      <c r="C118" s="10">
        <v>353215877284767</v>
      </c>
      <c r="D118" t="s">
        <v>56</v>
      </c>
      <c r="E118" s="5">
        <v>1190</v>
      </c>
      <c r="F118" s="5">
        <v>1005.2</v>
      </c>
      <c r="G118" s="5">
        <v>184.8</v>
      </c>
      <c r="H118" s="5">
        <v>18.38</v>
      </c>
      <c r="I118" t="s">
        <v>20</v>
      </c>
    </row>
    <row r="119" spans="1:9" x14ac:dyDescent="0.25">
      <c r="A119" t="s">
        <v>67</v>
      </c>
      <c r="B119" t="s">
        <v>85</v>
      </c>
      <c r="C119" s="10">
        <v>353215878686424</v>
      </c>
      <c r="D119" t="s">
        <v>56</v>
      </c>
      <c r="E119" s="5">
        <v>1190</v>
      </c>
      <c r="F119" s="5">
        <v>1005.2</v>
      </c>
      <c r="G119" s="5">
        <v>184.8</v>
      </c>
      <c r="H119" s="5">
        <v>18.38</v>
      </c>
      <c r="I119" t="s">
        <v>20</v>
      </c>
    </row>
    <row r="120" spans="1:9" x14ac:dyDescent="0.25">
      <c r="A120" t="s">
        <v>67</v>
      </c>
      <c r="B120" t="s">
        <v>85</v>
      </c>
      <c r="C120" s="10">
        <v>353215879512090</v>
      </c>
      <c r="D120" t="s">
        <v>56</v>
      </c>
      <c r="E120" s="5">
        <v>1190</v>
      </c>
      <c r="F120" s="5">
        <v>1005.2</v>
      </c>
      <c r="G120" s="5">
        <v>184.8</v>
      </c>
      <c r="H120" s="5">
        <v>18.38</v>
      </c>
      <c r="I120" t="s">
        <v>20</v>
      </c>
    </row>
    <row r="121" spans="1:9" x14ac:dyDescent="0.25">
      <c r="A121" t="s">
        <v>67</v>
      </c>
      <c r="B121" t="s">
        <v>85</v>
      </c>
      <c r="C121" s="10">
        <v>357491835223942</v>
      </c>
      <c r="D121" t="s">
        <v>60</v>
      </c>
      <c r="E121" s="5">
        <v>1140</v>
      </c>
      <c r="F121" s="5">
        <v>981.75</v>
      </c>
      <c r="G121" s="5">
        <v>158.25</v>
      </c>
      <c r="H121" s="5">
        <v>16.12</v>
      </c>
      <c r="I121" t="s">
        <v>20</v>
      </c>
    </row>
    <row r="122" spans="1:9" x14ac:dyDescent="0.25">
      <c r="A122" t="s">
        <v>67</v>
      </c>
      <c r="B122" t="s">
        <v>86</v>
      </c>
      <c r="C122" s="10">
        <v>354741554813635</v>
      </c>
      <c r="D122" t="s">
        <v>15</v>
      </c>
      <c r="E122" s="5">
        <v>800</v>
      </c>
      <c r="F122" s="5">
        <v>735.95</v>
      </c>
      <c r="G122" s="5">
        <v>64.05</v>
      </c>
      <c r="H122" s="5">
        <v>8.6999999999999993</v>
      </c>
      <c r="I122" t="s">
        <v>20</v>
      </c>
    </row>
    <row r="123" spans="1:9" x14ac:dyDescent="0.25">
      <c r="A123" t="s">
        <v>67</v>
      </c>
      <c r="B123" t="s">
        <v>86</v>
      </c>
      <c r="C123" s="10">
        <v>355354210936854</v>
      </c>
      <c r="D123" t="s">
        <v>15</v>
      </c>
      <c r="E123" s="5">
        <v>800</v>
      </c>
      <c r="F123" s="5">
        <v>735.95</v>
      </c>
      <c r="G123" s="5">
        <v>64.05</v>
      </c>
      <c r="H123" s="5">
        <v>8.6999999999999993</v>
      </c>
      <c r="I123" t="s">
        <v>20</v>
      </c>
    </row>
    <row r="124" spans="1:9" x14ac:dyDescent="0.25">
      <c r="A124" t="s">
        <v>67</v>
      </c>
      <c r="B124" t="s">
        <v>86</v>
      </c>
      <c r="C124" s="10">
        <v>356842891030715</v>
      </c>
      <c r="D124" t="s">
        <v>15</v>
      </c>
      <c r="E124" s="5">
        <v>800</v>
      </c>
      <c r="F124" s="5">
        <v>735.95</v>
      </c>
      <c r="G124" s="5">
        <v>64.05</v>
      </c>
      <c r="H124" s="5">
        <v>8.6999999999999993</v>
      </c>
      <c r="I124" t="s">
        <v>20</v>
      </c>
    </row>
    <row r="125" spans="1:9" x14ac:dyDescent="0.25">
      <c r="A125" t="s">
        <v>67</v>
      </c>
      <c r="B125" t="s">
        <v>86</v>
      </c>
      <c r="C125" s="10">
        <v>356842891165669</v>
      </c>
      <c r="D125" t="s">
        <v>15</v>
      </c>
      <c r="E125" s="5">
        <v>800</v>
      </c>
      <c r="F125" s="5">
        <v>735.95</v>
      </c>
      <c r="G125" s="5">
        <v>64.05</v>
      </c>
      <c r="H125" s="5">
        <v>8.6999999999999993</v>
      </c>
      <c r="I125" t="s">
        <v>20</v>
      </c>
    </row>
    <row r="126" spans="1:9" x14ac:dyDescent="0.25">
      <c r="A126" t="s">
        <v>67</v>
      </c>
      <c r="B126" t="s">
        <v>87</v>
      </c>
      <c r="C126" s="10">
        <v>350795041666034</v>
      </c>
      <c r="D126" t="s">
        <v>15</v>
      </c>
      <c r="E126" s="5">
        <v>2000</v>
      </c>
      <c r="F126" s="5">
        <v>1920</v>
      </c>
      <c r="G126" s="5">
        <v>80</v>
      </c>
      <c r="H126" s="5">
        <v>4.17</v>
      </c>
      <c r="I126" t="s">
        <v>39</v>
      </c>
    </row>
    <row r="127" spans="1:9" x14ac:dyDescent="0.25">
      <c r="A127" t="s">
        <v>67</v>
      </c>
      <c r="B127" t="s">
        <v>87</v>
      </c>
      <c r="C127" s="10">
        <v>350795045749612</v>
      </c>
      <c r="D127" t="s">
        <v>88</v>
      </c>
      <c r="E127" s="5">
        <v>2000</v>
      </c>
      <c r="F127" s="5">
        <v>1920</v>
      </c>
      <c r="G127" s="5">
        <v>80</v>
      </c>
      <c r="H127" s="5">
        <v>4.17</v>
      </c>
      <c r="I127" t="s">
        <v>39</v>
      </c>
    </row>
    <row r="128" spans="1:9" x14ac:dyDescent="0.25">
      <c r="A128" t="s">
        <v>67</v>
      </c>
      <c r="B128" t="s">
        <v>87</v>
      </c>
      <c r="C128" s="10">
        <v>350795045808152</v>
      </c>
      <c r="D128" t="s">
        <v>26</v>
      </c>
      <c r="E128" s="5">
        <v>2000</v>
      </c>
      <c r="F128" s="5">
        <v>1856.4</v>
      </c>
      <c r="G128" s="5">
        <v>143.6</v>
      </c>
      <c r="H128" s="5">
        <v>7.74</v>
      </c>
      <c r="I128" t="s">
        <v>20</v>
      </c>
    </row>
    <row r="129" spans="1:9" x14ac:dyDescent="0.25">
      <c r="A129" t="s">
        <v>67</v>
      </c>
      <c r="B129" t="s">
        <v>87</v>
      </c>
      <c r="C129" s="10">
        <v>351605724701124</v>
      </c>
      <c r="D129" t="s">
        <v>15</v>
      </c>
      <c r="E129" s="5">
        <v>2000</v>
      </c>
      <c r="F129" s="5">
        <v>1920</v>
      </c>
      <c r="G129" s="5">
        <v>80</v>
      </c>
      <c r="H129" s="5">
        <v>4.17</v>
      </c>
      <c r="I129" t="s">
        <v>39</v>
      </c>
    </row>
    <row r="130" spans="1:9" x14ac:dyDescent="0.25">
      <c r="A130" t="s">
        <v>67</v>
      </c>
      <c r="B130" t="s">
        <v>87</v>
      </c>
      <c r="C130" s="10">
        <v>355413814741027</v>
      </c>
      <c r="D130" t="s">
        <v>15</v>
      </c>
      <c r="E130" s="5">
        <v>1950</v>
      </c>
      <c r="F130" s="5">
        <v>1920</v>
      </c>
      <c r="G130" s="5">
        <v>30</v>
      </c>
      <c r="H130" s="5">
        <v>1.56</v>
      </c>
      <c r="I130" t="s">
        <v>39</v>
      </c>
    </row>
    <row r="131" spans="1:9" x14ac:dyDescent="0.25">
      <c r="A131" t="s">
        <v>67</v>
      </c>
      <c r="B131" t="s">
        <v>87</v>
      </c>
      <c r="C131" s="10">
        <v>355413814850182</v>
      </c>
      <c r="D131" t="s">
        <v>15</v>
      </c>
      <c r="E131" s="5">
        <v>1950</v>
      </c>
      <c r="F131" s="5">
        <v>1920</v>
      </c>
      <c r="G131" s="5">
        <v>30</v>
      </c>
      <c r="H131" s="5">
        <v>1.56</v>
      </c>
      <c r="I131" t="s">
        <v>39</v>
      </c>
    </row>
    <row r="132" spans="1:9" x14ac:dyDescent="0.25">
      <c r="A132" t="s">
        <v>67</v>
      </c>
      <c r="B132" t="s">
        <v>87</v>
      </c>
      <c r="C132" s="10">
        <v>355413815048182</v>
      </c>
      <c r="D132" t="s">
        <v>15</v>
      </c>
      <c r="E132" s="5">
        <v>2000</v>
      </c>
      <c r="F132" s="5">
        <v>1920</v>
      </c>
      <c r="G132" s="5">
        <v>80</v>
      </c>
      <c r="H132" s="5">
        <v>4.17</v>
      </c>
      <c r="I132" t="s">
        <v>39</v>
      </c>
    </row>
    <row r="133" spans="1:9" x14ac:dyDescent="0.25">
      <c r="A133" t="s">
        <v>67</v>
      </c>
      <c r="B133" t="s">
        <v>87</v>
      </c>
      <c r="C133" s="10">
        <v>355413815114174</v>
      </c>
      <c r="D133" t="s">
        <v>15</v>
      </c>
      <c r="E133" s="5">
        <v>2000</v>
      </c>
      <c r="F133" s="5">
        <v>1920</v>
      </c>
      <c r="G133" s="5">
        <v>80</v>
      </c>
      <c r="H133" s="5">
        <v>4.17</v>
      </c>
      <c r="I133" t="s">
        <v>39</v>
      </c>
    </row>
    <row r="134" spans="1:9" x14ac:dyDescent="0.25">
      <c r="A134" t="s">
        <v>67</v>
      </c>
      <c r="B134" t="s">
        <v>87</v>
      </c>
      <c r="C134" s="10">
        <v>355413815139585</v>
      </c>
      <c r="D134" t="s">
        <v>15</v>
      </c>
      <c r="E134" s="5">
        <v>2000</v>
      </c>
      <c r="F134" s="5">
        <v>1920</v>
      </c>
      <c r="G134" s="5">
        <v>80</v>
      </c>
      <c r="H134" s="5">
        <v>4.17</v>
      </c>
      <c r="I134" t="s">
        <v>39</v>
      </c>
    </row>
    <row r="135" spans="1:9" x14ac:dyDescent="0.25">
      <c r="A135" t="s">
        <v>67</v>
      </c>
      <c r="B135" t="s">
        <v>87</v>
      </c>
      <c r="C135" s="10">
        <v>358271525408493</v>
      </c>
      <c r="D135" t="s">
        <v>15</v>
      </c>
      <c r="E135" s="5">
        <v>2000</v>
      </c>
      <c r="F135" s="5">
        <v>1866.8</v>
      </c>
      <c r="G135" s="5">
        <v>133.19999999999999</v>
      </c>
      <c r="H135" s="5">
        <v>7.14</v>
      </c>
      <c r="I135" t="s">
        <v>20</v>
      </c>
    </row>
    <row r="136" spans="1:9" x14ac:dyDescent="0.25">
      <c r="A136" t="s">
        <v>67</v>
      </c>
      <c r="B136" t="s">
        <v>58</v>
      </c>
      <c r="C136" s="10">
        <v>358902511404977</v>
      </c>
      <c r="D136" t="s">
        <v>66</v>
      </c>
      <c r="E136" s="5">
        <v>4230</v>
      </c>
      <c r="F136" s="5">
        <v>4092.6</v>
      </c>
      <c r="G136" s="5">
        <v>137.4</v>
      </c>
      <c r="H136" s="5">
        <v>3.36</v>
      </c>
      <c r="I136" t="s">
        <v>20</v>
      </c>
    </row>
    <row r="137" spans="1:9" x14ac:dyDescent="0.25">
      <c r="A137" t="s">
        <v>67</v>
      </c>
      <c r="B137" t="s">
        <v>89</v>
      </c>
      <c r="C137" s="10" t="s">
        <v>90</v>
      </c>
      <c r="D137" t="s">
        <v>91</v>
      </c>
      <c r="E137" s="5">
        <v>9250</v>
      </c>
      <c r="F137" s="5">
        <v>8113.4</v>
      </c>
      <c r="G137" s="5">
        <v>1136.5999999999999</v>
      </c>
      <c r="H137" s="5">
        <v>14.01</v>
      </c>
      <c r="I137" t="s">
        <v>20</v>
      </c>
    </row>
    <row r="138" spans="1:9" x14ac:dyDescent="0.25">
      <c r="A138" t="s">
        <v>67</v>
      </c>
      <c r="B138" t="s">
        <v>89</v>
      </c>
      <c r="C138" s="10" t="s">
        <v>92</v>
      </c>
      <c r="D138" t="s">
        <v>91</v>
      </c>
      <c r="E138" s="5">
        <v>9250</v>
      </c>
      <c r="F138" s="5">
        <v>8113.4</v>
      </c>
      <c r="G138" s="5">
        <v>1136.5999999999999</v>
      </c>
      <c r="H138" s="5">
        <v>14.01</v>
      </c>
      <c r="I138" t="s">
        <v>20</v>
      </c>
    </row>
    <row r="139" spans="1:9" x14ac:dyDescent="0.25">
      <c r="A139" s="2" t="s">
        <v>93</v>
      </c>
      <c r="B139" s="2" t="s">
        <v>68</v>
      </c>
      <c r="C139" s="12" t="s">
        <v>94</v>
      </c>
      <c r="D139" s="2" t="s">
        <v>15</v>
      </c>
      <c r="E139" s="6">
        <v>630</v>
      </c>
      <c r="F139" s="6">
        <v>637</v>
      </c>
      <c r="G139" s="6">
        <v>-7</v>
      </c>
      <c r="H139" s="6">
        <v>-1.1000000000000001</v>
      </c>
      <c r="I139" s="2" t="s">
        <v>70</v>
      </c>
    </row>
    <row r="140" spans="1:9" x14ac:dyDescent="0.25">
      <c r="A140" s="2" t="s">
        <v>93</v>
      </c>
      <c r="B140" s="2" t="s">
        <v>68</v>
      </c>
      <c r="C140" s="12" t="s">
        <v>95</v>
      </c>
      <c r="D140" s="2" t="s">
        <v>15</v>
      </c>
      <c r="E140" s="6">
        <v>630</v>
      </c>
      <c r="F140" s="6">
        <v>717.22</v>
      </c>
      <c r="G140" s="6">
        <v>-87.22</v>
      </c>
      <c r="H140" s="6">
        <v>-12.16</v>
      </c>
      <c r="I140" s="2" t="s">
        <v>16</v>
      </c>
    </row>
    <row r="141" spans="1:9" x14ac:dyDescent="0.25">
      <c r="A141" s="2" t="s">
        <v>93</v>
      </c>
      <c r="B141" s="2" t="s">
        <v>68</v>
      </c>
      <c r="C141" s="12" t="s">
        <v>96</v>
      </c>
      <c r="D141" s="2" t="s">
        <v>15</v>
      </c>
      <c r="E141" s="6">
        <v>630</v>
      </c>
      <c r="F141" s="6">
        <v>717.22</v>
      </c>
      <c r="G141" s="6">
        <v>-87.22</v>
      </c>
      <c r="H141" s="6">
        <v>-12.16</v>
      </c>
      <c r="I141" s="2" t="s">
        <v>16</v>
      </c>
    </row>
    <row r="142" spans="1:9" x14ac:dyDescent="0.25">
      <c r="A142" s="2" t="s">
        <v>93</v>
      </c>
      <c r="B142" s="2" t="s">
        <v>68</v>
      </c>
      <c r="C142" s="12" t="s">
        <v>97</v>
      </c>
      <c r="D142" s="2" t="s">
        <v>15</v>
      </c>
      <c r="E142" s="6">
        <v>630</v>
      </c>
      <c r="F142" s="6">
        <v>717.22</v>
      </c>
      <c r="G142" s="6">
        <v>-87.22</v>
      </c>
      <c r="H142" s="6">
        <v>-12.16</v>
      </c>
      <c r="I142" s="2" t="s">
        <v>16</v>
      </c>
    </row>
    <row r="143" spans="1:9" x14ac:dyDescent="0.25">
      <c r="A143" s="2" t="s">
        <v>93</v>
      </c>
      <c r="B143" s="2" t="s">
        <v>68</v>
      </c>
      <c r="C143" s="12" t="s">
        <v>98</v>
      </c>
      <c r="D143" s="2" t="s">
        <v>15</v>
      </c>
      <c r="E143" s="6">
        <v>630</v>
      </c>
      <c r="F143" s="6">
        <v>717.22</v>
      </c>
      <c r="G143" s="6">
        <v>-87.22</v>
      </c>
      <c r="H143" s="6">
        <v>-12.16</v>
      </c>
      <c r="I143" s="2" t="s">
        <v>16</v>
      </c>
    </row>
    <row r="144" spans="1:9" x14ac:dyDescent="0.25">
      <c r="A144" s="2" t="s">
        <v>93</v>
      </c>
      <c r="B144" s="2" t="s">
        <v>68</v>
      </c>
      <c r="C144" s="12" t="s">
        <v>99</v>
      </c>
      <c r="D144" s="2" t="s">
        <v>15</v>
      </c>
      <c r="E144" s="6">
        <v>630</v>
      </c>
      <c r="F144" s="6">
        <v>717.22</v>
      </c>
      <c r="G144" s="6">
        <v>-87.22</v>
      </c>
      <c r="H144" s="6">
        <v>-12.16</v>
      </c>
      <c r="I144" s="2" t="s">
        <v>16</v>
      </c>
    </row>
    <row r="145" spans="1:9" x14ac:dyDescent="0.25">
      <c r="A145" s="2" t="s">
        <v>93</v>
      </c>
      <c r="B145" s="2" t="s">
        <v>68</v>
      </c>
      <c r="C145" s="12" t="s">
        <v>100</v>
      </c>
      <c r="D145" s="2" t="s">
        <v>15</v>
      </c>
      <c r="E145" s="6">
        <v>630</v>
      </c>
      <c r="F145" s="6">
        <v>717.22</v>
      </c>
      <c r="G145" s="6">
        <v>-87.22</v>
      </c>
      <c r="H145" s="6">
        <v>-12.16</v>
      </c>
      <c r="I145" s="2" t="s">
        <v>16</v>
      </c>
    </row>
    <row r="146" spans="1:9" x14ac:dyDescent="0.25">
      <c r="A146" s="2" t="s">
        <v>93</v>
      </c>
      <c r="B146" s="2" t="s">
        <v>68</v>
      </c>
      <c r="C146" s="12" t="s">
        <v>101</v>
      </c>
      <c r="D146" s="2" t="s">
        <v>15</v>
      </c>
      <c r="E146" s="6">
        <v>630</v>
      </c>
      <c r="F146" s="6">
        <v>717.22</v>
      </c>
      <c r="G146" s="6">
        <v>-87.22</v>
      </c>
      <c r="H146" s="6">
        <v>-12.16</v>
      </c>
      <c r="I146" s="2" t="s">
        <v>16</v>
      </c>
    </row>
    <row r="147" spans="1:9" x14ac:dyDescent="0.25">
      <c r="A147" s="2" t="s">
        <v>93</v>
      </c>
      <c r="B147" s="2" t="s">
        <v>68</v>
      </c>
      <c r="C147" s="12" t="s">
        <v>102</v>
      </c>
      <c r="D147" s="2" t="s">
        <v>15</v>
      </c>
      <c r="E147" s="6">
        <v>630</v>
      </c>
      <c r="F147" s="6">
        <v>717.22</v>
      </c>
      <c r="G147" s="6">
        <v>-87.22</v>
      </c>
      <c r="H147" s="6">
        <v>-12.16</v>
      </c>
      <c r="I147" s="2" t="s">
        <v>16</v>
      </c>
    </row>
    <row r="148" spans="1:9" x14ac:dyDescent="0.25">
      <c r="A148" s="2" t="s">
        <v>93</v>
      </c>
      <c r="B148" s="2" t="s">
        <v>68</v>
      </c>
      <c r="C148" s="12" t="s">
        <v>103</v>
      </c>
      <c r="D148" s="2" t="s">
        <v>15</v>
      </c>
      <c r="E148" s="6">
        <v>630</v>
      </c>
      <c r="F148" s="6">
        <v>717.22</v>
      </c>
      <c r="G148" s="6">
        <v>-87.22</v>
      </c>
      <c r="H148" s="6">
        <v>-12.16</v>
      </c>
      <c r="I148" s="2" t="s">
        <v>16</v>
      </c>
    </row>
    <row r="149" spans="1:9" x14ac:dyDescent="0.25">
      <c r="A149" s="2" t="s">
        <v>93</v>
      </c>
      <c r="B149" s="2" t="s">
        <v>68</v>
      </c>
      <c r="C149" s="12" t="s">
        <v>104</v>
      </c>
      <c r="D149" s="2" t="s">
        <v>15</v>
      </c>
      <c r="E149" s="6">
        <v>630</v>
      </c>
      <c r="F149" s="6">
        <v>717.22</v>
      </c>
      <c r="G149" s="6">
        <v>-87.22</v>
      </c>
      <c r="H149" s="6">
        <v>-12.16</v>
      </c>
      <c r="I149" s="2" t="s">
        <v>16</v>
      </c>
    </row>
    <row r="150" spans="1:9" x14ac:dyDescent="0.25">
      <c r="A150" s="2" t="s">
        <v>93</v>
      </c>
      <c r="B150" s="2" t="s">
        <v>68</v>
      </c>
      <c r="C150" s="12" t="s">
        <v>105</v>
      </c>
      <c r="D150" s="2" t="s">
        <v>15</v>
      </c>
      <c r="E150" s="6">
        <v>630</v>
      </c>
      <c r="F150" s="6">
        <v>637</v>
      </c>
      <c r="G150" s="6">
        <v>-7</v>
      </c>
      <c r="H150" s="6">
        <v>-1.1000000000000001</v>
      </c>
      <c r="I150" s="2" t="s">
        <v>70</v>
      </c>
    </row>
    <row r="151" spans="1:9" x14ac:dyDescent="0.25">
      <c r="A151" s="2" t="s">
        <v>93</v>
      </c>
      <c r="B151" s="2" t="s">
        <v>68</v>
      </c>
      <c r="C151" s="12" t="s">
        <v>106</v>
      </c>
      <c r="D151" s="2" t="s">
        <v>15</v>
      </c>
      <c r="E151" s="6">
        <v>630</v>
      </c>
      <c r="F151" s="6">
        <v>637</v>
      </c>
      <c r="G151" s="6">
        <v>-7</v>
      </c>
      <c r="H151" s="6">
        <v>-1.1000000000000001</v>
      </c>
      <c r="I151" s="2" t="s">
        <v>70</v>
      </c>
    </row>
    <row r="152" spans="1:9" x14ac:dyDescent="0.25">
      <c r="A152" s="2" t="s">
        <v>93</v>
      </c>
      <c r="B152" s="2" t="s">
        <v>68</v>
      </c>
      <c r="C152" s="12" t="s">
        <v>107</v>
      </c>
      <c r="D152" s="2" t="s">
        <v>15</v>
      </c>
      <c r="E152" s="6">
        <v>630</v>
      </c>
      <c r="F152" s="6">
        <v>637</v>
      </c>
      <c r="G152" s="6">
        <v>-7</v>
      </c>
      <c r="H152" s="6">
        <v>-1.1000000000000001</v>
      </c>
      <c r="I152" s="2" t="s">
        <v>70</v>
      </c>
    </row>
    <row r="153" spans="1:9" x14ac:dyDescent="0.25">
      <c r="A153" s="2" t="s">
        <v>93</v>
      </c>
      <c r="B153" s="2" t="s">
        <v>68</v>
      </c>
      <c r="C153" s="12" t="s">
        <v>108</v>
      </c>
      <c r="D153" s="2" t="s">
        <v>15</v>
      </c>
      <c r="E153" s="6">
        <v>630</v>
      </c>
      <c r="F153" s="6">
        <v>637</v>
      </c>
      <c r="G153" s="6">
        <v>-7</v>
      </c>
      <c r="H153" s="6">
        <v>-1.1000000000000001</v>
      </c>
      <c r="I153" s="2" t="s">
        <v>70</v>
      </c>
    </row>
    <row r="154" spans="1:9" x14ac:dyDescent="0.25">
      <c r="A154" s="2" t="s">
        <v>93</v>
      </c>
      <c r="B154" s="2" t="s">
        <v>68</v>
      </c>
      <c r="C154" s="12" t="s">
        <v>109</v>
      </c>
      <c r="D154" s="2" t="s">
        <v>15</v>
      </c>
      <c r="E154" s="6">
        <v>630</v>
      </c>
      <c r="F154" s="6">
        <v>637</v>
      </c>
      <c r="G154" s="6">
        <v>-7</v>
      </c>
      <c r="H154" s="6">
        <v>-1.1000000000000001</v>
      </c>
      <c r="I154" s="2" t="s">
        <v>70</v>
      </c>
    </row>
    <row r="155" spans="1:9" x14ac:dyDescent="0.25">
      <c r="A155" s="2" t="s">
        <v>93</v>
      </c>
      <c r="B155" s="2" t="s">
        <v>68</v>
      </c>
      <c r="C155" s="12" t="s">
        <v>110</v>
      </c>
      <c r="D155" s="2" t="s">
        <v>15</v>
      </c>
      <c r="E155" s="6">
        <v>630</v>
      </c>
      <c r="F155" s="6">
        <v>637</v>
      </c>
      <c r="G155" s="6">
        <v>-7</v>
      </c>
      <c r="H155" s="6">
        <v>-1.1000000000000001</v>
      </c>
      <c r="I155" s="2" t="s">
        <v>70</v>
      </c>
    </row>
    <row r="156" spans="1:9" x14ac:dyDescent="0.25">
      <c r="A156" s="2" t="s">
        <v>93</v>
      </c>
      <c r="B156" s="2" t="s">
        <v>68</v>
      </c>
      <c r="C156" s="12" t="s">
        <v>111</v>
      </c>
      <c r="D156" s="2" t="s">
        <v>15</v>
      </c>
      <c r="E156" s="6">
        <v>630</v>
      </c>
      <c r="F156" s="6">
        <v>637</v>
      </c>
      <c r="G156" s="6">
        <v>-7</v>
      </c>
      <c r="H156" s="6">
        <v>-1.1000000000000001</v>
      </c>
      <c r="I156" s="2" t="s">
        <v>70</v>
      </c>
    </row>
    <row r="157" spans="1:9" x14ac:dyDescent="0.25">
      <c r="A157" s="2" t="s">
        <v>93</v>
      </c>
      <c r="B157" s="2" t="s">
        <v>68</v>
      </c>
      <c r="C157" s="12" t="s">
        <v>112</v>
      </c>
      <c r="D157" s="2" t="s">
        <v>15</v>
      </c>
      <c r="E157" s="6">
        <v>630</v>
      </c>
      <c r="F157" s="6">
        <v>637</v>
      </c>
      <c r="G157" s="6">
        <v>-7</v>
      </c>
      <c r="H157" s="6">
        <v>-1.1000000000000001</v>
      </c>
      <c r="I157" s="2" t="s">
        <v>70</v>
      </c>
    </row>
    <row r="158" spans="1:9" x14ac:dyDescent="0.25">
      <c r="A158" s="2" t="s">
        <v>93</v>
      </c>
      <c r="B158" s="2" t="s">
        <v>68</v>
      </c>
      <c r="C158" s="12" t="s">
        <v>113</v>
      </c>
      <c r="D158" s="2" t="s">
        <v>15</v>
      </c>
      <c r="E158" s="6">
        <v>630</v>
      </c>
      <c r="F158" s="6">
        <v>637</v>
      </c>
      <c r="G158" s="6">
        <v>-7</v>
      </c>
      <c r="H158" s="6">
        <v>-1.1000000000000001</v>
      </c>
      <c r="I158" s="2" t="s">
        <v>70</v>
      </c>
    </row>
    <row r="159" spans="1:9" x14ac:dyDescent="0.25">
      <c r="A159" s="2" t="s">
        <v>93</v>
      </c>
      <c r="B159" s="2" t="s">
        <v>68</v>
      </c>
      <c r="C159" s="12" t="s">
        <v>114</v>
      </c>
      <c r="D159" s="2" t="s">
        <v>15</v>
      </c>
      <c r="E159" s="6">
        <v>630</v>
      </c>
      <c r="F159" s="6">
        <v>637</v>
      </c>
      <c r="G159" s="6">
        <v>-7</v>
      </c>
      <c r="H159" s="6">
        <v>-1.1000000000000001</v>
      </c>
      <c r="I159" s="2" t="s">
        <v>70</v>
      </c>
    </row>
    <row r="160" spans="1:9" x14ac:dyDescent="0.25">
      <c r="A160" s="2" t="s">
        <v>93</v>
      </c>
      <c r="B160" s="2" t="s">
        <v>68</v>
      </c>
      <c r="C160" s="12" t="s">
        <v>115</v>
      </c>
      <c r="D160" s="2" t="s">
        <v>15</v>
      </c>
      <c r="E160" s="6">
        <v>630</v>
      </c>
      <c r="F160" s="6">
        <v>637</v>
      </c>
      <c r="G160" s="6">
        <v>-7</v>
      </c>
      <c r="H160" s="6">
        <v>-1.1000000000000001</v>
      </c>
      <c r="I160" s="2" t="s">
        <v>70</v>
      </c>
    </row>
    <row r="161" spans="1:9" x14ac:dyDescent="0.25">
      <c r="A161" s="2" t="s">
        <v>93</v>
      </c>
      <c r="B161" s="2" t="s">
        <v>68</v>
      </c>
      <c r="C161" s="12" t="s">
        <v>116</v>
      </c>
      <c r="D161" s="2" t="s">
        <v>15</v>
      </c>
      <c r="E161" s="6">
        <v>630</v>
      </c>
      <c r="F161" s="6">
        <v>637</v>
      </c>
      <c r="G161" s="6">
        <v>-7</v>
      </c>
      <c r="H161" s="6">
        <v>-1.1000000000000001</v>
      </c>
      <c r="I161" s="2" t="s">
        <v>70</v>
      </c>
    </row>
    <row r="162" spans="1:9" x14ac:dyDescent="0.25">
      <c r="A162" s="2" t="s">
        <v>93</v>
      </c>
      <c r="B162" s="2" t="s">
        <v>68</v>
      </c>
      <c r="C162" s="12" t="s">
        <v>117</v>
      </c>
      <c r="D162" s="2" t="s">
        <v>15</v>
      </c>
      <c r="E162" s="6">
        <v>630</v>
      </c>
      <c r="F162" s="6">
        <v>637</v>
      </c>
      <c r="G162" s="6">
        <v>-7</v>
      </c>
      <c r="H162" s="6">
        <v>-1.1000000000000001</v>
      </c>
      <c r="I162" s="2" t="s">
        <v>70</v>
      </c>
    </row>
    <row r="163" spans="1:9" x14ac:dyDescent="0.25">
      <c r="A163" s="2" t="s">
        <v>93</v>
      </c>
      <c r="B163" s="2" t="s">
        <v>68</v>
      </c>
      <c r="C163" s="12" t="s">
        <v>118</v>
      </c>
      <c r="D163" s="2" t="s">
        <v>15</v>
      </c>
      <c r="E163" s="6">
        <v>630</v>
      </c>
      <c r="F163" s="6">
        <v>637</v>
      </c>
      <c r="G163" s="6">
        <v>-7</v>
      </c>
      <c r="H163" s="6">
        <v>-1.1000000000000001</v>
      </c>
      <c r="I163" s="2" t="s">
        <v>70</v>
      </c>
    </row>
    <row r="164" spans="1:9" x14ac:dyDescent="0.25">
      <c r="A164" s="2" t="s">
        <v>93</v>
      </c>
      <c r="B164" s="2" t="s">
        <v>68</v>
      </c>
      <c r="C164" s="12" t="s">
        <v>119</v>
      </c>
      <c r="D164" s="2" t="s">
        <v>15</v>
      </c>
      <c r="E164" s="6">
        <v>630</v>
      </c>
      <c r="F164" s="6">
        <v>637</v>
      </c>
      <c r="G164" s="6">
        <v>-7</v>
      </c>
      <c r="H164" s="6">
        <v>-1.1000000000000001</v>
      </c>
      <c r="I164" s="2" t="s">
        <v>70</v>
      </c>
    </row>
    <row r="165" spans="1:9" x14ac:dyDescent="0.25">
      <c r="A165" s="2" t="s">
        <v>93</v>
      </c>
      <c r="B165" s="2" t="s">
        <v>68</v>
      </c>
      <c r="C165" s="12" t="s">
        <v>120</v>
      </c>
      <c r="D165" s="2" t="s">
        <v>15</v>
      </c>
      <c r="E165" s="6">
        <v>630</v>
      </c>
      <c r="F165" s="6">
        <v>637</v>
      </c>
      <c r="G165" s="6">
        <v>-7</v>
      </c>
      <c r="H165" s="6">
        <v>-1.1000000000000001</v>
      </c>
      <c r="I165" s="2" t="s">
        <v>70</v>
      </c>
    </row>
    <row r="166" spans="1:9" x14ac:dyDescent="0.25">
      <c r="A166" s="2" t="s">
        <v>93</v>
      </c>
      <c r="B166" s="2" t="s">
        <v>68</v>
      </c>
      <c r="C166" s="12" t="s">
        <v>121</v>
      </c>
      <c r="D166" s="2" t="s">
        <v>15</v>
      </c>
      <c r="E166" s="6">
        <v>630</v>
      </c>
      <c r="F166" s="6">
        <v>637</v>
      </c>
      <c r="G166" s="6">
        <v>-7</v>
      </c>
      <c r="H166" s="6">
        <v>-1.1000000000000001</v>
      </c>
      <c r="I166" s="2" t="s">
        <v>70</v>
      </c>
    </row>
    <row r="167" spans="1:9" x14ac:dyDescent="0.25">
      <c r="A167" s="2" t="s">
        <v>93</v>
      </c>
      <c r="B167" s="2" t="s">
        <v>68</v>
      </c>
      <c r="C167" s="12" t="s">
        <v>122</v>
      </c>
      <c r="D167" s="2" t="s">
        <v>15</v>
      </c>
      <c r="E167" s="6">
        <v>630</v>
      </c>
      <c r="F167" s="6">
        <v>637</v>
      </c>
      <c r="G167" s="6">
        <v>-7</v>
      </c>
      <c r="H167" s="6">
        <v>-1.1000000000000001</v>
      </c>
      <c r="I167" s="2" t="s">
        <v>70</v>
      </c>
    </row>
    <row r="168" spans="1:9" x14ac:dyDescent="0.25">
      <c r="A168" s="2" t="s">
        <v>93</v>
      </c>
      <c r="B168" s="2" t="s">
        <v>68</v>
      </c>
      <c r="C168" s="12" t="s">
        <v>123</v>
      </c>
      <c r="D168" s="2" t="s">
        <v>15</v>
      </c>
      <c r="E168" s="6">
        <v>630</v>
      </c>
      <c r="F168" s="6">
        <v>637</v>
      </c>
      <c r="G168" s="6">
        <v>-7</v>
      </c>
      <c r="H168" s="6">
        <v>-1.1000000000000001</v>
      </c>
      <c r="I168" s="2" t="s">
        <v>70</v>
      </c>
    </row>
    <row r="169" spans="1:9" x14ac:dyDescent="0.25">
      <c r="A169" s="2" t="s">
        <v>93</v>
      </c>
      <c r="B169" s="2" t="s">
        <v>68</v>
      </c>
      <c r="C169" s="12" t="s">
        <v>124</v>
      </c>
      <c r="D169" s="2" t="s">
        <v>15</v>
      </c>
      <c r="E169" s="6">
        <v>630</v>
      </c>
      <c r="F169" s="6">
        <v>637</v>
      </c>
      <c r="G169" s="6">
        <v>-7</v>
      </c>
      <c r="H169" s="6">
        <v>-1.1000000000000001</v>
      </c>
      <c r="I169" s="2" t="s">
        <v>70</v>
      </c>
    </row>
    <row r="170" spans="1:9" x14ac:dyDescent="0.25">
      <c r="A170" s="2" t="s">
        <v>93</v>
      </c>
      <c r="B170" s="2" t="s">
        <v>68</v>
      </c>
      <c r="C170" s="12" t="s">
        <v>125</v>
      </c>
      <c r="D170" s="2" t="s">
        <v>15</v>
      </c>
      <c r="E170" s="6">
        <v>630</v>
      </c>
      <c r="F170" s="6">
        <v>637</v>
      </c>
      <c r="G170" s="6">
        <v>-7</v>
      </c>
      <c r="H170" s="6">
        <v>-1.1000000000000001</v>
      </c>
      <c r="I170" s="2" t="s">
        <v>70</v>
      </c>
    </row>
    <row r="171" spans="1:9" x14ac:dyDescent="0.25">
      <c r="A171" s="2" t="s">
        <v>93</v>
      </c>
      <c r="B171" s="2" t="s">
        <v>68</v>
      </c>
      <c r="C171" s="12" t="s">
        <v>126</v>
      </c>
      <c r="D171" s="2" t="s">
        <v>15</v>
      </c>
      <c r="E171" s="6">
        <v>630</v>
      </c>
      <c r="F171" s="6">
        <v>637</v>
      </c>
      <c r="G171" s="6">
        <v>-7</v>
      </c>
      <c r="H171" s="6">
        <v>-1.1000000000000001</v>
      </c>
      <c r="I171" s="2" t="s">
        <v>70</v>
      </c>
    </row>
    <row r="172" spans="1:9" x14ac:dyDescent="0.25">
      <c r="A172" s="2" t="s">
        <v>93</v>
      </c>
      <c r="B172" s="2" t="s">
        <v>68</v>
      </c>
      <c r="C172" s="12" t="s">
        <v>127</v>
      </c>
      <c r="D172" s="2" t="s">
        <v>15</v>
      </c>
      <c r="E172" s="6">
        <v>630</v>
      </c>
      <c r="F172" s="6">
        <v>637</v>
      </c>
      <c r="G172" s="6">
        <v>-7</v>
      </c>
      <c r="H172" s="6">
        <v>-1.1000000000000001</v>
      </c>
      <c r="I172" s="2" t="s">
        <v>70</v>
      </c>
    </row>
    <row r="173" spans="1:9" x14ac:dyDescent="0.25">
      <c r="A173" s="2" t="s">
        <v>93</v>
      </c>
      <c r="B173" s="2" t="s">
        <v>68</v>
      </c>
      <c r="C173" s="12" t="s">
        <v>128</v>
      </c>
      <c r="D173" s="2" t="s">
        <v>15</v>
      </c>
      <c r="E173" s="6">
        <v>630</v>
      </c>
      <c r="F173" s="6">
        <v>637</v>
      </c>
      <c r="G173" s="6">
        <v>-7</v>
      </c>
      <c r="H173" s="6">
        <v>-1.1000000000000001</v>
      </c>
      <c r="I173" s="2" t="s">
        <v>70</v>
      </c>
    </row>
    <row r="174" spans="1:9" x14ac:dyDescent="0.25">
      <c r="A174" s="2" t="s">
        <v>93</v>
      </c>
      <c r="B174" s="2" t="s">
        <v>68</v>
      </c>
      <c r="C174" s="12" t="s">
        <v>129</v>
      </c>
      <c r="D174" s="2" t="s">
        <v>15</v>
      </c>
      <c r="E174" s="6">
        <v>630</v>
      </c>
      <c r="F174" s="6">
        <v>637</v>
      </c>
      <c r="G174" s="6">
        <v>-7</v>
      </c>
      <c r="H174" s="6">
        <v>-1.1000000000000001</v>
      </c>
      <c r="I174" s="2" t="s">
        <v>70</v>
      </c>
    </row>
    <row r="175" spans="1:9" x14ac:dyDescent="0.25">
      <c r="A175" s="2" t="s">
        <v>93</v>
      </c>
      <c r="B175" s="2" t="s">
        <v>68</v>
      </c>
      <c r="C175" s="12" t="s">
        <v>130</v>
      </c>
      <c r="D175" s="2" t="s">
        <v>15</v>
      </c>
      <c r="E175" s="6">
        <v>630</v>
      </c>
      <c r="F175" s="6">
        <v>637</v>
      </c>
      <c r="G175" s="6">
        <v>-7</v>
      </c>
      <c r="H175" s="6">
        <v>-1.1000000000000001</v>
      </c>
      <c r="I175" s="2" t="s">
        <v>70</v>
      </c>
    </row>
    <row r="176" spans="1:9" x14ac:dyDescent="0.25">
      <c r="A176" s="2" t="s">
        <v>93</v>
      </c>
      <c r="B176" s="2" t="s">
        <v>68</v>
      </c>
      <c r="C176" s="12" t="s">
        <v>131</v>
      </c>
      <c r="D176" s="2" t="s">
        <v>15</v>
      </c>
      <c r="E176" s="6">
        <v>630</v>
      </c>
      <c r="F176" s="6">
        <v>637</v>
      </c>
      <c r="G176" s="6">
        <v>-7</v>
      </c>
      <c r="H176" s="6">
        <v>-1.1000000000000001</v>
      </c>
      <c r="I176" s="2" t="s">
        <v>70</v>
      </c>
    </row>
    <row r="177" spans="1:9" x14ac:dyDescent="0.25">
      <c r="A177" s="2" t="s">
        <v>93</v>
      </c>
      <c r="B177" s="2" t="s">
        <v>68</v>
      </c>
      <c r="C177" s="12" t="s">
        <v>132</v>
      </c>
      <c r="D177" s="2" t="s">
        <v>15</v>
      </c>
      <c r="E177" s="6">
        <v>630</v>
      </c>
      <c r="F177" s="6">
        <v>637</v>
      </c>
      <c r="G177" s="6">
        <v>-7</v>
      </c>
      <c r="H177" s="6">
        <v>-1.1000000000000001</v>
      </c>
      <c r="I177" s="2" t="s">
        <v>70</v>
      </c>
    </row>
    <row r="178" spans="1:9" x14ac:dyDescent="0.25">
      <c r="A178" s="2" t="s">
        <v>93</v>
      </c>
      <c r="B178" s="2" t="s">
        <v>68</v>
      </c>
      <c r="C178" s="12" t="s">
        <v>133</v>
      </c>
      <c r="D178" s="2" t="s">
        <v>15</v>
      </c>
      <c r="E178" s="6">
        <v>630</v>
      </c>
      <c r="F178" s="6">
        <v>637</v>
      </c>
      <c r="G178" s="6">
        <v>-7</v>
      </c>
      <c r="H178" s="6">
        <v>-1.1000000000000001</v>
      </c>
      <c r="I178" s="2" t="s">
        <v>70</v>
      </c>
    </row>
    <row r="179" spans="1:9" x14ac:dyDescent="0.25">
      <c r="A179" s="2" t="s">
        <v>93</v>
      </c>
      <c r="B179" s="2" t="s">
        <v>68</v>
      </c>
      <c r="C179" s="12" t="s">
        <v>134</v>
      </c>
      <c r="D179" s="2" t="s">
        <v>15</v>
      </c>
      <c r="E179" s="6">
        <v>630</v>
      </c>
      <c r="F179" s="6">
        <v>637</v>
      </c>
      <c r="G179" s="6">
        <v>-7</v>
      </c>
      <c r="H179" s="6">
        <v>-1.1000000000000001</v>
      </c>
      <c r="I179" s="2" t="s">
        <v>70</v>
      </c>
    </row>
    <row r="180" spans="1:9" x14ac:dyDescent="0.25">
      <c r="A180" s="2" t="s">
        <v>93</v>
      </c>
      <c r="B180" s="2" t="s">
        <v>68</v>
      </c>
      <c r="C180" s="12" t="s">
        <v>135</v>
      </c>
      <c r="D180" s="2" t="s">
        <v>15</v>
      </c>
      <c r="E180" s="6">
        <v>630</v>
      </c>
      <c r="F180" s="6">
        <v>637</v>
      </c>
      <c r="G180" s="6">
        <v>-7</v>
      </c>
      <c r="H180" s="6">
        <v>-1.1000000000000001</v>
      </c>
      <c r="I180" s="2" t="s">
        <v>70</v>
      </c>
    </row>
    <row r="181" spans="1:9" x14ac:dyDescent="0.25">
      <c r="A181" s="2" t="s">
        <v>93</v>
      </c>
      <c r="B181" s="2" t="s">
        <v>68</v>
      </c>
      <c r="C181" s="12" t="s">
        <v>136</v>
      </c>
      <c r="D181" s="2" t="s">
        <v>15</v>
      </c>
      <c r="E181" s="6">
        <v>630</v>
      </c>
      <c r="F181" s="6">
        <v>633.88</v>
      </c>
      <c r="G181" s="6">
        <v>-3.88</v>
      </c>
      <c r="H181" s="6">
        <v>-0.61</v>
      </c>
      <c r="I181" s="2" t="s">
        <v>16</v>
      </c>
    </row>
    <row r="182" spans="1:9" x14ac:dyDescent="0.25">
      <c r="A182" s="2" t="s">
        <v>93</v>
      </c>
      <c r="B182" s="2" t="s">
        <v>68</v>
      </c>
      <c r="C182" s="12" t="s">
        <v>137</v>
      </c>
      <c r="D182" s="2" t="s">
        <v>15</v>
      </c>
      <c r="E182" s="6">
        <v>630</v>
      </c>
      <c r="F182" s="6">
        <v>633.88</v>
      </c>
      <c r="G182" s="6">
        <v>-3.88</v>
      </c>
      <c r="H182" s="6">
        <v>-0.61</v>
      </c>
      <c r="I182" s="2" t="s">
        <v>16</v>
      </c>
    </row>
    <row r="183" spans="1:9" x14ac:dyDescent="0.25">
      <c r="A183" s="2" t="s">
        <v>93</v>
      </c>
      <c r="B183" s="2" t="s">
        <v>68</v>
      </c>
      <c r="C183" s="12" t="s">
        <v>138</v>
      </c>
      <c r="D183" s="2" t="s">
        <v>15</v>
      </c>
      <c r="E183" s="6">
        <v>630</v>
      </c>
      <c r="F183" s="6">
        <v>633.88</v>
      </c>
      <c r="G183" s="6">
        <v>-3.88</v>
      </c>
      <c r="H183" s="6">
        <v>-0.61</v>
      </c>
      <c r="I183" s="2" t="s">
        <v>16</v>
      </c>
    </row>
    <row r="184" spans="1:9" x14ac:dyDescent="0.25">
      <c r="A184" s="2" t="s">
        <v>93</v>
      </c>
      <c r="B184" s="2" t="s">
        <v>68</v>
      </c>
      <c r="C184" s="12" t="s">
        <v>139</v>
      </c>
      <c r="D184" s="2" t="s">
        <v>15</v>
      </c>
      <c r="E184" s="6">
        <v>630</v>
      </c>
      <c r="F184" s="6">
        <v>633.88</v>
      </c>
      <c r="G184" s="6">
        <v>-3.88</v>
      </c>
      <c r="H184" s="6">
        <v>-0.61</v>
      </c>
      <c r="I184" s="2" t="s">
        <v>16</v>
      </c>
    </row>
    <row r="185" spans="1:9" x14ac:dyDescent="0.25">
      <c r="A185" s="2" t="s">
        <v>93</v>
      </c>
      <c r="B185" s="2" t="s">
        <v>68</v>
      </c>
      <c r="C185" s="12" t="s">
        <v>140</v>
      </c>
      <c r="D185" s="2" t="s">
        <v>15</v>
      </c>
      <c r="E185" s="6">
        <v>630</v>
      </c>
      <c r="F185" s="6">
        <v>633.88</v>
      </c>
      <c r="G185" s="6">
        <v>-3.88</v>
      </c>
      <c r="H185" s="6">
        <v>-0.61</v>
      </c>
      <c r="I185" s="2" t="s">
        <v>16</v>
      </c>
    </row>
    <row r="186" spans="1:9" x14ac:dyDescent="0.25">
      <c r="A186" s="2" t="s">
        <v>93</v>
      </c>
      <c r="B186" s="2" t="s">
        <v>68</v>
      </c>
      <c r="C186" s="12" t="s">
        <v>141</v>
      </c>
      <c r="D186" s="2" t="s">
        <v>15</v>
      </c>
      <c r="E186" s="6">
        <v>630</v>
      </c>
      <c r="F186" s="6">
        <v>633.88</v>
      </c>
      <c r="G186" s="6">
        <v>-3.88</v>
      </c>
      <c r="H186" s="6">
        <v>-0.61</v>
      </c>
      <c r="I186" s="2" t="s">
        <v>16</v>
      </c>
    </row>
    <row r="187" spans="1:9" x14ac:dyDescent="0.25">
      <c r="A187" s="2" t="s">
        <v>93</v>
      </c>
      <c r="B187" s="2" t="s">
        <v>68</v>
      </c>
      <c r="C187" s="12" t="s">
        <v>142</v>
      </c>
      <c r="D187" s="2" t="s">
        <v>15</v>
      </c>
      <c r="E187" s="6">
        <v>630</v>
      </c>
      <c r="F187" s="6">
        <v>633.88</v>
      </c>
      <c r="G187" s="6">
        <v>-3.88</v>
      </c>
      <c r="H187" s="6">
        <v>-0.61</v>
      </c>
      <c r="I187" s="2" t="s">
        <v>16</v>
      </c>
    </row>
    <row r="188" spans="1:9" x14ac:dyDescent="0.25">
      <c r="A188" s="2" t="s">
        <v>93</v>
      </c>
      <c r="B188" s="2" t="s">
        <v>68</v>
      </c>
      <c r="C188" s="12" t="s">
        <v>143</v>
      </c>
      <c r="D188" s="2" t="s">
        <v>15</v>
      </c>
      <c r="E188" s="6">
        <v>630</v>
      </c>
      <c r="F188" s="6">
        <v>633.88</v>
      </c>
      <c r="G188" s="6">
        <v>-3.88</v>
      </c>
      <c r="H188" s="6">
        <v>-0.61</v>
      </c>
      <c r="I188" s="2" t="s">
        <v>16</v>
      </c>
    </row>
    <row r="189" spans="1:9" x14ac:dyDescent="0.25">
      <c r="A189" t="s">
        <v>93</v>
      </c>
      <c r="B189" t="s">
        <v>86</v>
      </c>
      <c r="C189" s="10">
        <v>355852813455594</v>
      </c>
      <c r="D189" t="s">
        <v>15</v>
      </c>
      <c r="E189" s="5">
        <v>943.03</v>
      </c>
      <c r="F189" s="5">
        <v>736.98</v>
      </c>
      <c r="G189" s="5">
        <v>206.05</v>
      </c>
      <c r="H189" s="5">
        <v>27.96</v>
      </c>
      <c r="I189" t="s">
        <v>20</v>
      </c>
    </row>
    <row r="190" spans="1:9" x14ac:dyDescent="0.25">
      <c r="A190" t="s">
        <v>93</v>
      </c>
      <c r="B190" t="s">
        <v>86</v>
      </c>
      <c r="C190" s="10">
        <v>355852813543027</v>
      </c>
      <c r="D190" t="s">
        <v>15</v>
      </c>
      <c r="E190" s="5">
        <v>943.03</v>
      </c>
      <c r="F190" s="5">
        <v>736.98</v>
      </c>
      <c r="G190" s="5">
        <v>206.05</v>
      </c>
      <c r="H190" s="5">
        <v>27.96</v>
      </c>
      <c r="I190" t="s">
        <v>20</v>
      </c>
    </row>
    <row r="191" spans="1:9" x14ac:dyDescent="0.25">
      <c r="A191" t="s">
        <v>93</v>
      </c>
      <c r="B191" t="s">
        <v>86</v>
      </c>
      <c r="C191" s="10">
        <v>357020913138365</v>
      </c>
      <c r="D191" t="s">
        <v>15</v>
      </c>
      <c r="E191" s="5">
        <v>943.03</v>
      </c>
      <c r="F191" s="5">
        <v>736.98</v>
      </c>
      <c r="G191" s="5">
        <v>206.05</v>
      </c>
      <c r="H191" s="5">
        <v>27.96</v>
      </c>
      <c r="I191" t="s">
        <v>20</v>
      </c>
    </row>
    <row r="192" spans="1:9" x14ac:dyDescent="0.25">
      <c r="A192" t="s">
        <v>93</v>
      </c>
      <c r="B192" t="s">
        <v>58</v>
      </c>
      <c r="C192" s="10">
        <v>350599867930171</v>
      </c>
      <c r="D192" t="s">
        <v>15</v>
      </c>
      <c r="E192" s="5">
        <v>3860.75</v>
      </c>
      <c r="F192" s="5">
        <v>3320.75</v>
      </c>
      <c r="G192" s="5">
        <v>540</v>
      </c>
      <c r="H192" s="5">
        <v>16.260000000000002</v>
      </c>
      <c r="I192" t="s">
        <v>20</v>
      </c>
    </row>
    <row r="193" spans="1:9" x14ac:dyDescent="0.25">
      <c r="A193" t="s">
        <v>93</v>
      </c>
      <c r="B193" t="s">
        <v>58</v>
      </c>
      <c r="C193" s="10">
        <v>356392240436270</v>
      </c>
      <c r="D193" t="s">
        <v>26</v>
      </c>
      <c r="E193" s="5">
        <v>3810.12</v>
      </c>
      <c r="F193" s="5">
        <v>3320.75</v>
      </c>
      <c r="G193" s="5">
        <v>489.37</v>
      </c>
      <c r="H193" s="5">
        <v>14.74</v>
      </c>
      <c r="I193" t="s">
        <v>20</v>
      </c>
    </row>
    <row r="194" spans="1:9" x14ac:dyDescent="0.25">
      <c r="A194" t="s">
        <v>93</v>
      </c>
      <c r="B194" t="s">
        <v>58</v>
      </c>
      <c r="C194" s="10">
        <v>356392241032599</v>
      </c>
      <c r="D194" t="s">
        <v>26</v>
      </c>
      <c r="E194" s="5">
        <v>3810.12</v>
      </c>
      <c r="F194" s="5">
        <v>3320.75</v>
      </c>
      <c r="G194" s="5">
        <v>489.37</v>
      </c>
      <c r="H194" s="5">
        <v>14.74</v>
      </c>
      <c r="I194" t="s">
        <v>20</v>
      </c>
    </row>
    <row r="195" spans="1:9" x14ac:dyDescent="0.25">
      <c r="A195" t="s">
        <v>93</v>
      </c>
      <c r="B195" t="s">
        <v>144</v>
      </c>
      <c r="C195" s="10" t="s">
        <v>145</v>
      </c>
      <c r="D195" t="s">
        <v>146</v>
      </c>
      <c r="E195" s="5">
        <v>3700</v>
      </c>
      <c r="F195" s="5">
        <v>3320.1</v>
      </c>
      <c r="G195" s="5">
        <v>379.9</v>
      </c>
      <c r="H195" s="5">
        <v>11.44</v>
      </c>
      <c r="I195" t="s">
        <v>20</v>
      </c>
    </row>
    <row r="196" spans="1:9" x14ac:dyDescent="0.25">
      <c r="A196" t="s">
        <v>147</v>
      </c>
      <c r="B196" t="s">
        <v>149</v>
      </c>
      <c r="C196" s="10">
        <v>351878872372564</v>
      </c>
      <c r="D196" t="s">
        <v>15</v>
      </c>
      <c r="E196" s="5">
        <v>1900</v>
      </c>
      <c r="F196" s="5">
        <v>1800</v>
      </c>
      <c r="G196" s="5">
        <v>100</v>
      </c>
      <c r="H196" s="5">
        <v>5.56</v>
      </c>
      <c r="I196" t="s">
        <v>39</v>
      </c>
    </row>
    <row r="197" spans="1:9" x14ac:dyDescent="0.25">
      <c r="A197" t="s">
        <v>147</v>
      </c>
      <c r="B197" t="s">
        <v>149</v>
      </c>
      <c r="C197" s="10">
        <v>351878872398734</v>
      </c>
      <c r="D197" t="s">
        <v>15</v>
      </c>
      <c r="E197" s="5">
        <v>1900</v>
      </c>
      <c r="F197" s="5">
        <v>1800</v>
      </c>
      <c r="G197" s="5">
        <v>100</v>
      </c>
      <c r="H197" s="5">
        <v>5.56</v>
      </c>
      <c r="I197" t="s">
        <v>39</v>
      </c>
    </row>
    <row r="198" spans="1:9" x14ac:dyDescent="0.25">
      <c r="A198" t="s">
        <v>147</v>
      </c>
      <c r="B198" t="s">
        <v>150</v>
      </c>
      <c r="C198" s="10">
        <v>357241831204176</v>
      </c>
      <c r="D198" t="s">
        <v>27</v>
      </c>
      <c r="E198" s="5">
        <v>2130</v>
      </c>
      <c r="F198" s="5">
        <v>1902.7</v>
      </c>
      <c r="G198" s="5">
        <v>227.3</v>
      </c>
      <c r="H198" s="5">
        <v>11.95</v>
      </c>
      <c r="I198" t="s">
        <v>20</v>
      </c>
    </row>
    <row r="199" spans="1:9" x14ac:dyDescent="0.25">
      <c r="A199" t="s">
        <v>147</v>
      </c>
      <c r="B199" t="s">
        <v>150</v>
      </c>
      <c r="C199" s="10">
        <v>357241833258287</v>
      </c>
      <c r="D199" t="s">
        <v>27</v>
      </c>
      <c r="E199" s="5">
        <v>2130</v>
      </c>
      <c r="F199" s="5">
        <v>1902.7</v>
      </c>
      <c r="G199" s="5">
        <v>227.3</v>
      </c>
      <c r="H199" s="5">
        <v>11.95</v>
      </c>
      <c r="I199" t="s">
        <v>20</v>
      </c>
    </row>
    <row r="200" spans="1:9" x14ac:dyDescent="0.25">
      <c r="A200" t="s">
        <v>147</v>
      </c>
      <c r="B200" t="s">
        <v>150</v>
      </c>
      <c r="C200" s="10">
        <v>357241833334930</v>
      </c>
      <c r="D200" t="s">
        <v>27</v>
      </c>
      <c r="E200" s="5">
        <v>2130</v>
      </c>
      <c r="F200" s="5">
        <v>1902.7</v>
      </c>
      <c r="G200" s="5">
        <v>227.3</v>
      </c>
      <c r="H200" s="5">
        <v>11.95</v>
      </c>
      <c r="I200" t="s">
        <v>20</v>
      </c>
    </row>
    <row r="201" spans="1:9" x14ac:dyDescent="0.25">
      <c r="A201" t="s">
        <v>147</v>
      </c>
      <c r="B201" t="s">
        <v>150</v>
      </c>
      <c r="C201" s="10">
        <v>357241834340043</v>
      </c>
      <c r="D201" t="s">
        <v>27</v>
      </c>
      <c r="E201" s="5">
        <v>2130</v>
      </c>
      <c r="F201" s="5">
        <v>1902.7</v>
      </c>
      <c r="G201" s="5">
        <v>227.3</v>
      </c>
      <c r="H201" s="5">
        <v>11.95</v>
      </c>
      <c r="I201" t="s">
        <v>20</v>
      </c>
    </row>
    <row r="202" spans="1:9" x14ac:dyDescent="0.25">
      <c r="A202" t="s">
        <v>147</v>
      </c>
      <c r="B202" t="s">
        <v>150</v>
      </c>
      <c r="C202" s="10">
        <v>357241835523662</v>
      </c>
      <c r="D202" t="s">
        <v>27</v>
      </c>
      <c r="E202" s="5">
        <v>2130</v>
      </c>
      <c r="F202" s="5">
        <v>1902.7</v>
      </c>
      <c r="G202" s="5">
        <v>227.3</v>
      </c>
      <c r="H202" s="5">
        <v>11.95</v>
      </c>
      <c r="I202" t="s">
        <v>20</v>
      </c>
    </row>
    <row r="203" spans="1:9" x14ac:dyDescent="0.25">
      <c r="A203" t="s">
        <v>147</v>
      </c>
      <c r="B203" t="s">
        <v>64</v>
      </c>
      <c r="C203" s="10">
        <v>352190328033777</v>
      </c>
      <c r="D203" t="s">
        <v>151</v>
      </c>
      <c r="E203" s="5">
        <v>3020</v>
      </c>
      <c r="F203" s="5">
        <v>2979.7</v>
      </c>
      <c r="G203" s="5">
        <v>40.299999999999997</v>
      </c>
      <c r="H203" s="5">
        <v>1.35</v>
      </c>
      <c r="I203" t="s">
        <v>20</v>
      </c>
    </row>
    <row r="204" spans="1:9" x14ac:dyDescent="0.25">
      <c r="A204" t="s">
        <v>147</v>
      </c>
      <c r="B204" t="s">
        <v>64</v>
      </c>
      <c r="C204" s="10">
        <v>355820205617501</v>
      </c>
      <c r="D204" t="s">
        <v>15</v>
      </c>
      <c r="E204" s="5">
        <v>3020</v>
      </c>
      <c r="F204" s="5">
        <v>2850</v>
      </c>
      <c r="G204" s="5">
        <v>170</v>
      </c>
      <c r="H204" s="5">
        <v>5.96</v>
      </c>
      <c r="I204" t="s">
        <v>39</v>
      </c>
    </row>
    <row r="205" spans="1:9" x14ac:dyDescent="0.25">
      <c r="A205" t="s">
        <v>147</v>
      </c>
      <c r="B205" t="s">
        <v>64</v>
      </c>
      <c r="C205" s="10">
        <v>355820206673735</v>
      </c>
      <c r="D205" t="s">
        <v>15</v>
      </c>
      <c r="E205" s="5">
        <v>3130</v>
      </c>
      <c r="F205" s="5">
        <v>3000</v>
      </c>
      <c r="G205" s="5">
        <v>130</v>
      </c>
      <c r="H205" s="5">
        <v>4.33</v>
      </c>
      <c r="I205" t="s">
        <v>39</v>
      </c>
    </row>
    <row r="206" spans="1:9" x14ac:dyDescent="0.25">
      <c r="A206" t="s">
        <v>147</v>
      </c>
      <c r="B206" t="s">
        <v>64</v>
      </c>
      <c r="C206" s="10">
        <v>355981551539945</v>
      </c>
      <c r="D206" t="s">
        <v>15</v>
      </c>
      <c r="E206" s="5">
        <v>3020</v>
      </c>
      <c r="F206" s="5">
        <v>2850</v>
      </c>
      <c r="G206" s="5">
        <v>170</v>
      </c>
      <c r="H206" s="5">
        <v>5.96</v>
      </c>
      <c r="I206" t="s">
        <v>39</v>
      </c>
    </row>
    <row r="207" spans="1:9" x14ac:dyDescent="0.25">
      <c r="A207" t="s">
        <v>147</v>
      </c>
      <c r="B207" t="s">
        <v>64</v>
      </c>
      <c r="C207" s="10">
        <v>356245413499675</v>
      </c>
      <c r="D207" t="s">
        <v>15</v>
      </c>
      <c r="E207" s="5">
        <v>3130</v>
      </c>
      <c r="F207" s="5">
        <v>3000</v>
      </c>
      <c r="G207" s="5">
        <v>130</v>
      </c>
      <c r="H207" s="5">
        <v>4.33</v>
      </c>
      <c r="I207" t="s">
        <v>39</v>
      </c>
    </row>
    <row r="208" spans="1:9" x14ac:dyDescent="0.25">
      <c r="A208" t="s">
        <v>147</v>
      </c>
      <c r="B208" t="s">
        <v>58</v>
      </c>
      <c r="C208" s="10">
        <v>353497854636249</v>
      </c>
      <c r="D208" t="s">
        <v>15</v>
      </c>
      <c r="E208" s="5">
        <v>3470</v>
      </c>
      <c r="F208" s="5">
        <v>3338.7</v>
      </c>
      <c r="G208" s="5">
        <v>131.30000000000001</v>
      </c>
      <c r="H208" s="5">
        <v>3.93</v>
      </c>
      <c r="I208" t="s">
        <v>20</v>
      </c>
    </row>
    <row r="209" spans="1:9" x14ac:dyDescent="0.25">
      <c r="A209" t="s">
        <v>147</v>
      </c>
      <c r="B209" t="s">
        <v>58</v>
      </c>
      <c r="C209" s="10">
        <v>357329443885589</v>
      </c>
      <c r="D209" t="s">
        <v>15</v>
      </c>
      <c r="E209" s="5">
        <v>3470</v>
      </c>
      <c r="F209" s="5">
        <v>3338.7</v>
      </c>
      <c r="G209" s="5">
        <v>131.30000000000001</v>
      </c>
      <c r="H209" s="5">
        <v>3.93</v>
      </c>
      <c r="I209" t="s">
        <v>20</v>
      </c>
    </row>
    <row r="210" spans="1:9" x14ac:dyDescent="0.25">
      <c r="A210" t="s">
        <v>147</v>
      </c>
      <c r="B210" t="s">
        <v>58</v>
      </c>
      <c r="C210" s="10">
        <v>357329443990397</v>
      </c>
      <c r="D210" t="s">
        <v>15</v>
      </c>
      <c r="E210" s="5">
        <v>3470</v>
      </c>
      <c r="F210" s="5">
        <v>3338.7</v>
      </c>
      <c r="G210" s="5">
        <v>131.30000000000001</v>
      </c>
      <c r="H210" s="5">
        <v>3.93</v>
      </c>
      <c r="I210" t="s">
        <v>20</v>
      </c>
    </row>
    <row r="211" spans="1:9" x14ac:dyDescent="0.25">
      <c r="A211" t="s">
        <v>147</v>
      </c>
      <c r="B211" t="s">
        <v>58</v>
      </c>
      <c r="C211" s="10">
        <v>358206132452443</v>
      </c>
      <c r="D211" t="s">
        <v>15</v>
      </c>
      <c r="E211" s="5">
        <v>3670</v>
      </c>
      <c r="F211" s="5">
        <v>3446.4</v>
      </c>
      <c r="G211" s="5">
        <v>223.6</v>
      </c>
      <c r="H211" s="5">
        <v>6.49</v>
      </c>
      <c r="I211" t="s">
        <v>20</v>
      </c>
    </row>
    <row r="212" spans="1:9" x14ac:dyDescent="0.25">
      <c r="A212" t="s">
        <v>147</v>
      </c>
      <c r="B212" t="s">
        <v>58</v>
      </c>
      <c r="C212" s="10">
        <v>358206134886663</v>
      </c>
      <c r="D212" t="s">
        <v>15</v>
      </c>
      <c r="E212" s="5">
        <v>3670</v>
      </c>
      <c r="F212" s="5">
        <v>3446.4</v>
      </c>
      <c r="G212" s="5">
        <v>223.6</v>
      </c>
      <c r="H212" s="5">
        <v>6.49</v>
      </c>
      <c r="I212" t="s">
        <v>20</v>
      </c>
    </row>
    <row r="213" spans="1:9" x14ac:dyDescent="0.25">
      <c r="A213" t="s">
        <v>147</v>
      </c>
      <c r="B213" t="s">
        <v>58</v>
      </c>
      <c r="C213" s="10">
        <v>358206134905695</v>
      </c>
      <c r="D213" t="s">
        <v>15</v>
      </c>
      <c r="E213" s="5">
        <v>3670</v>
      </c>
      <c r="F213" s="5">
        <v>3446.4</v>
      </c>
      <c r="G213" s="5">
        <v>223.6</v>
      </c>
      <c r="H213" s="5">
        <v>6.49</v>
      </c>
      <c r="I213" t="s">
        <v>20</v>
      </c>
    </row>
    <row r="214" spans="1:9" x14ac:dyDescent="0.25">
      <c r="A214" t="s">
        <v>147</v>
      </c>
      <c r="B214" t="s">
        <v>58</v>
      </c>
      <c r="C214" s="10">
        <v>359814711121583</v>
      </c>
      <c r="D214" t="s">
        <v>151</v>
      </c>
      <c r="E214" s="5">
        <v>3470</v>
      </c>
      <c r="F214" s="5">
        <v>3338.7</v>
      </c>
      <c r="G214" s="5">
        <v>131.30000000000001</v>
      </c>
      <c r="H214" s="5">
        <v>3.93</v>
      </c>
      <c r="I214" t="s">
        <v>20</v>
      </c>
    </row>
    <row r="215" spans="1:9" x14ac:dyDescent="0.25">
      <c r="A215" t="s">
        <v>147</v>
      </c>
      <c r="B215" t="s">
        <v>152</v>
      </c>
      <c r="C215" s="10" t="s">
        <v>153</v>
      </c>
      <c r="D215" t="s">
        <v>26</v>
      </c>
      <c r="E215" s="5">
        <v>7750</v>
      </c>
      <c r="F215" s="5">
        <v>6641.5</v>
      </c>
      <c r="G215" s="5">
        <v>1108.5</v>
      </c>
      <c r="H215" s="5">
        <v>16.690000000000001</v>
      </c>
      <c r="I215" t="s">
        <v>20</v>
      </c>
    </row>
    <row r="216" spans="1:9" x14ac:dyDescent="0.25">
      <c r="A216" s="2" t="s">
        <v>154</v>
      </c>
      <c r="B216" s="2" t="s">
        <v>155</v>
      </c>
      <c r="C216" s="12" t="s">
        <v>156</v>
      </c>
      <c r="D216" s="2" t="s">
        <v>15</v>
      </c>
      <c r="E216" s="6">
        <v>2700</v>
      </c>
      <c r="F216" s="6">
        <v>2741.46</v>
      </c>
      <c r="G216" s="6">
        <v>-41.46</v>
      </c>
      <c r="H216" s="6">
        <v>-1.51</v>
      </c>
      <c r="I216" s="2" t="s">
        <v>16</v>
      </c>
    </row>
    <row r="217" spans="1:9" x14ac:dyDescent="0.25">
      <c r="A217" s="2" t="s">
        <v>154</v>
      </c>
      <c r="B217" s="2" t="s">
        <v>155</v>
      </c>
      <c r="C217" s="12" t="s">
        <v>157</v>
      </c>
      <c r="D217" s="2" t="s">
        <v>15</v>
      </c>
      <c r="E217" s="6">
        <v>2700</v>
      </c>
      <c r="F217" s="6">
        <v>2741.46</v>
      </c>
      <c r="G217" s="6">
        <v>-41.46</v>
      </c>
      <c r="H217" s="6">
        <v>-1.51</v>
      </c>
      <c r="I217" s="2" t="s">
        <v>16</v>
      </c>
    </row>
    <row r="218" spans="1:9" x14ac:dyDescent="0.25">
      <c r="A218" t="s">
        <v>154</v>
      </c>
      <c r="B218" t="s">
        <v>158</v>
      </c>
      <c r="C218" s="10">
        <v>352356350826400</v>
      </c>
      <c r="D218" t="s">
        <v>15</v>
      </c>
      <c r="E218" s="5">
        <v>3000</v>
      </c>
      <c r="F218" s="5">
        <v>2513</v>
      </c>
      <c r="G218" s="5">
        <v>487</v>
      </c>
      <c r="H218" s="5">
        <v>19.38</v>
      </c>
      <c r="I218" t="s">
        <v>20</v>
      </c>
    </row>
    <row r="219" spans="1:9" x14ac:dyDescent="0.25">
      <c r="A219" s="2" t="s">
        <v>154</v>
      </c>
      <c r="B219" s="2" t="s">
        <v>58</v>
      </c>
      <c r="C219" s="12">
        <v>353497850454183</v>
      </c>
      <c r="D219" s="2" t="s">
        <v>15</v>
      </c>
      <c r="E219" s="6">
        <v>3460</v>
      </c>
      <c r="F219" s="6">
        <v>3500</v>
      </c>
      <c r="G219" s="6">
        <v>-40</v>
      </c>
      <c r="H219" s="6">
        <v>-1.1399999999999999</v>
      </c>
      <c r="I219" s="2" t="s">
        <v>39</v>
      </c>
    </row>
    <row r="220" spans="1:9" x14ac:dyDescent="0.25">
      <c r="A220" t="s">
        <v>154</v>
      </c>
      <c r="B220" t="s">
        <v>58</v>
      </c>
      <c r="C220" s="10">
        <v>353497851611575</v>
      </c>
      <c r="D220" t="s">
        <v>15</v>
      </c>
      <c r="E220" s="5">
        <v>3860.75</v>
      </c>
      <c r="F220" s="5">
        <v>3338.7</v>
      </c>
      <c r="G220" s="5">
        <v>522.04999999999995</v>
      </c>
      <c r="H220" s="5">
        <v>15.64</v>
      </c>
      <c r="I220" t="s">
        <v>20</v>
      </c>
    </row>
    <row r="221" spans="1:9" x14ac:dyDescent="0.25">
      <c r="A221" t="s">
        <v>154</v>
      </c>
      <c r="B221" t="s">
        <v>58</v>
      </c>
      <c r="C221" s="10">
        <v>355246657880290</v>
      </c>
      <c r="D221" t="s">
        <v>15</v>
      </c>
      <c r="E221" s="5">
        <v>3854.43</v>
      </c>
      <c r="F221" s="5">
        <v>3500</v>
      </c>
      <c r="G221" s="5">
        <v>354.43</v>
      </c>
      <c r="H221" s="5">
        <v>10.130000000000001</v>
      </c>
      <c r="I221" t="s">
        <v>39</v>
      </c>
    </row>
    <row r="222" spans="1:9" x14ac:dyDescent="0.25">
      <c r="A222" t="s">
        <v>154</v>
      </c>
      <c r="B222" t="s">
        <v>58</v>
      </c>
      <c r="C222" s="10">
        <v>355246658436142</v>
      </c>
      <c r="D222" t="s">
        <v>15</v>
      </c>
      <c r="E222" s="5">
        <v>3860.75</v>
      </c>
      <c r="F222" s="5">
        <v>3338.7</v>
      </c>
      <c r="G222" s="5">
        <v>522.04999999999995</v>
      </c>
      <c r="H222" s="5">
        <v>15.64</v>
      </c>
      <c r="I222" t="s">
        <v>20</v>
      </c>
    </row>
    <row r="223" spans="1:9" x14ac:dyDescent="0.25">
      <c r="A223" t="s">
        <v>154</v>
      </c>
      <c r="B223" t="s">
        <v>58</v>
      </c>
      <c r="C223" s="10">
        <v>355246659780654</v>
      </c>
      <c r="D223" t="s">
        <v>26</v>
      </c>
      <c r="E223" s="5">
        <v>3810.12</v>
      </c>
      <c r="F223" s="5">
        <v>3320.75</v>
      </c>
      <c r="G223" s="5">
        <v>489.37</v>
      </c>
      <c r="H223" s="5">
        <v>14.74</v>
      </c>
      <c r="I223" t="s">
        <v>20</v>
      </c>
    </row>
    <row r="224" spans="1:9" x14ac:dyDescent="0.25">
      <c r="A224" t="s">
        <v>154</v>
      </c>
      <c r="B224" t="s">
        <v>58</v>
      </c>
      <c r="C224" s="10">
        <v>357329444137212</v>
      </c>
      <c r="D224" t="s">
        <v>15</v>
      </c>
      <c r="E224" s="5">
        <v>3460</v>
      </c>
      <c r="F224" s="5">
        <v>3338.7</v>
      </c>
      <c r="G224" s="5">
        <v>121.3</v>
      </c>
      <c r="H224" s="5">
        <v>3.63</v>
      </c>
      <c r="I224" t="s">
        <v>20</v>
      </c>
    </row>
    <row r="225" spans="1:9" x14ac:dyDescent="0.25">
      <c r="A225" t="s">
        <v>154</v>
      </c>
      <c r="B225" t="s">
        <v>58</v>
      </c>
      <c r="C225" s="10">
        <v>359614548859920</v>
      </c>
      <c r="D225" t="s">
        <v>66</v>
      </c>
      <c r="E225" s="5">
        <v>4250</v>
      </c>
      <c r="F225" s="5">
        <v>4092.6</v>
      </c>
      <c r="G225" s="5">
        <v>157.4</v>
      </c>
      <c r="H225" s="5">
        <v>3.85</v>
      </c>
      <c r="I225" t="s">
        <v>20</v>
      </c>
    </row>
    <row r="226" spans="1:9" x14ac:dyDescent="0.25">
      <c r="A226" s="2" t="s">
        <v>159</v>
      </c>
      <c r="B226" s="2" t="s">
        <v>160</v>
      </c>
      <c r="C226" s="12" t="s">
        <v>161</v>
      </c>
      <c r="D226" s="2" t="s">
        <v>15</v>
      </c>
      <c r="E226" s="6">
        <v>345</v>
      </c>
      <c r="F226" s="6">
        <v>448.75</v>
      </c>
      <c r="G226" s="6">
        <v>-103.75</v>
      </c>
      <c r="H226" s="6">
        <v>-23.12</v>
      </c>
      <c r="I226" s="2" t="s">
        <v>20</v>
      </c>
    </row>
    <row r="227" spans="1:9" x14ac:dyDescent="0.25">
      <c r="A227" t="s">
        <v>159</v>
      </c>
      <c r="B227" t="s">
        <v>162</v>
      </c>
      <c r="C227" s="10" t="s">
        <v>163</v>
      </c>
      <c r="D227" t="s">
        <v>15</v>
      </c>
      <c r="E227" s="5">
        <v>470</v>
      </c>
      <c r="F227" s="5">
        <v>448.75</v>
      </c>
      <c r="G227" s="5">
        <v>21.25</v>
      </c>
      <c r="H227" s="5">
        <v>4.74</v>
      </c>
      <c r="I227" t="s">
        <v>20</v>
      </c>
    </row>
    <row r="228" spans="1:9" x14ac:dyDescent="0.25">
      <c r="A228" t="s">
        <v>159</v>
      </c>
      <c r="B228" t="s">
        <v>162</v>
      </c>
      <c r="C228" s="10" t="s">
        <v>164</v>
      </c>
      <c r="D228" t="s">
        <v>15</v>
      </c>
      <c r="E228" s="5">
        <v>470</v>
      </c>
      <c r="F228" s="5">
        <v>448.75</v>
      </c>
      <c r="G228" s="5">
        <v>21.25</v>
      </c>
      <c r="H228" s="5">
        <v>4.74</v>
      </c>
      <c r="I228" t="s">
        <v>20</v>
      </c>
    </row>
    <row r="229" spans="1:9" x14ac:dyDescent="0.25">
      <c r="A229" t="s">
        <v>159</v>
      </c>
      <c r="B229" t="s">
        <v>162</v>
      </c>
      <c r="C229" s="10" t="s">
        <v>165</v>
      </c>
      <c r="D229" t="s">
        <v>15</v>
      </c>
      <c r="E229" s="5">
        <v>470</v>
      </c>
      <c r="F229" s="5">
        <v>448.75</v>
      </c>
      <c r="G229" s="5">
        <v>21.25</v>
      </c>
      <c r="H229" s="5">
        <v>4.74</v>
      </c>
      <c r="I229" t="s">
        <v>20</v>
      </c>
    </row>
    <row r="230" spans="1:9" x14ac:dyDescent="0.25">
      <c r="A230" t="s">
        <v>159</v>
      </c>
      <c r="B230" t="s">
        <v>162</v>
      </c>
      <c r="C230" s="10" t="s">
        <v>166</v>
      </c>
      <c r="D230" t="s">
        <v>15</v>
      </c>
      <c r="E230" s="5">
        <v>470</v>
      </c>
      <c r="F230" s="5">
        <v>448.75</v>
      </c>
      <c r="G230" s="5">
        <v>21.25</v>
      </c>
      <c r="H230" s="5">
        <v>4.74</v>
      </c>
      <c r="I230" t="s">
        <v>20</v>
      </c>
    </row>
    <row r="231" spans="1:9" x14ac:dyDescent="0.25">
      <c r="A231" t="s">
        <v>159</v>
      </c>
      <c r="B231" t="s">
        <v>162</v>
      </c>
      <c r="C231" s="10" t="s">
        <v>167</v>
      </c>
      <c r="D231" t="s">
        <v>15</v>
      </c>
      <c r="E231" s="5">
        <v>470</v>
      </c>
      <c r="F231" s="5">
        <v>448.75</v>
      </c>
      <c r="G231" s="5">
        <v>21.25</v>
      </c>
      <c r="H231" s="5">
        <v>4.74</v>
      </c>
      <c r="I231" t="s">
        <v>20</v>
      </c>
    </row>
    <row r="232" spans="1:9" x14ac:dyDescent="0.25">
      <c r="A232" t="s">
        <v>159</v>
      </c>
      <c r="B232" t="s">
        <v>162</v>
      </c>
      <c r="C232" s="10" t="s">
        <v>168</v>
      </c>
      <c r="D232" t="s">
        <v>15</v>
      </c>
      <c r="E232" s="5">
        <v>470</v>
      </c>
      <c r="F232" s="5">
        <v>448.75</v>
      </c>
      <c r="G232" s="5">
        <v>21.25</v>
      </c>
      <c r="H232" s="5">
        <v>4.74</v>
      </c>
      <c r="I232" t="s">
        <v>20</v>
      </c>
    </row>
    <row r="233" spans="1:9" x14ac:dyDescent="0.25">
      <c r="A233" t="s">
        <v>159</v>
      </c>
      <c r="B233" t="s">
        <v>162</v>
      </c>
      <c r="C233" s="10" t="s">
        <v>169</v>
      </c>
      <c r="D233" t="s">
        <v>15</v>
      </c>
      <c r="E233" s="5">
        <v>470</v>
      </c>
      <c r="F233" s="5">
        <v>448.75</v>
      </c>
      <c r="G233" s="5">
        <v>21.25</v>
      </c>
      <c r="H233" s="5">
        <v>4.74</v>
      </c>
      <c r="I233" t="s">
        <v>20</v>
      </c>
    </row>
    <row r="234" spans="1:9" x14ac:dyDescent="0.25">
      <c r="A234" t="s">
        <v>159</v>
      </c>
      <c r="B234" t="s">
        <v>170</v>
      </c>
      <c r="C234" s="10" t="s">
        <v>171</v>
      </c>
      <c r="D234" t="s">
        <v>15</v>
      </c>
      <c r="E234" s="5">
        <v>750</v>
      </c>
      <c r="F234" s="5">
        <v>718</v>
      </c>
      <c r="G234" s="5">
        <v>32</v>
      </c>
      <c r="H234" s="5">
        <v>4.46</v>
      </c>
      <c r="I234" t="s">
        <v>20</v>
      </c>
    </row>
    <row r="235" spans="1:9" x14ac:dyDescent="0.25">
      <c r="A235" t="s">
        <v>159</v>
      </c>
      <c r="B235" t="s">
        <v>170</v>
      </c>
      <c r="C235" s="10" t="s">
        <v>172</v>
      </c>
      <c r="D235" t="s">
        <v>15</v>
      </c>
      <c r="E235" s="5">
        <v>750</v>
      </c>
      <c r="F235" s="5">
        <v>718</v>
      </c>
      <c r="G235" s="5">
        <v>32</v>
      </c>
      <c r="H235" s="5">
        <v>4.46</v>
      </c>
      <c r="I235" t="s">
        <v>20</v>
      </c>
    </row>
    <row r="236" spans="1:9" x14ac:dyDescent="0.25">
      <c r="A236" t="s">
        <v>159</v>
      </c>
      <c r="B236" t="s">
        <v>170</v>
      </c>
      <c r="C236" s="10" t="s">
        <v>173</v>
      </c>
      <c r="D236" t="s">
        <v>15</v>
      </c>
      <c r="E236" s="5">
        <v>750</v>
      </c>
      <c r="F236" s="5">
        <v>718</v>
      </c>
      <c r="G236" s="5">
        <v>32</v>
      </c>
      <c r="H236" s="5">
        <v>4.46</v>
      </c>
      <c r="I236" t="s">
        <v>20</v>
      </c>
    </row>
    <row r="237" spans="1:9" x14ac:dyDescent="0.25">
      <c r="A237" t="s">
        <v>159</v>
      </c>
      <c r="B237" t="s">
        <v>170</v>
      </c>
      <c r="C237" s="10" t="s">
        <v>174</v>
      </c>
      <c r="D237" t="s">
        <v>15</v>
      </c>
      <c r="E237" s="5">
        <v>750</v>
      </c>
      <c r="F237" s="5">
        <v>718</v>
      </c>
      <c r="G237" s="5">
        <v>32</v>
      </c>
      <c r="H237" s="5">
        <v>4.46</v>
      </c>
      <c r="I237" t="s">
        <v>20</v>
      </c>
    </row>
    <row r="238" spans="1:9" x14ac:dyDescent="0.25">
      <c r="A238" t="s">
        <v>159</v>
      </c>
      <c r="B238" t="s">
        <v>170</v>
      </c>
      <c r="C238" s="10" t="s">
        <v>175</v>
      </c>
      <c r="D238" t="s">
        <v>15</v>
      </c>
      <c r="E238" s="5">
        <v>750</v>
      </c>
      <c r="F238" s="5">
        <v>718</v>
      </c>
      <c r="G238" s="5">
        <v>32</v>
      </c>
      <c r="H238" s="5">
        <v>4.46</v>
      </c>
      <c r="I238" t="s">
        <v>20</v>
      </c>
    </row>
    <row r="239" spans="1:9" x14ac:dyDescent="0.25">
      <c r="A239" t="s">
        <v>159</v>
      </c>
      <c r="B239" t="s">
        <v>170</v>
      </c>
      <c r="C239" s="10" t="s">
        <v>176</v>
      </c>
      <c r="D239" t="s">
        <v>15</v>
      </c>
      <c r="E239" s="5">
        <v>750</v>
      </c>
      <c r="F239" s="5">
        <v>718</v>
      </c>
      <c r="G239" s="5">
        <v>32</v>
      </c>
      <c r="H239" s="5">
        <v>4.46</v>
      </c>
      <c r="I239" t="s">
        <v>20</v>
      </c>
    </row>
    <row r="240" spans="1:9" x14ac:dyDescent="0.25">
      <c r="A240" t="s">
        <v>159</v>
      </c>
      <c r="B240" t="s">
        <v>170</v>
      </c>
      <c r="C240" s="10" t="s">
        <v>177</v>
      </c>
      <c r="D240" t="s">
        <v>15</v>
      </c>
      <c r="E240" s="5">
        <v>750</v>
      </c>
      <c r="F240" s="5">
        <v>718</v>
      </c>
      <c r="G240" s="5">
        <v>32</v>
      </c>
      <c r="H240" s="5">
        <v>4.46</v>
      </c>
      <c r="I240" t="s">
        <v>20</v>
      </c>
    </row>
    <row r="241" spans="1:9" x14ac:dyDescent="0.25">
      <c r="A241" t="s">
        <v>159</v>
      </c>
      <c r="B241" t="s">
        <v>170</v>
      </c>
      <c r="C241" s="10" t="s">
        <v>178</v>
      </c>
      <c r="D241" t="s">
        <v>15</v>
      </c>
      <c r="E241" s="5">
        <v>750</v>
      </c>
      <c r="F241" s="5">
        <v>718</v>
      </c>
      <c r="G241" s="5">
        <v>32</v>
      </c>
      <c r="H241" s="5">
        <v>4.46</v>
      </c>
      <c r="I241" t="s">
        <v>20</v>
      </c>
    </row>
    <row r="242" spans="1:9" x14ac:dyDescent="0.25">
      <c r="A242" t="s">
        <v>159</v>
      </c>
      <c r="B242" t="s">
        <v>170</v>
      </c>
      <c r="C242" s="10" t="s">
        <v>179</v>
      </c>
      <c r="D242" t="s">
        <v>15</v>
      </c>
      <c r="E242" s="5">
        <v>750</v>
      </c>
      <c r="F242" s="5">
        <v>718</v>
      </c>
      <c r="G242" s="5">
        <v>32</v>
      </c>
      <c r="H242" s="5">
        <v>4.46</v>
      </c>
      <c r="I242" t="s">
        <v>20</v>
      </c>
    </row>
    <row r="243" spans="1:9" x14ac:dyDescent="0.25">
      <c r="A243" t="s">
        <v>159</v>
      </c>
      <c r="B243" t="s">
        <v>170</v>
      </c>
      <c r="C243" s="10" t="s">
        <v>180</v>
      </c>
      <c r="D243" t="s">
        <v>15</v>
      </c>
      <c r="E243" s="5">
        <v>750</v>
      </c>
      <c r="F243" s="5">
        <v>718</v>
      </c>
      <c r="G243" s="5">
        <v>32</v>
      </c>
      <c r="H243" s="5">
        <v>4.46</v>
      </c>
      <c r="I243" t="s">
        <v>20</v>
      </c>
    </row>
    <row r="244" spans="1:9" x14ac:dyDescent="0.25">
      <c r="A244" s="2" t="s">
        <v>159</v>
      </c>
      <c r="B244" s="2" t="s">
        <v>181</v>
      </c>
      <c r="C244" s="12" t="s">
        <v>182</v>
      </c>
      <c r="D244" s="2" t="s">
        <v>15</v>
      </c>
      <c r="E244" s="6">
        <v>1160</v>
      </c>
      <c r="F244" s="6">
        <v>1314.3</v>
      </c>
      <c r="G244" s="6">
        <v>-154.30000000000001</v>
      </c>
      <c r="H244" s="6">
        <v>-11.74</v>
      </c>
      <c r="I244" s="2" t="s">
        <v>16</v>
      </c>
    </row>
    <row r="245" spans="1:9" x14ac:dyDescent="0.25">
      <c r="A245" s="2" t="s">
        <v>159</v>
      </c>
      <c r="B245" s="2" t="s">
        <v>181</v>
      </c>
      <c r="C245" s="12" t="s">
        <v>183</v>
      </c>
      <c r="D245" s="2" t="s">
        <v>15</v>
      </c>
      <c r="E245" s="6">
        <v>1160</v>
      </c>
      <c r="F245" s="6">
        <v>1314.3</v>
      </c>
      <c r="G245" s="6">
        <v>-154.30000000000001</v>
      </c>
      <c r="H245" s="6">
        <v>-11.74</v>
      </c>
      <c r="I245" s="2" t="s">
        <v>16</v>
      </c>
    </row>
    <row r="246" spans="1:9" x14ac:dyDescent="0.25">
      <c r="A246" s="2" t="s">
        <v>159</v>
      </c>
      <c r="B246" s="2" t="s">
        <v>181</v>
      </c>
      <c r="C246" s="12" t="s">
        <v>184</v>
      </c>
      <c r="D246" s="2" t="s">
        <v>15</v>
      </c>
      <c r="E246" s="6">
        <v>1160</v>
      </c>
      <c r="F246" s="6">
        <v>1314.3</v>
      </c>
      <c r="G246" s="6">
        <v>-154.30000000000001</v>
      </c>
      <c r="H246" s="6">
        <v>-11.74</v>
      </c>
      <c r="I246" s="2" t="s">
        <v>16</v>
      </c>
    </row>
    <row r="247" spans="1:9" x14ac:dyDescent="0.25">
      <c r="A247" s="2" t="s">
        <v>159</v>
      </c>
      <c r="B247" s="2" t="s">
        <v>181</v>
      </c>
      <c r="C247" s="12" t="s">
        <v>185</v>
      </c>
      <c r="D247" s="2" t="s">
        <v>15</v>
      </c>
      <c r="E247" s="6">
        <v>1160</v>
      </c>
      <c r="F247" s="6">
        <v>1314.3</v>
      </c>
      <c r="G247" s="6">
        <v>-154.30000000000001</v>
      </c>
      <c r="H247" s="6">
        <v>-11.74</v>
      </c>
      <c r="I247" s="2" t="s">
        <v>16</v>
      </c>
    </row>
    <row r="248" spans="1:9" x14ac:dyDescent="0.25">
      <c r="A248" s="2" t="s">
        <v>159</v>
      </c>
      <c r="B248" s="2" t="s">
        <v>181</v>
      </c>
      <c r="C248" s="12" t="s">
        <v>186</v>
      </c>
      <c r="D248" s="2" t="s">
        <v>15</v>
      </c>
      <c r="E248" s="6">
        <v>1160</v>
      </c>
      <c r="F248" s="6">
        <v>1314.3</v>
      </c>
      <c r="G248" s="6">
        <v>-154.30000000000001</v>
      </c>
      <c r="H248" s="6">
        <v>-11.74</v>
      </c>
      <c r="I248" s="2" t="s">
        <v>16</v>
      </c>
    </row>
    <row r="249" spans="1:9" x14ac:dyDescent="0.25">
      <c r="A249" s="2" t="s">
        <v>159</v>
      </c>
      <c r="B249" s="2" t="s">
        <v>181</v>
      </c>
      <c r="C249" s="12" t="s">
        <v>187</v>
      </c>
      <c r="D249" s="2" t="s">
        <v>15</v>
      </c>
      <c r="E249" s="6">
        <v>1160</v>
      </c>
      <c r="F249" s="6">
        <v>1314.3</v>
      </c>
      <c r="G249" s="6">
        <v>-154.30000000000001</v>
      </c>
      <c r="H249" s="6">
        <v>-11.74</v>
      </c>
      <c r="I249" s="2" t="s">
        <v>16</v>
      </c>
    </row>
    <row r="250" spans="1:9" x14ac:dyDescent="0.25">
      <c r="A250" s="2" t="s">
        <v>159</v>
      </c>
      <c r="B250" s="2" t="s">
        <v>181</v>
      </c>
      <c r="C250" s="12" t="s">
        <v>188</v>
      </c>
      <c r="D250" s="2" t="s">
        <v>15</v>
      </c>
      <c r="E250" s="6">
        <v>1160</v>
      </c>
      <c r="F250" s="6">
        <v>1314.3</v>
      </c>
      <c r="G250" s="6">
        <v>-154.30000000000001</v>
      </c>
      <c r="H250" s="6">
        <v>-11.74</v>
      </c>
      <c r="I250" s="2" t="s">
        <v>16</v>
      </c>
    </row>
    <row r="251" spans="1:9" x14ac:dyDescent="0.25">
      <c r="A251" s="2" t="s">
        <v>159</v>
      </c>
      <c r="B251" s="2" t="s">
        <v>181</v>
      </c>
      <c r="C251" s="12" t="s">
        <v>189</v>
      </c>
      <c r="D251" s="2" t="s">
        <v>15</v>
      </c>
      <c r="E251" s="6">
        <v>1160</v>
      </c>
      <c r="F251" s="6">
        <v>1314.3</v>
      </c>
      <c r="G251" s="6">
        <v>-154.30000000000001</v>
      </c>
      <c r="H251" s="6">
        <v>-11.74</v>
      </c>
      <c r="I251" s="2" t="s">
        <v>16</v>
      </c>
    </row>
    <row r="252" spans="1:9" x14ac:dyDescent="0.25">
      <c r="A252" s="2" t="s">
        <v>159</v>
      </c>
      <c r="B252" s="2" t="s">
        <v>181</v>
      </c>
      <c r="C252" s="12" t="s">
        <v>190</v>
      </c>
      <c r="D252" s="2" t="s">
        <v>15</v>
      </c>
      <c r="E252" s="6">
        <v>1160</v>
      </c>
      <c r="F252" s="6">
        <v>1314.3</v>
      </c>
      <c r="G252" s="6">
        <v>-154.30000000000001</v>
      </c>
      <c r="H252" s="6">
        <v>-11.74</v>
      </c>
      <c r="I252" s="2" t="s">
        <v>16</v>
      </c>
    </row>
    <row r="253" spans="1:9" x14ac:dyDescent="0.25">
      <c r="A253" s="2" t="s">
        <v>159</v>
      </c>
      <c r="B253" s="2" t="s">
        <v>181</v>
      </c>
      <c r="C253" s="12" t="s">
        <v>191</v>
      </c>
      <c r="D253" s="2" t="s">
        <v>15</v>
      </c>
      <c r="E253" s="6">
        <v>1160</v>
      </c>
      <c r="F253" s="6">
        <v>1314.3</v>
      </c>
      <c r="G253" s="6">
        <v>-154.30000000000001</v>
      </c>
      <c r="H253" s="6">
        <v>-11.74</v>
      </c>
      <c r="I253" s="2" t="s">
        <v>16</v>
      </c>
    </row>
    <row r="254" spans="1:9" x14ac:dyDescent="0.25">
      <c r="A254" s="2" t="s">
        <v>159</v>
      </c>
      <c r="B254" s="2" t="s">
        <v>181</v>
      </c>
      <c r="C254" s="12" t="s">
        <v>192</v>
      </c>
      <c r="D254" s="2" t="s">
        <v>15</v>
      </c>
      <c r="E254" s="6">
        <v>1160</v>
      </c>
      <c r="F254" s="6">
        <v>1314.3</v>
      </c>
      <c r="G254" s="6">
        <v>-154.30000000000001</v>
      </c>
      <c r="H254" s="6">
        <v>-11.74</v>
      </c>
      <c r="I254" s="2" t="s">
        <v>16</v>
      </c>
    </row>
    <row r="255" spans="1:9" x14ac:dyDescent="0.25">
      <c r="A255" s="2" t="s">
        <v>159</v>
      </c>
      <c r="B255" s="2" t="s">
        <v>181</v>
      </c>
      <c r="C255" s="12" t="s">
        <v>193</v>
      </c>
      <c r="D255" s="2" t="s">
        <v>15</v>
      </c>
      <c r="E255" s="6">
        <v>1160</v>
      </c>
      <c r="F255" s="6">
        <v>1314.3</v>
      </c>
      <c r="G255" s="6">
        <v>-154.30000000000001</v>
      </c>
      <c r="H255" s="6">
        <v>-11.74</v>
      </c>
      <c r="I255" s="2" t="s">
        <v>16</v>
      </c>
    </row>
    <row r="256" spans="1:9" x14ac:dyDescent="0.25">
      <c r="A256" t="s">
        <v>159</v>
      </c>
      <c r="B256" t="s">
        <v>194</v>
      </c>
      <c r="C256" s="10" t="s">
        <v>195</v>
      </c>
      <c r="D256" t="s">
        <v>15</v>
      </c>
      <c r="E256" s="5">
        <v>2100</v>
      </c>
      <c r="F256" s="5">
        <v>1504.52</v>
      </c>
      <c r="G256" s="5">
        <v>595.48</v>
      </c>
      <c r="H256" s="5">
        <v>39.58</v>
      </c>
      <c r="I256" t="s">
        <v>16</v>
      </c>
    </row>
    <row r="257" spans="1:9" x14ac:dyDescent="0.25">
      <c r="A257" t="s">
        <v>159</v>
      </c>
      <c r="B257" t="s">
        <v>194</v>
      </c>
      <c r="C257" s="10" t="s">
        <v>196</v>
      </c>
      <c r="D257" t="s">
        <v>15</v>
      </c>
      <c r="E257" s="5">
        <v>2100</v>
      </c>
      <c r="F257" s="5">
        <v>1504.52</v>
      </c>
      <c r="G257" s="5">
        <v>595.48</v>
      </c>
      <c r="H257" s="5">
        <v>39.58</v>
      </c>
      <c r="I257" t="s">
        <v>16</v>
      </c>
    </row>
    <row r="258" spans="1:9" x14ac:dyDescent="0.25">
      <c r="A258" t="s">
        <v>159</v>
      </c>
      <c r="B258" t="s">
        <v>194</v>
      </c>
      <c r="C258" s="10" t="s">
        <v>197</v>
      </c>
      <c r="D258" t="s">
        <v>15</v>
      </c>
      <c r="E258" s="5">
        <v>2100</v>
      </c>
      <c r="F258" s="5">
        <v>1504.52</v>
      </c>
      <c r="G258" s="5">
        <v>595.48</v>
      </c>
      <c r="H258" s="5">
        <v>39.58</v>
      </c>
      <c r="I258" t="s">
        <v>16</v>
      </c>
    </row>
    <row r="259" spans="1:9" x14ac:dyDescent="0.25">
      <c r="A259" t="s">
        <v>159</v>
      </c>
      <c r="B259" t="s">
        <v>194</v>
      </c>
      <c r="C259" s="10" t="s">
        <v>198</v>
      </c>
      <c r="D259" t="s">
        <v>15</v>
      </c>
      <c r="E259" s="5">
        <v>2100</v>
      </c>
      <c r="F259" s="5">
        <v>1504.52</v>
      </c>
      <c r="G259" s="5">
        <v>595.48</v>
      </c>
      <c r="H259" s="5">
        <v>39.58</v>
      </c>
      <c r="I259" t="s">
        <v>16</v>
      </c>
    </row>
    <row r="260" spans="1:9" x14ac:dyDescent="0.25">
      <c r="A260" t="s">
        <v>159</v>
      </c>
      <c r="B260" t="s">
        <v>194</v>
      </c>
      <c r="C260" s="10" t="s">
        <v>199</v>
      </c>
      <c r="D260" t="s">
        <v>15</v>
      </c>
      <c r="E260" s="5">
        <v>2100</v>
      </c>
      <c r="F260" s="5">
        <v>1504.52</v>
      </c>
      <c r="G260" s="5">
        <v>595.48</v>
      </c>
      <c r="H260" s="5">
        <v>39.58</v>
      </c>
      <c r="I260" t="s">
        <v>16</v>
      </c>
    </row>
    <row r="261" spans="1:9" x14ac:dyDescent="0.25">
      <c r="A261" t="s">
        <v>159</v>
      </c>
      <c r="B261" t="s">
        <v>194</v>
      </c>
      <c r="C261" s="10" t="s">
        <v>200</v>
      </c>
      <c r="D261" t="s">
        <v>15</v>
      </c>
      <c r="E261" s="5">
        <v>2100</v>
      </c>
      <c r="F261" s="5">
        <v>1504.52</v>
      </c>
      <c r="G261" s="5">
        <v>595.48</v>
      </c>
      <c r="H261" s="5">
        <v>39.58</v>
      </c>
      <c r="I261" t="s">
        <v>16</v>
      </c>
    </row>
    <row r="262" spans="1:9" x14ac:dyDescent="0.25">
      <c r="A262" t="s">
        <v>159</v>
      </c>
      <c r="B262" t="s">
        <v>194</v>
      </c>
      <c r="C262" s="10" t="s">
        <v>201</v>
      </c>
      <c r="D262" t="s">
        <v>15</v>
      </c>
      <c r="E262" s="5">
        <v>2100</v>
      </c>
      <c r="F262" s="5">
        <v>1569</v>
      </c>
      <c r="G262" s="5">
        <v>531</v>
      </c>
      <c r="H262" s="5">
        <v>33.840000000000003</v>
      </c>
      <c r="I262" t="s">
        <v>70</v>
      </c>
    </row>
    <row r="263" spans="1:9" x14ac:dyDescent="0.25">
      <c r="A263" t="s">
        <v>159</v>
      </c>
      <c r="B263" t="s">
        <v>194</v>
      </c>
      <c r="C263" s="10" t="s">
        <v>202</v>
      </c>
      <c r="D263" t="s">
        <v>15</v>
      </c>
      <c r="E263" s="5">
        <v>2100</v>
      </c>
      <c r="F263" s="5">
        <v>1569</v>
      </c>
      <c r="G263" s="5">
        <v>531</v>
      </c>
      <c r="H263" s="5">
        <v>33.840000000000003</v>
      </c>
      <c r="I263" t="s">
        <v>70</v>
      </c>
    </row>
    <row r="264" spans="1:9" x14ac:dyDescent="0.25">
      <c r="A264" t="s">
        <v>159</v>
      </c>
      <c r="B264" t="s">
        <v>194</v>
      </c>
      <c r="C264" s="10" t="s">
        <v>203</v>
      </c>
      <c r="D264" t="s">
        <v>15</v>
      </c>
      <c r="E264" s="5">
        <v>2100</v>
      </c>
      <c r="F264" s="5">
        <v>1504.52</v>
      </c>
      <c r="G264" s="5">
        <v>595.48</v>
      </c>
      <c r="H264" s="5">
        <v>39.58</v>
      </c>
      <c r="I264" t="s">
        <v>16</v>
      </c>
    </row>
    <row r="265" spans="1:9" x14ac:dyDescent="0.25">
      <c r="A265" t="s">
        <v>159</v>
      </c>
      <c r="B265" t="s">
        <v>194</v>
      </c>
      <c r="C265" s="10" t="s">
        <v>204</v>
      </c>
      <c r="D265" t="s">
        <v>15</v>
      </c>
      <c r="E265" s="5">
        <v>2100</v>
      </c>
      <c r="F265" s="5">
        <v>1569</v>
      </c>
      <c r="G265" s="5">
        <v>531</v>
      </c>
      <c r="H265" s="5">
        <v>33.840000000000003</v>
      </c>
      <c r="I265" t="s">
        <v>70</v>
      </c>
    </row>
    <row r="266" spans="1:9" x14ac:dyDescent="0.25">
      <c r="A266" t="s">
        <v>159</v>
      </c>
      <c r="B266" t="s">
        <v>194</v>
      </c>
      <c r="C266" s="10" t="s">
        <v>205</v>
      </c>
      <c r="D266" t="s">
        <v>15</v>
      </c>
      <c r="E266" s="5">
        <v>2100</v>
      </c>
      <c r="F266" s="5">
        <v>1504.52</v>
      </c>
      <c r="G266" s="5">
        <v>595.48</v>
      </c>
      <c r="H266" s="5">
        <v>39.58</v>
      </c>
      <c r="I266" t="s">
        <v>16</v>
      </c>
    </row>
    <row r="267" spans="1:9" x14ac:dyDescent="0.25">
      <c r="A267" t="s">
        <v>159</v>
      </c>
      <c r="B267" t="s">
        <v>194</v>
      </c>
      <c r="C267" s="10" t="s">
        <v>206</v>
      </c>
      <c r="D267" t="s">
        <v>15</v>
      </c>
      <c r="E267" s="5">
        <v>2100</v>
      </c>
      <c r="F267" s="5">
        <v>1569</v>
      </c>
      <c r="G267" s="5">
        <v>531</v>
      </c>
      <c r="H267" s="5">
        <v>33.840000000000003</v>
      </c>
      <c r="I267" t="s">
        <v>70</v>
      </c>
    </row>
    <row r="268" spans="1:9" x14ac:dyDescent="0.25">
      <c r="A268" t="s">
        <v>159</v>
      </c>
      <c r="B268" t="s">
        <v>207</v>
      </c>
      <c r="C268" s="10" t="s">
        <v>208</v>
      </c>
      <c r="D268" t="s">
        <v>15</v>
      </c>
      <c r="E268" s="5">
        <v>950</v>
      </c>
      <c r="F268" s="5">
        <v>574.4</v>
      </c>
      <c r="G268" s="5">
        <v>375.6</v>
      </c>
      <c r="H268" s="5">
        <v>65.39</v>
      </c>
      <c r="I268" t="s">
        <v>20</v>
      </c>
    </row>
    <row r="269" spans="1:9" x14ac:dyDescent="0.25">
      <c r="A269" s="2" t="s">
        <v>159</v>
      </c>
      <c r="B269" s="2" t="s">
        <v>68</v>
      </c>
      <c r="C269" s="12" t="s">
        <v>209</v>
      </c>
      <c r="D269" s="2" t="s">
        <v>15</v>
      </c>
      <c r="E269" s="6">
        <v>630</v>
      </c>
      <c r="F269" s="6">
        <v>633.88</v>
      </c>
      <c r="G269" s="6">
        <v>-3.88</v>
      </c>
      <c r="H269" s="6">
        <v>-0.61</v>
      </c>
      <c r="I269" s="2" t="s">
        <v>16</v>
      </c>
    </row>
    <row r="270" spans="1:9" x14ac:dyDescent="0.25">
      <c r="A270" s="2" t="s">
        <v>159</v>
      </c>
      <c r="B270" s="2" t="s">
        <v>68</v>
      </c>
      <c r="C270" s="12" t="s">
        <v>210</v>
      </c>
      <c r="D270" s="2" t="s">
        <v>15</v>
      </c>
      <c r="E270" s="6">
        <v>630</v>
      </c>
      <c r="F270" s="6">
        <v>633.88</v>
      </c>
      <c r="G270" s="6">
        <v>-3.88</v>
      </c>
      <c r="H270" s="6">
        <v>-0.61</v>
      </c>
      <c r="I270" s="2" t="s">
        <v>16</v>
      </c>
    </row>
    <row r="271" spans="1:9" x14ac:dyDescent="0.25">
      <c r="A271" s="2" t="s">
        <v>159</v>
      </c>
      <c r="B271" s="2" t="s">
        <v>68</v>
      </c>
      <c r="C271" s="12" t="s">
        <v>211</v>
      </c>
      <c r="D271" s="2" t="s">
        <v>15</v>
      </c>
      <c r="E271" s="6">
        <v>630</v>
      </c>
      <c r="F271" s="6">
        <v>637</v>
      </c>
      <c r="G271" s="6">
        <v>-7</v>
      </c>
      <c r="H271" s="6">
        <v>-1.1000000000000001</v>
      </c>
      <c r="I271" s="2" t="s">
        <v>70</v>
      </c>
    </row>
    <row r="272" spans="1:9" x14ac:dyDescent="0.25">
      <c r="A272" s="2" t="s">
        <v>159</v>
      </c>
      <c r="B272" s="2" t="s">
        <v>68</v>
      </c>
      <c r="C272" s="12" t="s">
        <v>212</v>
      </c>
      <c r="D272" s="2" t="s">
        <v>15</v>
      </c>
      <c r="E272" s="6">
        <v>630</v>
      </c>
      <c r="F272" s="6">
        <v>637</v>
      </c>
      <c r="G272" s="6">
        <v>-7</v>
      </c>
      <c r="H272" s="6">
        <v>-1.1000000000000001</v>
      </c>
      <c r="I272" s="2" t="s">
        <v>70</v>
      </c>
    </row>
    <row r="273" spans="1:9" x14ac:dyDescent="0.25">
      <c r="A273" s="2" t="s">
        <v>159</v>
      </c>
      <c r="B273" s="2" t="s">
        <v>68</v>
      </c>
      <c r="C273" s="12" t="s">
        <v>213</v>
      </c>
      <c r="D273" s="2" t="s">
        <v>15</v>
      </c>
      <c r="E273" s="6">
        <v>630</v>
      </c>
      <c r="F273" s="6">
        <v>637</v>
      </c>
      <c r="G273" s="6">
        <v>-7</v>
      </c>
      <c r="H273" s="6">
        <v>-1.1000000000000001</v>
      </c>
      <c r="I273" s="2" t="s">
        <v>70</v>
      </c>
    </row>
    <row r="274" spans="1:9" x14ac:dyDescent="0.25">
      <c r="A274" s="2" t="s">
        <v>159</v>
      </c>
      <c r="B274" s="2" t="s">
        <v>68</v>
      </c>
      <c r="C274" s="12" t="s">
        <v>214</v>
      </c>
      <c r="D274" s="2" t="s">
        <v>15</v>
      </c>
      <c r="E274" s="6">
        <v>630</v>
      </c>
      <c r="F274" s="6">
        <v>637</v>
      </c>
      <c r="G274" s="6">
        <v>-7</v>
      </c>
      <c r="H274" s="6">
        <v>-1.1000000000000001</v>
      </c>
      <c r="I274" s="2" t="s">
        <v>70</v>
      </c>
    </row>
    <row r="275" spans="1:9" x14ac:dyDescent="0.25">
      <c r="A275" s="2" t="s">
        <v>159</v>
      </c>
      <c r="B275" s="2" t="s">
        <v>68</v>
      </c>
      <c r="C275" s="12" t="s">
        <v>215</v>
      </c>
      <c r="D275" s="2" t="s">
        <v>15</v>
      </c>
      <c r="E275" s="6">
        <v>630</v>
      </c>
      <c r="F275" s="6">
        <v>637</v>
      </c>
      <c r="G275" s="6">
        <v>-7</v>
      </c>
      <c r="H275" s="6">
        <v>-1.1000000000000001</v>
      </c>
      <c r="I275" s="2" t="s">
        <v>70</v>
      </c>
    </row>
    <row r="276" spans="1:9" x14ac:dyDescent="0.25">
      <c r="A276" s="2" t="s">
        <v>159</v>
      </c>
      <c r="B276" s="2" t="s">
        <v>68</v>
      </c>
      <c r="C276" s="12" t="s">
        <v>216</v>
      </c>
      <c r="D276" s="2" t="s">
        <v>15</v>
      </c>
      <c r="E276" s="6">
        <v>630</v>
      </c>
      <c r="F276" s="6">
        <v>717.22</v>
      </c>
      <c r="G276" s="6">
        <v>-87.22</v>
      </c>
      <c r="H276" s="6">
        <v>-12.16</v>
      </c>
      <c r="I276" s="2" t="s">
        <v>16</v>
      </c>
    </row>
    <row r="277" spans="1:9" x14ac:dyDescent="0.25">
      <c r="A277" s="2" t="s">
        <v>159</v>
      </c>
      <c r="B277" s="2" t="s">
        <v>68</v>
      </c>
      <c r="C277" s="12" t="s">
        <v>217</v>
      </c>
      <c r="D277" s="2" t="s">
        <v>15</v>
      </c>
      <c r="E277" s="6">
        <v>630</v>
      </c>
      <c r="F277" s="6">
        <v>717.22</v>
      </c>
      <c r="G277" s="6">
        <v>-87.22</v>
      </c>
      <c r="H277" s="6">
        <v>-12.16</v>
      </c>
      <c r="I277" s="2" t="s">
        <v>16</v>
      </c>
    </row>
    <row r="278" spans="1:9" x14ac:dyDescent="0.25">
      <c r="A278" s="2" t="s">
        <v>159</v>
      </c>
      <c r="B278" s="2" t="s">
        <v>68</v>
      </c>
      <c r="C278" s="12" t="s">
        <v>218</v>
      </c>
      <c r="D278" s="2" t="s">
        <v>15</v>
      </c>
      <c r="E278" s="6">
        <v>630</v>
      </c>
      <c r="F278" s="6">
        <v>717.22</v>
      </c>
      <c r="G278" s="6">
        <v>-87.22</v>
      </c>
      <c r="H278" s="6">
        <v>-12.16</v>
      </c>
      <c r="I278" s="2" t="s">
        <v>16</v>
      </c>
    </row>
    <row r="279" spans="1:9" x14ac:dyDescent="0.25">
      <c r="A279" s="2" t="s">
        <v>159</v>
      </c>
      <c r="B279" s="2" t="s">
        <v>68</v>
      </c>
      <c r="C279" s="12" t="s">
        <v>219</v>
      </c>
      <c r="D279" s="2" t="s">
        <v>15</v>
      </c>
      <c r="E279" s="6">
        <v>630</v>
      </c>
      <c r="F279" s="6">
        <v>717.22</v>
      </c>
      <c r="G279" s="6">
        <v>-87.22</v>
      </c>
      <c r="H279" s="6">
        <v>-12.16</v>
      </c>
      <c r="I279" s="2" t="s">
        <v>16</v>
      </c>
    </row>
    <row r="280" spans="1:9" x14ac:dyDescent="0.25">
      <c r="A280" s="2" t="s">
        <v>159</v>
      </c>
      <c r="B280" s="2" t="s">
        <v>68</v>
      </c>
      <c r="C280" s="12" t="s">
        <v>220</v>
      </c>
      <c r="D280" s="2" t="s">
        <v>15</v>
      </c>
      <c r="E280" s="6">
        <v>630</v>
      </c>
      <c r="F280" s="6">
        <v>717.22</v>
      </c>
      <c r="G280" s="6">
        <v>-87.22</v>
      </c>
      <c r="H280" s="6">
        <v>-12.16</v>
      </c>
      <c r="I280" s="2" t="s">
        <v>16</v>
      </c>
    </row>
    <row r="281" spans="1:9" x14ac:dyDescent="0.25">
      <c r="A281" s="2" t="s">
        <v>159</v>
      </c>
      <c r="B281" s="2" t="s">
        <v>68</v>
      </c>
      <c r="C281" s="12" t="s">
        <v>221</v>
      </c>
      <c r="D281" s="2" t="s">
        <v>15</v>
      </c>
      <c r="E281" s="6">
        <v>630</v>
      </c>
      <c r="F281" s="6">
        <v>637</v>
      </c>
      <c r="G281" s="6">
        <v>-7</v>
      </c>
      <c r="H281" s="6">
        <v>-1.1000000000000001</v>
      </c>
      <c r="I281" s="2" t="s">
        <v>70</v>
      </c>
    </row>
    <row r="282" spans="1:9" x14ac:dyDescent="0.25">
      <c r="A282" s="2" t="s">
        <v>159</v>
      </c>
      <c r="B282" s="2" t="s">
        <v>68</v>
      </c>
      <c r="C282" s="12" t="s">
        <v>222</v>
      </c>
      <c r="D282" s="2" t="s">
        <v>15</v>
      </c>
      <c r="E282" s="6">
        <v>630</v>
      </c>
      <c r="F282" s="6">
        <v>637</v>
      </c>
      <c r="G282" s="6">
        <v>-7</v>
      </c>
      <c r="H282" s="6">
        <v>-1.1000000000000001</v>
      </c>
      <c r="I282" s="2" t="s">
        <v>70</v>
      </c>
    </row>
    <row r="283" spans="1:9" x14ac:dyDescent="0.25">
      <c r="A283" s="2" t="s">
        <v>159</v>
      </c>
      <c r="B283" s="2" t="s">
        <v>68</v>
      </c>
      <c r="C283" s="12" t="s">
        <v>223</v>
      </c>
      <c r="D283" s="2" t="s">
        <v>15</v>
      </c>
      <c r="E283" s="6">
        <v>630</v>
      </c>
      <c r="F283" s="6">
        <v>637</v>
      </c>
      <c r="G283" s="6">
        <v>-7</v>
      </c>
      <c r="H283" s="6">
        <v>-1.1000000000000001</v>
      </c>
      <c r="I283" s="2" t="s">
        <v>70</v>
      </c>
    </row>
    <row r="284" spans="1:9" x14ac:dyDescent="0.25">
      <c r="A284" s="2" t="s">
        <v>159</v>
      </c>
      <c r="B284" s="2" t="s">
        <v>68</v>
      </c>
      <c r="C284" s="12" t="s">
        <v>224</v>
      </c>
      <c r="D284" s="2" t="s">
        <v>15</v>
      </c>
      <c r="E284" s="6">
        <v>630</v>
      </c>
      <c r="F284" s="6">
        <v>637</v>
      </c>
      <c r="G284" s="6">
        <v>-7</v>
      </c>
      <c r="H284" s="6">
        <v>-1.1000000000000001</v>
      </c>
      <c r="I284" s="2" t="s">
        <v>70</v>
      </c>
    </row>
    <row r="285" spans="1:9" x14ac:dyDescent="0.25">
      <c r="A285" s="2" t="s">
        <v>159</v>
      </c>
      <c r="B285" s="2" t="s">
        <v>68</v>
      </c>
      <c r="C285" s="12" t="s">
        <v>225</v>
      </c>
      <c r="D285" s="2" t="s">
        <v>15</v>
      </c>
      <c r="E285" s="6">
        <v>630</v>
      </c>
      <c r="F285" s="6">
        <v>637</v>
      </c>
      <c r="G285" s="6">
        <v>-7</v>
      </c>
      <c r="H285" s="6">
        <v>-1.1000000000000001</v>
      </c>
      <c r="I285" s="2" t="s">
        <v>70</v>
      </c>
    </row>
    <row r="286" spans="1:9" x14ac:dyDescent="0.25">
      <c r="A286" s="2" t="s">
        <v>159</v>
      </c>
      <c r="B286" s="2" t="s">
        <v>68</v>
      </c>
      <c r="C286" s="12" t="s">
        <v>226</v>
      </c>
      <c r="D286" s="2" t="s">
        <v>15</v>
      </c>
      <c r="E286" s="6">
        <v>630</v>
      </c>
      <c r="F286" s="6">
        <v>637</v>
      </c>
      <c r="G286" s="6">
        <v>-7</v>
      </c>
      <c r="H286" s="6">
        <v>-1.1000000000000001</v>
      </c>
      <c r="I286" s="2" t="s">
        <v>70</v>
      </c>
    </row>
    <row r="287" spans="1:9" x14ac:dyDescent="0.25">
      <c r="A287" s="2" t="s">
        <v>159</v>
      </c>
      <c r="B287" s="2" t="s">
        <v>68</v>
      </c>
      <c r="C287" s="12" t="s">
        <v>227</v>
      </c>
      <c r="D287" s="2" t="s">
        <v>15</v>
      </c>
      <c r="E287" s="6">
        <v>630</v>
      </c>
      <c r="F287" s="6">
        <v>637</v>
      </c>
      <c r="G287" s="6">
        <v>-7</v>
      </c>
      <c r="H287" s="6">
        <v>-1.1000000000000001</v>
      </c>
      <c r="I287" s="2" t="s">
        <v>70</v>
      </c>
    </row>
    <row r="288" spans="1:9" x14ac:dyDescent="0.25">
      <c r="A288" s="2" t="s">
        <v>159</v>
      </c>
      <c r="B288" s="2" t="s">
        <v>68</v>
      </c>
      <c r="C288" s="12" t="s">
        <v>228</v>
      </c>
      <c r="D288" s="2" t="s">
        <v>15</v>
      </c>
      <c r="E288" s="6">
        <v>630</v>
      </c>
      <c r="F288" s="6">
        <v>637</v>
      </c>
      <c r="G288" s="6">
        <v>-7</v>
      </c>
      <c r="H288" s="6">
        <v>-1.1000000000000001</v>
      </c>
      <c r="I288" s="2" t="s">
        <v>70</v>
      </c>
    </row>
    <row r="289" spans="1:9" x14ac:dyDescent="0.25">
      <c r="A289" s="2" t="s">
        <v>159</v>
      </c>
      <c r="B289" s="2" t="s">
        <v>68</v>
      </c>
      <c r="C289" s="12" t="s">
        <v>229</v>
      </c>
      <c r="D289" s="2" t="s">
        <v>15</v>
      </c>
      <c r="E289" s="6">
        <v>630</v>
      </c>
      <c r="F289" s="6">
        <v>637</v>
      </c>
      <c r="G289" s="6">
        <v>-7</v>
      </c>
      <c r="H289" s="6">
        <v>-1.1000000000000001</v>
      </c>
      <c r="I289" s="2" t="s">
        <v>70</v>
      </c>
    </row>
    <row r="290" spans="1:9" x14ac:dyDescent="0.25">
      <c r="A290" s="2" t="s">
        <v>159</v>
      </c>
      <c r="B290" s="2" t="s">
        <v>68</v>
      </c>
      <c r="C290" s="12" t="s">
        <v>230</v>
      </c>
      <c r="D290" s="2" t="s">
        <v>15</v>
      </c>
      <c r="E290" s="6">
        <v>630</v>
      </c>
      <c r="F290" s="6">
        <v>637</v>
      </c>
      <c r="G290" s="6">
        <v>-7</v>
      </c>
      <c r="H290" s="6">
        <v>-1.1000000000000001</v>
      </c>
      <c r="I290" s="2" t="s">
        <v>70</v>
      </c>
    </row>
    <row r="291" spans="1:9" x14ac:dyDescent="0.25">
      <c r="A291" s="2" t="s">
        <v>159</v>
      </c>
      <c r="B291" s="2" t="s">
        <v>68</v>
      </c>
      <c r="C291" s="12" t="s">
        <v>231</v>
      </c>
      <c r="D291" s="2" t="s">
        <v>15</v>
      </c>
      <c r="E291" s="6">
        <v>630</v>
      </c>
      <c r="F291" s="6">
        <v>637</v>
      </c>
      <c r="G291" s="6">
        <v>-7</v>
      </c>
      <c r="H291" s="6">
        <v>-1.1000000000000001</v>
      </c>
      <c r="I291" s="2" t="s">
        <v>70</v>
      </c>
    </row>
    <row r="292" spans="1:9" x14ac:dyDescent="0.25">
      <c r="A292" s="2" t="s">
        <v>159</v>
      </c>
      <c r="B292" s="2" t="s">
        <v>68</v>
      </c>
      <c r="C292" s="12" t="s">
        <v>232</v>
      </c>
      <c r="D292" s="2" t="s">
        <v>15</v>
      </c>
      <c r="E292" s="6">
        <v>630</v>
      </c>
      <c r="F292" s="6">
        <v>637</v>
      </c>
      <c r="G292" s="6">
        <v>-7</v>
      </c>
      <c r="H292" s="6">
        <v>-1.1000000000000001</v>
      </c>
      <c r="I292" s="2" t="s">
        <v>70</v>
      </c>
    </row>
    <row r="293" spans="1:9" x14ac:dyDescent="0.25">
      <c r="A293" s="2" t="s">
        <v>159</v>
      </c>
      <c r="B293" s="2" t="s">
        <v>68</v>
      </c>
      <c r="C293" s="12" t="s">
        <v>233</v>
      </c>
      <c r="D293" s="2" t="s">
        <v>15</v>
      </c>
      <c r="E293" s="6">
        <v>630</v>
      </c>
      <c r="F293" s="6">
        <v>637</v>
      </c>
      <c r="G293" s="6">
        <v>-7</v>
      </c>
      <c r="H293" s="6">
        <v>-1.1000000000000001</v>
      </c>
      <c r="I293" s="2" t="s">
        <v>70</v>
      </c>
    </row>
    <row r="294" spans="1:9" x14ac:dyDescent="0.25">
      <c r="A294" s="2" t="s">
        <v>159</v>
      </c>
      <c r="B294" s="2" t="s">
        <v>68</v>
      </c>
      <c r="C294" s="12" t="s">
        <v>234</v>
      </c>
      <c r="D294" s="2" t="s">
        <v>15</v>
      </c>
      <c r="E294" s="6">
        <v>630</v>
      </c>
      <c r="F294" s="6">
        <v>637</v>
      </c>
      <c r="G294" s="6">
        <v>-7</v>
      </c>
      <c r="H294" s="6">
        <v>-1.1000000000000001</v>
      </c>
      <c r="I294" s="2" t="s">
        <v>70</v>
      </c>
    </row>
    <row r="295" spans="1:9" x14ac:dyDescent="0.25">
      <c r="A295" s="2" t="s">
        <v>159</v>
      </c>
      <c r="B295" s="2" t="s">
        <v>68</v>
      </c>
      <c r="C295" s="12" t="s">
        <v>235</v>
      </c>
      <c r="D295" s="2" t="s">
        <v>15</v>
      </c>
      <c r="E295" s="6">
        <v>630</v>
      </c>
      <c r="F295" s="6">
        <v>637</v>
      </c>
      <c r="G295" s="6">
        <v>-7</v>
      </c>
      <c r="H295" s="6">
        <v>-1.1000000000000001</v>
      </c>
      <c r="I295" s="2" t="s">
        <v>70</v>
      </c>
    </row>
    <row r="296" spans="1:9" x14ac:dyDescent="0.25">
      <c r="A296" s="2" t="s">
        <v>159</v>
      </c>
      <c r="B296" s="2" t="s">
        <v>68</v>
      </c>
      <c r="C296" s="12" t="s">
        <v>236</v>
      </c>
      <c r="D296" s="2" t="s">
        <v>15</v>
      </c>
      <c r="E296" s="6">
        <v>630</v>
      </c>
      <c r="F296" s="6">
        <v>637</v>
      </c>
      <c r="G296" s="6">
        <v>-7</v>
      </c>
      <c r="H296" s="6">
        <v>-1.1000000000000001</v>
      </c>
      <c r="I296" s="2" t="s">
        <v>70</v>
      </c>
    </row>
    <row r="297" spans="1:9" x14ac:dyDescent="0.25">
      <c r="A297" s="2" t="s">
        <v>159</v>
      </c>
      <c r="B297" s="2" t="s">
        <v>68</v>
      </c>
      <c r="C297" s="12" t="s">
        <v>237</v>
      </c>
      <c r="D297" s="2" t="s">
        <v>15</v>
      </c>
      <c r="E297" s="6">
        <v>630</v>
      </c>
      <c r="F297" s="6">
        <v>637</v>
      </c>
      <c r="G297" s="6">
        <v>-7</v>
      </c>
      <c r="H297" s="6">
        <v>-1.1000000000000001</v>
      </c>
      <c r="I297" s="2" t="s">
        <v>70</v>
      </c>
    </row>
    <row r="298" spans="1:9" x14ac:dyDescent="0.25">
      <c r="A298" s="2" t="s">
        <v>159</v>
      </c>
      <c r="B298" s="2" t="s">
        <v>68</v>
      </c>
      <c r="C298" s="12" t="s">
        <v>238</v>
      </c>
      <c r="D298" s="2" t="s">
        <v>15</v>
      </c>
      <c r="E298" s="6">
        <v>630</v>
      </c>
      <c r="F298" s="6">
        <v>633.88</v>
      </c>
      <c r="G298" s="6">
        <v>-3.88</v>
      </c>
      <c r="H298" s="6">
        <v>-0.61</v>
      </c>
      <c r="I298" s="2" t="s">
        <v>16</v>
      </c>
    </row>
    <row r="299" spans="1:9" x14ac:dyDescent="0.25">
      <c r="A299" s="2" t="s">
        <v>159</v>
      </c>
      <c r="B299" s="2" t="s">
        <v>68</v>
      </c>
      <c r="C299" s="12" t="s">
        <v>239</v>
      </c>
      <c r="D299" s="2" t="s">
        <v>15</v>
      </c>
      <c r="E299" s="6">
        <v>630</v>
      </c>
      <c r="F299" s="6">
        <v>633.88</v>
      </c>
      <c r="G299" s="6">
        <v>-3.88</v>
      </c>
      <c r="H299" s="6">
        <v>-0.61</v>
      </c>
      <c r="I299" s="2" t="s">
        <v>16</v>
      </c>
    </row>
    <row r="300" spans="1:9" x14ac:dyDescent="0.25">
      <c r="A300" s="2" t="s">
        <v>159</v>
      </c>
      <c r="B300" s="2" t="s">
        <v>68</v>
      </c>
      <c r="C300" s="12" t="s">
        <v>240</v>
      </c>
      <c r="D300" s="2" t="s">
        <v>15</v>
      </c>
      <c r="E300" s="6">
        <v>630</v>
      </c>
      <c r="F300" s="6">
        <v>633.88</v>
      </c>
      <c r="G300" s="6">
        <v>-3.88</v>
      </c>
      <c r="H300" s="6">
        <v>-0.61</v>
      </c>
      <c r="I300" s="2" t="s">
        <v>16</v>
      </c>
    </row>
    <row r="301" spans="1:9" x14ac:dyDescent="0.25">
      <c r="A301" s="2" t="s">
        <v>159</v>
      </c>
      <c r="B301" s="2" t="s">
        <v>68</v>
      </c>
      <c r="C301" s="12" t="s">
        <v>241</v>
      </c>
      <c r="D301" s="2" t="s">
        <v>15</v>
      </c>
      <c r="E301" s="6">
        <v>630</v>
      </c>
      <c r="F301" s="6">
        <v>633.88</v>
      </c>
      <c r="G301" s="6">
        <v>-3.88</v>
      </c>
      <c r="H301" s="6">
        <v>-0.61</v>
      </c>
      <c r="I301" s="2" t="s">
        <v>16</v>
      </c>
    </row>
    <row r="302" spans="1:9" x14ac:dyDescent="0.25">
      <c r="A302" s="2" t="s">
        <v>159</v>
      </c>
      <c r="B302" s="2" t="s">
        <v>68</v>
      </c>
      <c r="C302" s="12" t="s">
        <v>242</v>
      </c>
      <c r="D302" s="2" t="s">
        <v>15</v>
      </c>
      <c r="E302" s="6">
        <v>630</v>
      </c>
      <c r="F302" s="6">
        <v>633.88</v>
      </c>
      <c r="G302" s="6">
        <v>-3.88</v>
      </c>
      <c r="H302" s="6">
        <v>-0.61</v>
      </c>
      <c r="I302" s="2" t="s">
        <v>16</v>
      </c>
    </row>
    <row r="303" spans="1:9" x14ac:dyDescent="0.25">
      <c r="A303" s="2" t="s">
        <v>159</v>
      </c>
      <c r="B303" s="2" t="s">
        <v>68</v>
      </c>
      <c r="C303" s="12" t="s">
        <v>243</v>
      </c>
      <c r="D303" s="2" t="s">
        <v>15</v>
      </c>
      <c r="E303" s="6">
        <v>630</v>
      </c>
      <c r="F303" s="6">
        <v>633.88</v>
      </c>
      <c r="G303" s="6">
        <v>-3.88</v>
      </c>
      <c r="H303" s="6">
        <v>-0.61</v>
      </c>
      <c r="I303" s="2" t="s">
        <v>16</v>
      </c>
    </row>
    <row r="304" spans="1:9" x14ac:dyDescent="0.25">
      <c r="A304" s="2" t="s">
        <v>159</v>
      </c>
      <c r="B304" s="2" t="s">
        <v>68</v>
      </c>
      <c r="C304" s="12" t="s">
        <v>244</v>
      </c>
      <c r="D304" s="2" t="s">
        <v>15</v>
      </c>
      <c r="E304" s="6">
        <v>630</v>
      </c>
      <c r="F304" s="6">
        <v>633.88</v>
      </c>
      <c r="G304" s="6">
        <v>-3.88</v>
      </c>
      <c r="H304" s="6">
        <v>-0.61</v>
      </c>
      <c r="I304" s="2" t="s">
        <v>16</v>
      </c>
    </row>
    <row r="305" spans="1:9" x14ac:dyDescent="0.25">
      <c r="A305" s="2" t="s">
        <v>159</v>
      </c>
      <c r="B305" s="2" t="s">
        <v>68</v>
      </c>
      <c r="C305" s="12" t="s">
        <v>245</v>
      </c>
      <c r="D305" s="2" t="s">
        <v>15</v>
      </c>
      <c r="E305" s="6">
        <v>630</v>
      </c>
      <c r="F305" s="6">
        <v>633.88</v>
      </c>
      <c r="G305" s="6">
        <v>-3.88</v>
      </c>
      <c r="H305" s="6">
        <v>-0.61</v>
      </c>
      <c r="I305" s="2" t="s">
        <v>16</v>
      </c>
    </row>
    <row r="306" spans="1:9" x14ac:dyDescent="0.25">
      <c r="A306" s="2" t="s">
        <v>159</v>
      </c>
      <c r="B306" s="2" t="s">
        <v>68</v>
      </c>
      <c r="C306" s="12" t="s">
        <v>246</v>
      </c>
      <c r="D306" s="2" t="s">
        <v>15</v>
      </c>
      <c r="E306" s="6">
        <v>630</v>
      </c>
      <c r="F306" s="6">
        <v>633.88</v>
      </c>
      <c r="G306" s="6">
        <v>-3.88</v>
      </c>
      <c r="H306" s="6">
        <v>-0.61</v>
      </c>
      <c r="I306" s="2" t="s">
        <v>16</v>
      </c>
    </row>
    <row r="307" spans="1:9" x14ac:dyDescent="0.25">
      <c r="A307" s="2" t="s">
        <v>159</v>
      </c>
      <c r="B307" s="2" t="s">
        <v>68</v>
      </c>
      <c r="C307" s="12" t="s">
        <v>247</v>
      </c>
      <c r="D307" s="2" t="s">
        <v>15</v>
      </c>
      <c r="E307" s="6">
        <v>630</v>
      </c>
      <c r="F307" s="6">
        <v>633.88</v>
      </c>
      <c r="G307" s="6">
        <v>-3.88</v>
      </c>
      <c r="H307" s="6">
        <v>-0.61</v>
      </c>
      <c r="I307" s="2" t="s">
        <v>16</v>
      </c>
    </row>
    <row r="308" spans="1:9" x14ac:dyDescent="0.25">
      <c r="A308" s="2" t="s">
        <v>159</v>
      </c>
      <c r="B308" s="2" t="s">
        <v>68</v>
      </c>
      <c r="C308" s="12" t="s">
        <v>248</v>
      </c>
      <c r="D308" s="2" t="s">
        <v>15</v>
      </c>
      <c r="E308" s="6">
        <v>630</v>
      </c>
      <c r="F308" s="6">
        <v>633.88</v>
      </c>
      <c r="G308" s="6">
        <v>-3.88</v>
      </c>
      <c r="H308" s="6">
        <v>-0.61</v>
      </c>
      <c r="I308" s="2" t="s">
        <v>16</v>
      </c>
    </row>
    <row r="309" spans="1:9" x14ac:dyDescent="0.25">
      <c r="A309" s="2" t="s">
        <v>159</v>
      </c>
      <c r="B309" s="2" t="s">
        <v>68</v>
      </c>
      <c r="C309" s="12" t="s">
        <v>249</v>
      </c>
      <c r="D309" s="2" t="s">
        <v>15</v>
      </c>
      <c r="E309" s="6">
        <v>630</v>
      </c>
      <c r="F309" s="6">
        <v>633.88</v>
      </c>
      <c r="G309" s="6">
        <v>-3.88</v>
      </c>
      <c r="H309" s="6">
        <v>-0.61</v>
      </c>
      <c r="I309" s="2" t="s">
        <v>16</v>
      </c>
    </row>
    <row r="310" spans="1:9" x14ac:dyDescent="0.25">
      <c r="A310" s="2" t="s">
        <v>159</v>
      </c>
      <c r="B310" s="2" t="s">
        <v>68</v>
      </c>
      <c r="C310" s="12" t="s">
        <v>250</v>
      </c>
      <c r="D310" s="2" t="s">
        <v>15</v>
      </c>
      <c r="E310" s="6">
        <v>630</v>
      </c>
      <c r="F310" s="6">
        <v>633.88</v>
      </c>
      <c r="G310" s="6">
        <v>-3.88</v>
      </c>
      <c r="H310" s="6">
        <v>-0.61</v>
      </c>
      <c r="I310" s="2" t="s">
        <v>16</v>
      </c>
    </row>
    <row r="311" spans="1:9" x14ac:dyDescent="0.25">
      <c r="A311" s="2" t="s">
        <v>159</v>
      </c>
      <c r="B311" s="2" t="s">
        <v>68</v>
      </c>
      <c r="C311" s="12" t="s">
        <v>251</v>
      </c>
      <c r="D311" s="2" t="s">
        <v>15</v>
      </c>
      <c r="E311" s="6">
        <v>630</v>
      </c>
      <c r="F311" s="6">
        <v>633.88</v>
      </c>
      <c r="G311" s="6">
        <v>-3.88</v>
      </c>
      <c r="H311" s="6">
        <v>-0.61</v>
      </c>
      <c r="I311" s="2" t="s">
        <v>16</v>
      </c>
    </row>
    <row r="312" spans="1:9" x14ac:dyDescent="0.25">
      <c r="A312" s="2" t="s">
        <v>159</v>
      </c>
      <c r="B312" s="2" t="s">
        <v>68</v>
      </c>
      <c r="C312" s="12" t="s">
        <v>252</v>
      </c>
      <c r="D312" s="2" t="s">
        <v>15</v>
      </c>
      <c r="E312" s="6">
        <v>630</v>
      </c>
      <c r="F312" s="6">
        <v>633.88</v>
      </c>
      <c r="G312" s="6">
        <v>-3.88</v>
      </c>
      <c r="H312" s="6">
        <v>-0.61</v>
      </c>
      <c r="I312" s="2" t="s">
        <v>16</v>
      </c>
    </row>
    <row r="313" spans="1:9" x14ac:dyDescent="0.25">
      <c r="A313" s="2" t="s">
        <v>159</v>
      </c>
      <c r="B313" s="2" t="s">
        <v>68</v>
      </c>
      <c r="C313" s="12" t="s">
        <v>253</v>
      </c>
      <c r="D313" s="2" t="s">
        <v>15</v>
      </c>
      <c r="E313" s="6">
        <v>630</v>
      </c>
      <c r="F313" s="6">
        <v>633.88</v>
      </c>
      <c r="G313" s="6">
        <v>-3.88</v>
      </c>
      <c r="H313" s="6">
        <v>-0.61</v>
      </c>
      <c r="I313" s="2" t="s">
        <v>16</v>
      </c>
    </row>
    <row r="314" spans="1:9" x14ac:dyDescent="0.25">
      <c r="A314" s="2" t="s">
        <v>159</v>
      </c>
      <c r="B314" s="2" t="s">
        <v>68</v>
      </c>
      <c r="C314" s="12" t="s">
        <v>254</v>
      </c>
      <c r="D314" s="2" t="s">
        <v>15</v>
      </c>
      <c r="E314" s="6">
        <v>630</v>
      </c>
      <c r="F314" s="6">
        <v>633.88</v>
      </c>
      <c r="G314" s="6">
        <v>-3.88</v>
      </c>
      <c r="H314" s="6">
        <v>-0.61</v>
      </c>
      <c r="I314" s="2" t="s">
        <v>16</v>
      </c>
    </row>
    <row r="315" spans="1:9" x14ac:dyDescent="0.25">
      <c r="A315" s="2" t="s">
        <v>159</v>
      </c>
      <c r="B315" s="2" t="s">
        <v>68</v>
      </c>
      <c r="C315" s="12" t="s">
        <v>255</v>
      </c>
      <c r="D315" s="2" t="s">
        <v>15</v>
      </c>
      <c r="E315" s="6">
        <v>630</v>
      </c>
      <c r="F315" s="6">
        <v>633.88</v>
      </c>
      <c r="G315" s="6">
        <v>-3.88</v>
      </c>
      <c r="H315" s="6">
        <v>-0.61</v>
      </c>
      <c r="I315" s="2" t="s">
        <v>16</v>
      </c>
    </row>
    <row r="316" spans="1:9" x14ac:dyDescent="0.25">
      <c r="A316" s="2" t="s">
        <v>159</v>
      </c>
      <c r="B316" s="2" t="s">
        <v>68</v>
      </c>
      <c r="C316" s="12" t="s">
        <v>256</v>
      </c>
      <c r="D316" s="2" t="s">
        <v>15</v>
      </c>
      <c r="E316" s="6">
        <v>630</v>
      </c>
      <c r="F316" s="6">
        <v>633.88</v>
      </c>
      <c r="G316" s="6">
        <v>-3.88</v>
      </c>
      <c r="H316" s="6">
        <v>-0.61</v>
      </c>
      <c r="I316" s="2" t="s">
        <v>16</v>
      </c>
    </row>
    <row r="317" spans="1:9" x14ac:dyDescent="0.25">
      <c r="A317" s="2" t="s">
        <v>159</v>
      </c>
      <c r="B317" s="2" t="s">
        <v>68</v>
      </c>
      <c r="C317" s="12" t="s">
        <v>257</v>
      </c>
      <c r="D317" s="2" t="s">
        <v>15</v>
      </c>
      <c r="E317" s="6">
        <v>630</v>
      </c>
      <c r="F317" s="6">
        <v>633.88</v>
      </c>
      <c r="G317" s="6">
        <v>-3.88</v>
      </c>
      <c r="H317" s="6">
        <v>-0.61</v>
      </c>
      <c r="I317" s="2" t="s">
        <v>16</v>
      </c>
    </row>
    <row r="318" spans="1:9" x14ac:dyDescent="0.25">
      <c r="A318" s="2" t="s">
        <v>159</v>
      </c>
      <c r="B318" s="2" t="s">
        <v>68</v>
      </c>
      <c r="C318" s="12" t="s">
        <v>258</v>
      </c>
      <c r="D318" s="2" t="s">
        <v>15</v>
      </c>
      <c r="E318" s="6">
        <v>630</v>
      </c>
      <c r="F318" s="6">
        <v>633.88</v>
      </c>
      <c r="G318" s="6">
        <v>-3.88</v>
      </c>
      <c r="H318" s="6">
        <v>-0.61</v>
      </c>
      <c r="I318" s="2" t="s">
        <v>16</v>
      </c>
    </row>
    <row r="319" spans="1:9" x14ac:dyDescent="0.25">
      <c r="A319" s="2" t="s">
        <v>159</v>
      </c>
      <c r="B319" s="2" t="s">
        <v>68</v>
      </c>
      <c r="C319" s="12" t="s">
        <v>259</v>
      </c>
      <c r="D319" s="2" t="s">
        <v>15</v>
      </c>
      <c r="E319" s="6">
        <v>630</v>
      </c>
      <c r="F319" s="6">
        <v>636</v>
      </c>
      <c r="G319" s="6">
        <v>-6</v>
      </c>
      <c r="H319" s="6">
        <v>-0.94</v>
      </c>
      <c r="I319" s="2" t="s">
        <v>70</v>
      </c>
    </row>
    <row r="320" spans="1:9" x14ac:dyDescent="0.25">
      <c r="A320" s="2" t="s">
        <v>159</v>
      </c>
      <c r="B320" s="2" t="s">
        <v>68</v>
      </c>
      <c r="C320" s="12" t="s">
        <v>260</v>
      </c>
      <c r="D320" s="2" t="s">
        <v>15</v>
      </c>
      <c r="E320" s="6">
        <v>630</v>
      </c>
      <c r="F320" s="6">
        <v>636</v>
      </c>
      <c r="G320" s="6">
        <v>-6</v>
      </c>
      <c r="H320" s="6">
        <v>-0.94</v>
      </c>
      <c r="I320" s="2" t="s">
        <v>70</v>
      </c>
    </row>
    <row r="321" spans="1:9" x14ac:dyDescent="0.25">
      <c r="A321" s="2" t="s">
        <v>159</v>
      </c>
      <c r="B321" s="2" t="s">
        <v>68</v>
      </c>
      <c r="C321" s="12" t="s">
        <v>261</v>
      </c>
      <c r="D321" s="2" t="s">
        <v>15</v>
      </c>
      <c r="E321" s="6">
        <v>630</v>
      </c>
      <c r="F321" s="6">
        <v>636</v>
      </c>
      <c r="G321" s="6">
        <v>-6</v>
      </c>
      <c r="H321" s="6">
        <v>-0.94</v>
      </c>
      <c r="I321" s="2" t="s">
        <v>70</v>
      </c>
    </row>
    <row r="322" spans="1:9" x14ac:dyDescent="0.25">
      <c r="A322" s="2" t="s">
        <v>159</v>
      </c>
      <c r="B322" s="2" t="s">
        <v>68</v>
      </c>
      <c r="C322" s="12" t="s">
        <v>262</v>
      </c>
      <c r="D322" s="2" t="s">
        <v>15</v>
      </c>
      <c r="E322" s="6">
        <v>630</v>
      </c>
      <c r="F322" s="6">
        <v>636</v>
      </c>
      <c r="G322" s="6">
        <v>-6</v>
      </c>
      <c r="H322" s="6">
        <v>-0.94</v>
      </c>
      <c r="I322" s="2" t="s">
        <v>70</v>
      </c>
    </row>
    <row r="323" spans="1:9" x14ac:dyDescent="0.25">
      <c r="A323" s="2" t="s">
        <v>159</v>
      </c>
      <c r="B323" s="2" t="s">
        <v>68</v>
      </c>
      <c r="C323" s="12" t="s">
        <v>263</v>
      </c>
      <c r="D323" s="2" t="s">
        <v>15</v>
      </c>
      <c r="E323" s="6">
        <v>630</v>
      </c>
      <c r="F323" s="6">
        <v>636</v>
      </c>
      <c r="G323" s="6">
        <v>-6</v>
      </c>
      <c r="H323" s="6">
        <v>-0.94</v>
      </c>
      <c r="I323" s="2" t="s">
        <v>70</v>
      </c>
    </row>
    <row r="324" spans="1:9" x14ac:dyDescent="0.25">
      <c r="A324" s="2" t="s">
        <v>159</v>
      </c>
      <c r="B324" s="2" t="s">
        <v>68</v>
      </c>
      <c r="C324" s="12" t="s">
        <v>264</v>
      </c>
      <c r="D324" s="2" t="s">
        <v>15</v>
      </c>
      <c r="E324" s="6">
        <v>630</v>
      </c>
      <c r="F324" s="6">
        <v>636</v>
      </c>
      <c r="G324" s="6">
        <v>-6</v>
      </c>
      <c r="H324" s="6">
        <v>-0.94</v>
      </c>
      <c r="I324" s="2" t="s">
        <v>70</v>
      </c>
    </row>
    <row r="325" spans="1:9" x14ac:dyDescent="0.25">
      <c r="A325" s="2" t="s">
        <v>159</v>
      </c>
      <c r="B325" s="2" t="s">
        <v>68</v>
      </c>
      <c r="C325" s="12" t="s">
        <v>265</v>
      </c>
      <c r="D325" s="2" t="s">
        <v>15</v>
      </c>
      <c r="E325" s="6">
        <v>630</v>
      </c>
      <c r="F325" s="6">
        <v>636</v>
      </c>
      <c r="G325" s="6">
        <v>-6</v>
      </c>
      <c r="H325" s="6">
        <v>-0.94</v>
      </c>
      <c r="I325" s="2" t="s">
        <v>70</v>
      </c>
    </row>
    <row r="326" spans="1:9" x14ac:dyDescent="0.25">
      <c r="A326" s="2" t="s">
        <v>159</v>
      </c>
      <c r="B326" s="2" t="s">
        <v>68</v>
      </c>
      <c r="C326" s="12" t="s">
        <v>266</v>
      </c>
      <c r="D326" s="2" t="s">
        <v>15</v>
      </c>
      <c r="E326" s="6">
        <v>630</v>
      </c>
      <c r="F326" s="6">
        <v>636</v>
      </c>
      <c r="G326" s="6">
        <v>-6</v>
      </c>
      <c r="H326" s="6">
        <v>-0.94</v>
      </c>
      <c r="I326" s="2" t="s">
        <v>70</v>
      </c>
    </row>
    <row r="327" spans="1:9" x14ac:dyDescent="0.25">
      <c r="A327" s="2" t="s">
        <v>159</v>
      </c>
      <c r="B327" s="2" t="s">
        <v>68</v>
      </c>
      <c r="C327" s="12" t="s">
        <v>267</v>
      </c>
      <c r="D327" s="2" t="s">
        <v>15</v>
      </c>
      <c r="E327" s="6">
        <v>630</v>
      </c>
      <c r="F327" s="6">
        <v>636</v>
      </c>
      <c r="G327" s="6">
        <v>-6</v>
      </c>
      <c r="H327" s="6">
        <v>-0.94</v>
      </c>
      <c r="I327" s="2" t="s">
        <v>70</v>
      </c>
    </row>
    <row r="328" spans="1:9" x14ac:dyDescent="0.25">
      <c r="A328" s="2" t="s">
        <v>159</v>
      </c>
      <c r="B328" s="2" t="s">
        <v>68</v>
      </c>
      <c r="C328" s="12" t="s">
        <v>268</v>
      </c>
      <c r="D328" s="2" t="s">
        <v>15</v>
      </c>
      <c r="E328" s="6">
        <v>630</v>
      </c>
      <c r="F328" s="6">
        <v>636</v>
      </c>
      <c r="G328" s="6">
        <v>-6</v>
      </c>
      <c r="H328" s="6">
        <v>-0.94</v>
      </c>
      <c r="I328" s="2" t="s">
        <v>70</v>
      </c>
    </row>
    <row r="329" spans="1:9" x14ac:dyDescent="0.25">
      <c r="A329" t="s">
        <v>159</v>
      </c>
      <c r="B329" t="s">
        <v>58</v>
      </c>
      <c r="C329" s="10">
        <v>350599863608805</v>
      </c>
      <c r="D329" t="s">
        <v>26</v>
      </c>
      <c r="E329" s="5">
        <v>3610</v>
      </c>
      <c r="F329" s="5">
        <v>3446.4</v>
      </c>
      <c r="G329" s="5">
        <v>163.6</v>
      </c>
      <c r="H329" s="5">
        <v>4.75</v>
      </c>
      <c r="I329" t="s">
        <v>20</v>
      </c>
    </row>
    <row r="330" spans="1:9" x14ac:dyDescent="0.25">
      <c r="A330" t="s">
        <v>159</v>
      </c>
      <c r="B330" t="s">
        <v>58</v>
      </c>
      <c r="C330" s="10">
        <v>350599865637059</v>
      </c>
      <c r="D330" t="s">
        <v>66</v>
      </c>
      <c r="E330" s="5">
        <v>4230</v>
      </c>
      <c r="F330" s="5">
        <v>4092.6</v>
      </c>
      <c r="G330" s="5">
        <v>137.4</v>
      </c>
      <c r="H330" s="5">
        <v>3.36</v>
      </c>
      <c r="I330" t="s">
        <v>20</v>
      </c>
    </row>
    <row r="331" spans="1:9" x14ac:dyDescent="0.25">
      <c r="A331" t="s">
        <v>159</v>
      </c>
      <c r="B331" t="s">
        <v>58</v>
      </c>
      <c r="C331" s="10">
        <v>350889869760597</v>
      </c>
      <c r="D331" t="s">
        <v>26</v>
      </c>
      <c r="E331" s="5">
        <v>3810.2</v>
      </c>
      <c r="F331" s="5">
        <v>3338.7</v>
      </c>
      <c r="G331" s="5">
        <v>471.5</v>
      </c>
      <c r="H331" s="5">
        <v>14.12</v>
      </c>
      <c r="I331" t="s">
        <v>20</v>
      </c>
    </row>
    <row r="332" spans="1:9" x14ac:dyDescent="0.25">
      <c r="A332" t="s">
        <v>159</v>
      </c>
      <c r="B332" t="s">
        <v>58</v>
      </c>
      <c r="C332" s="10">
        <v>350889869929234</v>
      </c>
      <c r="D332" t="s">
        <v>26</v>
      </c>
      <c r="E332" s="5">
        <v>3810.2</v>
      </c>
      <c r="F332" s="5">
        <v>3338.7</v>
      </c>
      <c r="G332" s="5">
        <v>471.5</v>
      </c>
      <c r="H332" s="5">
        <v>14.12</v>
      </c>
      <c r="I332" t="s">
        <v>20</v>
      </c>
    </row>
    <row r="333" spans="1:9" x14ac:dyDescent="0.25">
      <c r="A333" s="2" t="s">
        <v>159</v>
      </c>
      <c r="B333" s="2" t="s">
        <v>58</v>
      </c>
      <c r="C333" s="12">
        <v>351459291102484</v>
      </c>
      <c r="D333" s="2" t="s">
        <v>65</v>
      </c>
      <c r="E333" s="6">
        <v>4910</v>
      </c>
      <c r="F333" s="6">
        <v>5346.81</v>
      </c>
      <c r="G333" s="6">
        <v>-436.81</v>
      </c>
      <c r="H333" s="6">
        <v>-8.17</v>
      </c>
      <c r="I333" s="2" t="s">
        <v>70</v>
      </c>
    </row>
    <row r="334" spans="1:9" x14ac:dyDescent="0.25">
      <c r="A334" s="2" t="s">
        <v>159</v>
      </c>
      <c r="B334" s="2" t="s">
        <v>58</v>
      </c>
      <c r="C334" s="12">
        <v>351459291536186</v>
      </c>
      <c r="D334" s="2" t="s">
        <v>65</v>
      </c>
      <c r="E334" s="6">
        <v>4910</v>
      </c>
      <c r="F334" s="6">
        <v>5346.81</v>
      </c>
      <c r="G334" s="6">
        <v>-436.81</v>
      </c>
      <c r="H334" s="6">
        <v>-8.17</v>
      </c>
      <c r="I334" s="2" t="s">
        <v>70</v>
      </c>
    </row>
    <row r="335" spans="1:9" x14ac:dyDescent="0.25">
      <c r="A335" s="2" t="s">
        <v>159</v>
      </c>
      <c r="B335" s="2" t="s">
        <v>58</v>
      </c>
      <c r="C335" s="12">
        <v>351459291595174</v>
      </c>
      <c r="D335" s="2" t="s">
        <v>65</v>
      </c>
      <c r="E335" s="6">
        <v>4910</v>
      </c>
      <c r="F335" s="6">
        <v>5346.81</v>
      </c>
      <c r="G335" s="6">
        <v>-436.81</v>
      </c>
      <c r="H335" s="6">
        <v>-8.17</v>
      </c>
      <c r="I335" s="2" t="s">
        <v>70</v>
      </c>
    </row>
    <row r="336" spans="1:9" x14ac:dyDescent="0.25">
      <c r="A336" s="2" t="s">
        <v>159</v>
      </c>
      <c r="B336" s="2" t="s">
        <v>58</v>
      </c>
      <c r="C336" s="12">
        <v>351459291665647</v>
      </c>
      <c r="D336" s="2" t="s">
        <v>65</v>
      </c>
      <c r="E336" s="6">
        <v>4910</v>
      </c>
      <c r="F336" s="6">
        <v>5344.26</v>
      </c>
      <c r="G336" s="6">
        <v>-434.26</v>
      </c>
      <c r="H336" s="6">
        <v>-8.1300000000000008</v>
      </c>
      <c r="I336" s="2" t="s">
        <v>70</v>
      </c>
    </row>
    <row r="337" spans="1:9" x14ac:dyDescent="0.25">
      <c r="A337" s="2" t="s">
        <v>159</v>
      </c>
      <c r="B337" s="2" t="s">
        <v>58</v>
      </c>
      <c r="C337" s="12">
        <v>351784398818892</v>
      </c>
      <c r="D337" s="2" t="s">
        <v>65</v>
      </c>
      <c r="E337" s="6">
        <v>4910</v>
      </c>
      <c r="F337" s="6">
        <v>5344.26</v>
      </c>
      <c r="G337" s="6">
        <v>-434.26</v>
      </c>
      <c r="H337" s="6">
        <v>-8.1300000000000008</v>
      </c>
      <c r="I337" s="2" t="s">
        <v>70</v>
      </c>
    </row>
    <row r="338" spans="1:9" x14ac:dyDescent="0.25">
      <c r="A338" s="2" t="s">
        <v>159</v>
      </c>
      <c r="B338" s="2" t="s">
        <v>58</v>
      </c>
      <c r="C338" s="12">
        <v>351784398825822</v>
      </c>
      <c r="D338" s="2" t="s">
        <v>65</v>
      </c>
      <c r="E338" s="6">
        <v>4910</v>
      </c>
      <c r="F338" s="6">
        <v>5117.66</v>
      </c>
      <c r="G338" s="6">
        <v>-207.66</v>
      </c>
      <c r="H338" s="6">
        <v>-4.0599999999999996</v>
      </c>
      <c r="I338" s="2" t="s">
        <v>70</v>
      </c>
    </row>
    <row r="339" spans="1:9" x14ac:dyDescent="0.25">
      <c r="A339" s="2" t="s">
        <v>159</v>
      </c>
      <c r="B339" s="2" t="s">
        <v>58</v>
      </c>
      <c r="C339" s="12">
        <v>351784399238652</v>
      </c>
      <c r="D339" s="2" t="s">
        <v>65</v>
      </c>
      <c r="E339" s="6">
        <v>4910</v>
      </c>
      <c r="F339" s="6">
        <v>5344.26</v>
      </c>
      <c r="G339" s="6">
        <v>-434.26</v>
      </c>
      <c r="H339" s="6">
        <v>-8.1300000000000008</v>
      </c>
      <c r="I339" s="2" t="s">
        <v>70</v>
      </c>
    </row>
    <row r="340" spans="1:9" x14ac:dyDescent="0.25">
      <c r="A340" t="s">
        <v>159</v>
      </c>
      <c r="B340" t="s">
        <v>58</v>
      </c>
      <c r="C340" s="10">
        <v>353263429157560</v>
      </c>
      <c r="D340" t="s">
        <v>66</v>
      </c>
      <c r="E340" s="5">
        <v>4230</v>
      </c>
      <c r="F340" s="5">
        <v>4092.6</v>
      </c>
      <c r="G340" s="5">
        <v>137.4</v>
      </c>
      <c r="H340" s="5">
        <v>3.36</v>
      </c>
      <c r="I340" t="s">
        <v>20</v>
      </c>
    </row>
    <row r="341" spans="1:9" x14ac:dyDescent="0.25">
      <c r="A341" s="2" t="s">
        <v>159</v>
      </c>
      <c r="B341" s="2" t="s">
        <v>58</v>
      </c>
      <c r="C341" s="12">
        <v>353497852096644</v>
      </c>
      <c r="D341" s="2" t="s">
        <v>26</v>
      </c>
      <c r="E341" s="6">
        <v>3230</v>
      </c>
      <c r="F341" s="6">
        <v>3446.4</v>
      </c>
      <c r="G341" s="6">
        <v>-216.4</v>
      </c>
      <c r="H341" s="6">
        <v>-6.28</v>
      </c>
      <c r="I341" s="2" t="s">
        <v>20</v>
      </c>
    </row>
    <row r="342" spans="1:9" x14ac:dyDescent="0.25">
      <c r="A342" t="s">
        <v>159</v>
      </c>
      <c r="B342" t="s">
        <v>58</v>
      </c>
      <c r="C342" s="10">
        <v>355224259834551</v>
      </c>
      <c r="D342" t="s">
        <v>26</v>
      </c>
      <c r="E342" s="5">
        <v>3410</v>
      </c>
      <c r="F342" s="5">
        <v>3338.7</v>
      </c>
      <c r="G342" s="5">
        <v>71.3</v>
      </c>
      <c r="H342" s="5">
        <v>2.14</v>
      </c>
      <c r="I342" t="s">
        <v>20</v>
      </c>
    </row>
    <row r="343" spans="1:9" x14ac:dyDescent="0.25">
      <c r="A343" t="s">
        <v>159</v>
      </c>
      <c r="B343" t="s">
        <v>58</v>
      </c>
      <c r="C343" s="10">
        <v>355246656971413</v>
      </c>
      <c r="D343" t="s">
        <v>26</v>
      </c>
      <c r="E343" s="5">
        <v>3410</v>
      </c>
      <c r="F343" s="5">
        <v>3338.7</v>
      </c>
      <c r="G343" s="5">
        <v>71.3</v>
      </c>
      <c r="H343" s="5">
        <v>2.14</v>
      </c>
      <c r="I343" t="s">
        <v>20</v>
      </c>
    </row>
    <row r="344" spans="1:9" x14ac:dyDescent="0.25">
      <c r="A344" s="2" t="s">
        <v>159</v>
      </c>
      <c r="B344" s="2" t="s">
        <v>58</v>
      </c>
      <c r="C344" s="12">
        <v>355246659786123</v>
      </c>
      <c r="D344" s="2" t="s">
        <v>26</v>
      </c>
      <c r="E344" s="6">
        <v>3410</v>
      </c>
      <c r="F344" s="6">
        <v>3446.4</v>
      </c>
      <c r="G344" s="6">
        <v>-36.4</v>
      </c>
      <c r="H344" s="6">
        <v>-1.06</v>
      </c>
      <c r="I344" s="2" t="s">
        <v>20</v>
      </c>
    </row>
    <row r="345" spans="1:9" x14ac:dyDescent="0.25">
      <c r="A345" s="2" t="s">
        <v>159</v>
      </c>
      <c r="B345" s="2" t="s">
        <v>58</v>
      </c>
      <c r="C345" s="12">
        <v>356392240109232</v>
      </c>
      <c r="D345" s="2" t="s">
        <v>15</v>
      </c>
      <c r="E345" s="6">
        <v>3410</v>
      </c>
      <c r="F345" s="6">
        <v>3500</v>
      </c>
      <c r="G345" s="6">
        <v>-90</v>
      </c>
      <c r="H345" s="6">
        <v>-2.57</v>
      </c>
      <c r="I345" s="2" t="s">
        <v>39</v>
      </c>
    </row>
    <row r="346" spans="1:9" x14ac:dyDescent="0.25">
      <c r="A346" s="2" t="s">
        <v>159</v>
      </c>
      <c r="B346" s="2" t="s">
        <v>58</v>
      </c>
      <c r="C346" s="12">
        <v>356722737206218</v>
      </c>
      <c r="D346" s="2" t="s">
        <v>65</v>
      </c>
      <c r="E346" s="6">
        <v>4910</v>
      </c>
      <c r="F346" s="6">
        <v>5346.81</v>
      </c>
      <c r="G346" s="6">
        <v>-436.81</v>
      </c>
      <c r="H346" s="6">
        <v>-8.17</v>
      </c>
      <c r="I346" s="2" t="s">
        <v>70</v>
      </c>
    </row>
    <row r="347" spans="1:9" x14ac:dyDescent="0.25">
      <c r="A347" s="2" t="s">
        <v>159</v>
      </c>
      <c r="B347" s="2" t="s">
        <v>58</v>
      </c>
      <c r="C347" s="12">
        <v>356722738064210</v>
      </c>
      <c r="D347" s="2" t="s">
        <v>65</v>
      </c>
      <c r="E347" s="6">
        <v>4910</v>
      </c>
      <c r="F347" s="6">
        <v>5346.81</v>
      </c>
      <c r="G347" s="6">
        <v>-436.81</v>
      </c>
      <c r="H347" s="6">
        <v>-8.17</v>
      </c>
      <c r="I347" s="2" t="s">
        <v>70</v>
      </c>
    </row>
    <row r="348" spans="1:9" x14ac:dyDescent="0.25">
      <c r="A348" s="2" t="s">
        <v>159</v>
      </c>
      <c r="B348" s="2" t="s">
        <v>58</v>
      </c>
      <c r="C348" s="12">
        <v>356722738303972</v>
      </c>
      <c r="D348" s="2" t="s">
        <v>65</v>
      </c>
      <c r="E348" s="6">
        <v>4910</v>
      </c>
      <c r="F348" s="6">
        <v>5346.81</v>
      </c>
      <c r="G348" s="6">
        <v>-436.81</v>
      </c>
      <c r="H348" s="6">
        <v>-8.17</v>
      </c>
      <c r="I348" s="2" t="s">
        <v>70</v>
      </c>
    </row>
    <row r="349" spans="1:9" x14ac:dyDescent="0.25">
      <c r="A349" s="2" t="s">
        <v>159</v>
      </c>
      <c r="B349" s="2" t="s">
        <v>58</v>
      </c>
      <c r="C349" s="12">
        <v>356722738763399</v>
      </c>
      <c r="D349" s="2" t="s">
        <v>65</v>
      </c>
      <c r="E349" s="6">
        <v>4910</v>
      </c>
      <c r="F349" s="6">
        <v>5346.81</v>
      </c>
      <c r="G349" s="6">
        <v>-436.81</v>
      </c>
      <c r="H349" s="6">
        <v>-8.17</v>
      </c>
      <c r="I349" s="2" t="s">
        <v>70</v>
      </c>
    </row>
    <row r="350" spans="1:9" x14ac:dyDescent="0.25">
      <c r="A350" s="2" t="s">
        <v>159</v>
      </c>
      <c r="B350" s="2" t="s">
        <v>58</v>
      </c>
      <c r="C350" s="12">
        <v>356722739522968</v>
      </c>
      <c r="D350" s="2" t="s">
        <v>65</v>
      </c>
      <c r="E350" s="6">
        <v>4910</v>
      </c>
      <c r="F350" s="6">
        <v>5117.66</v>
      </c>
      <c r="G350" s="6">
        <v>-207.66</v>
      </c>
      <c r="H350" s="6">
        <v>-4.0599999999999996</v>
      </c>
      <c r="I350" s="2" t="s">
        <v>70</v>
      </c>
    </row>
    <row r="351" spans="1:9" x14ac:dyDescent="0.25">
      <c r="A351" s="2" t="s">
        <v>159</v>
      </c>
      <c r="B351" s="2" t="s">
        <v>58</v>
      </c>
      <c r="C351" s="12">
        <v>356722739928744</v>
      </c>
      <c r="D351" s="2" t="s">
        <v>65</v>
      </c>
      <c r="E351" s="6">
        <v>4910</v>
      </c>
      <c r="F351" s="6">
        <v>5346.81</v>
      </c>
      <c r="G351" s="6">
        <v>-436.81</v>
      </c>
      <c r="H351" s="6">
        <v>-8.17</v>
      </c>
      <c r="I351" s="2" t="s">
        <v>70</v>
      </c>
    </row>
    <row r="352" spans="1:9" x14ac:dyDescent="0.25">
      <c r="A352" s="2" t="s">
        <v>159</v>
      </c>
      <c r="B352" s="2" t="s">
        <v>58</v>
      </c>
      <c r="C352" s="12">
        <v>356722739939089</v>
      </c>
      <c r="D352" s="2" t="s">
        <v>65</v>
      </c>
      <c r="E352" s="6">
        <v>4910</v>
      </c>
      <c r="F352" s="6">
        <v>5344.26</v>
      </c>
      <c r="G352" s="6">
        <v>-434.26</v>
      </c>
      <c r="H352" s="6">
        <v>-8.1300000000000008</v>
      </c>
      <c r="I352" s="2" t="s">
        <v>70</v>
      </c>
    </row>
    <row r="353" spans="1:9" x14ac:dyDescent="0.25">
      <c r="A353" s="2" t="s">
        <v>159</v>
      </c>
      <c r="B353" s="2" t="s">
        <v>58</v>
      </c>
      <c r="C353" s="12">
        <v>356908919081699</v>
      </c>
      <c r="D353" s="2" t="s">
        <v>65</v>
      </c>
      <c r="E353" s="6">
        <v>4910</v>
      </c>
      <c r="F353" s="6">
        <v>5346.81</v>
      </c>
      <c r="G353" s="6">
        <v>-436.81</v>
      </c>
      <c r="H353" s="6">
        <v>-8.17</v>
      </c>
      <c r="I353" s="2" t="s">
        <v>70</v>
      </c>
    </row>
    <row r="354" spans="1:9" x14ac:dyDescent="0.25">
      <c r="A354" s="2" t="s">
        <v>159</v>
      </c>
      <c r="B354" s="2" t="s">
        <v>58</v>
      </c>
      <c r="C354" s="12">
        <v>356908919535272</v>
      </c>
      <c r="D354" s="2" t="s">
        <v>65</v>
      </c>
      <c r="E354" s="6">
        <v>4910</v>
      </c>
      <c r="F354" s="6">
        <v>5346.81</v>
      </c>
      <c r="G354" s="6">
        <v>-436.81</v>
      </c>
      <c r="H354" s="6">
        <v>-8.17</v>
      </c>
      <c r="I354" s="2" t="s">
        <v>70</v>
      </c>
    </row>
    <row r="355" spans="1:9" x14ac:dyDescent="0.25">
      <c r="A355" t="s">
        <v>159</v>
      </c>
      <c r="B355" t="s">
        <v>58</v>
      </c>
      <c r="C355" s="10">
        <v>357329444317814</v>
      </c>
      <c r="D355" t="s">
        <v>66</v>
      </c>
      <c r="E355" s="5">
        <v>4230</v>
      </c>
      <c r="F355" s="5">
        <v>4092.6</v>
      </c>
      <c r="G355" s="5">
        <v>137.4</v>
      </c>
      <c r="H355" s="5">
        <v>3.36</v>
      </c>
      <c r="I355" t="s">
        <v>20</v>
      </c>
    </row>
    <row r="356" spans="1:9" x14ac:dyDescent="0.25">
      <c r="A356" t="s">
        <v>159</v>
      </c>
      <c r="B356" t="s">
        <v>58</v>
      </c>
      <c r="C356" s="10">
        <v>357329444404208</v>
      </c>
      <c r="D356" t="s">
        <v>26</v>
      </c>
      <c r="E356" s="5">
        <v>3610</v>
      </c>
      <c r="F356" s="5">
        <v>3446.4</v>
      </c>
      <c r="G356" s="5">
        <v>163.6</v>
      </c>
      <c r="H356" s="5">
        <v>4.75</v>
      </c>
      <c r="I356" t="s">
        <v>20</v>
      </c>
    </row>
    <row r="357" spans="1:9" x14ac:dyDescent="0.25">
      <c r="A357" t="s">
        <v>159</v>
      </c>
      <c r="B357" t="s">
        <v>58</v>
      </c>
      <c r="C357" s="10">
        <v>357329444500310</v>
      </c>
      <c r="D357" t="s">
        <v>26</v>
      </c>
      <c r="E357" s="5">
        <v>3410</v>
      </c>
      <c r="F357" s="5">
        <v>3338.7</v>
      </c>
      <c r="G357" s="5">
        <v>71.3</v>
      </c>
      <c r="H357" s="5">
        <v>2.14</v>
      </c>
      <c r="I357" t="s">
        <v>20</v>
      </c>
    </row>
    <row r="358" spans="1:9" x14ac:dyDescent="0.25">
      <c r="A358" t="s">
        <v>159</v>
      </c>
      <c r="B358" t="s">
        <v>58</v>
      </c>
      <c r="C358" s="10">
        <v>357329444659058</v>
      </c>
      <c r="D358" t="s">
        <v>26</v>
      </c>
      <c r="E358" s="5">
        <v>3610</v>
      </c>
      <c r="F358" s="5">
        <v>3446.4</v>
      </c>
      <c r="G358" s="5">
        <v>163.6</v>
      </c>
      <c r="H358" s="5">
        <v>4.75</v>
      </c>
      <c r="I358" t="s">
        <v>20</v>
      </c>
    </row>
    <row r="359" spans="1:9" x14ac:dyDescent="0.25">
      <c r="A359" t="s">
        <v>159</v>
      </c>
      <c r="B359" t="s">
        <v>58</v>
      </c>
      <c r="C359" s="10">
        <v>357329444694014</v>
      </c>
      <c r="D359" t="s">
        <v>26</v>
      </c>
      <c r="E359" s="5">
        <v>3610</v>
      </c>
      <c r="F359" s="5">
        <v>3446.4</v>
      </c>
      <c r="G359" s="5">
        <v>163.6</v>
      </c>
      <c r="H359" s="5">
        <v>4.75</v>
      </c>
      <c r="I359" t="s">
        <v>20</v>
      </c>
    </row>
    <row r="360" spans="1:9" x14ac:dyDescent="0.25">
      <c r="A360" t="s">
        <v>159</v>
      </c>
      <c r="B360" t="s">
        <v>58</v>
      </c>
      <c r="C360" s="10">
        <v>357329444760500</v>
      </c>
      <c r="D360" t="s">
        <v>26</v>
      </c>
      <c r="E360" s="5">
        <v>3410</v>
      </c>
      <c r="F360" s="5">
        <v>3338.7</v>
      </c>
      <c r="G360" s="5">
        <v>71.3</v>
      </c>
      <c r="H360" s="5">
        <v>2.14</v>
      </c>
      <c r="I360" t="s">
        <v>20</v>
      </c>
    </row>
    <row r="361" spans="1:9" x14ac:dyDescent="0.25">
      <c r="A361" s="2" t="s">
        <v>159</v>
      </c>
      <c r="B361" s="2" t="s">
        <v>58</v>
      </c>
      <c r="C361" s="12">
        <v>357739169838531</v>
      </c>
      <c r="D361" s="2" t="s">
        <v>65</v>
      </c>
      <c r="E361" s="6">
        <v>4910</v>
      </c>
      <c r="F361" s="6">
        <v>5344.26</v>
      </c>
      <c r="G361" s="6">
        <v>-434.26</v>
      </c>
      <c r="H361" s="6">
        <v>-8.1300000000000008</v>
      </c>
      <c r="I361" s="2" t="s">
        <v>70</v>
      </c>
    </row>
    <row r="362" spans="1:9" x14ac:dyDescent="0.25">
      <c r="A362" s="2" t="s">
        <v>159</v>
      </c>
      <c r="B362" s="2" t="s">
        <v>58</v>
      </c>
      <c r="C362" s="12">
        <v>359392240174970</v>
      </c>
      <c r="D362" s="2" t="s">
        <v>15</v>
      </c>
      <c r="E362" s="6">
        <v>3410</v>
      </c>
      <c r="F362" s="6">
        <v>3500</v>
      </c>
      <c r="G362" s="6">
        <v>-90</v>
      </c>
      <c r="H362" s="6">
        <v>-2.57</v>
      </c>
      <c r="I362" s="2" t="s">
        <v>39</v>
      </c>
    </row>
    <row r="363" spans="1:9" x14ac:dyDescent="0.25">
      <c r="A363" t="s">
        <v>159</v>
      </c>
      <c r="B363" t="s">
        <v>58</v>
      </c>
      <c r="C363" s="10">
        <v>359614548053847</v>
      </c>
      <c r="D363" t="s">
        <v>26</v>
      </c>
      <c r="E363" s="5">
        <v>3610</v>
      </c>
      <c r="F363" s="5">
        <v>3266.9</v>
      </c>
      <c r="G363" s="5">
        <v>343.1</v>
      </c>
      <c r="H363" s="5">
        <v>10.5</v>
      </c>
      <c r="I363" t="s">
        <v>20</v>
      </c>
    </row>
    <row r="364" spans="1:9" x14ac:dyDescent="0.25">
      <c r="A364" t="s">
        <v>159</v>
      </c>
      <c r="B364" t="s">
        <v>58</v>
      </c>
      <c r="C364" s="10">
        <v>359614548237234</v>
      </c>
      <c r="D364" t="s">
        <v>26</v>
      </c>
      <c r="E364" s="5">
        <v>3610</v>
      </c>
      <c r="F364" s="5">
        <v>3266.9</v>
      </c>
      <c r="G364" s="5">
        <v>343.1</v>
      </c>
      <c r="H364" s="5">
        <v>10.5</v>
      </c>
      <c r="I364" t="s">
        <v>20</v>
      </c>
    </row>
    <row r="365" spans="1:9" x14ac:dyDescent="0.25">
      <c r="A365" t="s">
        <v>159</v>
      </c>
      <c r="B365" t="s">
        <v>58</v>
      </c>
      <c r="C365" s="10">
        <v>359814712090548</v>
      </c>
      <c r="D365" t="s">
        <v>15</v>
      </c>
      <c r="E365" s="5">
        <v>3290</v>
      </c>
      <c r="F365" s="5">
        <v>3266.9</v>
      </c>
      <c r="G365" s="5">
        <v>23.1</v>
      </c>
      <c r="H365" s="5">
        <v>0.71</v>
      </c>
      <c r="I365" t="s">
        <v>20</v>
      </c>
    </row>
    <row r="366" spans="1:9" x14ac:dyDescent="0.25">
      <c r="A366" t="s">
        <v>159</v>
      </c>
      <c r="B366" t="s">
        <v>58</v>
      </c>
      <c r="C366" s="10">
        <v>359814713965672</v>
      </c>
      <c r="D366" t="s">
        <v>15</v>
      </c>
      <c r="E366" s="5">
        <v>4126.58</v>
      </c>
      <c r="F366" s="5">
        <v>3446.4</v>
      </c>
      <c r="G366" s="5">
        <v>680.18</v>
      </c>
      <c r="H366" s="5">
        <v>19.739999999999998</v>
      </c>
      <c r="I366" t="s">
        <v>20</v>
      </c>
    </row>
    <row r="367" spans="1:9" x14ac:dyDescent="0.25">
      <c r="A367" t="s">
        <v>159</v>
      </c>
      <c r="B367" t="s">
        <v>269</v>
      </c>
      <c r="C367" s="10" t="s">
        <v>270</v>
      </c>
      <c r="D367" t="s">
        <v>15</v>
      </c>
      <c r="E367" s="5">
        <v>3100</v>
      </c>
      <c r="F367" s="5">
        <v>2656.6</v>
      </c>
      <c r="G367" s="5">
        <v>443.4</v>
      </c>
      <c r="H367" s="5">
        <v>16.690000000000001</v>
      </c>
      <c r="I367" t="s">
        <v>20</v>
      </c>
    </row>
    <row r="368" spans="1:9" x14ac:dyDescent="0.25">
      <c r="A368" t="s">
        <v>159</v>
      </c>
      <c r="B368" t="s">
        <v>271</v>
      </c>
      <c r="C368" s="10" t="s">
        <v>272</v>
      </c>
      <c r="D368" t="s">
        <v>15</v>
      </c>
      <c r="E368" s="5">
        <v>4650</v>
      </c>
      <c r="F368" s="5">
        <v>3966.95</v>
      </c>
      <c r="G368" s="5">
        <v>683.05</v>
      </c>
      <c r="H368" s="5">
        <v>17.22</v>
      </c>
      <c r="I368" t="s">
        <v>20</v>
      </c>
    </row>
    <row r="369" spans="1:9" x14ac:dyDescent="0.25">
      <c r="A369" t="s">
        <v>159</v>
      </c>
      <c r="B369" t="s">
        <v>273</v>
      </c>
      <c r="C369" s="10" t="s">
        <v>274</v>
      </c>
      <c r="D369" t="s">
        <v>15</v>
      </c>
      <c r="E369" s="5">
        <v>1670</v>
      </c>
      <c r="F369" s="5">
        <v>1521.5</v>
      </c>
      <c r="G369" s="5">
        <v>148.5</v>
      </c>
      <c r="H369" s="5">
        <v>9.76</v>
      </c>
      <c r="I369" t="s">
        <v>20</v>
      </c>
    </row>
    <row r="370" spans="1:9" x14ac:dyDescent="0.25">
      <c r="A370" t="s">
        <v>159</v>
      </c>
      <c r="B370" t="s">
        <v>273</v>
      </c>
      <c r="C370" s="10" t="s">
        <v>275</v>
      </c>
      <c r="D370" t="s">
        <v>15</v>
      </c>
      <c r="E370" s="5">
        <v>1670</v>
      </c>
      <c r="F370" s="5">
        <v>1521.5</v>
      </c>
      <c r="G370" s="5">
        <v>148.5</v>
      </c>
      <c r="H370" s="5">
        <v>9.76</v>
      </c>
      <c r="I370" t="s">
        <v>20</v>
      </c>
    </row>
    <row r="371" spans="1:9" x14ac:dyDescent="0.25">
      <c r="A371" t="s">
        <v>159</v>
      </c>
      <c r="B371" t="s">
        <v>273</v>
      </c>
      <c r="C371" s="10" t="s">
        <v>276</v>
      </c>
      <c r="D371" t="s">
        <v>15</v>
      </c>
      <c r="E371" s="5">
        <v>1670</v>
      </c>
      <c r="F371" s="5">
        <v>1521.5</v>
      </c>
      <c r="G371" s="5">
        <v>148.5</v>
      </c>
      <c r="H371" s="5">
        <v>9.76</v>
      </c>
      <c r="I371" t="s">
        <v>20</v>
      </c>
    </row>
    <row r="372" spans="1:9" x14ac:dyDescent="0.25">
      <c r="A372" t="s">
        <v>159</v>
      </c>
      <c r="B372" t="s">
        <v>273</v>
      </c>
      <c r="C372" s="10" t="s">
        <v>277</v>
      </c>
      <c r="D372" t="s">
        <v>15</v>
      </c>
      <c r="E372" s="5">
        <v>1670</v>
      </c>
      <c r="F372" s="5">
        <v>1521.5</v>
      </c>
      <c r="G372" s="5">
        <v>148.5</v>
      </c>
      <c r="H372" s="5">
        <v>9.76</v>
      </c>
      <c r="I372" t="s">
        <v>20</v>
      </c>
    </row>
    <row r="373" spans="1:9" x14ac:dyDescent="0.25">
      <c r="A373" t="s">
        <v>159</v>
      </c>
      <c r="B373" t="s">
        <v>273</v>
      </c>
      <c r="C373" s="10" t="s">
        <v>278</v>
      </c>
      <c r="D373" t="s">
        <v>15</v>
      </c>
      <c r="E373" s="5">
        <v>1670</v>
      </c>
      <c r="F373" s="5">
        <v>1521.5</v>
      </c>
      <c r="G373" s="5">
        <v>148.5</v>
      </c>
      <c r="H373" s="5">
        <v>9.76</v>
      </c>
      <c r="I373" t="s">
        <v>20</v>
      </c>
    </row>
    <row r="374" spans="1:9" x14ac:dyDescent="0.25">
      <c r="A374" t="s">
        <v>159</v>
      </c>
      <c r="B374" t="s">
        <v>273</v>
      </c>
      <c r="C374" s="10" t="s">
        <v>279</v>
      </c>
      <c r="D374" t="s">
        <v>15</v>
      </c>
      <c r="E374" s="5">
        <v>1670</v>
      </c>
      <c r="F374" s="5">
        <v>1521.5</v>
      </c>
      <c r="G374" s="5">
        <v>148.5</v>
      </c>
      <c r="H374" s="5">
        <v>9.76</v>
      </c>
      <c r="I374" t="s">
        <v>20</v>
      </c>
    </row>
    <row r="375" spans="1:9" x14ac:dyDescent="0.25">
      <c r="A375" t="s">
        <v>159</v>
      </c>
      <c r="B375" t="s">
        <v>273</v>
      </c>
      <c r="C375" s="10" t="s">
        <v>280</v>
      </c>
      <c r="D375" t="s">
        <v>15</v>
      </c>
      <c r="E375" s="5">
        <v>1670</v>
      </c>
      <c r="F375" s="5">
        <v>1521.5</v>
      </c>
      <c r="G375" s="5">
        <v>148.5</v>
      </c>
      <c r="H375" s="5">
        <v>9.76</v>
      </c>
      <c r="I375" t="s">
        <v>20</v>
      </c>
    </row>
    <row r="376" spans="1:9" x14ac:dyDescent="0.25">
      <c r="A376" t="s">
        <v>159</v>
      </c>
      <c r="B376" t="s">
        <v>273</v>
      </c>
      <c r="C376" s="10" t="s">
        <v>281</v>
      </c>
      <c r="D376" t="s">
        <v>15</v>
      </c>
      <c r="E376" s="5">
        <v>1670</v>
      </c>
      <c r="F376" s="5">
        <v>1521.5</v>
      </c>
      <c r="G376" s="5">
        <v>148.5</v>
      </c>
      <c r="H376" s="5">
        <v>9.76</v>
      </c>
      <c r="I376" t="s">
        <v>20</v>
      </c>
    </row>
    <row r="377" spans="1:9" x14ac:dyDescent="0.25">
      <c r="A377" t="s">
        <v>159</v>
      </c>
      <c r="B377" t="s">
        <v>273</v>
      </c>
      <c r="C377" s="10" t="s">
        <v>282</v>
      </c>
      <c r="D377" t="s">
        <v>15</v>
      </c>
      <c r="E377" s="5">
        <v>1670</v>
      </c>
      <c r="F377" s="5">
        <v>1521.5</v>
      </c>
      <c r="G377" s="5">
        <v>148.5</v>
      </c>
      <c r="H377" s="5">
        <v>9.76</v>
      </c>
      <c r="I377" t="s">
        <v>20</v>
      </c>
    </row>
    <row r="378" spans="1:9" x14ac:dyDescent="0.25">
      <c r="A378" t="s">
        <v>159</v>
      </c>
      <c r="B378" t="s">
        <v>273</v>
      </c>
      <c r="C378" s="10" t="s">
        <v>283</v>
      </c>
      <c r="D378" t="s">
        <v>15</v>
      </c>
      <c r="E378" s="5">
        <v>1670</v>
      </c>
      <c r="F378" s="5">
        <v>1525.75</v>
      </c>
      <c r="G378" s="5">
        <v>144.25</v>
      </c>
      <c r="H378" s="5">
        <v>9.4499999999999993</v>
      </c>
      <c r="I378" t="s">
        <v>20</v>
      </c>
    </row>
    <row r="379" spans="1:9" x14ac:dyDescent="0.25">
      <c r="A379" t="s">
        <v>159</v>
      </c>
      <c r="B379" t="s">
        <v>273</v>
      </c>
      <c r="C379" s="10" t="s">
        <v>284</v>
      </c>
      <c r="D379" t="s">
        <v>15</v>
      </c>
      <c r="E379" s="5">
        <v>1670</v>
      </c>
      <c r="F379" s="5">
        <v>1521.5</v>
      </c>
      <c r="G379" s="5">
        <v>148.5</v>
      </c>
      <c r="H379" s="5">
        <v>9.76</v>
      </c>
      <c r="I379" t="s">
        <v>20</v>
      </c>
    </row>
    <row r="380" spans="1:9" x14ac:dyDescent="0.25">
      <c r="A380" t="s">
        <v>159</v>
      </c>
      <c r="B380" t="s">
        <v>273</v>
      </c>
      <c r="C380" s="10" t="s">
        <v>285</v>
      </c>
      <c r="D380" t="s">
        <v>15</v>
      </c>
      <c r="E380" s="5">
        <v>1670</v>
      </c>
      <c r="F380" s="5">
        <v>1521.5</v>
      </c>
      <c r="G380" s="5">
        <v>148.5</v>
      </c>
      <c r="H380" s="5">
        <v>9.76</v>
      </c>
      <c r="I380" t="s">
        <v>20</v>
      </c>
    </row>
    <row r="381" spans="1:9" x14ac:dyDescent="0.25">
      <c r="A381" t="s">
        <v>159</v>
      </c>
      <c r="B381" t="s">
        <v>273</v>
      </c>
      <c r="C381" s="10" t="s">
        <v>286</v>
      </c>
      <c r="D381" t="s">
        <v>15</v>
      </c>
      <c r="E381" s="5">
        <v>1670</v>
      </c>
      <c r="F381" s="5">
        <v>1521.5</v>
      </c>
      <c r="G381" s="5">
        <v>148.5</v>
      </c>
      <c r="H381" s="5">
        <v>9.76</v>
      </c>
      <c r="I381" t="s">
        <v>20</v>
      </c>
    </row>
    <row r="382" spans="1:9" x14ac:dyDescent="0.25">
      <c r="A382" t="s">
        <v>159</v>
      </c>
      <c r="B382" t="s">
        <v>273</v>
      </c>
      <c r="C382" s="10" t="s">
        <v>287</v>
      </c>
      <c r="D382" t="s">
        <v>15</v>
      </c>
      <c r="E382" s="5">
        <v>1670</v>
      </c>
      <c r="F382" s="5">
        <v>1525.75</v>
      </c>
      <c r="G382" s="5">
        <v>144.25</v>
      </c>
      <c r="H382" s="5">
        <v>9.4499999999999993</v>
      </c>
      <c r="I382" t="s">
        <v>20</v>
      </c>
    </row>
    <row r="383" spans="1:9" x14ac:dyDescent="0.25">
      <c r="A383" t="s">
        <v>159</v>
      </c>
      <c r="B383" t="s">
        <v>273</v>
      </c>
      <c r="C383" s="10" t="s">
        <v>288</v>
      </c>
      <c r="D383" t="s">
        <v>15</v>
      </c>
      <c r="E383" s="5">
        <v>1670</v>
      </c>
      <c r="F383" s="5">
        <v>1521.5</v>
      </c>
      <c r="G383" s="5">
        <v>148.5</v>
      </c>
      <c r="H383" s="5">
        <v>9.76</v>
      </c>
      <c r="I383" t="s">
        <v>20</v>
      </c>
    </row>
    <row r="384" spans="1:9" x14ac:dyDescent="0.25">
      <c r="A384" t="s">
        <v>159</v>
      </c>
      <c r="B384" t="s">
        <v>293</v>
      </c>
      <c r="C384" s="10" t="s">
        <v>294</v>
      </c>
      <c r="D384" t="s">
        <v>15</v>
      </c>
      <c r="E384" s="5">
        <v>910</v>
      </c>
      <c r="F384" s="5">
        <v>628.25</v>
      </c>
      <c r="G384" s="5">
        <v>281.75</v>
      </c>
      <c r="H384" s="5">
        <v>44.85</v>
      </c>
      <c r="I384" t="s">
        <v>20</v>
      </c>
    </row>
    <row r="385" spans="1:9" x14ac:dyDescent="0.25">
      <c r="A385" t="s">
        <v>159</v>
      </c>
      <c r="B385" t="s">
        <v>295</v>
      </c>
      <c r="C385" s="10" t="s">
        <v>296</v>
      </c>
      <c r="D385" t="s">
        <v>15</v>
      </c>
      <c r="E385" s="5">
        <v>1330</v>
      </c>
      <c r="F385" s="5">
        <v>1256.5</v>
      </c>
      <c r="G385" s="5">
        <v>73.5</v>
      </c>
      <c r="H385" s="5">
        <v>5.85</v>
      </c>
      <c r="I385" t="s">
        <v>20</v>
      </c>
    </row>
    <row r="386" spans="1:9" x14ac:dyDescent="0.25">
      <c r="A386" t="s">
        <v>159</v>
      </c>
      <c r="B386" t="s">
        <v>297</v>
      </c>
      <c r="C386" s="10" t="s">
        <v>298</v>
      </c>
      <c r="D386" t="s">
        <v>15</v>
      </c>
      <c r="E386" s="5">
        <v>4</v>
      </c>
      <c r="F386" s="5">
        <v>4</v>
      </c>
      <c r="G386" s="5">
        <v>0</v>
      </c>
      <c r="H386" s="5">
        <v>0</v>
      </c>
      <c r="I386" t="s">
        <v>299</v>
      </c>
    </row>
    <row r="387" spans="1:9" x14ac:dyDescent="0.25">
      <c r="A387" t="s">
        <v>159</v>
      </c>
      <c r="B387" t="s">
        <v>300</v>
      </c>
      <c r="C387" s="10" t="s">
        <v>301</v>
      </c>
      <c r="D387" t="s">
        <v>15</v>
      </c>
      <c r="E387" s="5">
        <v>2500</v>
      </c>
      <c r="F387" s="5">
        <v>2225.8000000000002</v>
      </c>
      <c r="G387" s="5">
        <v>274.2</v>
      </c>
      <c r="H387" s="5">
        <v>12.32</v>
      </c>
      <c r="I387" t="s">
        <v>20</v>
      </c>
    </row>
    <row r="388" spans="1:9" x14ac:dyDescent="0.25">
      <c r="A388" t="s">
        <v>159</v>
      </c>
      <c r="B388" t="s">
        <v>300</v>
      </c>
      <c r="C388" s="10" t="s">
        <v>302</v>
      </c>
      <c r="D388" t="s">
        <v>15</v>
      </c>
      <c r="E388" s="5">
        <v>2500</v>
      </c>
      <c r="F388" s="5">
        <v>2225.8000000000002</v>
      </c>
      <c r="G388" s="5">
        <v>274.2</v>
      </c>
      <c r="H388" s="5">
        <v>12.32</v>
      </c>
      <c r="I388" t="s">
        <v>20</v>
      </c>
    </row>
    <row r="389" spans="1:9" x14ac:dyDescent="0.25">
      <c r="A389" t="s">
        <v>159</v>
      </c>
      <c r="B389" t="s">
        <v>300</v>
      </c>
      <c r="C389" s="10" t="s">
        <v>303</v>
      </c>
      <c r="D389" t="s">
        <v>15</v>
      </c>
      <c r="E389" s="5">
        <v>2500</v>
      </c>
      <c r="F389" s="5">
        <v>2225.8000000000002</v>
      </c>
      <c r="G389" s="5">
        <v>274.2</v>
      </c>
      <c r="H389" s="5">
        <v>12.32</v>
      </c>
      <c r="I389" t="s">
        <v>20</v>
      </c>
    </row>
    <row r="390" spans="1:9" x14ac:dyDescent="0.25">
      <c r="A390" t="s">
        <v>304</v>
      </c>
      <c r="B390" t="s">
        <v>68</v>
      </c>
      <c r="C390" s="10" t="s">
        <v>305</v>
      </c>
      <c r="D390" t="s">
        <v>15</v>
      </c>
      <c r="E390" s="5">
        <v>635</v>
      </c>
      <c r="F390" s="5">
        <v>633.88</v>
      </c>
      <c r="G390" s="5">
        <v>1.1200000000000001</v>
      </c>
      <c r="H390" s="5">
        <v>0.18</v>
      </c>
      <c r="I390" t="s">
        <v>16</v>
      </c>
    </row>
    <row r="391" spans="1:9" x14ac:dyDescent="0.25">
      <c r="A391" t="s">
        <v>304</v>
      </c>
      <c r="B391" t="s">
        <v>68</v>
      </c>
      <c r="C391" s="10" t="s">
        <v>306</v>
      </c>
      <c r="D391" t="s">
        <v>15</v>
      </c>
      <c r="E391" s="5">
        <v>635</v>
      </c>
      <c r="F391" s="5">
        <v>633.88</v>
      </c>
      <c r="G391" s="5">
        <v>1.1200000000000001</v>
      </c>
      <c r="H391" s="5">
        <v>0.18</v>
      </c>
      <c r="I391" t="s">
        <v>16</v>
      </c>
    </row>
    <row r="392" spans="1:9" x14ac:dyDescent="0.25">
      <c r="A392" t="s">
        <v>304</v>
      </c>
      <c r="B392" t="s">
        <v>68</v>
      </c>
      <c r="C392" s="10" t="s">
        <v>307</v>
      </c>
      <c r="D392" t="s">
        <v>15</v>
      </c>
      <c r="E392" s="5">
        <v>635</v>
      </c>
      <c r="F392" s="5">
        <v>633.88</v>
      </c>
      <c r="G392" s="5">
        <v>1.1200000000000001</v>
      </c>
      <c r="H392" s="5">
        <v>0.18</v>
      </c>
      <c r="I392" t="s">
        <v>16</v>
      </c>
    </row>
    <row r="393" spans="1:9" x14ac:dyDescent="0.25">
      <c r="A393" t="s">
        <v>304</v>
      </c>
      <c r="B393" t="s">
        <v>68</v>
      </c>
      <c r="C393" s="10" t="s">
        <v>308</v>
      </c>
      <c r="D393" t="s">
        <v>15</v>
      </c>
      <c r="E393" s="5">
        <v>635</v>
      </c>
      <c r="F393" s="5">
        <v>633.88</v>
      </c>
      <c r="G393" s="5">
        <v>1.1200000000000001</v>
      </c>
      <c r="H393" s="5">
        <v>0.18</v>
      </c>
      <c r="I393" t="s">
        <v>16</v>
      </c>
    </row>
    <row r="394" spans="1:9" x14ac:dyDescent="0.25">
      <c r="A394" t="s">
        <v>304</v>
      </c>
      <c r="B394" t="s">
        <v>68</v>
      </c>
      <c r="C394" s="10" t="s">
        <v>309</v>
      </c>
      <c r="D394" t="s">
        <v>15</v>
      </c>
      <c r="E394" s="5">
        <v>635</v>
      </c>
      <c r="F394" s="5">
        <v>633.88</v>
      </c>
      <c r="G394" s="5">
        <v>1.1200000000000001</v>
      </c>
      <c r="H394" s="5">
        <v>0.18</v>
      </c>
      <c r="I394" t="s">
        <v>16</v>
      </c>
    </row>
    <row r="395" spans="1:9" x14ac:dyDescent="0.25">
      <c r="A395" t="s">
        <v>304</v>
      </c>
      <c r="B395" t="s">
        <v>68</v>
      </c>
      <c r="C395" s="10" t="s">
        <v>310</v>
      </c>
      <c r="D395" t="s">
        <v>15</v>
      </c>
      <c r="E395" s="5">
        <v>635</v>
      </c>
      <c r="F395" s="5">
        <v>633.88</v>
      </c>
      <c r="G395" s="5">
        <v>1.1200000000000001</v>
      </c>
      <c r="H395" s="5">
        <v>0.18</v>
      </c>
      <c r="I395" t="s">
        <v>16</v>
      </c>
    </row>
    <row r="396" spans="1:9" x14ac:dyDescent="0.25">
      <c r="A396" t="s">
        <v>304</v>
      </c>
      <c r="B396" t="s">
        <v>68</v>
      </c>
      <c r="C396" s="10" t="s">
        <v>311</v>
      </c>
      <c r="D396" t="s">
        <v>15</v>
      </c>
      <c r="E396" s="5">
        <v>635</v>
      </c>
      <c r="F396" s="5">
        <v>633.88</v>
      </c>
      <c r="G396" s="5">
        <v>1.1200000000000001</v>
      </c>
      <c r="H396" s="5">
        <v>0.18</v>
      </c>
      <c r="I396" t="s">
        <v>16</v>
      </c>
    </row>
    <row r="397" spans="1:9" x14ac:dyDescent="0.25">
      <c r="A397" t="s">
        <v>304</v>
      </c>
      <c r="B397" t="s">
        <v>68</v>
      </c>
      <c r="C397" s="10" t="s">
        <v>312</v>
      </c>
      <c r="D397" t="s">
        <v>15</v>
      </c>
      <c r="E397" s="5">
        <v>635</v>
      </c>
      <c r="F397" s="5">
        <v>633.88</v>
      </c>
      <c r="G397" s="5">
        <v>1.1200000000000001</v>
      </c>
      <c r="H397" s="5">
        <v>0.18</v>
      </c>
      <c r="I397" t="s">
        <v>16</v>
      </c>
    </row>
    <row r="398" spans="1:9" x14ac:dyDescent="0.25">
      <c r="A398" t="s">
        <v>304</v>
      </c>
      <c r="B398" t="s">
        <v>68</v>
      </c>
      <c r="C398" s="10" t="s">
        <v>313</v>
      </c>
      <c r="D398" t="s">
        <v>15</v>
      </c>
      <c r="E398" s="5">
        <v>635</v>
      </c>
      <c r="F398" s="5">
        <v>633.88</v>
      </c>
      <c r="G398" s="5">
        <v>1.1200000000000001</v>
      </c>
      <c r="H398" s="5">
        <v>0.18</v>
      </c>
      <c r="I398" t="s">
        <v>16</v>
      </c>
    </row>
    <row r="399" spans="1:9" x14ac:dyDescent="0.25">
      <c r="A399" t="s">
        <v>304</v>
      </c>
      <c r="B399" t="s">
        <v>68</v>
      </c>
      <c r="C399" s="10" t="s">
        <v>314</v>
      </c>
      <c r="D399" t="s">
        <v>15</v>
      </c>
      <c r="E399" s="5">
        <v>635</v>
      </c>
      <c r="F399" s="5">
        <v>633.88</v>
      </c>
      <c r="G399" s="5">
        <v>1.1200000000000001</v>
      </c>
      <c r="H399" s="5">
        <v>0.18</v>
      </c>
      <c r="I399" t="s">
        <v>16</v>
      </c>
    </row>
    <row r="400" spans="1:9" x14ac:dyDescent="0.25">
      <c r="A400" t="s">
        <v>304</v>
      </c>
      <c r="B400" t="s">
        <v>68</v>
      </c>
      <c r="C400" s="10" t="s">
        <v>315</v>
      </c>
      <c r="D400" t="s">
        <v>15</v>
      </c>
      <c r="E400" s="5">
        <v>635</v>
      </c>
      <c r="F400" s="5">
        <v>633.88</v>
      </c>
      <c r="G400" s="5">
        <v>1.1200000000000001</v>
      </c>
      <c r="H400" s="5">
        <v>0.18</v>
      </c>
      <c r="I400" t="s">
        <v>16</v>
      </c>
    </row>
    <row r="401" spans="1:9" x14ac:dyDescent="0.25">
      <c r="A401" t="s">
        <v>304</v>
      </c>
      <c r="B401" t="s">
        <v>68</v>
      </c>
      <c r="C401" s="10" t="s">
        <v>316</v>
      </c>
      <c r="D401" t="s">
        <v>15</v>
      </c>
      <c r="E401" s="5">
        <v>635</v>
      </c>
      <c r="F401" s="5">
        <v>633.88</v>
      </c>
      <c r="G401" s="5">
        <v>1.1200000000000001</v>
      </c>
      <c r="H401" s="5">
        <v>0.18</v>
      </c>
      <c r="I401" t="s">
        <v>16</v>
      </c>
    </row>
    <row r="402" spans="1:9" x14ac:dyDescent="0.25">
      <c r="A402" t="s">
        <v>304</v>
      </c>
      <c r="B402" t="s">
        <v>68</v>
      </c>
      <c r="C402" s="10" t="s">
        <v>317</v>
      </c>
      <c r="D402" t="s">
        <v>15</v>
      </c>
      <c r="E402" s="5">
        <v>635</v>
      </c>
      <c r="F402" s="5">
        <v>633.88</v>
      </c>
      <c r="G402" s="5">
        <v>1.1200000000000001</v>
      </c>
      <c r="H402" s="5">
        <v>0.18</v>
      </c>
      <c r="I402" t="s">
        <v>16</v>
      </c>
    </row>
    <row r="403" spans="1:9" x14ac:dyDescent="0.25">
      <c r="A403" t="s">
        <v>304</v>
      </c>
      <c r="B403" t="s">
        <v>68</v>
      </c>
      <c r="C403" s="10" t="s">
        <v>318</v>
      </c>
      <c r="D403" t="s">
        <v>15</v>
      </c>
      <c r="E403" s="5">
        <v>635</v>
      </c>
      <c r="F403" s="5">
        <v>633.88</v>
      </c>
      <c r="G403" s="5">
        <v>1.1200000000000001</v>
      </c>
      <c r="H403" s="5">
        <v>0.18</v>
      </c>
      <c r="I403" t="s">
        <v>16</v>
      </c>
    </row>
    <row r="404" spans="1:9" x14ac:dyDescent="0.25">
      <c r="A404" t="s">
        <v>304</v>
      </c>
      <c r="B404" t="s">
        <v>68</v>
      </c>
      <c r="C404" s="10" t="s">
        <v>319</v>
      </c>
      <c r="D404" t="s">
        <v>15</v>
      </c>
      <c r="E404" s="5">
        <v>635</v>
      </c>
      <c r="F404" s="5">
        <v>633.88</v>
      </c>
      <c r="G404" s="5">
        <v>1.1200000000000001</v>
      </c>
      <c r="H404" s="5">
        <v>0.18</v>
      </c>
      <c r="I404" t="s">
        <v>16</v>
      </c>
    </row>
    <row r="405" spans="1:9" x14ac:dyDescent="0.25">
      <c r="A405" t="s">
        <v>304</v>
      </c>
      <c r="B405" t="s">
        <v>64</v>
      </c>
      <c r="C405" s="10" t="s">
        <v>320</v>
      </c>
      <c r="D405" t="s">
        <v>15</v>
      </c>
      <c r="E405" s="5">
        <v>3569.62</v>
      </c>
      <c r="F405" s="5">
        <v>3000</v>
      </c>
      <c r="G405" s="5">
        <v>569.62</v>
      </c>
      <c r="H405" s="5">
        <v>18.989999999999998</v>
      </c>
      <c r="I405" t="s">
        <v>39</v>
      </c>
    </row>
    <row r="406" spans="1:9" x14ac:dyDescent="0.25">
      <c r="A406" t="s">
        <v>304</v>
      </c>
      <c r="B406" t="s">
        <v>64</v>
      </c>
      <c r="C406" s="10" t="s">
        <v>321</v>
      </c>
      <c r="D406" t="s">
        <v>15</v>
      </c>
      <c r="E406" s="5">
        <v>3354.43</v>
      </c>
      <c r="F406" s="5">
        <v>2650</v>
      </c>
      <c r="G406" s="5">
        <v>704.43</v>
      </c>
      <c r="H406" s="5">
        <v>26.58</v>
      </c>
      <c r="I406" t="s">
        <v>39</v>
      </c>
    </row>
    <row r="407" spans="1:9" x14ac:dyDescent="0.25">
      <c r="A407" s="2" t="s">
        <v>304</v>
      </c>
      <c r="B407" s="2" t="s">
        <v>64</v>
      </c>
      <c r="C407" s="12">
        <v>356245411959902</v>
      </c>
      <c r="D407" s="2" t="s">
        <v>15</v>
      </c>
      <c r="E407" s="6">
        <v>1</v>
      </c>
      <c r="F407" s="6">
        <v>3015.6</v>
      </c>
      <c r="G407" s="6">
        <v>-3014.6</v>
      </c>
      <c r="H407" s="6">
        <v>-99.97</v>
      </c>
      <c r="I407" s="2" t="s">
        <v>20</v>
      </c>
    </row>
    <row r="408" spans="1:9" x14ac:dyDescent="0.25">
      <c r="A408" t="s">
        <v>304</v>
      </c>
      <c r="B408" t="s">
        <v>58</v>
      </c>
      <c r="C408" s="10">
        <v>350599864315723</v>
      </c>
      <c r="D408" t="s">
        <v>15</v>
      </c>
      <c r="E408" s="5">
        <v>3290</v>
      </c>
      <c r="F408" s="5">
        <v>3200</v>
      </c>
      <c r="G408" s="5">
        <v>90</v>
      </c>
      <c r="H408" s="5">
        <v>2.81</v>
      </c>
      <c r="I408" t="s">
        <v>39</v>
      </c>
    </row>
    <row r="409" spans="1:9" x14ac:dyDescent="0.25">
      <c r="A409" t="s">
        <v>304</v>
      </c>
      <c r="B409" t="s">
        <v>58</v>
      </c>
      <c r="C409" s="10">
        <v>358206132662819</v>
      </c>
      <c r="D409" t="s">
        <v>15</v>
      </c>
      <c r="E409" s="5">
        <v>4139.24</v>
      </c>
      <c r="F409" s="5">
        <v>3600</v>
      </c>
      <c r="G409" s="5">
        <v>539.24</v>
      </c>
      <c r="H409" s="5">
        <v>14.98</v>
      </c>
      <c r="I409" t="s">
        <v>39</v>
      </c>
    </row>
    <row r="410" spans="1:9" x14ac:dyDescent="0.25">
      <c r="A410" t="s">
        <v>304</v>
      </c>
      <c r="B410" t="s">
        <v>58</v>
      </c>
      <c r="C410" s="10">
        <v>358206133065350</v>
      </c>
      <c r="D410" t="s">
        <v>15</v>
      </c>
      <c r="E410" s="5">
        <v>4139.24</v>
      </c>
      <c r="F410" s="5">
        <v>3446.4</v>
      </c>
      <c r="G410" s="5">
        <v>692.84</v>
      </c>
      <c r="H410" s="5">
        <v>20.100000000000001</v>
      </c>
      <c r="I410" t="s">
        <v>20</v>
      </c>
    </row>
    <row r="411" spans="1:9" x14ac:dyDescent="0.25">
      <c r="A411" s="2" t="s">
        <v>304</v>
      </c>
      <c r="B411" s="2" t="s">
        <v>58</v>
      </c>
      <c r="C411" s="12">
        <v>358206134453738</v>
      </c>
      <c r="D411" s="2" t="s">
        <v>15</v>
      </c>
      <c r="E411" s="6">
        <v>1</v>
      </c>
      <c r="F411" s="6">
        <v>3446.4</v>
      </c>
      <c r="G411" s="6">
        <v>-3445.4</v>
      </c>
      <c r="H411" s="6">
        <v>-99.97</v>
      </c>
      <c r="I411" s="2" t="s">
        <v>20</v>
      </c>
    </row>
    <row r="412" spans="1:9" x14ac:dyDescent="0.25">
      <c r="A412" t="s">
        <v>304</v>
      </c>
      <c r="B412" t="s">
        <v>58</v>
      </c>
      <c r="C412" s="10">
        <v>358206135066869</v>
      </c>
      <c r="D412" t="s">
        <v>15</v>
      </c>
      <c r="E412" s="5">
        <v>4139.24</v>
      </c>
      <c r="F412" s="5">
        <v>3600</v>
      </c>
      <c r="G412" s="5">
        <v>539.24</v>
      </c>
      <c r="H412" s="5">
        <v>14.98</v>
      </c>
      <c r="I412" t="s">
        <v>39</v>
      </c>
    </row>
    <row r="413" spans="1:9" x14ac:dyDescent="0.25">
      <c r="A413" t="s">
        <v>304</v>
      </c>
      <c r="B413" t="s">
        <v>58</v>
      </c>
      <c r="C413" s="10">
        <v>359614549382799</v>
      </c>
      <c r="D413" t="s">
        <v>15</v>
      </c>
      <c r="E413" s="5">
        <v>3734.17</v>
      </c>
      <c r="F413" s="5">
        <v>3200</v>
      </c>
      <c r="G413" s="5">
        <v>534.16999999999996</v>
      </c>
      <c r="H413" s="5">
        <v>16.690000000000001</v>
      </c>
      <c r="I413" t="s">
        <v>39</v>
      </c>
    </row>
    <row r="414" spans="1:9" x14ac:dyDescent="0.25">
      <c r="A414" t="s">
        <v>304</v>
      </c>
      <c r="B414" t="s">
        <v>61</v>
      </c>
      <c r="C414" s="10">
        <v>355224256591014</v>
      </c>
      <c r="D414" t="s">
        <v>66</v>
      </c>
      <c r="E414" s="5">
        <v>4850</v>
      </c>
      <c r="F414" s="5">
        <v>4559.3</v>
      </c>
      <c r="G414" s="5">
        <v>290.7</v>
      </c>
      <c r="H414" s="5">
        <v>6.38</v>
      </c>
      <c r="I414" t="s">
        <v>20</v>
      </c>
    </row>
    <row r="415" spans="1:9" x14ac:dyDescent="0.25">
      <c r="A415" t="s">
        <v>304</v>
      </c>
      <c r="B415" t="s">
        <v>322</v>
      </c>
      <c r="C415" s="10" t="s">
        <v>323</v>
      </c>
      <c r="D415" t="s">
        <v>15</v>
      </c>
      <c r="E415" s="5">
        <v>1540</v>
      </c>
      <c r="F415" s="5">
        <v>1293.3800000000001</v>
      </c>
      <c r="G415" s="5">
        <v>246.62</v>
      </c>
      <c r="H415" s="5">
        <v>19.07</v>
      </c>
      <c r="I415" t="s">
        <v>20</v>
      </c>
    </row>
    <row r="416" spans="1:9" x14ac:dyDescent="0.25">
      <c r="A416" t="s">
        <v>304</v>
      </c>
      <c r="B416" t="s">
        <v>322</v>
      </c>
      <c r="C416" s="10" t="s">
        <v>324</v>
      </c>
      <c r="D416" t="s">
        <v>15</v>
      </c>
      <c r="E416" s="5">
        <v>1540</v>
      </c>
      <c r="F416" s="5">
        <v>1293.3800000000001</v>
      </c>
      <c r="G416" s="5">
        <v>246.62</v>
      </c>
      <c r="H416" s="5">
        <v>19.07</v>
      </c>
      <c r="I416" t="s">
        <v>20</v>
      </c>
    </row>
    <row r="417" spans="1:9" x14ac:dyDescent="0.25">
      <c r="A417" t="s">
        <v>304</v>
      </c>
      <c r="B417" t="s">
        <v>322</v>
      </c>
      <c r="C417" s="10" t="s">
        <v>325</v>
      </c>
      <c r="D417" t="s">
        <v>15</v>
      </c>
      <c r="E417" s="5">
        <v>1540</v>
      </c>
      <c r="F417" s="5">
        <v>1293.3800000000001</v>
      </c>
      <c r="G417" s="5">
        <v>246.62</v>
      </c>
      <c r="H417" s="5">
        <v>19.07</v>
      </c>
      <c r="I417" t="s">
        <v>20</v>
      </c>
    </row>
    <row r="418" spans="1:9" x14ac:dyDescent="0.25">
      <c r="A418" t="s">
        <v>304</v>
      </c>
      <c r="B418" t="s">
        <v>322</v>
      </c>
      <c r="C418" s="10" t="s">
        <v>326</v>
      </c>
      <c r="D418" t="s">
        <v>15</v>
      </c>
      <c r="E418" s="5">
        <v>1540</v>
      </c>
      <c r="F418" s="5">
        <v>1293.3800000000001</v>
      </c>
      <c r="G418" s="5">
        <v>246.62</v>
      </c>
      <c r="H418" s="5">
        <v>19.07</v>
      </c>
      <c r="I418" t="s">
        <v>20</v>
      </c>
    </row>
    <row r="419" spans="1:9" x14ac:dyDescent="0.25">
      <c r="A419" t="s">
        <v>304</v>
      </c>
      <c r="B419" t="s">
        <v>322</v>
      </c>
      <c r="C419" s="10" t="s">
        <v>327</v>
      </c>
      <c r="D419" t="s">
        <v>15</v>
      </c>
      <c r="E419" s="5">
        <v>1540</v>
      </c>
      <c r="F419" s="5">
        <v>1293.3800000000001</v>
      </c>
      <c r="G419" s="5">
        <v>246.62</v>
      </c>
      <c r="H419" s="5">
        <v>19.07</v>
      </c>
      <c r="I419" t="s">
        <v>20</v>
      </c>
    </row>
    <row r="420" spans="1:9" x14ac:dyDescent="0.25">
      <c r="A420" t="s">
        <v>304</v>
      </c>
      <c r="B420" t="s">
        <v>322</v>
      </c>
      <c r="C420" s="10" t="s">
        <v>328</v>
      </c>
      <c r="D420" t="s">
        <v>15</v>
      </c>
      <c r="E420" s="5">
        <v>1540</v>
      </c>
      <c r="F420" s="5">
        <v>1293.3800000000001</v>
      </c>
      <c r="G420" s="5">
        <v>246.62</v>
      </c>
      <c r="H420" s="5">
        <v>19.07</v>
      </c>
      <c r="I420" t="s">
        <v>20</v>
      </c>
    </row>
    <row r="421" spans="1:9" x14ac:dyDescent="0.25">
      <c r="A421" t="s">
        <v>304</v>
      </c>
      <c r="B421" t="s">
        <v>329</v>
      </c>
      <c r="C421" s="10" t="s">
        <v>330</v>
      </c>
      <c r="D421" t="s">
        <v>15</v>
      </c>
      <c r="E421" s="5">
        <v>2088.6</v>
      </c>
      <c r="F421" s="5">
        <v>1513.37</v>
      </c>
      <c r="G421" s="5">
        <v>575.23</v>
      </c>
      <c r="H421" s="5">
        <v>38.01</v>
      </c>
      <c r="I421" t="s">
        <v>16</v>
      </c>
    </row>
    <row r="422" spans="1:9" x14ac:dyDescent="0.25">
      <c r="A422" t="s">
        <v>304</v>
      </c>
      <c r="B422" t="s">
        <v>329</v>
      </c>
      <c r="C422" s="10" t="s">
        <v>331</v>
      </c>
      <c r="D422" t="s">
        <v>15</v>
      </c>
      <c r="E422" s="5">
        <v>2126.58</v>
      </c>
      <c r="F422" s="5">
        <v>1513.37</v>
      </c>
      <c r="G422" s="5">
        <v>613.21</v>
      </c>
      <c r="H422" s="5">
        <v>40.520000000000003</v>
      </c>
      <c r="I422" t="s">
        <v>16</v>
      </c>
    </row>
    <row r="423" spans="1:9" x14ac:dyDescent="0.25">
      <c r="A423" t="s">
        <v>304</v>
      </c>
      <c r="B423" t="s">
        <v>329</v>
      </c>
      <c r="C423" s="10" t="s">
        <v>332</v>
      </c>
      <c r="D423" t="s">
        <v>15</v>
      </c>
      <c r="E423" s="5">
        <v>2120.25</v>
      </c>
      <c r="F423" s="5">
        <v>1513.37</v>
      </c>
      <c r="G423" s="5">
        <v>606.88</v>
      </c>
      <c r="H423" s="5">
        <v>40.1</v>
      </c>
      <c r="I423" t="s">
        <v>16</v>
      </c>
    </row>
    <row r="424" spans="1:9" x14ac:dyDescent="0.25">
      <c r="A424" t="s">
        <v>304</v>
      </c>
      <c r="B424" t="s">
        <v>329</v>
      </c>
      <c r="C424" s="10" t="s">
        <v>333</v>
      </c>
      <c r="D424" t="s">
        <v>15</v>
      </c>
      <c r="E424" s="5">
        <v>2126.58</v>
      </c>
      <c r="F424" s="5">
        <v>1495.18</v>
      </c>
      <c r="G424" s="5">
        <v>631.4</v>
      </c>
      <c r="H424" s="5">
        <v>42.23</v>
      </c>
      <c r="I424" t="s">
        <v>16</v>
      </c>
    </row>
    <row r="425" spans="1:9" x14ac:dyDescent="0.25">
      <c r="A425" t="s">
        <v>304</v>
      </c>
      <c r="B425" t="s">
        <v>329</v>
      </c>
      <c r="C425" s="10" t="s">
        <v>334</v>
      </c>
      <c r="D425" t="s">
        <v>15</v>
      </c>
      <c r="E425" s="5">
        <v>2126.58</v>
      </c>
      <c r="F425" s="5">
        <v>1495.18</v>
      </c>
      <c r="G425" s="5">
        <v>631.4</v>
      </c>
      <c r="H425" s="5">
        <v>42.23</v>
      </c>
      <c r="I425" t="s">
        <v>16</v>
      </c>
    </row>
    <row r="426" spans="1:9" x14ac:dyDescent="0.25">
      <c r="A426" t="s">
        <v>304</v>
      </c>
      <c r="B426" t="s">
        <v>329</v>
      </c>
      <c r="C426" s="10" t="s">
        <v>335</v>
      </c>
      <c r="D426" t="s">
        <v>15</v>
      </c>
      <c r="E426" s="5">
        <v>2120.25</v>
      </c>
      <c r="F426" s="5">
        <v>1513.37</v>
      </c>
      <c r="G426" s="5">
        <v>606.88</v>
      </c>
      <c r="H426" s="5">
        <v>40.1</v>
      </c>
      <c r="I426" t="s">
        <v>16</v>
      </c>
    </row>
    <row r="427" spans="1:9" x14ac:dyDescent="0.25">
      <c r="A427" t="s">
        <v>304</v>
      </c>
      <c r="B427" t="s">
        <v>329</v>
      </c>
      <c r="C427" s="10" t="s">
        <v>336</v>
      </c>
      <c r="D427" t="s">
        <v>15</v>
      </c>
      <c r="E427" s="5">
        <v>2120.25</v>
      </c>
      <c r="F427" s="5">
        <v>1495.18</v>
      </c>
      <c r="G427" s="5">
        <v>625.07000000000005</v>
      </c>
      <c r="H427" s="5">
        <v>41.81</v>
      </c>
      <c r="I427" t="s">
        <v>16</v>
      </c>
    </row>
    <row r="428" spans="1:9" x14ac:dyDescent="0.25">
      <c r="A428" t="s">
        <v>304</v>
      </c>
      <c r="B428" t="s">
        <v>329</v>
      </c>
      <c r="C428" s="10" t="s">
        <v>337</v>
      </c>
      <c r="D428" t="s">
        <v>15</v>
      </c>
      <c r="E428" s="5">
        <v>2120.25</v>
      </c>
      <c r="F428" s="5">
        <v>1513.33</v>
      </c>
      <c r="G428" s="5">
        <v>606.91999999999996</v>
      </c>
      <c r="H428" s="5">
        <v>40.1</v>
      </c>
      <c r="I428" t="s">
        <v>16</v>
      </c>
    </row>
    <row r="429" spans="1:9" x14ac:dyDescent="0.25">
      <c r="A429" t="s">
        <v>304</v>
      </c>
      <c r="B429" t="s">
        <v>329</v>
      </c>
      <c r="C429" s="10" t="s">
        <v>338</v>
      </c>
      <c r="D429" t="s">
        <v>15</v>
      </c>
      <c r="E429" s="5">
        <v>2126.58</v>
      </c>
      <c r="F429" s="5">
        <v>1513.37</v>
      </c>
      <c r="G429" s="5">
        <v>613.21</v>
      </c>
      <c r="H429" s="5">
        <v>40.520000000000003</v>
      </c>
      <c r="I429" t="s">
        <v>16</v>
      </c>
    </row>
    <row r="430" spans="1:9" x14ac:dyDescent="0.25">
      <c r="A430" t="s">
        <v>304</v>
      </c>
      <c r="B430" t="s">
        <v>339</v>
      </c>
      <c r="C430" s="10" t="s">
        <v>340</v>
      </c>
      <c r="D430" t="s">
        <v>15</v>
      </c>
      <c r="E430" s="5">
        <v>650</v>
      </c>
      <c r="F430" s="5">
        <v>17.63</v>
      </c>
      <c r="G430" s="5">
        <v>632.37</v>
      </c>
      <c r="H430" s="5">
        <v>3586.9</v>
      </c>
      <c r="I430" t="s">
        <v>70</v>
      </c>
    </row>
    <row r="431" spans="1:9" x14ac:dyDescent="0.25">
      <c r="A431" t="s">
        <v>304</v>
      </c>
      <c r="B431" t="s">
        <v>341</v>
      </c>
      <c r="C431" s="10" t="s">
        <v>342</v>
      </c>
      <c r="D431" t="s">
        <v>15</v>
      </c>
      <c r="E431" s="5">
        <v>5000</v>
      </c>
      <c r="F431" s="5">
        <v>3753.63</v>
      </c>
      <c r="G431" s="5">
        <v>1246.3699999999999</v>
      </c>
      <c r="H431" s="5">
        <v>33.200000000000003</v>
      </c>
      <c r="I431" t="s">
        <v>16</v>
      </c>
    </row>
    <row r="432" spans="1:9" x14ac:dyDescent="0.25">
      <c r="A432" t="s">
        <v>343</v>
      </c>
      <c r="B432" t="s">
        <v>344</v>
      </c>
      <c r="C432" s="10" t="s">
        <v>345</v>
      </c>
      <c r="D432" t="s">
        <v>15</v>
      </c>
      <c r="E432" s="5">
        <v>540</v>
      </c>
      <c r="F432" s="5">
        <v>484.65</v>
      </c>
      <c r="G432" s="5">
        <v>55.35</v>
      </c>
      <c r="H432" s="5">
        <v>11.42</v>
      </c>
      <c r="I432" t="s">
        <v>20</v>
      </c>
    </row>
    <row r="433" spans="1:9" x14ac:dyDescent="0.25">
      <c r="A433" t="s">
        <v>343</v>
      </c>
      <c r="B433" t="s">
        <v>344</v>
      </c>
      <c r="C433" s="10" t="s">
        <v>346</v>
      </c>
      <c r="D433" t="s">
        <v>15</v>
      </c>
      <c r="E433" s="5">
        <v>540</v>
      </c>
      <c r="F433" s="5">
        <v>484.65</v>
      </c>
      <c r="G433" s="5">
        <v>55.35</v>
      </c>
      <c r="H433" s="5">
        <v>11.42</v>
      </c>
      <c r="I433" t="s">
        <v>20</v>
      </c>
    </row>
    <row r="434" spans="1:9" x14ac:dyDescent="0.25">
      <c r="A434" t="s">
        <v>343</v>
      </c>
      <c r="B434" t="s">
        <v>344</v>
      </c>
      <c r="C434" s="10" t="s">
        <v>347</v>
      </c>
      <c r="D434" t="s">
        <v>15</v>
      </c>
      <c r="E434" s="5">
        <v>540</v>
      </c>
      <c r="F434" s="5">
        <v>484.65</v>
      </c>
      <c r="G434" s="5">
        <v>55.35</v>
      </c>
      <c r="H434" s="5">
        <v>11.42</v>
      </c>
      <c r="I434" t="s">
        <v>20</v>
      </c>
    </row>
    <row r="435" spans="1:9" x14ac:dyDescent="0.25">
      <c r="A435" t="s">
        <v>343</v>
      </c>
      <c r="B435" t="s">
        <v>344</v>
      </c>
      <c r="C435" s="10" t="s">
        <v>348</v>
      </c>
      <c r="D435" t="s">
        <v>15</v>
      </c>
      <c r="E435" s="5">
        <v>540</v>
      </c>
      <c r="F435" s="5">
        <v>484.65</v>
      </c>
      <c r="G435" s="5">
        <v>55.35</v>
      </c>
      <c r="H435" s="5">
        <v>11.42</v>
      </c>
      <c r="I435" t="s">
        <v>20</v>
      </c>
    </row>
    <row r="436" spans="1:9" x14ac:dyDescent="0.25">
      <c r="A436" s="2" t="s">
        <v>343</v>
      </c>
      <c r="B436" s="2" t="s">
        <v>68</v>
      </c>
      <c r="C436" s="12" t="s">
        <v>349</v>
      </c>
      <c r="D436" s="2" t="s">
        <v>15</v>
      </c>
      <c r="E436" s="6">
        <v>630</v>
      </c>
      <c r="F436" s="6">
        <v>633.88</v>
      </c>
      <c r="G436" s="6">
        <v>-3.88</v>
      </c>
      <c r="H436" s="6">
        <v>-0.61</v>
      </c>
      <c r="I436" s="2" t="s">
        <v>16</v>
      </c>
    </row>
    <row r="437" spans="1:9" x14ac:dyDescent="0.25">
      <c r="A437" s="2" t="s">
        <v>343</v>
      </c>
      <c r="B437" s="2" t="s">
        <v>68</v>
      </c>
      <c r="C437" s="12" t="s">
        <v>350</v>
      </c>
      <c r="D437" s="2" t="s">
        <v>15</v>
      </c>
      <c r="E437" s="6">
        <v>630</v>
      </c>
      <c r="F437" s="6">
        <v>633.88</v>
      </c>
      <c r="G437" s="6">
        <v>-3.88</v>
      </c>
      <c r="H437" s="6">
        <v>-0.61</v>
      </c>
      <c r="I437" s="2" t="s">
        <v>16</v>
      </c>
    </row>
    <row r="438" spans="1:9" x14ac:dyDescent="0.25">
      <c r="A438" s="2" t="s">
        <v>343</v>
      </c>
      <c r="B438" s="2" t="s">
        <v>68</v>
      </c>
      <c r="C438" s="12" t="s">
        <v>351</v>
      </c>
      <c r="D438" s="2" t="s">
        <v>15</v>
      </c>
      <c r="E438" s="6">
        <v>630</v>
      </c>
      <c r="F438" s="6">
        <v>633.88</v>
      </c>
      <c r="G438" s="6">
        <v>-3.88</v>
      </c>
      <c r="H438" s="6">
        <v>-0.61</v>
      </c>
      <c r="I438" s="2" t="s">
        <v>16</v>
      </c>
    </row>
    <row r="439" spans="1:9" x14ac:dyDescent="0.25">
      <c r="A439" s="2" t="s">
        <v>343</v>
      </c>
      <c r="B439" s="2" t="s">
        <v>68</v>
      </c>
      <c r="C439" s="12" t="s">
        <v>352</v>
      </c>
      <c r="D439" s="2" t="s">
        <v>15</v>
      </c>
      <c r="E439" s="6">
        <v>630</v>
      </c>
      <c r="F439" s="6">
        <v>633.88</v>
      </c>
      <c r="G439" s="6">
        <v>-3.88</v>
      </c>
      <c r="H439" s="6">
        <v>-0.61</v>
      </c>
      <c r="I439" s="2" t="s">
        <v>16</v>
      </c>
    </row>
    <row r="440" spans="1:9" x14ac:dyDescent="0.25">
      <c r="A440" s="2" t="s">
        <v>343</v>
      </c>
      <c r="B440" s="2" t="s">
        <v>68</v>
      </c>
      <c r="C440" s="12" t="s">
        <v>353</v>
      </c>
      <c r="D440" s="2" t="s">
        <v>15</v>
      </c>
      <c r="E440" s="6">
        <v>630</v>
      </c>
      <c r="F440" s="6">
        <v>637</v>
      </c>
      <c r="G440" s="6">
        <v>-7</v>
      </c>
      <c r="H440" s="6">
        <v>-1.1000000000000001</v>
      </c>
      <c r="I440" s="2" t="s">
        <v>70</v>
      </c>
    </row>
    <row r="441" spans="1:9" x14ac:dyDescent="0.25">
      <c r="A441" s="2" t="s">
        <v>343</v>
      </c>
      <c r="B441" s="2" t="s">
        <v>68</v>
      </c>
      <c r="C441" s="12" t="s">
        <v>354</v>
      </c>
      <c r="D441" s="2" t="s">
        <v>15</v>
      </c>
      <c r="E441" s="6">
        <v>630</v>
      </c>
      <c r="F441" s="6">
        <v>637</v>
      </c>
      <c r="G441" s="6">
        <v>-7</v>
      </c>
      <c r="H441" s="6">
        <v>-1.1000000000000001</v>
      </c>
      <c r="I441" s="2" t="s">
        <v>70</v>
      </c>
    </row>
    <row r="442" spans="1:9" x14ac:dyDescent="0.25">
      <c r="A442" s="2" t="s">
        <v>343</v>
      </c>
      <c r="B442" s="2" t="s">
        <v>68</v>
      </c>
      <c r="C442" s="12" t="s">
        <v>355</v>
      </c>
      <c r="D442" s="2" t="s">
        <v>15</v>
      </c>
      <c r="E442" s="6">
        <v>630</v>
      </c>
      <c r="F442" s="6">
        <v>637</v>
      </c>
      <c r="G442" s="6">
        <v>-7</v>
      </c>
      <c r="H442" s="6">
        <v>-1.1000000000000001</v>
      </c>
      <c r="I442" s="2" t="s">
        <v>70</v>
      </c>
    </row>
    <row r="443" spans="1:9" x14ac:dyDescent="0.25">
      <c r="A443" s="2" t="s">
        <v>343</v>
      </c>
      <c r="B443" s="2" t="s">
        <v>68</v>
      </c>
      <c r="C443" s="12" t="s">
        <v>356</v>
      </c>
      <c r="D443" s="2" t="s">
        <v>15</v>
      </c>
      <c r="E443" s="6">
        <v>630</v>
      </c>
      <c r="F443" s="6">
        <v>637</v>
      </c>
      <c r="G443" s="6">
        <v>-7</v>
      </c>
      <c r="H443" s="6">
        <v>-1.1000000000000001</v>
      </c>
      <c r="I443" s="2" t="s">
        <v>70</v>
      </c>
    </row>
    <row r="444" spans="1:9" x14ac:dyDescent="0.25">
      <c r="A444" s="2" t="s">
        <v>343</v>
      </c>
      <c r="B444" s="2" t="s">
        <v>68</v>
      </c>
      <c r="C444" s="12" t="s">
        <v>357</v>
      </c>
      <c r="D444" s="2" t="s">
        <v>15</v>
      </c>
      <c r="E444" s="6">
        <v>630</v>
      </c>
      <c r="F444" s="6">
        <v>637</v>
      </c>
      <c r="G444" s="6">
        <v>-7</v>
      </c>
      <c r="H444" s="6">
        <v>-1.1000000000000001</v>
      </c>
      <c r="I444" s="2" t="s">
        <v>70</v>
      </c>
    </row>
    <row r="445" spans="1:9" x14ac:dyDescent="0.25">
      <c r="A445" s="2" t="s">
        <v>343</v>
      </c>
      <c r="B445" s="2" t="s">
        <v>68</v>
      </c>
      <c r="C445" s="12" t="s">
        <v>358</v>
      </c>
      <c r="D445" s="2" t="s">
        <v>15</v>
      </c>
      <c r="E445" s="6">
        <v>630</v>
      </c>
      <c r="F445" s="6">
        <v>637</v>
      </c>
      <c r="G445" s="6">
        <v>-7</v>
      </c>
      <c r="H445" s="6">
        <v>-1.1000000000000001</v>
      </c>
      <c r="I445" s="2" t="s">
        <v>70</v>
      </c>
    </row>
    <row r="446" spans="1:9" x14ac:dyDescent="0.25">
      <c r="A446" s="2" t="s">
        <v>343</v>
      </c>
      <c r="B446" s="2" t="s">
        <v>68</v>
      </c>
      <c r="C446" s="12" t="s">
        <v>359</v>
      </c>
      <c r="D446" s="2" t="s">
        <v>15</v>
      </c>
      <c r="E446" s="6">
        <v>630</v>
      </c>
      <c r="F446" s="6">
        <v>637</v>
      </c>
      <c r="G446" s="6">
        <v>-7</v>
      </c>
      <c r="H446" s="6">
        <v>-1.1000000000000001</v>
      </c>
      <c r="I446" s="2" t="s">
        <v>70</v>
      </c>
    </row>
    <row r="447" spans="1:9" x14ac:dyDescent="0.25">
      <c r="A447" s="2" t="s">
        <v>343</v>
      </c>
      <c r="B447" s="2" t="s">
        <v>68</v>
      </c>
      <c r="C447" s="12" t="s">
        <v>360</v>
      </c>
      <c r="D447" s="2" t="s">
        <v>15</v>
      </c>
      <c r="E447" s="6">
        <v>630</v>
      </c>
      <c r="F447" s="6">
        <v>637</v>
      </c>
      <c r="G447" s="6">
        <v>-7</v>
      </c>
      <c r="H447" s="6">
        <v>-1.1000000000000001</v>
      </c>
      <c r="I447" s="2" t="s">
        <v>70</v>
      </c>
    </row>
    <row r="448" spans="1:9" x14ac:dyDescent="0.25">
      <c r="A448" s="2" t="s">
        <v>343</v>
      </c>
      <c r="B448" s="2" t="s">
        <v>68</v>
      </c>
      <c r="C448" s="12" t="s">
        <v>361</v>
      </c>
      <c r="D448" s="2" t="s">
        <v>15</v>
      </c>
      <c r="E448" s="6">
        <v>630</v>
      </c>
      <c r="F448" s="6">
        <v>637</v>
      </c>
      <c r="G448" s="6">
        <v>-7</v>
      </c>
      <c r="H448" s="6">
        <v>-1.1000000000000001</v>
      </c>
      <c r="I448" s="2" t="s">
        <v>70</v>
      </c>
    </row>
    <row r="449" spans="1:9" x14ac:dyDescent="0.25">
      <c r="A449" s="2" t="s">
        <v>343</v>
      </c>
      <c r="B449" s="2" t="s">
        <v>68</v>
      </c>
      <c r="C449" s="12" t="s">
        <v>362</v>
      </c>
      <c r="D449" s="2" t="s">
        <v>15</v>
      </c>
      <c r="E449" s="6">
        <v>630</v>
      </c>
      <c r="F449" s="6">
        <v>637</v>
      </c>
      <c r="G449" s="6">
        <v>-7</v>
      </c>
      <c r="H449" s="6">
        <v>-1.1000000000000001</v>
      </c>
      <c r="I449" s="2" t="s">
        <v>70</v>
      </c>
    </row>
    <row r="450" spans="1:9" x14ac:dyDescent="0.25">
      <c r="A450" s="2" t="s">
        <v>343</v>
      </c>
      <c r="B450" s="2" t="s">
        <v>68</v>
      </c>
      <c r="C450" s="12" t="s">
        <v>363</v>
      </c>
      <c r="D450" s="2" t="s">
        <v>15</v>
      </c>
      <c r="E450" s="6">
        <v>630</v>
      </c>
      <c r="F450" s="6">
        <v>633.88</v>
      </c>
      <c r="G450" s="6">
        <v>-3.88</v>
      </c>
      <c r="H450" s="6">
        <v>-0.61</v>
      </c>
      <c r="I450" s="2" t="s">
        <v>16</v>
      </c>
    </row>
    <row r="451" spans="1:9" x14ac:dyDescent="0.25">
      <c r="A451" s="2" t="s">
        <v>343</v>
      </c>
      <c r="B451" s="2" t="s">
        <v>68</v>
      </c>
      <c r="C451" s="12" t="s">
        <v>364</v>
      </c>
      <c r="D451" s="2" t="s">
        <v>15</v>
      </c>
      <c r="E451" s="6">
        <v>630</v>
      </c>
      <c r="F451" s="6">
        <v>633.88</v>
      </c>
      <c r="G451" s="6">
        <v>-3.88</v>
      </c>
      <c r="H451" s="6">
        <v>-0.61</v>
      </c>
      <c r="I451" s="2" t="s">
        <v>16</v>
      </c>
    </row>
    <row r="452" spans="1:9" x14ac:dyDescent="0.25">
      <c r="A452" s="2" t="s">
        <v>343</v>
      </c>
      <c r="B452" s="2" t="s">
        <v>68</v>
      </c>
      <c r="C452" s="12" t="s">
        <v>365</v>
      </c>
      <c r="D452" s="2" t="s">
        <v>15</v>
      </c>
      <c r="E452" s="6">
        <v>630</v>
      </c>
      <c r="F452" s="6">
        <v>633.88</v>
      </c>
      <c r="G452" s="6">
        <v>-3.88</v>
      </c>
      <c r="H452" s="6">
        <v>-0.61</v>
      </c>
      <c r="I452" s="2" t="s">
        <v>16</v>
      </c>
    </row>
    <row r="453" spans="1:9" x14ac:dyDescent="0.25">
      <c r="A453" s="2" t="s">
        <v>343</v>
      </c>
      <c r="B453" s="2" t="s">
        <v>68</v>
      </c>
      <c r="C453" s="12" t="s">
        <v>366</v>
      </c>
      <c r="D453" s="2" t="s">
        <v>15</v>
      </c>
      <c r="E453" s="6">
        <v>630</v>
      </c>
      <c r="F453" s="6">
        <v>633.88</v>
      </c>
      <c r="G453" s="6">
        <v>-3.88</v>
      </c>
      <c r="H453" s="6">
        <v>-0.61</v>
      </c>
      <c r="I453" s="2" t="s">
        <v>16</v>
      </c>
    </row>
    <row r="454" spans="1:9" x14ac:dyDescent="0.25">
      <c r="A454" s="2" t="s">
        <v>343</v>
      </c>
      <c r="B454" s="2" t="s">
        <v>68</v>
      </c>
      <c r="C454" s="12" t="s">
        <v>367</v>
      </c>
      <c r="D454" s="2" t="s">
        <v>15</v>
      </c>
      <c r="E454" s="6">
        <v>630</v>
      </c>
      <c r="F454" s="6">
        <v>633.88</v>
      </c>
      <c r="G454" s="6">
        <v>-3.88</v>
      </c>
      <c r="H454" s="6">
        <v>-0.61</v>
      </c>
      <c r="I454" s="2" t="s">
        <v>16</v>
      </c>
    </row>
    <row r="455" spans="1:9" x14ac:dyDescent="0.25">
      <c r="A455" s="2" t="s">
        <v>343</v>
      </c>
      <c r="B455" s="2" t="s">
        <v>68</v>
      </c>
      <c r="C455" s="12" t="s">
        <v>368</v>
      </c>
      <c r="D455" s="2" t="s">
        <v>15</v>
      </c>
      <c r="E455" s="6">
        <v>630</v>
      </c>
      <c r="F455" s="6">
        <v>633.88</v>
      </c>
      <c r="G455" s="6">
        <v>-3.88</v>
      </c>
      <c r="H455" s="6">
        <v>-0.61</v>
      </c>
      <c r="I455" s="2" t="s">
        <v>16</v>
      </c>
    </row>
    <row r="456" spans="1:9" x14ac:dyDescent="0.25">
      <c r="A456" s="2" t="s">
        <v>343</v>
      </c>
      <c r="B456" s="2" t="s">
        <v>68</v>
      </c>
      <c r="C456" s="12" t="s">
        <v>369</v>
      </c>
      <c r="D456" s="2" t="s">
        <v>15</v>
      </c>
      <c r="E456" s="6">
        <v>630</v>
      </c>
      <c r="F456" s="6">
        <v>633.88</v>
      </c>
      <c r="G456" s="6">
        <v>-3.88</v>
      </c>
      <c r="H456" s="6">
        <v>-0.61</v>
      </c>
      <c r="I456" s="2" t="s">
        <v>16</v>
      </c>
    </row>
    <row r="457" spans="1:9" x14ac:dyDescent="0.25">
      <c r="A457" s="2" t="s">
        <v>343</v>
      </c>
      <c r="B457" s="2" t="s">
        <v>68</v>
      </c>
      <c r="C457" s="12" t="s">
        <v>370</v>
      </c>
      <c r="D457" s="2" t="s">
        <v>15</v>
      </c>
      <c r="E457" s="6">
        <v>630</v>
      </c>
      <c r="F457" s="6">
        <v>633.88</v>
      </c>
      <c r="G457" s="6">
        <v>-3.88</v>
      </c>
      <c r="H457" s="6">
        <v>-0.61</v>
      </c>
      <c r="I457" s="2" t="s">
        <v>16</v>
      </c>
    </row>
    <row r="458" spans="1:9" x14ac:dyDescent="0.25">
      <c r="A458" s="2" t="s">
        <v>343</v>
      </c>
      <c r="B458" s="2" t="s">
        <v>68</v>
      </c>
      <c r="C458" s="12" t="s">
        <v>371</v>
      </c>
      <c r="D458" s="2" t="s">
        <v>15</v>
      </c>
      <c r="E458" s="6">
        <v>630</v>
      </c>
      <c r="F458" s="6">
        <v>633.88</v>
      </c>
      <c r="G458" s="6">
        <v>-3.88</v>
      </c>
      <c r="H458" s="6">
        <v>-0.61</v>
      </c>
      <c r="I458" s="2" t="s">
        <v>16</v>
      </c>
    </row>
    <row r="459" spans="1:9" x14ac:dyDescent="0.25">
      <c r="A459" s="2" t="s">
        <v>343</v>
      </c>
      <c r="B459" s="2" t="s">
        <v>68</v>
      </c>
      <c r="C459" s="12" t="s">
        <v>372</v>
      </c>
      <c r="D459" s="2" t="s">
        <v>15</v>
      </c>
      <c r="E459" s="6">
        <v>630</v>
      </c>
      <c r="F459" s="6">
        <v>633.88</v>
      </c>
      <c r="G459" s="6">
        <v>-3.88</v>
      </c>
      <c r="H459" s="6">
        <v>-0.61</v>
      </c>
      <c r="I459" s="2" t="s">
        <v>16</v>
      </c>
    </row>
    <row r="460" spans="1:9" x14ac:dyDescent="0.25">
      <c r="A460" s="2" t="s">
        <v>343</v>
      </c>
      <c r="B460" s="2" t="s">
        <v>68</v>
      </c>
      <c r="C460" s="12" t="s">
        <v>373</v>
      </c>
      <c r="D460" s="2" t="s">
        <v>15</v>
      </c>
      <c r="E460" s="6">
        <v>630</v>
      </c>
      <c r="F460" s="6">
        <v>633.88</v>
      </c>
      <c r="G460" s="6">
        <v>-3.88</v>
      </c>
      <c r="H460" s="6">
        <v>-0.61</v>
      </c>
      <c r="I460" s="2" t="s">
        <v>16</v>
      </c>
    </row>
    <row r="461" spans="1:9" x14ac:dyDescent="0.25">
      <c r="A461" s="2" t="s">
        <v>343</v>
      </c>
      <c r="B461" s="2" t="s">
        <v>68</v>
      </c>
      <c r="C461" s="12" t="s">
        <v>374</v>
      </c>
      <c r="D461" s="2" t="s">
        <v>15</v>
      </c>
      <c r="E461" s="6">
        <v>630</v>
      </c>
      <c r="F461" s="6">
        <v>633.88</v>
      </c>
      <c r="G461" s="6">
        <v>-3.88</v>
      </c>
      <c r="H461" s="6">
        <v>-0.61</v>
      </c>
      <c r="I461" s="2" t="s">
        <v>16</v>
      </c>
    </row>
    <row r="462" spans="1:9" x14ac:dyDescent="0.25">
      <c r="A462" s="2" t="s">
        <v>343</v>
      </c>
      <c r="B462" s="2" t="s">
        <v>68</v>
      </c>
      <c r="C462" s="12" t="s">
        <v>375</v>
      </c>
      <c r="D462" s="2" t="s">
        <v>15</v>
      </c>
      <c r="E462" s="6">
        <v>630</v>
      </c>
      <c r="F462" s="6">
        <v>633.88</v>
      </c>
      <c r="G462" s="6">
        <v>-3.88</v>
      </c>
      <c r="H462" s="6">
        <v>-0.61</v>
      </c>
      <c r="I462" s="2" t="s">
        <v>16</v>
      </c>
    </row>
    <row r="463" spans="1:9" x14ac:dyDescent="0.25">
      <c r="A463" s="2" t="s">
        <v>343</v>
      </c>
      <c r="B463" s="2" t="s">
        <v>68</v>
      </c>
      <c r="C463" s="12" t="s">
        <v>376</v>
      </c>
      <c r="D463" s="2" t="s">
        <v>15</v>
      </c>
      <c r="E463" s="6">
        <v>630</v>
      </c>
      <c r="F463" s="6">
        <v>633.88</v>
      </c>
      <c r="G463" s="6">
        <v>-3.88</v>
      </c>
      <c r="H463" s="6">
        <v>-0.61</v>
      </c>
      <c r="I463" s="2" t="s">
        <v>16</v>
      </c>
    </row>
    <row r="464" spans="1:9" x14ac:dyDescent="0.25">
      <c r="A464" s="2" t="s">
        <v>343</v>
      </c>
      <c r="B464" s="2" t="s">
        <v>68</v>
      </c>
      <c r="C464" s="12" t="s">
        <v>377</v>
      </c>
      <c r="D464" s="2" t="s">
        <v>15</v>
      </c>
      <c r="E464" s="6">
        <v>630</v>
      </c>
      <c r="F464" s="6">
        <v>633.88</v>
      </c>
      <c r="G464" s="6">
        <v>-3.88</v>
      </c>
      <c r="H464" s="6">
        <v>-0.61</v>
      </c>
      <c r="I464" s="2" t="s">
        <v>16</v>
      </c>
    </row>
    <row r="465" spans="1:9" x14ac:dyDescent="0.25">
      <c r="A465" s="2" t="s">
        <v>343</v>
      </c>
      <c r="B465" s="2" t="s">
        <v>68</v>
      </c>
      <c r="C465" s="12" t="s">
        <v>378</v>
      </c>
      <c r="D465" s="2" t="s">
        <v>15</v>
      </c>
      <c r="E465" s="6">
        <v>630</v>
      </c>
      <c r="F465" s="6">
        <v>633.88</v>
      </c>
      <c r="G465" s="6">
        <v>-3.88</v>
      </c>
      <c r="H465" s="6">
        <v>-0.61</v>
      </c>
      <c r="I465" s="2" t="s">
        <v>16</v>
      </c>
    </row>
    <row r="466" spans="1:9" x14ac:dyDescent="0.25">
      <c r="A466" s="2" t="s">
        <v>343</v>
      </c>
      <c r="B466" s="2" t="s">
        <v>68</v>
      </c>
      <c r="C466" s="12" t="s">
        <v>379</v>
      </c>
      <c r="D466" s="2" t="s">
        <v>15</v>
      </c>
      <c r="E466" s="6">
        <v>630</v>
      </c>
      <c r="F466" s="6">
        <v>633.88</v>
      </c>
      <c r="G466" s="6">
        <v>-3.88</v>
      </c>
      <c r="H466" s="6">
        <v>-0.61</v>
      </c>
      <c r="I466" s="2" t="s">
        <v>16</v>
      </c>
    </row>
    <row r="467" spans="1:9" x14ac:dyDescent="0.25">
      <c r="A467" s="2" t="s">
        <v>343</v>
      </c>
      <c r="B467" s="2" t="s">
        <v>68</v>
      </c>
      <c r="C467" s="12" t="s">
        <v>380</v>
      </c>
      <c r="D467" s="2" t="s">
        <v>15</v>
      </c>
      <c r="E467" s="6">
        <v>630</v>
      </c>
      <c r="F467" s="6">
        <v>633.88</v>
      </c>
      <c r="G467" s="6">
        <v>-3.88</v>
      </c>
      <c r="H467" s="6">
        <v>-0.61</v>
      </c>
      <c r="I467" s="2" t="s">
        <v>16</v>
      </c>
    </row>
    <row r="468" spans="1:9" x14ac:dyDescent="0.25">
      <c r="A468" s="2" t="s">
        <v>343</v>
      </c>
      <c r="B468" s="2" t="s">
        <v>68</v>
      </c>
      <c r="C468" s="12" t="s">
        <v>381</v>
      </c>
      <c r="D468" s="2" t="s">
        <v>15</v>
      </c>
      <c r="E468" s="6">
        <v>630</v>
      </c>
      <c r="F468" s="6">
        <v>633.88</v>
      </c>
      <c r="G468" s="6">
        <v>-3.88</v>
      </c>
      <c r="H468" s="6">
        <v>-0.61</v>
      </c>
      <c r="I468" s="2" t="s">
        <v>16</v>
      </c>
    </row>
    <row r="469" spans="1:9" x14ac:dyDescent="0.25">
      <c r="A469" s="2" t="s">
        <v>343</v>
      </c>
      <c r="B469" s="2" t="s">
        <v>68</v>
      </c>
      <c r="C469" s="12" t="s">
        <v>382</v>
      </c>
      <c r="D469" s="2" t="s">
        <v>15</v>
      </c>
      <c r="E469" s="6">
        <v>630</v>
      </c>
      <c r="F469" s="6">
        <v>633.88</v>
      </c>
      <c r="G469" s="6">
        <v>-3.88</v>
      </c>
      <c r="H469" s="6">
        <v>-0.61</v>
      </c>
      <c r="I469" s="2" t="s">
        <v>16</v>
      </c>
    </row>
    <row r="470" spans="1:9" x14ac:dyDescent="0.25">
      <c r="A470" s="2" t="s">
        <v>343</v>
      </c>
      <c r="B470" s="2" t="s">
        <v>68</v>
      </c>
      <c r="C470" s="12" t="s">
        <v>383</v>
      </c>
      <c r="D470" s="2" t="s">
        <v>15</v>
      </c>
      <c r="E470" s="6">
        <v>630</v>
      </c>
      <c r="F470" s="6">
        <v>633.88</v>
      </c>
      <c r="G470" s="6">
        <v>-3.88</v>
      </c>
      <c r="H470" s="6">
        <v>-0.61</v>
      </c>
      <c r="I470" s="2" t="s">
        <v>16</v>
      </c>
    </row>
    <row r="471" spans="1:9" x14ac:dyDescent="0.25">
      <c r="A471" s="2" t="s">
        <v>343</v>
      </c>
      <c r="B471" s="2" t="s">
        <v>68</v>
      </c>
      <c r="C471" s="12" t="s">
        <v>384</v>
      </c>
      <c r="D471" s="2" t="s">
        <v>15</v>
      </c>
      <c r="E471" s="6">
        <v>630</v>
      </c>
      <c r="F471" s="6">
        <v>633.88</v>
      </c>
      <c r="G471" s="6">
        <v>-3.88</v>
      </c>
      <c r="H471" s="6">
        <v>-0.61</v>
      </c>
      <c r="I471" s="2" t="s">
        <v>16</v>
      </c>
    </row>
    <row r="472" spans="1:9" x14ac:dyDescent="0.25">
      <c r="A472" s="2" t="s">
        <v>343</v>
      </c>
      <c r="B472" s="2" t="s">
        <v>68</v>
      </c>
      <c r="C472" s="12" t="s">
        <v>385</v>
      </c>
      <c r="D472" s="2" t="s">
        <v>15</v>
      </c>
      <c r="E472" s="6">
        <v>630</v>
      </c>
      <c r="F472" s="6">
        <v>633.88</v>
      </c>
      <c r="G472" s="6">
        <v>-3.88</v>
      </c>
      <c r="H472" s="6">
        <v>-0.61</v>
      </c>
      <c r="I472" s="2" t="s">
        <v>16</v>
      </c>
    </row>
    <row r="473" spans="1:9" x14ac:dyDescent="0.25">
      <c r="A473" s="2" t="s">
        <v>343</v>
      </c>
      <c r="B473" s="2" t="s">
        <v>68</v>
      </c>
      <c r="C473" s="12" t="s">
        <v>386</v>
      </c>
      <c r="D473" s="2" t="s">
        <v>15</v>
      </c>
      <c r="E473" s="6">
        <v>630</v>
      </c>
      <c r="F473" s="6">
        <v>633.88</v>
      </c>
      <c r="G473" s="6">
        <v>-3.88</v>
      </c>
      <c r="H473" s="6">
        <v>-0.61</v>
      </c>
      <c r="I473" s="2" t="s">
        <v>16</v>
      </c>
    </row>
    <row r="474" spans="1:9" x14ac:dyDescent="0.25">
      <c r="A474" s="2" t="s">
        <v>343</v>
      </c>
      <c r="B474" s="2" t="s">
        <v>68</v>
      </c>
      <c r="C474" s="12" t="s">
        <v>387</v>
      </c>
      <c r="D474" s="2" t="s">
        <v>15</v>
      </c>
      <c r="E474" s="6">
        <v>630</v>
      </c>
      <c r="F474" s="6">
        <v>633.88</v>
      </c>
      <c r="G474" s="6">
        <v>-3.88</v>
      </c>
      <c r="H474" s="6">
        <v>-0.61</v>
      </c>
      <c r="I474" s="2" t="s">
        <v>16</v>
      </c>
    </row>
    <row r="475" spans="1:9" x14ac:dyDescent="0.25">
      <c r="A475" s="2" t="s">
        <v>343</v>
      </c>
      <c r="B475" s="2" t="s">
        <v>68</v>
      </c>
      <c r="C475" s="12" t="s">
        <v>388</v>
      </c>
      <c r="D475" s="2" t="s">
        <v>15</v>
      </c>
      <c r="E475" s="6">
        <v>630</v>
      </c>
      <c r="F475" s="6">
        <v>633.88</v>
      </c>
      <c r="G475" s="6">
        <v>-3.88</v>
      </c>
      <c r="H475" s="6">
        <v>-0.61</v>
      </c>
      <c r="I475" s="2" t="s">
        <v>16</v>
      </c>
    </row>
    <row r="476" spans="1:9" x14ac:dyDescent="0.25">
      <c r="A476" t="s">
        <v>343</v>
      </c>
      <c r="B476" t="s">
        <v>68</v>
      </c>
      <c r="C476" s="10" t="s">
        <v>389</v>
      </c>
      <c r="D476" t="s">
        <v>15</v>
      </c>
      <c r="E476" s="5">
        <v>640</v>
      </c>
      <c r="F476" s="5">
        <v>633.88</v>
      </c>
      <c r="G476" s="5">
        <v>6.12</v>
      </c>
      <c r="H476" s="5">
        <v>0.97</v>
      </c>
      <c r="I476" t="s">
        <v>16</v>
      </c>
    </row>
    <row r="477" spans="1:9" x14ac:dyDescent="0.25">
      <c r="A477" t="s">
        <v>343</v>
      </c>
      <c r="B477" t="s">
        <v>68</v>
      </c>
      <c r="C477" s="10" t="s">
        <v>390</v>
      </c>
      <c r="D477" t="s">
        <v>15</v>
      </c>
      <c r="E477" s="5">
        <v>640</v>
      </c>
      <c r="F477" s="5">
        <v>633.88</v>
      </c>
      <c r="G477" s="5">
        <v>6.12</v>
      </c>
      <c r="H477" s="5">
        <v>0.97</v>
      </c>
      <c r="I477" t="s">
        <v>16</v>
      </c>
    </row>
    <row r="478" spans="1:9" x14ac:dyDescent="0.25">
      <c r="A478" t="s">
        <v>343</v>
      </c>
      <c r="B478" t="s">
        <v>68</v>
      </c>
      <c r="C478" s="10" t="s">
        <v>391</v>
      </c>
      <c r="D478" t="s">
        <v>15</v>
      </c>
      <c r="E478" s="5">
        <v>640</v>
      </c>
      <c r="F478" s="5">
        <v>633.88</v>
      </c>
      <c r="G478" s="5">
        <v>6.12</v>
      </c>
      <c r="H478" s="5">
        <v>0.97</v>
      </c>
      <c r="I478" t="s">
        <v>16</v>
      </c>
    </row>
    <row r="479" spans="1:9" x14ac:dyDescent="0.25">
      <c r="A479" t="s">
        <v>343</v>
      </c>
      <c r="B479" t="s">
        <v>68</v>
      </c>
      <c r="C479" s="10" t="s">
        <v>392</v>
      </c>
      <c r="D479" t="s">
        <v>15</v>
      </c>
      <c r="E479" s="5">
        <v>640</v>
      </c>
      <c r="F479" s="5">
        <v>633.88</v>
      </c>
      <c r="G479" s="5">
        <v>6.12</v>
      </c>
      <c r="H479" s="5">
        <v>0.97</v>
      </c>
      <c r="I479" t="s">
        <v>16</v>
      </c>
    </row>
    <row r="480" spans="1:9" x14ac:dyDescent="0.25">
      <c r="A480" t="s">
        <v>343</v>
      </c>
      <c r="B480" t="s">
        <v>68</v>
      </c>
      <c r="C480" s="10" t="s">
        <v>393</v>
      </c>
      <c r="D480" t="s">
        <v>15</v>
      </c>
      <c r="E480" s="5">
        <v>640</v>
      </c>
      <c r="F480" s="5">
        <v>633.88</v>
      </c>
      <c r="G480" s="5">
        <v>6.12</v>
      </c>
      <c r="H480" s="5">
        <v>0.97</v>
      </c>
      <c r="I480" t="s">
        <v>16</v>
      </c>
    </row>
    <row r="481" spans="1:9" x14ac:dyDescent="0.25">
      <c r="A481" t="s">
        <v>343</v>
      </c>
      <c r="B481" t="s">
        <v>68</v>
      </c>
      <c r="C481" s="10" t="s">
        <v>394</v>
      </c>
      <c r="D481" t="s">
        <v>15</v>
      </c>
      <c r="E481" s="5">
        <v>640</v>
      </c>
      <c r="F481" s="5">
        <v>633.88</v>
      </c>
      <c r="G481" s="5">
        <v>6.12</v>
      </c>
      <c r="H481" s="5">
        <v>0.97</v>
      </c>
      <c r="I481" t="s">
        <v>16</v>
      </c>
    </row>
    <row r="482" spans="1:9" x14ac:dyDescent="0.25">
      <c r="A482" t="s">
        <v>343</v>
      </c>
      <c r="B482" t="s">
        <v>68</v>
      </c>
      <c r="C482" s="10" t="s">
        <v>395</v>
      </c>
      <c r="D482" t="s">
        <v>15</v>
      </c>
      <c r="E482" s="5">
        <v>640</v>
      </c>
      <c r="F482" s="5">
        <v>633.88</v>
      </c>
      <c r="G482" s="5">
        <v>6.12</v>
      </c>
      <c r="H482" s="5">
        <v>0.97</v>
      </c>
      <c r="I482" t="s">
        <v>16</v>
      </c>
    </row>
    <row r="483" spans="1:9" x14ac:dyDescent="0.25">
      <c r="A483" t="s">
        <v>343</v>
      </c>
      <c r="B483" t="s">
        <v>68</v>
      </c>
      <c r="C483" s="10" t="s">
        <v>396</v>
      </c>
      <c r="D483" t="s">
        <v>15</v>
      </c>
      <c r="E483" s="5">
        <v>640</v>
      </c>
      <c r="F483" s="5">
        <v>633.88</v>
      </c>
      <c r="G483" s="5">
        <v>6.12</v>
      </c>
      <c r="H483" s="5">
        <v>0.97</v>
      </c>
      <c r="I483" t="s">
        <v>16</v>
      </c>
    </row>
    <row r="484" spans="1:9" x14ac:dyDescent="0.25">
      <c r="A484" t="s">
        <v>343</v>
      </c>
      <c r="B484" t="s">
        <v>68</v>
      </c>
      <c r="C484" s="10" t="s">
        <v>397</v>
      </c>
      <c r="D484" t="s">
        <v>15</v>
      </c>
      <c r="E484" s="5">
        <v>640</v>
      </c>
      <c r="F484" s="5">
        <v>633.88</v>
      </c>
      <c r="G484" s="5">
        <v>6.12</v>
      </c>
      <c r="H484" s="5">
        <v>0.97</v>
      </c>
      <c r="I484" t="s">
        <v>16</v>
      </c>
    </row>
    <row r="485" spans="1:9" x14ac:dyDescent="0.25">
      <c r="A485" t="s">
        <v>343</v>
      </c>
      <c r="B485" t="s">
        <v>68</v>
      </c>
      <c r="C485" s="10" t="s">
        <v>398</v>
      </c>
      <c r="D485" t="s">
        <v>15</v>
      </c>
      <c r="E485" s="5">
        <v>640</v>
      </c>
      <c r="F485" s="5">
        <v>633.88</v>
      </c>
      <c r="G485" s="5">
        <v>6.12</v>
      </c>
      <c r="H485" s="5">
        <v>0.97</v>
      </c>
      <c r="I485" t="s">
        <v>16</v>
      </c>
    </row>
    <row r="486" spans="1:9" x14ac:dyDescent="0.25">
      <c r="A486" t="s">
        <v>343</v>
      </c>
      <c r="B486" t="s">
        <v>68</v>
      </c>
      <c r="C486" s="10" t="s">
        <v>399</v>
      </c>
      <c r="D486" t="s">
        <v>15</v>
      </c>
      <c r="E486" s="5">
        <v>640</v>
      </c>
      <c r="F486" s="5">
        <v>633.88</v>
      </c>
      <c r="G486" s="5">
        <v>6.12</v>
      </c>
      <c r="H486" s="5">
        <v>0.97</v>
      </c>
      <c r="I486" t="s">
        <v>16</v>
      </c>
    </row>
    <row r="487" spans="1:9" x14ac:dyDescent="0.25">
      <c r="A487" t="s">
        <v>343</v>
      </c>
      <c r="B487" t="s">
        <v>68</v>
      </c>
      <c r="C487" s="10" t="s">
        <v>400</v>
      </c>
      <c r="D487" t="s">
        <v>15</v>
      </c>
      <c r="E487" s="5">
        <v>640</v>
      </c>
      <c r="F487" s="5">
        <v>633.88</v>
      </c>
      <c r="G487" s="5">
        <v>6.12</v>
      </c>
      <c r="H487" s="5">
        <v>0.97</v>
      </c>
      <c r="I487" t="s">
        <v>16</v>
      </c>
    </row>
    <row r="488" spans="1:9" x14ac:dyDescent="0.25">
      <c r="A488" t="s">
        <v>343</v>
      </c>
      <c r="B488" t="s">
        <v>68</v>
      </c>
      <c r="C488" s="10" t="s">
        <v>401</v>
      </c>
      <c r="D488" t="s">
        <v>15</v>
      </c>
      <c r="E488" s="5">
        <v>640</v>
      </c>
      <c r="F488" s="5">
        <v>633.88</v>
      </c>
      <c r="G488" s="5">
        <v>6.12</v>
      </c>
      <c r="H488" s="5">
        <v>0.97</v>
      </c>
      <c r="I488" t="s">
        <v>16</v>
      </c>
    </row>
    <row r="489" spans="1:9" x14ac:dyDescent="0.25">
      <c r="A489" t="s">
        <v>343</v>
      </c>
      <c r="B489" t="s">
        <v>68</v>
      </c>
      <c r="C489" s="10" t="s">
        <v>402</v>
      </c>
      <c r="D489" t="s">
        <v>15</v>
      </c>
      <c r="E489" s="5">
        <v>640</v>
      </c>
      <c r="F489" s="5">
        <v>633.88</v>
      </c>
      <c r="G489" s="5">
        <v>6.12</v>
      </c>
      <c r="H489" s="5">
        <v>0.97</v>
      </c>
      <c r="I489" t="s">
        <v>16</v>
      </c>
    </row>
    <row r="490" spans="1:9" x14ac:dyDescent="0.25">
      <c r="A490" t="s">
        <v>343</v>
      </c>
      <c r="B490" t="s">
        <v>68</v>
      </c>
      <c r="C490" s="10" t="s">
        <v>403</v>
      </c>
      <c r="D490" t="s">
        <v>15</v>
      </c>
      <c r="E490" s="5">
        <v>640</v>
      </c>
      <c r="F490" s="5">
        <v>633.88</v>
      </c>
      <c r="G490" s="5">
        <v>6.12</v>
      </c>
      <c r="H490" s="5">
        <v>0.97</v>
      </c>
      <c r="I490" t="s">
        <v>16</v>
      </c>
    </row>
    <row r="491" spans="1:9" x14ac:dyDescent="0.25">
      <c r="A491" t="s">
        <v>343</v>
      </c>
      <c r="B491" t="s">
        <v>64</v>
      </c>
      <c r="C491" s="10">
        <v>355820206873293</v>
      </c>
      <c r="D491" t="s">
        <v>15</v>
      </c>
      <c r="E491" s="5">
        <v>2900</v>
      </c>
      <c r="F491" s="5">
        <v>2750</v>
      </c>
      <c r="G491" s="5">
        <v>150</v>
      </c>
      <c r="H491" s="5">
        <v>5.45</v>
      </c>
      <c r="I491" t="s">
        <v>39</v>
      </c>
    </row>
    <row r="492" spans="1:9" x14ac:dyDescent="0.25">
      <c r="A492" t="s">
        <v>343</v>
      </c>
      <c r="B492" t="s">
        <v>57</v>
      </c>
      <c r="C492" s="10">
        <v>353837412113530</v>
      </c>
      <c r="D492" t="s">
        <v>15</v>
      </c>
      <c r="E492" s="5">
        <v>4150</v>
      </c>
      <c r="F492" s="5">
        <v>4130</v>
      </c>
      <c r="G492" s="5">
        <v>20</v>
      </c>
      <c r="H492" s="5">
        <v>0.48</v>
      </c>
      <c r="I492" t="s">
        <v>404</v>
      </c>
    </row>
    <row r="493" spans="1:9" x14ac:dyDescent="0.25">
      <c r="A493" t="s">
        <v>343</v>
      </c>
      <c r="B493" t="s">
        <v>405</v>
      </c>
      <c r="C493" s="10">
        <v>352791392760441</v>
      </c>
      <c r="D493" t="s">
        <v>15</v>
      </c>
      <c r="E493" s="5">
        <v>4460</v>
      </c>
      <c r="F493" s="5">
        <v>4440</v>
      </c>
      <c r="G493" s="5">
        <v>20</v>
      </c>
      <c r="H493" s="5">
        <v>0.45</v>
      </c>
      <c r="I493" t="s">
        <v>404</v>
      </c>
    </row>
    <row r="494" spans="1:9" x14ac:dyDescent="0.25">
      <c r="A494" t="s">
        <v>343</v>
      </c>
      <c r="B494" t="s">
        <v>405</v>
      </c>
      <c r="C494" s="10">
        <v>352791393807431</v>
      </c>
      <c r="D494" t="s">
        <v>15</v>
      </c>
      <c r="E494" s="5">
        <v>4460</v>
      </c>
      <c r="F494" s="5">
        <v>4440</v>
      </c>
      <c r="G494" s="5">
        <v>20</v>
      </c>
      <c r="H494" s="5">
        <v>0.45</v>
      </c>
      <c r="I494" t="s">
        <v>404</v>
      </c>
    </row>
    <row r="495" spans="1:9" x14ac:dyDescent="0.25">
      <c r="A495" t="s">
        <v>343</v>
      </c>
      <c r="B495" t="s">
        <v>405</v>
      </c>
      <c r="C495" s="10">
        <v>357063608210552</v>
      </c>
      <c r="D495" t="s">
        <v>15</v>
      </c>
      <c r="E495" s="5">
        <v>4460</v>
      </c>
      <c r="F495" s="5">
        <v>4440</v>
      </c>
      <c r="G495" s="5">
        <v>20</v>
      </c>
      <c r="H495" s="5">
        <v>0.45</v>
      </c>
      <c r="I495" t="s">
        <v>404</v>
      </c>
    </row>
    <row r="496" spans="1:9" x14ac:dyDescent="0.25">
      <c r="A496" t="s">
        <v>343</v>
      </c>
      <c r="B496" t="s">
        <v>58</v>
      </c>
      <c r="C496" s="10">
        <v>350599869414539</v>
      </c>
      <c r="D496" t="s">
        <v>15</v>
      </c>
      <c r="E496" s="5">
        <v>3545</v>
      </c>
      <c r="F496" s="5">
        <v>3338.7</v>
      </c>
      <c r="G496" s="5">
        <v>206.3</v>
      </c>
      <c r="H496" s="5">
        <v>6.18</v>
      </c>
      <c r="I496" t="s">
        <v>20</v>
      </c>
    </row>
    <row r="497" spans="1:9" x14ac:dyDescent="0.25">
      <c r="A497" t="s">
        <v>343</v>
      </c>
      <c r="B497" t="s">
        <v>58</v>
      </c>
      <c r="C497" s="10">
        <v>353837411197401</v>
      </c>
      <c r="D497" t="s">
        <v>15</v>
      </c>
      <c r="E497" s="5">
        <v>3545</v>
      </c>
      <c r="F497" s="5">
        <v>3338.7</v>
      </c>
      <c r="G497" s="5">
        <v>206.3</v>
      </c>
      <c r="H497" s="5">
        <v>6.18</v>
      </c>
      <c r="I497" t="s">
        <v>20</v>
      </c>
    </row>
    <row r="498" spans="1:9" x14ac:dyDescent="0.25">
      <c r="A498" t="s">
        <v>343</v>
      </c>
      <c r="B498" t="s">
        <v>58</v>
      </c>
      <c r="C498" s="10">
        <v>355246658872551</v>
      </c>
      <c r="D498" t="s">
        <v>65</v>
      </c>
      <c r="E498" s="5">
        <v>4570</v>
      </c>
      <c r="F498" s="5">
        <v>4272.1000000000004</v>
      </c>
      <c r="G498" s="5">
        <v>297.89999999999998</v>
      </c>
      <c r="H498" s="5">
        <v>6.97</v>
      </c>
      <c r="I498" t="s">
        <v>20</v>
      </c>
    </row>
    <row r="499" spans="1:9" x14ac:dyDescent="0.25">
      <c r="A499" t="s">
        <v>343</v>
      </c>
      <c r="B499" t="s">
        <v>58</v>
      </c>
      <c r="C499" s="10">
        <v>355246659007686</v>
      </c>
      <c r="D499" t="s">
        <v>65</v>
      </c>
      <c r="E499" s="5">
        <v>4570</v>
      </c>
      <c r="F499" s="5">
        <v>4272.1000000000004</v>
      </c>
      <c r="G499" s="5">
        <v>297.89999999999998</v>
      </c>
      <c r="H499" s="5">
        <v>6.97</v>
      </c>
      <c r="I499" t="s">
        <v>20</v>
      </c>
    </row>
    <row r="500" spans="1:9" x14ac:dyDescent="0.25">
      <c r="A500" t="s">
        <v>343</v>
      </c>
      <c r="B500" t="s">
        <v>58</v>
      </c>
      <c r="C500" s="10">
        <v>355246659168132</v>
      </c>
      <c r="D500" t="s">
        <v>65</v>
      </c>
      <c r="E500" s="5">
        <v>4570</v>
      </c>
      <c r="F500" s="5">
        <v>4272.1000000000004</v>
      </c>
      <c r="G500" s="5">
        <v>297.89999999999998</v>
      </c>
      <c r="H500" s="5">
        <v>6.97</v>
      </c>
      <c r="I500" t="s">
        <v>20</v>
      </c>
    </row>
    <row r="501" spans="1:9" x14ac:dyDescent="0.25">
      <c r="A501" t="s">
        <v>343</v>
      </c>
      <c r="B501" t="s">
        <v>58</v>
      </c>
      <c r="C501" s="10">
        <v>356364249592973</v>
      </c>
      <c r="D501" t="s">
        <v>15</v>
      </c>
      <c r="E501" s="5">
        <v>3300</v>
      </c>
      <c r="F501" s="5">
        <v>3195.1</v>
      </c>
      <c r="G501" s="5">
        <v>104.9</v>
      </c>
      <c r="H501" s="5">
        <v>3.28</v>
      </c>
      <c r="I501" t="s">
        <v>20</v>
      </c>
    </row>
    <row r="502" spans="1:9" x14ac:dyDescent="0.25">
      <c r="A502" t="s">
        <v>343</v>
      </c>
      <c r="B502" t="s">
        <v>61</v>
      </c>
      <c r="C502" s="10">
        <v>356188168371030</v>
      </c>
      <c r="D502" t="s">
        <v>27</v>
      </c>
      <c r="E502" s="5">
        <v>4800</v>
      </c>
      <c r="F502" s="5">
        <v>4272.1000000000004</v>
      </c>
      <c r="G502" s="5">
        <v>527.9</v>
      </c>
      <c r="H502" s="5">
        <v>12.36</v>
      </c>
      <c r="I502" t="s">
        <v>20</v>
      </c>
    </row>
    <row r="503" spans="1:9" x14ac:dyDescent="0.25">
      <c r="A503" t="s">
        <v>343</v>
      </c>
      <c r="B503" t="s">
        <v>273</v>
      </c>
      <c r="C503" s="10" t="s">
        <v>406</v>
      </c>
      <c r="D503" t="s">
        <v>15</v>
      </c>
      <c r="E503" s="5">
        <v>1650</v>
      </c>
      <c r="F503" s="5">
        <v>1525.75</v>
      </c>
      <c r="G503" s="5">
        <v>124.25</v>
      </c>
      <c r="H503" s="5">
        <v>8.14</v>
      </c>
      <c r="I503" t="s">
        <v>20</v>
      </c>
    </row>
    <row r="504" spans="1:9" x14ac:dyDescent="0.25">
      <c r="A504" s="2" t="s">
        <v>343</v>
      </c>
      <c r="B504" s="2" t="s">
        <v>407</v>
      </c>
      <c r="C504" s="12">
        <v>815820024125</v>
      </c>
      <c r="D504" s="2" t="s">
        <v>15</v>
      </c>
      <c r="E504" s="6">
        <v>1</v>
      </c>
      <c r="F504" s="6">
        <v>89.75</v>
      </c>
      <c r="G504" s="6">
        <v>-88.75</v>
      </c>
      <c r="H504" s="6">
        <v>-98.89</v>
      </c>
      <c r="I504" s="2" t="s">
        <v>20</v>
      </c>
    </row>
    <row r="505" spans="1:9" x14ac:dyDescent="0.25">
      <c r="A505" t="s">
        <v>343</v>
      </c>
      <c r="B505" t="s">
        <v>289</v>
      </c>
      <c r="C505" s="10" t="s">
        <v>290</v>
      </c>
      <c r="D505" t="s">
        <v>15</v>
      </c>
      <c r="E505" s="5">
        <v>1650</v>
      </c>
      <c r="F505" s="5">
        <v>1364.2</v>
      </c>
      <c r="G505" s="5">
        <v>285.8</v>
      </c>
      <c r="H505" s="5">
        <v>20.95</v>
      </c>
      <c r="I505" t="s">
        <v>20</v>
      </c>
    </row>
    <row r="506" spans="1:9" x14ac:dyDescent="0.25">
      <c r="A506" t="s">
        <v>343</v>
      </c>
      <c r="B506" t="s">
        <v>289</v>
      </c>
      <c r="C506" s="10" t="s">
        <v>291</v>
      </c>
      <c r="D506" t="s">
        <v>15</v>
      </c>
      <c r="E506" s="5">
        <v>1650</v>
      </c>
      <c r="F506" s="5">
        <v>1364.2</v>
      </c>
      <c r="G506" s="5">
        <v>285.8</v>
      </c>
      <c r="H506" s="5">
        <v>20.95</v>
      </c>
      <c r="I506" t="s">
        <v>20</v>
      </c>
    </row>
    <row r="507" spans="1:9" x14ac:dyDescent="0.25">
      <c r="A507" t="s">
        <v>343</v>
      </c>
      <c r="B507" t="s">
        <v>289</v>
      </c>
      <c r="C507" s="10" t="s">
        <v>292</v>
      </c>
      <c r="D507" t="s">
        <v>15</v>
      </c>
      <c r="E507" s="5">
        <v>1650</v>
      </c>
      <c r="F507" s="5">
        <v>1364.2</v>
      </c>
      <c r="G507" s="5">
        <v>285.8</v>
      </c>
      <c r="H507" s="5">
        <v>20.95</v>
      </c>
      <c r="I507" t="s">
        <v>20</v>
      </c>
    </row>
    <row r="508" spans="1:9" x14ac:dyDescent="0.25">
      <c r="A508" s="2" t="s">
        <v>343</v>
      </c>
      <c r="B508" s="2" t="s">
        <v>408</v>
      </c>
      <c r="C508" s="12" t="s">
        <v>409</v>
      </c>
      <c r="D508" s="2" t="s">
        <v>15</v>
      </c>
      <c r="E508" s="6">
        <v>770</v>
      </c>
      <c r="F508" s="6">
        <v>841.5</v>
      </c>
      <c r="G508" s="6">
        <v>-71.5</v>
      </c>
      <c r="H508" s="6">
        <v>-8.5</v>
      </c>
      <c r="I508" s="2" t="s">
        <v>16</v>
      </c>
    </row>
    <row r="509" spans="1:9" x14ac:dyDescent="0.25">
      <c r="A509" s="2" t="s">
        <v>343</v>
      </c>
      <c r="B509" s="2" t="s">
        <v>410</v>
      </c>
      <c r="C509" s="12" t="s">
        <v>411</v>
      </c>
      <c r="D509" s="2" t="s">
        <v>15</v>
      </c>
      <c r="E509" s="6">
        <v>700</v>
      </c>
      <c r="F509" s="6">
        <v>1293.3800000000001</v>
      </c>
      <c r="G509" s="6">
        <v>-593.38</v>
      </c>
      <c r="H509" s="6">
        <v>-45.88</v>
      </c>
      <c r="I509" s="2" t="s">
        <v>20</v>
      </c>
    </row>
    <row r="510" spans="1:9" x14ac:dyDescent="0.25">
      <c r="A510" t="s">
        <v>343</v>
      </c>
      <c r="B510" t="s">
        <v>412</v>
      </c>
      <c r="C510" s="10" t="s">
        <v>413</v>
      </c>
      <c r="D510" t="s">
        <v>15</v>
      </c>
      <c r="E510" s="5">
        <v>700</v>
      </c>
      <c r="F510" s="5">
        <v>646</v>
      </c>
      <c r="G510" s="5">
        <v>54</v>
      </c>
      <c r="H510" s="5">
        <v>8.36</v>
      </c>
      <c r="I510" t="s">
        <v>20</v>
      </c>
    </row>
    <row r="511" spans="1:9" x14ac:dyDescent="0.25">
      <c r="A511" t="s">
        <v>343</v>
      </c>
      <c r="B511" t="s">
        <v>412</v>
      </c>
      <c r="C511" s="10" t="s">
        <v>414</v>
      </c>
      <c r="D511" t="s">
        <v>15</v>
      </c>
      <c r="E511" s="5">
        <v>700</v>
      </c>
      <c r="F511" s="5">
        <v>4</v>
      </c>
      <c r="G511" s="5">
        <v>696</v>
      </c>
      <c r="H511" s="5">
        <v>17400</v>
      </c>
      <c r="I511" t="s">
        <v>299</v>
      </c>
    </row>
    <row r="512" spans="1:9" x14ac:dyDescent="0.25">
      <c r="A512" t="s">
        <v>343</v>
      </c>
      <c r="B512" t="s">
        <v>415</v>
      </c>
      <c r="C512" s="10" t="s">
        <v>416</v>
      </c>
      <c r="D512" t="s">
        <v>15</v>
      </c>
      <c r="E512" s="5">
        <v>540</v>
      </c>
      <c r="F512" s="5">
        <v>481.95</v>
      </c>
      <c r="G512" s="5">
        <v>58.05</v>
      </c>
      <c r="H512" s="5">
        <v>12.04</v>
      </c>
      <c r="I512" t="s">
        <v>20</v>
      </c>
    </row>
    <row r="513" spans="1:9" x14ac:dyDescent="0.25">
      <c r="A513" t="s">
        <v>343</v>
      </c>
      <c r="B513" t="s">
        <v>415</v>
      </c>
      <c r="C513" s="10" t="s">
        <v>417</v>
      </c>
      <c r="D513" t="s">
        <v>15</v>
      </c>
      <c r="E513" s="5">
        <v>540</v>
      </c>
      <c r="F513" s="5">
        <v>481.95</v>
      </c>
      <c r="G513" s="5">
        <v>58.05</v>
      </c>
      <c r="H513" s="5">
        <v>12.04</v>
      </c>
      <c r="I513" t="s">
        <v>20</v>
      </c>
    </row>
    <row r="514" spans="1:9" x14ac:dyDescent="0.25">
      <c r="A514" t="s">
        <v>418</v>
      </c>
      <c r="B514" t="s">
        <v>68</v>
      </c>
      <c r="C514" s="10" t="s">
        <v>419</v>
      </c>
      <c r="D514" t="s">
        <v>15</v>
      </c>
      <c r="E514" s="5">
        <v>635</v>
      </c>
      <c r="F514" s="5">
        <v>633.88</v>
      </c>
      <c r="G514" s="5">
        <v>1.1200000000000001</v>
      </c>
      <c r="H514" s="5">
        <v>0.18</v>
      </c>
      <c r="I514" t="s">
        <v>16</v>
      </c>
    </row>
    <row r="515" spans="1:9" x14ac:dyDescent="0.25">
      <c r="A515" t="s">
        <v>418</v>
      </c>
      <c r="B515" t="s">
        <v>68</v>
      </c>
      <c r="C515" s="10" t="s">
        <v>420</v>
      </c>
      <c r="D515" t="s">
        <v>15</v>
      </c>
      <c r="E515" s="5">
        <v>635</v>
      </c>
      <c r="F515" s="5">
        <v>633.88</v>
      </c>
      <c r="G515" s="5">
        <v>1.1200000000000001</v>
      </c>
      <c r="H515" s="5">
        <v>0.18</v>
      </c>
      <c r="I515" t="s">
        <v>16</v>
      </c>
    </row>
    <row r="516" spans="1:9" x14ac:dyDescent="0.25">
      <c r="A516" t="s">
        <v>418</v>
      </c>
      <c r="B516" t="s">
        <v>68</v>
      </c>
      <c r="C516" s="10" t="s">
        <v>421</v>
      </c>
      <c r="D516" t="s">
        <v>15</v>
      </c>
      <c r="E516" s="5">
        <v>635</v>
      </c>
      <c r="F516" s="5">
        <v>633.88</v>
      </c>
      <c r="G516" s="5">
        <v>1.1200000000000001</v>
      </c>
      <c r="H516" s="5">
        <v>0.18</v>
      </c>
      <c r="I516" t="s">
        <v>16</v>
      </c>
    </row>
    <row r="517" spans="1:9" x14ac:dyDescent="0.25">
      <c r="A517" t="s">
        <v>418</v>
      </c>
      <c r="B517" t="s">
        <v>68</v>
      </c>
      <c r="C517" s="10" t="s">
        <v>422</v>
      </c>
      <c r="D517" t="s">
        <v>15</v>
      </c>
      <c r="E517" s="5">
        <v>635</v>
      </c>
      <c r="F517" s="5">
        <v>633.88</v>
      </c>
      <c r="G517" s="5">
        <v>1.1200000000000001</v>
      </c>
      <c r="H517" s="5">
        <v>0.18</v>
      </c>
      <c r="I517" t="s">
        <v>16</v>
      </c>
    </row>
    <row r="518" spans="1:9" x14ac:dyDescent="0.25">
      <c r="A518" t="s">
        <v>418</v>
      </c>
      <c r="B518" t="s">
        <v>68</v>
      </c>
      <c r="C518" s="10" t="s">
        <v>423</v>
      </c>
      <c r="D518" t="s">
        <v>15</v>
      </c>
      <c r="E518" s="5">
        <v>635</v>
      </c>
      <c r="F518" s="5">
        <v>633.88</v>
      </c>
      <c r="G518" s="5">
        <v>1.1200000000000001</v>
      </c>
      <c r="H518" s="5">
        <v>0.18</v>
      </c>
      <c r="I518" t="s">
        <v>16</v>
      </c>
    </row>
    <row r="519" spans="1:9" x14ac:dyDescent="0.25">
      <c r="A519" t="s">
        <v>418</v>
      </c>
      <c r="B519" t="s">
        <v>68</v>
      </c>
      <c r="C519" s="10" t="s">
        <v>424</v>
      </c>
      <c r="D519" t="s">
        <v>15</v>
      </c>
      <c r="E519" s="5">
        <v>635</v>
      </c>
      <c r="F519" s="5">
        <v>633.88</v>
      </c>
      <c r="G519" s="5">
        <v>1.1200000000000001</v>
      </c>
      <c r="H519" s="5">
        <v>0.18</v>
      </c>
      <c r="I519" t="s">
        <v>16</v>
      </c>
    </row>
    <row r="520" spans="1:9" x14ac:dyDescent="0.25">
      <c r="A520" t="s">
        <v>418</v>
      </c>
      <c r="B520" t="s">
        <v>68</v>
      </c>
      <c r="C520" s="10" t="s">
        <v>425</v>
      </c>
      <c r="D520" t="s">
        <v>15</v>
      </c>
      <c r="E520" s="5">
        <v>635</v>
      </c>
      <c r="F520" s="5">
        <v>633.88</v>
      </c>
      <c r="G520" s="5">
        <v>1.1200000000000001</v>
      </c>
      <c r="H520" s="5">
        <v>0.18</v>
      </c>
      <c r="I520" t="s">
        <v>16</v>
      </c>
    </row>
    <row r="521" spans="1:9" x14ac:dyDescent="0.25">
      <c r="A521" t="s">
        <v>418</v>
      </c>
      <c r="B521" t="s">
        <v>68</v>
      </c>
      <c r="C521" s="10" t="s">
        <v>426</v>
      </c>
      <c r="D521" t="s">
        <v>15</v>
      </c>
      <c r="E521" s="5">
        <v>635</v>
      </c>
      <c r="F521" s="5">
        <v>633.88</v>
      </c>
      <c r="G521" s="5">
        <v>1.1200000000000001</v>
      </c>
      <c r="H521" s="5">
        <v>0.18</v>
      </c>
      <c r="I521" t="s">
        <v>16</v>
      </c>
    </row>
    <row r="522" spans="1:9" x14ac:dyDescent="0.25">
      <c r="A522" t="s">
        <v>418</v>
      </c>
      <c r="B522" t="s">
        <v>68</v>
      </c>
      <c r="C522" s="10" t="s">
        <v>427</v>
      </c>
      <c r="D522" t="s">
        <v>15</v>
      </c>
      <c r="E522" s="5">
        <v>635</v>
      </c>
      <c r="F522" s="5">
        <v>633.88</v>
      </c>
      <c r="G522" s="5">
        <v>1.1200000000000001</v>
      </c>
      <c r="H522" s="5">
        <v>0.18</v>
      </c>
      <c r="I522" t="s">
        <v>16</v>
      </c>
    </row>
    <row r="523" spans="1:9" x14ac:dyDescent="0.25">
      <c r="A523" s="2" t="s">
        <v>418</v>
      </c>
      <c r="B523" s="2" t="s">
        <v>68</v>
      </c>
      <c r="C523" s="12" t="s">
        <v>428</v>
      </c>
      <c r="D523" s="2" t="s">
        <v>15</v>
      </c>
      <c r="E523" s="6">
        <v>635</v>
      </c>
      <c r="F523" s="6">
        <v>637</v>
      </c>
      <c r="G523" s="6">
        <v>-2</v>
      </c>
      <c r="H523" s="6">
        <v>-0.31</v>
      </c>
      <c r="I523" s="2" t="s">
        <v>70</v>
      </c>
    </row>
    <row r="524" spans="1:9" x14ac:dyDescent="0.25">
      <c r="A524" s="2" t="s">
        <v>418</v>
      </c>
      <c r="B524" s="2" t="s">
        <v>68</v>
      </c>
      <c r="C524" s="12" t="s">
        <v>429</v>
      </c>
      <c r="D524" s="2" t="s">
        <v>15</v>
      </c>
      <c r="E524" s="6">
        <v>635</v>
      </c>
      <c r="F524" s="6">
        <v>637</v>
      </c>
      <c r="G524" s="6">
        <v>-2</v>
      </c>
      <c r="H524" s="6">
        <v>-0.31</v>
      </c>
      <c r="I524" s="2" t="s">
        <v>70</v>
      </c>
    </row>
    <row r="525" spans="1:9" x14ac:dyDescent="0.25">
      <c r="A525" s="2" t="s">
        <v>418</v>
      </c>
      <c r="B525" s="2" t="s">
        <v>68</v>
      </c>
      <c r="C525" s="12" t="s">
        <v>430</v>
      </c>
      <c r="D525" s="2" t="s">
        <v>15</v>
      </c>
      <c r="E525" s="6">
        <v>635</v>
      </c>
      <c r="F525" s="6">
        <v>637</v>
      </c>
      <c r="G525" s="6">
        <v>-2</v>
      </c>
      <c r="H525" s="6">
        <v>-0.31</v>
      </c>
      <c r="I525" s="2" t="s">
        <v>70</v>
      </c>
    </row>
    <row r="526" spans="1:9" x14ac:dyDescent="0.25">
      <c r="A526" s="2" t="s">
        <v>418</v>
      </c>
      <c r="B526" s="2" t="s">
        <v>68</v>
      </c>
      <c r="C526" s="12" t="s">
        <v>431</v>
      </c>
      <c r="D526" s="2" t="s">
        <v>15</v>
      </c>
      <c r="E526" s="6">
        <v>635</v>
      </c>
      <c r="F526" s="6">
        <v>637</v>
      </c>
      <c r="G526" s="6">
        <v>-2</v>
      </c>
      <c r="H526" s="6">
        <v>-0.31</v>
      </c>
      <c r="I526" s="2" t="s">
        <v>70</v>
      </c>
    </row>
    <row r="527" spans="1:9" x14ac:dyDescent="0.25">
      <c r="A527" s="2" t="s">
        <v>418</v>
      </c>
      <c r="B527" s="2" t="s">
        <v>68</v>
      </c>
      <c r="C527" s="12" t="s">
        <v>432</v>
      </c>
      <c r="D527" s="2" t="s">
        <v>15</v>
      </c>
      <c r="E527" s="6">
        <v>635</v>
      </c>
      <c r="F527" s="6">
        <v>637</v>
      </c>
      <c r="G527" s="6">
        <v>-2</v>
      </c>
      <c r="H527" s="6">
        <v>-0.31</v>
      </c>
      <c r="I527" s="2" t="s">
        <v>70</v>
      </c>
    </row>
    <row r="528" spans="1:9" x14ac:dyDescent="0.25">
      <c r="A528" t="s">
        <v>418</v>
      </c>
      <c r="B528" t="s">
        <v>85</v>
      </c>
      <c r="C528" s="10">
        <v>351399086670404</v>
      </c>
      <c r="D528" t="s">
        <v>15</v>
      </c>
      <c r="E528" s="5">
        <v>1569.62</v>
      </c>
      <c r="F528" s="5">
        <v>1005.2</v>
      </c>
      <c r="G528" s="5">
        <v>564.41999999999996</v>
      </c>
      <c r="H528" s="5">
        <v>56.15</v>
      </c>
      <c r="I528" t="s">
        <v>20</v>
      </c>
    </row>
    <row r="529" spans="1:9" x14ac:dyDescent="0.25">
      <c r="A529" t="s">
        <v>418</v>
      </c>
      <c r="B529" t="s">
        <v>433</v>
      </c>
      <c r="C529" s="10">
        <v>357463447012518</v>
      </c>
      <c r="D529" t="s">
        <v>15</v>
      </c>
      <c r="E529" s="5">
        <v>2461.5300000000002</v>
      </c>
      <c r="F529" s="5">
        <v>1687.3</v>
      </c>
      <c r="G529" s="5">
        <v>774.23</v>
      </c>
      <c r="H529" s="5">
        <v>45.89</v>
      </c>
      <c r="I529" t="s">
        <v>20</v>
      </c>
    </row>
    <row r="530" spans="1:9" x14ac:dyDescent="0.25">
      <c r="A530" t="s">
        <v>418</v>
      </c>
      <c r="B530" t="s">
        <v>64</v>
      </c>
      <c r="C530" s="10">
        <v>351317527261690</v>
      </c>
      <c r="D530" t="s">
        <v>15</v>
      </c>
      <c r="E530" s="5">
        <v>3291.13</v>
      </c>
      <c r="F530" s="5">
        <v>2700</v>
      </c>
      <c r="G530" s="5">
        <v>591.13</v>
      </c>
      <c r="H530" s="5">
        <v>21.89</v>
      </c>
      <c r="I530" t="s">
        <v>39</v>
      </c>
    </row>
    <row r="531" spans="1:9" x14ac:dyDescent="0.25">
      <c r="A531" t="s">
        <v>418</v>
      </c>
      <c r="B531" t="s">
        <v>64</v>
      </c>
      <c r="C531" s="10">
        <v>352190327455278</v>
      </c>
      <c r="D531" t="s">
        <v>15</v>
      </c>
      <c r="E531" s="5">
        <v>3443.03</v>
      </c>
      <c r="F531" s="5">
        <v>2850</v>
      </c>
      <c r="G531" s="5">
        <v>593.03</v>
      </c>
      <c r="H531" s="5">
        <v>20.81</v>
      </c>
      <c r="I531" t="s">
        <v>39</v>
      </c>
    </row>
    <row r="532" spans="1:9" x14ac:dyDescent="0.25">
      <c r="A532" t="s">
        <v>418</v>
      </c>
      <c r="B532" t="s">
        <v>64</v>
      </c>
      <c r="C532" s="10">
        <v>355079360679018</v>
      </c>
      <c r="D532" t="s">
        <v>15</v>
      </c>
      <c r="E532" s="5">
        <v>3569.62</v>
      </c>
      <c r="F532" s="5">
        <v>3000</v>
      </c>
      <c r="G532" s="5">
        <v>569.62</v>
      </c>
      <c r="H532" s="5">
        <v>18.989999999999998</v>
      </c>
      <c r="I532" t="s">
        <v>39</v>
      </c>
    </row>
    <row r="533" spans="1:9" x14ac:dyDescent="0.25">
      <c r="A533" t="s">
        <v>418</v>
      </c>
      <c r="B533" t="s">
        <v>64</v>
      </c>
      <c r="C533" s="10">
        <v>355832518355554</v>
      </c>
      <c r="D533" t="s">
        <v>15</v>
      </c>
      <c r="E533" s="5">
        <v>3354.43</v>
      </c>
      <c r="F533" s="5">
        <v>2700</v>
      </c>
      <c r="G533" s="5">
        <v>654.42999999999995</v>
      </c>
      <c r="H533" s="5">
        <v>24.24</v>
      </c>
      <c r="I533" t="s">
        <v>39</v>
      </c>
    </row>
    <row r="534" spans="1:9" x14ac:dyDescent="0.25">
      <c r="A534" t="s">
        <v>418</v>
      </c>
      <c r="B534" t="s">
        <v>58</v>
      </c>
      <c r="C534" s="10">
        <v>357329444402202</v>
      </c>
      <c r="D534" t="s">
        <v>26</v>
      </c>
      <c r="E534" s="5">
        <v>4075.94</v>
      </c>
      <c r="F534" s="5">
        <v>3446.4</v>
      </c>
      <c r="G534" s="5">
        <v>629.54</v>
      </c>
      <c r="H534" s="5">
        <v>18.27</v>
      </c>
      <c r="I534" t="s">
        <v>20</v>
      </c>
    </row>
    <row r="535" spans="1:9" x14ac:dyDescent="0.25">
      <c r="A535" t="s">
        <v>418</v>
      </c>
      <c r="B535" t="s">
        <v>58</v>
      </c>
      <c r="C535" s="10">
        <v>357329444677837</v>
      </c>
      <c r="D535" t="s">
        <v>26</v>
      </c>
      <c r="E535" s="5">
        <v>4075.94</v>
      </c>
      <c r="F535" s="5">
        <v>3446.4</v>
      </c>
      <c r="G535" s="5">
        <v>629.54</v>
      </c>
      <c r="H535" s="5">
        <v>18.27</v>
      </c>
      <c r="I535" t="s">
        <v>20</v>
      </c>
    </row>
    <row r="536" spans="1:9" x14ac:dyDescent="0.25">
      <c r="A536" t="s">
        <v>418</v>
      </c>
      <c r="B536" t="s">
        <v>58</v>
      </c>
      <c r="C536" s="10">
        <v>358206130687685</v>
      </c>
      <c r="D536" t="s">
        <v>15</v>
      </c>
      <c r="E536" s="5">
        <v>3734.17</v>
      </c>
      <c r="F536" s="5">
        <v>3200</v>
      </c>
      <c r="G536" s="5">
        <v>534.16999999999996</v>
      </c>
      <c r="H536" s="5">
        <v>16.690000000000001</v>
      </c>
      <c r="I536" t="s">
        <v>39</v>
      </c>
    </row>
    <row r="537" spans="1:9" x14ac:dyDescent="0.25">
      <c r="A537" t="s">
        <v>418</v>
      </c>
      <c r="B537" t="s">
        <v>329</v>
      </c>
      <c r="C537" s="10" t="s">
        <v>434</v>
      </c>
      <c r="D537" t="s">
        <v>15</v>
      </c>
      <c r="E537" s="5">
        <v>2115.38</v>
      </c>
      <c r="F537" s="5">
        <v>1513.33</v>
      </c>
      <c r="G537" s="5">
        <v>602.04999999999995</v>
      </c>
      <c r="H537" s="5">
        <v>39.78</v>
      </c>
      <c r="I537" t="s">
        <v>16</v>
      </c>
    </row>
    <row r="538" spans="1:9" x14ac:dyDescent="0.25">
      <c r="A538" t="s">
        <v>418</v>
      </c>
      <c r="B538" t="s">
        <v>329</v>
      </c>
      <c r="C538" s="10" t="s">
        <v>435</v>
      </c>
      <c r="D538" t="s">
        <v>15</v>
      </c>
      <c r="E538" s="5">
        <v>2115.38</v>
      </c>
      <c r="F538" s="5">
        <v>1495.18</v>
      </c>
      <c r="G538" s="5">
        <v>620.20000000000005</v>
      </c>
      <c r="H538" s="5">
        <v>41.48</v>
      </c>
      <c r="I538" t="s">
        <v>16</v>
      </c>
    </row>
    <row r="539" spans="1:9" x14ac:dyDescent="0.25">
      <c r="A539" t="s">
        <v>436</v>
      </c>
      <c r="B539" t="s">
        <v>170</v>
      </c>
      <c r="C539" s="10" t="s">
        <v>437</v>
      </c>
      <c r="D539" t="s">
        <v>15</v>
      </c>
      <c r="E539" s="5">
        <v>750</v>
      </c>
      <c r="F539" s="5">
        <v>718</v>
      </c>
      <c r="G539" s="5">
        <v>32</v>
      </c>
      <c r="H539" s="5">
        <v>4.46</v>
      </c>
      <c r="I539" t="s">
        <v>20</v>
      </c>
    </row>
    <row r="540" spans="1:9" x14ac:dyDescent="0.25">
      <c r="A540" t="s">
        <v>436</v>
      </c>
      <c r="B540" t="s">
        <v>170</v>
      </c>
      <c r="C540" s="10" t="s">
        <v>438</v>
      </c>
      <c r="D540" t="s">
        <v>15</v>
      </c>
      <c r="E540" s="5">
        <v>750</v>
      </c>
      <c r="F540" s="5">
        <v>718</v>
      </c>
      <c r="G540" s="5">
        <v>32</v>
      </c>
      <c r="H540" s="5">
        <v>4.46</v>
      </c>
      <c r="I540" t="s">
        <v>20</v>
      </c>
    </row>
    <row r="541" spans="1:9" x14ac:dyDescent="0.25">
      <c r="A541" t="s">
        <v>436</v>
      </c>
      <c r="B541" t="s">
        <v>170</v>
      </c>
      <c r="C541" s="10" t="s">
        <v>439</v>
      </c>
      <c r="D541" t="s">
        <v>15</v>
      </c>
      <c r="E541" s="5">
        <v>750</v>
      </c>
      <c r="F541" s="5">
        <v>718</v>
      </c>
      <c r="G541" s="5">
        <v>32</v>
      </c>
      <c r="H541" s="5">
        <v>4.46</v>
      </c>
      <c r="I541" t="s">
        <v>20</v>
      </c>
    </row>
    <row r="542" spans="1:9" x14ac:dyDescent="0.25">
      <c r="A542" t="s">
        <v>436</v>
      </c>
      <c r="B542" t="s">
        <v>170</v>
      </c>
      <c r="C542" s="10" t="s">
        <v>440</v>
      </c>
      <c r="D542" t="s">
        <v>15</v>
      </c>
      <c r="E542" s="5">
        <v>750</v>
      </c>
      <c r="F542" s="5">
        <v>718</v>
      </c>
      <c r="G542" s="5">
        <v>32</v>
      </c>
      <c r="H542" s="5">
        <v>4.46</v>
      </c>
      <c r="I542" t="s">
        <v>20</v>
      </c>
    </row>
    <row r="543" spans="1:9" x14ac:dyDescent="0.25">
      <c r="A543" t="s">
        <v>436</v>
      </c>
      <c r="B543" t="s">
        <v>170</v>
      </c>
      <c r="C543" s="10" t="s">
        <v>441</v>
      </c>
      <c r="D543" t="s">
        <v>15</v>
      </c>
      <c r="E543" s="5">
        <v>750</v>
      </c>
      <c r="F543" s="5">
        <v>718</v>
      </c>
      <c r="G543" s="5">
        <v>32</v>
      </c>
      <c r="H543" s="5">
        <v>4.46</v>
      </c>
      <c r="I543" t="s">
        <v>20</v>
      </c>
    </row>
    <row r="544" spans="1:9" x14ac:dyDescent="0.25">
      <c r="A544" t="s">
        <v>436</v>
      </c>
      <c r="B544" t="s">
        <v>170</v>
      </c>
      <c r="C544" s="10" t="s">
        <v>442</v>
      </c>
      <c r="D544" t="s">
        <v>15</v>
      </c>
      <c r="E544" s="5">
        <v>750</v>
      </c>
      <c r="F544" s="5">
        <v>718</v>
      </c>
      <c r="G544" s="5">
        <v>32</v>
      </c>
      <c r="H544" s="5">
        <v>4.46</v>
      </c>
      <c r="I544" t="s">
        <v>20</v>
      </c>
    </row>
    <row r="545" spans="1:9" x14ac:dyDescent="0.25">
      <c r="A545" s="2" t="s">
        <v>436</v>
      </c>
      <c r="B545" s="2" t="s">
        <v>13</v>
      </c>
      <c r="C545" s="12" t="s">
        <v>443</v>
      </c>
      <c r="D545" s="2" t="s">
        <v>444</v>
      </c>
      <c r="E545" s="6">
        <v>9970.52</v>
      </c>
      <c r="F545" s="6">
        <v>11202.84</v>
      </c>
      <c r="G545" s="6">
        <v>-1232.32</v>
      </c>
      <c r="H545" s="6">
        <v>-11</v>
      </c>
      <c r="I545" s="2" t="s">
        <v>70</v>
      </c>
    </row>
    <row r="546" spans="1:9" x14ac:dyDescent="0.25">
      <c r="A546" s="2" t="s">
        <v>436</v>
      </c>
      <c r="B546" s="2" t="s">
        <v>445</v>
      </c>
      <c r="C546" s="12" t="s">
        <v>446</v>
      </c>
      <c r="D546" s="2" t="s">
        <v>444</v>
      </c>
      <c r="E546" s="6">
        <v>7477.89</v>
      </c>
      <c r="F546" s="6">
        <v>8402.1299999999992</v>
      </c>
      <c r="G546" s="6">
        <v>-924.24</v>
      </c>
      <c r="H546" s="6">
        <v>-11</v>
      </c>
      <c r="I546" s="2" t="s">
        <v>70</v>
      </c>
    </row>
    <row r="547" spans="1:9" x14ac:dyDescent="0.25">
      <c r="A547" s="2" t="s">
        <v>436</v>
      </c>
      <c r="B547" s="2" t="s">
        <v>447</v>
      </c>
      <c r="C547" s="12" t="s">
        <v>448</v>
      </c>
      <c r="D547" s="2" t="s">
        <v>444</v>
      </c>
      <c r="E547" s="6">
        <v>1178.33</v>
      </c>
      <c r="F547" s="6">
        <v>1323.97</v>
      </c>
      <c r="G547" s="6">
        <v>-145.63999999999999</v>
      </c>
      <c r="H547" s="6">
        <v>-11</v>
      </c>
      <c r="I547" s="2" t="s">
        <v>70</v>
      </c>
    </row>
    <row r="548" spans="1:9" x14ac:dyDescent="0.25">
      <c r="A548" s="2" t="s">
        <v>436</v>
      </c>
      <c r="B548" s="2" t="s">
        <v>447</v>
      </c>
      <c r="C548" s="12" t="s">
        <v>449</v>
      </c>
      <c r="D548" s="2" t="s">
        <v>444</v>
      </c>
      <c r="E548" s="6">
        <v>1178.33</v>
      </c>
      <c r="F548" s="6">
        <v>1323.97</v>
      </c>
      <c r="G548" s="6">
        <v>-145.63999999999999</v>
      </c>
      <c r="H548" s="6">
        <v>-11</v>
      </c>
      <c r="I548" s="2" t="s">
        <v>70</v>
      </c>
    </row>
    <row r="549" spans="1:9" x14ac:dyDescent="0.25">
      <c r="A549" s="2" t="s">
        <v>436</v>
      </c>
      <c r="B549" s="2" t="s">
        <v>447</v>
      </c>
      <c r="C549" s="12" t="s">
        <v>450</v>
      </c>
      <c r="D549" s="2" t="s">
        <v>444</v>
      </c>
      <c r="E549" s="6">
        <v>1178.33</v>
      </c>
      <c r="F549" s="6">
        <v>1323.97</v>
      </c>
      <c r="G549" s="6">
        <v>-145.63999999999999</v>
      </c>
      <c r="H549" s="6">
        <v>-11</v>
      </c>
      <c r="I549" s="2" t="s">
        <v>70</v>
      </c>
    </row>
    <row r="550" spans="1:9" x14ac:dyDescent="0.25">
      <c r="A550" s="2" t="s">
        <v>436</v>
      </c>
      <c r="B550" s="2" t="s">
        <v>451</v>
      </c>
      <c r="C550" s="12" t="s">
        <v>452</v>
      </c>
      <c r="D550" s="2" t="s">
        <v>444</v>
      </c>
      <c r="E550" s="6">
        <v>3172.44</v>
      </c>
      <c r="F550" s="6">
        <v>3564.54</v>
      </c>
      <c r="G550" s="6">
        <v>-392.1</v>
      </c>
      <c r="H550" s="6">
        <v>-11</v>
      </c>
      <c r="I550" s="2" t="s">
        <v>70</v>
      </c>
    </row>
    <row r="551" spans="1:9" x14ac:dyDescent="0.25">
      <c r="A551" s="2" t="s">
        <v>436</v>
      </c>
      <c r="B551" s="2" t="s">
        <v>451</v>
      </c>
      <c r="C551" s="12" t="s">
        <v>453</v>
      </c>
      <c r="D551" s="2" t="s">
        <v>444</v>
      </c>
      <c r="E551" s="6">
        <v>3172.44</v>
      </c>
      <c r="F551" s="6">
        <v>3564.54</v>
      </c>
      <c r="G551" s="6">
        <v>-392.1</v>
      </c>
      <c r="H551" s="6">
        <v>-11</v>
      </c>
      <c r="I551" s="2" t="s">
        <v>70</v>
      </c>
    </row>
    <row r="552" spans="1:9" x14ac:dyDescent="0.25">
      <c r="A552" s="3" t="s">
        <v>436</v>
      </c>
      <c r="B552" s="3" t="s">
        <v>454</v>
      </c>
      <c r="C552" s="13" t="s">
        <v>455</v>
      </c>
      <c r="D552" s="3" t="s">
        <v>15</v>
      </c>
      <c r="E552" s="7">
        <v>1</v>
      </c>
      <c r="F552" s="7">
        <v>1</v>
      </c>
      <c r="G552" s="7">
        <v>0</v>
      </c>
      <c r="H552" s="7">
        <v>0</v>
      </c>
      <c r="I552" s="3" t="s">
        <v>299</v>
      </c>
    </row>
    <row r="553" spans="1:9" x14ac:dyDescent="0.25">
      <c r="A553" s="3" t="s">
        <v>436</v>
      </c>
      <c r="B553" s="3" t="s">
        <v>454</v>
      </c>
      <c r="C553" s="13" t="s">
        <v>456</v>
      </c>
      <c r="D553" s="3" t="s">
        <v>15</v>
      </c>
      <c r="E553" s="7">
        <v>1</v>
      </c>
      <c r="F553" s="7">
        <v>1</v>
      </c>
      <c r="G553" s="7">
        <v>0</v>
      </c>
      <c r="H553" s="7">
        <v>0</v>
      </c>
      <c r="I553" s="3" t="s">
        <v>299</v>
      </c>
    </row>
    <row r="554" spans="1:9" x14ac:dyDescent="0.25">
      <c r="A554" s="3" t="s">
        <v>436</v>
      </c>
      <c r="B554" s="3" t="s">
        <v>454</v>
      </c>
      <c r="C554" s="13" t="s">
        <v>457</v>
      </c>
      <c r="D554" s="3" t="s">
        <v>15</v>
      </c>
      <c r="E554" s="7">
        <v>1</v>
      </c>
      <c r="F554" s="7">
        <v>1</v>
      </c>
      <c r="G554" s="7">
        <v>0</v>
      </c>
      <c r="H554" s="7">
        <v>0</v>
      </c>
      <c r="I554" s="3" t="s">
        <v>299</v>
      </c>
    </row>
    <row r="555" spans="1:9" x14ac:dyDescent="0.25">
      <c r="A555" s="3" t="s">
        <v>436</v>
      </c>
      <c r="B555" s="3" t="s">
        <v>454</v>
      </c>
      <c r="C555" s="13" t="s">
        <v>458</v>
      </c>
      <c r="D555" s="3" t="s">
        <v>15</v>
      </c>
      <c r="E555" s="7">
        <v>1</v>
      </c>
      <c r="F555" s="7">
        <v>1</v>
      </c>
      <c r="G555" s="7">
        <v>0</v>
      </c>
      <c r="H555" s="7">
        <v>0</v>
      </c>
      <c r="I555" s="3" t="s">
        <v>299</v>
      </c>
    </row>
    <row r="556" spans="1:9" x14ac:dyDescent="0.25">
      <c r="A556" s="3" t="s">
        <v>436</v>
      </c>
      <c r="B556" s="3" t="s">
        <v>454</v>
      </c>
      <c r="C556" s="13" t="s">
        <v>459</v>
      </c>
      <c r="D556" s="3" t="s">
        <v>15</v>
      </c>
      <c r="E556" s="7">
        <v>1</v>
      </c>
      <c r="F556" s="7">
        <v>1</v>
      </c>
      <c r="G556" s="7">
        <v>0</v>
      </c>
      <c r="H556" s="7">
        <v>0</v>
      </c>
      <c r="I556" s="3" t="s">
        <v>299</v>
      </c>
    </row>
    <row r="557" spans="1:9" x14ac:dyDescent="0.25">
      <c r="A557" s="2" t="s">
        <v>436</v>
      </c>
      <c r="B557" s="2" t="s">
        <v>150</v>
      </c>
      <c r="C557" s="12">
        <v>353335921105733</v>
      </c>
      <c r="D557" s="2" t="s">
        <v>15</v>
      </c>
      <c r="E557" s="6">
        <v>2130</v>
      </c>
      <c r="F557" s="6">
        <v>2350</v>
      </c>
      <c r="G557" s="6">
        <v>-220</v>
      </c>
      <c r="H557" s="6">
        <v>-9.36</v>
      </c>
      <c r="I557" s="2" t="s">
        <v>39</v>
      </c>
    </row>
    <row r="558" spans="1:9" x14ac:dyDescent="0.25">
      <c r="A558" t="s">
        <v>436</v>
      </c>
      <c r="B558" t="s">
        <v>55</v>
      </c>
      <c r="C558" s="10">
        <v>354717534936118</v>
      </c>
      <c r="D558" t="s">
        <v>15</v>
      </c>
      <c r="E558" s="5">
        <v>2430.37</v>
      </c>
      <c r="F558" s="5">
        <v>2046.3</v>
      </c>
      <c r="G558" s="5">
        <v>384.07</v>
      </c>
      <c r="H558" s="5">
        <v>18.77</v>
      </c>
      <c r="I558" t="s">
        <v>20</v>
      </c>
    </row>
    <row r="559" spans="1:9" x14ac:dyDescent="0.25">
      <c r="A559" t="s">
        <v>436</v>
      </c>
      <c r="B559" t="s">
        <v>58</v>
      </c>
      <c r="C559" s="10">
        <v>353497852090191</v>
      </c>
      <c r="D559" t="s">
        <v>26</v>
      </c>
      <c r="E559" s="5">
        <v>3683.54</v>
      </c>
      <c r="F559" s="5">
        <v>3446.4</v>
      </c>
      <c r="G559" s="5">
        <v>237.14</v>
      </c>
      <c r="H559" s="5">
        <v>6.88</v>
      </c>
      <c r="I559" t="s">
        <v>20</v>
      </c>
    </row>
    <row r="560" spans="1:9" x14ac:dyDescent="0.25">
      <c r="A560" t="s">
        <v>436</v>
      </c>
      <c r="B560" t="s">
        <v>58</v>
      </c>
      <c r="C560" s="10">
        <v>356188169002535</v>
      </c>
      <c r="D560" t="s">
        <v>26</v>
      </c>
      <c r="E560" s="5">
        <v>3683.54</v>
      </c>
      <c r="F560" s="5">
        <v>3213</v>
      </c>
      <c r="G560" s="5">
        <v>470.54</v>
      </c>
      <c r="H560" s="5">
        <v>14.64</v>
      </c>
      <c r="I560" t="s">
        <v>20</v>
      </c>
    </row>
    <row r="561" spans="1:9" x14ac:dyDescent="0.25">
      <c r="A561" s="2" t="s">
        <v>436</v>
      </c>
      <c r="B561" s="2" t="s">
        <v>460</v>
      </c>
      <c r="C561" s="12" t="s">
        <v>461</v>
      </c>
      <c r="D561" s="2" t="s">
        <v>444</v>
      </c>
      <c r="E561" s="6">
        <v>6682.51</v>
      </c>
      <c r="F561" s="6">
        <v>7508.44</v>
      </c>
      <c r="G561" s="6">
        <v>-825.93</v>
      </c>
      <c r="H561" s="6">
        <v>-11</v>
      </c>
      <c r="I561" s="2" t="s">
        <v>70</v>
      </c>
    </row>
    <row r="562" spans="1:9" x14ac:dyDescent="0.25">
      <c r="A562" t="s">
        <v>436</v>
      </c>
      <c r="B562" t="s">
        <v>295</v>
      </c>
      <c r="C562" s="10" t="s">
        <v>462</v>
      </c>
      <c r="D562" t="s">
        <v>15</v>
      </c>
      <c r="E562" s="5">
        <v>1540</v>
      </c>
      <c r="F562" s="5">
        <v>1502.19</v>
      </c>
      <c r="G562" s="5">
        <v>37.81</v>
      </c>
      <c r="H562" s="5">
        <v>2.52</v>
      </c>
      <c r="I562" t="s">
        <v>70</v>
      </c>
    </row>
    <row r="563" spans="1:9" x14ac:dyDescent="0.25">
      <c r="A563" t="s">
        <v>436</v>
      </c>
      <c r="B563" t="s">
        <v>295</v>
      </c>
      <c r="C563" s="10" t="s">
        <v>463</v>
      </c>
      <c r="D563" t="s">
        <v>15</v>
      </c>
      <c r="E563" s="5">
        <v>1540</v>
      </c>
      <c r="F563" s="5">
        <v>1502.19</v>
      </c>
      <c r="G563" s="5">
        <v>37.81</v>
      </c>
      <c r="H563" s="5">
        <v>2.52</v>
      </c>
      <c r="I563" t="s">
        <v>70</v>
      </c>
    </row>
    <row r="564" spans="1:9" x14ac:dyDescent="0.25">
      <c r="A564" t="s">
        <v>436</v>
      </c>
      <c r="B564" t="s">
        <v>295</v>
      </c>
      <c r="C564" s="10" t="s">
        <v>464</v>
      </c>
      <c r="D564" t="s">
        <v>15</v>
      </c>
      <c r="E564" s="5">
        <v>1540</v>
      </c>
      <c r="F564" s="5">
        <v>1502.19</v>
      </c>
      <c r="G564" s="5">
        <v>37.81</v>
      </c>
      <c r="H564" s="5">
        <v>2.52</v>
      </c>
      <c r="I564" t="s">
        <v>70</v>
      </c>
    </row>
    <row r="565" spans="1:9" x14ac:dyDescent="0.25">
      <c r="A565" t="s">
        <v>436</v>
      </c>
      <c r="B565" t="s">
        <v>295</v>
      </c>
      <c r="C565" s="10" t="s">
        <v>465</v>
      </c>
      <c r="D565" t="s">
        <v>15</v>
      </c>
      <c r="E565" s="5">
        <v>1540</v>
      </c>
      <c r="F565" s="5">
        <v>1502.19</v>
      </c>
      <c r="G565" s="5">
        <v>37.81</v>
      </c>
      <c r="H565" s="5">
        <v>2.52</v>
      </c>
      <c r="I565" t="s">
        <v>70</v>
      </c>
    </row>
    <row r="566" spans="1:9" x14ac:dyDescent="0.25">
      <c r="A566" t="s">
        <v>466</v>
      </c>
      <c r="B566" t="s">
        <v>467</v>
      </c>
      <c r="C566" s="10">
        <v>359836518197367</v>
      </c>
      <c r="D566" t="s">
        <v>15</v>
      </c>
      <c r="E566" s="5">
        <v>1392.4</v>
      </c>
      <c r="F566" s="5">
        <v>1078.5</v>
      </c>
      <c r="G566" s="5">
        <v>313.89999999999998</v>
      </c>
      <c r="H566" s="5">
        <v>29.11</v>
      </c>
      <c r="I566" t="s">
        <v>20</v>
      </c>
    </row>
    <row r="567" spans="1:9" x14ac:dyDescent="0.25">
      <c r="A567" t="s">
        <v>466</v>
      </c>
      <c r="B567" t="s">
        <v>55</v>
      </c>
      <c r="C567" s="10">
        <v>354666659216865</v>
      </c>
      <c r="D567" t="s">
        <v>15</v>
      </c>
      <c r="E567" s="5">
        <v>2740</v>
      </c>
      <c r="F567" s="5">
        <v>2692.5</v>
      </c>
      <c r="G567" s="5">
        <v>47.5</v>
      </c>
      <c r="H567" s="5">
        <v>1.76</v>
      </c>
      <c r="I567" t="s">
        <v>20</v>
      </c>
    </row>
    <row r="568" spans="1:9" x14ac:dyDescent="0.25">
      <c r="A568" t="s">
        <v>466</v>
      </c>
      <c r="B568" t="s">
        <v>55</v>
      </c>
      <c r="C568" s="10">
        <v>354666659768618</v>
      </c>
      <c r="D568" t="s">
        <v>15</v>
      </c>
      <c r="E568" s="5">
        <v>2740</v>
      </c>
      <c r="F568" s="5">
        <v>2692.5</v>
      </c>
      <c r="G568" s="5">
        <v>47.5</v>
      </c>
      <c r="H568" s="5">
        <v>1.76</v>
      </c>
      <c r="I568" t="s">
        <v>20</v>
      </c>
    </row>
    <row r="569" spans="1:9" x14ac:dyDescent="0.25">
      <c r="A569" t="s">
        <v>466</v>
      </c>
      <c r="B569" t="s">
        <v>55</v>
      </c>
      <c r="C569" s="10">
        <v>354666659937353</v>
      </c>
      <c r="D569" t="s">
        <v>15</v>
      </c>
      <c r="E569" s="5">
        <v>2740</v>
      </c>
      <c r="F569" s="5">
        <v>2692.5</v>
      </c>
      <c r="G569" s="5">
        <v>47.5</v>
      </c>
      <c r="H569" s="5">
        <v>1.76</v>
      </c>
      <c r="I569" t="s">
        <v>20</v>
      </c>
    </row>
    <row r="570" spans="1:9" x14ac:dyDescent="0.25">
      <c r="A570" t="s">
        <v>466</v>
      </c>
      <c r="B570" t="s">
        <v>55</v>
      </c>
      <c r="C570" s="10">
        <v>355714605268900</v>
      </c>
      <c r="D570" t="s">
        <v>65</v>
      </c>
      <c r="E570" s="5">
        <v>2740</v>
      </c>
      <c r="F570" s="5">
        <v>2677.5</v>
      </c>
      <c r="G570" s="5">
        <v>62.5</v>
      </c>
      <c r="H570" s="5">
        <v>2.33</v>
      </c>
      <c r="I570" t="s">
        <v>20</v>
      </c>
    </row>
    <row r="571" spans="1:9" x14ac:dyDescent="0.25">
      <c r="A571" t="s">
        <v>466</v>
      </c>
      <c r="B571" t="s">
        <v>55</v>
      </c>
      <c r="C571" s="10">
        <v>359371454638463</v>
      </c>
      <c r="D571" t="s">
        <v>15</v>
      </c>
      <c r="E571" s="5">
        <v>2740</v>
      </c>
      <c r="F571" s="5">
        <v>2692.5</v>
      </c>
      <c r="G571" s="5">
        <v>47.5</v>
      </c>
      <c r="H571" s="5">
        <v>1.76</v>
      </c>
      <c r="I571" t="s">
        <v>20</v>
      </c>
    </row>
    <row r="572" spans="1:9" x14ac:dyDescent="0.25">
      <c r="A572" t="s">
        <v>466</v>
      </c>
      <c r="B572" t="s">
        <v>468</v>
      </c>
      <c r="C572" s="10">
        <v>358352972640471</v>
      </c>
      <c r="D572" t="s">
        <v>15</v>
      </c>
      <c r="E572" s="5">
        <v>531.64</v>
      </c>
      <c r="F572" s="5">
        <v>295</v>
      </c>
      <c r="G572" s="5">
        <v>236.64</v>
      </c>
      <c r="H572" s="5">
        <v>80.22</v>
      </c>
      <c r="I572" t="s">
        <v>20</v>
      </c>
    </row>
    <row r="573" spans="1:9" x14ac:dyDescent="0.25">
      <c r="A573" t="s">
        <v>466</v>
      </c>
      <c r="B573" t="s">
        <v>469</v>
      </c>
      <c r="C573" s="10">
        <v>359636864068653</v>
      </c>
      <c r="D573" t="s">
        <v>15</v>
      </c>
      <c r="E573" s="5">
        <v>354.43</v>
      </c>
      <c r="F573" s="5">
        <v>108</v>
      </c>
      <c r="G573" s="5">
        <v>246.43</v>
      </c>
      <c r="H573" s="5">
        <v>228.18</v>
      </c>
      <c r="I573" t="s">
        <v>20</v>
      </c>
    </row>
    <row r="574" spans="1:9" x14ac:dyDescent="0.25">
      <c r="A574" t="s">
        <v>466</v>
      </c>
      <c r="B574" t="s">
        <v>470</v>
      </c>
      <c r="C574" s="10">
        <v>353490912585953</v>
      </c>
      <c r="D574" t="s">
        <v>15</v>
      </c>
      <c r="E574" s="5">
        <v>354.43</v>
      </c>
      <c r="F574" s="5">
        <v>270</v>
      </c>
      <c r="G574" s="5">
        <v>84.43</v>
      </c>
      <c r="H574" s="5">
        <v>31.27</v>
      </c>
      <c r="I574" t="s">
        <v>20</v>
      </c>
    </row>
    <row r="575" spans="1:9" x14ac:dyDescent="0.25">
      <c r="A575" t="s">
        <v>466</v>
      </c>
      <c r="B575" t="s">
        <v>329</v>
      </c>
      <c r="C575" s="10" t="s">
        <v>471</v>
      </c>
      <c r="D575" t="s">
        <v>15</v>
      </c>
      <c r="E575" s="5">
        <v>2088.6</v>
      </c>
      <c r="F575" s="5">
        <v>1581.76</v>
      </c>
      <c r="G575" s="5">
        <v>506.84</v>
      </c>
      <c r="H575" s="5">
        <v>32.04</v>
      </c>
      <c r="I575" t="s">
        <v>20</v>
      </c>
    </row>
    <row r="576" spans="1:9" x14ac:dyDescent="0.25">
      <c r="A576" t="s">
        <v>472</v>
      </c>
      <c r="B576" t="s">
        <v>55</v>
      </c>
      <c r="C576" s="10">
        <v>355714601350611</v>
      </c>
      <c r="D576" t="s">
        <v>15</v>
      </c>
      <c r="E576" s="5">
        <v>2443.0300000000002</v>
      </c>
      <c r="F576" s="5">
        <v>2046.3</v>
      </c>
      <c r="G576" s="5">
        <v>396.73</v>
      </c>
      <c r="H576" s="5">
        <v>19.39</v>
      </c>
      <c r="I576" t="s">
        <v>20</v>
      </c>
    </row>
    <row r="577" spans="1:9" x14ac:dyDescent="0.25">
      <c r="A577" t="s">
        <v>472</v>
      </c>
      <c r="B577" t="s">
        <v>61</v>
      </c>
      <c r="C577" s="10">
        <v>355224257251246</v>
      </c>
      <c r="D577" t="s">
        <v>15</v>
      </c>
      <c r="E577" s="5">
        <v>4164.55</v>
      </c>
      <c r="F577" s="5">
        <v>3300</v>
      </c>
      <c r="G577" s="5">
        <v>864.55</v>
      </c>
      <c r="H577" s="5">
        <v>26.2</v>
      </c>
      <c r="I577" t="s">
        <v>39</v>
      </c>
    </row>
    <row r="578" spans="1:9" x14ac:dyDescent="0.25">
      <c r="A578" t="s">
        <v>472</v>
      </c>
      <c r="B578" t="s">
        <v>61</v>
      </c>
      <c r="C578" s="10">
        <v>359614548843338</v>
      </c>
      <c r="D578" t="s">
        <v>15</v>
      </c>
      <c r="E578" s="5">
        <v>4215.18</v>
      </c>
      <c r="F578" s="5">
        <v>3300</v>
      </c>
      <c r="G578" s="5">
        <v>915.18</v>
      </c>
      <c r="H578" s="5">
        <v>27.73</v>
      </c>
      <c r="I578" t="s">
        <v>39</v>
      </c>
    </row>
    <row r="579" spans="1:9" x14ac:dyDescent="0.25">
      <c r="A579" s="2" t="s">
        <v>473</v>
      </c>
      <c r="B579" s="2" t="s">
        <v>474</v>
      </c>
      <c r="C579" s="12">
        <v>351117220319542</v>
      </c>
      <c r="D579" s="2" t="s">
        <v>46</v>
      </c>
      <c r="E579" s="6">
        <v>740</v>
      </c>
      <c r="F579" s="6">
        <v>825.7</v>
      </c>
      <c r="G579" s="6">
        <v>-85.7</v>
      </c>
      <c r="H579" s="6">
        <v>-10.38</v>
      </c>
      <c r="I579" s="2" t="s">
        <v>20</v>
      </c>
    </row>
    <row r="580" spans="1:9" x14ac:dyDescent="0.25">
      <c r="A580" s="2" t="s">
        <v>473</v>
      </c>
      <c r="B580" s="2" t="s">
        <v>475</v>
      </c>
      <c r="C580" s="12">
        <v>357550247373999</v>
      </c>
      <c r="D580" s="2" t="s">
        <v>15</v>
      </c>
      <c r="E580" s="6">
        <v>840</v>
      </c>
      <c r="F580" s="6">
        <v>900</v>
      </c>
      <c r="G580" s="6">
        <v>-60</v>
      </c>
      <c r="H580" s="6">
        <v>-6.67</v>
      </c>
      <c r="I580" s="2" t="s">
        <v>39</v>
      </c>
    </row>
    <row r="581" spans="1:9" x14ac:dyDescent="0.25">
      <c r="A581" t="s">
        <v>473</v>
      </c>
      <c r="B581" t="s">
        <v>476</v>
      </c>
      <c r="C581" s="10">
        <v>358911634406827</v>
      </c>
      <c r="D581" t="s">
        <v>27</v>
      </c>
      <c r="E581" s="5">
        <v>1200</v>
      </c>
      <c r="F581" s="5">
        <v>1041.0999999999999</v>
      </c>
      <c r="G581" s="5">
        <v>158.9</v>
      </c>
      <c r="H581" s="5">
        <v>15.26</v>
      </c>
      <c r="I581" t="s">
        <v>20</v>
      </c>
    </row>
    <row r="582" spans="1:9" x14ac:dyDescent="0.25">
      <c r="A582" t="s">
        <v>473</v>
      </c>
      <c r="B582" t="s">
        <v>477</v>
      </c>
      <c r="C582" s="10" t="s">
        <v>478</v>
      </c>
      <c r="D582" t="s">
        <v>15</v>
      </c>
      <c r="E582" s="5">
        <v>1180</v>
      </c>
      <c r="F582" s="5">
        <v>1148.8</v>
      </c>
      <c r="G582" s="5">
        <v>31.2</v>
      </c>
      <c r="H582" s="5">
        <v>2.72</v>
      </c>
      <c r="I582" t="s">
        <v>20</v>
      </c>
    </row>
    <row r="583" spans="1:9" x14ac:dyDescent="0.25">
      <c r="A583" t="s">
        <v>473</v>
      </c>
      <c r="B583" t="s">
        <v>477</v>
      </c>
      <c r="C583" s="10" t="s">
        <v>479</v>
      </c>
      <c r="D583" t="s">
        <v>15</v>
      </c>
      <c r="E583" s="5">
        <v>1180</v>
      </c>
      <c r="F583" s="5">
        <v>1148.8</v>
      </c>
      <c r="G583" s="5">
        <v>31.2</v>
      </c>
      <c r="H583" s="5">
        <v>2.72</v>
      </c>
      <c r="I583" t="s">
        <v>20</v>
      </c>
    </row>
    <row r="584" spans="1:9" x14ac:dyDescent="0.25">
      <c r="A584" t="s">
        <v>473</v>
      </c>
      <c r="B584" t="s">
        <v>148</v>
      </c>
      <c r="C584" s="10">
        <v>356187983891693</v>
      </c>
      <c r="D584" t="s">
        <v>15</v>
      </c>
      <c r="E584" s="5">
        <v>2440</v>
      </c>
      <c r="F584" s="5">
        <v>2380</v>
      </c>
      <c r="G584" s="5">
        <v>60</v>
      </c>
      <c r="H584" s="5">
        <v>2.52</v>
      </c>
      <c r="I584" t="s">
        <v>39</v>
      </c>
    </row>
    <row r="585" spans="1:9" x14ac:dyDescent="0.25">
      <c r="A585" t="s">
        <v>473</v>
      </c>
      <c r="B585" t="s">
        <v>148</v>
      </c>
      <c r="C585" s="10">
        <v>358135793125933</v>
      </c>
      <c r="D585" t="s">
        <v>15</v>
      </c>
      <c r="E585" s="5">
        <v>2440</v>
      </c>
      <c r="F585" s="5">
        <v>2380</v>
      </c>
      <c r="G585" s="5">
        <v>60</v>
      </c>
      <c r="H585" s="5">
        <v>2.52</v>
      </c>
      <c r="I585" t="s">
        <v>39</v>
      </c>
    </row>
    <row r="586" spans="1:9" x14ac:dyDescent="0.25">
      <c r="A586" t="s">
        <v>473</v>
      </c>
      <c r="B586" t="s">
        <v>148</v>
      </c>
      <c r="C586" s="10">
        <v>358135794004590</v>
      </c>
      <c r="D586" t="s">
        <v>15</v>
      </c>
      <c r="E586" s="5">
        <v>2500</v>
      </c>
      <c r="F586" s="5">
        <v>2380</v>
      </c>
      <c r="G586" s="5">
        <v>120</v>
      </c>
      <c r="H586" s="5">
        <v>5.04</v>
      </c>
      <c r="I586" t="s">
        <v>39</v>
      </c>
    </row>
    <row r="587" spans="1:9" x14ac:dyDescent="0.25">
      <c r="A587" t="s">
        <v>473</v>
      </c>
      <c r="B587" t="s">
        <v>480</v>
      </c>
      <c r="C587" s="10">
        <v>354136652903232</v>
      </c>
      <c r="D587" t="s">
        <v>15</v>
      </c>
      <c r="E587" s="5">
        <v>2379.7399999999998</v>
      </c>
      <c r="F587" s="5">
        <v>1938.6</v>
      </c>
      <c r="G587" s="5">
        <v>441.14</v>
      </c>
      <c r="H587" s="5">
        <v>22.76</v>
      </c>
      <c r="I587" t="s">
        <v>20</v>
      </c>
    </row>
    <row r="588" spans="1:9" x14ac:dyDescent="0.25">
      <c r="A588" t="s">
        <v>473</v>
      </c>
      <c r="B588" t="s">
        <v>158</v>
      </c>
      <c r="C588" s="10">
        <v>350773436222036</v>
      </c>
      <c r="D588" t="s">
        <v>15</v>
      </c>
      <c r="E588" s="5">
        <v>2170</v>
      </c>
      <c r="F588" s="5">
        <v>2154</v>
      </c>
      <c r="G588" s="5">
        <v>16</v>
      </c>
      <c r="H588" s="5">
        <v>0.74</v>
      </c>
      <c r="I588" t="s">
        <v>20</v>
      </c>
    </row>
    <row r="589" spans="1:9" x14ac:dyDescent="0.25">
      <c r="A589" t="s">
        <v>473</v>
      </c>
      <c r="B589" t="s">
        <v>158</v>
      </c>
      <c r="C589" s="10">
        <v>351614401317857</v>
      </c>
      <c r="D589" t="s">
        <v>26</v>
      </c>
      <c r="E589" s="5">
        <v>2170</v>
      </c>
      <c r="F589" s="5">
        <v>2154</v>
      </c>
      <c r="G589" s="5">
        <v>16</v>
      </c>
      <c r="H589" s="5">
        <v>0.74</v>
      </c>
      <c r="I589" t="s">
        <v>20</v>
      </c>
    </row>
    <row r="590" spans="1:9" x14ac:dyDescent="0.25">
      <c r="A590" t="s">
        <v>473</v>
      </c>
      <c r="B590" t="s">
        <v>158</v>
      </c>
      <c r="C590" s="10">
        <v>353484621259737</v>
      </c>
      <c r="D590" t="s">
        <v>481</v>
      </c>
      <c r="E590" s="5">
        <v>2170</v>
      </c>
      <c r="F590" s="5">
        <v>2142</v>
      </c>
      <c r="G590" s="5">
        <v>28</v>
      </c>
      <c r="H590" s="5">
        <v>1.31</v>
      </c>
      <c r="I590" t="s">
        <v>20</v>
      </c>
    </row>
    <row r="591" spans="1:9" x14ac:dyDescent="0.25">
      <c r="A591" t="s">
        <v>473</v>
      </c>
      <c r="B591" t="s">
        <v>158</v>
      </c>
      <c r="C591" s="10">
        <v>354423233904396</v>
      </c>
      <c r="D591" t="s">
        <v>482</v>
      </c>
      <c r="E591" s="5">
        <v>2170</v>
      </c>
      <c r="F591" s="5">
        <v>2142</v>
      </c>
      <c r="G591" s="5">
        <v>28</v>
      </c>
      <c r="H591" s="5">
        <v>1.31</v>
      </c>
      <c r="I591" t="s">
        <v>20</v>
      </c>
    </row>
    <row r="592" spans="1:9" x14ac:dyDescent="0.25">
      <c r="A592" t="s">
        <v>473</v>
      </c>
      <c r="B592" t="s">
        <v>158</v>
      </c>
      <c r="C592" s="10">
        <v>355445525545842</v>
      </c>
      <c r="D592" t="s">
        <v>15</v>
      </c>
      <c r="E592" s="5">
        <v>2170</v>
      </c>
      <c r="F592" s="5">
        <v>2154</v>
      </c>
      <c r="G592" s="5">
        <v>16</v>
      </c>
      <c r="H592" s="5">
        <v>0.74</v>
      </c>
      <c r="I592" t="s">
        <v>20</v>
      </c>
    </row>
    <row r="593" spans="1:9" x14ac:dyDescent="0.25">
      <c r="A593" t="s">
        <v>473</v>
      </c>
      <c r="B593" t="s">
        <v>158</v>
      </c>
      <c r="C593" s="10">
        <v>357100773012494</v>
      </c>
      <c r="D593" t="s">
        <v>483</v>
      </c>
      <c r="E593" s="5">
        <v>2170</v>
      </c>
      <c r="F593" s="5">
        <v>2142</v>
      </c>
      <c r="G593" s="5">
        <v>28</v>
      </c>
      <c r="H593" s="5">
        <v>1.31</v>
      </c>
      <c r="I593" t="s">
        <v>20</v>
      </c>
    </row>
    <row r="594" spans="1:9" x14ac:dyDescent="0.25">
      <c r="A594" s="2" t="s">
        <v>473</v>
      </c>
      <c r="B594" s="2" t="s">
        <v>158</v>
      </c>
      <c r="C594" s="12">
        <v>358862982636483</v>
      </c>
      <c r="D594" s="2" t="s">
        <v>484</v>
      </c>
      <c r="E594" s="6">
        <v>2170</v>
      </c>
      <c r="F594" s="6">
        <v>2225.8000000000002</v>
      </c>
      <c r="G594" s="6">
        <v>-55.8</v>
      </c>
      <c r="H594" s="6">
        <v>-2.5099999999999998</v>
      </c>
      <c r="I594" s="2" t="s">
        <v>20</v>
      </c>
    </row>
    <row r="595" spans="1:9" x14ac:dyDescent="0.25">
      <c r="A595" t="s">
        <v>473</v>
      </c>
      <c r="B595" t="s">
        <v>158</v>
      </c>
      <c r="C595" s="10">
        <v>358862983224131</v>
      </c>
      <c r="D595" t="s">
        <v>484</v>
      </c>
      <c r="E595" s="5">
        <v>2170</v>
      </c>
      <c r="F595" s="5">
        <v>2154</v>
      </c>
      <c r="G595" s="5">
        <v>16</v>
      </c>
      <c r="H595" s="5">
        <v>0.74</v>
      </c>
      <c r="I595" t="s">
        <v>20</v>
      </c>
    </row>
    <row r="596" spans="1:9" x14ac:dyDescent="0.25">
      <c r="A596" t="s">
        <v>473</v>
      </c>
      <c r="B596" t="s">
        <v>158</v>
      </c>
      <c r="C596" s="10">
        <v>359906329765163</v>
      </c>
      <c r="D596" t="s">
        <v>15</v>
      </c>
      <c r="E596" s="5">
        <v>2170</v>
      </c>
      <c r="F596" s="5">
        <v>2154</v>
      </c>
      <c r="G596" s="5">
        <v>16</v>
      </c>
      <c r="H596" s="5">
        <v>0.74</v>
      </c>
      <c r="I596" t="s">
        <v>20</v>
      </c>
    </row>
    <row r="597" spans="1:9" x14ac:dyDescent="0.25">
      <c r="A597" t="s">
        <v>473</v>
      </c>
      <c r="B597" t="s">
        <v>61</v>
      </c>
      <c r="C597" s="10">
        <v>353263421036721</v>
      </c>
      <c r="D597" t="s">
        <v>65</v>
      </c>
      <c r="E597" s="5">
        <v>4980</v>
      </c>
      <c r="F597" s="5">
        <v>4667</v>
      </c>
      <c r="G597" s="5">
        <v>313</v>
      </c>
      <c r="H597" s="5">
        <v>6.71</v>
      </c>
      <c r="I597" t="s">
        <v>20</v>
      </c>
    </row>
    <row r="598" spans="1:9" x14ac:dyDescent="0.25">
      <c r="A598" t="s">
        <v>473</v>
      </c>
      <c r="B598" t="s">
        <v>61</v>
      </c>
      <c r="C598" s="10">
        <v>353837419687544</v>
      </c>
      <c r="D598" t="s">
        <v>65</v>
      </c>
      <c r="E598" s="5">
        <v>4980</v>
      </c>
      <c r="F598" s="5">
        <v>4738.8</v>
      </c>
      <c r="G598" s="5">
        <v>241.2</v>
      </c>
      <c r="H598" s="5">
        <v>5.09</v>
      </c>
      <c r="I598" t="s">
        <v>20</v>
      </c>
    </row>
    <row r="599" spans="1:9" x14ac:dyDescent="0.25">
      <c r="A599" t="s">
        <v>485</v>
      </c>
      <c r="B599" t="s">
        <v>329</v>
      </c>
      <c r="C599" s="10" t="s">
        <v>486</v>
      </c>
      <c r="D599" t="s">
        <v>15</v>
      </c>
      <c r="E599" s="5">
        <v>2126.58</v>
      </c>
      <c r="F599" s="5">
        <v>1513.33</v>
      </c>
      <c r="G599" s="5">
        <v>613.25</v>
      </c>
      <c r="H599" s="5">
        <v>40.520000000000003</v>
      </c>
      <c r="I599" t="s">
        <v>16</v>
      </c>
    </row>
    <row r="600" spans="1:9" x14ac:dyDescent="0.25">
      <c r="A600" s="2" t="s">
        <v>487</v>
      </c>
      <c r="B600" s="2" t="s">
        <v>87</v>
      </c>
      <c r="C600" s="12">
        <v>353065382258628</v>
      </c>
      <c r="D600" s="2" t="s">
        <v>15</v>
      </c>
      <c r="E600" s="6">
        <v>3100</v>
      </c>
      <c r="F600" s="6">
        <v>3393</v>
      </c>
      <c r="G600" s="6">
        <v>-293</v>
      </c>
      <c r="H600" s="6">
        <v>-8.64</v>
      </c>
      <c r="I600" s="2" t="s">
        <v>70</v>
      </c>
    </row>
    <row r="601" spans="1:9" x14ac:dyDescent="0.25">
      <c r="A601" t="s">
        <v>487</v>
      </c>
      <c r="B601" t="s">
        <v>488</v>
      </c>
      <c r="C601" s="10" t="s">
        <v>489</v>
      </c>
      <c r="D601" t="s">
        <v>15</v>
      </c>
      <c r="E601" s="5">
        <v>1625</v>
      </c>
      <c r="F601" s="5">
        <v>1410</v>
      </c>
      <c r="G601" s="5">
        <v>215</v>
      </c>
      <c r="H601" s="5">
        <v>15.25</v>
      </c>
      <c r="I601" t="s">
        <v>490</v>
      </c>
    </row>
    <row r="602" spans="1:9" x14ac:dyDescent="0.25">
      <c r="A602" t="s">
        <v>487</v>
      </c>
      <c r="B602" t="s">
        <v>488</v>
      </c>
      <c r="C602" s="10" t="s">
        <v>491</v>
      </c>
      <c r="D602" t="s">
        <v>15</v>
      </c>
      <c r="E602" s="5">
        <v>1625</v>
      </c>
      <c r="F602" s="5">
        <v>1410</v>
      </c>
      <c r="G602" s="5">
        <v>215</v>
      </c>
      <c r="H602" s="5">
        <v>15.25</v>
      </c>
      <c r="I602" t="s">
        <v>490</v>
      </c>
    </row>
    <row r="603" spans="1:9" x14ac:dyDescent="0.25">
      <c r="A603" t="s">
        <v>487</v>
      </c>
      <c r="B603" t="s">
        <v>488</v>
      </c>
      <c r="C603" s="10" t="s">
        <v>492</v>
      </c>
      <c r="D603" t="s">
        <v>15</v>
      </c>
      <c r="E603" s="5">
        <v>1625</v>
      </c>
      <c r="F603" s="5">
        <v>1410</v>
      </c>
      <c r="G603" s="5">
        <v>215</v>
      </c>
      <c r="H603" s="5">
        <v>15.25</v>
      </c>
      <c r="I603" t="s">
        <v>490</v>
      </c>
    </row>
    <row r="604" spans="1:9" x14ac:dyDescent="0.25">
      <c r="A604" t="s">
        <v>487</v>
      </c>
      <c r="B604" t="s">
        <v>488</v>
      </c>
      <c r="C604" s="10" t="s">
        <v>493</v>
      </c>
      <c r="D604" t="s">
        <v>15</v>
      </c>
      <c r="E604" s="5">
        <v>1625</v>
      </c>
      <c r="F604" s="5">
        <v>1410</v>
      </c>
      <c r="G604" s="5">
        <v>215</v>
      </c>
      <c r="H604" s="5">
        <v>15.25</v>
      </c>
      <c r="I604" t="s">
        <v>490</v>
      </c>
    </row>
    <row r="605" spans="1:9" x14ac:dyDescent="0.25">
      <c r="A605" t="s">
        <v>487</v>
      </c>
      <c r="B605" t="s">
        <v>488</v>
      </c>
      <c r="C605" s="10" t="s">
        <v>494</v>
      </c>
      <c r="D605" t="s">
        <v>15</v>
      </c>
      <c r="E605" s="5">
        <v>1625</v>
      </c>
      <c r="F605" s="5">
        <v>1410</v>
      </c>
      <c r="G605" s="5">
        <v>215</v>
      </c>
      <c r="H605" s="5">
        <v>15.25</v>
      </c>
      <c r="I605" t="s">
        <v>490</v>
      </c>
    </row>
    <row r="606" spans="1:9" x14ac:dyDescent="0.25">
      <c r="A606" t="s">
        <v>495</v>
      </c>
      <c r="B606" t="s">
        <v>51</v>
      </c>
      <c r="C606" s="10">
        <v>352355703295107</v>
      </c>
      <c r="D606" t="s">
        <v>15</v>
      </c>
      <c r="E606" s="5">
        <v>3950</v>
      </c>
      <c r="F606" s="5">
        <v>3900</v>
      </c>
      <c r="G606" s="5">
        <v>50</v>
      </c>
      <c r="H606" s="5">
        <v>1.28</v>
      </c>
      <c r="I606" t="s">
        <v>39</v>
      </c>
    </row>
    <row r="607" spans="1:9" x14ac:dyDescent="0.25">
      <c r="A607" t="s">
        <v>495</v>
      </c>
      <c r="B607" t="s">
        <v>51</v>
      </c>
      <c r="C607" s="10">
        <v>352355709093084</v>
      </c>
      <c r="D607" t="s">
        <v>15</v>
      </c>
      <c r="E607" s="5">
        <v>3950</v>
      </c>
      <c r="F607" s="5">
        <v>3900</v>
      </c>
      <c r="G607" s="5">
        <v>50</v>
      </c>
      <c r="H607" s="5">
        <v>1.28</v>
      </c>
      <c r="I607" t="s">
        <v>39</v>
      </c>
    </row>
    <row r="608" spans="1:9" x14ac:dyDescent="0.25">
      <c r="A608" t="s">
        <v>496</v>
      </c>
      <c r="B608" t="s">
        <v>497</v>
      </c>
      <c r="C608" s="10">
        <v>352676524778959</v>
      </c>
      <c r="D608" t="s">
        <v>15</v>
      </c>
      <c r="E608" s="5">
        <v>1924.05</v>
      </c>
      <c r="F608" s="5">
        <v>1797.5</v>
      </c>
      <c r="G608" s="5">
        <v>126.55</v>
      </c>
      <c r="H608" s="5">
        <v>7.04</v>
      </c>
      <c r="I608" t="s">
        <v>20</v>
      </c>
    </row>
    <row r="609" spans="1:9" x14ac:dyDescent="0.25">
      <c r="A609" t="s">
        <v>496</v>
      </c>
      <c r="B609" t="s">
        <v>497</v>
      </c>
      <c r="C609" s="10">
        <v>357275795101812</v>
      </c>
      <c r="D609" t="s">
        <v>15</v>
      </c>
      <c r="E609" s="5">
        <v>1924.05</v>
      </c>
      <c r="F609" s="5">
        <v>1833.45</v>
      </c>
      <c r="G609" s="5">
        <v>90.6</v>
      </c>
      <c r="H609" s="5">
        <v>4.9400000000000004</v>
      </c>
      <c r="I609" t="s">
        <v>20</v>
      </c>
    </row>
    <row r="610" spans="1:9" x14ac:dyDescent="0.25">
      <c r="A610" t="s">
        <v>498</v>
      </c>
      <c r="B610" t="s">
        <v>58</v>
      </c>
      <c r="C610" s="10">
        <v>357431261821892</v>
      </c>
      <c r="D610" t="s">
        <v>15</v>
      </c>
      <c r="E610" s="5">
        <v>3493.67</v>
      </c>
      <c r="F610" s="5">
        <v>2979.7</v>
      </c>
      <c r="G610" s="5">
        <v>513.97</v>
      </c>
      <c r="H610" s="5">
        <v>17.25</v>
      </c>
      <c r="I610" t="s">
        <v>20</v>
      </c>
    </row>
    <row r="611" spans="1:9" x14ac:dyDescent="0.25">
      <c r="A611" t="s">
        <v>498</v>
      </c>
      <c r="B611" t="s">
        <v>341</v>
      </c>
      <c r="C611" s="10" t="s">
        <v>499</v>
      </c>
      <c r="D611" t="s">
        <v>15</v>
      </c>
      <c r="E611" s="5">
        <v>5200</v>
      </c>
      <c r="F611" s="5">
        <v>3753.63</v>
      </c>
      <c r="G611" s="5">
        <v>1446.37</v>
      </c>
      <c r="H611" s="5">
        <v>38.53</v>
      </c>
      <c r="I611" t="s">
        <v>16</v>
      </c>
    </row>
    <row r="612" spans="1:9" x14ac:dyDescent="0.25">
      <c r="A612" s="2" t="s">
        <v>500</v>
      </c>
      <c r="B612" s="2" t="s">
        <v>155</v>
      </c>
      <c r="C612" s="12" t="s">
        <v>501</v>
      </c>
      <c r="D612" s="2" t="s">
        <v>15</v>
      </c>
      <c r="E612" s="6">
        <v>2650</v>
      </c>
      <c r="F612" s="6">
        <v>2741.46</v>
      </c>
      <c r="G612" s="6">
        <v>-91.46</v>
      </c>
      <c r="H612" s="6">
        <v>-3.34</v>
      </c>
      <c r="I612" s="2" t="s">
        <v>16</v>
      </c>
    </row>
    <row r="613" spans="1:9" x14ac:dyDescent="0.25">
      <c r="A613" s="2" t="s">
        <v>500</v>
      </c>
      <c r="B613" s="2" t="s">
        <v>155</v>
      </c>
      <c r="C613" s="12" t="s">
        <v>502</v>
      </c>
      <c r="D613" s="2" t="s">
        <v>15</v>
      </c>
      <c r="E613" s="6">
        <v>2650</v>
      </c>
      <c r="F613" s="6">
        <v>2741.46</v>
      </c>
      <c r="G613" s="6">
        <v>-91.46</v>
      </c>
      <c r="H613" s="6">
        <v>-3.34</v>
      </c>
      <c r="I613" s="2" t="s">
        <v>16</v>
      </c>
    </row>
    <row r="614" spans="1:9" x14ac:dyDescent="0.25">
      <c r="A614" s="2" t="s">
        <v>500</v>
      </c>
      <c r="B614" s="2" t="s">
        <v>155</v>
      </c>
      <c r="C614" s="12" t="s">
        <v>503</v>
      </c>
      <c r="D614" s="2" t="s">
        <v>15</v>
      </c>
      <c r="E614" s="6">
        <v>2650</v>
      </c>
      <c r="F614" s="6">
        <v>2741.46</v>
      </c>
      <c r="G614" s="6">
        <v>-91.46</v>
      </c>
      <c r="H614" s="6">
        <v>-3.34</v>
      </c>
      <c r="I614" s="2" t="s">
        <v>16</v>
      </c>
    </row>
    <row r="615" spans="1:9" x14ac:dyDescent="0.25">
      <c r="A615" s="2" t="s">
        <v>500</v>
      </c>
      <c r="B615" s="2" t="s">
        <v>155</v>
      </c>
      <c r="C615" s="12" t="s">
        <v>504</v>
      </c>
      <c r="D615" s="2" t="s">
        <v>15</v>
      </c>
      <c r="E615" s="6">
        <v>2650</v>
      </c>
      <c r="F615" s="6">
        <v>2741.46</v>
      </c>
      <c r="G615" s="6">
        <v>-91.46</v>
      </c>
      <c r="H615" s="6">
        <v>-3.34</v>
      </c>
      <c r="I615" s="2" t="s">
        <v>16</v>
      </c>
    </row>
    <row r="616" spans="1:9" x14ac:dyDescent="0.25">
      <c r="A616" t="s">
        <v>500</v>
      </c>
      <c r="B616" t="s">
        <v>488</v>
      </c>
      <c r="C616" s="10" t="s">
        <v>505</v>
      </c>
      <c r="D616" t="s">
        <v>15</v>
      </c>
      <c r="E616" s="5">
        <v>1625</v>
      </c>
      <c r="F616" s="5">
        <v>1018.64</v>
      </c>
      <c r="G616" s="5">
        <v>606.36</v>
      </c>
      <c r="H616" s="5">
        <v>59.53</v>
      </c>
      <c r="I616" t="s">
        <v>70</v>
      </c>
    </row>
    <row r="617" spans="1:9" x14ac:dyDescent="0.25">
      <c r="A617" t="s">
        <v>500</v>
      </c>
      <c r="B617" t="s">
        <v>488</v>
      </c>
      <c r="C617" s="10" t="s">
        <v>506</v>
      </c>
      <c r="D617" t="s">
        <v>15</v>
      </c>
      <c r="E617" s="5">
        <v>1625</v>
      </c>
      <c r="F617" s="5">
        <v>1018.64</v>
      </c>
      <c r="G617" s="5">
        <v>606.36</v>
      </c>
      <c r="H617" s="5">
        <v>59.53</v>
      </c>
      <c r="I617" t="s">
        <v>70</v>
      </c>
    </row>
    <row r="618" spans="1:9" x14ac:dyDescent="0.25">
      <c r="A618" t="s">
        <v>500</v>
      </c>
      <c r="B618" t="s">
        <v>488</v>
      </c>
      <c r="C618" s="10" t="s">
        <v>507</v>
      </c>
      <c r="D618" t="s">
        <v>15</v>
      </c>
      <c r="E618" s="5">
        <v>1625</v>
      </c>
      <c r="F618" s="5">
        <v>1018.64</v>
      </c>
      <c r="G618" s="5">
        <v>606.36</v>
      </c>
      <c r="H618" s="5">
        <v>59.53</v>
      </c>
      <c r="I618" t="s">
        <v>70</v>
      </c>
    </row>
    <row r="619" spans="1:9" x14ac:dyDescent="0.25">
      <c r="A619" t="s">
        <v>500</v>
      </c>
      <c r="B619" t="s">
        <v>488</v>
      </c>
      <c r="C619" s="10" t="s">
        <v>508</v>
      </c>
      <c r="D619" t="s">
        <v>15</v>
      </c>
      <c r="E619" s="5">
        <v>1625</v>
      </c>
      <c r="F619" s="5">
        <v>1018.64</v>
      </c>
      <c r="G619" s="5">
        <v>606.36</v>
      </c>
      <c r="H619" s="5">
        <v>59.53</v>
      </c>
      <c r="I619" t="s">
        <v>70</v>
      </c>
    </row>
    <row r="620" spans="1:9" x14ac:dyDescent="0.25">
      <c r="A620" t="s">
        <v>500</v>
      </c>
      <c r="B620" t="s">
        <v>488</v>
      </c>
      <c r="C620" s="10" t="s">
        <v>509</v>
      </c>
      <c r="D620" t="s">
        <v>15</v>
      </c>
      <c r="E620" s="5">
        <v>1625</v>
      </c>
      <c r="F620" s="5">
        <v>1018.64</v>
      </c>
      <c r="G620" s="5">
        <v>606.36</v>
      </c>
      <c r="H620" s="5">
        <v>59.53</v>
      </c>
      <c r="I620" t="s">
        <v>70</v>
      </c>
    </row>
    <row r="621" spans="1:9" x14ac:dyDescent="0.25">
      <c r="A621" t="s">
        <v>500</v>
      </c>
      <c r="B621" t="s">
        <v>488</v>
      </c>
      <c r="C621" s="10" t="s">
        <v>510</v>
      </c>
      <c r="D621" t="s">
        <v>15</v>
      </c>
      <c r="E621" s="5">
        <v>1625</v>
      </c>
      <c r="F621" s="5">
        <v>1018.64</v>
      </c>
      <c r="G621" s="5">
        <v>606.36</v>
      </c>
      <c r="H621" s="5">
        <v>59.53</v>
      </c>
      <c r="I621" t="s">
        <v>70</v>
      </c>
    </row>
    <row r="622" spans="1:9" x14ac:dyDescent="0.25">
      <c r="A622" t="s">
        <v>500</v>
      </c>
      <c r="B622" t="s">
        <v>488</v>
      </c>
      <c r="C622" s="10" t="s">
        <v>511</v>
      </c>
      <c r="D622" t="s">
        <v>15</v>
      </c>
      <c r="E622" s="5">
        <v>1625</v>
      </c>
      <c r="F622" s="5">
        <v>1018.64</v>
      </c>
      <c r="G622" s="5">
        <v>606.36</v>
      </c>
      <c r="H622" s="5">
        <v>59.53</v>
      </c>
      <c r="I622" t="s">
        <v>70</v>
      </c>
    </row>
    <row r="623" spans="1:9" x14ac:dyDescent="0.25">
      <c r="A623" t="s">
        <v>500</v>
      </c>
      <c r="B623" t="s">
        <v>488</v>
      </c>
      <c r="C623" s="10" t="s">
        <v>512</v>
      </c>
      <c r="D623" t="s">
        <v>15</v>
      </c>
      <c r="E623" s="5">
        <v>1625</v>
      </c>
      <c r="F623" s="5">
        <v>1018.64</v>
      </c>
      <c r="G623" s="5">
        <v>606.36</v>
      </c>
      <c r="H623" s="5">
        <v>59.53</v>
      </c>
      <c r="I623" t="s">
        <v>70</v>
      </c>
    </row>
    <row r="624" spans="1:9" x14ac:dyDescent="0.25">
      <c r="A624" t="s">
        <v>500</v>
      </c>
      <c r="B624" t="s">
        <v>488</v>
      </c>
      <c r="C624" s="10" t="s">
        <v>513</v>
      </c>
      <c r="D624" t="s">
        <v>15</v>
      </c>
      <c r="E624" s="5">
        <v>1625</v>
      </c>
      <c r="F624" s="5">
        <v>1018.64</v>
      </c>
      <c r="G624" s="5">
        <v>606.36</v>
      </c>
      <c r="H624" s="5">
        <v>59.53</v>
      </c>
      <c r="I624" t="s">
        <v>70</v>
      </c>
    </row>
    <row r="625" spans="1:9" x14ac:dyDescent="0.25">
      <c r="A625" t="s">
        <v>500</v>
      </c>
      <c r="B625" t="s">
        <v>488</v>
      </c>
      <c r="C625" s="10" t="s">
        <v>514</v>
      </c>
      <c r="D625" t="s">
        <v>15</v>
      </c>
      <c r="E625" s="5">
        <v>1625</v>
      </c>
      <c r="F625" s="5">
        <v>1018.64</v>
      </c>
      <c r="G625" s="5">
        <v>606.36</v>
      </c>
      <c r="H625" s="5">
        <v>59.53</v>
      </c>
      <c r="I625" t="s">
        <v>70</v>
      </c>
    </row>
    <row r="626" spans="1:9" x14ac:dyDescent="0.25">
      <c r="A626" t="s">
        <v>515</v>
      </c>
      <c r="B626" t="s">
        <v>85</v>
      </c>
      <c r="C626" s="10">
        <v>351399080605059</v>
      </c>
      <c r="D626" t="s">
        <v>56</v>
      </c>
      <c r="E626" s="5">
        <v>1468.35</v>
      </c>
      <c r="F626" s="5">
        <v>1005.2</v>
      </c>
      <c r="G626" s="5">
        <v>463.15</v>
      </c>
      <c r="H626" s="5">
        <v>46.08</v>
      </c>
      <c r="I626" t="s">
        <v>20</v>
      </c>
    </row>
    <row r="627" spans="1:9" x14ac:dyDescent="0.25">
      <c r="A627" t="s">
        <v>515</v>
      </c>
      <c r="B627" t="s">
        <v>63</v>
      </c>
      <c r="C627" s="10">
        <v>357253672862772</v>
      </c>
      <c r="D627" t="s">
        <v>56</v>
      </c>
      <c r="E627" s="5">
        <v>1860.75</v>
      </c>
      <c r="F627" s="5">
        <v>1292.4000000000001</v>
      </c>
      <c r="G627" s="5">
        <v>568.35</v>
      </c>
      <c r="H627" s="5">
        <v>43.98</v>
      </c>
      <c r="I627" t="s">
        <v>20</v>
      </c>
    </row>
    <row r="628" spans="1:9" x14ac:dyDescent="0.25">
      <c r="A628" t="s">
        <v>515</v>
      </c>
      <c r="B628" t="s">
        <v>64</v>
      </c>
      <c r="C628" s="10">
        <v>359477634647454</v>
      </c>
      <c r="D628" t="s">
        <v>516</v>
      </c>
      <c r="E628" s="5">
        <v>3316.45</v>
      </c>
      <c r="F628" s="5">
        <v>2750</v>
      </c>
      <c r="G628" s="5">
        <v>566.45000000000005</v>
      </c>
      <c r="H628" s="5">
        <v>20.6</v>
      </c>
      <c r="I628" t="s">
        <v>39</v>
      </c>
    </row>
    <row r="629" spans="1:9" x14ac:dyDescent="0.25">
      <c r="A629" t="s">
        <v>515</v>
      </c>
      <c r="B629" t="s">
        <v>517</v>
      </c>
      <c r="C629" s="10">
        <v>358838942166878</v>
      </c>
      <c r="D629" t="s">
        <v>15</v>
      </c>
      <c r="E629" s="5">
        <v>2670.88</v>
      </c>
      <c r="F629" s="5">
        <v>2225.8000000000002</v>
      </c>
      <c r="G629" s="5">
        <v>445.08</v>
      </c>
      <c r="H629" s="5">
        <v>20</v>
      </c>
      <c r="I629" t="s">
        <v>20</v>
      </c>
    </row>
    <row r="630" spans="1:9" x14ac:dyDescent="0.25">
      <c r="A630" t="s">
        <v>515</v>
      </c>
      <c r="B630" t="s">
        <v>488</v>
      </c>
      <c r="C630" s="10" t="s">
        <v>518</v>
      </c>
      <c r="D630" t="s">
        <v>15</v>
      </c>
      <c r="E630" s="5">
        <v>1620</v>
      </c>
      <c r="F630" s="5">
        <v>1018.64</v>
      </c>
      <c r="G630" s="5">
        <v>601.36</v>
      </c>
      <c r="H630" s="5">
        <v>59.04</v>
      </c>
      <c r="I630" t="s">
        <v>70</v>
      </c>
    </row>
    <row r="631" spans="1:9" x14ac:dyDescent="0.25">
      <c r="A631" t="s">
        <v>515</v>
      </c>
      <c r="B631" t="s">
        <v>488</v>
      </c>
      <c r="C631" s="10" t="s">
        <v>519</v>
      </c>
      <c r="D631" t="s">
        <v>15</v>
      </c>
      <c r="E631" s="5">
        <v>1620</v>
      </c>
      <c r="F631" s="5">
        <v>1018.64</v>
      </c>
      <c r="G631" s="5">
        <v>601.36</v>
      </c>
      <c r="H631" s="5">
        <v>59.04</v>
      </c>
      <c r="I631" t="s">
        <v>70</v>
      </c>
    </row>
    <row r="632" spans="1:9" x14ac:dyDescent="0.25">
      <c r="A632" t="s">
        <v>515</v>
      </c>
      <c r="B632" t="s">
        <v>488</v>
      </c>
      <c r="C632" s="10" t="s">
        <v>520</v>
      </c>
      <c r="D632" t="s">
        <v>15</v>
      </c>
      <c r="E632" s="5">
        <v>1620</v>
      </c>
      <c r="F632" s="5">
        <v>1018.64</v>
      </c>
      <c r="G632" s="5">
        <v>601.36</v>
      </c>
      <c r="H632" s="5">
        <v>59.04</v>
      </c>
      <c r="I632" t="s">
        <v>70</v>
      </c>
    </row>
    <row r="633" spans="1:9" x14ac:dyDescent="0.25">
      <c r="A633" t="s">
        <v>515</v>
      </c>
      <c r="B633" t="s">
        <v>488</v>
      </c>
      <c r="C633" s="10" t="s">
        <v>521</v>
      </c>
      <c r="D633" t="s">
        <v>15</v>
      </c>
      <c r="E633" s="5">
        <v>1620</v>
      </c>
      <c r="F633" s="5">
        <v>1018.64</v>
      </c>
      <c r="G633" s="5">
        <v>601.36</v>
      </c>
      <c r="H633" s="5">
        <v>59.04</v>
      </c>
      <c r="I633" t="s">
        <v>70</v>
      </c>
    </row>
    <row r="634" spans="1:9" x14ac:dyDescent="0.25">
      <c r="A634" t="s">
        <v>515</v>
      </c>
      <c r="B634" t="s">
        <v>488</v>
      </c>
      <c r="C634" s="10" t="s">
        <v>522</v>
      </c>
      <c r="D634" t="s">
        <v>15</v>
      </c>
      <c r="E634" s="5">
        <v>1620</v>
      </c>
      <c r="F634" s="5">
        <v>1018.64</v>
      </c>
      <c r="G634" s="5">
        <v>601.36</v>
      </c>
      <c r="H634" s="5">
        <v>59.04</v>
      </c>
      <c r="I634" t="s">
        <v>70</v>
      </c>
    </row>
    <row r="635" spans="1:9" x14ac:dyDescent="0.25">
      <c r="A635" t="s">
        <v>515</v>
      </c>
      <c r="B635" t="s">
        <v>488</v>
      </c>
      <c r="C635" s="10" t="s">
        <v>523</v>
      </c>
      <c r="D635" t="s">
        <v>15</v>
      </c>
      <c r="E635" s="5">
        <v>1620</v>
      </c>
      <c r="F635" s="5">
        <v>1018.64</v>
      </c>
      <c r="G635" s="5">
        <v>601.36</v>
      </c>
      <c r="H635" s="5">
        <v>59.04</v>
      </c>
      <c r="I635" t="s">
        <v>70</v>
      </c>
    </row>
    <row r="636" spans="1:9" x14ac:dyDescent="0.25">
      <c r="A636" t="s">
        <v>515</v>
      </c>
      <c r="B636" t="s">
        <v>488</v>
      </c>
      <c r="C636" s="10" t="s">
        <v>524</v>
      </c>
      <c r="D636" t="s">
        <v>15</v>
      </c>
      <c r="E636" s="5">
        <v>1620</v>
      </c>
      <c r="F636" s="5">
        <v>1018.64</v>
      </c>
      <c r="G636" s="5">
        <v>601.36</v>
      </c>
      <c r="H636" s="5">
        <v>59.04</v>
      </c>
      <c r="I636" t="s">
        <v>70</v>
      </c>
    </row>
    <row r="637" spans="1:9" x14ac:dyDescent="0.25">
      <c r="A637" t="s">
        <v>515</v>
      </c>
      <c r="B637" t="s">
        <v>488</v>
      </c>
      <c r="C637" s="10" t="s">
        <v>525</v>
      </c>
      <c r="D637" t="s">
        <v>15</v>
      </c>
      <c r="E637" s="5">
        <v>1620</v>
      </c>
      <c r="F637" s="5">
        <v>1018.64</v>
      </c>
      <c r="G637" s="5">
        <v>601.36</v>
      </c>
      <c r="H637" s="5">
        <v>59.04</v>
      </c>
      <c r="I637" t="s">
        <v>70</v>
      </c>
    </row>
    <row r="638" spans="1:9" x14ac:dyDescent="0.25">
      <c r="A638" t="s">
        <v>515</v>
      </c>
      <c r="B638" t="s">
        <v>488</v>
      </c>
      <c r="C638" s="10" t="s">
        <v>526</v>
      </c>
      <c r="D638" t="s">
        <v>15</v>
      </c>
      <c r="E638" s="5">
        <v>1620</v>
      </c>
      <c r="F638" s="5">
        <v>1018.64</v>
      </c>
      <c r="G638" s="5">
        <v>601.36</v>
      </c>
      <c r="H638" s="5">
        <v>59.04</v>
      </c>
      <c r="I638" t="s">
        <v>70</v>
      </c>
    </row>
    <row r="639" spans="1:9" x14ac:dyDescent="0.25">
      <c r="A639" t="s">
        <v>515</v>
      </c>
      <c r="B639" t="s">
        <v>488</v>
      </c>
      <c r="C639" s="10" t="s">
        <v>527</v>
      </c>
      <c r="D639" t="s">
        <v>15</v>
      </c>
      <c r="E639" s="5">
        <v>1620</v>
      </c>
      <c r="F639" s="5">
        <v>1018.64</v>
      </c>
      <c r="G639" s="5">
        <v>601.36</v>
      </c>
      <c r="H639" s="5">
        <v>59.04</v>
      </c>
      <c r="I639" t="s">
        <v>70</v>
      </c>
    </row>
    <row r="640" spans="1:9" x14ac:dyDescent="0.25">
      <c r="A640" t="s">
        <v>515</v>
      </c>
      <c r="B640" t="s">
        <v>488</v>
      </c>
      <c r="C640" s="10" t="s">
        <v>528</v>
      </c>
      <c r="D640" t="s">
        <v>15</v>
      </c>
      <c r="E640" s="5">
        <v>1620</v>
      </c>
      <c r="F640" s="5">
        <v>1018.64</v>
      </c>
      <c r="G640" s="5">
        <v>601.36</v>
      </c>
      <c r="H640" s="5">
        <v>59.04</v>
      </c>
      <c r="I640" t="s">
        <v>70</v>
      </c>
    </row>
    <row r="641" spans="1:9" x14ac:dyDescent="0.25">
      <c r="A641" t="s">
        <v>515</v>
      </c>
      <c r="B641" t="s">
        <v>488</v>
      </c>
      <c r="C641" s="10" t="s">
        <v>529</v>
      </c>
      <c r="D641" t="s">
        <v>15</v>
      </c>
      <c r="E641" s="5">
        <v>1620</v>
      </c>
      <c r="F641" s="5">
        <v>1018.64</v>
      </c>
      <c r="G641" s="5">
        <v>601.36</v>
      </c>
      <c r="H641" s="5">
        <v>59.04</v>
      </c>
      <c r="I641" t="s">
        <v>70</v>
      </c>
    </row>
    <row r="642" spans="1:9" x14ac:dyDescent="0.25">
      <c r="A642" t="s">
        <v>515</v>
      </c>
      <c r="B642" t="s">
        <v>488</v>
      </c>
      <c r="C642" s="10" t="s">
        <v>530</v>
      </c>
      <c r="D642" t="s">
        <v>15</v>
      </c>
      <c r="E642" s="5">
        <v>1620</v>
      </c>
      <c r="F642" s="5">
        <v>1018.64</v>
      </c>
      <c r="G642" s="5">
        <v>601.36</v>
      </c>
      <c r="H642" s="5">
        <v>59.04</v>
      </c>
      <c r="I642" t="s">
        <v>70</v>
      </c>
    </row>
    <row r="643" spans="1:9" x14ac:dyDescent="0.25">
      <c r="A643" t="s">
        <v>515</v>
      </c>
      <c r="B643" t="s">
        <v>488</v>
      </c>
      <c r="C643" s="10" t="s">
        <v>531</v>
      </c>
      <c r="D643" t="s">
        <v>15</v>
      </c>
      <c r="E643" s="5">
        <v>1620</v>
      </c>
      <c r="F643" s="5">
        <v>1018.64</v>
      </c>
      <c r="G643" s="5">
        <v>601.36</v>
      </c>
      <c r="H643" s="5">
        <v>59.04</v>
      </c>
      <c r="I643" t="s">
        <v>70</v>
      </c>
    </row>
    <row r="644" spans="1:9" x14ac:dyDescent="0.25">
      <c r="A644" t="s">
        <v>515</v>
      </c>
      <c r="B644" t="s">
        <v>488</v>
      </c>
      <c r="C644" s="10" t="s">
        <v>532</v>
      </c>
      <c r="D644" t="s">
        <v>15</v>
      </c>
      <c r="E644" s="5">
        <v>1620</v>
      </c>
      <c r="F644" s="5">
        <v>1018.64</v>
      </c>
      <c r="G644" s="5">
        <v>601.36</v>
      </c>
      <c r="H644" s="5">
        <v>59.04</v>
      </c>
      <c r="I644" t="s">
        <v>70</v>
      </c>
    </row>
    <row r="645" spans="1:9" x14ac:dyDescent="0.25">
      <c r="A645" t="s">
        <v>515</v>
      </c>
      <c r="B645" t="s">
        <v>488</v>
      </c>
      <c r="C645" s="10" t="s">
        <v>533</v>
      </c>
      <c r="D645" t="s">
        <v>15</v>
      </c>
      <c r="E645" s="5">
        <v>1620</v>
      </c>
      <c r="F645" s="5">
        <v>1018.64</v>
      </c>
      <c r="G645" s="5">
        <v>601.36</v>
      </c>
      <c r="H645" s="5">
        <v>59.04</v>
      </c>
      <c r="I645" t="s">
        <v>70</v>
      </c>
    </row>
    <row r="646" spans="1:9" x14ac:dyDescent="0.25">
      <c r="A646" t="s">
        <v>515</v>
      </c>
      <c r="B646" t="s">
        <v>488</v>
      </c>
      <c r="C646" s="10" t="s">
        <v>534</v>
      </c>
      <c r="D646" t="s">
        <v>15</v>
      </c>
      <c r="E646" s="5">
        <v>1620</v>
      </c>
      <c r="F646" s="5">
        <v>1018.64</v>
      </c>
      <c r="G646" s="5">
        <v>601.36</v>
      </c>
      <c r="H646" s="5">
        <v>59.04</v>
      </c>
      <c r="I646" t="s">
        <v>70</v>
      </c>
    </row>
    <row r="647" spans="1:9" x14ac:dyDescent="0.25">
      <c r="A647" t="s">
        <v>515</v>
      </c>
      <c r="B647" t="s">
        <v>488</v>
      </c>
      <c r="C647" s="10" t="s">
        <v>535</v>
      </c>
      <c r="D647" t="s">
        <v>15</v>
      </c>
      <c r="E647" s="5">
        <v>1620</v>
      </c>
      <c r="F647" s="5">
        <v>1018.64</v>
      </c>
      <c r="G647" s="5">
        <v>601.36</v>
      </c>
      <c r="H647" s="5">
        <v>59.04</v>
      </c>
      <c r="I647" t="s">
        <v>70</v>
      </c>
    </row>
    <row r="648" spans="1:9" x14ac:dyDescent="0.25">
      <c r="A648" t="s">
        <v>515</v>
      </c>
      <c r="B648" t="s">
        <v>488</v>
      </c>
      <c r="C648" s="10" t="s">
        <v>536</v>
      </c>
      <c r="D648" t="s">
        <v>15</v>
      </c>
      <c r="E648" s="5">
        <v>1620</v>
      </c>
      <c r="F648" s="5">
        <v>1018.64</v>
      </c>
      <c r="G648" s="5">
        <v>601.36</v>
      </c>
      <c r="H648" s="5">
        <v>59.04</v>
      </c>
      <c r="I648" t="s">
        <v>70</v>
      </c>
    </row>
    <row r="649" spans="1:9" x14ac:dyDescent="0.25">
      <c r="A649" t="s">
        <v>515</v>
      </c>
      <c r="B649" t="s">
        <v>488</v>
      </c>
      <c r="C649" s="10" t="s">
        <v>537</v>
      </c>
      <c r="D649" t="s">
        <v>15</v>
      </c>
      <c r="E649" s="5">
        <v>1620</v>
      </c>
      <c r="F649" s="5">
        <v>1018.64</v>
      </c>
      <c r="G649" s="5">
        <v>601.36</v>
      </c>
      <c r="H649" s="5">
        <v>59.04</v>
      </c>
      <c r="I649" t="s">
        <v>70</v>
      </c>
    </row>
    <row r="650" spans="1:9" x14ac:dyDescent="0.25">
      <c r="A650" t="s">
        <v>515</v>
      </c>
      <c r="B650" t="s">
        <v>488</v>
      </c>
      <c r="C650" s="10" t="s">
        <v>538</v>
      </c>
      <c r="D650" t="s">
        <v>15</v>
      </c>
      <c r="E650" s="5">
        <v>1620</v>
      </c>
      <c r="F650" s="5">
        <v>1018.64</v>
      </c>
      <c r="G650" s="5">
        <v>601.36</v>
      </c>
      <c r="H650" s="5">
        <v>59.04</v>
      </c>
      <c r="I650" t="s">
        <v>70</v>
      </c>
    </row>
    <row r="651" spans="1:9" x14ac:dyDescent="0.25">
      <c r="A651" t="s">
        <v>515</v>
      </c>
      <c r="B651" t="s">
        <v>488</v>
      </c>
      <c r="C651" s="10" t="s">
        <v>539</v>
      </c>
      <c r="D651" t="s">
        <v>15</v>
      </c>
      <c r="E651" s="5">
        <v>1620</v>
      </c>
      <c r="F651" s="5">
        <v>1018.64</v>
      </c>
      <c r="G651" s="5">
        <v>601.36</v>
      </c>
      <c r="H651" s="5">
        <v>59.04</v>
      </c>
      <c r="I651" t="s">
        <v>70</v>
      </c>
    </row>
    <row r="652" spans="1:9" x14ac:dyDescent="0.25">
      <c r="A652" t="s">
        <v>515</v>
      </c>
      <c r="B652" t="s">
        <v>488</v>
      </c>
      <c r="C652" s="10" t="s">
        <v>540</v>
      </c>
      <c r="D652" t="s">
        <v>15</v>
      </c>
      <c r="E652" s="5">
        <v>1620</v>
      </c>
      <c r="F652" s="5">
        <v>1018.64</v>
      </c>
      <c r="G652" s="5">
        <v>601.36</v>
      </c>
      <c r="H652" s="5">
        <v>59.04</v>
      </c>
      <c r="I652" t="s">
        <v>70</v>
      </c>
    </row>
    <row r="653" spans="1:9" x14ac:dyDescent="0.25">
      <c r="A653" t="s">
        <v>515</v>
      </c>
      <c r="B653" t="s">
        <v>488</v>
      </c>
      <c r="C653" s="10" t="s">
        <v>541</v>
      </c>
      <c r="D653" t="s">
        <v>15</v>
      </c>
      <c r="E653" s="5">
        <v>1620</v>
      </c>
      <c r="F653" s="5">
        <v>1018.64</v>
      </c>
      <c r="G653" s="5">
        <v>601.36</v>
      </c>
      <c r="H653" s="5">
        <v>59.04</v>
      </c>
      <c r="I653" t="s">
        <v>70</v>
      </c>
    </row>
    <row r="654" spans="1:9" x14ac:dyDescent="0.25">
      <c r="A654" t="s">
        <v>515</v>
      </c>
      <c r="B654" t="s">
        <v>488</v>
      </c>
      <c r="C654" s="10" t="s">
        <v>542</v>
      </c>
      <c r="D654" t="s">
        <v>15</v>
      </c>
      <c r="E654" s="5">
        <v>1620</v>
      </c>
      <c r="F654" s="5">
        <v>1018.64</v>
      </c>
      <c r="G654" s="5">
        <v>601.36</v>
      </c>
      <c r="H654" s="5">
        <v>59.04</v>
      </c>
      <c r="I654" t="s">
        <v>70</v>
      </c>
    </row>
    <row r="655" spans="1:9" x14ac:dyDescent="0.25">
      <c r="A655" t="s">
        <v>515</v>
      </c>
      <c r="B655" t="s">
        <v>488</v>
      </c>
      <c r="C655" s="10" t="s">
        <v>543</v>
      </c>
      <c r="D655" t="s">
        <v>15</v>
      </c>
      <c r="E655" s="5">
        <v>1620</v>
      </c>
      <c r="F655" s="5">
        <v>1018.64</v>
      </c>
      <c r="G655" s="5">
        <v>601.36</v>
      </c>
      <c r="H655" s="5">
        <v>59.04</v>
      </c>
      <c r="I655" t="s">
        <v>70</v>
      </c>
    </row>
    <row r="656" spans="1:9" x14ac:dyDescent="0.25">
      <c r="A656" t="s">
        <v>515</v>
      </c>
      <c r="B656" t="s">
        <v>488</v>
      </c>
      <c r="C656" s="10" t="s">
        <v>544</v>
      </c>
      <c r="D656" t="s">
        <v>15</v>
      </c>
      <c r="E656" s="5">
        <v>1620</v>
      </c>
      <c r="F656" s="5">
        <v>1018.64</v>
      </c>
      <c r="G656" s="5">
        <v>601.36</v>
      </c>
      <c r="H656" s="5">
        <v>59.04</v>
      </c>
      <c r="I656" t="s">
        <v>70</v>
      </c>
    </row>
    <row r="657" spans="1:9" x14ac:dyDescent="0.25">
      <c r="A657" t="s">
        <v>515</v>
      </c>
      <c r="B657" t="s">
        <v>488</v>
      </c>
      <c r="C657" s="10" t="s">
        <v>545</v>
      </c>
      <c r="D657" t="s">
        <v>15</v>
      </c>
      <c r="E657" s="5">
        <v>1620</v>
      </c>
      <c r="F657" s="5">
        <v>1018.64</v>
      </c>
      <c r="G657" s="5">
        <v>601.36</v>
      </c>
      <c r="H657" s="5">
        <v>59.04</v>
      </c>
      <c r="I657" t="s">
        <v>70</v>
      </c>
    </row>
    <row r="658" spans="1:9" x14ac:dyDescent="0.25">
      <c r="A658" t="s">
        <v>515</v>
      </c>
      <c r="B658" t="s">
        <v>488</v>
      </c>
      <c r="C658" s="10" t="s">
        <v>546</v>
      </c>
      <c r="D658" t="s">
        <v>15</v>
      </c>
      <c r="E658" s="5">
        <v>1620</v>
      </c>
      <c r="F658" s="5">
        <v>1018.64</v>
      </c>
      <c r="G658" s="5">
        <v>601.36</v>
      </c>
      <c r="H658" s="5">
        <v>59.04</v>
      </c>
      <c r="I658" t="s">
        <v>70</v>
      </c>
    </row>
    <row r="659" spans="1:9" x14ac:dyDescent="0.25">
      <c r="A659" t="s">
        <v>515</v>
      </c>
      <c r="B659" t="s">
        <v>488</v>
      </c>
      <c r="C659" s="10" t="s">
        <v>547</v>
      </c>
      <c r="D659" t="s">
        <v>15</v>
      </c>
      <c r="E659" s="5">
        <v>1620</v>
      </c>
      <c r="F659" s="5">
        <v>1018.64</v>
      </c>
      <c r="G659" s="5">
        <v>601.36</v>
      </c>
      <c r="H659" s="5">
        <v>59.04</v>
      </c>
      <c r="I659" t="s">
        <v>70</v>
      </c>
    </row>
    <row r="660" spans="1:9" x14ac:dyDescent="0.25">
      <c r="A660" t="s">
        <v>515</v>
      </c>
      <c r="B660" t="s">
        <v>488</v>
      </c>
      <c r="C660" s="10" t="s">
        <v>548</v>
      </c>
      <c r="D660" t="s">
        <v>15</v>
      </c>
      <c r="E660" s="5">
        <v>1620</v>
      </c>
      <c r="F660" s="5">
        <v>1018.64</v>
      </c>
      <c r="G660" s="5">
        <v>601.36</v>
      </c>
      <c r="H660" s="5">
        <v>59.04</v>
      </c>
      <c r="I660" t="s">
        <v>70</v>
      </c>
    </row>
    <row r="661" spans="1:9" x14ac:dyDescent="0.25">
      <c r="A661" t="s">
        <v>515</v>
      </c>
      <c r="B661" t="s">
        <v>488</v>
      </c>
      <c r="C661" s="10" t="s">
        <v>549</v>
      </c>
      <c r="D661" t="s">
        <v>15</v>
      </c>
      <c r="E661" s="5">
        <v>1620</v>
      </c>
      <c r="F661" s="5">
        <v>1018.64</v>
      </c>
      <c r="G661" s="5">
        <v>601.36</v>
      </c>
      <c r="H661" s="5">
        <v>59.04</v>
      </c>
      <c r="I661" t="s">
        <v>70</v>
      </c>
    </row>
    <row r="662" spans="1:9" x14ac:dyDescent="0.25">
      <c r="A662" t="s">
        <v>515</v>
      </c>
      <c r="B662" t="s">
        <v>488</v>
      </c>
      <c r="C662" s="10" t="s">
        <v>550</v>
      </c>
      <c r="D662" t="s">
        <v>15</v>
      </c>
      <c r="E662" s="5">
        <v>1620</v>
      </c>
      <c r="F662" s="5">
        <v>1018.64</v>
      </c>
      <c r="G662" s="5">
        <v>601.36</v>
      </c>
      <c r="H662" s="5">
        <v>59.04</v>
      </c>
      <c r="I662" t="s">
        <v>70</v>
      </c>
    </row>
    <row r="663" spans="1:9" x14ac:dyDescent="0.25">
      <c r="A663" t="s">
        <v>515</v>
      </c>
      <c r="B663" t="s">
        <v>488</v>
      </c>
      <c r="C663" s="10" t="s">
        <v>551</v>
      </c>
      <c r="D663" t="s">
        <v>15</v>
      </c>
      <c r="E663" s="5">
        <v>1620</v>
      </c>
      <c r="F663" s="5">
        <v>1018.64</v>
      </c>
      <c r="G663" s="5">
        <v>601.36</v>
      </c>
      <c r="H663" s="5">
        <v>59.04</v>
      </c>
      <c r="I663" t="s">
        <v>70</v>
      </c>
    </row>
    <row r="664" spans="1:9" x14ac:dyDescent="0.25">
      <c r="A664" t="s">
        <v>515</v>
      </c>
      <c r="B664" t="s">
        <v>488</v>
      </c>
      <c r="C664" s="10" t="s">
        <v>552</v>
      </c>
      <c r="D664" t="s">
        <v>15</v>
      </c>
      <c r="E664" s="5">
        <v>1620</v>
      </c>
      <c r="F664" s="5">
        <v>1018.64</v>
      </c>
      <c r="G664" s="5">
        <v>601.36</v>
      </c>
      <c r="H664" s="5">
        <v>59.04</v>
      </c>
      <c r="I664" t="s">
        <v>70</v>
      </c>
    </row>
    <row r="665" spans="1:9" x14ac:dyDescent="0.25">
      <c r="A665" t="s">
        <v>515</v>
      </c>
      <c r="B665" t="s">
        <v>488</v>
      </c>
      <c r="C665" s="10" t="s">
        <v>553</v>
      </c>
      <c r="D665" t="s">
        <v>15</v>
      </c>
      <c r="E665" s="5">
        <v>1620</v>
      </c>
      <c r="F665" s="5">
        <v>1018.64</v>
      </c>
      <c r="G665" s="5">
        <v>601.36</v>
      </c>
      <c r="H665" s="5">
        <v>59.04</v>
      </c>
      <c r="I665" t="s">
        <v>70</v>
      </c>
    </row>
    <row r="666" spans="1:9" x14ac:dyDescent="0.25">
      <c r="A666" t="s">
        <v>515</v>
      </c>
      <c r="B666" t="s">
        <v>488</v>
      </c>
      <c r="C666" s="10" t="s">
        <v>554</v>
      </c>
      <c r="D666" t="s">
        <v>15</v>
      </c>
      <c r="E666" s="5">
        <v>1620</v>
      </c>
      <c r="F666" s="5">
        <v>1018.64</v>
      </c>
      <c r="G666" s="5">
        <v>601.36</v>
      </c>
      <c r="H666" s="5">
        <v>59.04</v>
      </c>
      <c r="I666" t="s">
        <v>70</v>
      </c>
    </row>
    <row r="667" spans="1:9" x14ac:dyDescent="0.25">
      <c r="A667" t="s">
        <v>515</v>
      </c>
      <c r="B667" t="s">
        <v>488</v>
      </c>
      <c r="C667" s="10" t="s">
        <v>555</v>
      </c>
      <c r="D667" t="s">
        <v>15</v>
      </c>
      <c r="E667" s="5">
        <v>1620</v>
      </c>
      <c r="F667" s="5">
        <v>1018.64</v>
      </c>
      <c r="G667" s="5">
        <v>601.36</v>
      </c>
      <c r="H667" s="5">
        <v>59.04</v>
      </c>
      <c r="I667" t="s">
        <v>70</v>
      </c>
    </row>
    <row r="668" spans="1:9" x14ac:dyDescent="0.25">
      <c r="A668" t="s">
        <v>515</v>
      </c>
      <c r="B668" t="s">
        <v>488</v>
      </c>
      <c r="C668" s="10" t="s">
        <v>556</v>
      </c>
      <c r="D668" t="s">
        <v>15</v>
      </c>
      <c r="E668" s="5">
        <v>1620</v>
      </c>
      <c r="F668" s="5">
        <v>1018.64</v>
      </c>
      <c r="G668" s="5">
        <v>601.36</v>
      </c>
      <c r="H668" s="5">
        <v>59.04</v>
      </c>
      <c r="I668" t="s">
        <v>70</v>
      </c>
    </row>
    <row r="669" spans="1:9" x14ac:dyDescent="0.25">
      <c r="A669" t="s">
        <v>515</v>
      </c>
      <c r="B669" t="s">
        <v>488</v>
      </c>
      <c r="C669" s="10" t="s">
        <v>557</v>
      </c>
      <c r="D669" t="s">
        <v>15</v>
      </c>
      <c r="E669" s="5">
        <v>1620</v>
      </c>
      <c r="F669" s="5">
        <v>1018.64</v>
      </c>
      <c r="G669" s="5">
        <v>601.36</v>
      </c>
      <c r="H669" s="5">
        <v>59.04</v>
      </c>
      <c r="I669" t="s">
        <v>70</v>
      </c>
    </row>
    <row r="670" spans="1:9" x14ac:dyDescent="0.25">
      <c r="A670" t="s">
        <v>515</v>
      </c>
      <c r="B670" t="s">
        <v>488</v>
      </c>
      <c r="C670" s="10" t="s">
        <v>558</v>
      </c>
      <c r="D670" t="s">
        <v>15</v>
      </c>
      <c r="E670" s="5">
        <v>1620</v>
      </c>
      <c r="F670" s="5">
        <v>1018.64</v>
      </c>
      <c r="G670" s="5">
        <v>601.36</v>
      </c>
      <c r="H670" s="5">
        <v>59.04</v>
      </c>
      <c r="I670" t="s">
        <v>70</v>
      </c>
    </row>
    <row r="671" spans="1:9" x14ac:dyDescent="0.25">
      <c r="A671" t="s">
        <v>515</v>
      </c>
      <c r="B671" t="s">
        <v>488</v>
      </c>
      <c r="C671" s="10" t="s">
        <v>559</v>
      </c>
      <c r="D671" t="s">
        <v>15</v>
      </c>
      <c r="E671" s="5">
        <v>1620</v>
      </c>
      <c r="F671" s="5">
        <v>1018.64</v>
      </c>
      <c r="G671" s="5">
        <v>601.36</v>
      </c>
      <c r="H671" s="5">
        <v>59.04</v>
      </c>
      <c r="I671" t="s">
        <v>70</v>
      </c>
    </row>
    <row r="672" spans="1:9" x14ac:dyDescent="0.25">
      <c r="A672" t="s">
        <v>515</v>
      </c>
      <c r="B672" t="s">
        <v>488</v>
      </c>
      <c r="C672" s="10" t="s">
        <v>560</v>
      </c>
      <c r="D672" t="s">
        <v>15</v>
      </c>
      <c r="E672" s="5">
        <v>1620</v>
      </c>
      <c r="F672" s="5">
        <v>1018.64</v>
      </c>
      <c r="G672" s="5">
        <v>601.36</v>
      </c>
      <c r="H672" s="5">
        <v>59.04</v>
      </c>
      <c r="I672" t="s">
        <v>70</v>
      </c>
    </row>
    <row r="673" spans="1:9" x14ac:dyDescent="0.25">
      <c r="A673" t="s">
        <v>515</v>
      </c>
      <c r="B673" t="s">
        <v>488</v>
      </c>
      <c r="C673" s="10" t="s">
        <v>561</v>
      </c>
      <c r="D673" t="s">
        <v>15</v>
      </c>
      <c r="E673" s="5">
        <v>1620</v>
      </c>
      <c r="F673" s="5">
        <v>1018.64</v>
      </c>
      <c r="G673" s="5">
        <v>601.36</v>
      </c>
      <c r="H673" s="5">
        <v>59.04</v>
      </c>
      <c r="I673" t="s">
        <v>70</v>
      </c>
    </row>
    <row r="674" spans="1:9" x14ac:dyDescent="0.25">
      <c r="A674" t="s">
        <v>515</v>
      </c>
      <c r="B674" t="s">
        <v>488</v>
      </c>
      <c r="C674" s="10" t="s">
        <v>562</v>
      </c>
      <c r="D674" t="s">
        <v>15</v>
      </c>
      <c r="E674" s="5">
        <v>1620</v>
      </c>
      <c r="F674" s="5">
        <v>1018.64</v>
      </c>
      <c r="G674" s="5">
        <v>601.36</v>
      </c>
      <c r="H674" s="5">
        <v>59.04</v>
      </c>
      <c r="I674" t="s">
        <v>70</v>
      </c>
    </row>
    <row r="675" spans="1:9" x14ac:dyDescent="0.25">
      <c r="A675" t="s">
        <v>515</v>
      </c>
      <c r="B675" t="s">
        <v>488</v>
      </c>
      <c r="C675" s="10" t="s">
        <v>563</v>
      </c>
      <c r="D675" t="s">
        <v>15</v>
      </c>
      <c r="E675" s="5">
        <v>1620</v>
      </c>
      <c r="F675" s="5">
        <v>1018.64</v>
      </c>
      <c r="G675" s="5">
        <v>601.36</v>
      </c>
      <c r="H675" s="5">
        <v>59.04</v>
      </c>
      <c r="I675" t="s">
        <v>70</v>
      </c>
    </row>
    <row r="676" spans="1:9" x14ac:dyDescent="0.25">
      <c r="A676" t="s">
        <v>515</v>
      </c>
      <c r="B676" t="s">
        <v>488</v>
      </c>
      <c r="C676" s="10" t="s">
        <v>564</v>
      </c>
      <c r="D676" t="s">
        <v>15</v>
      </c>
      <c r="E676" s="5">
        <v>1620</v>
      </c>
      <c r="F676" s="5">
        <v>1018.64</v>
      </c>
      <c r="G676" s="5">
        <v>601.36</v>
      </c>
      <c r="H676" s="5">
        <v>59.04</v>
      </c>
      <c r="I676" t="s">
        <v>70</v>
      </c>
    </row>
    <row r="677" spans="1:9" x14ac:dyDescent="0.25">
      <c r="A677" t="s">
        <v>515</v>
      </c>
      <c r="B677" t="s">
        <v>488</v>
      </c>
      <c r="C677" s="10" t="s">
        <v>565</v>
      </c>
      <c r="D677" t="s">
        <v>15</v>
      </c>
      <c r="E677" s="5">
        <v>1620</v>
      </c>
      <c r="F677" s="5">
        <v>1018.64</v>
      </c>
      <c r="G677" s="5">
        <v>601.36</v>
      </c>
      <c r="H677" s="5">
        <v>59.04</v>
      </c>
      <c r="I677" t="s">
        <v>70</v>
      </c>
    </row>
    <row r="678" spans="1:9" x14ac:dyDescent="0.25">
      <c r="A678" t="s">
        <v>515</v>
      </c>
      <c r="B678" t="s">
        <v>488</v>
      </c>
      <c r="C678" s="10" t="s">
        <v>566</v>
      </c>
      <c r="D678" t="s">
        <v>15</v>
      </c>
      <c r="E678" s="5">
        <v>1620</v>
      </c>
      <c r="F678" s="5">
        <v>1018.64</v>
      </c>
      <c r="G678" s="5">
        <v>601.36</v>
      </c>
      <c r="H678" s="5">
        <v>59.04</v>
      </c>
      <c r="I678" t="s">
        <v>70</v>
      </c>
    </row>
    <row r="679" spans="1:9" x14ac:dyDescent="0.25">
      <c r="A679" t="s">
        <v>515</v>
      </c>
      <c r="B679" t="s">
        <v>488</v>
      </c>
      <c r="C679" s="10" t="s">
        <v>567</v>
      </c>
      <c r="D679" t="s">
        <v>15</v>
      </c>
      <c r="E679" s="5">
        <v>1620</v>
      </c>
      <c r="F679" s="5">
        <v>1018.64</v>
      </c>
      <c r="G679" s="5">
        <v>601.36</v>
      </c>
      <c r="H679" s="5">
        <v>59.04</v>
      </c>
      <c r="I679" t="s">
        <v>70</v>
      </c>
    </row>
    <row r="680" spans="1:9" x14ac:dyDescent="0.25">
      <c r="A680" t="s">
        <v>515</v>
      </c>
      <c r="B680" t="s">
        <v>488</v>
      </c>
      <c r="C680" s="10" t="s">
        <v>568</v>
      </c>
      <c r="D680" t="s">
        <v>15</v>
      </c>
      <c r="E680" s="5">
        <v>1620</v>
      </c>
      <c r="F680" s="5">
        <v>1018.64</v>
      </c>
      <c r="G680" s="5">
        <v>601.36</v>
      </c>
      <c r="H680" s="5">
        <v>59.04</v>
      </c>
      <c r="I680" t="s">
        <v>70</v>
      </c>
    </row>
    <row r="681" spans="1:9" x14ac:dyDescent="0.25">
      <c r="A681" t="s">
        <v>515</v>
      </c>
      <c r="B681" t="s">
        <v>488</v>
      </c>
      <c r="C681" s="10" t="s">
        <v>569</v>
      </c>
      <c r="D681" t="s">
        <v>15</v>
      </c>
      <c r="E681" s="5">
        <v>1620</v>
      </c>
      <c r="F681" s="5">
        <v>1018.64</v>
      </c>
      <c r="G681" s="5">
        <v>601.36</v>
      </c>
      <c r="H681" s="5">
        <v>59.04</v>
      </c>
      <c r="I681" t="s">
        <v>70</v>
      </c>
    </row>
    <row r="682" spans="1:9" x14ac:dyDescent="0.25">
      <c r="A682" t="s">
        <v>515</v>
      </c>
      <c r="B682" t="s">
        <v>488</v>
      </c>
      <c r="C682" s="10" t="s">
        <v>570</v>
      </c>
      <c r="D682" t="s">
        <v>15</v>
      </c>
      <c r="E682" s="5">
        <v>1620</v>
      </c>
      <c r="F682" s="5">
        <v>1018.64</v>
      </c>
      <c r="G682" s="5">
        <v>601.36</v>
      </c>
      <c r="H682" s="5">
        <v>59.04</v>
      </c>
      <c r="I682" t="s">
        <v>70</v>
      </c>
    </row>
    <row r="683" spans="1:9" x14ac:dyDescent="0.25">
      <c r="A683" t="s">
        <v>515</v>
      </c>
      <c r="B683" t="s">
        <v>488</v>
      </c>
      <c r="C683" s="10" t="s">
        <v>571</v>
      </c>
      <c r="D683" t="s">
        <v>15</v>
      </c>
      <c r="E683" s="5">
        <v>1620</v>
      </c>
      <c r="F683" s="5">
        <v>1018.64</v>
      </c>
      <c r="G683" s="5">
        <v>601.36</v>
      </c>
      <c r="H683" s="5">
        <v>59.04</v>
      </c>
      <c r="I683" t="s">
        <v>70</v>
      </c>
    </row>
    <row r="684" spans="1:9" x14ac:dyDescent="0.25">
      <c r="A684" t="s">
        <v>515</v>
      </c>
      <c r="B684" t="s">
        <v>488</v>
      </c>
      <c r="C684" s="10" t="s">
        <v>572</v>
      </c>
      <c r="D684" t="s">
        <v>15</v>
      </c>
      <c r="E684" s="5">
        <v>1620</v>
      </c>
      <c r="F684" s="5">
        <v>1018.64</v>
      </c>
      <c r="G684" s="5">
        <v>601.36</v>
      </c>
      <c r="H684" s="5">
        <v>59.04</v>
      </c>
      <c r="I684" t="s">
        <v>70</v>
      </c>
    </row>
    <row r="685" spans="1:9" x14ac:dyDescent="0.25">
      <c r="A685" t="s">
        <v>515</v>
      </c>
      <c r="B685" t="s">
        <v>488</v>
      </c>
      <c r="C685" s="10" t="s">
        <v>573</v>
      </c>
      <c r="D685" t="s">
        <v>15</v>
      </c>
      <c r="E685" s="5">
        <v>1620</v>
      </c>
      <c r="F685" s="5">
        <v>1018.64</v>
      </c>
      <c r="G685" s="5">
        <v>601.36</v>
      </c>
      <c r="H685" s="5">
        <v>59.04</v>
      </c>
      <c r="I685" t="s">
        <v>70</v>
      </c>
    </row>
    <row r="686" spans="1:9" x14ac:dyDescent="0.25">
      <c r="A686" t="s">
        <v>515</v>
      </c>
      <c r="B686" t="s">
        <v>488</v>
      </c>
      <c r="C686" s="10" t="s">
        <v>574</v>
      </c>
      <c r="D686" t="s">
        <v>15</v>
      </c>
      <c r="E686" s="5">
        <v>1620</v>
      </c>
      <c r="F686" s="5">
        <v>1018.64</v>
      </c>
      <c r="G686" s="5">
        <v>601.36</v>
      </c>
      <c r="H686" s="5">
        <v>59.04</v>
      </c>
      <c r="I686" t="s">
        <v>70</v>
      </c>
    </row>
    <row r="687" spans="1:9" x14ac:dyDescent="0.25">
      <c r="A687" t="s">
        <v>515</v>
      </c>
      <c r="B687" t="s">
        <v>488</v>
      </c>
      <c r="C687" s="10" t="s">
        <v>575</v>
      </c>
      <c r="D687" t="s">
        <v>15</v>
      </c>
      <c r="E687" s="5">
        <v>1620</v>
      </c>
      <c r="F687" s="5">
        <v>1018.64</v>
      </c>
      <c r="G687" s="5">
        <v>601.36</v>
      </c>
      <c r="H687" s="5">
        <v>59.04</v>
      </c>
      <c r="I687" t="s">
        <v>70</v>
      </c>
    </row>
    <row r="688" spans="1:9" x14ac:dyDescent="0.25">
      <c r="A688" t="s">
        <v>515</v>
      </c>
      <c r="B688" t="s">
        <v>488</v>
      </c>
      <c r="C688" s="10" t="s">
        <v>576</v>
      </c>
      <c r="D688" t="s">
        <v>15</v>
      </c>
      <c r="E688" s="5">
        <v>1620</v>
      </c>
      <c r="F688" s="5">
        <v>1018.64</v>
      </c>
      <c r="G688" s="5">
        <v>601.36</v>
      </c>
      <c r="H688" s="5">
        <v>59.04</v>
      </c>
      <c r="I688" t="s">
        <v>70</v>
      </c>
    </row>
    <row r="689" spans="1:9" x14ac:dyDescent="0.25">
      <c r="A689" t="s">
        <v>515</v>
      </c>
      <c r="B689" t="s">
        <v>488</v>
      </c>
      <c r="C689" s="10" t="s">
        <v>577</v>
      </c>
      <c r="D689" t="s">
        <v>15</v>
      </c>
      <c r="E689" s="5">
        <v>1620</v>
      </c>
      <c r="F689" s="5">
        <v>1018.64</v>
      </c>
      <c r="G689" s="5">
        <v>601.36</v>
      </c>
      <c r="H689" s="5">
        <v>59.04</v>
      </c>
      <c r="I689" t="s">
        <v>70</v>
      </c>
    </row>
    <row r="690" spans="1:9" x14ac:dyDescent="0.25">
      <c r="A690" t="s">
        <v>515</v>
      </c>
      <c r="B690" t="s">
        <v>488</v>
      </c>
      <c r="C690" s="10" t="s">
        <v>578</v>
      </c>
      <c r="D690" t="s">
        <v>15</v>
      </c>
      <c r="E690" s="5">
        <v>1620</v>
      </c>
      <c r="F690" s="5">
        <v>1018.64</v>
      </c>
      <c r="G690" s="5">
        <v>601.36</v>
      </c>
      <c r="H690" s="5">
        <v>59.04</v>
      </c>
      <c r="I690" t="s">
        <v>70</v>
      </c>
    </row>
    <row r="691" spans="1:9" x14ac:dyDescent="0.25">
      <c r="A691" t="s">
        <v>515</v>
      </c>
      <c r="B691" t="s">
        <v>488</v>
      </c>
      <c r="C691" s="10" t="s">
        <v>579</v>
      </c>
      <c r="D691" t="s">
        <v>15</v>
      </c>
      <c r="E691" s="5">
        <v>1620</v>
      </c>
      <c r="F691" s="5">
        <v>1018.64</v>
      </c>
      <c r="G691" s="5">
        <v>601.36</v>
      </c>
      <c r="H691" s="5">
        <v>59.04</v>
      </c>
      <c r="I691" t="s">
        <v>70</v>
      </c>
    </row>
    <row r="692" spans="1:9" x14ac:dyDescent="0.25">
      <c r="A692" t="s">
        <v>515</v>
      </c>
      <c r="B692" t="s">
        <v>488</v>
      </c>
      <c r="C692" s="10" t="s">
        <v>580</v>
      </c>
      <c r="D692" t="s">
        <v>15</v>
      </c>
      <c r="E692" s="5">
        <v>1620</v>
      </c>
      <c r="F692" s="5">
        <v>1018.64</v>
      </c>
      <c r="G692" s="5">
        <v>601.36</v>
      </c>
      <c r="H692" s="5">
        <v>59.04</v>
      </c>
      <c r="I692" t="s">
        <v>70</v>
      </c>
    </row>
    <row r="693" spans="1:9" x14ac:dyDescent="0.25">
      <c r="A693" t="s">
        <v>515</v>
      </c>
      <c r="B693" t="s">
        <v>488</v>
      </c>
      <c r="C693" s="10" t="s">
        <v>581</v>
      </c>
      <c r="D693" t="s">
        <v>15</v>
      </c>
      <c r="E693" s="5">
        <v>1620</v>
      </c>
      <c r="F693" s="5">
        <v>1018.64</v>
      </c>
      <c r="G693" s="5">
        <v>601.36</v>
      </c>
      <c r="H693" s="5">
        <v>59.04</v>
      </c>
      <c r="I693" t="s">
        <v>70</v>
      </c>
    </row>
    <row r="694" spans="1:9" x14ac:dyDescent="0.25">
      <c r="A694" t="s">
        <v>515</v>
      </c>
      <c r="B694" t="s">
        <v>488</v>
      </c>
      <c r="C694" s="10" t="s">
        <v>582</v>
      </c>
      <c r="D694" t="s">
        <v>15</v>
      </c>
      <c r="E694" s="5">
        <v>1620</v>
      </c>
      <c r="F694" s="5">
        <v>1018.64</v>
      </c>
      <c r="G694" s="5">
        <v>601.36</v>
      </c>
      <c r="H694" s="5">
        <v>59.04</v>
      </c>
      <c r="I694" t="s">
        <v>70</v>
      </c>
    </row>
    <row r="695" spans="1:9" x14ac:dyDescent="0.25">
      <c r="A695" t="s">
        <v>515</v>
      </c>
      <c r="B695" t="s">
        <v>488</v>
      </c>
      <c r="C695" s="10" t="s">
        <v>583</v>
      </c>
      <c r="D695" t="s">
        <v>15</v>
      </c>
      <c r="E695" s="5">
        <v>1620</v>
      </c>
      <c r="F695" s="5">
        <v>1018.64</v>
      </c>
      <c r="G695" s="5">
        <v>601.36</v>
      </c>
      <c r="H695" s="5">
        <v>59.04</v>
      </c>
      <c r="I695" t="s">
        <v>70</v>
      </c>
    </row>
    <row r="696" spans="1:9" x14ac:dyDescent="0.25">
      <c r="A696" t="s">
        <v>515</v>
      </c>
      <c r="B696" t="s">
        <v>488</v>
      </c>
      <c r="C696" s="10" t="s">
        <v>584</v>
      </c>
      <c r="D696" t="s">
        <v>15</v>
      </c>
      <c r="E696" s="5">
        <v>1620</v>
      </c>
      <c r="F696" s="5">
        <v>1018.64</v>
      </c>
      <c r="G696" s="5">
        <v>601.36</v>
      </c>
      <c r="H696" s="5">
        <v>59.04</v>
      </c>
      <c r="I696" t="s">
        <v>70</v>
      </c>
    </row>
    <row r="697" spans="1:9" x14ac:dyDescent="0.25">
      <c r="A697" t="s">
        <v>515</v>
      </c>
      <c r="B697" t="s">
        <v>488</v>
      </c>
      <c r="C697" s="10" t="s">
        <v>585</v>
      </c>
      <c r="D697" t="s">
        <v>15</v>
      </c>
      <c r="E697" s="5">
        <v>1620</v>
      </c>
      <c r="F697" s="5">
        <v>1018.64</v>
      </c>
      <c r="G697" s="5">
        <v>601.36</v>
      </c>
      <c r="H697" s="5">
        <v>59.04</v>
      </c>
      <c r="I697" t="s">
        <v>70</v>
      </c>
    </row>
    <row r="698" spans="1:9" x14ac:dyDescent="0.25">
      <c r="A698" t="s">
        <v>515</v>
      </c>
      <c r="B698" t="s">
        <v>488</v>
      </c>
      <c r="C698" s="10" t="s">
        <v>586</v>
      </c>
      <c r="D698" t="s">
        <v>15</v>
      </c>
      <c r="E698" s="5">
        <v>1620</v>
      </c>
      <c r="F698" s="5">
        <v>1018.64</v>
      </c>
      <c r="G698" s="5">
        <v>601.36</v>
      </c>
      <c r="H698" s="5">
        <v>59.04</v>
      </c>
      <c r="I698" t="s">
        <v>70</v>
      </c>
    </row>
    <row r="699" spans="1:9" x14ac:dyDescent="0.25">
      <c r="A699" t="s">
        <v>515</v>
      </c>
      <c r="B699" t="s">
        <v>488</v>
      </c>
      <c r="C699" s="10" t="s">
        <v>587</v>
      </c>
      <c r="D699" t="s">
        <v>15</v>
      </c>
      <c r="E699" s="5">
        <v>1620</v>
      </c>
      <c r="F699" s="5">
        <v>1018.64</v>
      </c>
      <c r="G699" s="5">
        <v>601.36</v>
      </c>
      <c r="H699" s="5">
        <v>59.04</v>
      </c>
      <c r="I699" t="s">
        <v>70</v>
      </c>
    </row>
    <row r="700" spans="1:9" x14ac:dyDescent="0.25">
      <c r="A700" s="2" t="s">
        <v>588</v>
      </c>
      <c r="B700" s="2" t="s">
        <v>589</v>
      </c>
      <c r="C700" s="12" t="s">
        <v>590</v>
      </c>
      <c r="D700" s="2" t="s">
        <v>15</v>
      </c>
      <c r="E700" s="6">
        <v>6260</v>
      </c>
      <c r="F700" s="6">
        <v>6271.81</v>
      </c>
      <c r="G700" s="6">
        <v>-11.81</v>
      </c>
      <c r="H700" s="6">
        <v>-0.19</v>
      </c>
      <c r="I700" s="2" t="s">
        <v>70</v>
      </c>
    </row>
    <row r="701" spans="1:9" x14ac:dyDescent="0.25">
      <c r="A701" s="2" t="s">
        <v>588</v>
      </c>
      <c r="B701" s="2" t="s">
        <v>589</v>
      </c>
      <c r="C701" s="12" t="s">
        <v>591</v>
      </c>
      <c r="D701" s="2" t="s">
        <v>15</v>
      </c>
      <c r="E701" s="6">
        <v>6260</v>
      </c>
      <c r="F701" s="6">
        <v>6271.81</v>
      </c>
      <c r="G701" s="6">
        <v>-11.81</v>
      </c>
      <c r="H701" s="6">
        <v>-0.19</v>
      </c>
      <c r="I701" s="2" t="s">
        <v>70</v>
      </c>
    </row>
    <row r="702" spans="1:9" x14ac:dyDescent="0.25">
      <c r="A702" s="2" t="s">
        <v>588</v>
      </c>
      <c r="B702" s="2" t="s">
        <v>589</v>
      </c>
      <c r="C702" s="12" t="s">
        <v>592</v>
      </c>
      <c r="D702" s="2" t="s">
        <v>15</v>
      </c>
      <c r="E702" s="6">
        <v>6260</v>
      </c>
      <c r="F702" s="6">
        <v>6271.81</v>
      </c>
      <c r="G702" s="6">
        <v>-11.81</v>
      </c>
      <c r="H702" s="6">
        <v>-0.19</v>
      </c>
      <c r="I702" s="2" t="s">
        <v>70</v>
      </c>
    </row>
    <row r="703" spans="1:9" x14ac:dyDescent="0.25">
      <c r="A703" s="2" t="s">
        <v>588</v>
      </c>
      <c r="B703" s="2" t="s">
        <v>589</v>
      </c>
      <c r="C703" s="12" t="s">
        <v>593</v>
      </c>
      <c r="D703" s="2" t="s">
        <v>15</v>
      </c>
      <c r="E703" s="6">
        <v>6260</v>
      </c>
      <c r="F703" s="6">
        <v>6271.81</v>
      </c>
      <c r="G703" s="6">
        <v>-11.81</v>
      </c>
      <c r="H703" s="6">
        <v>-0.19</v>
      </c>
      <c r="I703" s="2" t="s">
        <v>70</v>
      </c>
    </row>
    <row r="704" spans="1:9" x14ac:dyDescent="0.25">
      <c r="A704" s="2" t="s">
        <v>588</v>
      </c>
      <c r="B704" s="2" t="s">
        <v>589</v>
      </c>
      <c r="C704" s="12" t="s">
        <v>594</v>
      </c>
      <c r="D704" s="2" t="s">
        <v>15</v>
      </c>
      <c r="E704" s="6">
        <v>6260</v>
      </c>
      <c r="F704" s="6">
        <v>6271.81</v>
      </c>
      <c r="G704" s="6">
        <v>-11.81</v>
      </c>
      <c r="H704" s="6">
        <v>-0.19</v>
      </c>
      <c r="I704" s="2" t="s">
        <v>70</v>
      </c>
    </row>
    <row r="705" spans="1:9" x14ac:dyDescent="0.25">
      <c r="A705" t="s">
        <v>595</v>
      </c>
      <c r="B705" t="s">
        <v>488</v>
      </c>
      <c r="C705" s="10" t="s">
        <v>596</v>
      </c>
      <c r="D705" t="s">
        <v>15</v>
      </c>
      <c r="E705" s="5">
        <v>1650</v>
      </c>
      <c r="F705" s="5">
        <v>1018.44</v>
      </c>
      <c r="G705" s="5">
        <v>631.55999999999995</v>
      </c>
      <c r="H705" s="5">
        <v>62.01</v>
      </c>
      <c r="I705" t="s">
        <v>70</v>
      </c>
    </row>
    <row r="706" spans="1:9" x14ac:dyDescent="0.25">
      <c r="A706" t="s">
        <v>595</v>
      </c>
      <c r="B706" t="s">
        <v>488</v>
      </c>
      <c r="C706" s="10" t="s">
        <v>597</v>
      </c>
      <c r="D706" t="s">
        <v>15</v>
      </c>
      <c r="E706" s="5">
        <v>1650</v>
      </c>
      <c r="F706" s="5">
        <v>1018.44</v>
      </c>
      <c r="G706" s="5">
        <v>631.55999999999995</v>
      </c>
      <c r="H706" s="5">
        <v>62.01</v>
      </c>
      <c r="I706" t="s">
        <v>70</v>
      </c>
    </row>
    <row r="707" spans="1:9" x14ac:dyDescent="0.25">
      <c r="A707" t="s">
        <v>595</v>
      </c>
      <c r="B707" t="s">
        <v>488</v>
      </c>
      <c r="C707" s="10" t="s">
        <v>598</v>
      </c>
      <c r="D707" t="s">
        <v>15</v>
      </c>
      <c r="E707" s="5">
        <v>1650</v>
      </c>
      <c r="F707" s="5">
        <v>1018.44</v>
      </c>
      <c r="G707" s="5">
        <v>631.55999999999995</v>
      </c>
      <c r="H707" s="5">
        <v>62.01</v>
      </c>
      <c r="I707" t="s">
        <v>70</v>
      </c>
    </row>
    <row r="708" spans="1:9" x14ac:dyDescent="0.25">
      <c r="A708" t="s">
        <v>595</v>
      </c>
      <c r="B708" t="s">
        <v>488</v>
      </c>
      <c r="C708" s="10" t="s">
        <v>599</v>
      </c>
      <c r="D708" t="s">
        <v>15</v>
      </c>
      <c r="E708" s="5">
        <v>1650</v>
      </c>
      <c r="F708" s="5">
        <v>1018.44</v>
      </c>
      <c r="G708" s="5">
        <v>631.55999999999995</v>
      </c>
      <c r="H708" s="5">
        <v>62.01</v>
      </c>
      <c r="I708" t="s">
        <v>70</v>
      </c>
    </row>
    <row r="709" spans="1:9" x14ac:dyDescent="0.25">
      <c r="A709" t="s">
        <v>595</v>
      </c>
      <c r="B709" t="s">
        <v>488</v>
      </c>
      <c r="C709" s="10" t="s">
        <v>600</v>
      </c>
      <c r="D709" t="s">
        <v>15</v>
      </c>
      <c r="E709" s="5">
        <v>1650</v>
      </c>
      <c r="F709" s="5">
        <v>1018.44</v>
      </c>
      <c r="G709" s="5">
        <v>631.55999999999995</v>
      </c>
      <c r="H709" s="5">
        <v>62.01</v>
      </c>
      <c r="I709" t="s">
        <v>70</v>
      </c>
    </row>
    <row r="710" spans="1:9" x14ac:dyDescent="0.25">
      <c r="A710" t="s">
        <v>595</v>
      </c>
      <c r="B710" t="s">
        <v>488</v>
      </c>
      <c r="C710" s="10" t="s">
        <v>601</v>
      </c>
      <c r="D710" t="s">
        <v>15</v>
      </c>
      <c r="E710" s="5">
        <v>1650</v>
      </c>
      <c r="F710" s="5">
        <v>1018.44</v>
      </c>
      <c r="G710" s="5">
        <v>631.55999999999995</v>
      </c>
      <c r="H710" s="5">
        <v>62.01</v>
      </c>
      <c r="I710" t="s">
        <v>70</v>
      </c>
    </row>
    <row r="711" spans="1:9" x14ac:dyDescent="0.25">
      <c r="A711" t="s">
        <v>595</v>
      </c>
      <c r="B711" t="s">
        <v>488</v>
      </c>
      <c r="C711" s="10" t="s">
        <v>602</v>
      </c>
      <c r="D711" t="s">
        <v>15</v>
      </c>
      <c r="E711" s="5">
        <v>1650</v>
      </c>
      <c r="F711" s="5">
        <v>1018.44</v>
      </c>
      <c r="G711" s="5">
        <v>631.55999999999995</v>
      </c>
      <c r="H711" s="5">
        <v>62.01</v>
      </c>
      <c r="I711" t="s">
        <v>70</v>
      </c>
    </row>
    <row r="712" spans="1:9" x14ac:dyDescent="0.25">
      <c r="A712" t="s">
        <v>595</v>
      </c>
      <c r="B712" t="s">
        <v>488</v>
      </c>
      <c r="C712" s="10" t="s">
        <v>603</v>
      </c>
      <c r="D712" t="s">
        <v>15</v>
      </c>
      <c r="E712" s="5">
        <v>1650</v>
      </c>
      <c r="F712" s="5">
        <v>1018.44</v>
      </c>
      <c r="G712" s="5">
        <v>631.55999999999995</v>
      </c>
      <c r="H712" s="5">
        <v>62.01</v>
      </c>
      <c r="I712" t="s">
        <v>70</v>
      </c>
    </row>
    <row r="713" spans="1:9" x14ac:dyDescent="0.25">
      <c r="A713" t="s">
        <v>595</v>
      </c>
      <c r="B713" t="s">
        <v>488</v>
      </c>
      <c r="C713" s="10" t="s">
        <v>604</v>
      </c>
      <c r="D713" t="s">
        <v>15</v>
      </c>
      <c r="E713" s="5">
        <v>1650</v>
      </c>
      <c r="F713" s="5">
        <v>1018.44</v>
      </c>
      <c r="G713" s="5">
        <v>631.55999999999995</v>
      </c>
      <c r="H713" s="5">
        <v>62.01</v>
      </c>
      <c r="I713" t="s">
        <v>70</v>
      </c>
    </row>
    <row r="714" spans="1:9" x14ac:dyDescent="0.25">
      <c r="A714" t="s">
        <v>595</v>
      </c>
      <c r="B714" t="s">
        <v>488</v>
      </c>
      <c r="C714" s="10" t="s">
        <v>605</v>
      </c>
      <c r="D714" t="s">
        <v>15</v>
      </c>
      <c r="E714" s="5">
        <v>1650</v>
      </c>
      <c r="F714" s="5">
        <v>1018.44</v>
      </c>
      <c r="G714" s="5">
        <v>631.55999999999995</v>
      </c>
      <c r="H714" s="5">
        <v>62.01</v>
      </c>
      <c r="I714" t="s">
        <v>70</v>
      </c>
    </row>
    <row r="715" spans="1:9" x14ac:dyDescent="0.25">
      <c r="A715" t="s">
        <v>595</v>
      </c>
      <c r="B715" t="s">
        <v>488</v>
      </c>
      <c r="C715" s="10" t="s">
        <v>606</v>
      </c>
      <c r="D715" t="s">
        <v>15</v>
      </c>
      <c r="E715" s="5">
        <v>1650</v>
      </c>
      <c r="F715" s="5">
        <v>1018.44</v>
      </c>
      <c r="G715" s="5">
        <v>631.55999999999995</v>
      </c>
      <c r="H715" s="5">
        <v>62.01</v>
      </c>
      <c r="I715" t="s">
        <v>70</v>
      </c>
    </row>
    <row r="716" spans="1:9" x14ac:dyDescent="0.25">
      <c r="A716" t="s">
        <v>595</v>
      </c>
      <c r="B716" t="s">
        <v>488</v>
      </c>
      <c r="C716" s="10" t="s">
        <v>607</v>
      </c>
      <c r="D716" t="s">
        <v>15</v>
      </c>
      <c r="E716" s="5">
        <v>1650</v>
      </c>
      <c r="F716" s="5">
        <v>1018.44</v>
      </c>
      <c r="G716" s="5">
        <v>631.55999999999995</v>
      </c>
      <c r="H716" s="5">
        <v>62.01</v>
      </c>
      <c r="I716" t="s">
        <v>70</v>
      </c>
    </row>
    <row r="717" spans="1:9" x14ac:dyDescent="0.25">
      <c r="A717" t="s">
        <v>595</v>
      </c>
      <c r="B717" t="s">
        <v>488</v>
      </c>
      <c r="C717" s="10" t="s">
        <v>608</v>
      </c>
      <c r="D717" t="s">
        <v>15</v>
      </c>
      <c r="E717" s="5">
        <v>1650</v>
      </c>
      <c r="F717" s="5">
        <v>1018.44</v>
      </c>
      <c r="G717" s="5">
        <v>631.55999999999995</v>
      </c>
      <c r="H717" s="5">
        <v>62.01</v>
      </c>
      <c r="I717" t="s">
        <v>70</v>
      </c>
    </row>
    <row r="718" spans="1:9" x14ac:dyDescent="0.25">
      <c r="A718" t="s">
        <v>595</v>
      </c>
      <c r="B718" t="s">
        <v>488</v>
      </c>
      <c r="C718" s="10" t="s">
        <v>609</v>
      </c>
      <c r="D718" t="s">
        <v>15</v>
      </c>
      <c r="E718" s="5">
        <v>1650</v>
      </c>
      <c r="F718" s="5">
        <v>1018.44</v>
      </c>
      <c r="G718" s="5">
        <v>631.55999999999995</v>
      </c>
      <c r="H718" s="5">
        <v>62.01</v>
      </c>
      <c r="I718" t="s">
        <v>70</v>
      </c>
    </row>
    <row r="719" spans="1:9" x14ac:dyDescent="0.25">
      <c r="A719" t="s">
        <v>595</v>
      </c>
      <c r="B719" t="s">
        <v>488</v>
      </c>
      <c r="C719" s="10" t="s">
        <v>610</v>
      </c>
      <c r="D719" t="s">
        <v>15</v>
      </c>
      <c r="E719" s="5">
        <v>1650</v>
      </c>
      <c r="F719" s="5">
        <v>1018.44</v>
      </c>
      <c r="G719" s="5">
        <v>631.55999999999995</v>
      </c>
      <c r="H719" s="5">
        <v>62.01</v>
      </c>
      <c r="I719" t="s">
        <v>70</v>
      </c>
    </row>
    <row r="720" spans="1:9" x14ac:dyDescent="0.25">
      <c r="A720" t="s">
        <v>595</v>
      </c>
      <c r="B720" t="s">
        <v>488</v>
      </c>
      <c r="C720" s="10" t="s">
        <v>611</v>
      </c>
      <c r="D720" t="s">
        <v>15</v>
      </c>
      <c r="E720" s="5">
        <v>1650</v>
      </c>
      <c r="F720" s="5">
        <v>1018.44</v>
      </c>
      <c r="G720" s="5">
        <v>631.55999999999995</v>
      </c>
      <c r="H720" s="5">
        <v>62.01</v>
      </c>
      <c r="I720" t="s">
        <v>70</v>
      </c>
    </row>
    <row r="721" spans="1:9" x14ac:dyDescent="0.25">
      <c r="A721" t="s">
        <v>595</v>
      </c>
      <c r="B721" t="s">
        <v>488</v>
      </c>
      <c r="C721" s="10" t="s">
        <v>612</v>
      </c>
      <c r="D721" t="s">
        <v>15</v>
      </c>
      <c r="E721" s="5">
        <v>1650</v>
      </c>
      <c r="F721" s="5">
        <v>1018.44</v>
      </c>
      <c r="G721" s="5">
        <v>631.55999999999995</v>
      </c>
      <c r="H721" s="5">
        <v>62.01</v>
      </c>
      <c r="I721" t="s">
        <v>70</v>
      </c>
    </row>
    <row r="722" spans="1:9" x14ac:dyDescent="0.25">
      <c r="A722" t="s">
        <v>595</v>
      </c>
      <c r="B722" t="s">
        <v>488</v>
      </c>
      <c r="C722" s="10" t="s">
        <v>613</v>
      </c>
      <c r="D722" t="s">
        <v>15</v>
      </c>
      <c r="E722" s="5">
        <v>1650</v>
      </c>
      <c r="F722" s="5">
        <v>1018.44</v>
      </c>
      <c r="G722" s="5">
        <v>631.55999999999995</v>
      </c>
      <c r="H722" s="5">
        <v>62.01</v>
      </c>
      <c r="I722" t="s">
        <v>70</v>
      </c>
    </row>
    <row r="723" spans="1:9" x14ac:dyDescent="0.25">
      <c r="A723" t="s">
        <v>595</v>
      </c>
      <c r="B723" t="s">
        <v>488</v>
      </c>
      <c r="C723" s="10" t="s">
        <v>614</v>
      </c>
      <c r="D723" t="s">
        <v>15</v>
      </c>
      <c r="E723" s="5">
        <v>1650</v>
      </c>
      <c r="F723" s="5">
        <v>1018.44</v>
      </c>
      <c r="G723" s="5">
        <v>631.55999999999995</v>
      </c>
      <c r="H723" s="5">
        <v>62.01</v>
      </c>
      <c r="I723" t="s">
        <v>70</v>
      </c>
    </row>
    <row r="724" spans="1:9" x14ac:dyDescent="0.25">
      <c r="A724" t="s">
        <v>595</v>
      </c>
      <c r="B724" t="s">
        <v>488</v>
      </c>
      <c r="C724" s="10" t="s">
        <v>615</v>
      </c>
      <c r="D724" t="s">
        <v>15</v>
      </c>
      <c r="E724" s="5">
        <v>1650</v>
      </c>
      <c r="F724" s="5">
        <v>1018.44</v>
      </c>
      <c r="G724" s="5">
        <v>631.55999999999995</v>
      </c>
      <c r="H724" s="5">
        <v>62.01</v>
      </c>
      <c r="I724" t="s">
        <v>70</v>
      </c>
    </row>
    <row r="725" spans="1:9" x14ac:dyDescent="0.25">
      <c r="A725" t="s">
        <v>595</v>
      </c>
      <c r="B725" t="s">
        <v>488</v>
      </c>
      <c r="C725" s="10" t="s">
        <v>616</v>
      </c>
      <c r="D725" t="s">
        <v>15</v>
      </c>
      <c r="E725" s="5">
        <v>1650</v>
      </c>
      <c r="F725" s="5">
        <v>1018.44</v>
      </c>
      <c r="G725" s="5">
        <v>631.55999999999995</v>
      </c>
      <c r="H725" s="5">
        <v>62.01</v>
      </c>
      <c r="I725" t="s">
        <v>70</v>
      </c>
    </row>
    <row r="726" spans="1:9" x14ac:dyDescent="0.25">
      <c r="A726" t="s">
        <v>595</v>
      </c>
      <c r="B726" t="s">
        <v>488</v>
      </c>
      <c r="C726" s="10" t="s">
        <v>617</v>
      </c>
      <c r="D726" t="s">
        <v>15</v>
      </c>
      <c r="E726" s="5">
        <v>1650</v>
      </c>
      <c r="F726" s="5">
        <v>1018.44</v>
      </c>
      <c r="G726" s="5">
        <v>631.55999999999995</v>
      </c>
      <c r="H726" s="5">
        <v>62.01</v>
      </c>
      <c r="I726" t="s">
        <v>70</v>
      </c>
    </row>
    <row r="727" spans="1:9" x14ac:dyDescent="0.25">
      <c r="A727" t="s">
        <v>595</v>
      </c>
      <c r="B727" t="s">
        <v>488</v>
      </c>
      <c r="C727" s="10" t="s">
        <v>618</v>
      </c>
      <c r="D727" t="s">
        <v>15</v>
      </c>
      <c r="E727" s="5">
        <v>1650</v>
      </c>
      <c r="F727" s="5">
        <v>1018.44</v>
      </c>
      <c r="G727" s="5">
        <v>631.55999999999995</v>
      </c>
      <c r="H727" s="5">
        <v>62.01</v>
      </c>
      <c r="I727" t="s">
        <v>70</v>
      </c>
    </row>
    <row r="728" spans="1:9" x14ac:dyDescent="0.25">
      <c r="A728" t="s">
        <v>595</v>
      </c>
      <c r="B728" t="s">
        <v>488</v>
      </c>
      <c r="C728" s="10" t="s">
        <v>619</v>
      </c>
      <c r="D728" t="s">
        <v>15</v>
      </c>
      <c r="E728" s="5">
        <v>1650</v>
      </c>
      <c r="F728" s="5">
        <v>1018.44</v>
      </c>
      <c r="G728" s="5">
        <v>631.55999999999995</v>
      </c>
      <c r="H728" s="5">
        <v>62.01</v>
      </c>
      <c r="I728" t="s">
        <v>70</v>
      </c>
    </row>
    <row r="729" spans="1:9" x14ac:dyDescent="0.25">
      <c r="A729" t="s">
        <v>595</v>
      </c>
      <c r="B729" t="s">
        <v>488</v>
      </c>
      <c r="C729" s="10" t="s">
        <v>620</v>
      </c>
      <c r="D729" t="s">
        <v>15</v>
      </c>
      <c r="E729" s="5">
        <v>1650</v>
      </c>
      <c r="F729" s="5">
        <v>1018.44</v>
      </c>
      <c r="G729" s="5">
        <v>631.55999999999995</v>
      </c>
      <c r="H729" s="5">
        <v>62.01</v>
      </c>
      <c r="I729" t="s">
        <v>70</v>
      </c>
    </row>
    <row r="730" spans="1:9" x14ac:dyDescent="0.25">
      <c r="A730" t="s">
        <v>595</v>
      </c>
      <c r="B730" t="s">
        <v>488</v>
      </c>
      <c r="C730" s="10" t="s">
        <v>621</v>
      </c>
      <c r="D730" t="s">
        <v>15</v>
      </c>
      <c r="E730" s="5">
        <v>1650</v>
      </c>
      <c r="F730" s="5">
        <v>1018.44</v>
      </c>
      <c r="G730" s="5">
        <v>631.55999999999995</v>
      </c>
      <c r="H730" s="5">
        <v>62.01</v>
      </c>
      <c r="I730" t="s">
        <v>70</v>
      </c>
    </row>
    <row r="731" spans="1:9" x14ac:dyDescent="0.25">
      <c r="A731" t="s">
        <v>595</v>
      </c>
      <c r="B731" t="s">
        <v>488</v>
      </c>
      <c r="C731" s="10" t="s">
        <v>622</v>
      </c>
      <c r="D731" t="s">
        <v>15</v>
      </c>
      <c r="E731" s="5">
        <v>1650</v>
      </c>
      <c r="F731" s="5">
        <v>1018.44</v>
      </c>
      <c r="G731" s="5">
        <v>631.55999999999995</v>
      </c>
      <c r="H731" s="5">
        <v>62.01</v>
      </c>
      <c r="I731" t="s">
        <v>70</v>
      </c>
    </row>
    <row r="732" spans="1:9" x14ac:dyDescent="0.25">
      <c r="A732" t="s">
        <v>595</v>
      </c>
      <c r="B732" t="s">
        <v>488</v>
      </c>
      <c r="C732" s="10" t="s">
        <v>623</v>
      </c>
      <c r="D732" t="s">
        <v>15</v>
      </c>
      <c r="E732" s="5">
        <v>1650</v>
      </c>
      <c r="F732" s="5">
        <v>1018.44</v>
      </c>
      <c r="G732" s="5">
        <v>631.55999999999995</v>
      </c>
      <c r="H732" s="5">
        <v>62.01</v>
      </c>
      <c r="I732" t="s">
        <v>70</v>
      </c>
    </row>
    <row r="733" spans="1:9" x14ac:dyDescent="0.25">
      <c r="A733" t="s">
        <v>595</v>
      </c>
      <c r="B733" t="s">
        <v>488</v>
      </c>
      <c r="C733" s="10" t="s">
        <v>624</v>
      </c>
      <c r="D733" t="s">
        <v>15</v>
      </c>
      <c r="E733" s="5">
        <v>1650</v>
      </c>
      <c r="F733" s="5">
        <v>1018.44</v>
      </c>
      <c r="G733" s="5">
        <v>631.55999999999995</v>
      </c>
      <c r="H733" s="5">
        <v>62.01</v>
      </c>
      <c r="I733" t="s">
        <v>70</v>
      </c>
    </row>
    <row r="734" spans="1:9" x14ac:dyDescent="0.25">
      <c r="A734" t="s">
        <v>595</v>
      </c>
      <c r="B734" t="s">
        <v>488</v>
      </c>
      <c r="C734" s="10" t="s">
        <v>625</v>
      </c>
      <c r="D734" t="s">
        <v>15</v>
      </c>
      <c r="E734" s="5">
        <v>1650</v>
      </c>
      <c r="F734" s="5">
        <v>1018.44</v>
      </c>
      <c r="G734" s="5">
        <v>631.55999999999995</v>
      </c>
      <c r="H734" s="5">
        <v>62.01</v>
      </c>
      <c r="I734" t="s">
        <v>70</v>
      </c>
    </row>
    <row r="735" spans="1:9" x14ac:dyDescent="0.25">
      <c r="A735" t="s">
        <v>595</v>
      </c>
      <c r="B735" t="s">
        <v>488</v>
      </c>
      <c r="C735" s="10" t="s">
        <v>626</v>
      </c>
      <c r="D735" t="s">
        <v>15</v>
      </c>
      <c r="E735" s="5">
        <v>1650</v>
      </c>
      <c r="F735" s="5">
        <v>1018.44</v>
      </c>
      <c r="G735" s="5">
        <v>631.55999999999995</v>
      </c>
      <c r="H735" s="5">
        <v>62.01</v>
      </c>
      <c r="I735" t="s">
        <v>70</v>
      </c>
    </row>
    <row r="736" spans="1:9" x14ac:dyDescent="0.25">
      <c r="A736" t="s">
        <v>595</v>
      </c>
      <c r="B736" t="s">
        <v>488</v>
      </c>
      <c r="C736" s="10" t="s">
        <v>627</v>
      </c>
      <c r="D736" t="s">
        <v>15</v>
      </c>
      <c r="E736" s="5">
        <v>1650</v>
      </c>
      <c r="F736" s="5">
        <v>1018.44</v>
      </c>
      <c r="G736" s="5">
        <v>631.55999999999995</v>
      </c>
      <c r="H736" s="5">
        <v>62.01</v>
      </c>
      <c r="I736" t="s">
        <v>70</v>
      </c>
    </row>
    <row r="737" spans="1:9" x14ac:dyDescent="0.25">
      <c r="A737" t="s">
        <v>595</v>
      </c>
      <c r="B737" t="s">
        <v>488</v>
      </c>
      <c r="C737" s="10" t="s">
        <v>628</v>
      </c>
      <c r="D737" t="s">
        <v>15</v>
      </c>
      <c r="E737" s="5">
        <v>1650</v>
      </c>
      <c r="F737" s="5">
        <v>1018.44</v>
      </c>
      <c r="G737" s="5">
        <v>631.55999999999995</v>
      </c>
      <c r="H737" s="5">
        <v>62.01</v>
      </c>
      <c r="I737" t="s">
        <v>70</v>
      </c>
    </row>
    <row r="738" spans="1:9" x14ac:dyDescent="0.25">
      <c r="A738" t="s">
        <v>595</v>
      </c>
      <c r="B738" t="s">
        <v>488</v>
      </c>
      <c r="C738" s="10" t="s">
        <v>629</v>
      </c>
      <c r="D738" t="s">
        <v>15</v>
      </c>
      <c r="E738" s="5">
        <v>1650</v>
      </c>
      <c r="F738" s="5">
        <v>1018.44</v>
      </c>
      <c r="G738" s="5">
        <v>631.55999999999995</v>
      </c>
      <c r="H738" s="5">
        <v>62.01</v>
      </c>
      <c r="I738" t="s">
        <v>70</v>
      </c>
    </row>
    <row r="739" spans="1:9" x14ac:dyDescent="0.25">
      <c r="A739" t="s">
        <v>595</v>
      </c>
      <c r="B739" t="s">
        <v>488</v>
      </c>
      <c r="C739" s="10" t="s">
        <v>630</v>
      </c>
      <c r="D739" t="s">
        <v>15</v>
      </c>
      <c r="E739" s="5">
        <v>1650</v>
      </c>
      <c r="F739" s="5">
        <v>1018.44</v>
      </c>
      <c r="G739" s="5">
        <v>631.55999999999995</v>
      </c>
      <c r="H739" s="5">
        <v>62.01</v>
      </c>
      <c r="I739" t="s">
        <v>70</v>
      </c>
    </row>
    <row r="740" spans="1:9" x14ac:dyDescent="0.25">
      <c r="A740" t="s">
        <v>595</v>
      </c>
      <c r="B740" t="s">
        <v>488</v>
      </c>
      <c r="C740" s="10" t="s">
        <v>631</v>
      </c>
      <c r="D740" t="s">
        <v>15</v>
      </c>
      <c r="E740" s="5">
        <v>1650</v>
      </c>
      <c r="F740" s="5">
        <v>1018.44</v>
      </c>
      <c r="G740" s="5">
        <v>631.55999999999995</v>
      </c>
      <c r="H740" s="5">
        <v>62.01</v>
      </c>
      <c r="I740" t="s">
        <v>70</v>
      </c>
    </row>
    <row r="741" spans="1:9" x14ac:dyDescent="0.25">
      <c r="A741" t="s">
        <v>595</v>
      </c>
      <c r="B741" t="s">
        <v>488</v>
      </c>
      <c r="C741" s="10" t="s">
        <v>632</v>
      </c>
      <c r="D741" t="s">
        <v>15</v>
      </c>
      <c r="E741" s="5">
        <v>1650</v>
      </c>
      <c r="F741" s="5">
        <v>1018.44</v>
      </c>
      <c r="G741" s="5">
        <v>631.55999999999995</v>
      </c>
      <c r="H741" s="5">
        <v>62.01</v>
      </c>
      <c r="I741" t="s">
        <v>70</v>
      </c>
    </row>
    <row r="742" spans="1:9" x14ac:dyDescent="0.25">
      <c r="A742" t="s">
        <v>595</v>
      </c>
      <c r="B742" t="s">
        <v>488</v>
      </c>
      <c r="C742" s="10" t="s">
        <v>633</v>
      </c>
      <c r="D742" t="s">
        <v>15</v>
      </c>
      <c r="E742" s="5">
        <v>1650</v>
      </c>
      <c r="F742" s="5">
        <v>1018.44</v>
      </c>
      <c r="G742" s="5">
        <v>631.55999999999995</v>
      </c>
      <c r="H742" s="5">
        <v>62.01</v>
      </c>
      <c r="I742" t="s">
        <v>70</v>
      </c>
    </row>
    <row r="743" spans="1:9" x14ac:dyDescent="0.25">
      <c r="A743" t="s">
        <v>595</v>
      </c>
      <c r="B743" t="s">
        <v>488</v>
      </c>
      <c r="C743" s="10" t="s">
        <v>634</v>
      </c>
      <c r="D743" t="s">
        <v>15</v>
      </c>
      <c r="E743" s="5">
        <v>1650</v>
      </c>
      <c r="F743" s="5">
        <v>1018.44</v>
      </c>
      <c r="G743" s="5">
        <v>631.55999999999995</v>
      </c>
      <c r="H743" s="5">
        <v>62.01</v>
      </c>
      <c r="I743" t="s">
        <v>70</v>
      </c>
    </row>
    <row r="744" spans="1:9" x14ac:dyDescent="0.25">
      <c r="A744" t="s">
        <v>595</v>
      </c>
      <c r="B744" t="s">
        <v>488</v>
      </c>
      <c r="C744" s="10" t="s">
        <v>635</v>
      </c>
      <c r="D744" t="s">
        <v>15</v>
      </c>
      <c r="E744" s="5">
        <v>1650</v>
      </c>
      <c r="F744" s="5">
        <v>1018.44</v>
      </c>
      <c r="G744" s="5">
        <v>631.55999999999995</v>
      </c>
      <c r="H744" s="5">
        <v>62.01</v>
      </c>
      <c r="I744" t="s">
        <v>70</v>
      </c>
    </row>
    <row r="745" spans="1:9" x14ac:dyDescent="0.25">
      <c r="A745" t="s">
        <v>595</v>
      </c>
      <c r="B745" t="s">
        <v>488</v>
      </c>
      <c r="C745" s="10" t="s">
        <v>636</v>
      </c>
      <c r="D745" t="s">
        <v>15</v>
      </c>
      <c r="E745" s="5">
        <v>1650</v>
      </c>
      <c r="F745" s="5">
        <v>1018.44</v>
      </c>
      <c r="G745" s="5">
        <v>631.55999999999995</v>
      </c>
      <c r="H745" s="5">
        <v>62.01</v>
      </c>
      <c r="I745" t="s">
        <v>70</v>
      </c>
    </row>
    <row r="746" spans="1:9" x14ac:dyDescent="0.25">
      <c r="A746" t="s">
        <v>595</v>
      </c>
      <c r="B746" t="s">
        <v>488</v>
      </c>
      <c r="C746" s="10" t="s">
        <v>637</v>
      </c>
      <c r="D746" t="s">
        <v>15</v>
      </c>
      <c r="E746" s="5">
        <v>1650</v>
      </c>
      <c r="F746" s="5">
        <v>1018.44</v>
      </c>
      <c r="G746" s="5">
        <v>631.55999999999995</v>
      </c>
      <c r="H746" s="5">
        <v>62.01</v>
      </c>
      <c r="I746" t="s">
        <v>70</v>
      </c>
    </row>
    <row r="747" spans="1:9" x14ac:dyDescent="0.25">
      <c r="A747" t="s">
        <v>595</v>
      </c>
      <c r="B747" t="s">
        <v>488</v>
      </c>
      <c r="C747" s="10" t="s">
        <v>638</v>
      </c>
      <c r="D747" t="s">
        <v>15</v>
      </c>
      <c r="E747" s="5">
        <v>1650</v>
      </c>
      <c r="F747" s="5">
        <v>1018.44</v>
      </c>
      <c r="G747" s="5">
        <v>631.55999999999995</v>
      </c>
      <c r="H747" s="5">
        <v>62.01</v>
      </c>
      <c r="I747" t="s">
        <v>70</v>
      </c>
    </row>
    <row r="748" spans="1:9" x14ac:dyDescent="0.25">
      <c r="A748" t="s">
        <v>595</v>
      </c>
      <c r="B748" t="s">
        <v>488</v>
      </c>
      <c r="C748" s="10" t="s">
        <v>639</v>
      </c>
      <c r="D748" t="s">
        <v>15</v>
      </c>
      <c r="E748" s="5">
        <v>1650</v>
      </c>
      <c r="F748" s="5">
        <v>1018.44</v>
      </c>
      <c r="G748" s="5">
        <v>631.55999999999995</v>
      </c>
      <c r="H748" s="5">
        <v>62.01</v>
      </c>
      <c r="I748" t="s">
        <v>70</v>
      </c>
    </row>
    <row r="749" spans="1:9" x14ac:dyDescent="0.25">
      <c r="A749" t="s">
        <v>595</v>
      </c>
      <c r="B749" t="s">
        <v>488</v>
      </c>
      <c r="C749" s="10" t="s">
        <v>640</v>
      </c>
      <c r="D749" t="s">
        <v>15</v>
      </c>
      <c r="E749" s="5">
        <v>1650</v>
      </c>
      <c r="F749" s="5">
        <v>1018.44</v>
      </c>
      <c r="G749" s="5">
        <v>631.55999999999995</v>
      </c>
      <c r="H749" s="5">
        <v>62.01</v>
      </c>
      <c r="I749" t="s">
        <v>70</v>
      </c>
    </row>
    <row r="750" spans="1:9" x14ac:dyDescent="0.25">
      <c r="A750" t="s">
        <v>595</v>
      </c>
      <c r="B750" t="s">
        <v>488</v>
      </c>
      <c r="C750" s="10" t="s">
        <v>641</v>
      </c>
      <c r="D750" t="s">
        <v>15</v>
      </c>
      <c r="E750" s="5">
        <v>1650</v>
      </c>
      <c r="F750" s="5">
        <v>1018.44</v>
      </c>
      <c r="G750" s="5">
        <v>631.55999999999995</v>
      </c>
      <c r="H750" s="5">
        <v>62.01</v>
      </c>
      <c r="I750" t="s">
        <v>70</v>
      </c>
    </row>
    <row r="751" spans="1:9" x14ac:dyDescent="0.25">
      <c r="A751" t="s">
        <v>595</v>
      </c>
      <c r="B751" t="s">
        <v>488</v>
      </c>
      <c r="C751" s="10" t="s">
        <v>642</v>
      </c>
      <c r="D751" t="s">
        <v>15</v>
      </c>
      <c r="E751" s="5">
        <v>1650</v>
      </c>
      <c r="F751" s="5">
        <v>1018.44</v>
      </c>
      <c r="G751" s="5">
        <v>631.55999999999995</v>
      </c>
      <c r="H751" s="5">
        <v>62.01</v>
      </c>
      <c r="I751" t="s">
        <v>70</v>
      </c>
    </row>
    <row r="752" spans="1:9" x14ac:dyDescent="0.25">
      <c r="A752" t="s">
        <v>595</v>
      </c>
      <c r="B752" t="s">
        <v>488</v>
      </c>
      <c r="C752" s="10" t="s">
        <v>643</v>
      </c>
      <c r="D752" t="s">
        <v>15</v>
      </c>
      <c r="E752" s="5">
        <v>1650</v>
      </c>
      <c r="F752" s="5">
        <v>1018.44</v>
      </c>
      <c r="G752" s="5">
        <v>631.55999999999995</v>
      </c>
      <c r="H752" s="5">
        <v>62.01</v>
      </c>
      <c r="I752" t="s">
        <v>70</v>
      </c>
    </row>
    <row r="753" spans="1:9" x14ac:dyDescent="0.25">
      <c r="A753" t="s">
        <v>595</v>
      </c>
      <c r="B753" t="s">
        <v>488</v>
      </c>
      <c r="C753" s="10" t="s">
        <v>644</v>
      </c>
      <c r="D753" t="s">
        <v>15</v>
      </c>
      <c r="E753" s="5">
        <v>1650</v>
      </c>
      <c r="F753" s="5">
        <v>1018.44</v>
      </c>
      <c r="G753" s="5">
        <v>631.55999999999995</v>
      </c>
      <c r="H753" s="5">
        <v>62.01</v>
      </c>
      <c r="I753" t="s">
        <v>70</v>
      </c>
    </row>
    <row r="754" spans="1:9" x14ac:dyDescent="0.25">
      <c r="A754" t="s">
        <v>595</v>
      </c>
      <c r="B754" t="s">
        <v>488</v>
      </c>
      <c r="C754" s="10" t="s">
        <v>645</v>
      </c>
      <c r="D754" t="s">
        <v>15</v>
      </c>
      <c r="E754" s="5">
        <v>1650</v>
      </c>
      <c r="F754" s="5">
        <v>1018.44</v>
      </c>
      <c r="G754" s="5">
        <v>631.55999999999995</v>
      </c>
      <c r="H754" s="5">
        <v>62.01</v>
      </c>
      <c r="I754" t="s">
        <v>70</v>
      </c>
    </row>
    <row r="755" spans="1:9" x14ac:dyDescent="0.25">
      <c r="A755" t="s">
        <v>595</v>
      </c>
      <c r="B755" t="s">
        <v>488</v>
      </c>
      <c r="C755" s="10" t="s">
        <v>646</v>
      </c>
      <c r="D755" t="s">
        <v>15</v>
      </c>
      <c r="E755" s="5">
        <v>1650</v>
      </c>
      <c r="F755" s="5">
        <v>1018.44</v>
      </c>
      <c r="G755" s="5">
        <v>631.55999999999995</v>
      </c>
      <c r="H755" s="5">
        <v>62.01</v>
      </c>
      <c r="I755" t="s">
        <v>70</v>
      </c>
    </row>
    <row r="756" spans="1:9" x14ac:dyDescent="0.25">
      <c r="A756" t="s">
        <v>595</v>
      </c>
      <c r="B756" t="s">
        <v>488</v>
      </c>
      <c r="C756" s="10" t="s">
        <v>647</v>
      </c>
      <c r="D756" t="s">
        <v>15</v>
      </c>
      <c r="E756" s="5">
        <v>1650</v>
      </c>
      <c r="F756" s="5">
        <v>1018.44</v>
      </c>
      <c r="G756" s="5">
        <v>631.55999999999995</v>
      </c>
      <c r="H756" s="5">
        <v>62.01</v>
      </c>
      <c r="I756" t="s">
        <v>70</v>
      </c>
    </row>
    <row r="757" spans="1:9" x14ac:dyDescent="0.25">
      <c r="A757" t="s">
        <v>595</v>
      </c>
      <c r="B757" t="s">
        <v>488</v>
      </c>
      <c r="C757" s="10" t="s">
        <v>648</v>
      </c>
      <c r="D757" t="s">
        <v>15</v>
      </c>
      <c r="E757" s="5">
        <v>1650</v>
      </c>
      <c r="F757" s="5">
        <v>1018.44</v>
      </c>
      <c r="G757" s="5">
        <v>631.55999999999995</v>
      </c>
      <c r="H757" s="5">
        <v>62.01</v>
      </c>
      <c r="I757" t="s">
        <v>70</v>
      </c>
    </row>
    <row r="758" spans="1:9" x14ac:dyDescent="0.25">
      <c r="A758" t="s">
        <v>595</v>
      </c>
      <c r="B758" t="s">
        <v>488</v>
      </c>
      <c r="C758" s="10" t="s">
        <v>649</v>
      </c>
      <c r="D758" t="s">
        <v>15</v>
      </c>
      <c r="E758" s="5">
        <v>1650</v>
      </c>
      <c r="F758" s="5">
        <v>1018.44</v>
      </c>
      <c r="G758" s="5">
        <v>631.55999999999995</v>
      </c>
      <c r="H758" s="5">
        <v>62.01</v>
      </c>
      <c r="I758" t="s">
        <v>70</v>
      </c>
    </row>
    <row r="759" spans="1:9" x14ac:dyDescent="0.25">
      <c r="A759" t="s">
        <v>595</v>
      </c>
      <c r="B759" t="s">
        <v>488</v>
      </c>
      <c r="C759" s="10" t="s">
        <v>650</v>
      </c>
      <c r="D759" t="s">
        <v>15</v>
      </c>
      <c r="E759" s="5">
        <v>1650</v>
      </c>
      <c r="F759" s="5">
        <v>1018.44</v>
      </c>
      <c r="G759" s="5">
        <v>631.55999999999995</v>
      </c>
      <c r="H759" s="5">
        <v>62.01</v>
      </c>
      <c r="I759" t="s">
        <v>70</v>
      </c>
    </row>
    <row r="760" spans="1:9" x14ac:dyDescent="0.25">
      <c r="A760" t="s">
        <v>595</v>
      </c>
      <c r="B760" t="s">
        <v>488</v>
      </c>
      <c r="C760" s="10" t="s">
        <v>651</v>
      </c>
      <c r="D760" t="s">
        <v>15</v>
      </c>
      <c r="E760" s="5">
        <v>1650</v>
      </c>
      <c r="F760" s="5">
        <v>1018.44</v>
      </c>
      <c r="G760" s="5">
        <v>631.55999999999995</v>
      </c>
      <c r="H760" s="5">
        <v>62.01</v>
      </c>
      <c r="I760" t="s">
        <v>70</v>
      </c>
    </row>
    <row r="761" spans="1:9" x14ac:dyDescent="0.25">
      <c r="A761" t="s">
        <v>595</v>
      </c>
      <c r="B761" t="s">
        <v>488</v>
      </c>
      <c r="C761" s="10" t="s">
        <v>652</v>
      </c>
      <c r="D761" t="s">
        <v>15</v>
      </c>
      <c r="E761" s="5">
        <v>1650</v>
      </c>
      <c r="F761" s="5">
        <v>1018.44</v>
      </c>
      <c r="G761" s="5">
        <v>631.55999999999995</v>
      </c>
      <c r="H761" s="5">
        <v>62.01</v>
      </c>
      <c r="I761" t="s">
        <v>70</v>
      </c>
    </row>
    <row r="762" spans="1:9" x14ac:dyDescent="0.25">
      <c r="A762" t="s">
        <v>595</v>
      </c>
      <c r="B762" t="s">
        <v>488</v>
      </c>
      <c r="C762" s="10" t="s">
        <v>653</v>
      </c>
      <c r="D762" t="s">
        <v>15</v>
      </c>
      <c r="E762" s="5">
        <v>1650</v>
      </c>
      <c r="F762" s="5">
        <v>1018.44</v>
      </c>
      <c r="G762" s="5">
        <v>631.55999999999995</v>
      </c>
      <c r="H762" s="5">
        <v>62.01</v>
      </c>
      <c r="I762" t="s">
        <v>70</v>
      </c>
    </row>
    <row r="763" spans="1:9" x14ac:dyDescent="0.25">
      <c r="A763" t="s">
        <v>595</v>
      </c>
      <c r="B763" t="s">
        <v>488</v>
      </c>
      <c r="C763" s="10" t="s">
        <v>654</v>
      </c>
      <c r="D763" t="s">
        <v>15</v>
      </c>
      <c r="E763" s="5">
        <v>1650</v>
      </c>
      <c r="F763" s="5">
        <v>1018.44</v>
      </c>
      <c r="G763" s="5">
        <v>631.55999999999995</v>
      </c>
      <c r="H763" s="5">
        <v>62.01</v>
      </c>
      <c r="I763" t="s">
        <v>70</v>
      </c>
    </row>
    <row r="764" spans="1:9" x14ac:dyDescent="0.25">
      <c r="A764" t="s">
        <v>595</v>
      </c>
      <c r="B764" t="s">
        <v>488</v>
      </c>
      <c r="C764" s="10" t="s">
        <v>655</v>
      </c>
      <c r="D764" t="s">
        <v>15</v>
      </c>
      <c r="E764" s="5">
        <v>1650</v>
      </c>
      <c r="F764" s="5">
        <v>1018.44</v>
      </c>
      <c r="G764" s="5">
        <v>631.55999999999995</v>
      </c>
      <c r="H764" s="5">
        <v>62.01</v>
      </c>
      <c r="I764" t="s">
        <v>70</v>
      </c>
    </row>
    <row r="765" spans="1:9" x14ac:dyDescent="0.25">
      <c r="A765" t="s">
        <v>595</v>
      </c>
      <c r="B765" t="s">
        <v>488</v>
      </c>
      <c r="C765" s="10" t="s">
        <v>656</v>
      </c>
      <c r="D765" t="s">
        <v>15</v>
      </c>
      <c r="E765" s="5">
        <v>1650</v>
      </c>
      <c r="F765" s="5">
        <v>1018.44</v>
      </c>
      <c r="G765" s="5">
        <v>631.55999999999995</v>
      </c>
      <c r="H765" s="5">
        <v>62.01</v>
      </c>
      <c r="I765" t="s">
        <v>70</v>
      </c>
    </row>
    <row r="766" spans="1:9" x14ac:dyDescent="0.25">
      <c r="A766" t="s">
        <v>595</v>
      </c>
      <c r="B766" t="s">
        <v>488</v>
      </c>
      <c r="C766" s="10" t="s">
        <v>657</v>
      </c>
      <c r="D766" t="s">
        <v>15</v>
      </c>
      <c r="E766" s="5">
        <v>1650</v>
      </c>
      <c r="F766" s="5">
        <v>1018.44</v>
      </c>
      <c r="G766" s="5">
        <v>631.55999999999995</v>
      </c>
      <c r="H766" s="5">
        <v>62.01</v>
      </c>
      <c r="I766" t="s">
        <v>70</v>
      </c>
    </row>
    <row r="767" spans="1:9" x14ac:dyDescent="0.25">
      <c r="A767" t="s">
        <v>595</v>
      </c>
      <c r="B767" t="s">
        <v>488</v>
      </c>
      <c r="C767" s="10" t="s">
        <v>658</v>
      </c>
      <c r="D767" t="s">
        <v>15</v>
      </c>
      <c r="E767" s="5">
        <v>1650</v>
      </c>
      <c r="F767" s="5">
        <v>1018.44</v>
      </c>
      <c r="G767" s="5">
        <v>631.55999999999995</v>
      </c>
      <c r="H767" s="5">
        <v>62.01</v>
      </c>
      <c r="I767" t="s">
        <v>70</v>
      </c>
    </row>
    <row r="768" spans="1:9" x14ac:dyDescent="0.25">
      <c r="A768" t="s">
        <v>595</v>
      </c>
      <c r="B768" t="s">
        <v>488</v>
      </c>
      <c r="C768" s="10" t="s">
        <v>659</v>
      </c>
      <c r="D768" t="s">
        <v>15</v>
      </c>
      <c r="E768" s="5">
        <v>1650</v>
      </c>
      <c r="F768" s="5">
        <v>1018.44</v>
      </c>
      <c r="G768" s="5">
        <v>631.55999999999995</v>
      </c>
      <c r="H768" s="5">
        <v>62.01</v>
      </c>
      <c r="I768" t="s">
        <v>70</v>
      </c>
    </row>
    <row r="769" spans="1:9" x14ac:dyDescent="0.25">
      <c r="A769" t="s">
        <v>595</v>
      </c>
      <c r="B769" t="s">
        <v>488</v>
      </c>
      <c r="C769" s="10" t="s">
        <v>660</v>
      </c>
      <c r="D769" t="s">
        <v>15</v>
      </c>
      <c r="E769" s="5">
        <v>1650</v>
      </c>
      <c r="F769" s="5">
        <v>1018.44</v>
      </c>
      <c r="G769" s="5">
        <v>631.55999999999995</v>
      </c>
      <c r="H769" s="5">
        <v>62.01</v>
      </c>
      <c r="I769" t="s">
        <v>70</v>
      </c>
    </row>
    <row r="770" spans="1:9" x14ac:dyDescent="0.25">
      <c r="A770" t="s">
        <v>595</v>
      </c>
      <c r="B770" t="s">
        <v>488</v>
      </c>
      <c r="C770" s="10" t="s">
        <v>661</v>
      </c>
      <c r="D770" t="s">
        <v>15</v>
      </c>
      <c r="E770" s="5">
        <v>1650</v>
      </c>
      <c r="F770" s="5">
        <v>1018.44</v>
      </c>
      <c r="G770" s="5">
        <v>631.55999999999995</v>
      </c>
      <c r="H770" s="5">
        <v>62.01</v>
      </c>
      <c r="I770" t="s">
        <v>70</v>
      </c>
    </row>
    <row r="771" spans="1:9" x14ac:dyDescent="0.25">
      <c r="A771" t="s">
        <v>595</v>
      </c>
      <c r="B771" t="s">
        <v>488</v>
      </c>
      <c r="C771" s="10" t="s">
        <v>662</v>
      </c>
      <c r="D771" t="s">
        <v>15</v>
      </c>
      <c r="E771" s="5">
        <v>1650</v>
      </c>
      <c r="F771" s="5">
        <v>1018.44</v>
      </c>
      <c r="G771" s="5">
        <v>631.55999999999995</v>
      </c>
      <c r="H771" s="5">
        <v>62.01</v>
      </c>
      <c r="I771" t="s">
        <v>70</v>
      </c>
    </row>
    <row r="772" spans="1:9" x14ac:dyDescent="0.25">
      <c r="A772" t="s">
        <v>595</v>
      </c>
      <c r="B772" t="s">
        <v>488</v>
      </c>
      <c r="C772" s="10" t="s">
        <v>663</v>
      </c>
      <c r="D772" t="s">
        <v>15</v>
      </c>
      <c r="E772" s="5">
        <v>1650</v>
      </c>
      <c r="F772" s="5">
        <v>1018.44</v>
      </c>
      <c r="G772" s="5">
        <v>631.55999999999995</v>
      </c>
      <c r="H772" s="5">
        <v>62.01</v>
      </c>
      <c r="I772" t="s">
        <v>70</v>
      </c>
    </row>
    <row r="773" spans="1:9" x14ac:dyDescent="0.25">
      <c r="A773" t="s">
        <v>595</v>
      </c>
      <c r="B773" t="s">
        <v>488</v>
      </c>
      <c r="C773" s="10" t="s">
        <v>664</v>
      </c>
      <c r="D773" t="s">
        <v>15</v>
      </c>
      <c r="E773" s="5">
        <v>1650</v>
      </c>
      <c r="F773" s="5">
        <v>1018.44</v>
      </c>
      <c r="G773" s="5">
        <v>631.55999999999995</v>
      </c>
      <c r="H773" s="5">
        <v>62.01</v>
      </c>
      <c r="I773" t="s">
        <v>70</v>
      </c>
    </row>
    <row r="774" spans="1:9" x14ac:dyDescent="0.25">
      <c r="A774" t="s">
        <v>595</v>
      </c>
      <c r="B774" t="s">
        <v>488</v>
      </c>
      <c r="C774" s="10" t="s">
        <v>665</v>
      </c>
      <c r="D774" t="s">
        <v>15</v>
      </c>
      <c r="E774" s="5">
        <v>1650</v>
      </c>
      <c r="F774" s="5">
        <v>1018.44</v>
      </c>
      <c r="G774" s="5">
        <v>631.55999999999995</v>
      </c>
      <c r="H774" s="5">
        <v>62.01</v>
      </c>
      <c r="I774" t="s">
        <v>70</v>
      </c>
    </row>
    <row r="775" spans="1:9" x14ac:dyDescent="0.25">
      <c r="A775" t="s">
        <v>595</v>
      </c>
      <c r="B775" t="s">
        <v>488</v>
      </c>
      <c r="C775" s="10" t="s">
        <v>666</v>
      </c>
      <c r="D775" t="s">
        <v>15</v>
      </c>
      <c r="E775" s="5">
        <v>1650</v>
      </c>
      <c r="F775" s="5">
        <v>1018.44</v>
      </c>
      <c r="G775" s="5">
        <v>631.55999999999995</v>
      </c>
      <c r="H775" s="5">
        <v>62.01</v>
      </c>
      <c r="I775" t="s">
        <v>70</v>
      </c>
    </row>
    <row r="776" spans="1:9" x14ac:dyDescent="0.25">
      <c r="A776" t="s">
        <v>595</v>
      </c>
      <c r="B776" t="s">
        <v>488</v>
      </c>
      <c r="C776" s="10" t="s">
        <v>667</v>
      </c>
      <c r="D776" t="s">
        <v>15</v>
      </c>
      <c r="E776" s="5">
        <v>1650</v>
      </c>
      <c r="F776" s="5">
        <v>1018.44</v>
      </c>
      <c r="G776" s="5">
        <v>631.55999999999995</v>
      </c>
      <c r="H776" s="5">
        <v>62.01</v>
      </c>
      <c r="I776" t="s">
        <v>70</v>
      </c>
    </row>
    <row r="777" spans="1:9" x14ac:dyDescent="0.25">
      <c r="A777" t="s">
        <v>595</v>
      </c>
      <c r="B777" t="s">
        <v>488</v>
      </c>
      <c r="C777" s="10" t="s">
        <v>668</v>
      </c>
      <c r="D777" t="s">
        <v>15</v>
      </c>
      <c r="E777" s="5">
        <v>1650</v>
      </c>
      <c r="F777" s="5">
        <v>1018.44</v>
      </c>
      <c r="G777" s="5">
        <v>631.55999999999995</v>
      </c>
      <c r="H777" s="5">
        <v>62.01</v>
      </c>
      <c r="I777" t="s">
        <v>70</v>
      </c>
    </row>
    <row r="778" spans="1:9" x14ac:dyDescent="0.25">
      <c r="A778" t="s">
        <v>595</v>
      </c>
      <c r="B778" t="s">
        <v>488</v>
      </c>
      <c r="C778" s="10" t="s">
        <v>669</v>
      </c>
      <c r="D778" t="s">
        <v>15</v>
      </c>
      <c r="E778" s="5">
        <v>1650</v>
      </c>
      <c r="F778" s="5">
        <v>1018.44</v>
      </c>
      <c r="G778" s="5">
        <v>631.55999999999995</v>
      </c>
      <c r="H778" s="5">
        <v>62.01</v>
      </c>
      <c r="I778" t="s">
        <v>70</v>
      </c>
    </row>
    <row r="779" spans="1:9" x14ac:dyDescent="0.25">
      <c r="A779" t="s">
        <v>595</v>
      </c>
      <c r="B779" t="s">
        <v>488</v>
      </c>
      <c r="C779" s="10" t="s">
        <v>670</v>
      </c>
      <c r="D779" t="s">
        <v>15</v>
      </c>
      <c r="E779" s="5">
        <v>1650</v>
      </c>
      <c r="F779" s="5">
        <v>1018.44</v>
      </c>
      <c r="G779" s="5">
        <v>631.55999999999995</v>
      </c>
      <c r="H779" s="5">
        <v>62.01</v>
      </c>
      <c r="I779" t="s">
        <v>70</v>
      </c>
    </row>
    <row r="780" spans="1:9" x14ac:dyDescent="0.25">
      <c r="A780" t="s">
        <v>595</v>
      </c>
      <c r="B780" t="s">
        <v>488</v>
      </c>
      <c r="C780" s="10" t="s">
        <v>671</v>
      </c>
      <c r="D780" t="s">
        <v>15</v>
      </c>
      <c r="E780" s="5">
        <v>1650</v>
      </c>
      <c r="F780" s="5">
        <v>1018.44</v>
      </c>
      <c r="G780" s="5">
        <v>631.55999999999995</v>
      </c>
      <c r="H780" s="5">
        <v>62.01</v>
      </c>
      <c r="I780" t="s">
        <v>70</v>
      </c>
    </row>
    <row r="781" spans="1:9" x14ac:dyDescent="0.25">
      <c r="A781" t="s">
        <v>595</v>
      </c>
      <c r="B781" t="s">
        <v>488</v>
      </c>
      <c r="C781" s="10" t="s">
        <v>672</v>
      </c>
      <c r="D781" t="s">
        <v>15</v>
      </c>
      <c r="E781" s="5">
        <v>1650</v>
      </c>
      <c r="F781" s="5">
        <v>1018.44</v>
      </c>
      <c r="G781" s="5">
        <v>631.55999999999995</v>
      </c>
      <c r="H781" s="5">
        <v>62.01</v>
      </c>
      <c r="I781" t="s">
        <v>70</v>
      </c>
    </row>
    <row r="782" spans="1:9" x14ac:dyDescent="0.25">
      <c r="A782" t="s">
        <v>595</v>
      </c>
      <c r="B782" t="s">
        <v>488</v>
      </c>
      <c r="C782" s="10" t="s">
        <v>673</v>
      </c>
      <c r="D782" t="s">
        <v>15</v>
      </c>
      <c r="E782" s="5">
        <v>1650</v>
      </c>
      <c r="F782" s="5">
        <v>1018.44</v>
      </c>
      <c r="G782" s="5">
        <v>631.55999999999995</v>
      </c>
      <c r="H782" s="5">
        <v>62.01</v>
      </c>
      <c r="I782" t="s">
        <v>70</v>
      </c>
    </row>
    <row r="783" spans="1:9" x14ac:dyDescent="0.25">
      <c r="A783" t="s">
        <v>595</v>
      </c>
      <c r="B783" t="s">
        <v>488</v>
      </c>
      <c r="C783" s="10" t="s">
        <v>674</v>
      </c>
      <c r="D783" t="s">
        <v>15</v>
      </c>
      <c r="E783" s="5">
        <v>1650</v>
      </c>
      <c r="F783" s="5">
        <v>1018.44</v>
      </c>
      <c r="G783" s="5">
        <v>631.55999999999995</v>
      </c>
      <c r="H783" s="5">
        <v>62.01</v>
      </c>
      <c r="I783" t="s">
        <v>70</v>
      </c>
    </row>
    <row r="784" spans="1:9" x14ac:dyDescent="0.25">
      <c r="A784" t="s">
        <v>595</v>
      </c>
      <c r="B784" t="s">
        <v>488</v>
      </c>
      <c r="C784" s="10" t="s">
        <v>675</v>
      </c>
      <c r="D784" t="s">
        <v>15</v>
      </c>
      <c r="E784" s="5">
        <v>1650</v>
      </c>
      <c r="F784" s="5">
        <v>1018.44</v>
      </c>
      <c r="G784" s="5">
        <v>631.55999999999995</v>
      </c>
      <c r="H784" s="5">
        <v>62.01</v>
      </c>
      <c r="I784" t="s">
        <v>70</v>
      </c>
    </row>
    <row r="785" spans="1:9" x14ac:dyDescent="0.25">
      <c r="A785" t="s">
        <v>595</v>
      </c>
      <c r="B785" t="s">
        <v>488</v>
      </c>
      <c r="C785" s="10" t="s">
        <v>676</v>
      </c>
      <c r="D785" t="s">
        <v>15</v>
      </c>
      <c r="E785" s="5">
        <v>1650</v>
      </c>
      <c r="F785" s="5">
        <v>1018.44</v>
      </c>
      <c r="G785" s="5">
        <v>631.55999999999995</v>
      </c>
      <c r="H785" s="5">
        <v>62.01</v>
      </c>
      <c r="I785" t="s">
        <v>70</v>
      </c>
    </row>
    <row r="786" spans="1:9" x14ac:dyDescent="0.25">
      <c r="A786" t="s">
        <v>595</v>
      </c>
      <c r="B786" t="s">
        <v>488</v>
      </c>
      <c r="C786" s="10" t="s">
        <v>677</v>
      </c>
      <c r="D786" t="s">
        <v>15</v>
      </c>
      <c r="E786" s="5">
        <v>1650</v>
      </c>
      <c r="F786" s="5">
        <v>1018.44</v>
      </c>
      <c r="G786" s="5">
        <v>631.55999999999995</v>
      </c>
      <c r="H786" s="5">
        <v>62.01</v>
      </c>
      <c r="I786" t="s">
        <v>70</v>
      </c>
    </row>
    <row r="787" spans="1:9" x14ac:dyDescent="0.25">
      <c r="A787" t="s">
        <v>595</v>
      </c>
      <c r="B787" t="s">
        <v>488</v>
      </c>
      <c r="C787" s="10" t="s">
        <v>678</v>
      </c>
      <c r="D787" t="s">
        <v>15</v>
      </c>
      <c r="E787" s="5">
        <v>1650</v>
      </c>
      <c r="F787" s="5">
        <v>1018.44</v>
      </c>
      <c r="G787" s="5">
        <v>631.55999999999995</v>
      </c>
      <c r="H787" s="5">
        <v>62.01</v>
      </c>
      <c r="I787" t="s">
        <v>70</v>
      </c>
    </row>
    <row r="788" spans="1:9" x14ac:dyDescent="0.25">
      <c r="A788" t="s">
        <v>595</v>
      </c>
      <c r="B788" t="s">
        <v>488</v>
      </c>
      <c r="C788" s="10" t="s">
        <v>679</v>
      </c>
      <c r="D788" t="s">
        <v>15</v>
      </c>
      <c r="E788" s="5">
        <v>1650</v>
      </c>
      <c r="F788" s="5">
        <v>1018.44</v>
      </c>
      <c r="G788" s="5">
        <v>631.55999999999995</v>
      </c>
      <c r="H788" s="5">
        <v>62.01</v>
      </c>
      <c r="I788" t="s">
        <v>70</v>
      </c>
    </row>
    <row r="789" spans="1:9" x14ac:dyDescent="0.25">
      <c r="A789" t="s">
        <v>595</v>
      </c>
      <c r="B789" t="s">
        <v>488</v>
      </c>
      <c r="C789" s="10" t="s">
        <v>680</v>
      </c>
      <c r="D789" t="s">
        <v>15</v>
      </c>
      <c r="E789" s="5">
        <v>1650</v>
      </c>
      <c r="F789" s="5">
        <v>1018.44</v>
      </c>
      <c r="G789" s="5">
        <v>631.55999999999995</v>
      </c>
      <c r="H789" s="5">
        <v>62.01</v>
      </c>
      <c r="I789" t="s">
        <v>70</v>
      </c>
    </row>
    <row r="790" spans="1:9" x14ac:dyDescent="0.25">
      <c r="A790" t="s">
        <v>595</v>
      </c>
      <c r="B790" t="s">
        <v>488</v>
      </c>
      <c r="C790" s="10" t="s">
        <v>681</v>
      </c>
      <c r="D790" t="s">
        <v>15</v>
      </c>
      <c r="E790" s="5">
        <v>1650</v>
      </c>
      <c r="F790" s="5">
        <v>1018.44</v>
      </c>
      <c r="G790" s="5">
        <v>631.55999999999995</v>
      </c>
      <c r="H790" s="5">
        <v>62.01</v>
      </c>
      <c r="I790" t="s">
        <v>70</v>
      </c>
    </row>
    <row r="791" spans="1:9" x14ac:dyDescent="0.25">
      <c r="A791" t="s">
        <v>595</v>
      </c>
      <c r="B791" t="s">
        <v>488</v>
      </c>
      <c r="C791" s="10" t="s">
        <v>682</v>
      </c>
      <c r="D791" t="s">
        <v>15</v>
      </c>
      <c r="E791" s="5">
        <v>1650</v>
      </c>
      <c r="F791" s="5">
        <v>1018.44</v>
      </c>
      <c r="G791" s="5">
        <v>631.55999999999995</v>
      </c>
      <c r="H791" s="5">
        <v>62.01</v>
      </c>
      <c r="I791" t="s">
        <v>70</v>
      </c>
    </row>
    <row r="792" spans="1:9" x14ac:dyDescent="0.25">
      <c r="A792" t="s">
        <v>595</v>
      </c>
      <c r="B792" t="s">
        <v>488</v>
      </c>
      <c r="C792" s="10" t="s">
        <v>683</v>
      </c>
      <c r="D792" t="s">
        <v>15</v>
      </c>
      <c r="E792" s="5">
        <v>1650</v>
      </c>
      <c r="F792" s="5">
        <v>1018.44</v>
      </c>
      <c r="G792" s="5">
        <v>631.55999999999995</v>
      </c>
      <c r="H792" s="5">
        <v>62.01</v>
      </c>
      <c r="I792" t="s">
        <v>70</v>
      </c>
    </row>
    <row r="793" spans="1:9" x14ac:dyDescent="0.25">
      <c r="A793" t="s">
        <v>595</v>
      </c>
      <c r="B793" t="s">
        <v>488</v>
      </c>
      <c r="C793" s="10" t="s">
        <v>684</v>
      </c>
      <c r="D793" t="s">
        <v>15</v>
      </c>
      <c r="E793" s="5">
        <v>1650</v>
      </c>
      <c r="F793" s="5">
        <v>1018.44</v>
      </c>
      <c r="G793" s="5">
        <v>631.55999999999995</v>
      </c>
      <c r="H793" s="5">
        <v>62.01</v>
      </c>
      <c r="I793" t="s">
        <v>70</v>
      </c>
    </row>
    <row r="794" spans="1:9" x14ac:dyDescent="0.25">
      <c r="A794" t="s">
        <v>595</v>
      </c>
      <c r="B794" t="s">
        <v>488</v>
      </c>
      <c r="C794" s="10" t="s">
        <v>685</v>
      </c>
      <c r="D794" t="s">
        <v>15</v>
      </c>
      <c r="E794" s="5">
        <v>1650</v>
      </c>
      <c r="F794" s="5">
        <v>1018.44</v>
      </c>
      <c r="G794" s="5">
        <v>631.55999999999995</v>
      </c>
      <c r="H794" s="5">
        <v>62.01</v>
      </c>
      <c r="I794" t="s">
        <v>70</v>
      </c>
    </row>
    <row r="795" spans="1:9" x14ac:dyDescent="0.25">
      <c r="A795" t="s">
        <v>595</v>
      </c>
      <c r="B795" t="s">
        <v>488</v>
      </c>
      <c r="C795" s="10" t="s">
        <v>686</v>
      </c>
      <c r="D795" t="s">
        <v>15</v>
      </c>
      <c r="E795" s="5">
        <v>1650</v>
      </c>
      <c r="F795" s="5">
        <v>1018.44</v>
      </c>
      <c r="G795" s="5">
        <v>631.55999999999995</v>
      </c>
      <c r="H795" s="5">
        <v>62.01</v>
      </c>
      <c r="I795" t="s">
        <v>70</v>
      </c>
    </row>
    <row r="796" spans="1:9" x14ac:dyDescent="0.25">
      <c r="A796" t="s">
        <v>595</v>
      </c>
      <c r="B796" t="s">
        <v>488</v>
      </c>
      <c r="C796" s="10" t="s">
        <v>687</v>
      </c>
      <c r="D796" t="s">
        <v>15</v>
      </c>
      <c r="E796" s="5">
        <v>1650</v>
      </c>
      <c r="F796" s="5">
        <v>1018.44</v>
      </c>
      <c r="G796" s="5">
        <v>631.55999999999995</v>
      </c>
      <c r="H796" s="5">
        <v>62.01</v>
      </c>
      <c r="I796" t="s">
        <v>70</v>
      </c>
    </row>
    <row r="797" spans="1:9" x14ac:dyDescent="0.25">
      <c r="A797" t="s">
        <v>595</v>
      </c>
      <c r="B797" t="s">
        <v>488</v>
      </c>
      <c r="C797" s="10" t="s">
        <v>688</v>
      </c>
      <c r="D797" t="s">
        <v>15</v>
      </c>
      <c r="E797" s="5">
        <v>1650</v>
      </c>
      <c r="F797" s="5">
        <v>1018.44</v>
      </c>
      <c r="G797" s="5">
        <v>631.55999999999995</v>
      </c>
      <c r="H797" s="5">
        <v>62.01</v>
      </c>
      <c r="I797" t="s">
        <v>70</v>
      </c>
    </row>
    <row r="798" spans="1:9" x14ac:dyDescent="0.25">
      <c r="A798" t="s">
        <v>595</v>
      </c>
      <c r="B798" t="s">
        <v>488</v>
      </c>
      <c r="C798" s="10" t="s">
        <v>689</v>
      </c>
      <c r="D798" t="s">
        <v>15</v>
      </c>
      <c r="E798" s="5">
        <v>1650</v>
      </c>
      <c r="F798" s="5">
        <v>1018.44</v>
      </c>
      <c r="G798" s="5">
        <v>631.55999999999995</v>
      </c>
      <c r="H798" s="5">
        <v>62.01</v>
      </c>
      <c r="I798" t="s">
        <v>70</v>
      </c>
    </row>
    <row r="799" spans="1:9" x14ac:dyDescent="0.25">
      <c r="A799" t="s">
        <v>595</v>
      </c>
      <c r="B799" t="s">
        <v>488</v>
      </c>
      <c r="C799" s="10" t="s">
        <v>690</v>
      </c>
      <c r="D799" t="s">
        <v>15</v>
      </c>
      <c r="E799" s="5">
        <v>1650</v>
      </c>
      <c r="F799" s="5">
        <v>1018.44</v>
      </c>
      <c r="G799" s="5">
        <v>631.55999999999995</v>
      </c>
      <c r="H799" s="5">
        <v>62.01</v>
      </c>
      <c r="I799" t="s">
        <v>70</v>
      </c>
    </row>
    <row r="800" spans="1:9" x14ac:dyDescent="0.25">
      <c r="A800" t="s">
        <v>595</v>
      </c>
      <c r="B800" t="s">
        <v>488</v>
      </c>
      <c r="C800" s="10" t="s">
        <v>691</v>
      </c>
      <c r="D800" t="s">
        <v>15</v>
      </c>
      <c r="E800" s="5">
        <v>1650</v>
      </c>
      <c r="F800" s="5">
        <v>1018.44</v>
      </c>
      <c r="G800" s="5">
        <v>631.55999999999995</v>
      </c>
      <c r="H800" s="5">
        <v>62.01</v>
      </c>
      <c r="I800" t="s">
        <v>70</v>
      </c>
    </row>
    <row r="801" spans="1:9" x14ac:dyDescent="0.25">
      <c r="A801" t="s">
        <v>595</v>
      </c>
      <c r="B801" t="s">
        <v>488</v>
      </c>
      <c r="C801" s="10" t="s">
        <v>692</v>
      </c>
      <c r="D801" t="s">
        <v>15</v>
      </c>
      <c r="E801" s="5">
        <v>1650</v>
      </c>
      <c r="F801" s="5">
        <v>1018.44</v>
      </c>
      <c r="G801" s="5">
        <v>631.55999999999995</v>
      </c>
      <c r="H801" s="5">
        <v>62.01</v>
      </c>
      <c r="I801" t="s">
        <v>70</v>
      </c>
    </row>
    <row r="802" spans="1:9" x14ac:dyDescent="0.25">
      <c r="A802" t="s">
        <v>595</v>
      </c>
      <c r="B802" t="s">
        <v>488</v>
      </c>
      <c r="C802" s="10" t="s">
        <v>693</v>
      </c>
      <c r="D802" t="s">
        <v>15</v>
      </c>
      <c r="E802" s="5">
        <v>1650</v>
      </c>
      <c r="F802" s="5">
        <v>1018.44</v>
      </c>
      <c r="G802" s="5">
        <v>631.55999999999995</v>
      </c>
      <c r="H802" s="5">
        <v>62.01</v>
      </c>
      <c r="I802" t="s">
        <v>70</v>
      </c>
    </row>
    <row r="803" spans="1:9" x14ac:dyDescent="0.25">
      <c r="A803" t="s">
        <v>595</v>
      </c>
      <c r="B803" t="s">
        <v>488</v>
      </c>
      <c r="C803" s="10" t="s">
        <v>694</v>
      </c>
      <c r="D803" t="s">
        <v>15</v>
      </c>
      <c r="E803" s="5">
        <v>1650</v>
      </c>
      <c r="F803" s="5">
        <v>1018.44</v>
      </c>
      <c r="G803" s="5">
        <v>631.55999999999995</v>
      </c>
      <c r="H803" s="5">
        <v>62.01</v>
      </c>
      <c r="I803" t="s">
        <v>70</v>
      </c>
    </row>
    <row r="804" spans="1:9" x14ac:dyDescent="0.25">
      <c r="A804" t="s">
        <v>595</v>
      </c>
      <c r="B804" t="s">
        <v>488</v>
      </c>
      <c r="C804" s="10" t="s">
        <v>695</v>
      </c>
      <c r="D804" t="s">
        <v>15</v>
      </c>
      <c r="E804" s="5">
        <v>1650</v>
      </c>
      <c r="F804" s="5">
        <v>1018.44</v>
      </c>
      <c r="G804" s="5">
        <v>631.55999999999995</v>
      </c>
      <c r="H804" s="5">
        <v>62.01</v>
      </c>
      <c r="I804" t="s">
        <v>70</v>
      </c>
    </row>
    <row r="805" spans="1:9" x14ac:dyDescent="0.25">
      <c r="A805" t="s">
        <v>595</v>
      </c>
      <c r="B805" t="s">
        <v>488</v>
      </c>
      <c r="C805" s="10" t="s">
        <v>696</v>
      </c>
      <c r="D805" t="s">
        <v>15</v>
      </c>
      <c r="E805" s="5">
        <v>1650</v>
      </c>
      <c r="F805" s="5">
        <v>1018.44</v>
      </c>
      <c r="G805" s="5">
        <v>631.55999999999995</v>
      </c>
      <c r="H805" s="5">
        <v>62.01</v>
      </c>
      <c r="I805" t="s">
        <v>70</v>
      </c>
    </row>
    <row r="806" spans="1:9" x14ac:dyDescent="0.25">
      <c r="A806" t="s">
        <v>595</v>
      </c>
      <c r="B806" t="s">
        <v>488</v>
      </c>
      <c r="C806" s="10" t="s">
        <v>697</v>
      </c>
      <c r="D806" t="s">
        <v>15</v>
      </c>
      <c r="E806" s="5">
        <v>1650</v>
      </c>
      <c r="F806" s="5">
        <v>1018.44</v>
      </c>
      <c r="G806" s="5">
        <v>631.55999999999995</v>
      </c>
      <c r="H806" s="5">
        <v>62.01</v>
      </c>
      <c r="I806" t="s">
        <v>70</v>
      </c>
    </row>
    <row r="807" spans="1:9" x14ac:dyDescent="0.25">
      <c r="A807" t="s">
        <v>595</v>
      </c>
      <c r="B807" t="s">
        <v>488</v>
      </c>
      <c r="C807" s="10" t="s">
        <v>698</v>
      </c>
      <c r="D807" t="s">
        <v>15</v>
      </c>
      <c r="E807" s="5">
        <v>1650</v>
      </c>
      <c r="F807" s="5">
        <v>1018.44</v>
      </c>
      <c r="G807" s="5">
        <v>631.55999999999995</v>
      </c>
      <c r="H807" s="5">
        <v>62.01</v>
      </c>
      <c r="I807" t="s">
        <v>70</v>
      </c>
    </row>
    <row r="808" spans="1:9" x14ac:dyDescent="0.25">
      <c r="A808" t="s">
        <v>595</v>
      </c>
      <c r="B808" t="s">
        <v>488</v>
      </c>
      <c r="C808" s="10" t="s">
        <v>699</v>
      </c>
      <c r="D808" t="s">
        <v>15</v>
      </c>
      <c r="E808" s="5">
        <v>1650</v>
      </c>
      <c r="F808" s="5">
        <v>1018.44</v>
      </c>
      <c r="G808" s="5">
        <v>631.55999999999995</v>
      </c>
      <c r="H808" s="5">
        <v>62.01</v>
      </c>
      <c r="I808" t="s">
        <v>70</v>
      </c>
    </row>
    <row r="809" spans="1:9" x14ac:dyDescent="0.25">
      <c r="A809" t="s">
        <v>595</v>
      </c>
      <c r="B809" t="s">
        <v>488</v>
      </c>
      <c r="C809" s="10" t="s">
        <v>700</v>
      </c>
      <c r="D809" t="s">
        <v>15</v>
      </c>
      <c r="E809" s="5">
        <v>1650</v>
      </c>
      <c r="F809" s="5">
        <v>1018.44</v>
      </c>
      <c r="G809" s="5">
        <v>631.55999999999995</v>
      </c>
      <c r="H809" s="5">
        <v>62.01</v>
      </c>
      <c r="I809" t="s">
        <v>70</v>
      </c>
    </row>
    <row r="810" spans="1:9" x14ac:dyDescent="0.25">
      <c r="A810" t="s">
        <v>595</v>
      </c>
      <c r="B810" t="s">
        <v>488</v>
      </c>
      <c r="C810" s="10" t="s">
        <v>701</v>
      </c>
      <c r="D810" t="s">
        <v>15</v>
      </c>
      <c r="E810" s="5">
        <v>1650</v>
      </c>
      <c r="F810" s="5">
        <v>1018.44</v>
      </c>
      <c r="G810" s="5">
        <v>631.55999999999995</v>
      </c>
      <c r="H810" s="5">
        <v>62.01</v>
      </c>
      <c r="I810" t="s">
        <v>70</v>
      </c>
    </row>
    <row r="811" spans="1:9" x14ac:dyDescent="0.25">
      <c r="A811" t="s">
        <v>595</v>
      </c>
      <c r="B811" t="s">
        <v>488</v>
      </c>
      <c r="C811" s="10" t="s">
        <v>702</v>
      </c>
      <c r="D811" t="s">
        <v>15</v>
      </c>
      <c r="E811" s="5">
        <v>1650</v>
      </c>
      <c r="F811" s="5">
        <v>1018.44</v>
      </c>
      <c r="G811" s="5">
        <v>631.55999999999995</v>
      </c>
      <c r="H811" s="5">
        <v>62.01</v>
      </c>
      <c r="I811" t="s">
        <v>70</v>
      </c>
    </row>
    <row r="812" spans="1:9" x14ac:dyDescent="0.25">
      <c r="A812" t="s">
        <v>595</v>
      </c>
      <c r="B812" t="s">
        <v>488</v>
      </c>
      <c r="C812" s="10" t="s">
        <v>703</v>
      </c>
      <c r="D812" t="s">
        <v>15</v>
      </c>
      <c r="E812" s="5">
        <v>1650</v>
      </c>
      <c r="F812" s="5">
        <v>1018.44</v>
      </c>
      <c r="G812" s="5">
        <v>631.55999999999995</v>
      </c>
      <c r="H812" s="5">
        <v>62.01</v>
      </c>
      <c r="I812" t="s">
        <v>70</v>
      </c>
    </row>
    <row r="813" spans="1:9" x14ac:dyDescent="0.25">
      <c r="A813" t="s">
        <v>595</v>
      </c>
      <c r="B813" t="s">
        <v>488</v>
      </c>
      <c r="C813" s="10" t="s">
        <v>704</v>
      </c>
      <c r="D813" t="s">
        <v>15</v>
      </c>
      <c r="E813" s="5">
        <v>1650</v>
      </c>
      <c r="F813" s="5">
        <v>1018.44</v>
      </c>
      <c r="G813" s="5">
        <v>631.55999999999995</v>
      </c>
      <c r="H813" s="5">
        <v>62.01</v>
      </c>
      <c r="I813" t="s">
        <v>70</v>
      </c>
    </row>
    <row r="814" spans="1:9" x14ac:dyDescent="0.25">
      <c r="A814" t="s">
        <v>595</v>
      </c>
      <c r="B814" t="s">
        <v>488</v>
      </c>
      <c r="C814" s="10" t="s">
        <v>705</v>
      </c>
      <c r="D814" t="s">
        <v>15</v>
      </c>
      <c r="E814" s="5">
        <v>1650</v>
      </c>
      <c r="F814" s="5">
        <v>1018.44</v>
      </c>
      <c r="G814" s="5">
        <v>631.55999999999995</v>
      </c>
      <c r="H814" s="5">
        <v>62.01</v>
      </c>
      <c r="I814" t="s">
        <v>70</v>
      </c>
    </row>
    <row r="815" spans="1:9" x14ac:dyDescent="0.25">
      <c r="A815" t="s">
        <v>595</v>
      </c>
      <c r="B815" t="s">
        <v>488</v>
      </c>
      <c r="C815" s="10" t="s">
        <v>706</v>
      </c>
      <c r="D815" t="s">
        <v>15</v>
      </c>
      <c r="E815" s="5">
        <v>1650</v>
      </c>
      <c r="F815" s="5">
        <v>1018.44</v>
      </c>
      <c r="G815" s="5">
        <v>631.55999999999995</v>
      </c>
      <c r="H815" s="5">
        <v>62.01</v>
      </c>
      <c r="I815" t="s">
        <v>70</v>
      </c>
    </row>
    <row r="816" spans="1:9" x14ac:dyDescent="0.25">
      <c r="A816" t="s">
        <v>595</v>
      </c>
      <c r="B816" t="s">
        <v>488</v>
      </c>
      <c r="C816" s="10" t="s">
        <v>707</v>
      </c>
      <c r="D816" t="s">
        <v>15</v>
      </c>
      <c r="E816" s="5">
        <v>1650</v>
      </c>
      <c r="F816" s="5">
        <v>1018.44</v>
      </c>
      <c r="G816" s="5">
        <v>631.55999999999995</v>
      </c>
      <c r="H816" s="5">
        <v>62.01</v>
      </c>
      <c r="I816" t="s">
        <v>70</v>
      </c>
    </row>
    <row r="817" spans="1:9" x14ac:dyDescent="0.25">
      <c r="A817" t="s">
        <v>595</v>
      </c>
      <c r="B817" t="s">
        <v>488</v>
      </c>
      <c r="C817" s="10" t="s">
        <v>708</v>
      </c>
      <c r="D817" t="s">
        <v>15</v>
      </c>
      <c r="E817" s="5">
        <v>1650</v>
      </c>
      <c r="F817" s="5">
        <v>1018.44</v>
      </c>
      <c r="G817" s="5">
        <v>631.55999999999995</v>
      </c>
      <c r="H817" s="5">
        <v>62.01</v>
      </c>
      <c r="I817" t="s">
        <v>70</v>
      </c>
    </row>
    <row r="818" spans="1:9" x14ac:dyDescent="0.25">
      <c r="A818" t="s">
        <v>595</v>
      </c>
      <c r="B818" t="s">
        <v>488</v>
      </c>
      <c r="C818" s="10" t="s">
        <v>709</v>
      </c>
      <c r="D818" t="s">
        <v>15</v>
      </c>
      <c r="E818" s="5">
        <v>1650</v>
      </c>
      <c r="F818" s="5">
        <v>1018.44</v>
      </c>
      <c r="G818" s="5">
        <v>631.55999999999995</v>
      </c>
      <c r="H818" s="5">
        <v>62.01</v>
      </c>
      <c r="I818" t="s">
        <v>70</v>
      </c>
    </row>
    <row r="819" spans="1:9" x14ac:dyDescent="0.25">
      <c r="A819" t="s">
        <v>595</v>
      </c>
      <c r="B819" t="s">
        <v>488</v>
      </c>
      <c r="C819" s="10" t="s">
        <v>710</v>
      </c>
      <c r="D819" t="s">
        <v>15</v>
      </c>
      <c r="E819" s="5">
        <v>1650</v>
      </c>
      <c r="F819" s="5">
        <v>1018.44</v>
      </c>
      <c r="G819" s="5">
        <v>631.55999999999995</v>
      </c>
      <c r="H819" s="5">
        <v>62.01</v>
      </c>
      <c r="I819" t="s">
        <v>70</v>
      </c>
    </row>
    <row r="820" spans="1:9" x14ac:dyDescent="0.25">
      <c r="A820" t="s">
        <v>595</v>
      </c>
      <c r="B820" t="s">
        <v>488</v>
      </c>
      <c r="C820" s="10" t="s">
        <v>711</v>
      </c>
      <c r="D820" t="s">
        <v>15</v>
      </c>
      <c r="E820" s="5">
        <v>1650</v>
      </c>
      <c r="F820" s="5">
        <v>1018.44</v>
      </c>
      <c r="G820" s="5">
        <v>631.55999999999995</v>
      </c>
      <c r="H820" s="5">
        <v>62.01</v>
      </c>
      <c r="I820" t="s">
        <v>70</v>
      </c>
    </row>
    <row r="821" spans="1:9" x14ac:dyDescent="0.25">
      <c r="A821" t="s">
        <v>595</v>
      </c>
      <c r="B821" t="s">
        <v>488</v>
      </c>
      <c r="C821" s="10" t="s">
        <v>712</v>
      </c>
      <c r="D821" t="s">
        <v>15</v>
      </c>
      <c r="E821" s="5">
        <v>1650</v>
      </c>
      <c r="F821" s="5">
        <v>1018.44</v>
      </c>
      <c r="G821" s="5">
        <v>631.55999999999995</v>
      </c>
      <c r="H821" s="5">
        <v>62.01</v>
      </c>
      <c r="I821" t="s">
        <v>70</v>
      </c>
    </row>
    <row r="822" spans="1:9" x14ac:dyDescent="0.25">
      <c r="A822" t="s">
        <v>595</v>
      </c>
      <c r="B822" t="s">
        <v>488</v>
      </c>
      <c r="C822" s="10" t="s">
        <v>713</v>
      </c>
      <c r="D822" t="s">
        <v>15</v>
      </c>
      <c r="E822" s="5">
        <v>1650</v>
      </c>
      <c r="F822" s="5">
        <v>1018.44</v>
      </c>
      <c r="G822" s="5">
        <v>631.55999999999995</v>
      </c>
      <c r="H822" s="5">
        <v>62.01</v>
      </c>
      <c r="I822" t="s">
        <v>70</v>
      </c>
    </row>
    <row r="823" spans="1:9" x14ac:dyDescent="0.25">
      <c r="A823" t="s">
        <v>595</v>
      </c>
      <c r="B823" t="s">
        <v>488</v>
      </c>
      <c r="C823" s="10" t="s">
        <v>714</v>
      </c>
      <c r="D823" t="s">
        <v>15</v>
      </c>
      <c r="E823" s="5">
        <v>1650</v>
      </c>
      <c r="F823" s="5">
        <v>1018.44</v>
      </c>
      <c r="G823" s="5">
        <v>631.55999999999995</v>
      </c>
      <c r="H823" s="5">
        <v>62.01</v>
      </c>
      <c r="I823" t="s">
        <v>70</v>
      </c>
    </row>
    <row r="824" spans="1:9" x14ac:dyDescent="0.25">
      <c r="A824" t="s">
        <v>595</v>
      </c>
      <c r="B824" t="s">
        <v>488</v>
      </c>
      <c r="C824" s="10" t="s">
        <v>715</v>
      </c>
      <c r="D824" t="s">
        <v>15</v>
      </c>
      <c r="E824" s="5">
        <v>1650</v>
      </c>
      <c r="F824" s="5">
        <v>1018.44</v>
      </c>
      <c r="G824" s="5">
        <v>631.55999999999995</v>
      </c>
      <c r="H824" s="5">
        <v>62.01</v>
      </c>
      <c r="I824" t="s">
        <v>70</v>
      </c>
    </row>
    <row r="825" spans="1:9" x14ac:dyDescent="0.25">
      <c r="A825" t="s">
        <v>595</v>
      </c>
      <c r="B825" t="s">
        <v>488</v>
      </c>
      <c r="C825" s="10" t="s">
        <v>716</v>
      </c>
      <c r="D825" t="s">
        <v>15</v>
      </c>
      <c r="E825" s="5">
        <v>1650</v>
      </c>
      <c r="F825" s="5">
        <v>1018.44</v>
      </c>
      <c r="G825" s="5">
        <v>631.55999999999995</v>
      </c>
      <c r="H825" s="5">
        <v>62.01</v>
      </c>
      <c r="I825" t="s">
        <v>70</v>
      </c>
    </row>
    <row r="826" spans="1:9" x14ac:dyDescent="0.25">
      <c r="A826" t="s">
        <v>595</v>
      </c>
      <c r="B826" t="s">
        <v>488</v>
      </c>
      <c r="C826" s="10" t="s">
        <v>717</v>
      </c>
      <c r="D826" t="s">
        <v>15</v>
      </c>
      <c r="E826" s="5">
        <v>1650</v>
      </c>
      <c r="F826" s="5">
        <v>1018.44</v>
      </c>
      <c r="G826" s="5">
        <v>631.55999999999995</v>
      </c>
      <c r="H826" s="5">
        <v>62.01</v>
      </c>
      <c r="I826" t="s">
        <v>70</v>
      </c>
    </row>
    <row r="827" spans="1:9" x14ac:dyDescent="0.25">
      <c r="A827" t="s">
        <v>595</v>
      </c>
      <c r="B827" t="s">
        <v>488</v>
      </c>
      <c r="C827" s="10" t="s">
        <v>718</v>
      </c>
      <c r="D827" t="s">
        <v>15</v>
      </c>
      <c r="E827" s="5">
        <v>1650</v>
      </c>
      <c r="F827" s="5">
        <v>1018.44</v>
      </c>
      <c r="G827" s="5">
        <v>631.55999999999995</v>
      </c>
      <c r="H827" s="5">
        <v>62.01</v>
      </c>
      <c r="I827" t="s">
        <v>70</v>
      </c>
    </row>
    <row r="828" spans="1:9" x14ac:dyDescent="0.25">
      <c r="A828" t="s">
        <v>595</v>
      </c>
      <c r="B828" t="s">
        <v>488</v>
      </c>
      <c r="C828" s="10" t="s">
        <v>719</v>
      </c>
      <c r="D828" t="s">
        <v>15</v>
      </c>
      <c r="E828" s="5">
        <v>1650</v>
      </c>
      <c r="F828" s="5">
        <v>1018.44</v>
      </c>
      <c r="G828" s="5">
        <v>631.55999999999995</v>
      </c>
      <c r="H828" s="5">
        <v>62.01</v>
      </c>
      <c r="I828" t="s">
        <v>70</v>
      </c>
    </row>
    <row r="829" spans="1:9" x14ac:dyDescent="0.25">
      <c r="A829" t="s">
        <v>595</v>
      </c>
      <c r="B829" t="s">
        <v>488</v>
      </c>
      <c r="C829" s="10" t="s">
        <v>720</v>
      </c>
      <c r="D829" t="s">
        <v>15</v>
      </c>
      <c r="E829" s="5">
        <v>1650</v>
      </c>
      <c r="F829" s="5">
        <v>1018.44</v>
      </c>
      <c r="G829" s="5">
        <v>631.55999999999995</v>
      </c>
      <c r="H829" s="5">
        <v>62.01</v>
      </c>
      <c r="I829" t="s">
        <v>70</v>
      </c>
    </row>
    <row r="830" spans="1:9" x14ac:dyDescent="0.25">
      <c r="A830" t="s">
        <v>595</v>
      </c>
      <c r="B830" t="s">
        <v>488</v>
      </c>
      <c r="C830" s="10" t="s">
        <v>721</v>
      </c>
      <c r="D830" t="s">
        <v>15</v>
      </c>
      <c r="E830" s="5">
        <v>1650</v>
      </c>
      <c r="F830" s="5">
        <v>1018.44</v>
      </c>
      <c r="G830" s="5">
        <v>631.55999999999995</v>
      </c>
      <c r="H830" s="5">
        <v>62.01</v>
      </c>
      <c r="I830" t="s">
        <v>70</v>
      </c>
    </row>
    <row r="831" spans="1:9" x14ac:dyDescent="0.25">
      <c r="A831" t="s">
        <v>595</v>
      </c>
      <c r="B831" t="s">
        <v>488</v>
      </c>
      <c r="C831" s="10" t="s">
        <v>722</v>
      </c>
      <c r="D831" t="s">
        <v>15</v>
      </c>
      <c r="E831" s="5">
        <v>1650</v>
      </c>
      <c r="F831" s="5">
        <v>1018.44</v>
      </c>
      <c r="G831" s="5">
        <v>631.55999999999995</v>
      </c>
      <c r="H831" s="5">
        <v>62.01</v>
      </c>
      <c r="I831" t="s">
        <v>70</v>
      </c>
    </row>
    <row r="832" spans="1:9" x14ac:dyDescent="0.25">
      <c r="A832" t="s">
        <v>595</v>
      </c>
      <c r="B832" t="s">
        <v>488</v>
      </c>
      <c r="C832" s="10" t="s">
        <v>723</v>
      </c>
      <c r="D832" t="s">
        <v>15</v>
      </c>
      <c r="E832" s="5">
        <v>1650</v>
      </c>
      <c r="F832" s="5">
        <v>1018.44</v>
      </c>
      <c r="G832" s="5">
        <v>631.55999999999995</v>
      </c>
      <c r="H832" s="5">
        <v>62.01</v>
      </c>
      <c r="I832" t="s">
        <v>70</v>
      </c>
    </row>
    <row r="833" spans="1:9" x14ac:dyDescent="0.25">
      <c r="A833" t="s">
        <v>595</v>
      </c>
      <c r="B833" t="s">
        <v>488</v>
      </c>
      <c r="C833" s="10" t="s">
        <v>724</v>
      </c>
      <c r="D833" t="s">
        <v>15</v>
      </c>
      <c r="E833" s="5">
        <v>1650</v>
      </c>
      <c r="F833" s="5">
        <v>1018.44</v>
      </c>
      <c r="G833" s="5">
        <v>631.55999999999995</v>
      </c>
      <c r="H833" s="5">
        <v>62.01</v>
      </c>
      <c r="I833" t="s">
        <v>70</v>
      </c>
    </row>
    <row r="834" spans="1:9" x14ac:dyDescent="0.25">
      <c r="A834" t="s">
        <v>595</v>
      </c>
      <c r="B834" t="s">
        <v>488</v>
      </c>
      <c r="C834" s="10" t="s">
        <v>725</v>
      </c>
      <c r="D834" t="s">
        <v>15</v>
      </c>
      <c r="E834" s="5">
        <v>1650</v>
      </c>
      <c r="F834" s="5">
        <v>1018.44</v>
      </c>
      <c r="G834" s="5">
        <v>631.55999999999995</v>
      </c>
      <c r="H834" s="5">
        <v>62.01</v>
      </c>
      <c r="I834" t="s">
        <v>70</v>
      </c>
    </row>
    <row r="835" spans="1:9" x14ac:dyDescent="0.25">
      <c r="A835" t="s">
        <v>595</v>
      </c>
      <c r="B835" t="s">
        <v>488</v>
      </c>
      <c r="C835" s="10" t="s">
        <v>726</v>
      </c>
      <c r="D835" t="s">
        <v>15</v>
      </c>
      <c r="E835" s="5">
        <v>1650</v>
      </c>
      <c r="F835" s="5">
        <v>1018.44</v>
      </c>
      <c r="G835" s="5">
        <v>631.55999999999995</v>
      </c>
      <c r="H835" s="5">
        <v>62.01</v>
      </c>
      <c r="I835" t="s">
        <v>70</v>
      </c>
    </row>
    <row r="836" spans="1:9" x14ac:dyDescent="0.25">
      <c r="A836" t="s">
        <v>595</v>
      </c>
      <c r="B836" t="s">
        <v>488</v>
      </c>
      <c r="C836" s="10" t="s">
        <v>727</v>
      </c>
      <c r="D836" t="s">
        <v>15</v>
      </c>
      <c r="E836" s="5">
        <v>1650</v>
      </c>
      <c r="F836" s="5">
        <v>1018.44</v>
      </c>
      <c r="G836" s="5">
        <v>631.55999999999995</v>
      </c>
      <c r="H836" s="5">
        <v>62.01</v>
      </c>
      <c r="I836" t="s">
        <v>70</v>
      </c>
    </row>
    <row r="837" spans="1:9" x14ac:dyDescent="0.25">
      <c r="A837" t="s">
        <v>595</v>
      </c>
      <c r="B837" t="s">
        <v>488</v>
      </c>
      <c r="C837" s="10" t="s">
        <v>728</v>
      </c>
      <c r="D837" t="s">
        <v>15</v>
      </c>
      <c r="E837" s="5">
        <v>1650</v>
      </c>
      <c r="F837" s="5">
        <v>1018.44</v>
      </c>
      <c r="G837" s="5">
        <v>631.55999999999995</v>
      </c>
      <c r="H837" s="5">
        <v>62.01</v>
      </c>
      <c r="I837" t="s">
        <v>70</v>
      </c>
    </row>
    <row r="838" spans="1:9" x14ac:dyDescent="0.25">
      <c r="A838" t="s">
        <v>595</v>
      </c>
      <c r="B838" t="s">
        <v>488</v>
      </c>
      <c r="C838" s="10" t="s">
        <v>729</v>
      </c>
      <c r="D838" t="s">
        <v>15</v>
      </c>
      <c r="E838" s="5">
        <v>1650</v>
      </c>
      <c r="F838" s="5">
        <v>1018.44</v>
      </c>
      <c r="G838" s="5">
        <v>631.55999999999995</v>
      </c>
      <c r="H838" s="5">
        <v>62.01</v>
      </c>
      <c r="I838" t="s">
        <v>70</v>
      </c>
    </row>
    <row r="839" spans="1:9" x14ac:dyDescent="0.25">
      <c r="A839" t="s">
        <v>595</v>
      </c>
      <c r="B839" t="s">
        <v>488</v>
      </c>
      <c r="C839" s="10" t="s">
        <v>730</v>
      </c>
      <c r="D839" t="s">
        <v>15</v>
      </c>
      <c r="E839" s="5">
        <v>1650</v>
      </c>
      <c r="F839" s="5">
        <v>1018.44</v>
      </c>
      <c r="G839" s="5">
        <v>631.55999999999995</v>
      </c>
      <c r="H839" s="5">
        <v>62.01</v>
      </c>
      <c r="I839" t="s">
        <v>70</v>
      </c>
    </row>
    <row r="840" spans="1:9" x14ac:dyDescent="0.25">
      <c r="A840" t="s">
        <v>595</v>
      </c>
      <c r="B840" t="s">
        <v>488</v>
      </c>
      <c r="C840" s="10" t="s">
        <v>731</v>
      </c>
      <c r="D840" t="s">
        <v>15</v>
      </c>
      <c r="E840" s="5">
        <v>1650</v>
      </c>
      <c r="F840" s="5">
        <v>1018.44</v>
      </c>
      <c r="G840" s="5">
        <v>631.55999999999995</v>
      </c>
      <c r="H840" s="5">
        <v>62.01</v>
      </c>
      <c r="I840" t="s">
        <v>70</v>
      </c>
    </row>
    <row r="841" spans="1:9" x14ac:dyDescent="0.25">
      <c r="A841" t="s">
        <v>595</v>
      </c>
      <c r="B841" t="s">
        <v>488</v>
      </c>
      <c r="C841" s="10" t="s">
        <v>732</v>
      </c>
      <c r="D841" t="s">
        <v>15</v>
      </c>
      <c r="E841" s="5">
        <v>1650</v>
      </c>
      <c r="F841" s="5">
        <v>1018.44</v>
      </c>
      <c r="G841" s="5">
        <v>631.55999999999995</v>
      </c>
      <c r="H841" s="5">
        <v>62.01</v>
      </c>
      <c r="I841" t="s">
        <v>70</v>
      </c>
    </row>
    <row r="842" spans="1:9" x14ac:dyDescent="0.25">
      <c r="A842" t="s">
        <v>733</v>
      </c>
      <c r="B842" t="s">
        <v>734</v>
      </c>
      <c r="C842" s="10">
        <v>351523426490179</v>
      </c>
      <c r="D842" t="s">
        <v>15</v>
      </c>
      <c r="E842" s="5">
        <v>3300</v>
      </c>
      <c r="F842" s="5">
        <v>3091.7</v>
      </c>
      <c r="G842" s="5">
        <v>208.3</v>
      </c>
      <c r="H842" s="5">
        <v>6.74</v>
      </c>
      <c r="I842" t="s">
        <v>20</v>
      </c>
    </row>
    <row r="843" spans="1:9" x14ac:dyDescent="0.25">
      <c r="A843" t="s">
        <v>733</v>
      </c>
      <c r="B843" t="s">
        <v>58</v>
      </c>
      <c r="C843" s="10">
        <v>353497854667285</v>
      </c>
      <c r="D843" t="s">
        <v>735</v>
      </c>
      <c r="E843" s="5">
        <v>3930.37</v>
      </c>
      <c r="F843" s="5">
        <v>3530</v>
      </c>
      <c r="G843" s="5">
        <v>400.37</v>
      </c>
      <c r="H843" s="5">
        <v>11.34</v>
      </c>
      <c r="I843" t="s">
        <v>736</v>
      </c>
    </row>
    <row r="844" spans="1:9" x14ac:dyDescent="0.25">
      <c r="A844" t="s">
        <v>733</v>
      </c>
      <c r="B844" t="s">
        <v>58</v>
      </c>
      <c r="C844" s="10">
        <v>355246657678173</v>
      </c>
      <c r="D844" t="s">
        <v>735</v>
      </c>
      <c r="E844" s="5">
        <v>3930.37</v>
      </c>
      <c r="F844" s="5">
        <v>3530</v>
      </c>
      <c r="G844" s="5">
        <v>400.37</v>
      </c>
      <c r="H844" s="5">
        <v>11.34</v>
      </c>
      <c r="I844" t="s">
        <v>736</v>
      </c>
    </row>
    <row r="845" spans="1:9" x14ac:dyDescent="0.25">
      <c r="A845" t="s">
        <v>737</v>
      </c>
      <c r="B845" t="s">
        <v>64</v>
      </c>
      <c r="C845" s="10">
        <v>352001991657588</v>
      </c>
      <c r="D845" t="s">
        <v>65</v>
      </c>
      <c r="E845" s="5">
        <v>4100</v>
      </c>
      <c r="F845" s="5">
        <v>3776.9</v>
      </c>
      <c r="G845" s="5">
        <v>323.10000000000002</v>
      </c>
      <c r="H845" s="5">
        <v>8.5500000000000007</v>
      </c>
      <c r="I845" t="s">
        <v>20</v>
      </c>
    </row>
    <row r="846" spans="1:9" x14ac:dyDescent="0.25">
      <c r="A846" t="s">
        <v>737</v>
      </c>
      <c r="B846" t="s">
        <v>64</v>
      </c>
      <c r="C846" s="10">
        <v>352001991949498</v>
      </c>
      <c r="D846" t="s">
        <v>65</v>
      </c>
      <c r="E846" s="5">
        <v>4100</v>
      </c>
      <c r="F846" s="5">
        <v>3776.9</v>
      </c>
      <c r="G846" s="5">
        <v>323.10000000000002</v>
      </c>
      <c r="H846" s="5">
        <v>8.5500000000000007</v>
      </c>
      <c r="I846" t="s">
        <v>20</v>
      </c>
    </row>
    <row r="847" spans="1:9" x14ac:dyDescent="0.25">
      <c r="A847" t="s">
        <v>737</v>
      </c>
      <c r="B847" t="s">
        <v>64</v>
      </c>
      <c r="C847" s="10">
        <v>352001991998560</v>
      </c>
      <c r="D847" t="s">
        <v>65</v>
      </c>
      <c r="E847" s="5">
        <v>4100</v>
      </c>
      <c r="F847" s="5">
        <v>3776.9</v>
      </c>
      <c r="G847" s="5">
        <v>323.10000000000002</v>
      </c>
      <c r="H847" s="5">
        <v>8.5500000000000007</v>
      </c>
      <c r="I847" t="s">
        <v>20</v>
      </c>
    </row>
    <row r="848" spans="1:9" x14ac:dyDescent="0.25">
      <c r="A848" t="s">
        <v>737</v>
      </c>
      <c r="B848" t="s">
        <v>64</v>
      </c>
      <c r="C848" s="10">
        <v>352001992033599</v>
      </c>
      <c r="D848" t="s">
        <v>65</v>
      </c>
      <c r="E848" s="5">
        <v>4100</v>
      </c>
      <c r="F848" s="5">
        <v>3776.9</v>
      </c>
      <c r="G848" s="5">
        <v>323.10000000000002</v>
      </c>
      <c r="H848" s="5">
        <v>8.5500000000000007</v>
      </c>
      <c r="I848" t="s">
        <v>20</v>
      </c>
    </row>
    <row r="849" spans="1:9" x14ac:dyDescent="0.25">
      <c r="A849" t="s">
        <v>737</v>
      </c>
      <c r="B849" t="s">
        <v>64</v>
      </c>
      <c r="C849" s="10">
        <v>355079366633035</v>
      </c>
      <c r="D849" t="s">
        <v>65</v>
      </c>
      <c r="E849" s="5">
        <v>4100</v>
      </c>
      <c r="F849" s="5">
        <v>3848.5</v>
      </c>
      <c r="G849" s="5">
        <v>251.5</v>
      </c>
      <c r="H849" s="5">
        <v>6.54</v>
      </c>
      <c r="I849" t="s">
        <v>20</v>
      </c>
    </row>
    <row r="850" spans="1:9" x14ac:dyDescent="0.25">
      <c r="A850" t="s">
        <v>737</v>
      </c>
      <c r="B850" t="s">
        <v>64</v>
      </c>
      <c r="C850" s="10">
        <v>355981555631979</v>
      </c>
      <c r="D850" t="s">
        <v>65</v>
      </c>
      <c r="E850" s="5">
        <v>4100</v>
      </c>
      <c r="F850" s="5">
        <v>3848.5</v>
      </c>
      <c r="G850" s="5">
        <v>251.5</v>
      </c>
      <c r="H850" s="5">
        <v>6.54</v>
      </c>
      <c r="I850" t="s">
        <v>20</v>
      </c>
    </row>
    <row r="851" spans="1:9" x14ac:dyDescent="0.25">
      <c r="A851" t="s">
        <v>737</v>
      </c>
      <c r="B851" t="s">
        <v>64</v>
      </c>
      <c r="C851" s="10">
        <v>355981556309765</v>
      </c>
      <c r="D851" t="s">
        <v>65</v>
      </c>
      <c r="E851" s="5">
        <v>4100</v>
      </c>
      <c r="F851" s="5">
        <v>3848.5</v>
      </c>
      <c r="G851" s="5">
        <v>251.5</v>
      </c>
      <c r="H851" s="5">
        <v>6.54</v>
      </c>
      <c r="I851" t="s">
        <v>20</v>
      </c>
    </row>
    <row r="852" spans="1:9" x14ac:dyDescent="0.25">
      <c r="A852" t="s">
        <v>737</v>
      </c>
      <c r="B852" t="s">
        <v>64</v>
      </c>
      <c r="C852" s="10">
        <v>356245416093897</v>
      </c>
      <c r="D852" t="s">
        <v>65</v>
      </c>
      <c r="E852" s="5">
        <v>4170</v>
      </c>
      <c r="F852" s="5">
        <v>3776.9</v>
      </c>
      <c r="G852" s="5">
        <v>393.1</v>
      </c>
      <c r="H852" s="5">
        <v>10.41</v>
      </c>
      <c r="I852" t="s">
        <v>20</v>
      </c>
    </row>
    <row r="853" spans="1:9" x14ac:dyDescent="0.25">
      <c r="A853" t="s">
        <v>737</v>
      </c>
      <c r="B853" t="s">
        <v>64</v>
      </c>
      <c r="C853" s="10">
        <v>357254476544624</v>
      </c>
      <c r="D853" t="s">
        <v>65</v>
      </c>
      <c r="E853" s="5">
        <v>4100</v>
      </c>
      <c r="F853" s="5">
        <v>3848.5</v>
      </c>
      <c r="G853" s="5">
        <v>251.5</v>
      </c>
      <c r="H853" s="5">
        <v>6.54</v>
      </c>
      <c r="I853" t="s">
        <v>20</v>
      </c>
    </row>
    <row r="854" spans="1:9" x14ac:dyDescent="0.25">
      <c r="A854" t="s">
        <v>737</v>
      </c>
      <c r="B854" t="s">
        <v>64</v>
      </c>
      <c r="C854" s="10">
        <v>357254479143853</v>
      </c>
      <c r="D854" t="s">
        <v>65</v>
      </c>
      <c r="E854" s="5">
        <v>4170</v>
      </c>
      <c r="F854" s="5">
        <v>3776.9</v>
      </c>
      <c r="G854" s="5">
        <v>393.1</v>
      </c>
      <c r="H854" s="5">
        <v>10.41</v>
      </c>
      <c r="I854" t="s">
        <v>20</v>
      </c>
    </row>
    <row r="855" spans="1:9" x14ac:dyDescent="0.25">
      <c r="A855" t="s">
        <v>737</v>
      </c>
      <c r="B855" t="s">
        <v>64</v>
      </c>
      <c r="C855" s="10">
        <v>357254479235014</v>
      </c>
      <c r="D855" t="s">
        <v>65</v>
      </c>
      <c r="E855" s="5">
        <v>4170</v>
      </c>
      <c r="F855" s="5">
        <v>3776.9</v>
      </c>
      <c r="G855" s="5">
        <v>393.1</v>
      </c>
      <c r="H855" s="5">
        <v>10.41</v>
      </c>
      <c r="I855" t="s">
        <v>20</v>
      </c>
    </row>
    <row r="856" spans="1:9" x14ac:dyDescent="0.25">
      <c r="A856" t="s">
        <v>737</v>
      </c>
      <c r="B856" t="s">
        <v>64</v>
      </c>
      <c r="C856" s="10">
        <v>357254479645311</v>
      </c>
      <c r="D856" t="s">
        <v>65</v>
      </c>
      <c r="E856" s="5">
        <v>4170</v>
      </c>
      <c r="F856" s="5">
        <v>3776.9</v>
      </c>
      <c r="G856" s="5">
        <v>393.1</v>
      </c>
      <c r="H856" s="5">
        <v>10.41</v>
      </c>
      <c r="I856" t="s">
        <v>20</v>
      </c>
    </row>
    <row r="857" spans="1:9" x14ac:dyDescent="0.25">
      <c r="A857" t="s">
        <v>737</v>
      </c>
      <c r="B857" t="s">
        <v>64</v>
      </c>
      <c r="C857" s="10">
        <v>357254479782668</v>
      </c>
      <c r="D857" t="s">
        <v>65</v>
      </c>
      <c r="E857" s="5">
        <v>4170</v>
      </c>
      <c r="F857" s="5">
        <v>3776.9</v>
      </c>
      <c r="G857" s="5">
        <v>393.1</v>
      </c>
      <c r="H857" s="5">
        <v>10.41</v>
      </c>
      <c r="I857" t="s">
        <v>20</v>
      </c>
    </row>
    <row r="858" spans="1:9" x14ac:dyDescent="0.25">
      <c r="A858" t="s">
        <v>737</v>
      </c>
      <c r="B858" t="s">
        <v>64</v>
      </c>
      <c r="C858" s="10">
        <v>357254479829584</v>
      </c>
      <c r="D858" t="s">
        <v>65</v>
      </c>
      <c r="E858" s="5">
        <v>4170</v>
      </c>
      <c r="F858" s="5">
        <v>3776.9</v>
      </c>
      <c r="G858" s="5">
        <v>393.1</v>
      </c>
      <c r="H858" s="5">
        <v>10.41</v>
      </c>
      <c r="I858" t="s">
        <v>20</v>
      </c>
    </row>
    <row r="859" spans="1:9" x14ac:dyDescent="0.25">
      <c r="A859" t="s">
        <v>737</v>
      </c>
      <c r="B859" t="s">
        <v>64</v>
      </c>
      <c r="C859" s="10">
        <v>359477637539278</v>
      </c>
      <c r="D859" t="s">
        <v>65</v>
      </c>
      <c r="E859" s="5">
        <v>4100</v>
      </c>
      <c r="F859" s="5">
        <v>3776.9</v>
      </c>
      <c r="G859" s="5">
        <v>323.10000000000002</v>
      </c>
      <c r="H859" s="5">
        <v>8.5500000000000007</v>
      </c>
      <c r="I859" t="s">
        <v>20</v>
      </c>
    </row>
    <row r="860" spans="1:9" x14ac:dyDescent="0.25">
      <c r="A860" t="s">
        <v>737</v>
      </c>
      <c r="B860" t="s">
        <v>58</v>
      </c>
      <c r="C860" s="10">
        <v>350599861621222</v>
      </c>
      <c r="D860" t="s">
        <v>15</v>
      </c>
      <c r="E860" s="5">
        <v>3750</v>
      </c>
      <c r="F860" s="5">
        <v>3418.9</v>
      </c>
      <c r="G860" s="5">
        <v>331.1</v>
      </c>
      <c r="H860" s="5">
        <v>9.68</v>
      </c>
      <c r="I860" t="s">
        <v>20</v>
      </c>
    </row>
    <row r="861" spans="1:9" x14ac:dyDescent="0.25">
      <c r="A861" t="s">
        <v>737</v>
      </c>
      <c r="B861" t="s">
        <v>58</v>
      </c>
      <c r="C861" s="10">
        <v>350599861712427</v>
      </c>
      <c r="D861" t="s">
        <v>15</v>
      </c>
      <c r="E861" s="5">
        <v>3750</v>
      </c>
      <c r="F861" s="5">
        <v>3418.9</v>
      </c>
      <c r="G861" s="5">
        <v>331.1</v>
      </c>
      <c r="H861" s="5">
        <v>9.68</v>
      </c>
      <c r="I861" t="s">
        <v>20</v>
      </c>
    </row>
    <row r="862" spans="1:9" x14ac:dyDescent="0.25">
      <c r="A862" t="s">
        <v>737</v>
      </c>
      <c r="B862" t="s">
        <v>58</v>
      </c>
      <c r="C862" s="10">
        <v>350599868360865</v>
      </c>
      <c r="D862" t="s">
        <v>15</v>
      </c>
      <c r="E862" s="5">
        <v>3495</v>
      </c>
      <c r="F862" s="5">
        <v>3257.8</v>
      </c>
      <c r="G862" s="5">
        <v>237.2</v>
      </c>
      <c r="H862" s="5">
        <v>7.28</v>
      </c>
      <c r="I862" t="s">
        <v>20</v>
      </c>
    </row>
    <row r="863" spans="1:9" x14ac:dyDescent="0.25">
      <c r="A863" t="s">
        <v>737</v>
      </c>
      <c r="B863" t="s">
        <v>58</v>
      </c>
      <c r="C863" s="10">
        <v>350599868697217</v>
      </c>
      <c r="D863" t="s">
        <v>15</v>
      </c>
      <c r="E863" s="5">
        <v>3440</v>
      </c>
      <c r="F863" s="5">
        <v>3329.4</v>
      </c>
      <c r="G863" s="5">
        <v>110.6</v>
      </c>
      <c r="H863" s="5">
        <v>3.32</v>
      </c>
      <c r="I863" t="s">
        <v>20</v>
      </c>
    </row>
    <row r="864" spans="1:9" x14ac:dyDescent="0.25">
      <c r="A864" t="s">
        <v>737</v>
      </c>
      <c r="B864" t="s">
        <v>58</v>
      </c>
      <c r="C864" s="10">
        <v>350599869285392</v>
      </c>
      <c r="D864" t="s">
        <v>15</v>
      </c>
      <c r="E864" s="5">
        <v>3500</v>
      </c>
      <c r="F864" s="5">
        <v>3257.8</v>
      </c>
      <c r="G864" s="5">
        <v>242.2</v>
      </c>
      <c r="H864" s="5">
        <v>7.43</v>
      </c>
      <c r="I864" t="s">
        <v>20</v>
      </c>
    </row>
    <row r="865" spans="1:9" x14ac:dyDescent="0.25">
      <c r="A865" t="s">
        <v>737</v>
      </c>
      <c r="B865" t="s">
        <v>58</v>
      </c>
      <c r="C865" s="10">
        <v>350889866655501</v>
      </c>
      <c r="D865" t="s">
        <v>65</v>
      </c>
      <c r="E865" s="5">
        <v>4450</v>
      </c>
      <c r="F865" s="5">
        <v>4260.2</v>
      </c>
      <c r="G865" s="5">
        <v>189.8</v>
      </c>
      <c r="H865" s="5">
        <v>4.46</v>
      </c>
      <c r="I865" t="s">
        <v>20</v>
      </c>
    </row>
    <row r="866" spans="1:9" x14ac:dyDescent="0.25">
      <c r="A866" t="s">
        <v>737</v>
      </c>
      <c r="B866" t="s">
        <v>58</v>
      </c>
      <c r="C866" s="10">
        <v>352791390500633</v>
      </c>
      <c r="D866" t="s">
        <v>738</v>
      </c>
      <c r="E866" s="5">
        <v>3700</v>
      </c>
      <c r="F866" s="5">
        <v>3257.8</v>
      </c>
      <c r="G866" s="5">
        <v>442.2</v>
      </c>
      <c r="H866" s="5">
        <v>13.57</v>
      </c>
      <c r="I866" t="s">
        <v>20</v>
      </c>
    </row>
    <row r="867" spans="1:9" x14ac:dyDescent="0.25">
      <c r="A867" t="s">
        <v>737</v>
      </c>
      <c r="B867" t="s">
        <v>58</v>
      </c>
      <c r="C867" s="10">
        <v>352791390598538</v>
      </c>
      <c r="D867" t="s">
        <v>738</v>
      </c>
      <c r="E867" s="5">
        <v>3700</v>
      </c>
      <c r="F867" s="5">
        <v>3257.8</v>
      </c>
      <c r="G867" s="5">
        <v>442.2</v>
      </c>
      <c r="H867" s="5">
        <v>13.57</v>
      </c>
      <c r="I867" t="s">
        <v>20</v>
      </c>
    </row>
    <row r="868" spans="1:9" x14ac:dyDescent="0.25">
      <c r="A868" t="s">
        <v>737</v>
      </c>
      <c r="B868" t="s">
        <v>58</v>
      </c>
      <c r="C868" s="10">
        <v>352791398838225</v>
      </c>
      <c r="D868" t="s">
        <v>65</v>
      </c>
      <c r="E868" s="5">
        <v>4450</v>
      </c>
      <c r="F868" s="5">
        <v>4260.2</v>
      </c>
      <c r="G868" s="5">
        <v>189.8</v>
      </c>
      <c r="H868" s="5">
        <v>4.46</v>
      </c>
      <c r="I868" t="s">
        <v>20</v>
      </c>
    </row>
    <row r="869" spans="1:9" x14ac:dyDescent="0.25">
      <c r="A869" t="s">
        <v>737</v>
      </c>
      <c r="B869" t="s">
        <v>58</v>
      </c>
      <c r="C869" s="10">
        <v>353263424328430</v>
      </c>
      <c r="D869" t="s">
        <v>15</v>
      </c>
      <c r="E869" s="5">
        <v>3495</v>
      </c>
      <c r="F869" s="5">
        <v>3329.4</v>
      </c>
      <c r="G869" s="5">
        <v>165.6</v>
      </c>
      <c r="H869" s="5">
        <v>4.97</v>
      </c>
      <c r="I869" t="s">
        <v>20</v>
      </c>
    </row>
    <row r="870" spans="1:9" x14ac:dyDescent="0.25">
      <c r="A870" t="s">
        <v>737</v>
      </c>
      <c r="B870" t="s">
        <v>58</v>
      </c>
      <c r="C870" s="10">
        <v>353263425312722</v>
      </c>
      <c r="D870" t="s">
        <v>15</v>
      </c>
      <c r="E870" s="5">
        <v>3500</v>
      </c>
      <c r="F870" s="5">
        <v>3257.8</v>
      </c>
      <c r="G870" s="5">
        <v>242.2</v>
      </c>
      <c r="H870" s="5">
        <v>7.43</v>
      </c>
      <c r="I870" t="s">
        <v>20</v>
      </c>
    </row>
    <row r="871" spans="1:9" x14ac:dyDescent="0.25">
      <c r="A871" t="s">
        <v>737</v>
      </c>
      <c r="B871" t="s">
        <v>58</v>
      </c>
      <c r="C871" s="10">
        <v>353263427785008</v>
      </c>
      <c r="D871" t="s">
        <v>65</v>
      </c>
      <c r="E871" s="5">
        <v>4420</v>
      </c>
      <c r="F871" s="5">
        <v>4009.6</v>
      </c>
      <c r="G871" s="5">
        <v>410.4</v>
      </c>
      <c r="H871" s="5">
        <v>10.24</v>
      </c>
      <c r="I871" t="s">
        <v>20</v>
      </c>
    </row>
    <row r="872" spans="1:9" x14ac:dyDescent="0.25">
      <c r="A872" t="s">
        <v>737</v>
      </c>
      <c r="B872" t="s">
        <v>58</v>
      </c>
      <c r="C872" s="10">
        <v>353263427788085</v>
      </c>
      <c r="D872" t="s">
        <v>65</v>
      </c>
      <c r="E872" s="5">
        <v>4450</v>
      </c>
      <c r="F872" s="5">
        <v>4260.2</v>
      </c>
      <c r="G872" s="5">
        <v>189.8</v>
      </c>
      <c r="H872" s="5">
        <v>4.46</v>
      </c>
      <c r="I872" t="s">
        <v>20</v>
      </c>
    </row>
    <row r="873" spans="1:9" x14ac:dyDescent="0.25">
      <c r="A873" t="s">
        <v>737</v>
      </c>
      <c r="B873" t="s">
        <v>58</v>
      </c>
      <c r="C873" s="10">
        <v>353263427796328</v>
      </c>
      <c r="D873" t="s">
        <v>15</v>
      </c>
      <c r="E873" s="5">
        <v>3500</v>
      </c>
      <c r="F873" s="5">
        <v>3329.4</v>
      </c>
      <c r="G873" s="5">
        <v>170.6</v>
      </c>
      <c r="H873" s="5">
        <v>5.12</v>
      </c>
      <c r="I873" t="s">
        <v>20</v>
      </c>
    </row>
    <row r="874" spans="1:9" x14ac:dyDescent="0.25">
      <c r="A874" t="s">
        <v>737</v>
      </c>
      <c r="B874" t="s">
        <v>58</v>
      </c>
      <c r="C874" s="10">
        <v>353263428837816</v>
      </c>
      <c r="D874" t="s">
        <v>65</v>
      </c>
      <c r="E874" s="5">
        <v>4450</v>
      </c>
      <c r="F874" s="5">
        <v>4260.2</v>
      </c>
      <c r="G874" s="5">
        <v>189.8</v>
      </c>
      <c r="H874" s="5">
        <v>4.46</v>
      </c>
      <c r="I874" t="s">
        <v>20</v>
      </c>
    </row>
    <row r="875" spans="1:9" x14ac:dyDescent="0.25">
      <c r="A875" t="s">
        <v>737</v>
      </c>
      <c r="B875" t="s">
        <v>58</v>
      </c>
      <c r="C875" s="10">
        <v>353497859918261</v>
      </c>
      <c r="D875" t="s">
        <v>15</v>
      </c>
      <c r="E875" s="5">
        <v>3495</v>
      </c>
      <c r="F875" s="5">
        <v>3257.8</v>
      </c>
      <c r="G875" s="5">
        <v>237.2</v>
      </c>
      <c r="H875" s="5">
        <v>7.28</v>
      </c>
      <c r="I875" t="s">
        <v>20</v>
      </c>
    </row>
    <row r="876" spans="1:9" x14ac:dyDescent="0.25">
      <c r="A876" t="s">
        <v>737</v>
      </c>
      <c r="B876" t="s">
        <v>58</v>
      </c>
      <c r="C876" s="10">
        <v>355224254800300</v>
      </c>
      <c r="D876" t="s">
        <v>15</v>
      </c>
      <c r="E876" s="5">
        <v>3440</v>
      </c>
      <c r="F876" s="5">
        <v>3329.4</v>
      </c>
      <c r="G876" s="5">
        <v>110.6</v>
      </c>
      <c r="H876" s="5">
        <v>3.32</v>
      </c>
      <c r="I876" t="s">
        <v>20</v>
      </c>
    </row>
    <row r="877" spans="1:9" x14ac:dyDescent="0.25">
      <c r="A877" t="s">
        <v>737</v>
      </c>
      <c r="B877" t="s">
        <v>58</v>
      </c>
      <c r="C877" s="10">
        <v>355224254940502</v>
      </c>
      <c r="D877" t="s">
        <v>15</v>
      </c>
      <c r="E877" s="5">
        <v>3440</v>
      </c>
      <c r="F877" s="5">
        <v>3329.4</v>
      </c>
      <c r="G877" s="5">
        <v>110.6</v>
      </c>
      <c r="H877" s="5">
        <v>3.32</v>
      </c>
      <c r="I877" t="s">
        <v>20</v>
      </c>
    </row>
    <row r="878" spans="1:9" x14ac:dyDescent="0.25">
      <c r="A878" t="s">
        <v>737</v>
      </c>
      <c r="B878" t="s">
        <v>58</v>
      </c>
      <c r="C878" s="10">
        <v>355224254961490</v>
      </c>
      <c r="D878" t="s">
        <v>15</v>
      </c>
      <c r="E878" s="5">
        <v>3440</v>
      </c>
      <c r="F878" s="5">
        <v>3329.4</v>
      </c>
      <c r="G878" s="5">
        <v>110.6</v>
      </c>
      <c r="H878" s="5">
        <v>3.32</v>
      </c>
      <c r="I878" t="s">
        <v>20</v>
      </c>
    </row>
    <row r="879" spans="1:9" x14ac:dyDescent="0.25">
      <c r="A879" t="s">
        <v>737</v>
      </c>
      <c r="B879" t="s">
        <v>58</v>
      </c>
      <c r="C879" s="10">
        <v>355224259876222</v>
      </c>
      <c r="D879" t="s">
        <v>15</v>
      </c>
      <c r="E879" s="5">
        <v>3495</v>
      </c>
      <c r="F879" s="5">
        <v>3257.8</v>
      </c>
      <c r="G879" s="5">
        <v>237.2</v>
      </c>
      <c r="H879" s="5">
        <v>7.28</v>
      </c>
      <c r="I879" t="s">
        <v>20</v>
      </c>
    </row>
    <row r="880" spans="1:9" x14ac:dyDescent="0.25">
      <c r="A880" t="s">
        <v>737</v>
      </c>
      <c r="B880" t="s">
        <v>58</v>
      </c>
      <c r="C880" s="10">
        <v>355246650094030</v>
      </c>
      <c r="D880" t="s">
        <v>15</v>
      </c>
      <c r="E880" s="5">
        <v>3440</v>
      </c>
      <c r="F880" s="5">
        <v>3329.4</v>
      </c>
      <c r="G880" s="5">
        <v>110.6</v>
      </c>
      <c r="H880" s="5">
        <v>3.32</v>
      </c>
      <c r="I880" t="s">
        <v>20</v>
      </c>
    </row>
    <row r="881" spans="1:9" x14ac:dyDescent="0.25">
      <c r="A881" t="s">
        <v>737</v>
      </c>
      <c r="B881" t="s">
        <v>58</v>
      </c>
      <c r="C881" s="10">
        <v>355246652795725</v>
      </c>
      <c r="D881" t="s">
        <v>15</v>
      </c>
      <c r="E881" s="5">
        <v>3440</v>
      </c>
      <c r="F881" s="5">
        <v>3329.4</v>
      </c>
      <c r="G881" s="5">
        <v>110.6</v>
      </c>
      <c r="H881" s="5">
        <v>3.32</v>
      </c>
      <c r="I881" t="s">
        <v>20</v>
      </c>
    </row>
    <row r="882" spans="1:9" x14ac:dyDescent="0.25">
      <c r="A882" t="s">
        <v>737</v>
      </c>
      <c r="B882" t="s">
        <v>58</v>
      </c>
      <c r="C882" s="10">
        <v>355246653154211</v>
      </c>
      <c r="D882" t="s">
        <v>15</v>
      </c>
      <c r="E882" s="5">
        <v>3750</v>
      </c>
      <c r="F882" s="5">
        <v>3418.9</v>
      </c>
      <c r="G882" s="5">
        <v>331.1</v>
      </c>
      <c r="H882" s="5">
        <v>9.68</v>
      </c>
      <c r="I882" t="s">
        <v>20</v>
      </c>
    </row>
    <row r="883" spans="1:9" x14ac:dyDescent="0.25">
      <c r="A883" t="s">
        <v>737</v>
      </c>
      <c r="B883" t="s">
        <v>58</v>
      </c>
      <c r="C883" s="10">
        <v>355246653172064</v>
      </c>
      <c r="D883" t="s">
        <v>15</v>
      </c>
      <c r="E883" s="5">
        <v>3750</v>
      </c>
      <c r="F883" s="5">
        <v>3418.9</v>
      </c>
      <c r="G883" s="5">
        <v>331.1</v>
      </c>
      <c r="H883" s="5">
        <v>9.68</v>
      </c>
      <c r="I883" t="s">
        <v>20</v>
      </c>
    </row>
    <row r="884" spans="1:9" x14ac:dyDescent="0.25">
      <c r="A884" t="s">
        <v>737</v>
      </c>
      <c r="B884" t="s">
        <v>58</v>
      </c>
      <c r="C884" s="10">
        <v>355246654057488</v>
      </c>
      <c r="D884" t="s">
        <v>15</v>
      </c>
      <c r="E884" s="5">
        <v>3750</v>
      </c>
      <c r="F884" s="5">
        <v>3418.9</v>
      </c>
      <c r="G884" s="5">
        <v>331.1</v>
      </c>
      <c r="H884" s="5">
        <v>9.68</v>
      </c>
      <c r="I884" t="s">
        <v>20</v>
      </c>
    </row>
    <row r="885" spans="1:9" x14ac:dyDescent="0.25">
      <c r="A885" t="s">
        <v>737</v>
      </c>
      <c r="B885" t="s">
        <v>58</v>
      </c>
      <c r="C885" s="10">
        <v>355246657172003</v>
      </c>
      <c r="D885" t="s">
        <v>15</v>
      </c>
      <c r="E885" s="5">
        <v>3440</v>
      </c>
      <c r="F885" s="5">
        <v>3329.4</v>
      </c>
      <c r="G885" s="5">
        <v>110.6</v>
      </c>
      <c r="H885" s="5">
        <v>3.32</v>
      </c>
      <c r="I885" t="s">
        <v>20</v>
      </c>
    </row>
    <row r="886" spans="1:9" x14ac:dyDescent="0.25">
      <c r="A886" t="s">
        <v>737</v>
      </c>
      <c r="B886" t="s">
        <v>58</v>
      </c>
      <c r="C886" s="10">
        <v>355246657888731</v>
      </c>
      <c r="D886" t="s">
        <v>15</v>
      </c>
      <c r="E886" s="5">
        <v>3495</v>
      </c>
      <c r="F886" s="5">
        <v>3329.4</v>
      </c>
      <c r="G886" s="5">
        <v>165.6</v>
      </c>
      <c r="H886" s="5">
        <v>4.97</v>
      </c>
      <c r="I886" t="s">
        <v>20</v>
      </c>
    </row>
    <row r="887" spans="1:9" x14ac:dyDescent="0.25">
      <c r="A887" t="s">
        <v>737</v>
      </c>
      <c r="B887" t="s">
        <v>58</v>
      </c>
      <c r="C887" s="10">
        <v>355450219934542</v>
      </c>
      <c r="D887" t="s">
        <v>15</v>
      </c>
      <c r="E887" s="5">
        <v>3495</v>
      </c>
      <c r="F887" s="5">
        <v>3257.8</v>
      </c>
      <c r="G887" s="5">
        <v>237.2</v>
      </c>
      <c r="H887" s="5">
        <v>7.28</v>
      </c>
      <c r="I887" t="s">
        <v>20</v>
      </c>
    </row>
    <row r="888" spans="1:9" x14ac:dyDescent="0.25">
      <c r="A888" t="s">
        <v>737</v>
      </c>
      <c r="B888" t="s">
        <v>58</v>
      </c>
      <c r="C888" s="10">
        <v>356392240521485</v>
      </c>
      <c r="D888" t="s">
        <v>15</v>
      </c>
      <c r="E888" s="5">
        <v>3440</v>
      </c>
      <c r="F888" s="5">
        <v>3329.4</v>
      </c>
      <c r="G888" s="5">
        <v>110.6</v>
      </c>
      <c r="H888" s="5">
        <v>3.32</v>
      </c>
      <c r="I888" t="s">
        <v>20</v>
      </c>
    </row>
    <row r="889" spans="1:9" x14ac:dyDescent="0.25">
      <c r="A889" t="s">
        <v>737</v>
      </c>
      <c r="B889" t="s">
        <v>58</v>
      </c>
      <c r="C889" s="10">
        <v>356392241826214</v>
      </c>
      <c r="D889" t="s">
        <v>15</v>
      </c>
      <c r="E889" s="5">
        <v>3495</v>
      </c>
      <c r="F889" s="5">
        <v>3329.4</v>
      </c>
      <c r="G889" s="5">
        <v>165.6</v>
      </c>
      <c r="H889" s="5">
        <v>4.97</v>
      </c>
      <c r="I889" t="s">
        <v>20</v>
      </c>
    </row>
    <row r="890" spans="1:9" x14ac:dyDescent="0.25">
      <c r="A890" t="s">
        <v>737</v>
      </c>
      <c r="B890" t="s">
        <v>58</v>
      </c>
      <c r="C890" s="10">
        <v>356392243055499</v>
      </c>
      <c r="D890" t="s">
        <v>15</v>
      </c>
      <c r="E890" s="5">
        <v>3440</v>
      </c>
      <c r="F890" s="5">
        <v>3257.8</v>
      </c>
      <c r="G890" s="5">
        <v>182.2</v>
      </c>
      <c r="H890" s="5">
        <v>5.59</v>
      </c>
      <c r="I890" t="s">
        <v>20</v>
      </c>
    </row>
    <row r="891" spans="1:9" x14ac:dyDescent="0.25">
      <c r="A891" t="s">
        <v>737</v>
      </c>
      <c r="B891" t="s">
        <v>58</v>
      </c>
      <c r="C891" s="10">
        <v>356392243184323</v>
      </c>
      <c r="D891" t="s">
        <v>15</v>
      </c>
      <c r="E891" s="5">
        <v>3500</v>
      </c>
      <c r="F891" s="5">
        <v>3329.4</v>
      </c>
      <c r="G891" s="5">
        <v>170.6</v>
      </c>
      <c r="H891" s="5">
        <v>5.12</v>
      </c>
      <c r="I891" t="s">
        <v>20</v>
      </c>
    </row>
    <row r="892" spans="1:9" x14ac:dyDescent="0.25">
      <c r="A892" t="s">
        <v>737</v>
      </c>
      <c r="B892" t="s">
        <v>58</v>
      </c>
      <c r="C892" s="10">
        <v>356392244615788</v>
      </c>
      <c r="D892" t="s">
        <v>65</v>
      </c>
      <c r="E892" s="5">
        <v>4450</v>
      </c>
      <c r="F892" s="5">
        <v>4260.2</v>
      </c>
      <c r="G892" s="5">
        <v>189.8</v>
      </c>
      <c r="H892" s="5">
        <v>4.46</v>
      </c>
      <c r="I892" t="s">
        <v>20</v>
      </c>
    </row>
    <row r="893" spans="1:9" x14ac:dyDescent="0.25">
      <c r="A893" t="s">
        <v>737</v>
      </c>
      <c r="B893" t="s">
        <v>58</v>
      </c>
      <c r="C893" s="10">
        <v>356392245134060</v>
      </c>
      <c r="D893" t="s">
        <v>65</v>
      </c>
      <c r="E893" s="5">
        <v>4450</v>
      </c>
      <c r="F893" s="5">
        <v>4260.2</v>
      </c>
      <c r="G893" s="5">
        <v>189.8</v>
      </c>
      <c r="H893" s="5">
        <v>4.46</v>
      </c>
      <c r="I893" t="s">
        <v>20</v>
      </c>
    </row>
    <row r="894" spans="1:9" x14ac:dyDescent="0.25">
      <c r="A894" t="s">
        <v>737</v>
      </c>
      <c r="B894" t="s">
        <v>58</v>
      </c>
      <c r="C894" s="10">
        <v>356392245206678</v>
      </c>
      <c r="D894" t="s">
        <v>15</v>
      </c>
      <c r="E894" s="5">
        <v>3495</v>
      </c>
      <c r="F894" s="5">
        <v>3329.4</v>
      </c>
      <c r="G894" s="5">
        <v>165.6</v>
      </c>
      <c r="H894" s="5">
        <v>4.97</v>
      </c>
      <c r="I894" t="s">
        <v>20</v>
      </c>
    </row>
    <row r="895" spans="1:9" x14ac:dyDescent="0.25">
      <c r="A895" t="s">
        <v>737</v>
      </c>
      <c r="B895" t="s">
        <v>58</v>
      </c>
      <c r="C895" s="10">
        <v>356392245441655</v>
      </c>
      <c r="D895" t="s">
        <v>15</v>
      </c>
      <c r="E895" s="5">
        <v>3495</v>
      </c>
      <c r="F895" s="5">
        <v>3329.4</v>
      </c>
      <c r="G895" s="5">
        <v>165.6</v>
      </c>
      <c r="H895" s="5">
        <v>4.97</v>
      </c>
      <c r="I895" t="s">
        <v>20</v>
      </c>
    </row>
    <row r="896" spans="1:9" x14ac:dyDescent="0.25">
      <c r="A896" t="s">
        <v>737</v>
      </c>
      <c r="B896" t="s">
        <v>58</v>
      </c>
      <c r="C896" s="10">
        <v>356392246679634</v>
      </c>
      <c r="D896" t="s">
        <v>65</v>
      </c>
      <c r="E896" s="5">
        <v>4450</v>
      </c>
      <c r="F896" s="5">
        <v>4260.2</v>
      </c>
      <c r="G896" s="5">
        <v>189.8</v>
      </c>
      <c r="H896" s="5">
        <v>4.46</v>
      </c>
      <c r="I896" t="s">
        <v>20</v>
      </c>
    </row>
    <row r="897" spans="1:9" x14ac:dyDescent="0.25">
      <c r="A897" t="s">
        <v>737</v>
      </c>
      <c r="B897" t="s">
        <v>58</v>
      </c>
      <c r="C897" s="10">
        <v>356392246918693</v>
      </c>
      <c r="D897" t="s">
        <v>15</v>
      </c>
      <c r="E897" s="5">
        <v>3500</v>
      </c>
      <c r="F897" s="5">
        <v>3257.8</v>
      </c>
      <c r="G897" s="5">
        <v>242.2</v>
      </c>
      <c r="H897" s="5">
        <v>7.43</v>
      </c>
      <c r="I897" t="s">
        <v>20</v>
      </c>
    </row>
    <row r="898" spans="1:9" x14ac:dyDescent="0.25">
      <c r="A898" t="s">
        <v>737</v>
      </c>
      <c r="B898" t="s">
        <v>58</v>
      </c>
      <c r="C898" s="10">
        <v>356392247197248</v>
      </c>
      <c r="D898" t="s">
        <v>15</v>
      </c>
      <c r="E898" s="5">
        <v>3495</v>
      </c>
      <c r="F898" s="5">
        <v>3329.4</v>
      </c>
      <c r="G898" s="5">
        <v>165.6</v>
      </c>
      <c r="H898" s="5">
        <v>4.97</v>
      </c>
      <c r="I898" t="s">
        <v>20</v>
      </c>
    </row>
    <row r="899" spans="1:9" x14ac:dyDescent="0.25">
      <c r="A899" t="s">
        <v>737</v>
      </c>
      <c r="B899" t="s">
        <v>58</v>
      </c>
      <c r="C899" s="10">
        <v>356392249980104</v>
      </c>
      <c r="D899" t="s">
        <v>15</v>
      </c>
      <c r="E899" s="5">
        <v>3440</v>
      </c>
      <c r="F899" s="5">
        <v>3257.8</v>
      </c>
      <c r="G899" s="5">
        <v>182.2</v>
      </c>
      <c r="H899" s="5">
        <v>5.59</v>
      </c>
      <c r="I899" t="s">
        <v>20</v>
      </c>
    </row>
    <row r="900" spans="1:9" x14ac:dyDescent="0.25">
      <c r="A900" t="s">
        <v>737</v>
      </c>
      <c r="B900" t="s">
        <v>58</v>
      </c>
      <c r="C900" s="10">
        <v>357329442919850</v>
      </c>
      <c r="D900" t="s">
        <v>65</v>
      </c>
      <c r="E900" s="5">
        <v>4450</v>
      </c>
      <c r="F900" s="5">
        <v>4260.2</v>
      </c>
      <c r="G900" s="5">
        <v>189.8</v>
      </c>
      <c r="H900" s="5">
        <v>4.46</v>
      </c>
      <c r="I900" t="s">
        <v>20</v>
      </c>
    </row>
    <row r="901" spans="1:9" x14ac:dyDescent="0.25">
      <c r="A901" t="s">
        <v>737</v>
      </c>
      <c r="B901" t="s">
        <v>58</v>
      </c>
      <c r="C901" s="10">
        <v>357329444250981</v>
      </c>
      <c r="D901" t="s">
        <v>15</v>
      </c>
      <c r="E901" s="5">
        <v>3495</v>
      </c>
      <c r="F901" s="5">
        <v>3257.8</v>
      </c>
      <c r="G901" s="5">
        <v>237.2</v>
      </c>
      <c r="H901" s="5">
        <v>7.28</v>
      </c>
      <c r="I901" t="s">
        <v>20</v>
      </c>
    </row>
    <row r="902" spans="1:9" x14ac:dyDescent="0.25">
      <c r="A902" t="s">
        <v>737</v>
      </c>
      <c r="B902" t="s">
        <v>58</v>
      </c>
      <c r="C902" s="10">
        <v>357431267875470</v>
      </c>
      <c r="D902" t="s">
        <v>15</v>
      </c>
      <c r="E902" s="5">
        <v>3440</v>
      </c>
      <c r="F902" s="5">
        <v>3329.4</v>
      </c>
      <c r="G902" s="5">
        <v>110.6</v>
      </c>
      <c r="H902" s="5">
        <v>3.32</v>
      </c>
      <c r="I902" t="s">
        <v>20</v>
      </c>
    </row>
    <row r="903" spans="1:9" x14ac:dyDescent="0.25">
      <c r="A903" t="s">
        <v>737</v>
      </c>
      <c r="B903" t="s">
        <v>58</v>
      </c>
      <c r="C903" s="10">
        <v>357586349525474</v>
      </c>
      <c r="D903" t="s">
        <v>15</v>
      </c>
      <c r="E903" s="5">
        <v>3495</v>
      </c>
      <c r="F903" s="5">
        <v>3257.8</v>
      </c>
      <c r="G903" s="5">
        <v>237.2</v>
      </c>
      <c r="H903" s="5">
        <v>7.28</v>
      </c>
      <c r="I903" t="s">
        <v>20</v>
      </c>
    </row>
    <row r="904" spans="1:9" x14ac:dyDescent="0.25">
      <c r="A904" t="s">
        <v>737</v>
      </c>
      <c r="B904" t="s">
        <v>58</v>
      </c>
      <c r="C904" s="10">
        <v>358051328209029</v>
      </c>
      <c r="D904" t="s">
        <v>15</v>
      </c>
      <c r="E904" s="5">
        <v>3440</v>
      </c>
      <c r="F904" s="5">
        <v>3329.4</v>
      </c>
      <c r="G904" s="5">
        <v>110.6</v>
      </c>
      <c r="H904" s="5">
        <v>3.32</v>
      </c>
      <c r="I904" t="s">
        <v>20</v>
      </c>
    </row>
    <row r="905" spans="1:9" x14ac:dyDescent="0.25">
      <c r="A905" t="s">
        <v>737</v>
      </c>
      <c r="B905" t="s">
        <v>58</v>
      </c>
      <c r="C905" s="10">
        <v>358434702497701</v>
      </c>
      <c r="D905" t="s">
        <v>15</v>
      </c>
      <c r="E905" s="5">
        <v>3750</v>
      </c>
      <c r="F905" s="5">
        <v>3418.9</v>
      </c>
      <c r="G905" s="5">
        <v>331.1</v>
      </c>
      <c r="H905" s="5">
        <v>9.68</v>
      </c>
      <c r="I905" t="s">
        <v>20</v>
      </c>
    </row>
    <row r="906" spans="1:9" x14ac:dyDescent="0.25">
      <c r="A906" t="s">
        <v>737</v>
      </c>
      <c r="B906" t="s">
        <v>58</v>
      </c>
      <c r="C906" s="10">
        <v>358434704616415</v>
      </c>
      <c r="D906" t="s">
        <v>15</v>
      </c>
      <c r="E906" s="5">
        <v>3750</v>
      </c>
      <c r="F906" s="5">
        <v>3418.9</v>
      </c>
      <c r="G906" s="5">
        <v>331.1</v>
      </c>
      <c r="H906" s="5">
        <v>9.68</v>
      </c>
      <c r="I906" t="s">
        <v>20</v>
      </c>
    </row>
    <row r="907" spans="1:9" x14ac:dyDescent="0.25">
      <c r="A907" t="s">
        <v>737</v>
      </c>
      <c r="B907" t="s">
        <v>58</v>
      </c>
      <c r="C907" s="10">
        <v>358434705981347</v>
      </c>
      <c r="D907" t="s">
        <v>15</v>
      </c>
      <c r="E907" s="5">
        <v>3500</v>
      </c>
      <c r="F907" s="5">
        <v>3329.4</v>
      </c>
      <c r="G907" s="5">
        <v>170.6</v>
      </c>
      <c r="H907" s="5">
        <v>5.12</v>
      </c>
      <c r="I907" t="s">
        <v>20</v>
      </c>
    </row>
    <row r="908" spans="1:9" x14ac:dyDescent="0.25">
      <c r="A908" t="s">
        <v>737</v>
      </c>
      <c r="B908" t="s">
        <v>58</v>
      </c>
      <c r="C908" s="10">
        <v>358434706000295</v>
      </c>
      <c r="D908" t="s">
        <v>15</v>
      </c>
      <c r="E908" s="5">
        <v>3495</v>
      </c>
      <c r="F908" s="5">
        <v>3329.4</v>
      </c>
      <c r="G908" s="5">
        <v>165.6</v>
      </c>
      <c r="H908" s="5">
        <v>4.97</v>
      </c>
      <c r="I908" t="s">
        <v>20</v>
      </c>
    </row>
    <row r="909" spans="1:9" x14ac:dyDescent="0.25">
      <c r="A909" t="s">
        <v>737</v>
      </c>
      <c r="B909" t="s">
        <v>58</v>
      </c>
      <c r="C909" s="10">
        <v>358434706438164</v>
      </c>
      <c r="D909" t="s">
        <v>15</v>
      </c>
      <c r="E909" s="5">
        <v>3500</v>
      </c>
      <c r="F909" s="5">
        <v>3329.4</v>
      </c>
      <c r="G909" s="5">
        <v>170.6</v>
      </c>
      <c r="H909" s="5">
        <v>5.12</v>
      </c>
      <c r="I909" t="s">
        <v>20</v>
      </c>
    </row>
    <row r="910" spans="1:9" x14ac:dyDescent="0.25">
      <c r="A910" t="s">
        <v>737</v>
      </c>
      <c r="B910" t="s">
        <v>58</v>
      </c>
      <c r="C910" s="10">
        <v>358902514556856</v>
      </c>
      <c r="D910" t="s">
        <v>15</v>
      </c>
      <c r="E910" s="5">
        <v>3500</v>
      </c>
      <c r="F910" s="5">
        <v>3257.8</v>
      </c>
      <c r="G910" s="5">
        <v>242.2</v>
      </c>
      <c r="H910" s="5">
        <v>7.43</v>
      </c>
      <c r="I910" t="s">
        <v>20</v>
      </c>
    </row>
    <row r="911" spans="1:9" x14ac:dyDescent="0.25">
      <c r="A911" t="s">
        <v>737</v>
      </c>
      <c r="B911" t="s">
        <v>58</v>
      </c>
      <c r="C911" s="10">
        <v>358902515517865</v>
      </c>
      <c r="D911" t="s">
        <v>15</v>
      </c>
      <c r="E911" s="5">
        <v>3440</v>
      </c>
      <c r="F911" s="5">
        <v>3418.9</v>
      </c>
      <c r="G911" s="5">
        <v>21.1</v>
      </c>
      <c r="H911" s="5">
        <v>0.62</v>
      </c>
      <c r="I911" t="s">
        <v>20</v>
      </c>
    </row>
    <row r="912" spans="1:9" x14ac:dyDescent="0.25">
      <c r="A912" t="s">
        <v>737</v>
      </c>
      <c r="B912" t="s">
        <v>58</v>
      </c>
      <c r="C912" s="10">
        <v>358902515736036</v>
      </c>
      <c r="D912" t="s">
        <v>15</v>
      </c>
      <c r="E912" s="5">
        <v>3440</v>
      </c>
      <c r="F912" s="5">
        <v>3329.4</v>
      </c>
      <c r="G912" s="5">
        <v>110.6</v>
      </c>
      <c r="H912" s="5">
        <v>3.32</v>
      </c>
      <c r="I912" t="s">
        <v>20</v>
      </c>
    </row>
    <row r="913" spans="1:9" x14ac:dyDescent="0.25">
      <c r="A913" t="s">
        <v>737</v>
      </c>
      <c r="B913" t="s">
        <v>58</v>
      </c>
      <c r="C913" s="10">
        <v>358902515766629</v>
      </c>
      <c r="D913" t="s">
        <v>15</v>
      </c>
      <c r="E913" s="5">
        <v>3495</v>
      </c>
      <c r="F913" s="5">
        <v>3329.4</v>
      </c>
      <c r="G913" s="5">
        <v>165.6</v>
      </c>
      <c r="H913" s="5">
        <v>4.97</v>
      </c>
      <c r="I913" t="s">
        <v>20</v>
      </c>
    </row>
    <row r="914" spans="1:9" x14ac:dyDescent="0.25">
      <c r="A914" t="s">
        <v>737</v>
      </c>
      <c r="B914" t="s">
        <v>58</v>
      </c>
      <c r="C914" s="10">
        <v>358902515823545</v>
      </c>
      <c r="D914" t="s">
        <v>15</v>
      </c>
      <c r="E914" s="5">
        <v>3440</v>
      </c>
      <c r="F914" s="5">
        <v>3329.4</v>
      </c>
      <c r="G914" s="5">
        <v>110.6</v>
      </c>
      <c r="H914" s="5">
        <v>3.32</v>
      </c>
      <c r="I914" t="s">
        <v>20</v>
      </c>
    </row>
    <row r="915" spans="1:9" x14ac:dyDescent="0.25">
      <c r="A915" t="s">
        <v>737</v>
      </c>
      <c r="B915" t="s">
        <v>58</v>
      </c>
      <c r="C915" s="10">
        <v>358902515956444</v>
      </c>
      <c r="D915" t="s">
        <v>15</v>
      </c>
      <c r="E915" s="5">
        <v>3440</v>
      </c>
      <c r="F915" s="5">
        <v>3418.9</v>
      </c>
      <c r="G915" s="5">
        <v>21.1</v>
      </c>
      <c r="H915" s="5">
        <v>0.62</v>
      </c>
      <c r="I915" t="s">
        <v>20</v>
      </c>
    </row>
    <row r="916" spans="1:9" x14ac:dyDescent="0.25">
      <c r="A916" t="s">
        <v>737</v>
      </c>
      <c r="B916" t="s">
        <v>58</v>
      </c>
      <c r="C916" s="10">
        <v>359614548948483</v>
      </c>
      <c r="D916" t="s">
        <v>15</v>
      </c>
      <c r="E916" s="5">
        <v>3495</v>
      </c>
      <c r="F916" s="5">
        <v>3329.4</v>
      </c>
      <c r="G916" s="5">
        <v>165.6</v>
      </c>
      <c r="H916" s="5">
        <v>4.97</v>
      </c>
      <c r="I916" t="s">
        <v>20</v>
      </c>
    </row>
    <row r="917" spans="1:9" x14ac:dyDescent="0.25">
      <c r="A917" t="s">
        <v>737</v>
      </c>
      <c r="B917" t="s">
        <v>58</v>
      </c>
      <c r="C917" s="10">
        <v>359814713520592</v>
      </c>
      <c r="D917" t="s">
        <v>15</v>
      </c>
      <c r="E917" s="5">
        <v>3750</v>
      </c>
      <c r="F917" s="5">
        <v>3418.9</v>
      </c>
      <c r="G917" s="5">
        <v>331.1</v>
      </c>
      <c r="H917" s="5">
        <v>9.68</v>
      </c>
      <c r="I917" t="s">
        <v>20</v>
      </c>
    </row>
    <row r="918" spans="1:9" x14ac:dyDescent="0.25">
      <c r="A918" t="s">
        <v>737</v>
      </c>
      <c r="B918" t="s">
        <v>58</v>
      </c>
      <c r="C918" s="10">
        <v>359814713897271</v>
      </c>
      <c r="D918" t="s">
        <v>15</v>
      </c>
      <c r="E918" s="5">
        <v>3750</v>
      </c>
      <c r="F918" s="5">
        <v>3418.9</v>
      </c>
      <c r="G918" s="5">
        <v>331.1</v>
      </c>
      <c r="H918" s="5">
        <v>9.68</v>
      </c>
      <c r="I918" t="s">
        <v>20</v>
      </c>
    </row>
    <row r="919" spans="1:9" x14ac:dyDescent="0.25">
      <c r="A919" t="s">
        <v>737</v>
      </c>
      <c r="B919" t="s">
        <v>58</v>
      </c>
      <c r="C919" s="10">
        <v>359814714043008</v>
      </c>
      <c r="D919" t="s">
        <v>15</v>
      </c>
      <c r="E919" s="5">
        <v>3750</v>
      </c>
      <c r="F919" s="5">
        <v>3418.9</v>
      </c>
      <c r="G919" s="5">
        <v>331.1</v>
      </c>
      <c r="H919" s="5">
        <v>9.68</v>
      </c>
      <c r="I919" t="s">
        <v>20</v>
      </c>
    </row>
    <row r="920" spans="1:9" x14ac:dyDescent="0.25">
      <c r="A920" t="s">
        <v>737</v>
      </c>
      <c r="B920" t="s">
        <v>58</v>
      </c>
      <c r="C920" s="10">
        <v>359814715431186</v>
      </c>
      <c r="D920" t="s">
        <v>15</v>
      </c>
      <c r="E920" s="5">
        <v>3500</v>
      </c>
      <c r="F920" s="5">
        <v>3329.4</v>
      </c>
      <c r="G920" s="5">
        <v>170.6</v>
      </c>
      <c r="H920" s="5">
        <v>5.12</v>
      </c>
      <c r="I920" t="s">
        <v>20</v>
      </c>
    </row>
    <row r="921" spans="1:9" x14ac:dyDescent="0.25">
      <c r="A921" t="s">
        <v>737</v>
      </c>
      <c r="B921" t="s">
        <v>58</v>
      </c>
      <c r="C921" s="10">
        <v>359814716687380</v>
      </c>
      <c r="D921" t="s">
        <v>15</v>
      </c>
      <c r="E921" s="5">
        <v>3500</v>
      </c>
      <c r="F921" s="5">
        <v>3257.8</v>
      </c>
      <c r="G921" s="5">
        <v>242.2</v>
      </c>
      <c r="H921" s="5">
        <v>7.43</v>
      </c>
      <c r="I921" t="s">
        <v>20</v>
      </c>
    </row>
    <row r="922" spans="1:9" x14ac:dyDescent="0.25">
      <c r="A922" t="s">
        <v>737</v>
      </c>
      <c r="B922" t="s">
        <v>61</v>
      </c>
      <c r="C922" s="10">
        <v>358206134032201</v>
      </c>
      <c r="D922" t="s">
        <v>65</v>
      </c>
      <c r="E922" s="5">
        <v>5200</v>
      </c>
      <c r="F922" s="5">
        <v>4618.2</v>
      </c>
      <c r="G922" s="5">
        <v>581.79999999999995</v>
      </c>
      <c r="H922" s="5">
        <v>12.6</v>
      </c>
      <c r="I922" t="s">
        <v>20</v>
      </c>
    </row>
    <row r="923" spans="1:9" x14ac:dyDescent="0.25">
      <c r="A923" t="s">
        <v>737</v>
      </c>
      <c r="B923" t="s">
        <v>61</v>
      </c>
      <c r="C923" s="10">
        <v>359814712797035</v>
      </c>
      <c r="D923" t="s">
        <v>65</v>
      </c>
      <c r="E923" s="5">
        <v>5200</v>
      </c>
      <c r="F923" s="5">
        <v>4618.2</v>
      </c>
      <c r="G923" s="5">
        <v>581.79999999999995</v>
      </c>
      <c r="H923" s="5">
        <v>12.6</v>
      </c>
      <c r="I923" t="s">
        <v>20</v>
      </c>
    </row>
    <row r="925" spans="1:9" s="4" customFormat="1" x14ac:dyDescent="0.25">
      <c r="A925" s="4" t="s">
        <v>739</v>
      </c>
      <c r="B925" s="4" t="s">
        <v>15</v>
      </c>
      <c r="C925" s="14" t="s">
        <v>15</v>
      </c>
      <c r="D925" s="4" t="s">
        <v>15</v>
      </c>
      <c r="E925" s="4">
        <v>1950017.21</v>
      </c>
      <c r="F925" s="4">
        <v>1744243.53</v>
      </c>
      <c r="G925" s="4">
        <v>205773.68</v>
      </c>
      <c r="H925" s="4" t="s">
        <v>740</v>
      </c>
      <c r="I925" s="4" t="s">
        <v>15</v>
      </c>
    </row>
  </sheetData>
  <autoFilter ref="A4:I923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3BF5-8F2D-4D3D-839E-926ED697AD55}">
  <dimension ref="A1:K325"/>
  <sheetViews>
    <sheetView topLeftCell="A289" zoomScale="90" zoomScaleNormal="90" workbookViewId="0">
      <selection activeCell="D317" sqref="D317"/>
    </sheetView>
  </sheetViews>
  <sheetFormatPr defaultRowHeight="15" x14ac:dyDescent="0.25"/>
  <cols>
    <col min="1" max="1" width="18.140625" customWidth="1"/>
    <col min="2" max="2" width="49.7109375" customWidth="1"/>
    <col min="3" max="3" width="28.28515625" customWidth="1"/>
    <col min="4" max="4" width="20.7109375" customWidth="1"/>
    <col min="5" max="6" width="18.140625" customWidth="1"/>
    <col min="7" max="7" width="18.140625" style="8" customWidth="1"/>
    <col min="8" max="9" width="18.140625" customWidth="1"/>
    <col min="10" max="10" width="18.140625" style="15" customWidth="1"/>
    <col min="11" max="11" width="29" customWidth="1"/>
  </cols>
  <sheetData>
    <row r="1" spans="1:11" x14ac:dyDescent="0.25">
      <c r="A1" s="16" t="s">
        <v>3</v>
      </c>
      <c r="B1" s="16" t="s">
        <v>4</v>
      </c>
      <c r="C1" s="17" t="s">
        <v>5</v>
      </c>
      <c r="D1" s="16" t="s">
        <v>6</v>
      </c>
      <c r="E1" s="16" t="s">
        <v>7</v>
      </c>
      <c r="F1" s="16" t="s">
        <v>8</v>
      </c>
      <c r="G1" s="35" t="s">
        <v>745</v>
      </c>
      <c r="H1" s="16" t="s">
        <v>746</v>
      </c>
      <c r="I1" s="16" t="s">
        <v>9</v>
      </c>
      <c r="J1" s="18" t="s">
        <v>10</v>
      </c>
      <c r="K1" s="16" t="s">
        <v>11</v>
      </c>
    </row>
    <row r="2" spans="1:11" x14ac:dyDescent="0.25">
      <c r="A2" s="23" t="s">
        <v>12</v>
      </c>
      <c r="B2" s="23" t="s">
        <v>13</v>
      </c>
      <c r="C2" s="24" t="s">
        <v>14</v>
      </c>
      <c r="D2" s="23" t="s">
        <v>15</v>
      </c>
      <c r="E2" s="25">
        <v>11200</v>
      </c>
      <c r="F2" s="25">
        <v>10586</v>
      </c>
      <c r="G2" s="36">
        <f>F2/11</f>
        <v>962.36363636363637</v>
      </c>
      <c r="H2" s="36">
        <f>F2-G2</f>
        <v>9623.636363636364</v>
      </c>
      <c r="I2" s="36">
        <f>E2-H2</f>
        <v>1576.363636363636</v>
      </c>
      <c r="J2" s="37">
        <f>(E2-H2)/H2</f>
        <v>0.16380124692990738</v>
      </c>
      <c r="K2" s="23" t="s">
        <v>16</v>
      </c>
    </row>
    <row r="3" spans="1:11" x14ac:dyDescent="0.25">
      <c r="A3" s="23" t="s">
        <v>12</v>
      </c>
      <c r="B3" s="23" t="s">
        <v>13</v>
      </c>
      <c r="C3" s="24" t="s">
        <v>17</v>
      </c>
      <c r="D3" s="23" t="s">
        <v>15</v>
      </c>
      <c r="E3" s="25">
        <v>11200</v>
      </c>
      <c r="F3" s="25">
        <v>7900.33</v>
      </c>
      <c r="G3" s="36">
        <f t="shared" ref="G3:G55" si="0">F3/11</f>
        <v>718.21181818181822</v>
      </c>
      <c r="H3" s="36">
        <f t="shared" ref="H3:H55" si="1">F3-G3</f>
        <v>7182.1181818181813</v>
      </c>
      <c r="I3" s="36">
        <f t="shared" ref="I3:I55" si="2">E3-H3</f>
        <v>4017.8818181818187</v>
      </c>
      <c r="J3" s="37">
        <f t="shared" ref="J3:J55" si="3">(E3-H3)/H3</f>
        <v>0.55942853020063732</v>
      </c>
      <c r="K3" s="23" t="s">
        <v>16</v>
      </c>
    </row>
    <row r="4" spans="1:11" x14ac:dyDescent="0.25">
      <c r="A4" s="29" t="s">
        <v>154</v>
      </c>
      <c r="B4" s="29" t="s">
        <v>155</v>
      </c>
      <c r="C4" s="30" t="s">
        <v>156</v>
      </c>
      <c r="D4" s="29" t="s">
        <v>15</v>
      </c>
      <c r="E4" s="31">
        <v>2700</v>
      </c>
      <c r="F4" s="31">
        <v>2741.46</v>
      </c>
      <c r="G4" s="32">
        <f t="shared" si="0"/>
        <v>249.22363636363636</v>
      </c>
      <c r="H4" s="32">
        <f t="shared" si="1"/>
        <v>2492.2363636363639</v>
      </c>
      <c r="I4" s="32">
        <f t="shared" si="2"/>
        <v>207.76363636363612</v>
      </c>
      <c r="J4" s="26">
        <f t="shared" si="3"/>
        <v>8.3364338710030322E-2</v>
      </c>
      <c r="K4" s="29" t="s">
        <v>16</v>
      </c>
    </row>
    <row r="5" spans="1:11" x14ac:dyDescent="0.25">
      <c r="A5" s="29" t="s">
        <v>154</v>
      </c>
      <c r="B5" s="29" t="s">
        <v>155</v>
      </c>
      <c r="C5" s="30" t="s">
        <v>157</v>
      </c>
      <c r="D5" s="29" t="s">
        <v>15</v>
      </c>
      <c r="E5" s="31">
        <v>2700</v>
      </c>
      <c r="F5" s="31">
        <v>2741.46</v>
      </c>
      <c r="G5" s="32">
        <f t="shared" si="0"/>
        <v>249.22363636363636</v>
      </c>
      <c r="H5" s="32">
        <f t="shared" si="1"/>
        <v>2492.2363636363639</v>
      </c>
      <c r="I5" s="32">
        <f t="shared" si="2"/>
        <v>207.76363636363612</v>
      </c>
      <c r="J5" s="26">
        <f t="shared" si="3"/>
        <v>8.3364338710030322E-2</v>
      </c>
      <c r="K5" s="29" t="s">
        <v>16</v>
      </c>
    </row>
    <row r="6" spans="1:11" x14ac:dyDescent="0.25">
      <c r="A6" s="38" t="s">
        <v>159</v>
      </c>
      <c r="B6" s="38" t="s">
        <v>181</v>
      </c>
      <c r="C6" s="39" t="s">
        <v>182</v>
      </c>
      <c r="D6" s="38" t="s">
        <v>15</v>
      </c>
      <c r="E6" s="40">
        <v>1160</v>
      </c>
      <c r="F6" s="40">
        <v>1314.3</v>
      </c>
      <c r="G6" s="41">
        <f t="shared" si="0"/>
        <v>119.48181818181818</v>
      </c>
      <c r="H6" s="41">
        <f t="shared" si="1"/>
        <v>1194.8181818181818</v>
      </c>
      <c r="I6" s="41">
        <f t="shared" si="2"/>
        <v>-34.818181818181756</v>
      </c>
      <c r="J6" s="42">
        <f t="shared" si="3"/>
        <v>-2.9140987597960841E-2</v>
      </c>
      <c r="K6" s="38" t="s">
        <v>16</v>
      </c>
    </row>
    <row r="7" spans="1:11" x14ac:dyDescent="0.25">
      <c r="A7" s="38" t="s">
        <v>159</v>
      </c>
      <c r="B7" s="38" t="s">
        <v>181</v>
      </c>
      <c r="C7" s="39" t="s">
        <v>183</v>
      </c>
      <c r="D7" s="38" t="s">
        <v>15</v>
      </c>
      <c r="E7" s="40">
        <v>1160</v>
      </c>
      <c r="F7" s="40">
        <v>1314.3</v>
      </c>
      <c r="G7" s="41">
        <f t="shared" si="0"/>
        <v>119.48181818181818</v>
      </c>
      <c r="H7" s="41">
        <f t="shared" si="1"/>
        <v>1194.8181818181818</v>
      </c>
      <c r="I7" s="41">
        <f t="shared" si="2"/>
        <v>-34.818181818181756</v>
      </c>
      <c r="J7" s="42">
        <f t="shared" si="3"/>
        <v>-2.9140987597960841E-2</v>
      </c>
      <c r="K7" s="38" t="s">
        <v>16</v>
      </c>
    </row>
    <row r="8" spans="1:11" x14ac:dyDescent="0.25">
      <c r="A8" s="38" t="s">
        <v>159</v>
      </c>
      <c r="B8" s="38" t="s">
        <v>181</v>
      </c>
      <c r="C8" s="39" t="s">
        <v>184</v>
      </c>
      <c r="D8" s="38" t="s">
        <v>15</v>
      </c>
      <c r="E8" s="40">
        <v>1160</v>
      </c>
      <c r="F8" s="40">
        <v>1314.3</v>
      </c>
      <c r="G8" s="41">
        <f t="shared" si="0"/>
        <v>119.48181818181818</v>
      </c>
      <c r="H8" s="41">
        <f t="shared" si="1"/>
        <v>1194.8181818181818</v>
      </c>
      <c r="I8" s="41">
        <f t="shared" si="2"/>
        <v>-34.818181818181756</v>
      </c>
      <c r="J8" s="42">
        <f t="shared" si="3"/>
        <v>-2.9140987597960841E-2</v>
      </c>
      <c r="K8" s="38" t="s">
        <v>16</v>
      </c>
    </row>
    <row r="9" spans="1:11" x14ac:dyDescent="0.25">
      <c r="A9" s="38" t="s">
        <v>159</v>
      </c>
      <c r="B9" s="38" t="s">
        <v>181</v>
      </c>
      <c r="C9" s="39" t="s">
        <v>185</v>
      </c>
      <c r="D9" s="38" t="s">
        <v>15</v>
      </c>
      <c r="E9" s="40">
        <v>1160</v>
      </c>
      <c r="F9" s="40">
        <v>1314.3</v>
      </c>
      <c r="G9" s="41">
        <f t="shared" si="0"/>
        <v>119.48181818181818</v>
      </c>
      <c r="H9" s="41">
        <f t="shared" si="1"/>
        <v>1194.8181818181818</v>
      </c>
      <c r="I9" s="41">
        <f t="shared" si="2"/>
        <v>-34.818181818181756</v>
      </c>
      <c r="J9" s="42">
        <f t="shared" si="3"/>
        <v>-2.9140987597960841E-2</v>
      </c>
      <c r="K9" s="38" t="s">
        <v>16</v>
      </c>
    </row>
    <row r="10" spans="1:11" x14ac:dyDescent="0.25">
      <c r="A10" s="38" t="s">
        <v>159</v>
      </c>
      <c r="B10" s="38" t="s">
        <v>181</v>
      </c>
      <c r="C10" s="39" t="s">
        <v>186</v>
      </c>
      <c r="D10" s="38" t="s">
        <v>15</v>
      </c>
      <c r="E10" s="40">
        <v>1160</v>
      </c>
      <c r="F10" s="40">
        <v>1314.3</v>
      </c>
      <c r="G10" s="41">
        <f t="shared" si="0"/>
        <v>119.48181818181818</v>
      </c>
      <c r="H10" s="41">
        <f t="shared" si="1"/>
        <v>1194.8181818181818</v>
      </c>
      <c r="I10" s="41">
        <f t="shared" si="2"/>
        <v>-34.818181818181756</v>
      </c>
      <c r="J10" s="42">
        <f t="shared" si="3"/>
        <v>-2.9140987597960841E-2</v>
      </c>
      <c r="K10" s="38" t="s">
        <v>16</v>
      </c>
    </row>
    <row r="11" spans="1:11" x14ac:dyDescent="0.25">
      <c r="A11" s="38" t="s">
        <v>159</v>
      </c>
      <c r="B11" s="38" t="s">
        <v>181</v>
      </c>
      <c r="C11" s="39" t="s">
        <v>187</v>
      </c>
      <c r="D11" s="38" t="s">
        <v>15</v>
      </c>
      <c r="E11" s="40">
        <v>1160</v>
      </c>
      <c r="F11" s="40">
        <v>1314.3</v>
      </c>
      <c r="G11" s="41">
        <f t="shared" si="0"/>
        <v>119.48181818181818</v>
      </c>
      <c r="H11" s="41">
        <f t="shared" si="1"/>
        <v>1194.8181818181818</v>
      </c>
      <c r="I11" s="41">
        <f t="shared" si="2"/>
        <v>-34.818181818181756</v>
      </c>
      <c r="J11" s="42">
        <f t="shared" si="3"/>
        <v>-2.9140987597960841E-2</v>
      </c>
      <c r="K11" s="38" t="s">
        <v>16</v>
      </c>
    </row>
    <row r="12" spans="1:11" x14ac:dyDescent="0.25">
      <c r="A12" s="38" t="s">
        <v>159</v>
      </c>
      <c r="B12" s="38" t="s">
        <v>181</v>
      </c>
      <c r="C12" s="39" t="s">
        <v>188</v>
      </c>
      <c r="D12" s="38" t="s">
        <v>15</v>
      </c>
      <c r="E12" s="40">
        <v>1160</v>
      </c>
      <c r="F12" s="40">
        <v>1314.3</v>
      </c>
      <c r="G12" s="41">
        <f t="shared" si="0"/>
        <v>119.48181818181818</v>
      </c>
      <c r="H12" s="41">
        <f t="shared" si="1"/>
        <v>1194.8181818181818</v>
      </c>
      <c r="I12" s="41">
        <f t="shared" si="2"/>
        <v>-34.818181818181756</v>
      </c>
      <c r="J12" s="42">
        <f t="shared" si="3"/>
        <v>-2.9140987597960841E-2</v>
      </c>
      <c r="K12" s="38" t="s">
        <v>16</v>
      </c>
    </row>
    <row r="13" spans="1:11" x14ac:dyDescent="0.25">
      <c r="A13" s="38" t="s">
        <v>159</v>
      </c>
      <c r="B13" s="38" t="s">
        <v>181</v>
      </c>
      <c r="C13" s="39" t="s">
        <v>189</v>
      </c>
      <c r="D13" s="38" t="s">
        <v>15</v>
      </c>
      <c r="E13" s="40">
        <v>1160</v>
      </c>
      <c r="F13" s="40">
        <v>1314.3</v>
      </c>
      <c r="G13" s="41">
        <f t="shared" si="0"/>
        <v>119.48181818181818</v>
      </c>
      <c r="H13" s="41">
        <f t="shared" si="1"/>
        <v>1194.8181818181818</v>
      </c>
      <c r="I13" s="41">
        <f t="shared" si="2"/>
        <v>-34.818181818181756</v>
      </c>
      <c r="J13" s="42">
        <f t="shared" si="3"/>
        <v>-2.9140987597960841E-2</v>
      </c>
      <c r="K13" s="38" t="s">
        <v>16</v>
      </c>
    </row>
    <row r="14" spans="1:11" x14ac:dyDescent="0.25">
      <c r="A14" s="38" t="s">
        <v>159</v>
      </c>
      <c r="B14" s="38" t="s">
        <v>181</v>
      </c>
      <c r="C14" s="39" t="s">
        <v>190</v>
      </c>
      <c r="D14" s="38" t="s">
        <v>15</v>
      </c>
      <c r="E14" s="40">
        <v>1160</v>
      </c>
      <c r="F14" s="40">
        <v>1314.3</v>
      </c>
      <c r="G14" s="41">
        <f t="shared" si="0"/>
        <v>119.48181818181818</v>
      </c>
      <c r="H14" s="41">
        <f t="shared" si="1"/>
        <v>1194.8181818181818</v>
      </c>
      <c r="I14" s="41">
        <f t="shared" si="2"/>
        <v>-34.818181818181756</v>
      </c>
      <c r="J14" s="42">
        <f t="shared" si="3"/>
        <v>-2.9140987597960841E-2</v>
      </c>
      <c r="K14" s="38" t="s">
        <v>16</v>
      </c>
    </row>
    <row r="15" spans="1:11" x14ac:dyDescent="0.25">
      <c r="A15" s="38" t="s">
        <v>159</v>
      </c>
      <c r="B15" s="38" t="s">
        <v>181</v>
      </c>
      <c r="C15" s="39" t="s">
        <v>191</v>
      </c>
      <c r="D15" s="38" t="s">
        <v>15</v>
      </c>
      <c r="E15" s="40">
        <v>1160</v>
      </c>
      <c r="F15" s="40">
        <v>1314.3</v>
      </c>
      <c r="G15" s="41">
        <f t="shared" si="0"/>
        <v>119.48181818181818</v>
      </c>
      <c r="H15" s="41">
        <f t="shared" si="1"/>
        <v>1194.8181818181818</v>
      </c>
      <c r="I15" s="41">
        <f t="shared" si="2"/>
        <v>-34.818181818181756</v>
      </c>
      <c r="J15" s="42">
        <f t="shared" si="3"/>
        <v>-2.9140987597960841E-2</v>
      </c>
      <c r="K15" s="38" t="s">
        <v>16</v>
      </c>
    </row>
    <row r="16" spans="1:11" x14ac:dyDescent="0.25">
      <c r="A16" s="38" t="s">
        <v>159</v>
      </c>
      <c r="B16" s="38" t="s">
        <v>181</v>
      </c>
      <c r="C16" s="39" t="s">
        <v>192</v>
      </c>
      <c r="D16" s="38" t="s">
        <v>15</v>
      </c>
      <c r="E16" s="40">
        <v>1160</v>
      </c>
      <c r="F16" s="40">
        <v>1314.3</v>
      </c>
      <c r="G16" s="41">
        <f t="shared" si="0"/>
        <v>119.48181818181818</v>
      </c>
      <c r="H16" s="41">
        <f t="shared" si="1"/>
        <v>1194.8181818181818</v>
      </c>
      <c r="I16" s="41">
        <f t="shared" si="2"/>
        <v>-34.818181818181756</v>
      </c>
      <c r="J16" s="42">
        <f t="shared" si="3"/>
        <v>-2.9140987597960841E-2</v>
      </c>
      <c r="K16" s="38" t="s">
        <v>16</v>
      </c>
    </row>
    <row r="17" spans="1:11" x14ac:dyDescent="0.25">
      <c r="A17" s="38" t="s">
        <v>159</v>
      </c>
      <c r="B17" s="38" t="s">
        <v>181</v>
      </c>
      <c r="C17" s="39" t="s">
        <v>193</v>
      </c>
      <c r="D17" s="38" t="s">
        <v>15</v>
      </c>
      <c r="E17" s="40">
        <v>1160</v>
      </c>
      <c r="F17" s="40">
        <v>1314.3</v>
      </c>
      <c r="G17" s="41">
        <f t="shared" si="0"/>
        <v>119.48181818181818</v>
      </c>
      <c r="H17" s="41">
        <f t="shared" si="1"/>
        <v>1194.8181818181818</v>
      </c>
      <c r="I17" s="41">
        <f t="shared" si="2"/>
        <v>-34.818181818181756</v>
      </c>
      <c r="J17" s="42">
        <f t="shared" si="3"/>
        <v>-2.9140987597960841E-2</v>
      </c>
      <c r="K17" s="38" t="s">
        <v>16</v>
      </c>
    </row>
    <row r="18" spans="1:11" x14ac:dyDescent="0.25">
      <c r="A18" s="23" t="s">
        <v>159</v>
      </c>
      <c r="B18" s="23" t="s">
        <v>194</v>
      </c>
      <c r="C18" s="24" t="s">
        <v>195</v>
      </c>
      <c r="D18" s="23" t="s">
        <v>15</v>
      </c>
      <c r="E18" s="25">
        <v>2100</v>
      </c>
      <c r="F18" s="25">
        <v>1504.52</v>
      </c>
      <c r="G18" s="36">
        <f t="shared" si="0"/>
        <v>136.77454545454546</v>
      </c>
      <c r="H18" s="36">
        <f t="shared" si="1"/>
        <v>1367.7454545454545</v>
      </c>
      <c r="I18" s="36">
        <f t="shared" si="2"/>
        <v>732.25454545454545</v>
      </c>
      <c r="J18" s="37">
        <f t="shared" si="3"/>
        <v>0.53537340813016776</v>
      </c>
      <c r="K18" s="23" t="s">
        <v>16</v>
      </c>
    </row>
    <row r="19" spans="1:11" x14ac:dyDescent="0.25">
      <c r="A19" s="23" t="s">
        <v>159</v>
      </c>
      <c r="B19" s="23" t="s">
        <v>194</v>
      </c>
      <c r="C19" s="24" t="s">
        <v>196</v>
      </c>
      <c r="D19" s="23" t="s">
        <v>15</v>
      </c>
      <c r="E19" s="25">
        <v>2100</v>
      </c>
      <c r="F19" s="25">
        <v>1504.52</v>
      </c>
      <c r="G19" s="36">
        <f t="shared" si="0"/>
        <v>136.77454545454546</v>
      </c>
      <c r="H19" s="36">
        <f t="shared" si="1"/>
        <v>1367.7454545454545</v>
      </c>
      <c r="I19" s="36">
        <f t="shared" si="2"/>
        <v>732.25454545454545</v>
      </c>
      <c r="J19" s="37">
        <f t="shared" si="3"/>
        <v>0.53537340813016776</v>
      </c>
      <c r="K19" s="23" t="s">
        <v>16</v>
      </c>
    </row>
    <row r="20" spans="1:11" x14ac:dyDescent="0.25">
      <c r="A20" s="23" t="s">
        <v>159</v>
      </c>
      <c r="B20" s="23" t="s">
        <v>194</v>
      </c>
      <c r="C20" s="24" t="s">
        <v>197</v>
      </c>
      <c r="D20" s="23" t="s">
        <v>15</v>
      </c>
      <c r="E20" s="25">
        <v>2100</v>
      </c>
      <c r="F20" s="25">
        <v>1504.52</v>
      </c>
      <c r="G20" s="36">
        <f t="shared" si="0"/>
        <v>136.77454545454546</v>
      </c>
      <c r="H20" s="36">
        <f t="shared" si="1"/>
        <v>1367.7454545454545</v>
      </c>
      <c r="I20" s="36">
        <f t="shared" si="2"/>
        <v>732.25454545454545</v>
      </c>
      <c r="J20" s="37">
        <f t="shared" si="3"/>
        <v>0.53537340813016776</v>
      </c>
      <c r="K20" s="23" t="s">
        <v>16</v>
      </c>
    </row>
    <row r="21" spans="1:11" x14ac:dyDescent="0.25">
      <c r="A21" s="23" t="s">
        <v>159</v>
      </c>
      <c r="B21" s="23" t="s">
        <v>194</v>
      </c>
      <c r="C21" s="24" t="s">
        <v>198</v>
      </c>
      <c r="D21" s="23" t="s">
        <v>15</v>
      </c>
      <c r="E21" s="25">
        <v>2100</v>
      </c>
      <c r="F21" s="25">
        <v>1504.52</v>
      </c>
      <c r="G21" s="36">
        <f t="shared" si="0"/>
        <v>136.77454545454546</v>
      </c>
      <c r="H21" s="36">
        <f t="shared" si="1"/>
        <v>1367.7454545454545</v>
      </c>
      <c r="I21" s="36">
        <f t="shared" si="2"/>
        <v>732.25454545454545</v>
      </c>
      <c r="J21" s="37">
        <f t="shared" si="3"/>
        <v>0.53537340813016776</v>
      </c>
      <c r="K21" s="23" t="s">
        <v>16</v>
      </c>
    </row>
    <row r="22" spans="1:11" x14ac:dyDescent="0.25">
      <c r="A22" s="23" t="s">
        <v>159</v>
      </c>
      <c r="B22" s="23" t="s">
        <v>194</v>
      </c>
      <c r="C22" s="24" t="s">
        <v>199</v>
      </c>
      <c r="D22" s="23" t="s">
        <v>15</v>
      </c>
      <c r="E22" s="25">
        <v>2100</v>
      </c>
      <c r="F22" s="25">
        <v>1504.52</v>
      </c>
      <c r="G22" s="36">
        <f t="shared" si="0"/>
        <v>136.77454545454546</v>
      </c>
      <c r="H22" s="36">
        <f t="shared" si="1"/>
        <v>1367.7454545454545</v>
      </c>
      <c r="I22" s="36">
        <f t="shared" si="2"/>
        <v>732.25454545454545</v>
      </c>
      <c r="J22" s="37">
        <f t="shared" si="3"/>
        <v>0.53537340813016776</v>
      </c>
      <c r="K22" s="23" t="s">
        <v>16</v>
      </c>
    </row>
    <row r="23" spans="1:11" x14ac:dyDescent="0.25">
      <c r="A23" s="23" t="s">
        <v>159</v>
      </c>
      <c r="B23" s="23" t="s">
        <v>194</v>
      </c>
      <c r="C23" s="24" t="s">
        <v>200</v>
      </c>
      <c r="D23" s="23" t="s">
        <v>15</v>
      </c>
      <c r="E23" s="25">
        <v>2100</v>
      </c>
      <c r="F23" s="25">
        <v>1504.52</v>
      </c>
      <c r="G23" s="36">
        <f t="shared" si="0"/>
        <v>136.77454545454546</v>
      </c>
      <c r="H23" s="36">
        <f t="shared" si="1"/>
        <v>1367.7454545454545</v>
      </c>
      <c r="I23" s="36">
        <f t="shared" si="2"/>
        <v>732.25454545454545</v>
      </c>
      <c r="J23" s="37">
        <f t="shared" si="3"/>
        <v>0.53537340813016776</v>
      </c>
      <c r="K23" s="23" t="s">
        <v>16</v>
      </c>
    </row>
    <row r="24" spans="1:11" x14ac:dyDescent="0.25">
      <c r="A24" s="23" t="s">
        <v>159</v>
      </c>
      <c r="B24" s="23" t="s">
        <v>194</v>
      </c>
      <c r="C24" s="24" t="s">
        <v>201</v>
      </c>
      <c r="D24" s="23" t="s">
        <v>15</v>
      </c>
      <c r="E24" s="25">
        <v>2100</v>
      </c>
      <c r="F24" s="25">
        <v>1569</v>
      </c>
      <c r="G24" s="36">
        <f t="shared" si="0"/>
        <v>142.63636363636363</v>
      </c>
      <c r="H24" s="36">
        <f t="shared" si="1"/>
        <v>1426.3636363636365</v>
      </c>
      <c r="I24" s="36">
        <f t="shared" si="2"/>
        <v>673.63636363636351</v>
      </c>
      <c r="J24" s="37">
        <f t="shared" si="3"/>
        <v>0.47227533460803045</v>
      </c>
      <c r="K24" s="23" t="s">
        <v>70</v>
      </c>
    </row>
    <row r="25" spans="1:11" x14ac:dyDescent="0.25">
      <c r="A25" s="23" t="s">
        <v>159</v>
      </c>
      <c r="B25" s="23" t="s">
        <v>194</v>
      </c>
      <c r="C25" s="24" t="s">
        <v>202</v>
      </c>
      <c r="D25" s="23" t="s">
        <v>15</v>
      </c>
      <c r="E25" s="25">
        <v>2100</v>
      </c>
      <c r="F25" s="25">
        <v>1569</v>
      </c>
      <c r="G25" s="36">
        <f t="shared" si="0"/>
        <v>142.63636363636363</v>
      </c>
      <c r="H25" s="36">
        <f t="shared" si="1"/>
        <v>1426.3636363636365</v>
      </c>
      <c r="I25" s="36">
        <f t="shared" si="2"/>
        <v>673.63636363636351</v>
      </c>
      <c r="J25" s="37">
        <f t="shared" si="3"/>
        <v>0.47227533460803045</v>
      </c>
      <c r="K25" s="23" t="s">
        <v>70</v>
      </c>
    </row>
    <row r="26" spans="1:11" x14ac:dyDescent="0.25">
      <c r="A26" s="23" t="s">
        <v>159</v>
      </c>
      <c r="B26" s="23" t="s">
        <v>194</v>
      </c>
      <c r="C26" s="24" t="s">
        <v>203</v>
      </c>
      <c r="D26" s="23" t="s">
        <v>15</v>
      </c>
      <c r="E26" s="25">
        <v>2100</v>
      </c>
      <c r="F26" s="25">
        <v>1504.52</v>
      </c>
      <c r="G26" s="36">
        <f t="shared" si="0"/>
        <v>136.77454545454546</v>
      </c>
      <c r="H26" s="36">
        <f t="shared" si="1"/>
        <v>1367.7454545454545</v>
      </c>
      <c r="I26" s="36">
        <f t="shared" si="2"/>
        <v>732.25454545454545</v>
      </c>
      <c r="J26" s="37">
        <f t="shared" si="3"/>
        <v>0.53537340813016776</v>
      </c>
      <c r="K26" s="23" t="s">
        <v>16</v>
      </c>
    </row>
    <row r="27" spans="1:11" x14ac:dyDescent="0.25">
      <c r="A27" s="23" t="s">
        <v>159</v>
      </c>
      <c r="B27" s="23" t="s">
        <v>194</v>
      </c>
      <c r="C27" s="24" t="s">
        <v>204</v>
      </c>
      <c r="D27" s="23" t="s">
        <v>15</v>
      </c>
      <c r="E27" s="25">
        <v>2100</v>
      </c>
      <c r="F27" s="25">
        <v>1569</v>
      </c>
      <c r="G27" s="36">
        <f t="shared" si="0"/>
        <v>142.63636363636363</v>
      </c>
      <c r="H27" s="36">
        <f t="shared" si="1"/>
        <v>1426.3636363636365</v>
      </c>
      <c r="I27" s="36">
        <f t="shared" si="2"/>
        <v>673.63636363636351</v>
      </c>
      <c r="J27" s="37">
        <f t="shared" si="3"/>
        <v>0.47227533460803045</v>
      </c>
      <c r="K27" s="23" t="s">
        <v>70</v>
      </c>
    </row>
    <row r="28" spans="1:11" x14ac:dyDescent="0.25">
      <c r="A28" s="23" t="s">
        <v>159</v>
      </c>
      <c r="B28" s="23" t="s">
        <v>194</v>
      </c>
      <c r="C28" s="24" t="s">
        <v>205</v>
      </c>
      <c r="D28" s="23" t="s">
        <v>15</v>
      </c>
      <c r="E28" s="25">
        <v>2100</v>
      </c>
      <c r="F28" s="25">
        <v>1504.52</v>
      </c>
      <c r="G28" s="36">
        <f t="shared" si="0"/>
        <v>136.77454545454546</v>
      </c>
      <c r="H28" s="36">
        <f t="shared" si="1"/>
        <v>1367.7454545454545</v>
      </c>
      <c r="I28" s="36">
        <f t="shared" si="2"/>
        <v>732.25454545454545</v>
      </c>
      <c r="J28" s="37">
        <f t="shared" si="3"/>
        <v>0.53537340813016776</v>
      </c>
      <c r="K28" s="23" t="s">
        <v>16</v>
      </c>
    </row>
    <row r="29" spans="1:11" x14ac:dyDescent="0.25">
      <c r="A29" s="23" t="s">
        <v>159</v>
      </c>
      <c r="B29" s="23" t="s">
        <v>194</v>
      </c>
      <c r="C29" s="24" t="s">
        <v>206</v>
      </c>
      <c r="D29" s="23" t="s">
        <v>15</v>
      </c>
      <c r="E29" s="25">
        <v>2100</v>
      </c>
      <c r="F29" s="25">
        <v>1569</v>
      </c>
      <c r="G29" s="36">
        <f t="shared" si="0"/>
        <v>142.63636363636363</v>
      </c>
      <c r="H29" s="36">
        <f t="shared" si="1"/>
        <v>1426.3636363636365</v>
      </c>
      <c r="I29" s="36">
        <f t="shared" si="2"/>
        <v>673.63636363636351</v>
      </c>
      <c r="J29" s="37">
        <f t="shared" si="3"/>
        <v>0.47227533460803045</v>
      </c>
      <c r="K29" s="23" t="s">
        <v>70</v>
      </c>
    </row>
    <row r="30" spans="1:11" x14ac:dyDescent="0.25">
      <c r="A30" s="29" t="s">
        <v>159</v>
      </c>
      <c r="B30" s="29" t="s">
        <v>58</v>
      </c>
      <c r="C30" s="30">
        <v>351459291102484</v>
      </c>
      <c r="D30" s="29" t="s">
        <v>65</v>
      </c>
      <c r="E30" s="31">
        <v>4910</v>
      </c>
      <c r="F30" s="31">
        <v>5346.81</v>
      </c>
      <c r="G30" s="32">
        <f t="shared" si="0"/>
        <v>486.07363636363641</v>
      </c>
      <c r="H30" s="32">
        <f t="shared" si="1"/>
        <v>4860.7363636363643</v>
      </c>
      <c r="I30" s="32">
        <f t="shared" si="2"/>
        <v>49.263636363635669</v>
      </c>
      <c r="J30" s="26">
        <f t="shared" si="3"/>
        <v>1.0135015083760079E-2</v>
      </c>
      <c r="K30" s="29" t="s">
        <v>70</v>
      </c>
    </row>
    <row r="31" spans="1:11" x14ac:dyDescent="0.25">
      <c r="A31" s="29" t="s">
        <v>159</v>
      </c>
      <c r="B31" s="29" t="s">
        <v>58</v>
      </c>
      <c r="C31" s="30">
        <v>351459291536186</v>
      </c>
      <c r="D31" s="29" t="s">
        <v>65</v>
      </c>
      <c r="E31" s="31">
        <v>4910</v>
      </c>
      <c r="F31" s="31">
        <v>5346.81</v>
      </c>
      <c r="G31" s="32">
        <f t="shared" si="0"/>
        <v>486.07363636363641</v>
      </c>
      <c r="H31" s="32">
        <f t="shared" si="1"/>
        <v>4860.7363636363643</v>
      </c>
      <c r="I31" s="32">
        <f t="shared" si="2"/>
        <v>49.263636363635669</v>
      </c>
      <c r="J31" s="26">
        <f t="shared" si="3"/>
        <v>1.0135015083760079E-2</v>
      </c>
      <c r="K31" s="29" t="s">
        <v>70</v>
      </c>
    </row>
    <row r="32" spans="1:11" x14ac:dyDescent="0.25">
      <c r="A32" s="29" t="s">
        <v>159</v>
      </c>
      <c r="B32" s="29" t="s">
        <v>58</v>
      </c>
      <c r="C32" s="30">
        <v>351459291595174</v>
      </c>
      <c r="D32" s="29" t="s">
        <v>65</v>
      </c>
      <c r="E32" s="31">
        <v>4910</v>
      </c>
      <c r="F32" s="31">
        <v>5346.81</v>
      </c>
      <c r="G32" s="32">
        <f t="shared" si="0"/>
        <v>486.07363636363641</v>
      </c>
      <c r="H32" s="32">
        <f t="shared" si="1"/>
        <v>4860.7363636363643</v>
      </c>
      <c r="I32" s="32">
        <f t="shared" si="2"/>
        <v>49.263636363635669</v>
      </c>
      <c r="J32" s="26">
        <f t="shared" si="3"/>
        <v>1.0135015083760079E-2</v>
      </c>
      <c r="K32" s="29" t="s">
        <v>70</v>
      </c>
    </row>
    <row r="33" spans="1:11" x14ac:dyDescent="0.25">
      <c r="A33" s="29" t="s">
        <v>159</v>
      </c>
      <c r="B33" s="29" t="s">
        <v>58</v>
      </c>
      <c r="C33" s="30">
        <v>351459291665647</v>
      </c>
      <c r="D33" s="29" t="s">
        <v>65</v>
      </c>
      <c r="E33" s="31">
        <v>4910</v>
      </c>
      <c r="F33" s="31">
        <v>5344.26</v>
      </c>
      <c r="G33" s="32">
        <f t="shared" si="0"/>
        <v>485.84181818181821</v>
      </c>
      <c r="H33" s="32">
        <f t="shared" si="1"/>
        <v>4858.4181818181823</v>
      </c>
      <c r="I33" s="32">
        <f t="shared" si="2"/>
        <v>51.581818181817653</v>
      </c>
      <c r="J33" s="26">
        <f t="shared" si="3"/>
        <v>1.061699842447774E-2</v>
      </c>
      <c r="K33" s="29" t="s">
        <v>70</v>
      </c>
    </row>
    <row r="34" spans="1:11" x14ac:dyDescent="0.25">
      <c r="A34" s="29" t="s">
        <v>159</v>
      </c>
      <c r="B34" s="29" t="s">
        <v>58</v>
      </c>
      <c r="C34" s="30">
        <v>351784398818892</v>
      </c>
      <c r="D34" s="29" t="s">
        <v>65</v>
      </c>
      <c r="E34" s="31">
        <v>4910</v>
      </c>
      <c r="F34" s="31">
        <v>5344.26</v>
      </c>
      <c r="G34" s="32">
        <f t="shared" si="0"/>
        <v>485.84181818181821</v>
      </c>
      <c r="H34" s="32">
        <f t="shared" si="1"/>
        <v>4858.4181818181823</v>
      </c>
      <c r="I34" s="32">
        <f t="shared" si="2"/>
        <v>51.581818181817653</v>
      </c>
      <c r="J34" s="26">
        <f t="shared" si="3"/>
        <v>1.061699842447774E-2</v>
      </c>
      <c r="K34" s="29" t="s">
        <v>70</v>
      </c>
    </row>
    <row r="35" spans="1:11" x14ac:dyDescent="0.25">
      <c r="A35" s="29" t="s">
        <v>159</v>
      </c>
      <c r="B35" s="29" t="s">
        <v>58</v>
      </c>
      <c r="C35" s="30">
        <v>351784398825822</v>
      </c>
      <c r="D35" s="29" t="s">
        <v>65</v>
      </c>
      <c r="E35" s="31">
        <v>4910</v>
      </c>
      <c r="F35" s="31">
        <v>5117.66</v>
      </c>
      <c r="G35" s="32">
        <f t="shared" si="0"/>
        <v>465.24181818181819</v>
      </c>
      <c r="H35" s="32">
        <f t="shared" si="1"/>
        <v>4652.4181818181814</v>
      </c>
      <c r="I35" s="32">
        <f t="shared" si="2"/>
        <v>257.58181818181856</v>
      </c>
      <c r="J35" s="26">
        <f t="shared" si="3"/>
        <v>5.5365147352501032E-2</v>
      </c>
      <c r="K35" s="29" t="s">
        <v>70</v>
      </c>
    </row>
    <row r="36" spans="1:11" x14ac:dyDescent="0.25">
      <c r="A36" s="29" t="s">
        <v>159</v>
      </c>
      <c r="B36" s="29" t="s">
        <v>58</v>
      </c>
      <c r="C36" s="30">
        <v>351784399238652</v>
      </c>
      <c r="D36" s="29" t="s">
        <v>65</v>
      </c>
      <c r="E36" s="31">
        <v>4910</v>
      </c>
      <c r="F36" s="31">
        <v>5344.26</v>
      </c>
      <c r="G36" s="32">
        <f t="shared" si="0"/>
        <v>485.84181818181821</v>
      </c>
      <c r="H36" s="32">
        <f t="shared" si="1"/>
        <v>4858.4181818181823</v>
      </c>
      <c r="I36" s="32">
        <f t="shared" si="2"/>
        <v>51.581818181817653</v>
      </c>
      <c r="J36" s="26">
        <f t="shared" si="3"/>
        <v>1.061699842447774E-2</v>
      </c>
      <c r="K36" s="29" t="s">
        <v>70</v>
      </c>
    </row>
    <row r="37" spans="1:11" x14ac:dyDescent="0.25">
      <c r="A37" s="29" t="s">
        <v>159</v>
      </c>
      <c r="B37" s="29" t="s">
        <v>58</v>
      </c>
      <c r="C37" s="30">
        <v>356722737206218</v>
      </c>
      <c r="D37" s="29" t="s">
        <v>65</v>
      </c>
      <c r="E37" s="31">
        <v>4910</v>
      </c>
      <c r="F37" s="31">
        <v>5346.81</v>
      </c>
      <c r="G37" s="32">
        <f t="shared" si="0"/>
        <v>486.07363636363641</v>
      </c>
      <c r="H37" s="32">
        <f t="shared" si="1"/>
        <v>4860.7363636363643</v>
      </c>
      <c r="I37" s="32">
        <f t="shared" si="2"/>
        <v>49.263636363635669</v>
      </c>
      <c r="J37" s="26">
        <f t="shared" si="3"/>
        <v>1.0135015083760079E-2</v>
      </c>
      <c r="K37" s="29" t="s">
        <v>70</v>
      </c>
    </row>
    <row r="38" spans="1:11" x14ac:dyDescent="0.25">
      <c r="A38" s="29" t="s">
        <v>159</v>
      </c>
      <c r="B38" s="29" t="s">
        <v>58</v>
      </c>
      <c r="C38" s="30">
        <v>356722738064210</v>
      </c>
      <c r="D38" s="29" t="s">
        <v>65</v>
      </c>
      <c r="E38" s="31">
        <v>4910</v>
      </c>
      <c r="F38" s="31">
        <v>5346.81</v>
      </c>
      <c r="G38" s="32">
        <f t="shared" si="0"/>
        <v>486.07363636363641</v>
      </c>
      <c r="H38" s="32">
        <f t="shared" si="1"/>
        <v>4860.7363636363643</v>
      </c>
      <c r="I38" s="32">
        <f t="shared" si="2"/>
        <v>49.263636363635669</v>
      </c>
      <c r="J38" s="26">
        <f t="shared" si="3"/>
        <v>1.0135015083760079E-2</v>
      </c>
      <c r="K38" s="29" t="s">
        <v>70</v>
      </c>
    </row>
    <row r="39" spans="1:11" x14ac:dyDescent="0.25">
      <c r="A39" s="29" t="s">
        <v>159</v>
      </c>
      <c r="B39" s="29" t="s">
        <v>58</v>
      </c>
      <c r="C39" s="30">
        <v>356722738303972</v>
      </c>
      <c r="D39" s="29" t="s">
        <v>65</v>
      </c>
      <c r="E39" s="31">
        <v>4910</v>
      </c>
      <c r="F39" s="31">
        <v>5346.81</v>
      </c>
      <c r="G39" s="32">
        <f t="shared" si="0"/>
        <v>486.07363636363641</v>
      </c>
      <c r="H39" s="32">
        <f t="shared" si="1"/>
        <v>4860.7363636363643</v>
      </c>
      <c r="I39" s="32">
        <f t="shared" si="2"/>
        <v>49.263636363635669</v>
      </c>
      <c r="J39" s="26">
        <f t="shared" si="3"/>
        <v>1.0135015083760079E-2</v>
      </c>
      <c r="K39" s="29" t="s">
        <v>70</v>
      </c>
    </row>
    <row r="40" spans="1:11" x14ac:dyDescent="0.25">
      <c r="A40" s="29" t="s">
        <v>159</v>
      </c>
      <c r="B40" s="29" t="s">
        <v>58</v>
      </c>
      <c r="C40" s="30">
        <v>356722738763399</v>
      </c>
      <c r="D40" s="29" t="s">
        <v>65</v>
      </c>
      <c r="E40" s="31">
        <v>4910</v>
      </c>
      <c r="F40" s="31">
        <v>5346.81</v>
      </c>
      <c r="G40" s="32">
        <f t="shared" si="0"/>
        <v>486.07363636363641</v>
      </c>
      <c r="H40" s="32">
        <f t="shared" si="1"/>
        <v>4860.7363636363643</v>
      </c>
      <c r="I40" s="32">
        <f t="shared" si="2"/>
        <v>49.263636363635669</v>
      </c>
      <c r="J40" s="26">
        <f t="shared" si="3"/>
        <v>1.0135015083760079E-2</v>
      </c>
      <c r="K40" s="29" t="s">
        <v>70</v>
      </c>
    </row>
    <row r="41" spans="1:11" x14ac:dyDescent="0.25">
      <c r="A41" s="29" t="s">
        <v>159</v>
      </c>
      <c r="B41" s="29" t="s">
        <v>58</v>
      </c>
      <c r="C41" s="30">
        <v>356722739522968</v>
      </c>
      <c r="D41" s="29" t="s">
        <v>65</v>
      </c>
      <c r="E41" s="31">
        <v>4910</v>
      </c>
      <c r="F41" s="31">
        <v>5117.66</v>
      </c>
      <c r="G41" s="32">
        <f t="shared" si="0"/>
        <v>465.24181818181819</v>
      </c>
      <c r="H41" s="32">
        <f t="shared" si="1"/>
        <v>4652.4181818181814</v>
      </c>
      <c r="I41" s="32">
        <f t="shared" si="2"/>
        <v>257.58181818181856</v>
      </c>
      <c r="J41" s="26">
        <f t="shared" si="3"/>
        <v>5.5365147352501032E-2</v>
      </c>
      <c r="K41" s="29" t="s">
        <v>70</v>
      </c>
    </row>
    <row r="42" spans="1:11" x14ac:dyDescent="0.25">
      <c r="A42" s="29" t="s">
        <v>159</v>
      </c>
      <c r="B42" s="29" t="s">
        <v>58</v>
      </c>
      <c r="C42" s="30">
        <v>356722739928744</v>
      </c>
      <c r="D42" s="29" t="s">
        <v>65</v>
      </c>
      <c r="E42" s="31">
        <v>4910</v>
      </c>
      <c r="F42" s="31">
        <v>5346.81</v>
      </c>
      <c r="G42" s="32">
        <f t="shared" si="0"/>
        <v>486.07363636363641</v>
      </c>
      <c r="H42" s="32">
        <f t="shared" si="1"/>
        <v>4860.7363636363643</v>
      </c>
      <c r="I42" s="32">
        <f t="shared" si="2"/>
        <v>49.263636363635669</v>
      </c>
      <c r="J42" s="26">
        <f t="shared" si="3"/>
        <v>1.0135015083760079E-2</v>
      </c>
      <c r="K42" s="29" t="s">
        <v>70</v>
      </c>
    </row>
    <row r="43" spans="1:11" x14ac:dyDescent="0.25">
      <c r="A43" s="29" t="s">
        <v>159</v>
      </c>
      <c r="B43" s="29" t="s">
        <v>58</v>
      </c>
      <c r="C43" s="30">
        <v>356722739939089</v>
      </c>
      <c r="D43" s="29" t="s">
        <v>65</v>
      </c>
      <c r="E43" s="31">
        <v>4910</v>
      </c>
      <c r="F43" s="31">
        <v>5344.26</v>
      </c>
      <c r="G43" s="32">
        <f t="shared" si="0"/>
        <v>485.84181818181821</v>
      </c>
      <c r="H43" s="32">
        <f t="shared" si="1"/>
        <v>4858.4181818181823</v>
      </c>
      <c r="I43" s="32">
        <f t="shared" si="2"/>
        <v>51.581818181817653</v>
      </c>
      <c r="J43" s="26">
        <f t="shared" si="3"/>
        <v>1.061699842447774E-2</v>
      </c>
      <c r="K43" s="29" t="s">
        <v>70</v>
      </c>
    </row>
    <row r="44" spans="1:11" x14ac:dyDescent="0.25">
      <c r="A44" s="29" t="s">
        <v>159</v>
      </c>
      <c r="B44" s="29" t="s">
        <v>58</v>
      </c>
      <c r="C44" s="30">
        <v>356908919081699</v>
      </c>
      <c r="D44" s="29" t="s">
        <v>65</v>
      </c>
      <c r="E44" s="31">
        <v>4910</v>
      </c>
      <c r="F44" s="31">
        <v>5346.81</v>
      </c>
      <c r="G44" s="32">
        <f t="shared" si="0"/>
        <v>486.07363636363641</v>
      </c>
      <c r="H44" s="32">
        <f t="shared" si="1"/>
        <v>4860.7363636363643</v>
      </c>
      <c r="I44" s="32">
        <f t="shared" si="2"/>
        <v>49.263636363635669</v>
      </c>
      <c r="J44" s="26">
        <f t="shared" si="3"/>
        <v>1.0135015083760079E-2</v>
      </c>
      <c r="K44" s="29" t="s">
        <v>70</v>
      </c>
    </row>
    <row r="45" spans="1:11" x14ac:dyDescent="0.25">
      <c r="A45" s="29" t="s">
        <v>159</v>
      </c>
      <c r="B45" s="29" t="s">
        <v>58</v>
      </c>
      <c r="C45" s="30">
        <v>356908919535272</v>
      </c>
      <c r="D45" s="29" t="s">
        <v>65</v>
      </c>
      <c r="E45" s="31">
        <v>4910</v>
      </c>
      <c r="F45" s="31">
        <v>5346.81</v>
      </c>
      <c r="G45" s="32">
        <f t="shared" si="0"/>
        <v>486.07363636363641</v>
      </c>
      <c r="H45" s="32">
        <f t="shared" si="1"/>
        <v>4860.7363636363643</v>
      </c>
      <c r="I45" s="32">
        <f t="shared" si="2"/>
        <v>49.263636363635669</v>
      </c>
      <c r="J45" s="26">
        <f t="shared" si="3"/>
        <v>1.0135015083760079E-2</v>
      </c>
      <c r="K45" s="29" t="s">
        <v>70</v>
      </c>
    </row>
    <row r="46" spans="1:11" x14ac:dyDescent="0.25">
      <c r="A46" s="29" t="s">
        <v>159</v>
      </c>
      <c r="B46" s="29" t="s">
        <v>58</v>
      </c>
      <c r="C46" s="30">
        <v>357739169838531</v>
      </c>
      <c r="D46" s="29" t="s">
        <v>65</v>
      </c>
      <c r="E46" s="31">
        <v>4910</v>
      </c>
      <c r="F46" s="31">
        <v>5344.26</v>
      </c>
      <c r="G46" s="32">
        <f t="shared" si="0"/>
        <v>485.84181818181821</v>
      </c>
      <c r="H46" s="32">
        <f t="shared" si="1"/>
        <v>4858.4181818181823</v>
      </c>
      <c r="I46" s="32">
        <f t="shared" si="2"/>
        <v>51.581818181817653</v>
      </c>
      <c r="J46" s="26">
        <f t="shared" si="3"/>
        <v>1.061699842447774E-2</v>
      </c>
      <c r="K46" s="29" t="s">
        <v>70</v>
      </c>
    </row>
    <row r="47" spans="1:11" x14ac:dyDescent="0.25">
      <c r="A47" s="23" t="s">
        <v>304</v>
      </c>
      <c r="B47" s="23" t="s">
        <v>747</v>
      </c>
      <c r="C47" s="24" t="s">
        <v>340</v>
      </c>
      <c r="D47" s="23" t="s">
        <v>15</v>
      </c>
      <c r="E47" s="25">
        <v>650</v>
      </c>
      <c r="F47" s="25">
        <v>17.63</v>
      </c>
      <c r="G47" s="36">
        <f t="shared" si="0"/>
        <v>1.6027272727272726</v>
      </c>
      <c r="H47" s="36">
        <f t="shared" si="1"/>
        <v>16.027272727272727</v>
      </c>
      <c r="I47" s="36">
        <f t="shared" si="2"/>
        <v>633.9727272727273</v>
      </c>
      <c r="J47" s="37">
        <f t="shared" si="3"/>
        <v>39.555870674985819</v>
      </c>
      <c r="K47" s="23" t="s">
        <v>70</v>
      </c>
    </row>
    <row r="48" spans="1:11" x14ac:dyDescent="0.25">
      <c r="A48" s="23" t="s">
        <v>304</v>
      </c>
      <c r="B48" s="23" t="s">
        <v>341</v>
      </c>
      <c r="C48" s="24" t="s">
        <v>342</v>
      </c>
      <c r="D48" s="23" t="s">
        <v>15</v>
      </c>
      <c r="E48" s="25">
        <v>5000</v>
      </c>
      <c r="F48" s="25">
        <v>3753.63</v>
      </c>
      <c r="G48" s="36">
        <f t="shared" si="0"/>
        <v>341.23909090909092</v>
      </c>
      <c r="H48" s="36">
        <f t="shared" si="1"/>
        <v>3412.3909090909092</v>
      </c>
      <c r="I48" s="36">
        <f t="shared" si="2"/>
        <v>1587.6090909090908</v>
      </c>
      <c r="J48" s="37">
        <f t="shared" si="3"/>
        <v>0.46524830630616226</v>
      </c>
      <c r="K48" s="23" t="s">
        <v>16</v>
      </c>
    </row>
    <row r="49" spans="1:11" x14ac:dyDescent="0.25">
      <c r="A49" s="29" t="s">
        <v>343</v>
      </c>
      <c r="B49" s="29" t="s">
        <v>408</v>
      </c>
      <c r="C49" s="30" t="s">
        <v>409</v>
      </c>
      <c r="D49" s="29" t="s">
        <v>15</v>
      </c>
      <c r="E49" s="31">
        <v>770</v>
      </c>
      <c r="F49" s="31">
        <v>841.5</v>
      </c>
      <c r="G49" s="32">
        <f t="shared" si="0"/>
        <v>76.5</v>
      </c>
      <c r="H49" s="32">
        <f t="shared" si="1"/>
        <v>765</v>
      </c>
      <c r="I49" s="32">
        <f t="shared" si="2"/>
        <v>5</v>
      </c>
      <c r="J49" s="26">
        <f t="shared" si="3"/>
        <v>6.5359477124183009E-3</v>
      </c>
      <c r="K49" s="29" t="s">
        <v>16</v>
      </c>
    </row>
    <row r="50" spans="1:11" x14ac:dyDescent="0.25">
      <c r="A50" s="29" t="s">
        <v>436</v>
      </c>
      <c r="B50" s="29" t="s">
        <v>13</v>
      </c>
      <c r="C50" s="30" t="s">
        <v>443</v>
      </c>
      <c r="D50" s="29" t="s">
        <v>444</v>
      </c>
      <c r="E50" s="31">
        <v>10184.4</v>
      </c>
      <c r="F50" s="31">
        <v>11202.84</v>
      </c>
      <c r="G50" s="32">
        <f t="shared" si="0"/>
        <v>1018.44</v>
      </c>
      <c r="H50" s="32">
        <f t="shared" si="1"/>
        <v>10184.4</v>
      </c>
      <c r="I50" s="32">
        <f t="shared" si="2"/>
        <v>0</v>
      </c>
      <c r="J50" s="26">
        <f t="shared" si="3"/>
        <v>0</v>
      </c>
      <c r="K50" s="29" t="s">
        <v>70</v>
      </c>
    </row>
    <row r="51" spans="1:11" x14ac:dyDescent="0.25">
      <c r="A51" s="29" t="s">
        <v>436</v>
      </c>
      <c r="B51" s="29" t="s">
        <v>445</v>
      </c>
      <c r="C51" s="30" t="s">
        <v>446</v>
      </c>
      <c r="D51" s="29" t="s">
        <v>444</v>
      </c>
      <c r="E51" s="31">
        <v>7638.3</v>
      </c>
      <c r="F51" s="31">
        <v>8402.1299999999992</v>
      </c>
      <c r="G51" s="32">
        <f t="shared" si="0"/>
        <v>763.82999999999993</v>
      </c>
      <c r="H51" s="32">
        <f t="shared" si="1"/>
        <v>7638.2999999999993</v>
      </c>
      <c r="I51" s="32">
        <f t="shared" si="2"/>
        <v>0</v>
      </c>
      <c r="J51" s="26">
        <f t="shared" si="3"/>
        <v>1.1907030383369706E-16</v>
      </c>
      <c r="K51" s="29" t="s">
        <v>70</v>
      </c>
    </row>
    <row r="52" spans="1:11" x14ac:dyDescent="0.25">
      <c r="A52" s="29" t="s">
        <v>436</v>
      </c>
      <c r="B52" s="29" t="s">
        <v>447</v>
      </c>
      <c r="C52" s="30" t="s">
        <v>448</v>
      </c>
      <c r="D52" s="29" t="s">
        <v>444</v>
      </c>
      <c r="E52" s="31">
        <v>1203.6099999999999</v>
      </c>
      <c r="F52" s="31">
        <v>1323.97</v>
      </c>
      <c r="G52" s="32">
        <f t="shared" si="0"/>
        <v>120.36090909090909</v>
      </c>
      <c r="H52" s="32">
        <f t="shared" si="1"/>
        <v>1203.609090909091</v>
      </c>
      <c r="I52" s="32">
        <f t="shared" si="2"/>
        <v>9.090909088627086E-4</v>
      </c>
      <c r="J52" s="26">
        <f t="shared" si="3"/>
        <v>7.5530412301561169E-7</v>
      </c>
      <c r="K52" s="29" t="s">
        <v>70</v>
      </c>
    </row>
    <row r="53" spans="1:11" x14ac:dyDescent="0.25">
      <c r="A53" s="29" t="s">
        <v>436</v>
      </c>
      <c r="B53" s="29" t="s">
        <v>447</v>
      </c>
      <c r="C53" s="30" t="s">
        <v>449</v>
      </c>
      <c r="D53" s="29" t="s">
        <v>444</v>
      </c>
      <c r="E53" s="31">
        <v>1203.6099999999999</v>
      </c>
      <c r="F53" s="31">
        <v>1323.97</v>
      </c>
      <c r="G53" s="32">
        <f t="shared" si="0"/>
        <v>120.36090909090909</v>
      </c>
      <c r="H53" s="32">
        <f t="shared" si="1"/>
        <v>1203.609090909091</v>
      </c>
      <c r="I53" s="32">
        <f t="shared" si="2"/>
        <v>9.090909088627086E-4</v>
      </c>
      <c r="J53" s="26">
        <f t="shared" si="3"/>
        <v>7.5530412301561169E-7</v>
      </c>
      <c r="K53" s="29" t="s">
        <v>70</v>
      </c>
    </row>
    <row r="54" spans="1:11" x14ac:dyDescent="0.25">
      <c r="A54" s="29" t="s">
        <v>436</v>
      </c>
      <c r="B54" s="29" t="s">
        <v>447</v>
      </c>
      <c r="C54" s="30" t="s">
        <v>450</v>
      </c>
      <c r="D54" s="29" t="s">
        <v>444</v>
      </c>
      <c r="E54" s="31">
        <v>1203.6099999999999</v>
      </c>
      <c r="F54" s="31">
        <v>1323.97</v>
      </c>
      <c r="G54" s="32">
        <f t="shared" si="0"/>
        <v>120.36090909090909</v>
      </c>
      <c r="H54" s="32">
        <f t="shared" si="1"/>
        <v>1203.609090909091</v>
      </c>
      <c r="I54" s="32">
        <f t="shared" si="2"/>
        <v>9.090909088627086E-4</v>
      </c>
      <c r="J54" s="26">
        <f t="shared" si="3"/>
        <v>7.5530412301561169E-7</v>
      </c>
      <c r="K54" s="29" t="s">
        <v>70</v>
      </c>
    </row>
    <row r="55" spans="1:11" x14ac:dyDescent="0.25">
      <c r="A55" s="29" t="s">
        <v>436</v>
      </c>
      <c r="B55" s="29" t="s">
        <v>451</v>
      </c>
      <c r="C55" s="30" t="s">
        <v>452</v>
      </c>
      <c r="D55" s="29" t="s">
        <v>444</v>
      </c>
      <c r="E55" s="31">
        <v>3240.49</v>
      </c>
      <c r="F55" s="31">
        <v>3564.54</v>
      </c>
      <c r="G55" s="32">
        <f t="shared" si="0"/>
        <v>324.04909090909092</v>
      </c>
      <c r="H55" s="32">
        <f t="shared" si="1"/>
        <v>3240.4909090909091</v>
      </c>
      <c r="I55" s="32">
        <f t="shared" si="2"/>
        <v>-9.0909090931745595E-4</v>
      </c>
      <c r="J55" s="26">
        <f t="shared" si="3"/>
        <v>-2.8054110775842085E-7</v>
      </c>
      <c r="K55" s="29" t="s">
        <v>70</v>
      </c>
    </row>
    <row r="56" spans="1:11" x14ac:dyDescent="0.25">
      <c r="A56" s="29" t="s">
        <v>436</v>
      </c>
      <c r="B56" s="29" t="s">
        <v>451</v>
      </c>
      <c r="C56" s="30" t="s">
        <v>453</v>
      </c>
      <c r="D56" s="29" t="s">
        <v>444</v>
      </c>
      <c r="E56" s="31">
        <v>3240.49</v>
      </c>
      <c r="F56" s="31">
        <v>3564.54</v>
      </c>
      <c r="G56" s="32">
        <f t="shared" ref="G56:G118" si="4">F56/11</f>
        <v>324.04909090909092</v>
      </c>
      <c r="H56" s="32">
        <f t="shared" ref="H56:H118" si="5">F56-G56</f>
        <v>3240.4909090909091</v>
      </c>
      <c r="I56" s="32">
        <f t="shared" ref="I56:I118" si="6">E56-H56</f>
        <v>-9.0909090931745595E-4</v>
      </c>
      <c r="J56" s="26">
        <f t="shared" ref="J56:J118" si="7">(E56-H56)/H56</f>
        <v>-2.8054110775842085E-7</v>
      </c>
      <c r="K56" s="29" t="s">
        <v>70</v>
      </c>
    </row>
    <row r="57" spans="1:11" x14ac:dyDescent="0.25">
      <c r="A57" s="29" t="s">
        <v>436</v>
      </c>
      <c r="B57" s="29" t="s">
        <v>460</v>
      </c>
      <c r="C57" s="30" t="s">
        <v>461</v>
      </c>
      <c r="D57" s="29" t="s">
        <v>444</v>
      </c>
      <c r="E57" s="31">
        <v>6825.85</v>
      </c>
      <c r="F57" s="31">
        <v>7508.44</v>
      </c>
      <c r="G57" s="32">
        <f t="shared" si="4"/>
        <v>682.58545454545447</v>
      </c>
      <c r="H57" s="32">
        <f t="shared" si="5"/>
        <v>6825.8545454545456</v>
      </c>
      <c r="I57" s="32">
        <f t="shared" si="6"/>
        <v>-4.5454545452230377E-3</v>
      </c>
      <c r="J57" s="26">
        <f t="shared" si="7"/>
        <v>-6.6591728771160739E-7</v>
      </c>
      <c r="K57" s="29" t="s">
        <v>70</v>
      </c>
    </row>
    <row r="58" spans="1:11" x14ac:dyDescent="0.25">
      <c r="A58" s="23" t="s">
        <v>436</v>
      </c>
      <c r="B58" s="23" t="s">
        <v>295</v>
      </c>
      <c r="C58" s="24" t="s">
        <v>462</v>
      </c>
      <c r="D58" s="23" t="s">
        <v>15</v>
      </c>
      <c r="E58" s="25">
        <v>1540</v>
      </c>
      <c r="F58" s="25">
        <v>1502.19</v>
      </c>
      <c r="G58" s="36">
        <f t="shared" si="4"/>
        <v>136.56272727272727</v>
      </c>
      <c r="H58" s="36">
        <f t="shared" si="5"/>
        <v>1365.6272727272728</v>
      </c>
      <c r="I58" s="36">
        <f t="shared" si="6"/>
        <v>174.37272727272716</v>
      </c>
      <c r="J58" s="37">
        <f t="shared" si="7"/>
        <v>0.12768691044408487</v>
      </c>
      <c r="K58" s="23" t="s">
        <v>70</v>
      </c>
    </row>
    <row r="59" spans="1:11" x14ac:dyDescent="0.25">
      <c r="A59" s="23" t="s">
        <v>436</v>
      </c>
      <c r="B59" s="23" t="s">
        <v>295</v>
      </c>
      <c r="C59" s="24" t="s">
        <v>463</v>
      </c>
      <c r="D59" s="23" t="s">
        <v>15</v>
      </c>
      <c r="E59" s="25">
        <v>1540</v>
      </c>
      <c r="F59" s="25">
        <v>1502.19</v>
      </c>
      <c r="G59" s="36">
        <f t="shared" si="4"/>
        <v>136.56272727272727</v>
      </c>
      <c r="H59" s="36">
        <f t="shared" si="5"/>
        <v>1365.6272727272728</v>
      </c>
      <c r="I59" s="36">
        <f t="shared" si="6"/>
        <v>174.37272727272716</v>
      </c>
      <c r="J59" s="37">
        <f t="shared" si="7"/>
        <v>0.12768691044408487</v>
      </c>
      <c r="K59" s="23" t="s">
        <v>70</v>
      </c>
    </row>
    <row r="60" spans="1:11" x14ac:dyDescent="0.25">
      <c r="A60" s="23" t="s">
        <v>436</v>
      </c>
      <c r="B60" s="23" t="s">
        <v>295</v>
      </c>
      <c r="C60" s="24" t="s">
        <v>464</v>
      </c>
      <c r="D60" s="23" t="s">
        <v>15</v>
      </c>
      <c r="E60" s="25">
        <v>1540</v>
      </c>
      <c r="F60" s="25">
        <v>1502.19</v>
      </c>
      <c r="G60" s="36">
        <f t="shared" si="4"/>
        <v>136.56272727272727</v>
      </c>
      <c r="H60" s="36">
        <f t="shared" si="5"/>
        <v>1365.6272727272728</v>
      </c>
      <c r="I60" s="36">
        <f t="shared" si="6"/>
        <v>174.37272727272716</v>
      </c>
      <c r="J60" s="37">
        <f t="shared" si="7"/>
        <v>0.12768691044408487</v>
      </c>
      <c r="K60" s="23" t="s">
        <v>70</v>
      </c>
    </row>
    <row r="61" spans="1:11" x14ac:dyDescent="0.25">
      <c r="A61" s="23" t="s">
        <v>436</v>
      </c>
      <c r="B61" s="23" t="s">
        <v>295</v>
      </c>
      <c r="C61" s="24" t="s">
        <v>465</v>
      </c>
      <c r="D61" s="23" t="s">
        <v>15</v>
      </c>
      <c r="E61" s="25">
        <v>1540</v>
      </c>
      <c r="F61" s="25">
        <v>1502.19</v>
      </c>
      <c r="G61" s="36">
        <f t="shared" si="4"/>
        <v>136.56272727272727</v>
      </c>
      <c r="H61" s="36">
        <f t="shared" si="5"/>
        <v>1365.6272727272728</v>
      </c>
      <c r="I61" s="36">
        <f t="shared" si="6"/>
        <v>174.37272727272716</v>
      </c>
      <c r="J61" s="37">
        <f t="shared" si="7"/>
        <v>0.12768691044408487</v>
      </c>
      <c r="K61" s="23" t="s">
        <v>70</v>
      </c>
    </row>
    <row r="62" spans="1:11" x14ac:dyDescent="0.25">
      <c r="A62" s="29" t="s">
        <v>487</v>
      </c>
      <c r="B62" s="29" t="s">
        <v>87</v>
      </c>
      <c r="C62" s="30">
        <v>353065382258628</v>
      </c>
      <c r="D62" s="29" t="s">
        <v>15</v>
      </c>
      <c r="E62" s="31">
        <v>3100</v>
      </c>
      <c r="F62" s="31">
        <v>3393</v>
      </c>
      <c r="G62" s="32">
        <f t="shared" si="4"/>
        <v>308.45454545454544</v>
      </c>
      <c r="H62" s="32">
        <f t="shared" si="5"/>
        <v>3084.5454545454545</v>
      </c>
      <c r="I62" s="32">
        <f t="shared" si="6"/>
        <v>15.454545454545496</v>
      </c>
      <c r="J62" s="26">
        <f t="shared" si="7"/>
        <v>5.0103153551429545E-3</v>
      </c>
      <c r="K62" s="29" t="s">
        <v>70</v>
      </c>
    </row>
    <row r="63" spans="1:11" x14ac:dyDescent="0.25">
      <c r="A63" s="29" t="s">
        <v>498</v>
      </c>
      <c r="B63" s="29" t="s">
        <v>341</v>
      </c>
      <c r="C63" s="30" t="s">
        <v>499</v>
      </c>
      <c r="D63" s="29" t="s">
        <v>15</v>
      </c>
      <c r="E63" s="31">
        <v>5200</v>
      </c>
      <c r="F63" s="31">
        <v>3753.63</v>
      </c>
      <c r="G63" s="32">
        <f t="shared" si="4"/>
        <v>341.23909090909092</v>
      </c>
      <c r="H63" s="32">
        <f t="shared" si="5"/>
        <v>3412.3909090909092</v>
      </c>
      <c r="I63" s="32">
        <f t="shared" si="6"/>
        <v>1787.6090909090908</v>
      </c>
      <c r="J63" s="26">
        <f t="shared" si="7"/>
        <v>0.52385823855840874</v>
      </c>
      <c r="K63" s="29" t="s">
        <v>16</v>
      </c>
    </row>
    <row r="64" spans="1:11" x14ac:dyDescent="0.25">
      <c r="A64" s="29" t="s">
        <v>500</v>
      </c>
      <c r="B64" s="29" t="s">
        <v>155</v>
      </c>
      <c r="C64" s="30" t="s">
        <v>501</v>
      </c>
      <c r="D64" s="29" t="s">
        <v>15</v>
      </c>
      <c r="E64" s="31">
        <v>2650</v>
      </c>
      <c r="F64" s="31">
        <v>2741.46</v>
      </c>
      <c r="G64" s="32">
        <f t="shared" si="4"/>
        <v>249.22363636363636</v>
      </c>
      <c r="H64" s="32">
        <f t="shared" si="5"/>
        <v>2492.2363636363639</v>
      </c>
      <c r="I64" s="32">
        <f t="shared" si="6"/>
        <v>157.76363636363612</v>
      </c>
      <c r="J64" s="26">
        <f t="shared" si="7"/>
        <v>6.3302036141326054E-2</v>
      </c>
      <c r="K64" s="29" t="s">
        <v>16</v>
      </c>
    </row>
    <row r="65" spans="1:11" x14ac:dyDescent="0.25">
      <c r="A65" s="29" t="s">
        <v>500</v>
      </c>
      <c r="B65" s="29" t="s">
        <v>155</v>
      </c>
      <c r="C65" s="30" t="s">
        <v>502</v>
      </c>
      <c r="D65" s="29" t="s">
        <v>15</v>
      </c>
      <c r="E65" s="31">
        <v>2650</v>
      </c>
      <c r="F65" s="31">
        <v>2741.46</v>
      </c>
      <c r="G65" s="32">
        <f t="shared" si="4"/>
        <v>249.22363636363636</v>
      </c>
      <c r="H65" s="32">
        <f t="shared" si="5"/>
        <v>2492.2363636363639</v>
      </c>
      <c r="I65" s="32">
        <f t="shared" si="6"/>
        <v>157.76363636363612</v>
      </c>
      <c r="J65" s="26">
        <f t="shared" si="7"/>
        <v>6.3302036141326054E-2</v>
      </c>
      <c r="K65" s="29" t="s">
        <v>16</v>
      </c>
    </row>
    <row r="66" spans="1:11" x14ac:dyDescent="0.25">
      <c r="A66" s="29" t="s">
        <v>500</v>
      </c>
      <c r="B66" s="29" t="s">
        <v>155</v>
      </c>
      <c r="C66" s="30" t="s">
        <v>503</v>
      </c>
      <c r="D66" s="29" t="s">
        <v>15</v>
      </c>
      <c r="E66" s="31">
        <v>2650</v>
      </c>
      <c r="F66" s="31">
        <v>2741.46</v>
      </c>
      <c r="G66" s="32">
        <f t="shared" si="4"/>
        <v>249.22363636363636</v>
      </c>
      <c r="H66" s="32">
        <f t="shared" si="5"/>
        <v>2492.2363636363639</v>
      </c>
      <c r="I66" s="32">
        <f t="shared" si="6"/>
        <v>157.76363636363612</v>
      </c>
      <c r="J66" s="26">
        <f t="shared" si="7"/>
        <v>6.3302036141326054E-2</v>
      </c>
      <c r="K66" s="29" t="s">
        <v>16</v>
      </c>
    </row>
    <row r="67" spans="1:11" x14ac:dyDescent="0.25">
      <c r="A67" s="29" t="s">
        <v>500</v>
      </c>
      <c r="B67" s="29" t="s">
        <v>155</v>
      </c>
      <c r="C67" s="30" t="s">
        <v>504</v>
      </c>
      <c r="D67" s="29" t="s">
        <v>15</v>
      </c>
      <c r="E67" s="31">
        <v>2650</v>
      </c>
      <c r="F67" s="31">
        <v>2741.46</v>
      </c>
      <c r="G67" s="32">
        <f t="shared" si="4"/>
        <v>249.22363636363636</v>
      </c>
      <c r="H67" s="32">
        <f t="shared" si="5"/>
        <v>2492.2363636363639</v>
      </c>
      <c r="I67" s="32">
        <f t="shared" si="6"/>
        <v>157.76363636363612</v>
      </c>
      <c r="J67" s="26">
        <f t="shared" si="7"/>
        <v>6.3302036141326054E-2</v>
      </c>
      <c r="K67" s="29" t="s">
        <v>16</v>
      </c>
    </row>
    <row r="68" spans="1:11" x14ac:dyDescent="0.25">
      <c r="A68" s="23" t="s">
        <v>500</v>
      </c>
      <c r="B68" s="23" t="s">
        <v>488</v>
      </c>
      <c r="C68" s="24" t="s">
        <v>505</v>
      </c>
      <c r="D68" s="23" t="s">
        <v>15</v>
      </c>
      <c r="E68" s="25">
        <v>1625</v>
      </c>
      <c r="F68" s="25">
        <v>1018.64</v>
      </c>
      <c r="G68" s="36">
        <f t="shared" si="4"/>
        <v>92.603636363636369</v>
      </c>
      <c r="H68" s="36">
        <f t="shared" si="5"/>
        <v>926.0363636363636</v>
      </c>
      <c r="I68" s="36">
        <f t="shared" si="6"/>
        <v>698.9636363636364</v>
      </c>
      <c r="J68" s="37">
        <f t="shared" si="7"/>
        <v>0.75479070132725989</v>
      </c>
      <c r="K68" s="23" t="s">
        <v>70</v>
      </c>
    </row>
    <row r="69" spans="1:11" x14ac:dyDescent="0.25">
      <c r="A69" s="23" t="s">
        <v>500</v>
      </c>
      <c r="B69" s="23" t="s">
        <v>488</v>
      </c>
      <c r="C69" s="24" t="s">
        <v>506</v>
      </c>
      <c r="D69" s="23" t="s">
        <v>15</v>
      </c>
      <c r="E69" s="25">
        <v>1625</v>
      </c>
      <c r="F69" s="25">
        <v>1018.64</v>
      </c>
      <c r="G69" s="36">
        <f t="shared" si="4"/>
        <v>92.603636363636369</v>
      </c>
      <c r="H69" s="36">
        <f t="shared" si="5"/>
        <v>926.0363636363636</v>
      </c>
      <c r="I69" s="36">
        <f t="shared" si="6"/>
        <v>698.9636363636364</v>
      </c>
      <c r="J69" s="37">
        <f t="shared" si="7"/>
        <v>0.75479070132725989</v>
      </c>
      <c r="K69" s="23" t="s">
        <v>70</v>
      </c>
    </row>
    <row r="70" spans="1:11" x14ac:dyDescent="0.25">
      <c r="A70" s="23" t="s">
        <v>500</v>
      </c>
      <c r="B70" s="23" t="s">
        <v>488</v>
      </c>
      <c r="C70" s="24" t="s">
        <v>507</v>
      </c>
      <c r="D70" s="23" t="s">
        <v>15</v>
      </c>
      <c r="E70" s="25">
        <v>1625</v>
      </c>
      <c r="F70" s="25">
        <v>1018.64</v>
      </c>
      <c r="G70" s="36">
        <f t="shared" si="4"/>
        <v>92.603636363636369</v>
      </c>
      <c r="H70" s="36">
        <f t="shared" si="5"/>
        <v>926.0363636363636</v>
      </c>
      <c r="I70" s="36">
        <f t="shared" si="6"/>
        <v>698.9636363636364</v>
      </c>
      <c r="J70" s="37">
        <f t="shared" si="7"/>
        <v>0.75479070132725989</v>
      </c>
      <c r="K70" s="23" t="s">
        <v>70</v>
      </c>
    </row>
    <row r="71" spans="1:11" x14ac:dyDescent="0.25">
      <c r="A71" s="23" t="s">
        <v>500</v>
      </c>
      <c r="B71" s="23" t="s">
        <v>488</v>
      </c>
      <c r="C71" s="24" t="s">
        <v>508</v>
      </c>
      <c r="D71" s="23" t="s">
        <v>15</v>
      </c>
      <c r="E71" s="25">
        <v>1625</v>
      </c>
      <c r="F71" s="25">
        <v>1018.64</v>
      </c>
      <c r="G71" s="36">
        <f t="shared" si="4"/>
        <v>92.603636363636369</v>
      </c>
      <c r="H71" s="36">
        <f t="shared" si="5"/>
        <v>926.0363636363636</v>
      </c>
      <c r="I71" s="36">
        <f t="shared" si="6"/>
        <v>698.9636363636364</v>
      </c>
      <c r="J71" s="37">
        <f t="shared" si="7"/>
        <v>0.75479070132725989</v>
      </c>
      <c r="K71" s="23" t="s">
        <v>70</v>
      </c>
    </row>
    <row r="72" spans="1:11" x14ac:dyDescent="0.25">
      <c r="A72" s="23" t="s">
        <v>500</v>
      </c>
      <c r="B72" s="23" t="s">
        <v>488</v>
      </c>
      <c r="C72" s="24" t="s">
        <v>509</v>
      </c>
      <c r="D72" s="23" t="s">
        <v>15</v>
      </c>
      <c r="E72" s="25">
        <v>1625</v>
      </c>
      <c r="F72" s="25">
        <v>1018.64</v>
      </c>
      <c r="G72" s="36">
        <f t="shared" si="4"/>
        <v>92.603636363636369</v>
      </c>
      <c r="H72" s="36">
        <f t="shared" si="5"/>
        <v>926.0363636363636</v>
      </c>
      <c r="I72" s="36">
        <f t="shared" si="6"/>
        <v>698.9636363636364</v>
      </c>
      <c r="J72" s="37">
        <f t="shared" si="7"/>
        <v>0.75479070132725989</v>
      </c>
      <c r="K72" s="23" t="s">
        <v>70</v>
      </c>
    </row>
    <row r="73" spans="1:11" x14ac:dyDescent="0.25">
      <c r="A73" s="23" t="s">
        <v>500</v>
      </c>
      <c r="B73" s="23" t="s">
        <v>488</v>
      </c>
      <c r="C73" s="24" t="s">
        <v>510</v>
      </c>
      <c r="D73" s="23" t="s">
        <v>15</v>
      </c>
      <c r="E73" s="25">
        <v>1625</v>
      </c>
      <c r="F73" s="25">
        <v>1018.64</v>
      </c>
      <c r="G73" s="36">
        <f t="shared" si="4"/>
        <v>92.603636363636369</v>
      </c>
      <c r="H73" s="36">
        <f t="shared" si="5"/>
        <v>926.0363636363636</v>
      </c>
      <c r="I73" s="36">
        <f t="shared" si="6"/>
        <v>698.9636363636364</v>
      </c>
      <c r="J73" s="37">
        <f t="shared" si="7"/>
        <v>0.75479070132725989</v>
      </c>
      <c r="K73" s="23" t="s">
        <v>70</v>
      </c>
    </row>
    <row r="74" spans="1:11" x14ac:dyDescent="0.25">
      <c r="A74" s="23" t="s">
        <v>500</v>
      </c>
      <c r="B74" s="23" t="s">
        <v>488</v>
      </c>
      <c r="C74" s="24" t="s">
        <v>511</v>
      </c>
      <c r="D74" s="23" t="s">
        <v>15</v>
      </c>
      <c r="E74" s="25">
        <v>1625</v>
      </c>
      <c r="F74" s="25">
        <v>1018.64</v>
      </c>
      <c r="G74" s="36">
        <f t="shared" si="4"/>
        <v>92.603636363636369</v>
      </c>
      <c r="H74" s="36">
        <f t="shared" si="5"/>
        <v>926.0363636363636</v>
      </c>
      <c r="I74" s="36">
        <f t="shared" si="6"/>
        <v>698.9636363636364</v>
      </c>
      <c r="J74" s="37">
        <f t="shared" si="7"/>
        <v>0.75479070132725989</v>
      </c>
      <c r="K74" s="23" t="s">
        <v>70</v>
      </c>
    </row>
    <row r="75" spans="1:11" x14ac:dyDescent="0.25">
      <c r="A75" s="23" t="s">
        <v>500</v>
      </c>
      <c r="B75" s="23" t="s">
        <v>488</v>
      </c>
      <c r="C75" s="24" t="s">
        <v>512</v>
      </c>
      <c r="D75" s="23" t="s">
        <v>15</v>
      </c>
      <c r="E75" s="25">
        <v>1625</v>
      </c>
      <c r="F75" s="25">
        <v>1018.64</v>
      </c>
      <c r="G75" s="36">
        <f t="shared" si="4"/>
        <v>92.603636363636369</v>
      </c>
      <c r="H75" s="36">
        <f t="shared" si="5"/>
        <v>926.0363636363636</v>
      </c>
      <c r="I75" s="36">
        <f t="shared" si="6"/>
        <v>698.9636363636364</v>
      </c>
      <c r="J75" s="37">
        <f t="shared" si="7"/>
        <v>0.75479070132725989</v>
      </c>
      <c r="K75" s="23" t="s">
        <v>70</v>
      </c>
    </row>
    <row r="76" spans="1:11" x14ac:dyDescent="0.25">
      <c r="A76" s="23" t="s">
        <v>500</v>
      </c>
      <c r="B76" s="23" t="s">
        <v>488</v>
      </c>
      <c r="C76" s="24" t="s">
        <v>513</v>
      </c>
      <c r="D76" s="23" t="s">
        <v>15</v>
      </c>
      <c r="E76" s="25">
        <v>1625</v>
      </c>
      <c r="F76" s="25">
        <v>1018.64</v>
      </c>
      <c r="G76" s="36">
        <f t="shared" si="4"/>
        <v>92.603636363636369</v>
      </c>
      <c r="H76" s="36">
        <f t="shared" si="5"/>
        <v>926.0363636363636</v>
      </c>
      <c r="I76" s="36">
        <f t="shared" si="6"/>
        <v>698.9636363636364</v>
      </c>
      <c r="J76" s="37">
        <f t="shared" si="7"/>
        <v>0.75479070132725989</v>
      </c>
      <c r="K76" s="23" t="s">
        <v>70</v>
      </c>
    </row>
    <row r="77" spans="1:11" x14ac:dyDescent="0.25">
      <c r="A77" s="23" t="s">
        <v>500</v>
      </c>
      <c r="B77" s="23" t="s">
        <v>488</v>
      </c>
      <c r="C77" s="24" t="s">
        <v>514</v>
      </c>
      <c r="D77" s="23" t="s">
        <v>15</v>
      </c>
      <c r="E77" s="25">
        <v>1625</v>
      </c>
      <c r="F77" s="25">
        <v>1018.64</v>
      </c>
      <c r="G77" s="36">
        <f t="shared" si="4"/>
        <v>92.603636363636369</v>
      </c>
      <c r="H77" s="36">
        <f t="shared" si="5"/>
        <v>926.0363636363636</v>
      </c>
      <c r="I77" s="36">
        <f t="shared" si="6"/>
        <v>698.9636363636364</v>
      </c>
      <c r="J77" s="37">
        <f t="shared" si="7"/>
        <v>0.75479070132725989</v>
      </c>
      <c r="K77" s="23" t="s">
        <v>70</v>
      </c>
    </row>
    <row r="78" spans="1:11" x14ac:dyDescent="0.25">
      <c r="A78" s="23" t="s">
        <v>515</v>
      </c>
      <c r="B78" s="23" t="s">
        <v>488</v>
      </c>
      <c r="C78" s="24" t="s">
        <v>518</v>
      </c>
      <c r="D78" s="23" t="s">
        <v>15</v>
      </c>
      <c r="E78" s="25">
        <v>1620</v>
      </c>
      <c r="F78" s="25">
        <v>1018.64</v>
      </c>
      <c r="G78" s="36">
        <f t="shared" si="4"/>
        <v>92.603636363636369</v>
      </c>
      <c r="H78" s="36">
        <f t="shared" si="5"/>
        <v>926.0363636363636</v>
      </c>
      <c r="I78" s="36">
        <f t="shared" si="6"/>
        <v>693.9636363636364</v>
      </c>
      <c r="J78" s="37">
        <f t="shared" si="7"/>
        <v>0.74939134532317608</v>
      </c>
      <c r="K78" s="23" t="s">
        <v>70</v>
      </c>
    </row>
    <row r="79" spans="1:11" x14ac:dyDescent="0.25">
      <c r="A79" s="23" t="s">
        <v>515</v>
      </c>
      <c r="B79" s="23" t="s">
        <v>488</v>
      </c>
      <c r="C79" s="24" t="s">
        <v>519</v>
      </c>
      <c r="D79" s="23" t="s">
        <v>15</v>
      </c>
      <c r="E79" s="25">
        <v>1620</v>
      </c>
      <c r="F79" s="25">
        <v>1018.64</v>
      </c>
      <c r="G79" s="36">
        <f t="shared" si="4"/>
        <v>92.603636363636369</v>
      </c>
      <c r="H79" s="36">
        <f t="shared" si="5"/>
        <v>926.0363636363636</v>
      </c>
      <c r="I79" s="36">
        <f t="shared" si="6"/>
        <v>693.9636363636364</v>
      </c>
      <c r="J79" s="37">
        <f t="shared" si="7"/>
        <v>0.74939134532317608</v>
      </c>
      <c r="K79" s="23" t="s">
        <v>70</v>
      </c>
    </row>
    <row r="80" spans="1:11" x14ac:dyDescent="0.25">
      <c r="A80" s="23" t="s">
        <v>515</v>
      </c>
      <c r="B80" s="23" t="s">
        <v>488</v>
      </c>
      <c r="C80" s="24" t="s">
        <v>520</v>
      </c>
      <c r="D80" s="23" t="s">
        <v>15</v>
      </c>
      <c r="E80" s="25">
        <v>1620</v>
      </c>
      <c r="F80" s="25">
        <v>1018.64</v>
      </c>
      <c r="G80" s="36">
        <f t="shared" si="4"/>
        <v>92.603636363636369</v>
      </c>
      <c r="H80" s="36">
        <f t="shared" si="5"/>
        <v>926.0363636363636</v>
      </c>
      <c r="I80" s="36">
        <f t="shared" si="6"/>
        <v>693.9636363636364</v>
      </c>
      <c r="J80" s="37">
        <f t="shared" si="7"/>
        <v>0.74939134532317608</v>
      </c>
      <c r="K80" s="23" t="s">
        <v>70</v>
      </c>
    </row>
    <row r="81" spans="1:11" x14ac:dyDescent="0.25">
      <c r="A81" s="23" t="s">
        <v>515</v>
      </c>
      <c r="B81" s="23" t="s">
        <v>488</v>
      </c>
      <c r="C81" s="24" t="s">
        <v>521</v>
      </c>
      <c r="D81" s="23" t="s">
        <v>15</v>
      </c>
      <c r="E81" s="25">
        <v>1620</v>
      </c>
      <c r="F81" s="25">
        <v>1018.64</v>
      </c>
      <c r="G81" s="36">
        <f t="shared" si="4"/>
        <v>92.603636363636369</v>
      </c>
      <c r="H81" s="36">
        <f t="shared" si="5"/>
        <v>926.0363636363636</v>
      </c>
      <c r="I81" s="36">
        <f t="shared" si="6"/>
        <v>693.9636363636364</v>
      </c>
      <c r="J81" s="37">
        <f t="shared" si="7"/>
        <v>0.74939134532317608</v>
      </c>
      <c r="K81" s="23" t="s">
        <v>70</v>
      </c>
    </row>
    <row r="82" spans="1:11" x14ac:dyDescent="0.25">
      <c r="A82" s="23" t="s">
        <v>515</v>
      </c>
      <c r="B82" s="23" t="s">
        <v>488</v>
      </c>
      <c r="C82" s="24" t="s">
        <v>522</v>
      </c>
      <c r="D82" s="23" t="s">
        <v>15</v>
      </c>
      <c r="E82" s="25">
        <v>1620</v>
      </c>
      <c r="F82" s="25">
        <v>1018.64</v>
      </c>
      <c r="G82" s="36">
        <f t="shared" si="4"/>
        <v>92.603636363636369</v>
      </c>
      <c r="H82" s="36">
        <f t="shared" si="5"/>
        <v>926.0363636363636</v>
      </c>
      <c r="I82" s="36">
        <f t="shared" si="6"/>
        <v>693.9636363636364</v>
      </c>
      <c r="J82" s="37">
        <f t="shared" si="7"/>
        <v>0.74939134532317608</v>
      </c>
      <c r="K82" s="23" t="s">
        <v>70</v>
      </c>
    </row>
    <row r="83" spans="1:11" x14ac:dyDescent="0.25">
      <c r="A83" s="23" t="s">
        <v>515</v>
      </c>
      <c r="B83" s="23" t="s">
        <v>488</v>
      </c>
      <c r="C83" s="24" t="s">
        <v>523</v>
      </c>
      <c r="D83" s="23" t="s">
        <v>15</v>
      </c>
      <c r="E83" s="25">
        <v>1620</v>
      </c>
      <c r="F83" s="25">
        <v>1018.64</v>
      </c>
      <c r="G83" s="36">
        <f t="shared" si="4"/>
        <v>92.603636363636369</v>
      </c>
      <c r="H83" s="36">
        <f t="shared" si="5"/>
        <v>926.0363636363636</v>
      </c>
      <c r="I83" s="36">
        <f t="shared" si="6"/>
        <v>693.9636363636364</v>
      </c>
      <c r="J83" s="37">
        <f t="shared" si="7"/>
        <v>0.74939134532317608</v>
      </c>
      <c r="K83" s="23" t="s">
        <v>70</v>
      </c>
    </row>
    <row r="84" spans="1:11" x14ac:dyDescent="0.25">
      <c r="A84" s="23" t="s">
        <v>515</v>
      </c>
      <c r="B84" s="23" t="s">
        <v>488</v>
      </c>
      <c r="C84" s="24" t="s">
        <v>524</v>
      </c>
      <c r="D84" s="23" t="s">
        <v>15</v>
      </c>
      <c r="E84" s="25">
        <v>1620</v>
      </c>
      <c r="F84" s="25">
        <v>1018.64</v>
      </c>
      <c r="G84" s="36">
        <f t="shared" si="4"/>
        <v>92.603636363636369</v>
      </c>
      <c r="H84" s="36">
        <f t="shared" si="5"/>
        <v>926.0363636363636</v>
      </c>
      <c r="I84" s="36">
        <f t="shared" si="6"/>
        <v>693.9636363636364</v>
      </c>
      <c r="J84" s="37">
        <f t="shared" si="7"/>
        <v>0.74939134532317608</v>
      </c>
      <c r="K84" s="23" t="s">
        <v>70</v>
      </c>
    </row>
    <row r="85" spans="1:11" x14ac:dyDescent="0.25">
      <c r="A85" s="23" t="s">
        <v>515</v>
      </c>
      <c r="B85" s="23" t="s">
        <v>488</v>
      </c>
      <c r="C85" s="24" t="s">
        <v>525</v>
      </c>
      <c r="D85" s="23" t="s">
        <v>15</v>
      </c>
      <c r="E85" s="25">
        <v>1620</v>
      </c>
      <c r="F85" s="25">
        <v>1018.64</v>
      </c>
      <c r="G85" s="36">
        <f t="shared" si="4"/>
        <v>92.603636363636369</v>
      </c>
      <c r="H85" s="36">
        <f t="shared" si="5"/>
        <v>926.0363636363636</v>
      </c>
      <c r="I85" s="36">
        <f t="shared" si="6"/>
        <v>693.9636363636364</v>
      </c>
      <c r="J85" s="37">
        <f t="shared" si="7"/>
        <v>0.74939134532317608</v>
      </c>
      <c r="K85" s="23" t="s">
        <v>70</v>
      </c>
    </row>
    <row r="86" spans="1:11" x14ac:dyDescent="0.25">
      <c r="A86" s="23" t="s">
        <v>515</v>
      </c>
      <c r="B86" s="23" t="s">
        <v>488</v>
      </c>
      <c r="C86" s="24" t="s">
        <v>526</v>
      </c>
      <c r="D86" s="23" t="s">
        <v>15</v>
      </c>
      <c r="E86" s="25">
        <v>1620</v>
      </c>
      <c r="F86" s="25">
        <v>1018.64</v>
      </c>
      <c r="G86" s="36">
        <f t="shared" si="4"/>
        <v>92.603636363636369</v>
      </c>
      <c r="H86" s="36">
        <f t="shared" si="5"/>
        <v>926.0363636363636</v>
      </c>
      <c r="I86" s="36">
        <f t="shared" si="6"/>
        <v>693.9636363636364</v>
      </c>
      <c r="J86" s="37">
        <f t="shared" si="7"/>
        <v>0.74939134532317608</v>
      </c>
      <c r="K86" s="23" t="s">
        <v>70</v>
      </c>
    </row>
    <row r="87" spans="1:11" x14ac:dyDescent="0.25">
      <c r="A87" s="23" t="s">
        <v>515</v>
      </c>
      <c r="B87" s="23" t="s">
        <v>488</v>
      </c>
      <c r="C87" s="24" t="s">
        <v>527</v>
      </c>
      <c r="D87" s="23" t="s">
        <v>15</v>
      </c>
      <c r="E87" s="25">
        <v>1620</v>
      </c>
      <c r="F87" s="25">
        <v>1018.64</v>
      </c>
      <c r="G87" s="36">
        <f t="shared" si="4"/>
        <v>92.603636363636369</v>
      </c>
      <c r="H87" s="36">
        <f t="shared" si="5"/>
        <v>926.0363636363636</v>
      </c>
      <c r="I87" s="36">
        <f t="shared" si="6"/>
        <v>693.9636363636364</v>
      </c>
      <c r="J87" s="37">
        <f t="shared" si="7"/>
        <v>0.74939134532317608</v>
      </c>
      <c r="K87" s="23" t="s">
        <v>70</v>
      </c>
    </row>
    <row r="88" spans="1:11" x14ac:dyDescent="0.25">
      <c r="A88" s="23" t="s">
        <v>515</v>
      </c>
      <c r="B88" s="23" t="s">
        <v>488</v>
      </c>
      <c r="C88" s="24" t="s">
        <v>528</v>
      </c>
      <c r="D88" s="23" t="s">
        <v>15</v>
      </c>
      <c r="E88" s="25">
        <v>1620</v>
      </c>
      <c r="F88" s="25">
        <v>1018.64</v>
      </c>
      <c r="G88" s="36">
        <f t="shared" si="4"/>
        <v>92.603636363636369</v>
      </c>
      <c r="H88" s="36">
        <f t="shared" si="5"/>
        <v>926.0363636363636</v>
      </c>
      <c r="I88" s="36">
        <f t="shared" si="6"/>
        <v>693.9636363636364</v>
      </c>
      <c r="J88" s="37">
        <f t="shared" si="7"/>
        <v>0.74939134532317608</v>
      </c>
      <c r="K88" s="23" t="s">
        <v>70</v>
      </c>
    </row>
    <row r="89" spans="1:11" x14ac:dyDescent="0.25">
      <c r="A89" s="23" t="s">
        <v>515</v>
      </c>
      <c r="B89" s="23" t="s">
        <v>488</v>
      </c>
      <c r="C89" s="24" t="s">
        <v>529</v>
      </c>
      <c r="D89" s="23" t="s">
        <v>15</v>
      </c>
      <c r="E89" s="25">
        <v>1620</v>
      </c>
      <c r="F89" s="25">
        <v>1018.64</v>
      </c>
      <c r="G89" s="36">
        <f t="shared" si="4"/>
        <v>92.603636363636369</v>
      </c>
      <c r="H89" s="36">
        <f t="shared" si="5"/>
        <v>926.0363636363636</v>
      </c>
      <c r="I89" s="36">
        <f t="shared" si="6"/>
        <v>693.9636363636364</v>
      </c>
      <c r="J89" s="37">
        <f t="shared" si="7"/>
        <v>0.74939134532317608</v>
      </c>
      <c r="K89" s="23" t="s">
        <v>70</v>
      </c>
    </row>
    <row r="90" spans="1:11" x14ac:dyDescent="0.25">
      <c r="A90" s="23" t="s">
        <v>515</v>
      </c>
      <c r="B90" s="23" t="s">
        <v>488</v>
      </c>
      <c r="C90" s="24" t="s">
        <v>530</v>
      </c>
      <c r="D90" s="23" t="s">
        <v>15</v>
      </c>
      <c r="E90" s="25">
        <v>1620</v>
      </c>
      <c r="F90" s="25">
        <v>1018.64</v>
      </c>
      <c r="G90" s="36">
        <f t="shared" si="4"/>
        <v>92.603636363636369</v>
      </c>
      <c r="H90" s="36">
        <f t="shared" si="5"/>
        <v>926.0363636363636</v>
      </c>
      <c r="I90" s="36">
        <f t="shared" si="6"/>
        <v>693.9636363636364</v>
      </c>
      <c r="J90" s="37">
        <f t="shared" si="7"/>
        <v>0.74939134532317608</v>
      </c>
      <c r="K90" s="23" t="s">
        <v>70</v>
      </c>
    </row>
    <row r="91" spans="1:11" x14ac:dyDescent="0.25">
      <c r="A91" s="23" t="s">
        <v>515</v>
      </c>
      <c r="B91" s="23" t="s">
        <v>488</v>
      </c>
      <c r="C91" s="24" t="s">
        <v>531</v>
      </c>
      <c r="D91" s="23" t="s">
        <v>15</v>
      </c>
      <c r="E91" s="25">
        <v>1620</v>
      </c>
      <c r="F91" s="25">
        <v>1018.64</v>
      </c>
      <c r="G91" s="36">
        <f t="shared" si="4"/>
        <v>92.603636363636369</v>
      </c>
      <c r="H91" s="36">
        <f t="shared" si="5"/>
        <v>926.0363636363636</v>
      </c>
      <c r="I91" s="36">
        <f t="shared" si="6"/>
        <v>693.9636363636364</v>
      </c>
      <c r="J91" s="37">
        <f t="shared" si="7"/>
        <v>0.74939134532317608</v>
      </c>
      <c r="K91" s="23" t="s">
        <v>70</v>
      </c>
    </row>
    <row r="92" spans="1:11" x14ac:dyDescent="0.25">
      <c r="A92" s="23" t="s">
        <v>515</v>
      </c>
      <c r="B92" s="23" t="s">
        <v>488</v>
      </c>
      <c r="C92" s="24" t="s">
        <v>532</v>
      </c>
      <c r="D92" s="23" t="s">
        <v>15</v>
      </c>
      <c r="E92" s="25">
        <v>1620</v>
      </c>
      <c r="F92" s="25">
        <v>1018.64</v>
      </c>
      <c r="G92" s="36">
        <f t="shared" si="4"/>
        <v>92.603636363636369</v>
      </c>
      <c r="H92" s="36">
        <f t="shared" si="5"/>
        <v>926.0363636363636</v>
      </c>
      <c r="I92" s="36">
        <f t="shared" si="6"/>
        <v>693.9636363636364</v>
      </c>
      <c r="J92" s="37">
        <f t="shared" si="7"/>
        <v>0.74939134532317608</v>
      </c>
      <c r="K92" s="23" t="s">
        <v>70</v>
      </c>
    </row>
    <row r="93" spans="1:11" x14ac:dyDescent="0.25">
      <c r="A93" s="23" t="s">
        <v>515</v>
      </c>
      <c r="B93" s="23" t="s">
        <v>488</v>
      </c>
      <c r="C93" s="24" t="s">
        <v>533</v>
      </c>
      <c r="D93" s="23" t="s">
        <v>15</v>
      </c>
      <c r="E93" s="25">
        <v>1620</v>
      </c>
      <c r="F93" s="25">
        <v>1018.64</v>
      </c>
      <c r="G93" s="36">
        <f t="shared" si="4"/>
        <v>92.603636363636369</v>
      </c>
      <c r="H93" s="36">
        <f t="shared" si="5"/>
        <v>926.0363636363636</v>
      </c>
      <c r="I93" s="36">
        <f t="shared" si="6"/>
        <v>693.9636363636364</v>
      </c>
      <c r="J93" s="37">
        <f t="shared" si="7"/>
        <v>0.74939134532317608</v>
      </c>
      <c r="K93" s="23" t="s">
        <v>70</v>
      </c>
    </row>
    <row r="94" spans="1:11" x14ac:dyDescent="0.25">
      <c r="A94" s="23" t="s">
        <v>515</v>
      </c>
      <c r="B94" s="23" t="s">
        <v>488</v>
      </c>
      <c r="C94" s="24" t="s">
        <v>534</v>
      </c>
      <c r="D94" s="23" t="s">
        <v>15</v>
      </c>
      <c r="E94" s="25">
        <v>1620</v>
      </c>
      <c r="F94" s="25">
        <v>1018.64</v>
      </c>
      <c r="G94" s="36">
        <f t="shared" si="4"/>
        <v>92.603636363636369</v>
      </c>
      <c r="H94" s="36">
        <f t="shared" si="5"/>
        <v>926.0363636363636</v>
      </c>
      <c r="I94" s="36">
        <f t="shared" si="6"/>
        <v>693.9636363636364</v>
      </c>
      <c r="J94" s="37">
        <f t="shared" si="7"/>
        <v>0.74939134532317608</v>
      </c>
      <c r="K94" s="23" t="s">
        <v>70</v>
      </c>
    </row>
    <row r="95" spans="1:11" x14ac:dyDescent="0.25">
      <c r="A95" s="23" t="s">
        <v>515</v>
      </c>
      <c r="B95" s="23" t="s">
        <v>488</v>
      </c>
      <c r="C95" s="24" t="s">
        <v>535</v>
      </c>
      <c r="D95" s="23" t="s">
        <v>15</v>
      </c>
      <c r="E95" s="25">
        <v>1620</v>
      </c>
      <c r="F95" s="25">
        <v>1018.64</v>
      </c>
      <c r="G95" s="36">
        <f t="shared" si="4"/>
        <v>92.603636363636369</v>
      </c>
      <c r="H95" s="36">
        <f t="shared" si="5"/>
        <v>926.0363636363636</v>
      </c>
      <c r="I95" s="36">
        <f t="shared" si="6"/>
        <v>693.9636363636364</v>
      </c>
      <c r="J95" s="37">
        <f t="shared" si="7"/>
        <v>0.74939134532317608</v>
      </c>
      <c r="K95" s="23" t="s">
        <v>70</v>
      </c>
    </row>
    <row r="96" spans="1:11" x14ac:dyDescent="0.25">
      <c r="A96" s="23" t="s">
        <v>515</v>
      </c>
      <c r="B96" s="23" t="s">
        <v>488</v>
      </c>
      <c r="C96" s="24" t="s">
        <v>536</v>
      </c>
      <c r="D96" s="23" t="s">
        <v>15</v>
      </c>
      <c r="E96" s="25">
        <v>1620</v>
      </c>
      <c r="F96" s="25">
        <v>1018.64</v>
      </c>
      <c r="G96" s="36">
        <f t="shared" si="4"/>
        <v>92.603636363636369</v>
      </c>
      <c r="H96" s="36">
        <f t="shared" si="5"/>
        <v>926.0363636363636</v>
      </c>
      <c r="I96" s="36">
        <f t="shared" si="6"/>
        <v>693.9636363636364</v>
      </c>
      <c r="J96" s="37">
        <f t="shared" si="7"/>
        <v>0.74939134532317608</v>
      </c>
      <c r="K96" s="23" t="s">
        <v>70</v>
      </c>
    </row>
    <row r="97" spans="1:11" x14ac:dyDescent="0.25">
      <c r="A97" s="23" t="s">
        <v>515</v>
      </c>
      <c r="B97" s="23" t="s">
        <v>488</v>
      </c>
      <c r="C97" s="24" t="s">
        <v>537</v>
      </c>
      <c r="D97" s="23" t="s">
        <v>15</v>
      </c>
      <c r="E97" s="25">
        <v>1620</v>
      </c>
      <c r="F97" s="25">
        <v>1018.64</v>
      </c>
      <c r="G97" s="36">
        <f t="shared" si="4"/>
        <v>92.603636363636369</v>
      </c>
      <c r="H97" s="36">
        <f t="shared" si="5"/>
        <v>926.0363636363636</v>
      </c>
      <c r="I97" s="36">
        <f t="shared" si="6"/>
        <v>693.9636363636364</v>
      </c>
      <c r="J97" s="37">
        <f t="shared" si="7"/>
        <v>0.74939134532317608</v>
      </c>
      <c r="K97" s="23" t="s">
        <v>70</v>
      </c>
    </row>
    <row r="98" spans="1:11" x14ac:dyDescent="0.25">
      <c r="A98" s="23" t="s">
        <v>515</v>
      </c>
      <c r="B98" s="23" t="s">
        <v>488</v>
      </c>
      <c r="C98" s="24" t="s">
        <v>538</v>
      </c>
      <c r="D98" s="23" t="s">
        <v>15</v>
      </c>
      <c r="E98" s="25">
        <v>1620</v>
      </c>
      <c r="F98" s="25">
        <v>1018.64</v>
      </c>
      <c r="G98" s="36">
        <f t="shared" si="4"/>
        <v>92.603636363636369</v>
      </c>
      <c r="H98" s="36">
        <f t="shared" si="5"/>
        <v>926.0363636363636</v>
      </c>
      <c r="I98" s="36">
        <f t="shared" si="6"/>
        <v>693.9636363636364</v>
      </c>
      <c r="J98" s="37">
        <f t="shared" si="7"/>
        <v>0.74939134532317608</v>
      </c>
      <c r="K98" s="23" t="s">
        <v>70</v>
      </c>
    </row>
    <row r="99" spans="1:11" x14ac:dyDescent="0.25">
      <c r="A99" s="23" t="s">
        <v>515</v>
      </c>
      <c r="B99" s="23" t="s">
        <v>488</v>
      </c>
      <c r="C99" s="24" t="s">
        <v>539</v>
      </c>
      <c r="D99" s="23" t="s">
        <v>15</v>
      </c>
      <c r="E99" s="25">
        <v>1620</v>
      </c>
      <c r="F99" s="25">
        <v>1018.64</v>
      </c>
      <c r="G99" s="36">
        <f t="shared" si="4"/>
        <v>92.603636363636369</v>
      </c>
      <c r="H99" s="36">
        <f t="shared" si="5"/>
        <v>926.0363636363636</v>
      </c>
      <c r="I99" s="36">
        <f t="shared" si="6"/>
        <v>693.9636363636364</v>
      </c>
      <c r="J99" s="37">
        <f t="shared" si="7"/>
        <v>0.74939134532317608</v>
      </c>
      <c r="K99" s="23" t="s">
        <v>70</v>
      </c>
    </row>
    <row r="100" spans="1:11" x14ac:dyDescent="0.25">
      <c r="A100" s="23" t="s">
        <v>515</v>
      </c>
      <c r="B100" s="23" t="s">
        <v>488</v>
      </c>
      <c r="C100" s="24" t="s">
        <v>540</v>
      </c>
      <c r="D100" s="23" t="s">
        <v>15</v>
      </c>
      <c r="E100" s="25">
        <v>1620</v>
      </c>
      <c r="F100" s="25">
        <v>1018.64</v>
      </c>
      <c r="G100" s="36">
        <f t="shared" si="4"/>
        <v>92.603636363636369</v>
      </c>
      <c r="H100" s="36">
        <f t="shared" si="5"/>
        <v>926.0363636363636</v>
      </c>
      <c r="I100" s="36">
        <f t="shared" si="6"/>
        <v>693.9636363636364</v>
      </c>
      <c r="J100" s="37">
        <f t="shared" si="7"/>
        <v>0.74939134532317608</v>
      </c>
      <c r="K100" s="23" t="s">
        <v>70</v>
      </c>
    </row>
    <row r="101" spans="1:11" x14ac:dyDescent="0.25">
      <c r="A101" s="23" t="s">
        <v>515</v>
      </c>
      <c r="B101" s="23" t="s">
        <v>488</v>
      </c>
      <c r="C101" s="24" t="s">
        <v>541</v>
      </c>
      <c r="D101" s="23" t="s">
        <v>15</v>
      </c>
      <c r="E101" s="25">
        <v>1620</v>
      </c>
      <c r="F101" s="25">
        <v>1018.64</v>
      </c>
      <c r="G101" s="36">
        <f t="shared" si="4"/>
        <v>92.603636363636369</v>
      </c>
      <c r="H101" s="36">
        <f t="shared" si="5"/>
        <v>926.0363636363636</v>
      </c>
      <c r="I101" s="36">
        <f t="shared" si="6"/>
        <v>693.9636363636364</v>
      </c>
      <c r="J101" s="37">
        <f t="shared" si="7"/>
        <v>0.74939134532317608</v>
      </c>
      <c r="K101" s="23" t="s">
        <v>70</v>
      </c>
    </row>
    <row r="102" spans="1:11" x14ac:dyDescent="0.25">
      <c r="A102" s="23" t="s">
        <v>515</v>
      </c>
      <c r="B102" s="23" t="s">
        <v>488</v>
      </c>
      <c r="C102" s="24" t="s">
        <v>542</v>
      </c>
      <c r="D102" s="23" t="s">
        <v>15</v>
      </c>
      <c r="E102" s="25">
        <v>1620</v>
      </c>
      <c r="F102" s="25">
        <v>1018.64</v>
      </c>
      <c r="G102" s="36">
        <f t="shared" si="4"/>
        <v>92.603636363636369</v>
      </c>
      <c r="H102" s="36">
        <f t="shared" si="5"/>
        <v>926.0363636363636</v>
      </c>
      <c r="I102" s="36">
        <f t="shared" si="6"/>
        <v>693.9636363636364</v>
      </c>
      <c r="J102" s="37">
        <f t="shared" si="7"/>
        <v>0.74939134532317608</v>
      </c>
      <c r="K102" s="23" t="s">
        <v>70</v>
      </c>
    </row>
    <row r="103" spans="1:11" x14ac:dyDescent="0.25">
      <c r="A103" s="23" t="s">
        <v>515</v>
      </c>
      <c r="B103" s="23" t="s">
        <v>488</v>
      </c>
      <c r="C103" s="24" t="s">
        <v>543</v>
      </c>
      <c r="D103" s="23" t="s">
        <v>15</v>
      </c>
      <c r="E103" s="25">
        <v>1620</v>
      </c>
      <c r="F103" s="25">
        <v>1018.64</v>
      </c>
      <c r="G103" s="36">
        <f t="shared" si="4"/>
        <v>92.603636363636369</v>
      </c>
      <c r="H103" s="36">
        <f t="shared" si="5"/>
        <v>926.0363636363636</v>
      </c>
      <c r="I103" s="36">
        <f t="shared" si="6"/>
        <v>693.9636363636364</v>
      </c>
      <c r="J103" s="37">
        <f t="shared" si="7"/>
        <v>0.74939134532317608</v>
      </c>
      <c r="K103" s="23" t="s">
        <v>70</v>
      </c>
    </row>
    <row r="104" spans="1:11" x14ac:dyDescent="0.25">
      <c r="A104" s="23" t="s">
        <v>515</v>
      </c>
      <c r="B104" s="23" t="s">
        <v>488</v>
      </c>
      <c r="C104" s="24" t="s">
        <v>544</v>
      </c>
      <c r="D104" s="23" t="s">
        <v>15</v>
      </c>
      <c r="E104" s="25">
        <v>1620</v>
      </c>
      <c r="F104" s="25">
        <v>1018.64</v>
      </c>
      <c r="G104" s="36">
        <f t="shared" si="4"/>
        <v>92.603636363636369</v>
      </c>
      <c r="H104" s="36">
        <f t="shared" si="5"/>
        <v>926.0363636363636</v>
      </c>
      <c r="I104" s="36">
        <f t="shared" si="6"/>
        <v>693.9636363636364</v>
      </c>
      <c r="J104" s="37">
        <f t="shared" si="7"/>
        <v>0.74939134532317608</v>
      </c>
      <c r="K104" s="23" t="s">
        <v>70</v>
      </c>
    </row>
    <row r="105" spans="1:11" x14ac:dyDescent="0.25">
      <c r="A105" s="23" t="s">
        <v>515</v>
      </c>
      <c r="B105" s="23" t="s">
        <v>488</v>
      </c>
      <c r="C105" s="24" t="s">
        <v>545</v>
      </c>
      <c r="D105" s="23" t="s">
        <v>15</v>
      </c>
      <c r="E105" s="25">
        <v>1620</v>
      </c>
      <c r="F105" s="25">
        <v>1018.64</v>
      </c>
      <c r="G105" s="36">
        <f t="shared" si="4"/>
        <v>92.603636363636369</v>
      </c>
      <c r="H105" s="36">
        <f t="shared" si="5"/>
        <v>926.0363636363636</v>
      </c>
      <c r="I105" s="36">
        <f t="shared" si="6"/>
        <v>693.9636363636364</v>
      </c>
      <c r="J105" s="37">
        <f t="shared" si="7"/>
        <v>0.74939134532317608</v>
      </c>
      <c r="K105" s="23" t="s">
        <v>70</v>
      </c>
    </row>
    <row r="106" spans="1:11" x14ac:dyDescent="0.25">
      <c r="A106" s="23" t="s">
        <v>515</v>
      </c>
      <c r="B106" s="23" t="s">
        <v>488</v>
      </c>
      <c r="C106" s="24" t="s">
        <v>546</v>
      </c>
      <c r="D106" s="23" t="s">
        <v>15</v>
      </c>
      <c r="E106" s="25">
        <v>1620</v>
      </c>
      <c r="F106" s="25">
        <v>1018.64</v>
      </c>
      <c r="G106" s="36">
        <f t="shared" si="4"/>
        <v>92.603636363636369</v>
      </c>
      <c r="H106" s="36">
        <f t="shared" si="5"/>
        <v>926.0363636363636</v>
      </c>
      <c r="I106" s="36">
        <f t="shared" si="6"/>
        <v>693.9636363636364</v>
      </c>
      <c r="J106" s="37">
        <f t="shared" si="7"/>
        <v>0.74939134532317608</v>
      </c>
      <c r="K106" s="23" t="s">
        <v>70</v>
      </c>
    </row>
    <row r="107" spans="1:11" x14ac:dyDescent="0.25">
      <c r="A107" s="23" t="s">
        <v>515</v>
      </c>
      <c r="B107" s="23" t="s">
        <v>488</v>
      </c>
      <c r="C107" s="24" t="s">
        <v>547</v>
      </c>
      <c r="D107" s="23" t="s">
        <v>15</v>
      </c>
      <c r="E107" s="25">
        <v>1620</v>
      </c>
      <c r="F107" s="25">
        <v>1018.64</v>
      </c>
      <c r="G107" s="36">
        <f t="shared" si="4"/>
        <v>92.603636363636369</v>
      </c>
      <c r="H107" s="36">
        <f t="shared" si="5"/>
        <v>926.0363636363636</v>
      </c>
      <c r="I107" s="36">
        <f t="shared" si="6"/>
        <v>693.9636363636364</v>
      </c>
      <c r="J107" s="37">
        <f t="shared" si="7"/>
        <v>0.74939134532317608</v>
      </c>
      <c r="K107" s="23" t="s">
        <v>70</v>
      </c>
    </row>
    <row r="108" spans="1:11" x14ac:dyDescent="0.25">
      <c r="A108" s="23" t="s">
        <v>515</v>
      </c>
      <c r="B108" s="23" t="s">
        <v>488</v>
      </c>
      <c r="C108" s="24" t="s">
        <v>548</v>
      </c>
      <c r="D108" s="23" t="s">
        <v>15</v>
      </c>
      <c r="E108" s="25">
        <v>1620</v>
      </c>
      <c r="F108" s="25">
        <v>1018.64</v>
      </c>
      <c r="G108" s="36">
        <f t="shared" si="4"/>
        <v>92.603636363636369</v>
      </c>
      <c r="H108" s="36">
        <f t="shared" si="5"/>
        <v>926.0363636363636</v>
      </c>
      <c r="I108" s="36">
        <f t="shared" si="6"/>
        <v>693.9636363636364</v>
      </c>
      <c r="J108" s="37">
        <f t="shared" si="7"/>
        <v>0.74939134532317608</v>
      </c>
      <c r="K108" s="23" t="s">
        <v>70</v>
      </c>
    </row>
    <row r="109" spans="1:11" x14ac:dyDescent="0.25">
      <c r="A109" s="23" t="s">
        <v>515</v>
      </c>
      <c r="B109" s="23" t="s">
        <v>488</v>
      </c>
      <c r="C109" s="24" t="s">
        <v>549</v>
      </c>
      <c r="D109" s="23" t="s">
        <v>15</v>
      </c>
      <c r="E109" s="25">
        <v>1620</v>
      </c>
      <c r="F109" s="25">
        <v>1018.64</v>
      </c>
      <c r="G109" s="36">
        <f t="shared" si="4"/>
        <v>92.603636363636369</v>
      </c>
      <c r="H109" s="36">
        <f t="shared" si="5"/>
        <v>926.0363636363636</v>
      </c>
      <c r="I109" s="36">
        <f t="shared" si="6"/>
        <v>693.9636363636364</v>
      </c>
      <c r="J109" s="37">
        <f t="shared" si="7"/>
        <v>0.74939134532317608</v>
      </c>
      <c r="K109" s="23" t="s">
        <v>70</v>
      </c>
    </row>
    <row r="110" spans="1:11" x14ac:dyDescent="0.25">
      <c r="A110" s="23" t="s">
        <v>515</v>
      </c>
      <c r="B110" s="23" t="s">
        <v>488</v>
      </c>
      <c r="C110" s="24" t="s">
        <v>550</v>
      </c>
      <c r="D110" s="23" t="s">
        <v>15</v>
      </c>
      <c r="E110" s="25">
        <v>1620</v>
      </c>
      <c r="F110" s="25">
        <v>1018.64</v>
      </c>
      <c r="G110" s="36">
        <f t="shared" si="4"/>
        <v>92.603636363636369</v>
      </c>
      <c r="H110" s="36">
        <f t="shared" si="5"/>
        <v>926.0363636363636</v>
      </c>
      <c r="I110" s="36">
        <f t="shared" si="6"/>
        <v>693.9636363636364</v>
      </c>
      <c r="J110" s="37">
        <f t="shared" si="7"/>
        <v>0.74939134532317608</v>
      </c>
      <c r="K110" s="23" t="s">
        <v>70</v>
      </c>
    </row>
    <row r="111" spans="1:11" x14ac:dyDescent="0.25">
      <c r="A111" s="23" t="s">
        <v>515</v>
      </c>
      <c r="B111" s="23" t="s">
        <v>488</v>
      </c>
      <c r="C111" s="24" t="s">
        <v>551</v>
      </c>
      <c r="D111" s="23" t="s">
        <v>15</v>
      </c>
      <c r="E111" s="25">
        <v>1620</v>
      </c>
      <c r="F111" s="25">
        <v>1018.64</v>
      </c>
      <c r="G111" s="36">
        <f t="shared" si="4"/>
        <v>92.603636363636369</v>
      </c>
      <c r="H111" s="36">
        <f t="shared" si="5"/>
        <v>926.0363636363636</v>
      </c>
      <c r="I111" s="36">
        <f t="shared" si="6"/>
        <v>693.9636363636364</v>
      </c>
      <c r="J111" s="37">
        <f t="shared" si="7"/>
        <v>0.74939134532317608</v>
      </c>
      <c r="K111" s="23" t="s">
        <v>70</v>
      </c>
    </row>
    <row r="112" spans="1:11" x14ac:dyDescent="0.25">
      <c r="A112" s="23" t="s">
        <v>515</v>
      </c>
      <c r="B112" s="23" t="s">
        <v>488</v>
      </c>
      <c r="C112" s="24" t="s">
        <v>552</v>
      </c>
      <c r="D112" s="23" t="s">
        <v>15</v>
      </c>
      <c r="E112" s="25">
        <v>1620</v>
      </c>
      <c r="F112" s="25">
        <v>1018.64</v>
      </c>
      <c r="G112" s="36">
        <f t="shared" si="4"/>
        <v>92.603636363636369</v>
      </c>
      <c r="H112" s="36">
        <f t="shared" si="5"/>
        <v>926.0363636363636</v>
      </c>
      <c r="I112" s="36">
        <f t="shared" si="6"/>
        <v>693.9636363636364</v>
      </c>
      <c r="J112" s="37">
        <f t="shared" si="7"/>
        <v>0.74939134532317608</v>
      </c>
      <c r="K112" s="23" t="s">
        <v>70</v>
      </c>
    </row>
    <row r="113" spans="1:11" x14ac:dyDescent="0.25">
      <c r="A113" s="23" t="s">
        <v>515</v>
      </c>
      <c r="B113" s="23" t="s">
        <v>488</v>
      </c>
      <c r="C113" s="24" t="s">
        <v>553</v>
      </c>
      <c r="D113" s="23" t="s">
        <v>15</v>
      </c>
      <c r="E113" s="25">
        <v>1620</v>
      </c>
      <c r="F113" s="25">
        <v>1018.64</v>
      </c>
      <c r="G113" s="36">
        <f t="shared" si="4"/>
        <v>92.603636363636369</v>
      </c>
      <c r="H113" s="36">
        <f t="shared" si="5"/>
        <v>926.0363636363636</v>
      </c>
      <c r="I113" s="36">
        <f t="shared" si="6"/>
        <v>693.9636363636364</v>
      </c>
      <c r="J113" s="37">
        <f t="shared" si="7"/>
        <v>0.74939134532317608</v>
      </c>
      <c r="K113" s="23" t="s">
        <v>70</v>
      </c>
    </row>
    <row r="114" spans="1:11" x14ac:dyDescent="0.25">
      <c r="A114" s="23" t="s">
        <v>515</v>
      </c>
      <c r="B114" s="23" t="s">
        <v>488</v>
      </c>
      <c r="C114" s="24" t="s">
        <v>554</v>
      </c>
      <c r="D114" s="23" t="s">
        <v>15</v>
      </c>
      <c r="E114" s="25">
        <v>1620</v>
      </c>
      <c r="F114" s="25">
        <v>1018.64</v>
      </c>
      <c r="G114" s="36">
        <f t="shared" si="4"/>
        <v>92.603636363636369</v>
      </c>
      <c r="H114" s="36">
        <f t="shared" si="5"/>
        <v>926.0363636363636</v>
      </c>
      <c r="I114" s="36">
        <f t="shared" si="6"/>
        <v>693.9636363636364</v>
      </c>
      <c r="J114" s="37">
        <f t="shared" si="7"/>
        <v>0.74939134532317608</v>
      </c>
      <c r="K114" s="23" t="s">
        <v>70</v>
      </c>
    </row>
    <row r="115" spans="1:11" x14ac:dyDescent="0.25">
      <c r="A115" s="23" t="s">
        <v>515</v>
      </c>
      <c r="B115" s="23" t="s">
        <v>488</v>
      </c>
      <c r="C115" s="24" t="s">
        <v>555</v>
      </c>
      <c r="D115" s="23" t="s">
        <v>15</v>
      </c>
      <c r="E115" s="25">
        <v>1620</v>
      </c>
      <c r="F115" s="25">
        <v>1018.64</v>
      </c>
      <c r="G115" s="36">
        <f t="shared" si="4"/>
        <v>92.603636363636369</v>
      </c>
      <c r="H115" s="36">
        <f t="shared" si="5"/>
        <v>926.0363636363636</v>
      </c>
      <c r="I115" s="36">
        <f t="shared" si="6"/>
        <v>693.9636363636364</v>
      </c>
      <c r="J115" s="37">
        <f t="shared" si="7"/>
        <v>0.74939134532317608</v>
      </c>
      <c r="K115" s="23" t="s">
        <v>70</v>
      </c>
    </row>
    <row r="116" spans="1:11" x14ac:dyDescent="0.25">
      <c r="A116" s="23" t="s">
        <v>515</v>
      </c>
      <c r="B116" s="23" t="s">
        <v>488</v>
      </c>
      <c r="C116" s="24" t="s">
        <v>556</v>
      </c>
      <c r="D116" s="23" t="s">
        <v>15</v>
      </c>
      <c r="E116" s="25">
        <v>1620</v>
      </c>
      <c r="F116" s="25">
        <v>1018.64</v>
      </c>
      <c r="G116" s="36">
        <f t="shared" si="4"/>
        <v>92.603636363636369</v>
      </c>
      <c r="H116" s="36">
        <f t="shared" si="5"/>
        <v>926.0363636363636</v>
      </c>
      <c r="I116" s="36">
        <f t="shared" si="6"/>
        <v>693.9636363636364</v>
      </c>
      <c r="J116" s="37">
        <f t="shared" si="7"/>
        <v>0.74939134532317608</v>
      </c>
      <c r="K116" s="23" t="s">
        <v>70</v>
      </c>
    </row>
    <row r="117" spans="1:11" x14ac:dyDescent="0.25">
      <c r="A117" s="23" t="s">
        <v>515</v>
      </c>
      <c r="B117" s="23" t="s">
        <v>488</v>
      </c>
      <c r="C117" s="24" t="s">
        <v>557</v>
      </c>
      <c r="D117" s="23" t="s">
        <v>15</v>
      </c>
      <c r="E117" s="25">
        <v>1620</v>
      </c>
      <c r="F117" s="25">
        <v>1018.64</v>
      </c>
      <c r="G117" s="36">
        <f t="shared" si="4"/>
        <v>92.603636363636369</v>
      </c>
      <c r="H117" s="36">
        <f t="shared" si="5"/>
        <v>926.0363636363636</v>
      </c>
      <c r="I117" s="36">
        <f t="shared" si="6"/>
        <v>693.9636363636364</v>
      </c>
      <c r="J117" s="37">
        <f t="shared" si="7"/>
        <v>0.74939134532317608</v>
      </c>
      <c r="K117" s="23" t="s">
        <v>70</v>
      </c>
    </row>
    <row r="118" spans="1:11" x14ac:dyDescent="0.25">
      <c r="A118" s="23" t="s">
        <v>515</v>
      </c>
      <c r="B118" s="23" t="s">
        <v>488</v>
      </c>
      <c r="C118" s="24" t="s">
        <v>558</v>
      </c>
      <c r="D118" s="23" t="s">
        <v>15</v>
      </c>
      <c r="E118" s="25">
        <v>1620</v>
      </c>
      <c r="F118" s="25">
        <v>1018.64</v>
      </c>
      <c r="G118" s="36">
        <f t="shared" si="4"/>
        <v>92.603636363636369</v>
      </c>
      <c r="H118" s="36">
        <f t="shared" si="5"/>
        <v>926.0363636363636</v>
      </c>
      <c r="I118" s="36">
        <f t="shared" si="6"/>
        <v>693.9636363636364</v>
      </c>
      <c r="J118" s="37">
        <f t="shared" si="7"/>
        <v>0.74939134532317608</v>
      </c>
      <c r="K118" s="23" t="s">
        <v>70</v>
      </c>
    </row>
    <row r="119" spans="1:11" x14ac:dyDescent="0.25">
      <c r="A119" s="23" t="s">
        <v>515</v>
      </c>
      <c r="B119" s="23" t="s">
        <v>488</v>
      </c>
      <c r="C119" s="24" t="s">
        <v>559</v>
      </c>
      <c r="D119" s="23" t="s">
        <v>15</v>
      </c>
      <c r="E119" s="25">
        <v>1620</v>
      </c>
      <c r="F119" s="25">
        <v>1018.64</v>
      </c>
      <c r="G119" s="36">
        <f t="shared" ref="G119:G182" si="8">F119/11</f>
        <v>92.603636363636369</v>
      </c>
      <c r="H119" s="36">
        <f t="shared" ref="H119:H182" si="9">F119-G119</f>
        <v>926.0363636363636</v>
      </c>
      <c r="I119" s="36">
        <f t="shared" ref="I119:I182" si="10">E119-H119</f>
        <v>693.9636363636364</v>
      </c>
      <c r="J119" s="37">
        <f t="shared" ref="J119:J182" si="11">(E119-H119)/H119</f>
        <v>0.74939134532317608</v>
      </c>
      <c r="K119" s="23" t="s">
        <v>70</v>
      </c>
    </row>
    <row r="120" spans="1:11" x14ac:dyDescent="0.25">
      <c r="A120" s="23" t="s">
        <v>515</v>
      </c>
      <c r="B120" s="23" t="s">
        <v>488</v>
      </c>
      <c r="C120" s="24" t="s">
        <v>560</v>
      </c>
      <c r="D120" s="23" t="s">
        <v>15</v>
      </c>
      <c r="E120" s="25">
        <v>1620</v>
      </c>
      <c r="F120" s="25">
        <v>1018.64</v>
      </c>
      <c r="G120" s="36">
        <f t="shared" si="8"/>
        <v>92.603636363636369</v>
      </c>
      <c r="H120" s="36">
        <f t="shared" si="9"/>
        <v>926.0363636363636</v>
      </c>
      <c r="I120" s="36">
        <f t="shared" si="10"/>
        <v>693.9636363636364</v>
      </c>
      <c r="J120" s="37">
        <f t="shared" si="11"/>
        <v>0.74939134532317608</v>
      </c>
      <c r="K120" s="23" t="s">
        <v>70</v>
      </c>
    </row>
    <row r="121" spans="1:11" x14ac:dyDescent="0.25">
      <c r="A121" s="23" t="s">
        <v>515</v>
      </c>
      <c r="B121" s="23" t="s">
        <v>488</v>
      </c>
      <c r="C121" s="24" t="s">
        <v>561</v>
      </c>
      <c r="D121" s="23" t="s">
        <v>15</v>
      </c>
      <c r="E121" s="25">
        <v>1620</v>
      </c>
      <c r="F121" s="25">
        <v>1018.64</v>
      </c>
      <c r="G121" s="36">
        <f t="shared" si="8"/>
        <v>92.603636363636369</v>
      </c>
      <c r="H121" s="36">
        <f t="shared" si="9"/>
        <v>926.0363636363636</v>
      </c>
      <c r="I121" s="36">
        <f t="shared" si="10"/>
        <v>693.9636363636364</v>
      </c>
      <c r="J121" s="37">
        <f t="shared" si="11"/>
        <v>0.74939134532317608</v>
      </c>
      <c r="K121" s="23" t="s">
        <v>70</v>
      </c>
    </row>
    <row r="122" spans="1:11" x14ac:dyDescent="0.25">
      <c r="A122" s="23" t="s">
        <v>515</v>
      </c>
      <c r="B122" s="23" t="s">
        <v>488</v>
      </c>
      <c r="C122" s="24" t="s">
        <v>562</v>
      </c>
      <c r="D122" s="23" t="s">
        <v>15</v>
      </c>
      <c r="E122" s="25">
        <v>1620</v>
      </c>
      <c r="F122" s="25">
        <v>1018.64</v>
      </c>
      <c r="G122" s="36">
        <f t="shared" si="8"/>
        <v>92.603636363636369</v>
      </c>
      <c r="H122" s="36">
        <f t="shared" si="9"/>
        <v>926.0363636363636</v>
      </c>
      <c r="I122" s="36">
        <f t="shared" si="10"/>
        <v>693.9636363636364</v>
      </c>
      <c r="J122" s="37">
        <f t="shared" si="11"/>
        <v>0.74939134532317608</v>
      </c>
      <c r="K122" s="23" t="s">
        <v>70</v>
      </c>
    </row>
    <row r="123" spans="1:11" x14ac:dyDescent="0.25">
      <c r="A123" s="23" t="s">
        <v>515</v>
      </c>
      <c r="B123" s="23" t="s">
        <v>488</v>
      </c>
      <c r="C123" s="24" t="s">
        <v>563</v>
      </c>
      <c r="D123" s="23" t="s">
        <v>15</v>
      </c>
      <c r="E123" s="25">
        <v>1620</v>
      </c>
      <c r="F123" s="25">
        <v>1018.64</v>
      </c>
      <c r="G123" s="36">
        <f t="shared" si="8"/>
        <v>92.603636363636369</v>
      </c>
      <c r="H123" s="36">
        <f t="shared" si="9"/>
        <v>926.0363636363636</v>
      </c>
      <c r="I123" s="36">
        <f t="shared" si="10"/>
        <v>693.9636363636364</v>
      </c>
      <c r="J123" s="37">
        <f t="shared" si="11"/>
        <v>0.74939134532317608</v>
      </c>
      <c r="K123" s="23" t="s">
        <v>70</v>
      </c>
    </row>
    <row r="124" spans="1:11" x14ac:dyDescent="0.25">
      <c r="A124" s="23" t="s">
        <v>515</v>
      </c>
      <c r="B124" s="23" t="s">
        <v>488</v>
      </c>
      <c r="C124" s="24" t="s">
        <v>564</v>
      </c>
      <c r="D124" s="23" t="s">
        <v>15</v>
      </c>
      <c r="E124" s="25">
        <v>1620</v>
      </c>
      <c r="F124" s="25">
        <v>1018.64</v>
      </c>
      <c r="G124" s="36">
        <f t="shared" si="8"/>
        <v>92.603636363636369</v>
      </c>
      <c r="H124" s="36">
        <f t="shared" si="9"/>
        <v>926.0363636363636</v>
      </c>
      <c r="I124" s="36">
        <f t="shared" si="10"/>
        <v>693.9636363636364</v>
      </c>
      <c r="J124" s="37">
        <f t="shared" si="11"/>
        <v>0.74939134532317608</v>
      </c>
      <c r="K124" s="23" t="s">
        <v>70</v>
      </c>
    </row>
    <row r="125" spans="1:11" x14ac:dyDescent="0.25">
      <c r="A125" s="23" t="s">
        <v>515</v>
      </c>
      <c r="B125" s="23" t="s">
        <v>488</v>
      </c>
      <c r="C125" s="24" t="s">
        <v>565</v>
      </c>
      <c r="D125" s="23" t="s">
        <v>15</v>
      </c>
      <c r="E125" s="25">
        <v>1620</v>
      </c>
      <c r="F125" s="25">
        <v>1018.64</v>
      </c>
      <c r="G125" s="36">
        <f t="shared" si="8"/>
        <v>92.603636363636369</v>
      </c>
      <c r="H125" s="36">
        <f t="shared" si="9"/>
        <v>926.0363636363636</v>
      </c>
      <c r="I125" s="36">
        <f t="shared" si="10"/>
        <v>693.9636363636364</v>
      </c>
      <c r="J125" s="37">
        <f t="shared" si="11"/>
        <v>0.74939134532317608</v>
      </c>
      <c r="K125" s="23" t="s">
        <v>70</v>
      </c>
    </row>
    <row r="126" spans="1:11" x14ac:dyDescent="0.25">
      <c r="A126" s="23" t="s">
        <v>515</v>
      </c>
      <c r="B126" s="23" t="s">
        <v>488</v>
      </c>
      <c r="C126" s="24" t="s">
        <v>566</v>
      </c>
      <c r="D126" s="23" t="s">
        <v>15</v>
      </c>
      <c r="E126" s="25">
        <v>1620</v>
      </c>
      <c r="F126" s="25">
        <v>1018.64</v>
      </c>
      <c r="G126" s="36">
        <f t="shared" si="8"/>
        <v>92.603636363636369</v>
      </c>
      <c r="H126" s="36">
        <f t="shared" si="9"/>
        <v>926.0363636363636</v>
      </c>
      <c r="I126" s="36">
        <f t="shared" si="10"/>
        <v>693.9636363636364</v>
      </c>
      <c r="J126" s="37">
        <f t="shared" si="11"/>
        <v>0.74939134532317608</v>
      </c>
      <c r="K126" s="23" t="s">
        <v>70</v>
      </c>
    </row>
    <row r="127" spans="1:11" x14ac:dyDescent="0.25">
      <c r="A127" s="23" t="s">
        <v>515</v>
      </c>
      <c r="B127" s="23" t="s">
        <v>488</v>
      </c>
      <c r="C127" s="24" t="s">
        <v>567</v>
      </c>
      <c r="D127" s="23" t="s">
        <v>15</v>
      </c>
      <c r="E127" s="25">
        <v>1620</v>
      </c>
      <c r="F127" s="25">
        <v>1018.64</v>
      </c>
      <c r="G127" s="36">
        <f t="shared" si="8"/>
        <v>92.603636363636369</v>
      </c>
      <c r="H127" s="36">
        <f t="shared" si="9"/>
        <v>926.0363636363636</v>
      </c>
      <c r="I127" s="36">
        <f t="shared" si="10"/>
        <v>693.9636363636364</v>
      </c>
      <c r="J127" s="37">
        <f t="shared" si="11"/>
        <v>0.74939134532317608</v>
      </c>
      <c r="K127" s="23" t="s">
        <v>70</v>
      </c>
    </row>
    <row r="128" spans="1:11" x14ac:dyDescent="0.25">
      <c r="A128" s="23" t="s">
        <v>515</v>
      </c>
      <c r="B128" s="23" t="s">
        <v>488</v>
      </c>
      <c r="C128" s="24" t="s">
        <v>568</v>
      </c>
      <c r="D128" s="23" t="s">
        <v>15</v>
      </c>
      <c r="E128" s="25">
        <v>1620</v>
      </c>
      <c r="F128" s="25">
        <v>1018.64</v>
      </c>
      <c r="G128" s="36">
        <f t="shared" si="8"/>
        <v>92.603636363636369</v>
      </c>
      <c r="H128" s="36">
        <f t="shared" si="9"/>
        <v>926.0363636363636</v>
      </c>
      <c r="I128" s="36">
        <f t="shared" si="10"/>
        <v>693.9636363636364</v>
      </c>
      <c r="J128" s="37">
        <f t="shared" si="11"/>
        <v>0.74939134532317608</v>
      </c>
      <c r="K128" s="23" t="s">
        <v>70</v>
      </c>
    </row>
    <row r="129" spans="1:11" x14ac:dyDescent="0.25">
      <c r="A129" s="23" t="s">
        <v>515</v>
      </c>
      <c r="B129" s="23" t="s">
        <v>488</v>
      </c>
      <c r="C129" s="24" t="s">
        <v>569</v>
      </c>
      <c r="D129" s="23" t="s">
        <v>15</v>
      </c>
      <c r="E129" s="25">
        <v>1620</v>
      </c>
      <c r="F129" s="25">
        <v>1018.64</v>
      </c>
      <c r="G129" s="36">
        <f t="shared" si="8"/>
        <v>92.603636363636369</v>
      </c>
      <c r="H129" s="36">
        <f t="shared" si="9"/>
        <v>926.0363636363636</v>
      </c>
      <c r="I129" s="36">
        <f t="shared" si="10"/>
        <v>693.9636363636364</v>
      </c>
      <c r="J129" s="37">
        <f t="shared" si="11"/>
        <v>0.74939134532317608</v>
      </c>
      <c r="K129" s="23" t="s">
        <v>70</v>
      </c>
    </row>
    <row r="130" spans="1:11" x14ac:dyDescent="0.25">
      <c r="A130" s="23" t="s">
        <v>515</v>
      </c>
      <c r="B130" s="23" t="s">
        <v>488</v>
      </c>
      <c r="C130" s="24" t="s">
        <v>570</v>
      </c>
      <c r="D130" s="23" t="s">
        <v>15</v>
      </c>
      <c r="E130" s="25">
        <v>1620</v>
      </c>
      <c r="F130" s="25">
        <v>1018.64</v>
      </c>
      <c r="G130" s="36">
        <f t="shared" si="8"/>
        <v>92.603636363636369</v>
      </c>
      <c r="H130" s="36">
        <f t="shared" si="9"/>
        <v>926.0363636363636</v>
      </c>
      <c r="I130" s="36">
        <f t="shared" si="10"/>
        <v>693.9636363636364</v>
      </c>
      <c r="J130" s="37">
        <f t="shared" si="11"/>
        <v>0.74939134532317608</v>
      </c>
      <c r="K130" s="23" t="s">
        <v>70</v>
      </c>
    </row>
    <row r="131" spans="1:11" x14ac:dyDescent="0.25">
      <c r="A131" s="23" t="s">
        <v>515</v>
      </c>
      <c r="B131" s="23" t="s">
        <v>488</v>
      </c>
      <c r="C131" s="24" t="s">
        <v>571</v>
      </c>
      <c r="D131" s="23" t="s">
        <v>15</v>
      </c>
      <c r="E131" s="25">
        <v>1620</v>
      </c>
      <c r="F131" s="25">
        <v>1018.64</v>
      </c>
      <c r="G131" s="36">
        <f t="shared" si="8"/>
        <v>92.603636363636369</v>
      </c>
      <c r="H131" s="36">
        <f t="shared" si="9"/>
        <v>926.0363636363636</v>
      </c>
      <c r="I131" s="36">
        <f t="shared" si="10"/>
        <v>693.9636363636364</v>
      </c>
      <c r="J131" s="37">
        <f t="shared" si="11"/>
        <v>0.74939134532317608</v>
      </c>
      <c r="K131" s="23" t="s">
        <v>70</v>
      </c>
    </row>
    <row r="132" spans="1:11" x14ac:dyDescent="0.25">
      <c r="A132" s="23" t="s">
        <v>515</v>
      </c>
      <c r="B132" s="23" t="s">
        <v>488</v>
      </c>
      <c r="C132" s="24" t="s">
        <v>572</v>
      </c>
      <c r="D132" s="23" t="s">
        <v>15</v>
      </c>
      <c r="E132" s="25">
        <v>1620</v>
      </c>
      <c r="F132" s="25">
        <v>1018.64</v>
      </c>
      <c r="G132" s="36">
        <f t="shared" si="8"/>
        <v>92.603636363636369</v>
      </c>
      <c r="H132" s="36">
        <f t="shared" si="9"/>
        <v>926.0363636363636</v>
      </c>
      <c r="I132" s="36">
        <f t="shared" si="10"/>
        <v>693.9636363636364</v>
      </c>
      <c r="J132" s="37">
        <f t="shared" si="11"/>
        <v>0.74939134532317608</v>
      </c>
      <c r="K132" s="23" t="s">
        <v>70</v>
      </c>
    </row>
    <row r="133" spans="1:11" x14ac:dyDescent="0.25">
      <c r="A133" s="23" t="s">
        <v>515</v>
      </c>
      <c r="B133" s="23" t="s">
        <v>488</v>
      </c>
      <c r="C133" s="24" t="s">
        <v>573</v>
      </c>
      <c r="D133" s="23" t="s">
        <v>15</v>
      </c>
      <c r="E133" s="25">
        <v>1620</v>
      </c>
      <c r="F133" s="25">
        <v>1018.64</v>
      </c>
      <c r="G133" s="36">
        <f t="shared" si="8"/>
        <v>92.603636363636369</v>
      </c>
      <c r="H133" s="36">
        <f t="shared" si="9"/>
        <v>926.0363636363636</v>
      </c>
      <c r="I133" s="36">
        <f t="shared" si="10"/>
        <v>693.9636363636364</v>
      </c>
      <c r="J133" s="37">
        <f t="shared" si="11"/>
        <v>0.74939134532317608</v>
      </c>
      <c r="K133" s="23" t="s">
        <v>70</v>
      </c>
    </row>
    <row r="134" spans="1:11" x14ac:dyDescent="0.25">
      <c r="A134" s="23" t="s">
        <v>515</v>
      </c>
      <c r="B134" s="23" t="s">
        <v>488</v>
      </c>
      <c r="C134" s="24" t="s">
        <v>574</v>
      </c>
      <c r="D134" s="23" t="s">
        <v>15</v>
      </c>
      <c r="E134" s="25">
        <v>1620</v>
      </c>
      <c r="F134" s="25">
        <v>1018.64</v>
      </c>
      <c r="G134" s="36">
        <f t="shared" si="8"/>
        <v>92.603636363636369</v>
      </c>
      <c r="H134" s="36">
        <f t="shared" si="9"/>
        <v>926.0363636363636</v>
      </c>
      <c r="I134" s="36">
        <f t="shared" si="10"/>
        <v>693.9636363636364</v>
      </c>
      <c r="J134" s="37">
        <f t="shared" si="11"/>
        <v>0.74939134532317608</v>
      </c>
      <c r="K134" s="23" t="s">
        <v>70</v>
      </c>
    </row>
    <row r="135" spans="1:11" x14ac:dyDescent="0.25">
      <c r="A135" s="23" t="s">
        <v>515</v>
      </c>
      <c r="B135" s="23" t="s">
        <v>488</v>
      </c>
      <c r="C135" s="24" t="s">
        <v>575</v>
      </c>
      <c r="D135" s="23" t="s">
        <v>15</v>
      </c>
      <c r="E135" s="25">
        <v>1620</v>
      </c>
      <c r="F135" s="25">
        <v>1018.64</v>
      </c>
      <c r="G135" s="36">
        <f t="shared" si="8"/>
        <v>92.603636363636369</v>
      </c>
      <c r="H135" s="36">
        <f t="shared" si="9"/>
        <v>926.0363636363636</v>
      </c>
      <c r="I135" s="36">
        <f t="shared" si="10"/>
        <v>693.9636363636364</v>
      </c>
      <c r="J135" s="37">
        <f t="shared" si="11"/>
        <v>0.74939134532317608</v>
      </c>
      <c r="K135" s="23" t="s">
        <v>70</v>
      </c>
    </row>
    <row r="136" spans="1:11" x14ac:dyDescent="0.25">
      <c r="A136" s="23" t="s">
        <v>515</v>
      </c>
      <c r="B136" s="23" t="s">
        <v>488</v>
      </c>
      <c r="C136" s="24" t="s">
        <v>576</v>
      </c>
      <c r="D136" s="23" t="s">
        <v>15</v>
      </c>
      <c r="E136" s="25">
        <v>1620</v>
      </c>
      <c r="F136" s="25">
        <v>1018.64</v>
      </c>
      <c r="G136" s="36">
        <f t="shared" si="8"/>
        <v>92.603636363636369</v>
      </c>
      <c r="H136" s="36">
        <f t="shared" si="9"/>
        <v>926.0363636363636</v>
      </c>
      <c r="I136" s="36">
        <f t="shared" si="10"/>
        <v>693.9636363636364</v>
      </c>
      <c r="J136" s="37">
        <f t="shared" si="11"/>
        <v>0.74939134532317608</v>
      </c>
      <c r="K136" s="23" t="s">
        <v>70</v>
      </c>
    </row>
    <row r="137" spans="1:11" x14ac:dyDescent="0.25">
      <c r="A137" s="23" t="s">
        <v>515</v>
      </c>
      <c r="B137" s="23" t="s">
        <v>488</v>
      </c>
      <c r="C137" s="24" t="s">
        <v>577</v>
      </c>
      <c r="D137" s="23" t="s">
        <v>15</v>
      </c>
      <c r="E137" s="25">
        <v>1620</v>
      </c>
      <c r="F137" s="25">
        <v>1018.64</v>
      </c>
      <c r="G137" s="36">
        <f t="shared" si="8"/>
        <v>92.603636363636369</v>
      </c>
      <c r="H137" s="36">
        <f t="shared" si="9"/>
        <v>926.0363636363636</v>
      </c>
      <c r="I137" s="36">
        <f t="shared" si="10"/>
        <v>693.9636363636364</v>
      </c>
      <c r="J137" s="37">
        <f t="shared" si="11"/>
        <v>0.74939134532317608</v>
      </c>
      <c r="K137" s="23" t="s">
        <v>70</v>
      </c>
    </row>
    <row r="138" spans="1:11" x14ac:dyDescent="0.25">
      <c r="A138" s="23" t="s">
        <v>515</v>
      </c>
      <c r="B138" s="23" t="s">
        <v>488</v>
      </c>
      <c r="C138" s="24" t="s">
        <v>578</v>
      </c>
      <c r="D138" s="23" t="s">
        <v>15</v>
      </c>
      <c r="E138" s="25">
        <v>1620</v>
      </c>
      <c r="F138" s="25">
        <v>1018.64</v>
      </c>
      <c r="G138" s="36">
        <f t="shared" si="8"/>
        <v>92.603636363636369</v>
      </c>
      <c r="H138" s="36">
        <f t="shared" si="9"/>
        <v>926.0363636363636</v>
      </c>
      <c r="I138" s="36">
        <f t="shared" si="10"/>
        <v>693.9636363636364</v>
      </c>
      <c r="J138" s="37">
        <f t="shared" si="11"/>
        <v>0.74939134532317608</v>
      </c>
      <c r="K138" s="23" t="s">
        <v>70</v>
      </c>
    </row>
    <row r="139" spans="1:11" x14ac:dyDescent="0.25">
      <c r="A139" s="23" t="s">
        <v>515</v>
      </c>
      <c r="B139" s="23" t="s">
        <v>488</v>
      </c>
      <c r="C139" s="24" t="s">
        <v>579</v>
      </c>
      <c r="D139" s="23" t="s">
        <v>15</v>
      </c>
      <c r="E139" s="25">
        <v>1620</v>
      </c>
      <c r="F139" s="25">
        <v>1018.64</v>
      </c>
      <c r="G139" s="36">
        <f t="shared" si="8"/>
        <v>92.603636363636369</v>
      </c>
      <c r="H139" s="36">
        <f t="shared" si="9"/>
        <v>926.0363636363636</v>
      </c>
      <c r="I139" s="36">
        <f t="shared" si="10"/>
        <v>693.9636363636364</v>
      </c>
      <c r="J139" s="37">
        <f t="shared" si="11"/>
        <v>0.74939134532317608</v>
      </c>
      <c r="K139" s="23" t="s">
        <v>70</v>
      </c>
    </row>
    <row r="140" spans="1:11" x14ac:dyDescent="0.25">
      <c r="A140" s="23" t="s">
        <v>515</v>
      </c>
      <c r="B140" s="23" t="s">
        <v>488</v>
      </c>
      <c r="C140" s="24" t="s">
        <v>580</v>
      </c>
      <c r="D140" s="23" t="s">
        <v>15</v>
      </c>
      <c r="E140" s="25">
        <v>1620</v>
      </c>
      <c r="F140" s="25">
        <v>1018.64</v>
      </c>
      <c r="G140" s="36">
        <f t="shared" si="8"/>
        <v>92.603636363636369</v>
      </c>
      <c r="H140" s="36">
        <f t="shared" si="9"/>
        <v>926.0363636363636</v>
      </c>
      <c r="I140" s="36">
        <f t="shared" si="10"/>
        <v>693.9636363636364</v>
      </c>
      <c r="J140" s="37">
        <f t="shared" si="11"/>
        <v>0.74939134532317608</v>
      </c>
      <c r="K140" s="23" t="s">
        <v>70</v>
      </c>
    </row>
    <row r="141" spans="1:11" x14ac:dyDescent="0.25">
      <c r="A141" s="23" t="s">
        <v>515</v>
      </c>
      <c r="B141" s="23" t="s">
        <v>488</v>
      </c>
      <c r="C141" s="24" t="s">
        <v>581</v>
      </c>
      <c r="D141" s="23" t="s">
        <v>15</v>
      </c>
      <c r="E141" s="25">
        <v>1620</v>
      </c>
      <c r="F141" s="25">
        <v>1018.64</v>
      </c>
      <c r="G141" s="36">
        <f t="shared" si="8"/>
        <v>92.603636363636369</v>
      </c>
      <c r="H141" s="36">
        <f t="shared" si="9"/>
        <v>926.0363636363636</v>
      </c>
      <c r="I141" s="36">
        <f t="shared" si="10"/>
        <v>693.9636363636364</v>
      </c>
      <c r="J141" s="37">
        <f t="shared" si="11"/>
        <v>0.74939134532317608</v>
      </c>
      <c r="K141" s="23" t="s">
        <v>70</v>
      </c>
    </row>
    <row r="142" spans="1:11" x14ac:dyDescent="0.25">
      <c r="A142" s="23" t="s">
        <v>515</v>
      </c>
      <c r="B142" s="23" t="s">
        <v>488</v>
      </c>
      <c r="C142" s="24" t="s">
        <v>582</v>
      </c>
      <c r="D142" s="23" t="s">
        <v>15</v>
      </c>
      <c r="E142" s="25">
        <v>1620</v>
      </c>
      <c r="F142" s="25">
        <v>1018.64</v>
      </c>
      <c r="G142" s="36">
        <f t="shared" si="8"/>
        <v>92.603636363636369</v>
      </c>
      <c r="H142" s="36">
        <f t="shared" si="9"/>
        <v>926.0363636363636</v>
      </c>
      <c r="I142" s="36">
        <f t="shared" si="10"/>
        <v>693.9636363636364</v>
      </c>
      <c r="J142" s="37">
        <f t="shared" si="11"/>
        <v>0.74939134532317608</v>
      </c>
      <c r="K142" s="23" t="s">
        <v>70</v>
      </c>
    </row>
    <row r="143" spans="1:11" x14ac:dyDescent="0.25">
      <c r="A143" s="23" t="s">
        <v>515</v>
      </c>
      <c r="B143" s="23" t="s">
        <v>488</v>
      </c>
      <c r="C143" s="24" t="s">
        <v>583</v>
      </c>
      <c r="D143" s="23" t="s">
        <v>15</v>
      </c>
      <c r="E143" s="25">
        <v>1620</v>
      </c>
      <c r="F143" s="25">
        <v>1018.64</v>
      </c>
      <c r="G143" s="36">
        <f t="shared" si="8"/>
        <v>92.603636363636369</v>
      </c>
      <c r="H143" s="36">
        <f t="shared" si="9"/>
        <v>926.0363636363636</v>
      </c>
      <c r="I143" s="36">
        <f t="shared" si="10"/>
        <v>693.9636363636364</v>
      </c>
      <c r="J143" s="37">
        <f t="shared" si="11"/>
        <v>0.74939134532317608</v>
      </c>
      <c r="K143" s="23" t="s">
        <v>70</v>
      </c>
    </row>
    <row r="144" spans="1:11" x14ac:dyDescent="0.25">
      <c r="A144" s="23" t="s">
        <v>515</v>
      </c>
      <c r="B144" s="23" t="s">
        <v>488</v>
      </c>
      <c r="C144" s="24" t="s">
        <v>584</v>
      </c>
      <c r="D144" s="23" t="s">
        <v>15</v>
      </c>
      <c r="E144" s="25">
        <v>1620</v>
      </c>
      <c r="F144" s="25">
        <v>1018.64</v>
      </c>
      <c r="G144" s="36">
        <f t="shared" si="8"/>
        <v>92.603636363636369</v>
      </c>
      <c r="H144" s="36">
        <f t="shared" si="9"/>
        <v>926.0363636363636</v>
      </c>
      <c r="I144" s="36">
        <f t="shared" si="10"/>
        <v>693.9636363636364</v>
      </c>
      <c r="J144" s="37">
        <f t="shared" si="11"/>
        <v>0.74939134532317608</v>
      </c>
      <c r="K144" s="23" t="s">
        <v>70</v>
      </c>
    </row>
    <row r="145" spans="1:11" x14ac:dyDescent="0.25">
      <c r="A145" s="23" t="s">
        <v>515</v>
      </c>
      <c r="B145" s="23" t="s">
        <v>488</v>
      </c>
      <c r="C145" s="24" t="s">
        <v>585</v>
      </c>
      <c r="D145" s="23" t="s">
        <v>15</v>
      </c>
      <c r="E145" s="25">
        <v>1620</v>
      </c>
      <c r="F145" s="25">
        <v>1018.64</v>
      </c>
      <c r="G145" s="36">
        <f t="shared" si="8"/>
        <v>92.603636363636369</v>
      </c>
      <c r="H145" s="36">
        <f t="shared" si="9"/>
        <v>926.0363636363636</v>
      </c>
      <c r="I145" s="36">
        <f t="shared" si="10"/>
        <v>693.9636363636364</v>
      </c>
      <c r="J145" s="37">
        <f t="shared" si="11"/>
        <v>0.74939134532317608</v>
      </c>
      <c r="K145" s="23" t="s">
        <v>70</v>
      </c>
    </row>
    <row r="146" spans="1:11" x14ac:dyDescent="0.25">
      <c r="A146" s="23" t="s">
        <v>515</v>
      </c>
      <c r="B146" s="23" t="s">
        <v>488</v>
      </c>
      <c r="C146" s="24" t="s">
        <v>586</v>
      </c>
      <c r="D146" s="23" t="s">
        <v>15</v>
      </c>
      <c r="E146" s="25">
        <v>1620</v>
      </c>
      <c r="F146" s="25">
        <v>1018.64</v>
      </c>
      <c r="G146" s="36">
        <f t="shared" si="8"/>
        <v>92.603636363636369</v>
      </c>
      <c r="H146" s="36">
        <f t="shared" si="9"/>
        <v>926.0363636363636</v>
      </c>
      <c r="I146" s="36">
        <f t="shared" si="10"/>
        <v>693.9636363636364</v>
      </c>
      <c r="J146" s="37">
        <f t="shared" si="11"/>
        <v>0.74939134532317608</v>
      </c>
      <c r="K146" s="23" t="s">
        <v>70</v>
      </c>
    </row>
    <row r="147" spans="1:11" x14ac:dyDescent="0.25">
      <c r="A147" s="23" t="s">
        <v>515</v>
      </c>
      <c r="B147" s="23" t="s">
        <v>488</v>
      </c>
      <c r="C147" s="24" t="s">
        <v>587</v>
      </c>
      <c r="D147" s="23" t="s">
        <v>15</v>
      </c>
      <c r="E147" s="25">
        <v>1620</v>
      </c>
      <c r="F147" s="25">
        <v>1018.64</v>
      </c>
      <c r="G147" s="36">
        <f t="shared" si="8"/>
        <v>92.603636363636369</v>
      </c>
      <c r="H147" s="36">
        <f t="shared" si="9"/>
        <v>926.0363636363636</v>
      </c>
      <c r="I147" s="36">
        <f t="shared" si="10"/>
        <v>693.9636363636364</v>
      </c>
      <c r="J147" s="37">
        <f t="shared" si="11"/>
        <v>0.74939134532317608</v>
      </c>
      <c r="K147" s="23" t="s">
        <v>70</v>
      </c>
    </row>
    <row r="148" spans="1:11" x14ac:dyDescent="0.25">
      <c r="A148" s="29" t="s">
        <v>588</v>
      </c>
      <c r="B148" s="29" t="s">
        <v>589</v>
      </c>
      <c r="C148" s="30" t="s">
        <v>590</v>
      </c>
      <c r="D148" s="29" t="s">
        <v>15</v>
      </c>
      <c r="E148" s="31">
        <v>6260</v>
      </c>
      <c r="F148" s="31">
        <v>6271.81</v>
      </c>
      <c r="G148" s="32">
        <f t="shared" si="8"/>
        <v>570.16454545454553</v>
      </c>
      <c r="H148" s="32">
        <f t="shared" si="9"/>
        <v>5701.6454545454544</v>
      </c>
      <c r="I148" s="32">
        <f t="shared" si="10"/>
        <v>558.35454545454559</v>
      </c>
      <c r="J148" s="26">
        <f t="shared" si="11"/>
        <v>9.7928668119729417E-2</v>
      </c>
      <c r="K148" s="29" t="s">
        <v>70</v>
      </c>
    </row>
    <row r="149" spans="1:11" x14ac:dyDescent="0.25">
      <c r="A149" s="29" t="s">
        <v>588</v>
      </c>
      <c r="B149" s="29" t="s">
        <v>589</v>
      </c>
      <c r="C149" s="30" t="s">
        <v>591</v>
      </c>
      <c r="D149" s="29" t="s">
        <v>15</v>
      </c>
      <c r="E149" s="31">
        <v>6260</v>
      </c>
      <c r="F149" s="31">
        <v>6271.81</v>
      </c>
      <c r="G149" s="32">
        <f t="shared" si="8"/>
        <v>570.16454545454553</v>
      </c>
      <c r="H149" s="32">
        <f t="shared" si="9"/>
        <v>5701.6454545454544</v>
      </c>
      <c r="I149" s="32">
        <f t="shared" si="10"/>
        <v>558.35454545454559</v>
      </c>
      <c r="J149" s="26">
        <f t="shared" si="11"/>
        <v>9.7928668119729417E-2</v>
      </c>
      <c r="K149" s="29" t="s">
        <v>70</v>
      </c>
    </row>
    <row r="150" spans="1:11" x14ac:dyDescent="0.25">
      <c r="A150" s="29" t="s">
        <v>588</v>
      </c>
      <c r="B150" s="29" t="s">
        <v>589</v>
      </c>
      <c r="C150" s="30" t="s">
        <v>592</v>
      </c>
      <c r="D150" s="29" t="s">
        <v>15</v>
      </c>
      <c r="E150" s="31">
        <v>6260</v>
      </c>
      <c r="F150" s="31">
        <v>6271.81</v>
      </c>
      <c r="G150" s="32">
        <f t="shared" si="8"/>
        <v>570.16454545454553</v>
      </c>
      <c r="H150" s="32">
        <f t="shared" si="9"/>
        <v>5701.6454545454544</v>
      </c>
      <c r="I150" s="32">
        <f t="shared" si="10"/>
        <v>558.35454545454559</v>
      </c>
      <c r="J150" s="26">
        <f t="shared" si="11"/>
        <v>9.7928668119729417E-2</v>
      </c>
      <c r="K150" s="29" t="s">
        <v>70</v>
      </c>
    </row>
    <row r="151" spans="1:11" x14ac:dyDescent="0.25">
      <c r="A151" s="29" t="s">
        <v>588</v>
      </c>
      <c r="B151" s="29" t="s">
        <v>589</v>
      </c>
      <c r="C151" s="30" t="s">
        <v>593</v>
      </c>
      <c r="D151" s="29" t="s">
        <v>15</v>
      </c>
      <c r="E151" s="31">
        <v>6260</v>
      </c>
      <c r="F151" s="31">
        <v>6271.81</v>
      </c>
      <c r="G151" s="32">
        <f t="shared" si="8"/>
        <v>570.16454545454553</v>
      </c>
      <c r="H151" s="32">
        <f t="shared" si="9"/>
        <v>5701.6454545454544</v>
      </c>
      <c r="I151" s="32">
        <f t="shared" si="10"/>
        <v>558.35454545454559</v>
      </c>
      <c r="J151" s="26">
        <f t="shared" si="11"/>
        <v>9.7928668119729417E-2</v>
      </c>
      <c r="K151" s="29" t="s">
        <v>70</v>
      </c>
    </row>
    <row r="152" spans="1:11" x14ac:dyDescent="0.25">
      <c r="A152" s="29" t="s">
        <v>588</v>
      </c>
      <c r="B152" s="29" t="s">
        <v>589</v>
      </c>
      <c r="C152" s="30" t="s">
        <v>594</v>
      </c>
      <c r="D152" s="29" t="s">
        <v>15</v>
      </c>
      <c r="E152" s="31">
        <v>6260</v>
      </c>
      <c r="F152" s="31">
        <v>6271.81</v>
      </c>
      <c r="G152" s="32">
        <f t="shared" si="8"/>
        <v>570.16454545454553</v>
      </c>
      <c r="H152" s="32">
        <f t="shared" si="9"/>
        <v>5701.6454545454544</v>
      </c>
      <c r="I152" s="32">
        <f t="shared" si="10"/>
        <v>558.35454545454559</v>
      </c>
      <c r="J152" s="26">
        <f t="shared" si="11"/>
        <v>9.7928668119729417E-2</v>
      </c>
      <c r="K152" s="29" t="s">
        <v>70</v>
      </c>
    </row>
    <row r="153" spans="1:11" x14ac:dyDescent="0.25">
      <c r="A153" s="23" t="s">
        <v>595</v>
      </c>
      <c r="B153" s="23" t="s">
        <v>488</v>
      </c>
      <c r="C153" s="24" t="s">
        <v>596</v>
      </c>
      <c r="D153" s="23" t="s">
        <v>15</v>
      </c>
      <c r="E153" s="25">
        <v>1650</v>
      </c>
      <c r="F153" s="25">
        <v>1018.44</v>
      </c>
      <c r="G153" s="36">
        <f t="shared" si="8"/>
        <v>92.585454545454553</v>
      </c>
      <c r="H153" s="36">
        <f t="shared" si="9"/>
        <v>925.85454545454547</v>
      </c>
      <c r="I153" s="36">
        <f t="shared" si="10"/>
        <v>724.14545454545453</v>
      </c>
      <c r="J153" s="37">
        <f t="shared" si="11"/>
        <v>0.7821373865912572</v>
      </c>
      <c r="K153" s="23" t="s">
        <v>70</v>
      </c>
    </row>
    <row r="154" spans="1:11" x14ac:dyDescent="0.25">
      <c r="A154" s="23" t="s">
        <v>595</v>
      </c>
      <c r="B154" s="23" t="s">
        <v>488</v>
      </c>
      <c r="C154" s="24" t="s">
        <v>597</v>
      </c>
      <c r="D154" s="23" t="s">
        <v>15</v>
      </c>
      <c r="E154" s="25">
        <v>1650</v>
      </c>
      <c r="F154" s="25">
        <v>1018.44</v>
      </c>
      <c r="G154" s="36">
        <f t="shared" si="8"/>
        <v>92.585454545454553</v>
      </c>
      <c r="H154" s="36">
        <f t="shared" si="9"/>
        <v>925.85454545454547</v>
      </c>
      <c r="I154" s="36">
        <f t="shared" si="10"/>
        <v>724.14545454545453</v>
      </c>
      <c r="J154" s="37">
        <f t="shared" si="11"/>
        <v>0.7821373865912572</v>
      </c>
      <c r="K154" s="23" t="s">
        <v>70</v>
      </c>
    </row>
    <row r="155" spans="1:11" x14ac:dyDescent="0.25">
      <c r="A155" s="23" t="s">
        <v>595</v>
      </c>
      <c r="B155" s="23" t="s">
        <v>488</v>
      </c>
      <c r="C155" s="24" t="s">
        <v>598</v>
      </c>
      <c r="D155" s="23" t="s">
        <v>15</v>
      </c>
      <c r="E155" s="25">
        <v>1650</v>
      </c>
      <c r="F155" s="25">
        <v>1018.44</v>
      </c>
      <c r="G155" s="36">
        <f t="shared" si="8"/>
        <v>92.585454545454553</v>
      </c>
      <c r="H155" s="36">
        <f t="shared" si="9"/>
        <v>925.85454545454547</v>
      </c>
      <c r="I155" s="36">
        <f t="shared" si="10"/>
        <v>724.14545454545453</v>
      </c>
      <c r="J155" s="37">
        <f t="shared" si="11"/>
        <v>0.7821373865912572</v>
      </c>
      <c r="K155" s="23" t="s">
        <v>70</v>
      </c>
    </row>
    <row r="156" spans="1:11" x14ac:dyDescent="0.25">
      <c r="A156" s="23" t="s">
        <v>595</v>
      </c>
      <c r="B156" s="23" t="s">
        <v>488</v>
      </c>
      <c r="C156" s="24" t="s">
        <v>599</v>
      </c>
      <c r="D156" s="23" t="s">
        <v>15</v>
      </c>
      <c r="E156" s="25">
        <v>1650</v>
      </c>
      <c r="F156" s="25">
        <v>1018.44</v>
      </c>
      <c r="G156" s="36">
        <f t="shared" si="8"/>
        <v>92.585454545454553</v>
      </c>
      <c r="H156" s="36">
        <f t="shared" si="9"/>
        <v>925.85454545454547</v>
      </c>
      <c r="I156" s="36">
        <f t="shared" si="10"/>
        <v>724.14545454545453</v>
      </c>
      <c r="J156" s="37">
        <f t="shared" si="11"/>
        <v>0.7821373865912572</v>
      </c>
      <c r="K156" s="23" t="s">
        <v>70</v>
      </c>
    </row>
    <row r="157" spans="1:11" x14ac:dyDescent="0.25">
      <c r="A157" s="23" t="s">
        <v>595</v>
      </c>
      <c r="B157" s="23" t="s">
        <v>488</v>
      </c>
      <c r="C157" s="24" t="s">
        <v>600</v>
      </c>
      <c r="D157" s="23" t="s">
        <v>15</v>
      </c>
      <c r="E157" s="25">
        <v>1650</v>
      </c>
      <c r="F157" s="25">
        <v>1018.44</v>
      </c>
      <c r="G157" s="36">
        <f t="shared" si="8"/>
        <v>92.585454545454553</v>
      </c>
      <c r="H157" s="36">
        <f t="shared" si="9"/>
        <v>925.85454545454547</v>
      </c>
      <c r="I157" s="36">
        <f t="shared" si="10"/>
        <v>724.14545454545453</v>
      </c>
      <c r="J157" s="37">
        <f t="shared" si="11"/>
        <v>0.7821373865912572</v>
      </c>
      <c r="K157" s="23" t="s">
        <v>70</v>
      </c>
    </row>
    <row r="158" spans="1:11" x14ac:dyDescent="0.25">
      <c r="A158" s="23" t="s">
        <v>595</v>
      </c>
      <c r="B158" s="23" t="s">
        <v>488</v>
      </c>
      <c r="C158" s="24" t="s">
        <v>601</v>
      </c>
      <c r="D158" s="23" t="s">
        <v>15</v>
      </c>
      <c r="E158" s="25">
        <v>1650</v>
      </c>
      <c r="F158" s="25">
        <v>1018.44</v>
      </c>
      <c r="G158" s="36">
        <f t="shared" si="8"/>
        <v>92.585454545454553</v>
      </c>
      <c r="H158" s="36">
        <f t="shared" si="9"/>
        <v>925.85454545454547</v>
      </c>
      <c r="I158" s="36">
        <f t="shared" si="10"/>
        <v>724.14545454545453</v>
      </c>
      <c r="J158" s="37">
        <f t="shared" si="11"/>
        <v>0.7821373865912572</v>
      </c>
      <c r="K158" s="23" t="s">
        <v>70</v>
      </c>
    </row>
    <row r="159" spans="1:11" x14ac:dyDescent="0.25">
      <c r="A159" s="23" t="s">
        <v>595</v>
      </c>
      <c r="B159" s="23" t="s">
        <v>488</v>
      </c>
      <c r="C159" s="24" t="s">
        <v>602</v>
      </c>
      <c r="D159" s="23" t="s">
        <v>15</v>
      </c>
      <c r="E159" s="25">
        <v>1650</v>
      </c>
      <c r="F159" s="25">
        <v>1018.44</v>
      </c>
      <c r="G159" s="36">
        <f t="shared" si="8"/>
        <v>92.585454545454553</v>
      </c>
      <c r="H159" s="36">
        <f t="shared" si="9"/>
        <v>925.85454545454547</v>
      </c>
      <c r="I159" s="36">
        <f t="shared" si="10"/>
        <v>724.14545454545453</v>
      </c>
      <c r="J159" s="37">
        <f t="shared" si="11"/>
        <v>0.7821373865912572</v>
      </c>
      <c r="K159" s="23" t="s">
        <v>70</v>
      </c>
    </row>
    <row r="160" spans="1:11" x14ac:dyDescent="0.25">
      <c r="A160" s="23" t="s">
        <v>595</v>
      </c>
      <c r="B160" s="23" t="s">
        <v>488</v>
      </c>
      <c r="C160" s="24" t="s">
        <v>603</v>
      </c>
      <c r="D160" s="23" t="s">
        <v>15</v>
      </c>
      <c r="E160" s="25">
        <v>1650</v>
      </c>
      <c r="F160" s="25">
        <v>1018.44</v>
      </c>
      <c r="G160" s="36">
        <f t="shared" si="8"/>
        <v>92.585454545454553</v>
      </c>
      <c r="H160" s="36">
        <f t="shared" si="9"/>
        <v>925.85454545454547</v>
      </c>
      <c r="I160" s="36">
        <f t="shared" si="10"/>
        <v>724.14545454545453</v>
      </c>
      <c r="J160" s="37">
        <f t="shared" si="11"/>
        <v>0.7821373865912572</v>
      </c>
      <c r="K160" s="23" t="s">
        <v>70</v>
      </c>
    </row>
    <row r="161" spans="1:11" x14ac:dyDescent="0.25">
      <c r="A161" s="23" t="s">
        <v>595</v>
      </c>
      <c r="B161" s="23" t="s">
        <v>488</v>
      </c>
      <c r="C161" s="24" t="s">
        <v>604</v>
      </c>
      <c r="D161" s="23" t="s">
        <v>15</v>
      </c>
      <c r="E161" s="25">
        <v>1650</v>
      </c>
      <c r="F161" s="25">
        <v>1018.44</v>
      </c>
      <c r="G161" s="36">
        <f t="shared" si="8"/>
        <v>92.585454545454553</v>
      </c>
      <c r="H161" s="36">
        <f t="shared" si="9"/>
        <v>925.85454545454547</v>
      </c>
      <c r="I161" s="36">
        <f t="shared" si="10"/>
        <v>724.14545454545453</v>
      </c>
      <c r="J161" s="37">
        <f t="shared" si="11"/>
        <v>0.7821373865912572</v>
      </c>
      <c r="K161" s="23" t="s">
        <v>70</v>
      </c>
    </row>
    <row r="162" spans="1:11" x14ac:dyDescent="0.25">
      <c r="A162" s="23" t="s">
        <v>595</v>
      </c>
      <c r="B162" s="23" t="s">
        <v>488</v>
      </c>
      <c r="C162" s="24" t="s">
        <v>605</v>
      </c>
      <c r="D162" s="23" t="s">
        <v>15</v>
      </c>
      <c r="E162" s="25">
        <v>1650</v>
      </c>
      <c r="F162" s="25">
        <v>1018.44</v>
      </c>
      <c r="G162" s="36">
        <f t="shared" si="8"/>
        <v>92.585454545454553</v>
      </c>
      <c r="H162" s="36">
        <f t="shared" si="9"/>
        <v>925.85454545454547</v>
      </c>
      <c r="I162" s="36">
        <f t="shared" si="10"/>
        <v>724.14545454545453</v>
      </c>
      <c r="J162" s="37">
        <f t="shared" si="11"/>
        <v>0.7821373865912572</v>
      </c>
      <c r="K162" s="23" t="s">
        <v>70</v>
      </c>
    </row>
    <row r="163" spans="1:11" x14ac:dyDescent="0.25">
      <c r="A163" s="23" t="s">
        <v>595</v>
      </c>
      <c r="B163" s="23" t="s">
        <v>488</v>
      </c>
      <c r="C163" s="24" t="s">
        <v>606</v>
      </c>
      <c r="D163" s="23" t="s">
        <v>15</v>
      </c>
      <c r="E163" s="25">
        <v>1650</v>
      </c>
      <c r="F163" s="25">
        <v>1018.44</v>
      </c>
      <c r="G163" s="36">
        <f t="shared" si="8"/>
        <v>92.585454545454553</v>
      </c>
      <c r="H163" s="36">
        <f t="shared" si="9"/>
        <v>925.85454545454547</v>
      </c>
      <c r="I163" s="36">
        <f t="shared" si="10"/>
        <v>724.14545454545453</v>
      </c>
      <c r="J163" s="37">
        <f t="shared" si="11"/>
        <v>0.7821373865912572</v>
      </c>
      <c r="K163" s="23" t="s">
        <v>70</v>
      </c>
    </row>
    <row r="164" spans="1:11" x14ac:dyDescent="0.25">
      <c r="A164" s="23" t="s">
        <v>595</v>
      </c>
      <c r="B164" s="23" t="s">
        <v>488</v>
      </c>
      <c r="C164" s="24" t="s">
        <v>607</v>
      </c>
      <c r="D164" s="23" t="s">
        <v>15</v>
      </c>
      <c r="E164" s="25">
        <v>1650</v>
      </c>
      <c r="F164" s="25">
        <v>1018.44</v>
      </c>
      <c r="G164" s="36">
        <f t="shared" si="8"/>
        <v>92.585454545454553</v>
      </c>
      <c r="H164" s="36">
        <f t="shared" si="9"/>
        <v>925.85454545454547</v>
      </c>
      <c r="I164" s="36">
        <f t="shared" si="10"/>
        <v>724.14545454545453</v>
      </c>
      <c r="J164" s="37">
        <f t="shared" si="11"/>
        <v>0.7821373865912572</v>
      </c>
      <c r="K164" s="23" t="s">
        <v>70</v>
      </c>
    </row>
    <row r="165" spans="1:11" x14ac:dyDescent="0.25">
      <c r="A165" s="23" t="s">
        <v>595</v>
      </c>
      <c r="B165" s="23" t="s">
        <v>488</v>
      </c>
      <c r="C165" s="24" t="s">
        <v>608</v>
      </c>
      <c r="D165" s="23" t="s">
        <v>15</v>
      </c>
      <c r="E165" s="25">
        <v>1650</v>
      </c>
      <c r="F165" s="25">
        <v>1018.44</v>
      </c>
      <c r="G165" s="36">
        <f t="shared" si="8"/>
        <v>92.585454545454553</v>
      </c>
      <c r="H165" s="36">
        <f t="shared" si="9"/>
        <v>925.85454545454547</v>
      </c>
      <c r="I165" s="36">
        <f t="shared" si="10"/>
        <v>724.14545454545453</v>
      </c>
      <c r="J165" s="37">
        <f t="shared" si="11"/>
        <v>0.7821373865912572</v>
      </c>
      <c r="K165" s="23" t="s">
        <v>70</v>
      </c>
    </row>
    <row r="166" spans="1:11" x14ac:dyDescent="0.25">
      <c r="A166" s="23" t="s">
        <v>595</v>
      </c>
      <c r="B166" s="23" t="s">
        <v>488</v>
      </c>
      <c r="C166" s="24" t="s">
        <v>609</v>
      </c>
      <c r="D166" s="23" t="s">
        <v>15</v>
      </c>
      <c r="E166" s="25">
        <v>1650</v>
      </c>
      <c r="F166" s="25">
        <v>1018.44</v>
      </c>
      <c r="G166" s="36">
        <f t="shared" si="8"/>
        <v>92.585454545454553</v>
      </c>
      <c r="H166" s="36">
        <f t="shared" si="9"/>
        <v>925.85454545454547</v>
      </c>
      <c r="I166" s="36">
        <f t="shared" si="10"/>
        <v>724.14545454545453</v>
      </c>
      <c r="J166" s="37">
        <f t="shared" si="11"/>
        <v>0.7821373865912572</v>
      </c>
      <c r="K166" s="23" t="s">
        <v>70</v>
      </c>
    </row>
    <row r="167" spans="1:11" x14ac:dyDescent="0.25">
      <c r="A167" s="23" t="s">
        <v>595</v>
      </c>
      <c r="B167" s="23" t="s">
        <v>488</v>
      </c>
      <c r="C167" s="24" t="s">
        <v>610</v>
      </c>
      <c r="D167" s="23" t="s">
        <v>15</v>
      </c>
      <c r="E167" s="25">
        <v>1650</v>
      </c>
      <c r="F167" s="25">
        <v>1018.44</v>
      </c>
      <c r="G167" s="36">
        <f t="shared" si="8"/>
        <v>92.585454545454553</v>
      </c>
      <c r="H167" s="36">
        <f t="shared" si="9"/>
        <v>925.85454545454547</v>
      </c>
      <c r="I167" s="36">
        <f t="shared" si="10"/>
        <v>724.14545454545453</v>
      </c>
      <c r="J167" s="37">
        <f t="shared" si="11"/>
        <v>0.7821373865912572</v>
      </c>
      <c r="K167" s="23" t="s">
        <v>70</v>
      </c>
    </row>
    <row r="168" spans="1:11" x14ac:dyDescent="0.25">
      <c r="A168" s="23" t="s">
        <v>595</v>
      </c>
      <c r="B168" s="23" t="s">
        <v>488</v>
      </c>
      <c r="C168" s="24" t="s">
        <v>611</v>
      </c>
      <c r="D168" s="23" t="s">
        <v>15</v>
      </c>
      <c r="E168" s="25">
        <v>1650</v>
      </c>
      <c r="F168" s="25">
        <v>1018.44</v>
      </c>
      <c r="G168" s="36">
        <f t="shared" si="8"/>
        <v>92.585454545454553</v>
      </c>
      <c r="H168" s="36">
        <f t="shared" si="9"/>
        <v>925.85454545454547</v>
      </c>
      <c r="I168" s="36">
        <f t="shared" si="10"/>
        <v>724.14545454545453</v>
      </c>
      <c r="J168" s="37">
        <f t="shared" si="11"/>
        <v>0.7821373865912572</v>
      </c>
      <c r="K168" s="23" t="s">
        <v>70</v>
      </c>
    </row>
    <row r="169" spans="1:11" x14ac:dyDescent="0.25">
      <c r="A169" s="23" t="s">
        <v>595</v>
      </c>
      <c r="B169" s="23" t="s">
        <v>488</v>
      </c>
      <c r="C169" s="24" t="s">
        <v>612</v>
      </c>
      <c r="D169" s="23" t="s">
        <v>15</v>
      </c>
      <c r="E169" s="25">
        <v>1650</v>
      </c>
      <c r="F169" s="25">
        <v>1018.44</v>
      </c>
      <c r="G169" s="36">
        <f t="shared" si="8"/>
        <v>92.585454545454553</v>
      </c>
      <c r="H169" s="36">
        <f t="shared" si="9"/>
        <v>925.85454545454547</v>
      </c>
      <c r="I169" s="36">
        <f t="shared" si="10"/>
        <v>724.14545454545453</v>
      </c>
      <c r="J169" s="37">
        <f t="shared" si="11"/>
        <v>0.7821373865912572</v>
      </c>
      <c r="K169" s="23" t="s">
        <v>70</v>
      </c>
    </row>
    <row r="170" spans="1:11" x14ac:dyDescent="0.25">
      <c r="A170" s="23" t="s">
        <v>595</v>
      </c>
      <c r="B170" s="23" t="s">
        <v>488</v>
      </c>
      <c r="C170" s="24" t="s">
        <v>613</v>
      </c>
      <c r="D170" s="23" t="s">
        <v>15</v>
      </c>
      <c r="E170" s="25">
        <v>1650</v>
      </c>
      <c r="F170" s="25">
        <v>1018.44</v>
      </c>
      <c r="G170" s="36">
        <f t="shared" si="8"/>
        <v>92.585454545454553</v>
      </c>
      <c r="H170" s="36">
        <f t="shared" si="9"/>
        <v>925.85454545454547</v>
      </c>
      <c r="I170" s="36">
        <f t="shared" si="10"/>
        <v>724.14545454545453</v>
      </c>
      <c r="J170" s="37">
        <f t="shared" si="11"/>
        <v>0.7821373865912572</v>
      </c>
      <c r="K170" s="23" t="s">
        <v>70</v>
      </c>
    </row>
    <row r="171" spans="1:11" x14ac:dyDescent="0.25">
      <c r="A171" s="23" t="s">
        <v>595</v>
      </c>
      <c r="B171" s="23" t="s">
        <v>488</v>
      </c>
      <c r="C171" s="24" t="s">
        <v>614</v>
      </c>
      <c r="D171" s="23" t="s">
        <v>15</v>
      </c>
      <c r="E171" s="25">
        <v>1650</v>
      </c>
      <c r="F171" s="25">
        <v>1018.44</v>
      </c>
      <c r="G171" s="36">
        <f t="shared" si="8"/>
        <v>92.585454545454553</v>
      </c>
      <c r="H171" s="36">
        <f t="shared" si="9"/>
        <v>925.85454545454547</v>
      </c>
      <c r="I171" s="36">
        <f t="shared" si="10"/>
        <v>724.14545454545453</v>
      </c>
      <c r="J171" s="37">
        <f t="shared" si="11"/>
        <v>0.7821373865912572</v>
      </c>
      <c r="K171" s="23" t="s">
        <v>70</v>
      </c>
    </row>
    <row r="172" spans="1:11" x14ac:dyDescent="0.25">
      <c r="A172" s="23" t="s">
        <v>595</v>
      </c>
      <c r="B172" s="23" t="s">
        <v>488</v>
      </c>
      <c r="C172" s="24" t="s">
        <v>615</v>
      </c>
      <c r="D172" s="23" t="s">
        <v>15</v>
      </c>
      <c r="E172" s="25">
        <v>1650</v>
      </c>
      <c r="F172" s="25">
        <v>1018.44</v>
      </c>
      <c r="G172" s="36">
        <f t="shared" si="8"/>
        <v>92.585454545454553</v>
      </c>
      <c r="H172" s="36">
        <f t="shared" si="9"/>
        <v>925.85454545454547</v>
      </c>
      <c r="I172" s="36">
        <f t="shared" si="10"/>
        <v>724.14545454545453</v>
      </c>
      <c r="J172" s="37">
        <f t="shared" si="11"/>
        <v>0.7821373865912572</v>
      </c>
      <c r="K172" s="23" t="s">
        <v>70</v>
      </c>
    </row>
    <row r="173" spans="1:11" x14ac:dyDescent="0.25">
      <c r="A173" s="23" t="s">
        <v>595</v>
      </c>
      <c r="B173" s="23" t="s">
        <v>488</v>
      </c>
      <c r="C173" s="24" t="s">
        <v>616</v>
      </c>
      <c r="D173" s="23" t="s">
        <v>15</v>
      </c>
      <c r="E173" s="25">
        <v>1650</v>
      </c>
      <c r="F173" s="25">
        <v>1018.44</v>
      </c>
      <c r="G173" s="36">
        <f t="shared" si="8"/>
        <v>92.585454545454553</v>
      </c>
      <c r="H173" s="36">
        <f t="shared" si="9"/>
        <v>925.85454545454547</v>
      </c>
      <c r="I173" s="36">
        <f t="shared" si="10"/>
        <v>724.14545454545453</v>
      </c>
      <c r="J173" s="37">
        <f t="shared" si="11"/>
        <v>0.7821373865912572</v>
      </c>
      <c r="K173" s="23" t="s">
        <v>70</v>
      </c>
    </row>
    <row r="174" spans="1:11" x14ac:dyDescent="0.25">
      <c r="A174" s="23" t="s">
        <v>595</v>
      </c>
      <c r="B174" s="23" t="s">
        <v>488</v>
      </c>
      <c r="C174" s="24" t="s">
        <v>617</v>
      </c>
      <c r="D174" s="23" t="s">
        <v>15</v>
      </c>
      <c r="E174" s="25">
        <v>1650</v>
      </c>
      <c r="F174" s="25">
        <v>1018.44</v>
      </c>
      <c r="G174" s="36">
        <f t="shared" si="8"/>
        <v>92.585454545454553</v>
      </c>
      <c r="H174" s="36">
        <f t="shared" si="9"/>
        <v>925.85454545454547</v>
      </c>
      <c r="I174" s="36">
        <f t="shared" si="10"/>
        <v>724.14545454545453</v>
      </c>
      <c r="J174" s="37">
        <f t="shared" si="11"/>
        <v>0.7821373865912572</v>
      </c>
      <c r="K174" s="23" t="s">
        <v>70</v>
      </c>
    </row>
    <row r="175" spans="1:11" x14ac:dyDescent="0.25">
      <c r="A175" s="23" t="s">
        <v>595</v>
      </c>
      <c r="B175" s="23" t="s">
        <v>488</v>
      </c>
      <c r="C175" s="24" t="s">
        <v>618</v>
      </c>
      <c r="D175" s="23" t="s">
        <v>15</v>
      </c>
      <c r="E175" s="25">
        <v>1650</v>
      </c>
      <c r="F175" s="25">
        <v>1018.44</v>
      </c>
      <c r="G175" s="36">
        <f t="shared" si="8"/>
        <v>92.585454545454553</v>
      </c>
      <c r="H175" s="36">
        <f t="shared" si="9"/>
        <v>925.85454545454547</v>
      </c>
      <c r="I175" s="36">
        <f t="shared" si="10"/>
        <v>724.14545454545453</v>
      </c>
      <c r="J175" s="37">
        <f t="shared" si="11"/>
        <v>0.7821373865912572</v>
      </c>
      <c r="K175" s="23" t="s">
        <v>70</v>
      </c>
    </row>
    <row r="176" spans="1:11" x14ac:dyDescent="0.25">
      <c r="A176" s="23" t="s">
        <v>595</v>
      </c>
      <c r="B176" s="23" t="s">
        <v>488</v>
      </c>
      <c r="C176" s="24" t="s">
        <v>619</v>
      </c>
      <c r="D176" s="23" t="s">
        <v>15</v>
      </c>
      <c r="E176" s="25">
        <v>1650</v>
      </c>
      <c r="F176" s="25">
        <v>1018.44</v>
      </c>
      <c r="G176" s="36">
        <f t="shared" si="8"/>
        <v>92.585454545454553</v>
      </c>
      <c r="H176" s="36">
        <f t="shared" si="9"/>
        <v>925.85454545454547</v>
      </c>
      <c r="I176" s="36">
        <f t="shared" si="10"/>
        <v>724.14545454545453</v>
      </c>
      <c r="J176" s="37">
        <f t="shared" si="11"/>
        <v>0.7821373865912572</v>
      </c>
      <c r="K176" s="23" t="s">
        <v>70</v>
      </c>
    </row>
    <row r="177" spans="1:11" x14ac:dyDescent="0.25">
      <c r="A177" s="23" t="s">
        <v>595</v>
      </c>
      <c r="B177" s="23" t="s">
        <v>488</v>
      </c>
      <c r="C177" s="24" t="s">
        <v>620</v>
      </c>
      <c r="D177" s="23" t="s">
        <v>15</v>
      </c>
      <c r="E177" s="25">
        <v>1650</v>
      </c>
      <c r="F177" s="25">
        <v>1018.44</v>
      </c>
      <c r="G177" s="36">
        <f t="shared" si="8"/>
        <v>92.585454545454553</v>
      </c>
      <c r="H177" s="36">
        <f t="shared" si="9"/>
        <v>925.85454545454547</v>
      </c>
      <c r="I177" s="36">
        <f t="shared" si="10"/>
        <v>724.14545454545453</v>
      </c>
      <c r="J177" s="37">
        <f t="shared" si="11"/>
        <v>0.7821373865912572</v>
      </c>
      <c r="K177" s="23" t="s">
        <v>70</v>
      </c>
    </row>
    <row r="178" spans="1:11" x14ac:dyDescent="0.25">
      <c r="A178" s="23" t="s">
        <v>595</v>
      </c>
      <c r="B178" s="23" t="s">
        <v>488</v>
      </c>
      <c r="C178" s="24" t="s">
        <v>621</v>
      </c>
      <c r="D178" s="23" t="s">
        <v>15</v>
      </c>
      <c r="E178" s="25">
        <v>1650</v>
      </c>
      <c r="F178" s="25">
        <v>1018.44</v>
      </c>
      <c r="G178" s="36">
        <f t="shared" si="8"/>
        <v>92.585454545454553</v>
      </c>
      <c r="H178" s="36">
        <f t="shared" si="9"/>
        <v>925.85454545454547</v>
      </c>
      <c r="I178" s="36">
        <f t="shared" si="10"/>
        <v>724.14545454545453</v>
      </c>
      <c r="J178" s="37">
        <f t="shared" si="11"/>
        <v>0.7821373865912572</v>
      </c>
      <c r="K178" s="23" t="s">
        <v>70</v>
      </c>
    </row>
    <row r="179" spans="1:11" x14ac:dyDescent="0.25">
      <c r="A179" s="23" t="s">
        <v>595</v>
      </c>
      <c r="B179" s="23" t="s">
        <v>488</v>
      </c>
      <c r="C179" s="24" t="s">
        <v>622</v>
      </c>
      <c r="D179" s="23" t="s">
        <v>15</v>
      </c>
      <c r="E179" s="25">
        <v>1650</v>
      </c>
      <c r="F179" s="25">
        <v>1018.44</v>
      </c>
      <c r="G179" s="36">
        <f t="shared" si="8"/>
        <v>92.585454545454553</v>
      </c>
      <c r="H179" s="36">
        <f t="shared" si="9"/>
        <v>925.85454545454547</v>
      </c>
      <c r="I179" s="36">
        <f t="shared" si="10"/>
        <v>724.14545454545453</v>
      </c>
      <c r="J179" s="37">
        <f t="shared" si="11"/>
        <v>0.7821373865912572</v>
      </c>
      <c r="K179" s="23" t="s">
        <v>70</v>
      </c>
    </row>
    <row r="180" spans="1:11" x14ac:dyDescent="0.25">
      <c r="A180" s="23" t="s">
        <v>595</v>
      </c>
      <c r="B180" s="23" t="s">
        <v>488</v>
      </c>
      <c r="C180" s="24" t="s">
        <v>623</v>
      </c>
      <c r="D180" s="23" t="s">
        <v>15</v>
      </c>
      <c r="E180" s="25">
        <v>1650</v>
      </c>
      <c r="F180" s="25">
        <v>1018.44</v>
      </c>
      <c r="G180" s="36">
        <f t="shared" si="8"/>
        <v>92.585454545454553</v>
      </c>
      <c r="H180" s="36">
        <f t="shared" si="9"/>
        <v>925.85454545454547</v>
      </c>
      <c r="I180" s="36">
        <f t="shared" si="10"/>
        <v>724.14545454545453</v>
      </c>
      <c r="J180" s="37">
        <f t="shared" si="11"/>
        <v>0.7821373865912572</v>
      </c>
      <c r="K180" s="23" t="s">
        <v>70</v>
      </c>
    </row>
    <row r="181" spans="1:11" x14ac:dyDescent="0.25">
      <c r="A181" s="23" t="s">
        <v>595</v>
      </c>
      <c r="B181" s="23" t="s">
        <v>488</v>
      </c>
      <c r="C181" s="24" t="s">
        <v>624</v>
      </c>
      <c r="D181" s="23" t="s">
        <v>15</v>
      </c>
      <c r="E181" s="25">
        <v>1650</v>
      </c>
      <c r="F181" s="25">
        <v>1018.44</v>
      </c>
      <c r="G181" s="36">
        <f t="shared" si="8"/>
        <v>92.585454545454553</v>
      </c>
      <c r="H181" s="36">
        <f t="shared" si="9"/>
        <v>925.85454545454547</v>
      </c>
      <c r="I181" s="36">
        <f t="shared" si="10"/>
        <v>724.14545454545453</v>
      </c>
      <c r="J181" s="37">
        <f t="shared" si="11"/>
        <v>0.7821373865912572</v>
      </c>
      <c r="K181" s="23" t="s">
        <v>70</v>
      </c>
    </row>
    <row r="182" spans="1:11" x14ac:dyDescent="0.25">
      <c r="A182" s="23" t="s">
        <v>595</v>
      </c>
      <c r="B182" s="23" t="s">
        <v>488</v>
      </c>
      <c r="C182" s="24" t="s">
        <v>625</v>
      </c>
      <c r="D182" s="23" t="s">
        <v>15</v>
      </c>
      <c r="E182" s="25">
        <v>1650</v>
      </c>
      <c r="F182" s="25">
        <v>1018.44</v>
      </c>
      <c r="G182" s="36">
        <f t="shared" si="8"/>
        <v>92.585454545454553</v>
      </c>
      <c r="H182" s="36">
        <f t="shared" si="9"/>
        <v>925.85454545454547</v>
      </c>
      <c r="I182" s="36">
        <f t="shared" si="10"/>
        <v>724.14545454545453</v>
      </c>
      <c r="J182" s="37">
        <f t="shared" si="11"/>
        <v>0.7821373865912572</v>
      </c>
      <c r="K182" s="23" t="s">
        <v>70</v>
      </c>
    </row>
    <row r="183" spans="1:11" x14ac:dyDescent="0.25">
      <c r="A183" s="23" t="s">
        <v>595</v>
      </c>
      <c r="B183" s="23" t="s">
        <v>488</v>
      </c>
      <c r="C183" s="24" t="s">
        <v>626</v>
      </c>
      <c r="D183" s="23" t="s">
        <v>15</v>
      </c>
      <c r="E183" s="25">
        <v>1650</v>
      </c>
      <c r="F183" s="25">
        <v>1018.44</v>
      </c>
      <c r="G183" s="36">
        <f t="shared" ref="G183:G246" si="12">F183/11</f>
        <v>92.585454545454553</v>
      </c>
      <c r="H183" s="36">
        <f t="shared" ref="H183:H246" si="13">F183-G183</f>
        <v>925.85454545454547</v>
      </c>
      <c r="I183" s="36">
        <f t="shared" ref="I183:I246" si="14">E183-H183</f>
        <v>724.14545454545453</v>
      </c>
      <c r="J183" s="37">
        <f t="shared" ref="J183:J246" si="15">(E183-H183)/H183</f>
        <v>0.7821373865912572</v>
      </c>
      <c r="K183" s="23" t="s">
        <v>70</v>
      </c>
    </row>
    <row r="184" spans="1:11" x14ac:dyDescent="0.25">
      <c r="A184" s="23" t="s">
        <v>595</v>
      </c>
      <c r="B184" s="23" t="s">
        <v>488</v>
      </c>
      <c r="C184" s="24" t="s">
        <v>627</v>
      </c>
      <c r="D184" s="23" t="s">
        <v>15</v>
      </c>
      <c r="E184" s="25">
        <v>1650</v>
      </c>
      <c r="F184" s="25">
        <v>1018.44</v>
      </c>
      <c r="G184" s="36">
        <f t="shared" si="12"/>
        <v>92.585454545454553</v>
      </c>
      <c r="H184" s="36">
        <f t="shared" si="13"/>
        <v>925.85454545454547</v>
      </c>
      <c r="I184" s="36">
        <f t="shared" si="14"/>
        <v>724.14545454545453</v>
      </c>
      <c r="J184" s="37">
        <f t="shared" si="15"/>
        <v>0.7821373865912572</v>
      </c>
      <c r="K184" s="23" t="s">
        <v>70</v>
      </c>
    </row>
    <row r="185" spans="1:11" x14ac:dyDescent="0.25">
      <c r="A185" s="23" t="s">
        <v>595</v>
      </c>
      <c r="B185" s="23" t="s">
        <v>488</v>
      </c>
      <c r="C185" s="24" t="s">
        <v>628</v>
      </c>
      <c r="D185" s="23" t="s">
        <v>15</v>
      </c>
      <c r="E185" s="25">
        <v>1650</v>
      </c>
      <c r="F185" s="25">
        <v>1018.44</v>
      </c>
      <c r="G185" s="36">
        <f t="shared" si="12"/>
        <v>92.585454545454553</v>
      </c>
      <c r="H185" s="36">
        <f t="shared" si="13"/>
        <v>925.85454545454547</v>
      </c>
      <c r="I185" s="36">
        <f t="shared" si="14"/>
        <v>724.14545454545453</v>
      </c>
      <c r="J185" s="37">
        <f t="shared" si="15"/>
        <v>0.7821373865912572</v>
      </c>
      <c r="K185" s="23" t="s">
        <v>70</v>
      </c>
    </row>
    <row r="186" spans="1:11" x14ac:dyDescent="0.25">
      <c r="A186" s="23" t="s">
        <v>595</v>
      </c>
      <c r="B186" s="23" t="s">
        <v>488</v>
      </c>
      <c r="C186" s="24" t="s">
        <v>629</v>
      </c>
      <c r="D186" s="23" t="s">
        <v>15</v>
      </c>
      <c r="E186" s="25">
        <v>1650</v>
      </c>
      <c r="F186" s="25">
        <v>1018.44</v>
      </c>
      <c r="G186" s="36">
        <f t="shared" si="12"/>
        <v>92.585454545454553</v>
      </c>
      <c r="H186" s="36">
        <f t="shared" si="13"/>
        <v>925.85454545454547</v>
      </c>
      <c r="I186" s="36">
        <f t="shared" si="14"/>
        <v>724.14545454545453</v>
      </c>
      <c r="J186" s="37">
        <f t="shared" si="15"/>
        <v>0.7821373865912572</v>
      </c>
      <c r="K186" s="23" t="s">
        <v>70</v>
      </c>
    </row>
    <row r="187" spans="1:11" x14ac:dyDescent="0.25">
      <c r="A187" s="23" t="s">
        <v>595</v>
      </c>
      <c r="B187" s="23" t="s">
        <v>488</v>
      </c>
      <c r="C187" s="24" t="s">
        <v>630</v>
      </c>
      <c r="D187" s="23" t="s">
        <v>15</v>
      </c>
      <c r="E187" s="25">
        <v>1650</v>
      </c>
      <c r="F187" s="25">
        <v>1018.44</v>
      </c>
      <c r="G187" s="36">
        <f t="shared" si="12"/>
        <v>92.585454545454553</v>
      </c>
      <c r="H187" s="36">
        <f t="shared" si="13"/>
        <v>925.85454545454547</v>
      </c>
      <c r="I187" s="36">
        <f t="shared" si="14"/>
        <v>724.14545454545453</v>
      </c>
      <c r="J187" s="37">
        <f t="shared" si="15"/>
        <v>0.7821373865912572</v>
      </c>
      <c r="K187" s="23" t="s">
        <v>70</v>
      </c>
    </row>
    <row r="188" spans="1:11" x14ac:dyDescent="0.25">
      <c r="A188" s="23" t="s">
        <v>595</v>
      </c>
      <c r="B188" s="23" t="s">
        <v>488</v>
      </c>
      <c r="C188" s="24" t="s">
        <v>631</v>
      </c>
      <c r="D188" s="23" t="s">
        <v>15</v>
      </c>
      <c r="E188" s="25">
        <v>1650</v>
      </c>
      <c r="F188" s="25">
        <v>1018.44</v>
      </c>
      <c r="G188" s="36">
        <f t="shared" si="12"/>
        <v>92.585454545454553</v>
      </c>
      <c r="H188" s="36">
        <f t="shared" si="13"/>
        <v>925.85454545454547</v>
      </c>
      <c r="I188" s="36">
        <f t="shared" si="14"/>
        <v>724.14545454545453</v>
      </c>
      <c r="J188" s="37">
        <f t="shared" si="15"/>
        <v>0.7821373865912572</v>
      </c>
      <c r="K188" s="23" t="s">
        <v>70</v>
      </c>
    </row>
    <row r="189" spans="1:11" x14ac:dyDescent="0.25">
      <c r="A189" s="23" t="s">
        <v>595</v>
      </c>
      <c r="B189" s="23" t="s">
        <v>488</v>
      </c>
      <c r="C189" s="24" t="s">
        <v>632</v>
      </c>
      <c r="D189" s="23" t="s">
        <v>15</v>
      </c>
      <c r="E189" s="25">
        <v>1650</v>
      </c>
      <c r="F189" s="25">
        <v>1018.44</v>
      </c>
      <c r="G189" s="36">
        <f t="shared" si="12"/>
        <v>92.585454545454553</v>
      </c>
      <c r="H189" s="36">
        <f t="shared" si="13"/>
        <v>925.85454545454547</v>
      </c>
      <c r="I189" s="36">
        <f t="shared" si="14"/>
        <v>724.14545454545453</v>
      </c>
      <c r="J189" s="37">
        <f t="shared" si="15"/>
        <v>0.7821373865912572</v>
      </c>
      <c r="K189" s="23" t="s">
        <v>70</v>
      </c>
    </row>
    <row r="190" spans="1:11" x14ac:dyDescent="0.25">
      <c r="A190" s="23" t="s">
        <v>595</v>
      </c>
      <c r="B190" s="23" t="s">
        <v>488</v>
      </c>
      <c r="C190" s="24" t="s">
        <v>633</v>
      </c>
      <c r="D190" s="23" t="s">
        <v>15</v>
      </c>
      <c r="E190" s="25">
        <v>1650</v>
      </c>
      <c r="F190" s="25">
        <v>1018.44</v>
      </c>
      <c r="G190" s="36">
        <f t="shared" si="12"/>
        <v>92.585454545454553</v>
      </c>
      <c r="H190" s="36">
        <f t="shared" si="13"/>
        <v>925.85454545454547</v>
      </c>
      <c r="I190" s="36">
        <f t="shared" si="14"/>
        <v>724.14545454545453</v>
      </c>
      <c r="J190" s="37">
        <f t="shared" si="15"/>
        <v>0.7821373865912572</v>
      </c>
      <c r="K190" s="23" t="s">
        <v>70</v>
      </c>
    </row>
    <row r="191" spans="1:11" x14ac:dyDescent="0.25">
      <c r="A191" s="23" t="s">
        <v>595</v>
      </c>
      <c r="B191" s="23" t="s">
        <v>488</v>
      </c>
      <c r="C191" s="24" t="s">
        <v>634</v>
      </c>
      <c r="D191" s="23" t="s">
        <v>15</v>
      </c>
      <c r="E191" s="25">
        <v>1650</v>
      </c>
      <c r="F191" s="25">
        <v>1018.44</v>
      </c>
      <c r="G191" s="36">
        <f t="shared" si="12"/>
        <v>92.585454545454553</v>
      </c>
      <c r="H191" s="36">
        <f t="shared" si="13"/>
        <v>925.85454545454547</v>
      </c>
      <c r="I191" s="36">
        <f t="shared" si="14"/>
        <v>724.14545454545453</v>
      </c>
      <c r="J191" s="37">
        <f t="shared" si="15"/>
        <v>0.7821373865912572</v>
      </c>
      <c r="K191" s="23" t="s">
        <v>70</v>
      </c>
    </row>
    <row r="192" spans="1:11" x14ac:dyDescent="0.25">
      <c r="A192" s="23" t="s">
        <v>595</v>
      </c>
      <c r="B192" s="23" t="s">
        <v>488</v>
      </c>
      <c r="C192" s="24" t="s">
        <v>635</v>
      </c>
      <c r="D192" s="23" t="s">
        <v>15</v>
      </c>
      <c r="E192" s="25">
        <v>1650</v>
      </c>
      <c r="F192" s="25">
        <v>1018.44</v>
      </c>
      <c r="G192" s="36">
        <f t="shared" si="12"/>
        <v>92.585454545454553</v>
      </c>
      <c r="H192" s="36">
        <f t="shared" si="13"/>
        <v>925.85454545454547</v>
      </c>
      <c r="I192" s="36">
        <f t="shared" si="14"/>
        <v>724.14545454545453</v>
      </c>
      <c r="J192" s="37">
        <f t="shared" si="15"/>
        <v>0.7821373865912572</v>
      </c>
      <c r="K192" s="23" t="s">
        <v>70</v>
      </c>
    </row>
    <row r="193" spans="1:11" x14ac:dyDescent="0.25">
      <c r="A193" s="23" t="s">
        <v>595</v>
      </c>
      <c r="B193" s="23" t="s">
        <v>488</v>
      </c>
      <c r="C193" s="24" t="s">
        <v>636</v>
      </c>
      <c r="D193" s="23" t="s">
        <v>15</v>
      </c>
      <c r="E193" s="25">
        <v>1650</v>
      </c>
      <c r="F193" s="25">
        <v>1018.44</v>
      </c>
      <c r="G193" s="36">
        <f t="shared" si="12"/>
        <v>92.585454545454553</v>
      </c>
      <c r="H193" s="36">
        <f t="shared" si="13"/>
        <v>925.85454545454547</v>
      </c>
      <c r="I193" s="36">
        <f t="shared" si="14"/>
        <v>724.14545454545453</v>
      </c>
      <c r="J193" s="37">
        <f t="shared" si="15"/>
        <v>0.7821373865912572</v>
      </c>
      <c r="K193" s="23" t="s">
        <v>70</v>
      </c>
    </row>
    <row r="194" spans="1:11" x14ac:dyDescent="0.25">
      <c r="A194" s="23" t="s">
        <v>595</v>
      </c>
      <c r="B194" s="23" t="s">
        <v>488</v>
      </c>
      <c r="C194" s="24" t="s">
        <v>637</v>
      </c>
      <c r="D194" s="23" t="s">
        <v>15</v>
      </c>
      <c r="E194" s="25">
        <v>1650</v>
      </c>
      <c r="F194" s="25">
        <v>1018.44</v>
      </c>
      <c r="G194" s="36">
        <f t="shared" si="12"/>
        <v>92.585454545454553</v>
      </c>
      <c r="H194" s="36">
        <f t="shared" si="13"/>
        <v>925.85454545454547</v>
      </c>
      <c r="I194" s="36">
        <f t="shared" si="14"/>
        <v>724.14545454545453</v>
      </c>
      <c r="J194" s="37">
        <f t="shared" si="15"/>
        <v>0.7821373865912572</v>
      </c>
      <c r="K194" s="23" t="s">
        <v>70</v>
      </c>
    </row>
    <row r="195" spans="1:11" x14ac:dyDescent="0.25">
      <c r="A195" s="23" t="s">
        <v>595</v>
      </c>
      <c r="B195" s="23" t="s">
        <v>488</v>
      </c>
      <c r="C195" s="24" t="s">
        <v>638</v>
      </c>
      <c r="D195" s="23" t="s">
        <v>15</v>
      </c>
      <c r="E195" s="25">
        <v>1650</v>
      </c>
      <c r="F195" s="25">
        <v>1018.44</v>
      </c>
      <c r="G195" s="36">
        <f t="shared" si="12"/>
        <v>92.585454545454553</v>
      </c>
      <c r="H195" s="36">
        <f t="shared" si="13"/>
        <v>925.85454545454547</v>
      </c>
      <c r="I195" s="36">
        <f t="shared" si="14"/>
        <v>724.14545454545453</v>
      </c>
      <c r="J195" s="37">
        <f t="shared" si="15"/>
        <v>0.7821373865912572</v>
      </c>
      <c r="K195" s="23" t="s">
        <v>70</v>
      </c>
    </row>
    <row r="196" spans="1:11" x14ac:dyDescent="0.25">
      <c r="A196" s="23" t="s">
        <v>595</v>
      </c>
      <c r="B196" s="23" t="s">
        <v>488</v>
      </c>
      <c r="C196" s="24" t="s">
        <v>639</v>
      </c>
      <c r="D196" s="23" t="s">
        <v>15</v>
      </c>
      <c r="E196" s="25">
        <v>1650</v>
      </c>
      <c r="F196" s="25">
        <v>1018.44</v>
      </c>
      <c r="G196" s="36">
        <f t="shared" si="12"/>
        <v>92.585454545454553</v>
      </c>
      <c r="H196" s="36">
        <f t="shared" si="13"/>
        <v>925.85454545454547</v>
      </c>
      <c r="I196" s="36">
        <f t="shared" si="14"/>
        <v>724.14545454545453</v>
      </c>
      <c r="J196" s="37">
        <f t="shared" si="15"/>
        <v>0.7821373865912572</v>
      </c>
      <c r="K196" s="23" t="s">
        <v>70</v>
      </c>
    </row>
    <row r="197" spans="1:11" x14ac:dyDescent="0.25">
      <c r="A197" s="23" t="s">
        <v>595</v>
      </c>
      <c r="B197" s="23" t="s">
        <v>488</v>
      </c>
      <c r="C197" s="24" t="s">
        <v>640</v>
      </c>
      <c r="D197" s="23" t="s">
        <v>15</v>
      </c>
      <c r="E197" s="25">
        <v>1650</v>
      </c>
      <c r="F197" s="25">
        <v>1018.44</v>
      </c>
      <c r="G197" s="36">
        <f t="shared" si="12"/>
        <v>92.585454545454553</v>
      </c>
      <c r="H197" s="36">
        <f t="shared" si="13"/>
        <v>925.85454545454547</v>
      </c>
      <c r="I197" s="36">
        <f t="shared" si="14"/>
        <v>724.14545454545453</v>
      </c>
      <c r="J197" s="37">
        <f t="shared" si="15"/>
        <v>0.7821373865912572</v>
      </c>
      <c r="K197" s="23" t="s">
        <v>70</v>
      </c>
    </row>
    <row r="198" spans="1:11" x14ac:dyDescent="0.25">
      <c r="A198" s="23" t="s">
        <v>595</v>
      </c>
      <c r="B198" s="23" t="s">
        <v>488</v>
      </c>
      <c r="C198" s="24" t="s">
        <v>641</v>
      </c>
      <c r="D198" s="23" t="s">
        <v>15</v>
      </c>
      <c r="E198" s="25">
        <v>1650</v>
      </c>
      <c r="F198" s="25">
        <v>1018.44</v>
      </c>
      <c r="G198" s="36">
        <f t="shared" si="12"/>
        <v>92.585454545454553</v>
      </c>
      <c r="H198" s="36">
        <f t="shared" si="13"/>
        <v>925.85454545454547</v>
      </c>
      <c r="I198" s="36">
        <f t="shared" si="14"/>
        <v>724.14545454545453</v>
      </c>
      <c r="J198" s="37">
        <f t="shared" si="15"/>
        <v>0.7821373865912572</v>
      </c>
      <c r="K198" s="23" t="s">
        <v>70</v>
      </c>
    </row>
    <row r="199" spans="1:11" x14ac:dyDescent="0.25">
      <c r="A199" s="23" t="s">
        <v>595</v>
      </c>
      <c r="B199" s="23" t="s">
        <v>488</v>
      </c>
      <c r="C199" s="24" t="s">
        <v>642</v>
      </c>
      <c r="D199" s="23" t="s">
        <v>15</v>
      </c>
      <c r="E199" s="25">
        <v>1650</v>
      </c>
      <c r="F199" s="25">
        <v>1018.44</v>
      </c>
      <c r="G199" s="36">
        <f t="shared" si="12"/>
        <v>92.585454545454553</v>
      </c>
      <c r="H199" s="36">
        <f t="shared" si="13"/>
        <v>925.85454545454547</v>
      </c>
      <c r="I199" s="36">
        <f t="shared" si="14"/>
        <v>724.14545454545453</v>
      </c>
      <c r="J199" s="37">
        <f t="shared" si="15"/>
        <v>0.7821373865912572</v>
      </c>
      <c r="K199" s="23" t="s">
        <v>70</v>
      </c>
    </row>
    <row r="200" spans="1:11" x14ac:dyDescent="0.25">
      <c r="A200" s="23" t="s">
        <v>595</v>
      </c>
      <c r="B200" s="23" t="s">
        <v>488</v>
      </c>
      <c r="C200" s="24" t="s">
        <v>643</v>
      </c>
      <c r="D200" s="23" t="s">
        <v>15</v>
      </c>
      <c r="E200" s="25">
        <v>1650</v>
      </c>
      <c r="F200" s="25">
        <v>1018.44</v>
      </c>
      <c r="G200" s="36">
        <f t="shared" si="12"/>
        <v>92.585454545454553</v>
      </c>
      <c r="H200" s="36">
        <f t="shared" si="13"/>
        <v>925.85454545454547</v>
      </c>
      <c r="I200" s="36">
        <f t="shared" si="14"/>
        <v>724.14545454545453</v>
      </c>
      <c r="J200" s="37">
        <f t="shared" si="15"/>
        <v>0.7821373865912572</v>
      </c>
      <c r="K200" s="23" t="s">
        <v>70</v>
      </c>
    </row>
    <row r="201" spans="1:11" x14ac:dyDescent="0.25">
      <c r="A201" s="23" t="s">
        <v>595</v>
      </c>
      <c r="B201" s="23" t="s">
        <v>488</v>
      </c>
      <c r="C201" s="24" t="s">
        <v>644</v>
      </c>
      <c r="D201" s="23" t="s">
        <v>15</v>
      </c>
      <c r="E201" s="25">
        <v>1650</v>
      </c>
      <c r="F201" s="25">
        <v>1018.44</v>
      </c>
      <c r="G201" s="36">
        <f t="shared" si="12"/>
        <v>92.585454545454553</v>
      </c>
      <c r="H201" s="36">
        <f t="shared" si="13"/>
        <v>925.85454545454547</v>
      </c>
      <c r="I201" s="36">
        <f t="shared" si="14"/>
        <v>724.14545454545453</v>
      </c>
      <c r="J201" s="37">
        <f t="shared" si="15"/>
        <v>0.7821373865912572</v>
      </c>
      <c r="K201" s="23" t="s">
        <v>70</v>
      </c>
    </row>
    <row r="202" spans="1:11" x14ac:dyDescent="0.25">
      <c r="A202" s="23" t="s">
        <v>595</v>
      </c>
      <c r="B202" s="23" t="s">
        <v>488</v>
      </c>
      <c r="C202" s="24" t="s">
        <v>645</v>
      </c>
      <c r="D202" s="23" t="s">
        <v>15</v>
      </c>
      <c r="E202" s="25">
        <v>1650</v>
      </c>
      <c r="F202" s="25">
        <v>1018.44</v>
      </c>
      <c r="G202" s="36">
        <f t="shared" si="12"/>
        <v>92.585454545454553</v>
      </c>
      <c r="H202" s="36">
        <f t="shared" si="13"/>
        <v>925.85454545454547</v>
      </c>
      <c r="I202" s="36">
        <f t="shared" si="14"/>
        <v>724.14545454545453</v>
      </c>
      <c r="J202" s="37">
        <f t="shared" si="15"/>
        <v>0.7821373865912572</v>
      </c>
      <c r="K202" s="23" t="s">
        <v>70</v>
      </c>
    </row>
    <row r="203" spans="1:11" x14ac:dyDescent="0.25">
      <c r="A203" s="23" t="s">
        <v>595</v>
      </c>
      <c r="B203" s="23" t="s">
        <v>488</v>
      </c>
      <c r="C203" s="24" t="s">
        <v>646</v>
      </c>
      <c r="D203" s="23" t="s">
        <v>15</v>
      </c>
      <c r="E203" s="25">
        <v>1650</v>
      </c>
      <c r="F203" s="25">
        <v>1018.44</v>
      </c>
      <c r="G203" s="36">
        <f t="shared" si="12"/>
        <v>92.585454545454553</v>
      </c>
      <c r="H203" s="36">
        <f t="shared" si="13"/>
        <v>925.85454545454547</v>
      </c>
      <c r="I203" s="36">
        <f t="shared" si="14"/>
        <v>724.14545454545453</v>
      </c>
      <c r="J203" s="37">
        <f t="shared" si="15"/>
        <v>0.7821373865912572</v>
      </c>
      <c r="K203" s="23" t="s">
        <v>70</v>
      </c>
    </row>
    <row r="204" spans="1:11" x14ac:dyDescent="0.25">
      <c r="A204" s="23" t="s">
        <v>595</v>
      </c>
      <c r="B204" s="23" t="s">
        <v>488</v>
      </c>
      <c r="C204" s="24" t="s">
        <v>647</v>
      </c>
      <c r="D204" s="23" t="s">
        <v>15</v>
      </c>
      <c r="E204" s="25">
        <v>1650</v>
      </c>
      <c r="F204" s="25">
        <v>1018.44</v>
      </c>
      <c r="G204" s="36">
        <f t="shared" si="12"/>
        <v>92.585454545454553</v>
      </c>
      <c r="H204" s="36">
        <f t="shared" si="13"/>
        <v>925.85454545454547</v>
      </c>
      <c r="I204" s="36">
        <f t="shared" si="14"/>
        <v>724.14545454545453</v>
      </c>
      <c r="J204" s="37">
        <f t="shared" si="15"/>
        <v>0.7821373865912572</v>
      </c>
      <c r="K204" s="23" t="s">
        <v>70</v>
      </c>
    </row>
    <row r="205" spans="1:11" x14ac:dyDescent="0.25">
      <c r="A205" s="23" t="s">
        <v>595</v>
      </c>
      <c r="B205" s="23" t="s">
        <v>488</v>
      </c>
      <c r="C205" s="24" t="s">
        <v>648</v>
      </c>
      <c r="D205" s="23" t="s">
        <v>15</v>
      </c>
      <c r="E205" s="25">
        <v>1650</v>
      </c>
      <c r="F205" s="25">
        <v>1018.44</v>
      </c>
      <c r="G205" s="36">
        <f t="shared" si="12"/>
        <v>92.585454545454553</v>
      </c>
      <c r="H205" s="36">
        <f t="shared" si="13"/>
        <v>925.85454545454547</v>
      </c>
      <c r="I205" s="36">
        <f t="shared" si="14"/>
        <v>724.14545454545453</v>
      </c>
      <c r="J205" s="37">
        <f t="shared" si="15"/>
        <v>0.7821373865912572</v>
      </c>
      <c r="K205" s="23" t="s">
        <v>70</v>
      </c>
    </row>
    <row r="206" spans="1:11" x14ac:dyDescent="0.25">
      <c r="A206" s="23" t="s">
        <v>595</v>
      </c>
      <c r="B206" s="23" t="s">
        <v>488</v>
      </c>
      <c r="C206" s="24" t="s">
        <v>649</v>
      </c>
      <c r="D206" s="23" t="s">
        <v>15</v>
      </c>
      <c r="E206" s="25">
        <v>1650</v>
      </c>
      <c r="F206" s="25">
        <v>1018.44</v>
      </c>
      <c r="G206" s="36">
        <f t="shared" si="12"/>
        <v>92.585454545454553</v>
      </c>
      <c r="H206" s="36">
        <f t="shared" si="13"/>
        <v>925.85454545454547</v>
      </c>
      <c r="I206" s="36">
        <f t="shared" si="14"/>
        <v>724.14545454545453</v>
      </c>
      <c r="J206" s="37">
        <f t="shared" si="15"/>
        <v>0.7821373865912572</v>
      </c>
      <c r="K206" s="23" t="s">
        <v>70</v>
      </c>
    </row>
    <row r="207" spans="1:11" x14ac:dyDescent="0.25">
      <c r="A207" s="23" t="s">
        <v>595</v>
      </c>
      <c r="B207" s="23" t="s">
        <v>488</v>
      </c>
      <c r="C207" s="24" t="s">
        <v>650</v>
      </c>
      <c r="D207" s="23" t="s">
        <v>15</v>
      </c>
      <c r="E207" s="25">
        <v>1650</v>
      </c>
      <c r="F207" s="25">
        <v>1018.44</v>
      </c>
      <c r="G207" s="36">
        <f t="shared" si="12"/>
        <v>92.585454545454553</v>
      </c>
      <c r="H207" s="36">
        <f t="shared" si="13"/>
        <v>925.85454545454547</v>
      </c>
      <c r="I207" s="36">
        <f t="shared" si="14"/>
        <v>724.14545454545453</v>
      </c>
      <c r="J207" s="37">
        <f t="shared" si="15"/>
        <v>0.7821373865912572</v>
      </c>
      <c r="K207" s="23" t="s">
        <v>70</v>
      </c>
    </row>
    <row r="208" spans="1:11" x14ac:dyDescent="0.25">
      <c r="A208" s="23" t="s">
        <v>595</v>
      </c>
      <c r="B208" s="23" t="s">
        <v>488</v>
      </c>
      <c r="C208" s="24" t="s">
        <v>651</v>
      </c>
      <c r="D208" s="23" t="s">
        <v>15</v>
      </c>
      <c r="E208" s="25">
        <v>1650</v>
      </c>
      <c r="F208" s="25">
        <v>1018.44</v>
      </c>
      <c r="G208" s="36">
        <f t="shared" si="12"/>
        <v>92.585454545454553</v>
      </c>
      <c r="H208" s="36">
        <f t="shared" si="13"/>
        <v>925.85454545454547</v>
      </c>
      <c r="I208" s="36">
        <f t="shared" si="14"/>
        <v>724.14545454545453</v>
      </c>
      <c r="J208" s="37">
        <f t="shared" si="15"/>
        <v>0.7821373865912572</v>
      </c>
      <c r="K208" s="23" t="s">
        <v>70</v>
      </c>
    </row>
    <row r="209" spans="1:11" x14ac:dyDescent="0.25">
      <c r="A209" s="23" t="s">
        <v>595</v>
      </c>
      <c r="B209" s="23" t="s">
        <v>488</v>
      </c>
      <c r="C209" s="24" t="s">
        <v>652</v>
      </c>
      <c r="D209" s="23" t="s">
        <v>15</v>
      </c>
      <c r="E209" s="25">
        <v>1650</v>
      </c>
      <c r="F209" s="25">
        <v>1018.44</v>
      </c>
      <c r="G209" s="36">
        <f t="shared" si="12"/>
        <v>92.585454545454553</v>
      </c>
      <c r="H209" s="36">
        <f t="shared" si="13"/>
        <v>925.85454545454547</v>
      </c>
      <c r="I209" s="36">
        <f t="shared" si="14"/>
        <v>724.14545454545453</v>
      </c>
      <c r="J209" s="37">
        <f t="shared" si="15"/>
        <v>0.7821373865912572</v>
      </c>
      <c r="K209" s="23" t="s">
        <v>70</v>
      </c>
    </row>
    <row r="210" spans="1:11" x14ac:dyDescent="0.25">
      <c r="A210" s="23" t="s">
        <v>595</v>
      </c>
      <c r="B210" s="23" t="s">
        <v>488</v>
      </c>
      <c r="C210" s="24" t="s">
        <v>653</v>
      </c>
      <c r="D210" s="23" t="s">
        <v>15</v>
      </c>
      <c r="E210" s="25">
        <v>1650</v>
      </c>
      <c r="F210" s="25">
        <v>1018.44</v>
      </c>
      <c r="G210" s="36">
        <f t="shared" si="12"/>
        <v>92.585454545454553</v>
      </c>
      <c r="H210" s="36">
        <f t="shared" si="13"/>
        <v>925.85454545454547</v>
      </c>
      <c r="I210" s="36">
        <f t="shared" si="14"/>
        <v>724.14545454545453</v>
      </c>
      <c r="J210" s="37">
        <f t="shared" si="15"/>
        <v>0.7821373865912572</v>
      </c>
      <c r="K210" s="23" t="s">
        <v>70</v>
      </c>
    </row>
    <row r="211" spans="1:11" x14ac:dyDescent="0.25">
      <c r="A211" s="23" t="s">
        <v>595</v>
      </c>
      <c r="B211" s="23" t="s">
        <v>488</v>
      </c>
      <c r="C211" s="24" t="s">
        <v>654</v>
      </c>
      <c r="D211" s="23" t="s">
        <v>15</v>
      </c>
      <c r="E211" s="25">
        <v>1650</v>
      </c>
      <c r="F211" s="25">
        <v>1018.44</v>
      </c>
      <c r="G211" s="36">
        <f t="shared" si="12"/>
        <v>92.585454545454553</v>
      </c>
      <c r="H211" s="36">
        <f t="shared" si="13"/>
        <v>925.85454545454547</v>
      </c>
      <c r="I211" s="36">
        <f t="shared" si="14"/>
        <v>724.14545454545453</v>
      </c>
      <c r="J211" s="37">
        <f t="shared" si="15"/>
        <v>0.7821373865912572</v>
      </c>
      <c r="K211" s="23" t="s">
        <v>70</v>
      </c>
    </row>
    <row r="212" spans="1:11" x14ac:dyDescent="0.25">
      <c r="A212" s="23" t="s">
        <v>595</v>
      </c>
      <c r="B212" s="23" t="s">
        <v>488</v>
      </c>
      <c r="C212" s="24" t="s">
        <v>655</v>
      </c>
      <c r="D212" s="23" t="s">
        <v>15</v>
      </c>
      <c r="E212" s="25">
        <v>1650</v>
      </c>
      <c r="F212" s="25">
        <v>1018.44</v>
      </c>
      <c r="G212" s="36">
        <f t="shared" si="12"/>
        <v>92.585454545454553</v>
      </c>
      <c r="H212" s="36">
        <f t="shared" si="13"/>
        <v>925.85454545454547</v>
      </c>
      <c r="I212" s="36">
        <f t="shared" si="14"/>
        <v>724.14545454545453</v>
      </c>
      <c r="J212" s="37">
        <f t="shared" si="15"/>
        <v>0.7821373865912572</v>
      </c>
      <c r="K212" s="23" t="s">
        <v>70</v>
      </c>
    </row>
    <row r="213" spans="1:11" x14ac:dyDescent="0.25">
      <c r="A213" s="23" t="s">
        <v>595</v>
      </c>
      <c r="B213" s="23" t="s">
        <v>488</v>
      </c>
      <c r="C213" s="24" t="s">
        <v>656</v>
      </c>
      <c r="D213" s="23" t="s">
        <v>15</v>
      </c>
      <c r="E213" s="25">
        <v>1650</v>
      </c>
      <c r="F213" s="25">
        <v>1018.44</v>
      </c>
      <c r="G213" s="36">
        <f t="shared" si="12"/>
        <v>92.585454545454553</v>
      </c>
      <c r="H213" s="36">
        <f t="shared" si="13"/>
        <v>925.85454545454547</v>
      </c>
      <c r="I213" s="36">
        <f t="shared" si="14"/>
        <v>724.14545454545453</v>
      </c>
      <c r="J213" s="37">
        <f t="shared" si="15"/>
        <v>0.7821373865912572</v>
      </c>
      <c r="K213" s="23" t="s">
        <v>70</v>
      </c>
    </row>
    <row r="214" spans="1:11" x14ac:dyDescent="0.25">
      <c r="A214" s="23" t="s">
        <v>595</v>
      </c>
      <c r="B214" s="23" t="s">
        <v>488</v>
      </c>
      <c r="C214" s="24" t="s">
        <v>657</v>
      </c>
      <c r="D214" s="23" t="s">
        <v>15</v>
      </c>
      <c r="E214" s="25">
        <v>1650</v>
      </c>
      <c r="F214" s="25">
        <v>1018.44</v>
      </c>
      <c r="G214" s="36">
        <f t="shared" si="12"/>
        <v>92.585454545454553</v>
      </c>
      <c r="H214" s="36">
        <f t="shared" si="13"/>
        <v>925.85454545454547</v>
      </c>
      <c r="I214" s="36">
        <f t="shared" si="14"/>
        <v>724.14545454545453</v>
      </c>
      <c r="J214" s="37">
        <f t="shared" si="15"/>
        <v>0.7821373865912572</v>
      </c>
      <c r="K214" s="23" t="s">
        <v>70</v>
      </c>
    </row>
    <row r="215" spans="1:11" x14ac:dyDescent="0.25">
      <c r="A215" s="23" t="s">
        <v>595</v>
      </c>
      <c r="B215" s="23" t="s">
        <v>488</v>
      </c>
      <c r="C215" s="24" t="s">
        <v>658</v>
      </c>
      <c r="D215" s="23" t="s">
        <v>15</v>
      </c>
      <c r="E215" s="25">
        <v>1650</v>
      </c>
      <c r="F215" s="25">
        <v>1018.44</v>
      </c>
      <c r="G215" s="36">
        <f t="shared" si="12"/>
        <v>92.585454545454553</v>
      </c>
      <c r="H215" s="36">
        <f t="shared" si="13"/>
        <v>925.85454545454547</v>
      </c>
      <c r="I215" s="36">
        <f t="shared" si="14"/>
        <v>724.14545454545453</v>
      </c>
      <c r="J215" s="37">
        <f t="shared" si="15"/>
        <v>0.7821373865912572</v>
      </c>
      <c r="K215" s="23" t="s">
        <v>70</v>
      </c>
    </row>
    <row r="216" spans="1:11" x14ac:dyDescent="0.25">
      <c r="A216" s="23" t="s">
        <v>595</v>
      </c>
      <c r="B216" s="23" t="s">
        <v>488</v>
      </c>
      <c r="C216" s="24" t="s">
        <v>659</v>
      </c>
      <c r="D216" s="23" t="s">
        <v>15</v>
      </c>
      <c r="E216" s="25">
        <v>1650</v>
      </c>
      <c r="F216" s="25">
        <v>1018.44</v>
      </c>
      <c r="G216" s="36">
        <f t="shared" si="12"/>
        <v>92.585454545454553</v>
      </c>
      <c r="H216" s="36">
        <f t="shared" si="13"/>
        <v>925.85454545454547</v>
      </c>
      <c r="I216" s="36">
        <f t="shared" si="14"/>
        <v>724.14545454545453</v>
      </c>
      <c r="J216" s="37">
        <f t="shared" si="15"/>
        <v>0.7821373865912572</v>
      </c>
      <c r="K216" s="23" t="s">
        <v>70</v>
      </c>
    </row>
    <row r="217" spans="1:11" x14ac:dyDescent="0.25">
      <c r="A217" s="23" t="s">
        <v>595</v>
      </c>
      <c r="B217" s="23" t="s">
        <v>488</v>
      </c>
      <c r="C217" s="24" t="s">
        <v>660</v>
      </c>
      <c r="D217" s="23" t="s">
        <v>15</v>
      </c>
      <c r="E217" s="25">
        <v>1650</v>
      </c>
      <c r="F217" s="25">
        <v>1018.44</v>
      </c>
      <c r="G217" s="36">
        <f t="shared" si="12"/>
        <v>92.585454545454553</v>
      </c>
      <c r="H217" s="36">
        <f t="shared" si="13"/>
        <v>925.85454545454547</v>
      </c>
      <c r="I217" s="36">
        <f t="shared" si="14"/>
        <v>724.14545454545453</v>
      </c>
      <c r="J217" s="37">
        <f t="shared" si="15"/>
        <v>0.7821373865912572</v>
      </c>
      <c r="K217" s="23" t="s">
        <v>70</v>
      </c>
    </row>
    <row r="218" spans="1:11" x14ac:dyDescent="0.25">
      <c r="A218" s="23" t="s">
        <v>595</v>
      </c>
      <c r="B218" s="23" t="s">
        <v>488</v>
      </c>
      <c r="C218" s="24" t="s">
        <v>661</v>
      </c>
      <c r="D218" s="23" t="s">
        <v>15</v>
      </c>
      <c r="E218" s="25">
        <v>1650</v>
      </c>
      <c r="F218" s="25">
        <v>1018.44</v>
      </c>
      <c r="G218" s="36">
        <f t="shared" si="12"/>
        <v>92.585454545454553</v>
      </c>
      <c r="H218" s="36">
        <f t="shared" si="13"/>
        <v>925.85454545454547</v>
      </c>
      <c r="I218" s="36">
        <f t="shared" si="14"/>
        <v>724.14545454545453</v>
      </c>
      <c r="J218" s="37">
        <f t="shared" si="15"/>
        <v>0.7821373865912572</v>
      </c>
      <c r="K218" s="23" t="s">
        <v>70</v>
      </c>
    </row>
    <row r="219" spans="1:11" x14ac:dyDescent="0.25">
      <c r="A219" s="23" t="s">
        <v>595</v>
      </c>
      <c r="B219" s="23" t="s">
        <v>488</v>
      </c>
      <c r="C219" s="24" t="s">
        <v>662</v>
      </c>
      <c r="D219" s="23" t="s">
        <v>15</v>
      </c>
      <c r="E219" s="25">
        <v>1650</v>
      </c>
      <c r="F219" s="25">
        <v>1018.44</v>
      </c>
      <c r="G219" s="36">
        <f t="shared" si="12"/>
        <v>92.585454545454553</v>
      </c>
      <c r="H219" s="36">
        <f t="shared" si="13"/>
        <v>925.85454545454547</v>
      </c>
      <c r="I219" s="36">
        <f t="shared" si="14"/>
        <v>724.14545454545453</v>
      </c>
      <c r="J219" s="37">
        <f t="shared" si="15"/>
        <v>0.7821373865912572</v>
      </c>
      <c r="K219" s="23" t="s">
        <v>70</v>
      </c>
    </row>
    <row r="220" spans="1:11" x14ac:dyDescent="0.25">
      <c r="A220" s="23" t="s">
        <v>595</v>
      </c>
      <c r="B220" s="23" t="s">
        <v>488</v>
      </c>
      <c r="C220" s="24" t="s">
        <v>663</v>
      </c>
      <c r="D220" s="23" t="s">
        <v>15</v>
      </c>
      <c r="E220" s="25">
        <v>1650</v>
      </c>
      <c r="F220" s="25">
        <v>1018.44</v>
      </c>
      <c r="G220" s="36">
        <f t="shared" si="12"/>
        <v>92.585454545454553</v>
      </c>
      <c r="H220" s="36">
        <f t="shared" si="13"/>
        <v>925.85454545454547</v>
      </c>
      <c r="I220" s="36">
        <f t="shared" si="14"/>
        <v>724.14545454545453</v>
      </c>
      <c r="J220" s="37">
        <f t="shared" si="15"/>
        <v>0.7821373865912572</v>
      </c>
      <c r="K220" s="23" t="s">
        <v>70</v>
      </c>
    </row>
    <row r="221" spans="1:11" x14ac:dyDescent="0.25">
      <c r="A221" s="23" t="s">
        <v>595</v>
      </c>
      <c r="B221" s="23" t="s">
        <v>488</v>
      </c>
      <c r="C221" s="24" t="s">
        <v>664</v>
      </c>
      <c r="D221" s="23" t="s">
        <v>15</v>
      </c>
      <c r="E221" s="25">
        <v>1650</v>
      </c>
      <c r="F221" s="25">
        <v>1018.44</v>
      </c>
      <c r="G221" s="36">
        <f t="shared" si="12"/>
        <v>92.585454545454553</v>
      </c>
      <c r="H221" s="36">
        <f t="shared" si="13"/>
        <v>925.85454545454547</v>
      </c>
      <c r="I221" s="36">
        <f t="shared" si="14"/>
        <v>724.14545454545453</v>
      </c>
      <c r="J221" s="37">
        <f t="shared" si="15"/>
        <v>0.7821373865912572</v>
      </c>
      <c r="K221" s="23" t="s">
        <v>70</v>
      </c>
    </row>
    <row r="222" spans="1:11" x14ac:dyDescent="0.25">
      <c r="A222" s="23" t="s">
        <v>595</v>
      </c>
      <c r="B222" s="23" t="s">
        <v>488</v>
      </c>
      <c r="C222" s="24" t="s">
        <v>665</v>
      </c>
      <c r="D222" s="23" t="s">
        <v>15</v>
      </c>
      <c r="E222" s="25">
        <v>1650</v>
      </c>
      <c r="F222" s="25">
        <v>1018.44</v>
      </c>
      <c r="G222" s="36">
        <f t="shared" si="12"/>
        <v>92.585454545454553</v>
      </c>
      <c r="H222" s="36">
        <f t="shared" si="13"/>
        <v>925.85454545454547</v>
      </c>
      <c r="I222" s="36">
        <f t="shared" si="14"/>
        <v>724.14545454545453</v>
      </c>
      <c r="J222" s="37">
        <f t="shared" si="15"/>
        <v>0.7821373865912572</v>
      </c>
      <c r="K222" s="23" t="s">
        <v>70</v>
      </c>
    </row>
    <row r="223" spans="1:11" x14ac:dyDescent="0.25">
      <c r="A223" s="23" t="s">
        <v>595</v>
      </c>
      <c r="B223" s="23" t="s">
        <v>488</v>
      </c>
      <c r="C223" s="24" t="s">
        <v>666</v>
      </c>
      <c r="D223" s="23" t="s">
        <v>15</v>
      </c>
      <c r="E223" s="25">
        <v>1650</v>
      </c>
      <c r="F223" s="25">
        <v>1018.44</v>
      </c>
      <c r="G223" s="36">
        <f t="shared" si="12"/>
        <v>92.585454545454553</v>
      </c>
      <c r="H223" s="36">
        <f t="shared" si="13"/>
        <v>925.85454545454547</v>
      </c>
      <c r="I223" s="36">
        <f t="shared" si="14"/>
        <v>724.14545454545453</v>
      </c>
      <c r="J223" s="37">
        <f t="shared" si="15"/>
        <v>0.7821373865912572</v>
      </c>
      <c r="K223" s="23" t="s">
        <v>70</v>
      </c>
    </row>
    <row r="224" spans="1:11" x14ac:dyDescent="0.25">
      <c r="A224" s="23" t="s">
        <v>595</v>
      </c>
      <c r="B224" s="23" t="s">
        <v>488</v>
      </c>
      <c r="C224" s="24" t="s">
        <v>667</v>
      </c>
      <c r="D224" s="23" t="s">
        <v>15</v>
      </c>
      <c r="E224" s="25">
        <v>1650</v>
      </c>
      <c r="F224" s="25">
        <v>1018.44</v>
      </c>
      <c r="G224" s="36">
        <f t="shared" si="12"/>
        <v>92.585454545454553</v>
      </c>
      <c r="H224" s="36">
        <f t="shared" si="13"/>
        <v>925.85454545454547</v>
      </c>
      <c r="I224" s="36">
        <f t="shared" si="14"/>
        <v>724.14545454545453</v>
      </c>
      <c r="J224" s="37">
        <f t="shared" si="15"/>
        <v>0.7821373865912572</v>
      </c>
      <c r="K224" s="23" t="s">
        <v>70</v>
      </c>
    </row>
    <row r="225" spans="1:11" x14ac:dyDescent="0.25">
      <c r="A225" s="23" t="s">
        <v>595</v>
      </c>
      <c r="B225" s="23" t="s">
        <v>488</v>
      </c>
      <c r="C225" s="24" t="s">
        <v>668</v>
      </c>
      <c r="D225" s="23" t="s">
        <v>15</v>
      </c>
      <c r="E225" s="25">
        <v>1650</v>
      </c>
      <c r="F225" s="25">
        <v>1018.44</v>
      </c>
      <c r="G225" s="36">
        <f t="shared" si="12"/>
        <v>92.585454545454553</v>
      </c>
      <c r="H225" s="36">
        <f t="shared" si="13"/>
        <v>925.85454545454547</v>
      </c>
      <c r="I225" s="36">
        <f t="shared" si="14"/>
        <v>724.14545454545453</v>
      </c>
      <c r="J225" s="37">
        <f t="shared" si="15"/>
        <v>0.7821373865912572</v>
      </c>
      <c r="K225" s="23" t="s">
        <v>70</v>
      </c>
    </row>
    <row r="226" spans="1:11" x14ac:dyDescent="0.25">
      <c r="A226" s="23" t="s">
        <v>595</v>
      </c>
      <c r="B226" s="23" t="s">
        <v>488</v>
      </c>
      <c r="C226" s="24" t="s">
        <v>669</v>
      </c>
      <c r="D226" s="23" t="s">
        <v>15</v>
      </c>
      <c r="E226" s="25">
        <v>1650</v>
      </c>
      <c r="F226" s="25">
        <v>1018.44</v>
      </c>
      <c r="G226" s="36">
        <f t="shared" si="12"/>
        <v>92.585454545454553</v>
      </c>
      <c r="H226" s="36">
        <f t="shared" si="13"/>
        <v>925.85454545454547</v>
      </c>
      <c r="I226" s="36">
        <f t="shared" si="14"/>
        <v>724.14545454545453</v>
      </c>
      <c r="J226" s="37">
        <f t="shared" si="15"/>
        <v>0.7821373865912572</v>
      </c>
      <c r="K226" s="23" t="s">
        <v>70</v>
      </c>
    </row>
    <row r="227" spans="1:11" x14ac:dyDescent="0.25">
      <c r="A227" s="23" t="s">
        <v>595</v>
      </c>
      <c r="B227" s="23" t="s">
        <v>488</v>
      </c>
      <c r="C227" s="24" t="s">
        <v>670</v>
      </c>
      <c r="D227" s="23" t="s">
        <v>15</v>
      </c>
      <c r="E227" s="25">
        <v>1650</v>
      </c>
      <c r="F227" s="25">
        <v>1018.44</v>
      </c>
      <c r="G227" s="36">
        <f t="shared" si="12"/>
        <v>92.585454545454553</v>
      </c>
      <c r="H227" s="36">
        <f t="shared" si="13"/>
        <v>925.85454545454547</v>
      </c>
      <c r="I227" s="36">
        <f t="shared" si="14"/>
        <v>724.14545454545453</v>
      </c>
      <c r="J227" s="37">
        <f t="shared" si="15"/>
        <v>0.7821373865912572</v>
      </c>
      <c r="K227" s="23" t="s">
        <v>70</v>
      </c>
    </row>
    <row r="228" spans="1:11" x14ac:dyDescent="0.25">
      <c r="A228" s="23" t="s">
        <v>595</v>
      </c>
      <c r="B228" s="23" t="s">
        <v>488</v>
      </c>
      <c r="C228" s="24" t="s">
        <v>671</v>
      </c>
      <c r="D228" s="23" t="s">
        <v>15</v>
      </c>
      <c r="E228" s="25">
        <v>1650</v>
      </c>
      <c r="F228" s="25">
        <v>1018.44</v>
      </c>
      <c r="G228" s="36">
        <f t="shared" si="12"/>
        <v>92.585454545454553</v>
      </c>
      <c r="H228" s="36">
        <f t="shared" si="13"/>
        <v>925.85454545454547</v>
      </c>
      <c r="I228" s="36">
        <f t="shared" si="14"/>
        <v>724.14545454545453</v>
      </c>
      <c r="J228" s="37">
        <f t="shared" si="15"/>
        <v>0.7821373865912572</v>
      </c>
      <c r="K228" s="23" t="s">
        <v>70</v>
      </c>
    </row>
    <row r="229" spans="1:11" x14ac:dyDescent="0.25">
      <c r="A229" s="23" t="s">
        <v>595</v>
      </c>
      <c r="B229" s="23" t="s">
        <v>488</v>
      </c>
      <c r="C229" s="24" t="s">
        <v>672</v>
      </c>
      <c r="D229" s="23" t="s">
        <v>15</v>
      </c>
      <c r="E229" s="25">
        <v>1650</v>
      </c>
      <c r="F229" s="25">
        <v>1018.44</v>
      </c>
      <c r="G229" s="36">
        <f t="shared" si="12"/>
        <v>92.585454545454553</v>
      </c>
      <c r="H229" s="36">
        <f t="shared" si="13"/>
        <v>925.85454545454547</v>
      </c>
      <c r="I229" s="36">
        <f t="shared" si="14"/>
        <v>724.14545454545453</v>
      </c>
      <c r="J229" s="37">
        <f t="shared" si="15"/>
        <v>0.7821373865912572</v>
      </c>
      <c r="K229" s="23" t="s">
        <v>70</v>
      </c>
    </row>
    <row r="230" spans="1:11" x14ac:dyDescent="0.25">
      <c r="A230" s="23" t="s">
        <v>595</v>
      </c>
      <c r="B230" s="23" t="s">
        <v>488</v>
      </c>
      <c r="C230" s="24" t="s">
        <v>673</v>
      </c>
      <c r="D230" s="23" t="s">
        <v>15</v>
      </c>
      <c r="E230" s="25">
        <v>1650</v>
      </c>
      <c r="F230" s="25">
        <v>1018.44</v>
      </c>
      <c r="G230" s="36">
        <f t="shared" si="12"/>
        <v>92.585454545454553</v>
      </c>
      <c r="H230" s="36">
        <f t="shared" si="13"/>
        <v>925.85454545454547</v>
      </c>
      <c r="I230" s="36">
        <f t="shared" si="14"/>
        <v>724.14545454545453</v>
      </c>
      <c r="J230" s="37">
        <f t="shared" si="15"/>
        <v>0.7821373865912572</v>
      </c>
      <c r="K230" s="23" t="s">
        <v>70</v>
      </c>
    </row>
    <row r="231" spans="1:11" x14ac:dyDescent="0.25">
      <c r="A231" s="23" t="s">
        <v>595</v>
      </c>
      <c r="B231" s="23" t="s">
        <v>488</v>
      </c>
      <c r="C231" s="24" t="s">
        <v>674</v>
      </c>
      <c r="D231" s="23" t="s">
        <v>15</v>
      </c>
      <c r="E231" s="25">
        <v>1650</v>
      </c>
      <c r="F231" s="25">
        <v>1018.44</v>
      </c>
      <c r="G231" s="36">
        <f t="shared" si="12"/>
        <v>92.585454545454553</v>
      </c>
      <c r="H231" s="36">
        <f t="shared" si="13"/>
        <v>925.85454545454547</v>
      </c>
      <c r="I231" s="36">
        <f t="shared" si="14"/>
        <v>724.14545454545453</v>
      </c>
      <c r="J231" s="37">
        <f t="shared" si="15"/>
        <v>0.7821373865912572</v>
      </c>
      <c r="K231" s="23" t="s">
        <v>70</v>
      </c>
    </row>
    <row r="232" spans="1:11" x14ac:dyDescent="0.25">
      <c r="A232" s="23" t="s">
        <v>595</v>
      </c>
      <c r="B232" s="23" t="s">
        <v>488</v>
      </c>
      <c r="C232" s="24" t="s">
        <v>675</v>
      </c>
      <c r="D232" s="23" t="s">
        <v>15</v>
      </c>
      <c r="E232" s="25">
        <v>1650</v>
      </c>
      <c r="F232" s="25">
        <v>1018.44</v>
      </c>
      <c r="G232" s="36">
        <f t="shared" si="12"/>
        <v>92.585454545454553</v>
      </c>
      <c r="H232" s="36">
        <f t="shared" si="13"/>
        <v>925.85454545454547</v>
      </c>
      <c r="I232" s="36">
        <f t="shared" si="14"/>
        <v>724.14545454545453</v>
      </c>
      <c r="J232" s="37">
        <f t="shared" si="15"/>
        <v>0.7821373865912572</v>
      </c>
      <c r="K232" s="23" t="s">
        <v>70</v>
      </c>
    </row>
    <row r="233" spans="1:11" x14ac:dyDescent="0.25">
      <c r="A233" s="23" t="s">
        <v>595</v>
      </c>
      <c r="B233" s="23" t="s">
        <v>488</v>
      </c>
      <c r="C233" s="24" t="s">
        <v>676</v>
      </c>
      <c r="D233" s="23" t="s">
        <v>15</v>
      </c>
      <c r="E233" s="25">
        <v>1650</v>
      </c>
      <c r="F233" s="25">
        <v>1018.44</v>
      </c>
      <c r="G233" s="36">
        <f t="shared" si="12"/>
        <v>92.585454545454553</v>
      </c>
      <c r="H233" s="36">
        <f t="shared" si="13"/>
        <v>925.85454545454547</v>
      </c>
      <c r="I233" s="36">
        <f t="shared" si="14"/>
        <v>724.14545454545453</v>
      </c>
      <c r="J233" s="37">
        <f t="shared" si="15"/>
        <v>0.7821373865912572</v>
      </c>
      <c r="K233" s="23" t="s">
        <v>70</v>
      </c>
    </row>
    <row r="234" spans="1:11" x14ac:dyDescent="0.25">
      <c r="A234" s="23" t="s">
        <v>595</v>
      </c>
      <c r="B234" s="23" t="s">
        <v>488</v>
      </c>
      <c r="C234" s="24" t="s">
        <v>677</v>
      </c>
      <c r="D234" s="23" t="s">
        <v>15</v>
      </c>
      <c r="E234" s="25">
        <v>1650</v>
      </c>
      <c r="F234" s="25">
        <v>1018.44</v>
      </c>
      <c r="G234" s="36">
        <f t="shared" si="12"/>
        <v>92.585454545454553</v>
      </c>
      <c r="H234" s="36">
        <f t="shared" si="13"/>
        <v>925.85454545454547</v>
      </c>
      <c r="I234" s="36">
        <f t="shared" si="14"/>
        <v>724.14545454545453</v>
      </c>
      <c r="J234" s="37">
        <f t="shared" si="15"/>
        <v>0.7821373865912572</v>
      </c>
      <c r="K234" s="23" t="s">
        <v>70</v>
      </c>
    </row>
    <row r="235" spans="1:11" x14ac:dyDescent="0.25">
      <c r="A235" s="23" t="s">
        <v>595</v>
      </c>
      <c r="B235" s="23" t="s">
        <v>488</v>
      </c>
      <c r="C235" s="24" t="s">
        <v>678</v>
      </c>
      <c r="D235" s="23" t="s">
        <v>15</v>
      </c>
      <c r="E235" s="25">
        <v>1650</v>
      </c>
      <c r="F235" s="25">
        <v>1018.44</v>
      </c>
      <c r="G235" s="36">
        <f t="shared" si="12"/>
        <v>92.585454545454553</v>
      </c>
      <c r="H235" s="36">
        <f t="shared" si="13"/>
        <v>925.85454545454547</v>
      </c>
      <c r="I235" s="36">
        <f t="shared" si="14"/>
        <v>724.14545454545453</v>
      </c>
      <c r="J235" s="37">
        <f t="shared" si="15"/>
        <v>0.7821373865912572</v>
      </c>
      <c r="K235" s="23" t="s">
        <v>70</v>
      </c>
    </row>
    <row r="236" spans="1:11" x14ac:dyDescent="0.25">
      <c r="A236" s="23" t="s">
        <v>595</v>
      </c>
      <c r="B236" s="23" t="s">
        <v>488</v>
      </c>
      <c r="C236" s="24" t="s">
        <v>679</v>
      </c>
      <c r="D236" s="23" t="s">
        <v>15</v>
      </c>
      <c r="E236" s="25">
        <v>1650</v>
      </c>
      <c r="F236" s="25">
        <v>1018.44</v>
      </c>
      <c r="G236" s="36">
        <f t="shared" si="12"/>
        <v>92.585454545454553</v>
      </c>
      <c r="H236" s="36">
        <f t="shared" si="13"/>
        <v>925.85454545454547</v>
      </c>
      <c r="I236" s="36">
        <f t="shared" si="14"/>
        <v>724.14545454545453</v>
      </c>
      <c r="J236" s="37">
        <f t="shared" si="15"/>
        <v>0.7821373865912572</v>
      </c>
      <c r="K236" s="23" t="s">
        <v>70</v>
      </c>
    </row>
    <row r="237" spans="1:11" x14ac:dyDescent="0.25">
      <c r="A237" s="23" t="s">
        <v>595</v>
      </c>
      <c r="B237" s="23" t="s">
        <v>488</v>
      </c>
      <c r="C237" s="24" t="s">
        <v>680</v>
      </c>
      <c r="D237" s="23" t="s">
        <v>15</v>
      </c>
      <c r="E237" s="25">
        <v>1650</v>
      </c>
      <c r="F237" s="25">
        <v>1018.44</v>
      </c>
      <c r="G237" s="36">
        <f t="shared" si="12"/>
        <v>92.585454545454553</v>
      </c>
      <c r="H237" s="36">
        <f t="shared" si="13"/>
        <v>925.85454545454547</v>
      </c>
      <c r="I237" s="36">
        <f t="shared" si="14"/>
        <v>724.14545454545453</v>
      </c>
      <c r="J237" s="37">
        <f t="shared" si="15"/>
        <v>0.7821373865912572</v>
      </c>
      <c r="K237" s="23" t="s">
        <v>70</v>
      </c>
    </row>
    <row r="238" spans="1:11" x14ac:dyDescent="0.25">
      <c r="A238" s="23" t="s">
        <v>595</v>
      </c>
      <c r="B238" s="23" t="s">
        <v>488</v>
      </c>
      <c r="C238" s="24" t="s">
        <v>681</v>
      </c>
      <c r="D238" s="23" t="s">
        <v>15</v>
      </c>
      <c r="E238" s="25">
        <v>1650</v>
      </c>
      <c r="F238" s="25">
        <v>1018.44</v>
      </c>
      <c r="G238" s="36">
        <f t="shared" si="12"/>
        <v>92.585454545454553</v>
      </c>
      <c r="H238" s="36">
        <f t="shared" si="13"/>
        <v>925.85454545454547</v>
      </c>
      <c r="I238" s="36">
        <f t="shared" si="14"/>
        <v>724.14545454545453</v>
      </c>
      <c r="J238" s="37">
        <f t="shared" si="15"/>
        <v>0.7821373865912572</v>
      </c>
      <c r="K238" s="23" t="s">
        <v>70</v>
      </c>
    </row>
    <row r="239" spans="1:11" x14ac:dyDescent="0.25">
      <c r="A239" s="23" t="s">
        <v>595</v>
      </c>
      <c r="B239" s="23" t="s">
        <v>488</v>
      </c>
      <c r="C239" s="24" t="s">
        <v>682</v>
      </c>
      <c r="D239" s="23" t="s">
        <v>15</v>
      </c>
      <c r="E239" s="25">
        <v>1650</v>
      </c>
      <c r="F239" s="25">
        <v>1018.44</v>
      </c>
      <c r="G239" s="36">
        <f t="shared" si="12"/>
        <v>92.585454545454553</v>
      </c>
      <c r="H239" s="36">
        <f t="shared" si="13"/>
        <v>925.85454545454547</v>
      </c>
      <c r="I239" s="36">
        <f t="shared" si="14"/>
        <v>724.14545454545453</v>
      </c>
      <c r="J239" s="37">
        <f t="shared" si="15"/>
        <v>0.7821373865912572</v>
      </c>
      <c r="K239" s="23" t="s">
        <v>70</v>
      </c>
    </row>
    <row r="240" spans="1:11" x14ac:dyDescent="0.25">
      <c r="A240" s="23" t="s">
        <v>595</v>
      </c>
      <c r="B240" s="23" t="s">
        <v>488</v>
      </c>
      <c r="C240" s="24" t="s">
        <v>683</v>
      </c>
      <c r="D240" s="23" t="s">
        <v>15</v>
      </c>
      <c r="E240" s="25">
        <v>1650</v>
      </c>
      <c r="F240" s="25">
        <v>1018.44</v>
      </c>
      <c r="G240" s="36">
        <f t="shared" si="12"/>
        <v>92.585454545454553</v>
      </c>
      <c r="H240" s="36">
        <f t="shared" si="13"/>
        <v>925.85454545454547</v>
      </c>
      <c r="I240" s="36">
        <f t="shared" si="14"/>
        <v>724.14545454545453</v>
      </c>
      <c r="J240" s="37">
        <f t="shared" si="15"/>
        <v>0.7821373865912572</v>
      </c>
      <c r="K240" s="23" t="s">
        <v>70</v>
      </c>
    </row>
    <row r="241" spans="1:11" x14ac:dyDescent="0.25">
      <c r="A241" s="23" t="s">
        <v>595</v>
      </c>
      <c r="B241" s="23" t="s">
        <v>488</v>
      </c>
      <c r="C241" s="24" t="s">
        <v>684</v>
      </c>
      <c r="D241" s="23" t="s">
        <v>15</v>
      </c>
      <c r="E241" s="25">
        <v>1650</v>
      </c>
      <c r="F241" s="25">
        <v>1018.44</v>
      </c>
      <c r="G241" s="36">
        <f t="shared" si="12"/>
        <v>92.585454545454553</v>
      </c>
      <c r="H241" s="36">
        <f t="shared" si="13"/>
        <v>925.85454545454547</v>
      </c>
      <c r="I241" s="36">
        <f t="shared" si="14"/>
        <v>724.14545454545453</v>
      </c>
      <c r="J241" s="37">
        <f t="shared" si="15"/>
        <v>0.7821373865912572</v>
      </c>
      <c r="K241" s="23" t="s">
        <v>70</v>
      </c>
    </row>
    <row r="242" spans="1:11" x14ac:dyDescent="0.25">
      <c r="A242" s="23" t="s">
        <v>595</v>
      </c>
      <c r="B242" s="23" t="s">
        <v>488</v>
      </c>
      <c r="C242" s="24" t="s">
        <v>685</v>
      </c>
      <c r="D242" s="23" t="s">
        <v>15</v>
      </c>
      <c r="E242" s="25">
        <v>1650</v>
      </c>
      <c r="F242" s="25">
        <v>1018.44</v>
      </c>
      <c r="G242" s="36">
        <f t="shared" si="12"/>
        <v>92.585454545454553</v>
      </c>
      <c r="H242" s="36">
        <f t="shared" si="13"/>
        <v>925.85454545454547</v>
      </c>
      <c r="I242" s="36">
        <f t="shared" si="14"/>
        <v>724.14545454545453</v>
      </c>
      <c r="J242" s="37">
        <f t="shared" si="15"/>
        <v>0.7821373865912572</v>
      </c>
      <c r="K242" s="23" t="s">
        <v>70</v>
      </c>
    </row>
    <row r="243" spans="1:11" x14ac:dyDescent="0.25">
      <c r="A243" s="23" t="s">
        <v>595</v>
      </c>
      <c r="B243" s="23" t="s">
        <v>488</v>
      </c>
      <c r="C243" s="24" t="s">
        <v>686</v>
      </c>
      <c r="D243" s="23" t="s">
        <v>15</v>
      </c>
      <c r="E243" s="25">
        <v>1650</v>
      </c>
      <c r="F243" s="25">
        <v>1018.44</v>
      </c>
      <c r="G243" s="36">
        <f t="shared" si="12"/>
        <v>92.585454545454553</v>
      </c>
      <c r="H243" s="36">
        <f t="shared" si="13"/>
        <v>925.85454545454547</v>
      </c>
      <c r="I243" s="36">
        <f t="shared" si="14"/>
        <v>724.14545454545453</v>
      </c>
      <c r="J243" s="37">
        <f t="shared" si="15"/>
        <v>0.7821373865912572</v>
      </c>
      <c r="K243" s="23" t="s">
        <v>70</v>
      </c>
    </row>
    <row r="244" spans="1:11" x14ac:dyDescent="0.25">
      <c r="A244" s="23" t="s">
        <v>595</v>
      </c>
      <c r="B244" s="23" t="s">
        <v>488</v>
      </c>
      <c r="C244" s="24" t="s">
        <v>687</v>
      </c>
      <c r="D244" s="23" t="s">
        <v>15</v>
      </c>
      <c r="E244" s="25">
        <v>1650</v>
      </c>
      <c r="F244" s="25">
        <v>1018.44</v>
      </c>
      <c r="G244" s="36">
        <f t="shared" si="12"/>
        <v>92.585454545454553</v>
      </c>
      <c r="H244" s="36">
        <f t="shared" si="13"/>
        <v>925.85454545454547</v>
      </c>
      <c r="I244" s="36">
        <f t="shared" si="14"/>
        <v>724.14545454545453</v>
      </c>
      <c r="J244" s="37">
        <f t="shared" si="15"/>
        <v>0.7821373865912572</v>
      </c>
      <c r="K244" s="23" t="s">
        <v>70</v>
      </c>
    </row>
    <row r="245" spans="1:11" x14ac:dyDescent="0.25">
      <c r="A245" s="23" t="s">
        <v>595</v>
      </c>
      <c r="B245" s="23" t="s">
        <v>488</v>
      </c>
      <c r="C245" s="24" t="s">
        <v>688</v>
      </c>
      <c r="D245" s="23" t="s">
        <v>15</v>
      </c>
      <c r="E245" s="25">
        <v>1650</v>
      </c>
      <c r="F245" s="25">
        <v>1018.44</v>
      </c>
      <c r="G245" s="36">
        <f t="shared" si="12"/>
        <v>92.585454545454553</v>
      </c>
      <c r="H245" s="36">
        <f t="shared" si="13"/>
        <v>925.85454545454547</v>
      </c>
      <c r="I245" s="36">
        <f t="shared" si="14"/>
        <v>724.14545454545453</v>
      </c>
      <c r="J245" s="37">
        <f t="shared" si="15"/>
        <v>0.7821373865912572</v>
      </c>
      <c r="K245" s="23" t="s">
        <v>70</v>
      </c>
    </row>
    <row r="246" spans="1:11" x14ac:dyDescent="0.25">
      <c r="A246" s="23" t="s">
        <v>595</v>
      </c>
      <c r="B246" s="23" t="s">
        <v>488</v>
      </c>
      <c r="C246" s="24" t="s">
        <v>689</v>
      </c>
      <c r="D246" s="23" t="s">
        <v>15</v>
      </c>
      <c r="E246" s="25">
        <v>1650</v>
      </c>
      <c r="F246" s="25">
        <v>1018.44</v>
      </c>
      <c r="G246" s="36">
        <f t="shared" si="12"/>
        <v>92.585454545454553</v>
      </c>
      <c r="H246" s="36">
        <f t="shared" si="13"/>
        <v>925.85454545454547</v>
      </c>
      <c r="I246" s="36">
        <f t="shared" si="14"/>
        <v>724.14545454545453</v>
      </c>
      <c r="J246" s="37">
        <f t="shared" si="15"/>
        <v>0.7821373865912572</v>
      </c>
      <c r="K246" s="23" t="s">
        <v>70</v>
      </c>
    </row>
    <row r="247" spans="1:11" x14ac:dyDescent="0.25">
      <c r="A247" s="23" t="s">
        <v>595</v>
      </c>
      <c r="B247" s="23" t="s">
        <v>488</v>
      </c>
      <c r="C247" s="24" t="s">
        <v>690</v>
      </c>
      <c r="D247" s="23" t="s">
        <v>15</v>
      </c>
      <c r="E247" s="25">
        <v>1650</v>
      </c>
      <c r="F247" s="25">
        <v>1018.44</v>
      </c>
      <c r="G247" s="36">
        <f t="shared" ref="G247:G289" si="16">F247/11</f>
        <v>92.585454545454553</v>
      </c>
      <c r="H247" s="36">
        <f t="shared" ref="H247:H289" si="17">F247-G247</f>
        <v>925.85454545454547</v>
      </c>
      <c r="I247" s="36">
        <f t="shared" ref="I247:I289" si="18">E247-H247</f>
        <v>724.14545454545453</v>
      </c>
      <c r="J247" s="37">
        <f t="shared" ref="J247:J289" si="19">(E247-H247)/H247</f>
        <v>0.7821373865912572</v>
      </c>
      <c r="K247" s="23" t="s">
        <v>70</v>
      </c>
    </row>
    <row r="248" spans="1:11" x14ac:dyDescent="0.25">
      <c r="A248" s="23" t="s">
        <v>595</v>
      </c>
      <c r="B248" s="23" t="s">
        <v>488</v>
      </c>
      <c r="C248" s="24" t="s">
        <v>691</v>
      </c>
      <c r="D248" s="23" t="s">
        <v>15</v>
      </c>
      <c r="E248" s="25">
        <v>1650</v>
      </c>
      <c r="F248" s="25">
        <v>1018.44</v>
      </c>
      <c r="G248" s="36">
        <f t="shared" si="16"/>
        <v>92.585454545454553</v>
      </c>
      <c r="H248" s="36">
        <f t="shared" si="17"/>
        <v>925.85454545454547</v>
      </c>
      <c r="I248" s="36">
        <f t="shared" si="18"/>
        <v>724.14545454545453</v>
      </c>
      <c r="J248" s="37">
        <f t="shared" si="19"/>
        <v>0.7821373865912572</v>
      </c>
      <c r="K248" s="23" t="s">
        <v>70</v>
      </c>
    </row>
    <row r="249" spans="1:11" x14ac:dyDescent="0.25">
      <c r="A249" s="23" t="s">
        <v>595</v>
      </c>
      <c r="B249" s="23" t="s">
        <v>488</v>
      </c>
      <c r="C249" s="24" t="s">
        <v>692</v>
      </c>
      <c r="D249" s="23" t="s">
        <v>15</v>
      </c>
      <c r="E249" s="25">
        <v>1650</v>
      </c>
      <c r="F249" s="25">
        <v>1018.44</v>
      </c>
      <c r="G249" s="36">
        <f t="shared" si="16"/>
        <v>92.585454545454553</v>
      </c>
      <c r="H249" s="36">
        <f t="shared" si="17"/>
        <v>925.85454545454547</v>
      </c>
      <c r="I249" s="36">
        <f t="shared" si="18"/>
        <v>724.14545454545453</v>
      </c>
      <c r="J249" s="37">
        <f t="shared" si="19"/>
        <v>0.7821373865912572</v>
      </c>
      <c r="K249" s="23" t="s">
        <v>70</v>
      </c>
    </row>
    <row r="250" spans="1:11" x14ac:dyDescent="0.25">
      <c r="A250" s="23" t="s">
        <v>595</v>
      </c>
      <c r="B250" s="23" t="s">
        <v>488</v>
      </c>
      <c r="C250" s="24" t="s">
        <v>693</v>
      </c>
      <c r="D250" s="23" t="s">
        <v>15</v>
      </c>
      <c r="E250" s="25">
        <v>1650</v>
      </c>
      <c r="F250" s="25">
        <v>1018.44</v>
      </c>
      <c r="G250" s="36">
        <f t="shared" si="16"/>
        <v>92.585454545454553</v>
      </c>
      <c r="H250" s="36">
        <f t="shared" si="17"/>
        <v>925.85454545454547</v>
      </c>
      <c r="I250" s="36">
        <f t="shared" si="18"/>
        <v>724.14545454545453</v>
      </c>
      <c r="J250" s="37">
        <f t="shared" si="19"/>
        <v>0.7821373865912572</v>
      </c>
      <c r="K250" s="23" t="s">
        <v>70</v>
      </c>
    </row>
    <row r="251" spans="1:11" x14ac:dyDescent="0.25">
      <c r="A251" s="23" t="s">
        <v>595</v>
      </c>
      <c r="B251" s="23" t="s">
        <v>488</v>
      </c>
      <c r="C251" s="24" t="s">
        <v>694</v>
      </c>
      <c r="D251" s="23" t="s">
        <v>15</v>
      </c>
      <c r="E251" s="25">
        <v>1650</v>
      </c>
      <c r="F251" s="25">
        <v>1018.44</v>
      </c>
      <c r="G251" s="36">
        <f t="shared" si="16"/>
        <v>92.585454545454553</v>
      </c>
      <c r="H251" s="36">
        <f t="shared" si="17"/>
        <v>925.85454545454547</v>
      </c>
      <c r="I251" s="36">
        <f t="shared" si="18"/>
        <v>724.14545454545453</v>
      </c>
      <c r="J251" s="37">
        <f t="shared" si="19"/>
        <v>0.7821373865912572</v>
      </c>
      <c r="K251" s="23" t="s">
        <v>70</v>
      </c>
    </row>
    <row r="252" spans="1:11" x14ac:dyDescent="0.25">
      <c r="A252" s="23" t="s">
        <v>595</v>
      </c>
      <c r="B252" s="23" t="s">
        <v>488</v>
      </c>
      <c r="C252" s="24" t="s">
        <v>695</v>
      </c>
      <c r="D252" s="23" t="s">
        <v>15</v>
      </c>
      <c r="E252" s="25">
        <v>1650</v>
      </c>
      <c r="F252" s="25">
        <v>1018.44</v>
      </c>
      <c r="G252" s="36">
        <f t="shared" si="16"/>
        <v>92.585454545454553</v>
      </c>
      <c r="H252" s="36">
        <f t="shared" si="17"/>
        <v>925.85454545454547</v>
      </c>
      <c r="I252" s="36">
        <f t="shared" si="18"/>
        <v>724.14545454545453</v>
      </c>
      <c r="J252" s="37">
        <f t="shared" si="19"/>
        <v>0.7821373865912572</v>
      </c>
      <c r="K252" s="23" t="s">
        <v>70</v>
      </c>
    </row>
    <row r="253" spans="1:11" x14ac:dyDescent="0.25">
      <c r="A253" s="23" t="s">
        <v>595</v>
      </c>
      <c r="B253" s="23" t="s">
        <v>488</v>
      </c>
      <c r="C253" s="24" t="s">
        <v>696</v>
      </c>
      <c r="D253" s="23" t="s">
        <v>15</v>
      </c>
      <c r="E253" s="25">
        <v>1650</v>
      </c>
      <c r="F253" s="25">
        <v>1018.44</v>
      </c>
      <c r="G253" s="36">
        <f t="shared" si="16"/>
        <v>92.585454545454553</v>
      </c>
      <c r="H253" s="36">
        <f t="shared" si="17"/>
        <v>925.85454545454547</v>
      </c>
      <c r="I253" s="36">
        <f t="shared" si="18"/>
        <v>724.14545454545453</v>
      </c>
      <c r="J253" s="37">
        <f t="shared" si="19"/>
        <v>0.7821373865912572</v>
      </c>
      <c r="K253" s="23" t="s">
        <v>70</v>
      </c>
    </row>
    <row r="254" spans="1:11" x14ac:dyDescent="0.25">
      <c r="A254" s="23" t="s">
        <v>595</v>
      </c>
      <c r="B254" s="23" t="s">
        <v>488</v>
      </c>
      <c r="C254" s="24" t="s">
        <v>697</v>
      </c>
      <c r="D254" s="23" t="s">
        <v>15</v>
      </c>
      <c r="E254" s="25">
        <v>1650</v>
      </c>
      <c r="F254" s="25">
        <v>1018.44</v>
      </c>
      <c r="G254" s="36">
        <f t="shared" si="16"/>
        <v>92.585454545454553</v>
      </c>
      <c r="H254" s="36">
        <f t="shared" si="17"/>
        <v>925.85454545454547</v>
      </c>
      <c r="I254" s="36">
        <f t="shared" si="18"/>
        <v>724.14545454545453</v>
      </c>
      <c r="J254" s="37">
        <f t="shared" si="19"/>
        <v>0.7821373865912572</v>
      </c>
      <c r="K254" s="23" t="s">
        <v>70</v>
      </c>
    </row>
    <row r="255" spans="1:11" x14ac:dyDescent="0.25">
      <c r="A255" s="23" t="s">
        <v>595</v>
      </c>
      <c r="B255" s="23" t="s">
        <v>488</v>
      </c>
      <c r="C255" s="24" t="s">
        <v>698</v>
      </c>
      <c r="D255" s="23" t="s">
        <v>15</v>
      </c>
      <c r="E255" s="25">
        <v>1650</v>
      </c>
      <c r="F255" s="25">
        <v>1018.44</v>
      </c>
      <c r="G255" s="36">
        <f t="shared" si="16"/>
        <v>92.585454545454553</v>
      </c>
      <c r="H255" s="36">
        <f t="shared" si="17"/>
        <v>925.85454545454547</v>
      </c>
      <c r="I255" s="36">
        <f t="shared" si="18"/>
        <v>724.14545454545453</v>
      </c>
      <c r="J255" s="37">
        <f t="shared" si="19"/>
        <v>0.7821373865912572</v>
      </c>
      <c r="K255" s="23" t="s">
        <v>70</v>
      </c>
    </row>
    <row r="256" spans="1:11" x14ac:dyDescent="0.25">
      <c r="A256" s="23" t="s">
        <v>595</v>
      </c>
      <c r="B256" s="23" t="s">
        <v>488</v>
      </c>
      <c r="C256" s="24" t="s">
        <v>699</v>
      </c>
      <c r="D256" s="23" t="s">
        <v>15</v>
      </c>
      <c r="E256" s="25">
        <v>1650</v>
      </c>
      <c r="F256" s="25">
        <v>1018.44</v>
      </c>
      <c r="G256" s="36">
        <f t="shared" si="16"/>
        <v>92.585454545454553</v>
      </c>
      <c r="H256" s="36">
        <f t="shared" si="17"/>
        <v>925.85454545454547</v>
      </c>
      <c r="I256" s="36">
        <f t="shared" si="18"/>
        <v>724.14545454545453</v>
      </c>
      <c r="J256" s="37">
        <f t="shared" si="19"/>
        <v>0.7821373865912572</v>
      </c>
      <c r="K256" s="23" t="s">
        <v>70</v>
      </c>
    </row>
    <row r="257" spans="1:11" x14ac:dyDescent="0.25">
      <c r="A257" s="23" t="s">
        <v>595</v>
      </c>
      <c r="B257" s="23" t="s">
        <v>488</v>
      </c>
      <c r="C257" s="24" t="s">
        <v>700</v>
      </c>
      <c r="D257" s="23" t="s">
        <v>15</v>
      </c>
      <c r="E257" s="25">
        <v>1650</v>
      </c>
      <c r="F257" s="25">
        <v>1018.44</v>
      </c>
      <c r="G257" s="36">
        <f t="shared" si="16"/>
        <v>92.585454545454553</v>
      </c>
      <c r="H257" s="36">
        <f t="shared" si="17"/>
        <v>925.85454545454547</v>
      </c>
      <c r="I257" s="36">
        <f t="shared" si="18"/>
        <v>724.14545454545453</v>
      </c>
      <c r="J257" s="37">
        <f t="shared" si="19"/>
        <v>0.7821373865912572</v>
      </c>
      <c r="K257" s="23" t="s">
        <v>70</v>
      </c>
    </row>
    <row r="258" spans="1:11" x14ac:dyDescent="0.25">
      <c r="A258" s="23" t="s">
        <v>595</v>
      </c>
      <c r="B258" s="23" t="s">
        <v>488</v>
      </c>
      <c r="C258" s="24" t="s">
        <v>701</v>
      </c>
      <c r="D258" s="23" t="s">
        <v>15</v>
      </c>
      <c r="E258" s="25">
        <v>1650</v>
      </c>
      <c r="F258" s="25">
        <v>1018.44</v>
      </c>
      <c r="G258" s="36">
        <f t="shared" si="16"/>
        <v>92.585454545454553</v>
      </c>
      <c r="H258" s="36">
        <f t="shared" si="17"/>
        <v>925.85454545454547</v>
      </c>
      <c r="I258" s="36">
        <f t="shared" si="18"/>
        <v>724.14545454545453</v>
      </c>
      <c r="J258" s="37">
        <f t="shared" si="19"/>
        <v>0.7821373865912572</v>
      </c>
      <c r="K258" s="23" t="s">
        <v>70</v>
      </c>
    </row>
    <row r="259" spans="1:11" x14ac:dyDescent="0.25">
      <c r="A259" s="23" t="s">
        <v>595</v>
      </c>
      <c r="B259" s="23" t="s">
        <v>488</v>
      </c>
      <c r="C259" s="24" t="s">
        <v>702</v>
      </c>
      <c r="D259" s="23" t="s">
        <v>15</v>
      </c>
      <c r="E259" s="25">
        <v>1650</v>
      </c>
      <c r="F259" s="25">
        <v>1018.44</v>
      </c>
      <c r="G259" s="36">
        <f t="shared" si="16"/>
        <v>92.585454545454553</v>
      </c>
      <c r="H259" s="36">
        <f t="shared" si="17"/>
        <v>925.85454545454547</v>
      </c>
      <c r="I259" s="36">
        <f t="shared" si="18"/>
        <v>724.14545454545453</v>
      </c>
      <c r="J259" s="37">
        <f t="shared" si="19"/>
        <v>0.7821373865912572</v>
      </c>
      <c r="K259" s="23" t="s">
        <v>70</v>
      </c>
    </row>
    <row r="260" spans="1:11" x14ac:dyDescent="0.25">
      <c r="A260" s="23" t="s">
        <v>595</v>
      </c>
      <c r="B260" s="23" t="s">
        <v>488</v>
      </c>
      <c r="C260" s="24" t="s">
        <v>703</v>
      </c>
      <c r="D260" s="23" t="s">
        <v>15</v>
      </c>
      <c r="E260" s="25">
        <v>1650</v>
      </c>
      <c r="F260" s="25">
        <v>1018.44</v>
      </c>
      <c r="G260" s="36">
        <f t="shared" si="16"/>
        <v>92.585454545454553</v>
      </c>
      <c r="H260" s="36">
        <f t="shared" si="17"/>
        <v>925.85454545454547</v>
      </c>
      <c r="I260" s="36">
        <f t="shared" si="18"/>
        <v>724.14545454545453</v>
      </c>
      <c r="J260" s="37">
        <f t="shared" si="19"/>
        <v>0.7821373865912572</v>
      </c>
      <c r="K260" s="23" t="s">
        <v>70</v>
      </c>
    </row>
    <row r="261" spans="1:11" x14ac:dyDescent="0.25">
      <c r="A261" s="23" t="s">
        <v>595</v>
      </c>
      <c r="B261" s="23" t="s">
        <v>488</v>
      </c>
      <c r="C261" s="24" t="s">
        <v>704</v>
      </c>
      <c r="D261" s="23" t="s">
        <v>15</v>
      </c>
      <c r="E261" s="25">
        <v>1650</v>
      </c>
      <c r="F261" s="25">
        <v>1018.44</v>
      </c>
      <c r="G261" s="36">
        <f t="shared" si="16"/>
        <v>92.585454545454553</v>
      </c>
      <c r="H261" s="36">
        <f t="shared" si="17"/>
        <v>925.85454545454547</v>
      </c>
      <c r="I261" s="36">
        <f t="shared" si="18"/>
        <v>724.14545454545453</v>
      </c>
      <c r="J261" s="37">
        <f t="shared" si="19"/>
        <v>0.7821373865912572</v>
      </c>
      <c r="K261" s="23" t="s">
        <v>70</v>
      </c>
    </row>
    <row r="262" spans="1:11" x14ac:dyDescent="0.25">
      <c r="A262" s="23" t="s">
        <v>595</v>
      </c>
      <c r="B262" s="23" t="s">
        <v>488</v>
      </c>
      <c r="C262" s="24" t="s">
        <v>705</v>
      </c>
      <c r="D262" s="23" t="s">
        <v>15</v>
      </c>
      <c r="E262" s="25">
        <v>1650</v>
      </c>
      <c r="F262" s="25">
        <v>1018.44</v>
      </c>
      <c r="G262" s="36">
        <f t="shared" si="16"/>
        <v>92.585454545454553</v>
      </c>
      <c r="H262" s="36">
        <f t="shared" si="17"/>
        <v>925.85454545454547</v>
      </c>
      <c r="I262" s="36">
        <f t="shared" si="18"/>
        <v>724.14545454545453</v>
      </c>
      <c r="J262" s="37">
        <f t="shared" si="19"/>
        <v>0.7821373865912572</v>
      </c>
      <c r="K262" s="23" t="s">
        <v>70</v>
      </c>
    </row>
    <row r="263" spans="1:11" x14ac:dyDescent="0.25">
      <c r="A263" s="23" t="s">
        <v>595</v>
      </c>
      <c r="B263" s="23" t="s">
        <v>488</v>
      </c>
      <c r="C263" s="24" t="s">
        <v>706</v>
      </c>
      <c r="D263" s="23" t="s">
        <v>15</v>
      </c>
      <c r="E263" s="25">
        <v>1650</v>
      </c>
      <c r="F263" s="25">
        <v>1018.44</v>
      </c>
      <c r="G263" s="36">
        <f t="shared" si="16"/>
        <v>92.585454545454553</v>
      </c>
      <c r="H263" s="36">
        <f t="shared" si="17"/>
        <v>925.85454545454547</v>
      </c>
      <c r="I263" s="36">
        <f t="shared" si="18"/>
        <v>724.14545454545453</v>
      </c>
      <c r="J263" s="37">
        <f t="shared" si="19"/>
        <v>0.7821373865912572</v>
      </c>
      <c r="K263" s="23" t="s">
        <v>70</v>
      </c>
    </row>
    <row r="264" spans="1:11" x14ac:dyDescent="0.25">
      <c r="A264" s="23" t="s">
        <v>595</v>
      </c>
      <c r="B264" s="23" t="s">
        <v>488</v>
      </c>
      <c r="C264" s="24" t="s">
        <v>707</v>
      </c>
      <c r="D264" s="23" t="s">
        <v>15</v>
      </c>
      <c r="E264" s="25">
        <v>1650</v>
      </c>
      <c r="F264" s="25">
        <v>1018.44</v>
      </c>
      <c r="G264" s="36">
        <f t="shared" si="16"/>
        <v>92.585454545454553</v>
      </c>
      <c r="H264" s="36">
        <f t="shared" si="17"/>
        <v>925.85454545454547</v>
      </c>
      <c r="I264" s="36">
        <f t="shared" si="18"/>
        <v>724.14545454545453</v>
      </c>
      <c r="J264" s="37">
        <f t="shared" si="19"/>
        <v>0.7821373865912572</v>
      </c>
      <c r="K264" s="23" t="s">
        <v>70</v>
      </c>
    </row>
    <row r="265" spans="1:11" x14ac:dyDescent="0.25">
      <c r="A265" s="23" t="s">
        <v>595</v>
      </c>
      <c r="B265" s="23" t="s">
        <v>488</v>
      </c>
      <c r="C265" s="24" t="s">
        <v>708</v>
      </c>
      <c r="D265" s="23" t="s">
        <v>15</v>
      </c>
      <c r="E265" s="25">
        <v>1650</v>
      </c>
      <c r="F265" s="25">
        <v>1018.44</v>
      </c>
      <c r="G265" s="36">
        <f t="shared" si="16"/>
        <v>92.585454545454553</v>
      </c>
      <c r="H265" s="36">
        <f t="shared" si="17"/>
        <v>925.85454545454547</v>
      </c>
      <c r="I265" s="36">
        <f t="shared" si="18"/>
        <v>724.14545454545453</v>
      </c>
      <c r="J265" s="37">
        <f t="shared" si="19"/>
        <v>0.7821373865912572</v>
      </c>
      <c r="K265" s="23" t="s">
        <v>70</v>
      </c>
    </row>
    <row r="266" spans="1:11" x14ac:dyDescent="0.25">
      <c r="A266" s="23" t="s">
        <v>595</v>
      </c>
      <c r="B266" s="23" t="s">
        <v>488</v>
      </c>
      <c r="C266" s="24" t="s">
        <v>709</v>
      </c>
      <c r="D266" s="23" t="s">
        <v>15</v>
      </c>
      <c r="E266" s="25">
        <v>1650</v>
      </c>
      <c r="F266" s="25">
        <v>1018.44</v>
      </c>
      <c r="G266" s="36">
        <f t="shared" si="16"/>
        <v>92.585454545454553</v>
      </c>
      <c r="H266" s="36">
        <f t="shared" si="17"/>
        <v>925.85454545454547</v>
      </c>
      <c r="I266" s="36">
        <f t="shared" si="18"/>
        <v>724.14545454545453</v>
      </c>
      <c r="J266" s="37">
        <f t="shared" si="19"/>
        <v>0.7821373865912572</v>
      </c>
      <c r="K266" s="23" t="s">
        <v>70</v>
      </c>
    </row>
    <row r="267" spans="1:11" x14ac:dyDescent="0.25">
      <c r="A267" s="23" t="s">
        <v>595</v>
      </c>
      <c r="B267" s="23" t="s">
        <v>488</v>
      </c>
      <c r="C267" s="24" t="s">
        <v>710</v>
      </c>
      <c r="D267" s="23" t="s">
        <v>15</v>
      </c>
      <c r="E267" s="25">
        <v>1650</v>
      </c>
      <c r="F267" s="25">
        <v>1018.44</v>
      </c>
      <c r="G267" s="36">
        <f t="shared" si="16"/>
        <v>92.585454545454553</v>
      </c>
      <c r="H267" s="36">
        <f t="shared" si="17"/>
        <v>925.85454545454547</v>
      </c>
      <c r="I267" s="36">
        <f t="shared" si="18"/>
        <v>724.14545454545453</v>
      </c>
      <c r="J267" s="37">
        <f t="shared" si="19"/>
        <v>0.7821373865912572</v>
      </c>
      <c r="K267" s="23" t="s">
        <v>70</v>
      </c>
    </row>
    <row r="268" spans="1:11" x14ac:dyDescent="0.25">
      <c r="A268" s="23" t="s">
        <v>595</v>
      </c>
      <c r="B268" s="23" t="s">
        <v>488</v>
      </c>
      <c r="C268" s="24" t="s">
        <v>711</v>
      </c>
      <c r="D268" s="23" t="s">
        <v>15</v>
      </c>
      <c r="E268" s="25">
        <v>1650</v>
      </c>
      <c r="F268" s="25">
        <v>1018.44</v>
      </c>
      <c r="G268" s="36">
        <f t="shared" si="16"/>
        <v>92.585454545454553</v>
      </c>
      <c r="H268" s="36">
        <f t="shared" si="17"/>
        <v>925.85454545454547</v>
      </c>
      <c r="I268" s="36">
        <f t="shared" si="18"/>
        <v>724.14545454545453</v>
      </c>
      <c r="J268" s="37">
        <f t="shared" si="19"/>
        <v>0.7821373865912572</v>
      </c>
      <c r="K268" s="23" t="s">
        <v>70</v>
      </c>
    </row>
    <row r="269" spans="1:11" x14ac:dyDescent="0.25">
      <c r="A269" s="23" t="s">
        <v>595</v>
      </c>
      <c r="B269" s="23" t="s">
        <v>488</v>
      </c>
      <c r="C269" s="24" t="s">
        <v>712</v>
      </c>
      <c r="D269" s="23" t="s">
        <v>15</v>
      </c>
      <c r="E269" s="25">
        <v>1650</v>
      </c>
      <c r="F269" s="25">
        <v>1018.44</v>
      </c>
      <c r="G269" s="36">
        <f t="shared" si="16"/>
        <v>92.585454545454553</v>
      </c>
      <c r="H269" s="36">
        <f t="shared" si="17"/>
        <v>925.85454545454547</v>
      </c>
      <c r="I269" s="36">
        <f t="shared" si="18"/>
        <v>724.14545454545453</v>
      </c>
      <c r="J269" s="37">
        <f t="shared" si="19"/>
        <v>0.7821373865912572</v>
      </c>
      <c r="K269" s="23" t="s">
        <v>70</v>
      </c>
    </row>
    <row r="270" spans="1:11" x14ac:dyDescent="0.25">
      <c r="A270" s="23" t="s">
        <v>595</v>
      </c>
      <c r="B270" s="23" t="s">
        <v>488</v>
      </c>
      <c r="C270" s="24" t="s">
        <v>713</v>
      </c>
      <c r="D270" s="23" t="s">
        <v>15</v>
      </c>
      <c r="E270" s="25">
        <v>1650</v>
      </c>
      <c r="F270" s="25">
        <v>1018.44</v>
      </c>
      <c r="G270" s="36">
        <f t="shared" si="16"/>
        <v>92.585454545454553</v>
      </c>
      <c r="H270" s="36">
        <f t="shared" si="17"/>
        <v>925.85454545454547</v>
      </c>
      <c r="I270" s="36">
        <f t="shared" si="18"/>
        <v>724.14545454545453</v>
      </c>
      <c r="J270" s="37">
        <f t="shared" si="19"/>
        <v>0.7821373865912572</v>
      </c>
      <c r="K270" s="23" t="s">
        <v>70</v>
      </c>
    </row>
    <row r="271" spans="1:11" x14ac:dyDescent="0.25">
      <c r="A271" s="23" t="s">
        <v>595</v>
      </c>
      <c r="B271" s="23" t="s">
        <v>488</v>
      </c>
      <c r="C271" s="24" t="s">
        <v>714</v>
      </c>
      <c r="D271" s="23" t="s">
        <v>15</v>
      </c>
      <c r="E271" s="25">
        <v>1650</v>
      </c>
      <c r="F271" s="25">
        <v>1018.44</v>
      </c>
      <c r="G271" s="36">
        <f t="shared" si="16"/>
        <v>92.585454545454553</v>
      </c>
      <c r="H271" s="36">
        <f t="shared" si="17"/>
        <v>925.85454545454547</v>
      </c>
      <c r="I271" s="36">
        <f t="shared" si="18"/>
        <v>724.14545454545453</v>
      </c>
      <c r="J271" s="37">
        <f t="shared" si="19"/>
        <v>0.7821373865912572</v>
      </c>
      <c r="K271" s="23" t="s">
        <v>70</v>
      </c>
    </row>
    <row r="272" spans="1:11" x14ac:dyDescent="0.25">
      <c r="A272" s="23" t="s">
        <v>595</v>
      </c>
      <c r="B272" s="23" t="s">
        <v>488</v>
      </c>
      <c r="C272" s="24" t="s">
        <v>715</v>
      </c>
      <c r="D272" s="23" t="s">
        <v>15</v>
      </c>
      <c r="E272" s="25">
        <v>1650</v>
      </c>
      <c r="F272" s="25">
        <v>1018.44</v>
      </c>
      <c r="G272" s="36">
        <f t="shared" si="16"/>
        <v>92.585454545454553</v>
      </c>
      <c r="H272" s="36">
        <f t="shared" si="17"/>
        <v>925.85454545454547</v>
      </c>
      <c r="I272" s="36">
        <f t="shared" si="18"/>
        <v>724.14545454545453</v>
      </c>
      <c r="J272" s="37">
        <f t="shared" si="19"/>
        <v>0.7821373865912572</v>
      </c>
      <c r="K272" s="23" t="s">
        <v>70</v>
      </c>
    </row>
    <row r="273" spans="1:11" x14ac:dyDescent="0.25">
      <c r="A273" s="23" t="s">
        <v>595</v>
      </c>
      <c r="B273" s="23" t="s">
        <v>488</v>
      </c>
      <c r="C273" s="24" t="s">
        <v>716</v>
      </c>
      <c r="D273" s="23" t="s">
        <v>15</v>
      </c>
      <c r="E273" s="25">
        <v>1650</v>
      </c>
      <c r="F273" s="25">
        <v>1018.44</v>
      </c>
      <c r="G273" s="36">
        <f t="shared" si="16"/>
        <v>92.585454545454553</v>
      </c>
      <c r="H273" s="36">
        <f t="shared" si="17"/>
        <v>925.85454545454547</v>
      </c>
      <c r="I273" s="36">
        <f t="shared" si="18"/>
        <v>724.14545454545453</v>
      </c>
      <c r="J273" s="37">
        <f t="shared" si="19"/>
        <v>0.7821373865912572</v>
      </c>
      <c r="K273" s="23" t="s">
        <v>70</v>
      </c>
    </row>
    <row r="274" spans="1:11" x14ac:dyDescent="0.25">
      <c r="A274" s="23" t="s">
        <v>595</v>
      </c>
      <c r="B274" s="23" t="s">
        <v>488</v>
      </c>
      <c r="C274" s="24" t="s">
        <v>717</v>
      </c>
      <c r="D274" s="23" t="s">
        <v>15</v>
      </c>
      <c r="E274" s="25">
        <v>1650</v>
      </c>
      <c r="F274" s="25">
        <v>1018.44</v>
      </c>
      <c r="G274" s="36">
        <f t="shared" si="16"/>
        <v>92.585454545454553</v>
      </c>
      <c r="H274" s="36">
        <f t="shared" si="17"/>
        <v>925.85454545454547</v>
      </c>
      <c r="I274" s="36">
        <f t="shared" si="18"/>
        <v>724.14545454545453</v>
      </c>
      <c r="J274" s="37">
        <f t="shared" si="19"/>
        <v>0.7821373865912572</v>
      </c>
      <c r="K274" s="23" t="s">
        <v>70</v>
      </c>
    </row>
    <row r="275" spans="1:11" x14ac:dyDescent="0.25">
      <c r="A275" s="23" t="s">
        <v>595</v>
      </c>
      <c r="B275" s="23" t="s">
        <v>488</v>
      </c>
      <c r="C275" s="24" t="s">
        <v>718</v>
      </c>
      <c r="D275" s="23" t="s">
        <v>15</v>
      </c>
      <c r="E275" s="25">
        <v>1650</v>
      </c>
      <c r="F275" s="25">
        <v>1018.44</v>
      </c>
      <c r="G275" s="36">
        <f t="shared" si="16"/>
        <v>92.585454545454553</v>
      </c>
      <c r="H275" s="36">
        <f t="shared" si="17"/>
        <v>925.85454545454547</v>
      </c>
      <c r="I275" s="36">
        <f t="shared" si="18"/>
        <v>724.14545454545453</v>
      </c>
      <c r="J275" s="37">
        <f t="shared" si="19"/>
        <v>0.7821373865912572</v>
      </c>
      <c r="K275" s="23" t="s">
        <v>70</v>
      </c>
    </row>
    <row r="276" spans="1:11" x14ac:dyDescent="0.25">
      <c r="A276" s="23" t="s">
        <v>595</v>
      </c>
      <c r="B276" s="23" t="s">
        <v>488</v>
      </c>
      <c r="C276" s="24" t="s">
        <v>719</v>
      </c>
      <c r="D276" s="23" t="s">
        <v>15</v>
      </c>
      <c r="E276" s="25">
        <v>1650</v>
      </c>
      <c r="F276" s="25">
        <v>1018.44</v>
      </c>
      <c r="G276" s="36">
        <f t="shared" si="16"/>
        <v>92.585454545454553</v>
      </c>
      <c r="H276" s="36">
        <f t="shared" si="17"/>
        <v>925.85454545454547</v>
      </c>
      <c r="I276" s="36">
        <f t="shared" si="18"/>
        <v>724.14545454545453</v>
      </c>
      <c r="J276" s="37">
        <f t="shared" si="19"/>
        <v>0.7821373865912572</v>
      </c>
      <c r="K276" s="23" t="s">
        <v>70</v>
      </c>
    </row>
    <row r="277" spans="1:11" x14ac:dyDescent="0.25">
      <c r="A277" s="23" t="s">
        <v>595</v>
      </c>
      <c r="B277" s="23" t="s">
        <v>488</v>
      </c>
      <c r="C277" s="24" t="s">
        <v>720</v>
      </c>
      <c r="D277" s="23" t="s">
        <v>15</v>
      </c>
      <c r="E277" s="25">
        <v>1650</v>
      </c>
      <c r="F277" s="25">
        <v>1018.44</v>
      </c>
      <c r="G277" s="36">
        <f t="shared" si="16"/>
        <v>92.585454545454553</v>
      </c>
      <c r="H277" s="36">
        <f t="shared" si="17"/>
        <v>925.85454545454547</v>
      </c>
      <c r="I277" s="36">
        <f t="shared" si="18"/>
        <v>724.14545454545453</v>
      </c>
      <c r="J277" s="37">
        <f t="shared" si="19"/>
        <v>0.7821373865912572</v>
      </c>
      <c r="K277" s="23" t="s">
        <v>70</v>
      </c>
    </row>
    <row r="278" spans="1:11" x14ac:dyDescent="0.25">
      <c r="A278" s="23" t="s">
        <v>595</v>
      </c>
      <c r="B278" s="23" t="s">
        <v>488</v>
      </c>
      <c r="C278" s="24" t="s">
        <v>721</v>
      </c>
      <c r="D278" s="23" t="s">
        <v>15</v>
      </c>
      <c r="E278" s="25">
        <v>1650</v>
      </c>
      <c r="F278" s="25">
        <v>1018.44</v>
      </c>
      <c r="G278" s="36">
        <f t="shared" si="16"/>
        <v>92.585454545454553</v>
      </c>
      <c r="H278" s="36">
        <f t="shared" si="17"/>
        <v>925.85454545454547</v>
      </c>
      <c r="I278" s="36">
        <f t="shared" si="18"/>
        <v>724.14545454545453</v>
      </c>
      <c r="J278" s="37">
        <f t="shared" si="19"/>
        <v>0.7821373865912572</v>
      </c>
      <c r="K278" s="23" t="s">
        <v>70</v>
      </c>
    </row>
    <row r="279" spans="1:11" x14ac:dyDescent="0.25">
      <c r="A279" s="23" t="s">
        <v>595</v>
      </c>
      <c r="B279" s="23" t="s">
        <v>488</v>
      </c>
      <c r="C279" s="24" t="s">
        <v>722</v>
      </c>
      <c r="D279" s="23" t="s">
        <v>15</v>
      </c>
      <c r="E279" s="25">
        <v>1650</v>
      </c>
      <c r="F279" s="25">
        <v>1018.44</v>
      </c>
      <c r="G279" s="36">
        <f t="shared" si="16"/>
        <v>92.585454545454553</v>
      </c>
      <c r="H279" s="36">
        <f t="shared" si="17"/>
        <v>925.85454545454547</v>
      </c>
      <c r="I279" s="36">
        <f t="shared" si="18"/>
        <v>724.14545454545453</v>
      </c>
      <c r="J279" s="37">
        <f t="shared" si="19"/>
        <v>0.7821373865912572</v>
      </c>
      <c r="K279" s="23" t="s">
        <v>70</v>
      </c>
    </row>
    <row r="280" spans="1:11" x14ac:dyDescent="0.25">
      <c r="A280" s="23" t="s">
        <v>595</v>
      </c>
      <c r="B280" s="23" t="s">
        <v>488</v>
      </c>
      <c r="C280" s="24" t="s">
        <v>723</v>
      </c>
      <c r="D280" s="23" t="s">
        <v>15</v>
      </c>
      <c r="E280" s="25">
        <v>1650</v>
      </c>
      <c r="F280" s="25">
        <v>1018.44</v>
      </c>
      <c r="G280" s="36">
        <f t="shared" si="16"/>
        <v>92.585454545454553</v>
      </c>
      <c r="H280" s="36">
        <f t="shared" si="17"/>
        <v>925.85454545454547</v>
      </c>
      <c r="I280" s="36">
        <f t="shared" si="18"/>
        <v>724.14545454545453</v>
      </c>
      <c r="J280" s="37">
        <f t="shared" si="19"/>
        <v>0.7821373865912572</v>
      </c>
      <c r="K280" s="23" t="s">
        <v>70</v>
      </c>
    </row>
    <row r="281" spans="1:11" x14ac:dyDescent="0.25">
      <c r="A281" s="23" t="s">
        <v>595</v>
      </c>
      <c r="B281" s="23" t="s">
        <v>488</v>
      </c>
      <c r="C281" s="24" t="s">
        <v>724</v>
      </c>
      <c r="D281" s="23" t="s">
        <v>15</v>
      </c>
      <c r="E281" s="25">
        <v>1650</v>
      </c>
      <c r="F281" s="25">
        <v>1018.44</v>
      </c>
      <c r="G281" s="36">
        <f t="shared" si="16"/>
        <v>92.585454545454553</v>
      </c>
      <c r="H281" s="36">
        <f t="shared" si="17"/>
        <v>925.85454545454547</v>
      </c>
      <c r="I281" s="36">
        <f t="shared" si="18"/>
        <v>724.14545454545453</v>
      </c>
      <c r="J281" s="37">
        <f t="shared" si="19"/>
        <v>0.7821373865912572</v>
      </c>
      <c r="K281" s="23" t="s">
        <v>70</v>
      </c>
    </row>
    <row r="282" spans="1:11" x14ac:dyDescent="0.25">
      <c r="A282" s="23" t="s">
        <v>595</v>
      </c>
      <c r="B282" s="23" t="s">
        <v>488</v>
      </c>
      <c r="C282" s="24" t="s">
        <v>725</v>
      </c>
      <c r="D282" s="23" t="s">
        <v>15</v>
      </c>
      <c r="E282" s="25">
        <v>1650</v>
      </c>
      <c r="F282" s="25">
        <v>1018.44</v>
      </c>
      <c r="G282" s="36">
        <f t="shared" si="16"/>
        <v>92.585454545454553</v>
      </c>
      <c r="H282" s="36">
        <f t="shared" si="17"/>
        <v>925.85454545454547</v>
      </c>
      <c r="I282" s="36">
        <f t="shared" si="18"/>
        <v>724.14545454545453</v>
      </c>
      <c r="J282" s="37">
        <f t="shared" si="19"/>
        <v>0.7821373865912572</v>
      </c>
      <c r="K282" s="23" t="s">
        <v>70</v>
      </c>
    </row>
    <row r="283" spans="1:11" x14ac:dyDescent="0.25">
      <c r="A283" s="23" t="s">
        <v>595</v>
      </c>
      <c r="B283" s="23" t="s">
        <v>488</v>
      </c>
      <c r="C283" s="24" t="s">
        <v>726</v>
      </c>
      <c r="D283" s="23" t="s">
        <v>15</v>
      </c>
      <c r="E283" s="25">
        <v>1650</v>
      </c>
      <c r="F283" s="25">
        <v>1018.44</v>
      </c>
      <c r="G283" s="36">
        <f t="shared" si="16"/>
        <v>92.585454545454553</v>
      </c>
      <c r="H283" s="36">
        <f t="shared" si="17"/>
        <v>925.85454545454547</v>
      </c>
      <c r="I283" s="36">
        <f t="shared" si="18"/>
        <v>724.14545454545453</v>
      </c>
      <c r="J283" s="37">
        <f t="shared" si="19"/>
        <v>0.7821373865912572</v>
      </c>
      <c r="K283" s="23" t="s">
        <v>70</v>
      </c>
    </row>
    <row r="284" spans="1:11" x14ac:dyDescent="0.25">
      <c r="A284" s="23" t="s">
        <v>595</v>
      </c>
      <c r="B284" s="23" t="s">
        <v>488</v>
      </c>
      <c r="C284" s="24" t="s">
        <v>727</v>
      </c>
      <c r="D284" s="23" t="s">
        <v>15</v>
      </c>
      <c r="E284" s="25">
        <v>1650</v>
      </c>
      <c r="F284" s="25">
        <v>1018.44</v>
      </c>
      <c r="G284" s="36">
        <f t="shared" si="16"/>
        <v>92.585454545454553</v>
      </c>
      <c r="H284" s="36">
        <f t="shared" si="17"/>
        <v>925.85454545454547</v>
      </c>
      <c r="I284" s="36">
        <f t="shared" si="18"/>
        <v>724.14545454545453</v>
      </c>
      <c r="J284" s="37">
        <f t="shared" si="19"/>
        <v>0.7821373865912572</v>
      </c>
      <c r="K284" s="23" t="s">
        <v>70</v>
      </c>
    </row>
    <row r="285" spans="1:11" x14ac:dyDescent="0.25">
      <c r="A285" s="23" t="s">
        <v>595</v>
      </c>
      <c r="B285" s="23" t="s">
        <v>488</v>
      </c>
      <c r="C285" s="24" t="s">
        <v>728</v>
      </c>
      <c r="D285" s="23" t="s">
        <v>15</v>
      </c>
      <c r="E285" s="25">
        <v>1650</v>
      </c>
      <c r="F285" s="25">
        <v>1018.44</v>
      </c>
      <c r="G285" s="36">
        <f t="shared" si="16"/>
        <v>92.585454545454553</v>
      </c>
      <c r="H285" s="36">
        <f t="shared" si="17"/>
        <v>925.85454545454547</v>
      </c>
      <c r="I285" s="36">
        <f t="shared" si="18"/>
        <v>724.14545454545453</v>
      </c>
      <c r="J285" s="37">
        <f t="shared" si="19"/>
        <v>0.7821373865912572</v>
      </c>
      <c r="K285" s="23" t="s">
        <v>70</v>
      </c>
    </row>
    <row r="286" spans="1:11" x14ac:dyDescent="0.25">
      <c r="A286" s="23" t="s">
        <v>595</v>
      </c>
      <c r="B286" s="23" t="s">
        <v>488</v>
      </c>
      <c r="C286" s="24" t="s">
        <v>729</v>
      </c>
      <c r="D286" s="23" t="s">
        <v>15</v>
      </c>
      <c r="E286" s="25">
        <v>1650</v>
      </c>
      <c r="F286" s="25">
        <v>1018.44</v>
      </c>
      <c r="G286" s="36">
        <f t="shared" si="16"/>
        <v>92.585454545454553</v>
      </c>
      <c r="H286" s="36">
        <f t="shared" si="17"/>
        <v>925.85454545454547</v>
      </c>
      <c r="I286" s="36">
        <f t="shared" si="18"/>
        <v>724.14545454545453</v>
      </c>
      <c r="J286" s="37">
        <f t="shared" si="19"/>
        <v>0.7821373865912572</v>
      </c>
      <c r="K286" s="23" t="s">
        <v>70</v>
      </c>
    </row>
    <row r="287" spans="1:11" x14ac:dyDescent="0.25">
      <c r="A287" s="23" t="s">
        <v>595</v>
      </c>
      <c r="B287" s="23" t="s">
        <v>488</v>
      </c>
      <c r="C287" s="24" t="s">
        <v>730</v>
      </c>
      <c r="D287" s="23" t="s">
        <v>15</v>
      </c>
      <c r="E287" s="25">
        <v>1650</v>
      </c>
      <c r="F287" s="25">
        <v>1018.44</v>
      </c>
      <c r="G287" s="36">
        <f t="shared" si="16"/>
        <v>92.585454545454553</v>
      </c>
      <c r="H287" s="36">
        <f t="shared" si="17"/>
        <v>925.85454545454547</v>
      </c>
      <c r="I287" s="36">
        <f t="shared" si="18"/>
        <v>724.14545454545453</v>
      </c>
      <c r="J287" s="37">
        <f t="shared" si="19"/>
        <v>0.7821373865912572</v>
      </c>
      <c r="K287" s="23" t="s">
        <v>70</v>
      </c>
    </row>
    <row r="288" spans="1:11" x14ac:dyDescent="0.25">
      <c r="A288" s="23" t="s">
        <v>595</v>
      </c>
      <c r="B288" s="23" t="s">
        <v>488</v>
      </c>
      <c r="C288" s="24" t="s">
        <v>731</v>
      </c>
      <c r="D288" s="23" t="s">
        <v>15</v>
      </c>
      <c r="E288" s="25">
        <v>1650</v>
      </c>
      <c r="F288" s="25">
        <v>1018.44</v>
      </c>
      <c r="G288" s="36">
        <f t="shared" si="16"/>
        <v>92.585454545454553</v>
      </c>
      <c r="H288" s="36">
        <f t="shared" si="17"/>
        <v>925.85454545454547</v>
      </c>
      <c r="I288" s="36">
        <f t="shared" si="18"/>
        <v>724.14545454545453</v>
      </c>
      <c r="J288" s="37">
        <f t="shared" si="19"/>
        <v>0.7821373865912572</v>
      </c>
      <c r="K288" s="23" t="s">
        <v>70</v>
      </c>
    </row>
    <row r="289" spans="1:11" x14ac:dyDescent="0.25">
      <c r="A289" s="23" t="s">
        <v>595</v>
      </c>
      <c r="B289" s="23" t="s">
        <v>488</v>
      </c>
      <c r="C289" s="24" t="s">
        <v>732</v>
      </c>
      <c r="D289" s="23" t="s">
        <v>15</v>
      </c>
      <c r="E289" s="25">
        <v>1650</v>
      </c>
      <c r="F289" s="25">
        <v>1018.44</v>
      </c>
      <c r="G289" s="36">
        <f t="shared" si="16"/>
        <v>92.585454545454553</v>
      </c>
      <c r="H289" s="36">
        <f t="shared" si="17"/>
        <v>925.85454545454547</v>
      </c>
      <c r="I289" s="36">
        <f t="shared" si="18"/>
        <v>724.14545454545453</v>
      </c>
      <c r="J289" s="37">
        <f t="shared" si="19"/>
        <v>0.7821373865912572</v>
      </c>
      <c r="K289" s="23" t="s">
        <v>70</v>
      </c>
    </row>
    <row r="290" spans="1:11" x14ac:dyDescent="0.25">
      <c r="A290" s="23"/>
      <c r="B290" s="23"/>
      <c r="C290" s="23"/>
      <c r="D290" s="23"/>
      <c r="E290" s="33" t="s">
        <v>741</v>
      </c>
      <c r="F290" s="33" t="s">
        <v>748</v>
      </c>
      <c r="G290" s="34" t="s">
        <v>749</v>
      </c>
      <c r="H290" s="34" t="s">
        <v>750</v>
      </c>
      <c r="I290" s="34" t="s">
        <v>751</v>
      </c>
      <c r="J290" s="33" t="s">
        <v>744</v>
      </c>
      <c r="K290" s="23"/>
    </row>
    <row r="291" spans="1:11" x14ac:dyDescent="0.25">
      <c r="A291" s="23"/>
      <c r="B291" s="23"/>
      <c r="C291" s="23"/>
      <c r="D291" s="23"/>
      <c r="E291" s="27">
        <f>SUM(E2:E290)</f>
        <v>603610.35999999987</v>
      </c>
      <c r="F291" s="27">
        <f>SUM(F2:F290)</f>
        <v>467802.65000000142</v>
      </c>
      <c r="G291" s="43">
        <f>SUM(G2:G290)</f>
        <v>42527.513636363939</v>
      </c>
      <c r="H291" s="27">
        <f>SUM(H2:H290)</f>
        <v>425275.13636363822</v>
      </c>
      <c r="I291" s="27">
        <f>SUM(I2:I290)</f>
        <v>178335.22363636384</v>
      </c>
      <c r="J291" s="28">
        <f>AVERAGE(J2:J290)</f>
        <v>0.74981169250757096</v>
      </c>
      <c r="K291" s="23"/>
    </row>
    <row r="296" spans="1:11" x14ac:dyDescent="0.25">
      <c r="B296" s="59" t="s">
        <v>752</v>
      </c>
      <c r="C296" s="59">
        <v>9953.6</v>
      </c>
    </row>
    <row r="297" spans="1:11" x14ac:dyDescent="0.25">
      <c r="B297" s="59" t="s">
        <v>753</v>
      </c>
      <c r="C297" s="62">
        <v>15643</v>
      </c>
    </row>
    <row r="298" spans="1:11" x14ac:dyDescent="0.25">
      <c r="B298" s="59" t="s">
        <v>754</v>
      </c>
      <c r="C298" s="59">
        <v>273.72000000000003</v>
      </c>
    </row>
    <row r="299" spans="1:11" x14ac:dyDescent="0.25">
      <c r="B299" s="59" t="s">
        <v>760</v>
      </c>
      <c r="C299" s="63">
        <v>8994</v>
      </c>
    </row>
    <row r="300" spans="1:11" x14ac:dyDescent="0.25">
      <c r="B300" s="59" t="s">
        <v>761</v>
      </c>
      <c r="C300" s="63">
        <v>8973</v>
      </c>
    </row>
    <row r="301" spans="1:11" x14ac:dyDescent="0.25">
      <c r="B301" s="59" t="s">
        <v>765</v>
      </c>
      <c r="C301" s="63">
        <v>17005.5</v>
      </c>
    </row>
    <row r="302" spans="1:11" x14ac:dyDescent="0.25">
      <c r="B302" s="59"/>
      <c r="C302" s="46"/>
    </row>
    <row r="303" spans="1:11" x14ac:dyDescent="0.25">
      <c r="B303" s="27" t="s">
        <v>766</v>
      </c>
      <c r="C303" s="79">
        <f>SUM(C296:C302)</f>
        <v>60842.82</v>
      </c>
    </row>
    <row r="304" spans="1:11" x14ac:dyDescent="0.25">
      <c r="B304" s="27"/>
      <c r="C304" s="79"/>
    </row>
    <row r="305" spans="2:7" x14ac:dyDescent="0.25">
      <c r="B305" s="27" t="s">
        <v>767</v>
      </c>
      <c r="C305" s="79">
        <f>I291-C303</f>
        <v>117492.40363636383</v>
      </c>
    </row>
    <row r="306" spans="2:7" x14ac:dyDescent="0.25">
      <c r="C306" s="47"/>
      <c r="F306" s="77" t="s">
        <v>741</v>
      </c>
      <c r="G306" s="78" t="s">
        <v>742</v>
      </c>
    </row>
    <row r="307" spans="2:7" x14ac:dyDescent="0.25">
      <c r="C307" s="47"/>
      <c r="F307" s="59">
        <v>603610.35999999987</v>
      </c>
      <c r="G307" s="36">
        <v>425275.13636363822</v>
      </c>
    </row>
    <row r="308" spans="2:7" x14ac:dyDescent="0.25">
      <c r="C308" s="47"/>
      <c r="F308" s="59">
        <v>985571</v>
      </c>
      <c r="G308" s="36">
        <v>932226.06</v>
      </c>
    </row>
    <row r="309" spans="2:7" x14ac:dyDescent="0.25">
      <c r="C309" s="47"/>
      <c r="F309" s="59">
        <v>188750.67999999991</v>
      </c>
      <c r="G309" s="36">
        <v>154774.7763636364</v>
      </c>
    </row>
    <row r="310" spans="2:7" x14ac:dyDescent="0.25">
      <c r="C310" s="47"/>
      <c r="F310" s="59">
        <v>131965</v>
      </c>
      <c r="G310" s="36">
        <v>116506.27745599995</v>
      </c>
    </row>
    <row r="311" spans="2:7" x14ac:dyDescent="0.25">
      <c r="C311" s="64" t="s">
        <v>767</v>
      </c>
      <c r="D311" s="65">
        <v>117492</v>
      </c>
      <c r="F311" s="59">
        <v>25655</v>
      </c>
      <c r="G311" s="36">
        <v>24500</v>
      </c>
    </row>
    <row r="312" spans="2:7" x14ac:dyDescent="0.25">
      <c r="C312" s="66" t="s">
        <v>768</v>
      </c>
      <c r="D312" s="67">
        <v>36549.334199999867</v>
      </c>
      <c r="F312" s="59"/>
      <c r="G312" s="36"/>
    </row>
    <row r="313" spans="2:7" x14ac:dyDescent="0.25">
      <c r="C313" s="68" t="s">
        <v>770</v>
      </c>
      <c r="D313" s="69">
        <v>22322.903636363626</v>
      </c>
      <c r="F313" s="27">
        <f>SUM(F307:F312)</f>
        <v>1935552.0399999998</v>
      </c>
      <c r="G313" s="43">
        <f>SUM(G307:G312)</f>
        <v>1653282.2501832745</v>
      </c>
    </row>
    <row r="314" spans="2:7" x14ac:dyDescent="0.25">
      <c r="C314" s="70" t="s">
        <v>771</v>
      </c>
      <c r="D314" s="71">
        <v>15458.722544000042</v>
      </c>
    </row>
    <row r="315" spans="2:7" x14ac:dyDescent="0.25">
      <c r="C315" s="72" t="s">
        <v>772</v>
      </c>
      <c r="D315" s="73">
        <v>-37447</v>
      </c>
    </row>
    <row r="316" spans="2:7" x14ac:dyDescent="0.25">
      <c r="C316" s="46"/>
      <c r="D316" s="74"/>
    </row>
    <row r="317" spans="2:7" x14ac:dyDescent="0.25">
      <c r="C317" s="75" t="s">
        <v>773</v>
      </c>
      <c r="D317" s="76">
        <f>SUM(D311:D316)</f>
        <v>154375.96038036354</v>
      </c>
    </row>
    <row r="318" spans="2:7" x14ac:dyDescent="0.25">
      <c r="C318" s="47"/>
    </row>
    <row r="319" spans="2:7" x14ac:dyDescent="0.25">
      <c r="C319" s="47"/>
    </row>
    <row r="320" spans="2:7" x14ac:dyDescent="0.25">
      <c r="C320" s="47"/>
    </row>
    <row r="321" spans="3:3" x14ac:dyDescent="0.25">
      <c r="C321" s="49"/>
    </row>
    <row r="322" spans="3:3" x14ac:dyDescent="0.25">
      <c r="C322" s="50"/>
    </row>
    <row r="323" spans="3:3" x14ac:dyDescent="0.25">
      <c r="C323" s="50"/>
    </row>
    <row r="324" spans="3:3" x14ac:dyDescent="0.25">
      <c r="C324" s="48"/>
    </row>
    <row r="325" spans="3:3" x14ac:dyDescent="0.25">
      <c r="C325" s="50"/>
    </row>
  </sheetData>
  <conditionalFormatting sqref="C302:C310 C313:C323 D311">
    <cfRule type="duplicateValues" dxfId="46" priority="6"/>
  </conditionalFormatting>
  <conditionalFormatting sqref="C302:C310 D311">
    <cfRule type="duplicateValues" dxfId="45" priority="10"/>
  </conditionalFormatting>
  <conditionalFormatting sqref="C313:C320">
    <cfRule type="duplicateValues" dxfId="44" priority="9"/>
  </conditionalFormatting>
  <conditionalFormatting sqref="C321">
    <cfRule type="duplicateValues" dxfId="43" priority="8"/>
  </conditionalFormatting>
  <conditionalFormatting sqref="C322:C323">
    <cfRule type="duplicateValues" dxfId="42" priority="7"/>
  </conditionalFormatting>
  <conditionalFormatting sqref="C325">
    <cfRule type="duplicateValues" dxfId="41" priority="1"/>
    <cfRule type="duplicateValues" dxfId="40" priority="2"/>
    <cfRule type="duplicateValues" dxfId="39" priority="3"/>
  </conditionalFormatting>
  <conditionalFormatting sqref="C326:C1048576 C1:C296 C298:C310 C313:C324 D311">
    <cfRule type="duplicateValues" dxfId="38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FCA6-5802-4D67-BBA6-452A234EAF8D}">
  <dimension ref="A1:I431"/>
  <sheetViews>
    <sheetView topLeftCell="A310" zoomScale="80" zoomScaleNormal="80" workbookViewId="0">
      <selection activeCell="D352" sqref="D352"/>
    </sheetView>
  </sheetViews>
  <sheetFormatPr defaultRowHeight="15" x14ac:dyDescent="0.25"/>
  <cols>
    <col min="1" max="1" width="16.85546875" customWidth="1"/>
    <col min="2" max="2" width="36.85546875" customWidth="1"/>
    <col min="3" max="3" width="27.7109375" customWidth="1"/>
    <col min="4" max="4" width="34.28515625" customWidth="1"/>
    <col min="5" max="5" width="20.28515625" customWidth="1"/>
    <col min="6" max="6" width="18.28515625" customWidth="1"/>
    <col min="7" max="7" width="19" customWidth="1"/>
    <col min="8" max="8" width="19" style="15" customWidth="1"/>
    <col min="9" max="9" width="18.5703125" customWidth="1"/>
  </cols>
  <sheetData>
    <row r="1" spans="1:9" x14ac:dyDescent="0.25">
      <c r="A1" s="16" t="s">
        <v>3</v>
      </c>
      <c r="B1" s="16" t="s">
        <v>4</v>
      </c>
      <c r="C1" s="17" t="s">
        <v>5</v>
      </c>
      <c r="D1" s="16" t="s">
        <v>6</v>
      </c>
      <c r="E1" s="16" t="s">
        <v>7</v>
      </c>
      <c r="F1" s="16" t="s">
        <v>8</v>
      </c>
      <c r="G1" s="16" t="s">
        <v>9</v>
      </c>
      <c r="H1" s="18" t="s">
        <v>10</v>
      </c>
      <c r="I1" s="16" t="s">
        <v>11</v>
      </c>
    </row>
    <row r="2" spans="1:9" x14ac:dyDescent="0.25">
      <c r="A2" s="19" t="s">
        <v>12</v>
      </c>
      <c r="B2" s="19" t="s">
        <v>38</v>
      </c>
      <c r="C2" s="20">
        <v>359200571698417</v>
      </c>
      <c r="D2" s="19" t="s">
        <v>15</v>
      </c>
      <c r="E2" s="21">
        <v>2400</v>
      </c>
      <c r="F2" s="21">
        <v>2650</v>
      </c>
      <c r="G2" s="21">
        <v>-250</v>
      </c>
      <c r="H2" s="22">
        <f t="shared" ref="H2:H65" si="0">(E2-F2)/F2</f>
        <v>-9.4339622641509441E-2</v>
      </c>
      <c r="I2" s="19" t="s">
        <v>39</v>
      </c>
    </row>
    <row r="3" spans="1:9" x14ac:dyDescent="0.25">
      <c r="A3" s="19" t="s">
        <v>12</v>
      </c>
      <c r="B3" s="19" t="s">
        <v>38</v>
      </c>
      <c r="C3" s="20">
        <v>359200571946774</v>
      </c>
      <c r="D3" s="19" t="s">
        <v>15</v>
      </c>
      <c r="E3" s="21">
        <v>2400</v>
      </c>
      <c r="F3" s="21">
        <v>2700</v>
      </c>
      <c r="G3" s="21">
        <v>-300</v>
      </c>
      <c r="H3" s="22">
        <f t="shared" si="0"/>
        <v>-0.1111111111111111</v>
      </c>
      <c r="I3" s="19" t="s">
        <v>39</v>
      </c>
    </row>
    <row r="4" spans="1:9" x14ac:dyDescent="0.25">
      <c r="A4" s="19" t="s">
        <v>12</v>
      </c>
      <c r="B4" s="19" t="s">
        <v>38</v>
      </c>
      <c r="C4" s="20">
        <v>359200575042547</v>
      </c>
      <c r="D4" s="19" t="s">
        <v>15</v>
      </c>
      <c r="E4" s="21">
        <v>2400</v>
      </c>
      <c r="F4" s="21">
        <v>2650</v>
      </c>
      <c r="G4" s="21">
        <v>-250</v>
      </c>
      <c r="H4" s="22">
        <f t="shared" si="0"/>
        <v>-9.4339622641509441E-2</v>
      </c>
      <c r="I4" s="19" t="s">
        <v>39</v>
      </c>
    </row>
    <row r="5" spans="1:9" x14ac:dyDescent="0.25">
      <c r="A5" s="19" t="s">
        <v>12</v>
      </c>
      <c r="B5" s="19" t="s">
        <v>38</v>
      </c>
      <c r="C5" s="20">
        <v>359200575117430</v>
      </c>
      <c r="D5" s="19" t="s">
        <v>15</v>
      </c>
      <c r="E5" s="21">
        <v>2250</v>
      </c>
      <c r="F5" s="21">
        <v>2650</v>
      </c>
      <c r="G5" s="21">
        <v>-400</v>
      </c>
      <c r="H5" s="22">
        <f t="shared" si="0"/>
        <v>-0.15094339622641509</v>
      </c>
      <c r="I5" s="19" t="s">
        <v>39</v>
      </c>
    </row>
    <row r="6" spans="1:9" x14ac:dyDescent="0.25">
      <c r="A6" s="19" t="s">
        <v>12</v>
      </c>
      <c r="B6" s="19" t="s">
        <v>38</v>
      </c>
      <c r="C6" s="20">
        <v>359200579040778</v>
      </c>
      <c r="D6" s="19" t="s">
        <v>15</v>
      </c>
      <c r="E6" s="21">
        <v>2400</v>
      </c>
      <c r="F6" s="21">
        <v>2650</v>
      </c>
      <c r="G6" s="21">
        <v>-250</v>
      </c>
      <c r="H6" s="22">
        <f t="shared" si="0"/>
        <v>-9.4339622641509441E-2</v>
      </c>
      <c r="I6" s="19" t="s">
        <v>39</v>
      </c>
    </row>
    <row r="7" spans="1:9" x14ac:dyDescent="0.25">
      <c r="A7" s="19" t="s">
        <v>12</v>
      </c>
      <c r="B7" s="19" t="s">
        <v>43</v>
      </c>
      <c r="C7" s="20">
        <v>358112934305849</v>
      </c>
      <c r="D7" s="19" t="s">
        <v>15</v>
      </c>
      <c r="E7" s="21">
        <v>3050</v>
      </c>
      <c r="F7" s="21">
        <v>3700</v>
      </c>
      <c r="G7" s="21">
        <v>-650</v>
      </c>
      <c r="H7" s="22">
        <f t="shared" si="0"/>
        <v>-0.17567567567567569</v>
      </c>
      <c r="I7" s="19" t="s">
        <v>39</v>
      </c>
    </row>
    <row r="8" spans="1:9" x14ac:dyDescent="0.25">
      <c r="A8" s="19" t="s">
        <v>12</v>
      </c>
      <c r="B8" s="19" t="s">
        <v>51</v>
      </c>
      <c r="C8" s="20">
        <v>352355700190574</v>
      </c>
      <c r="D8" s="19" t="s">
        <v>15</v>
      </c>
      <c r="E8" s="21">
        <v>3615</v>
      </c>
      <c r="F8" s="21">
        <v>3850</v>
      </c>
      <c r="G8" s="21">
        <v>-235</v>
      </c>
      <c r="H8" s="22">
        <f t="shared" si="0"/>
        <v>-6.1038961038961038E-2</v>
      </c>
      <c r="I8" s="19" t="s">
        <v>39</v>
      </c>
    </row>
    <row r="9" spans="1:9" x14ac:dyDescent="0.25">
      <c r="A9" s="19" t="s">
        <v>12</v>
      </c>
      <c r="B9" s="19" t="s">
        <v>51</v>
      </c>
      <c r="C9" s="20">
        <v>352355700564521</v>
      </c>
      <c r="D9" s="19" t="s">
        <v>15</v>
      </c>
      <c r="E9" s="21">
        <v>3615</v>
      </c>
      <c r="F9" s="21">
        <v>3950</v>
      </c>
      <c r="G9" s="21">
        <v>-335</v>
      </c>
      <c r="H9" s="22">
        <f t="shared" si="0"/>
        <v>-8.4810126582278475E-2</v>
      </c>
      <c r="I9" s="19" t="s">
        <v>39</v>
      </c>
    </row>
    <row r="10" spans="1:9" x14ac:dyDescent="0.25">
      <c r="A10" s="19" t="s">
        <v>12</v>
      </c>
      <c r="B10" s="19" t="s">
        <v>51</v>
      </c>
      <c r="C10" s="20">
        <v>352355702755622</v>
      </c>
      <c r="D10" s="19" t="s">
        <v>15</v>
      </c>
      <c r="E10" s="21">
        <v>3615</v>
      </c>
      <c r="F10" s="21">
        <v>3950</v>
      </c>
      <c r="G10" s="21">
        <v>-335</v>
      </c>
      <c r="H10" s="22">
        <f t="shared" si="0"/>
        <v>-8.4810126582278475E-2</v>
      </c>
      <c r="I10" s="19" t="s">
        <v>39</v>
      </c>
    </row>
    <row r="11" spans="1:9" x14ac:dyDescent="0.25">
      <c r="A11" s="19" t="s">
        <v>12</v>
      </c>
      <c r="B11" s="19" t="s">
        <v>51</v>
      </c>
      <c r="C11" s="20">
        <v>352355708179843</v>
      </c>
      <c r="D11" s="19" t="s">
        <v>26</v>
      </c>
      <c r="E11" s="21">
        <v>3615</v>
      </c>
      <c r="F11" s="21">
        <v>3850</v>
      </c>
      <c r="G11" s="21">
        <v>-235</v>
      </c>
      <c r="H11" s="22">
        <f t="shared" si="0"/>
        <v>-6.1038961038961038E-2</v>
      </c>
      <c r="I11" s="19" t="s">
        <v>39</v>
      </c>
    </row>
    <row r="12" spans="1:9" x14ac:dyDescent="0.25">
      <c r="A12" s="19" t="s">
        <v>12</v>
      </c>
      <c r="B12" s="19" t="s">
        <v>51</v>
      </c>
      <c r="C12" s="20">
        <v>352355709092714</v>
      </c>
      <c r="D12" s="19" t="s">
        <v>15</v>
      </c>
      <c r="E12" s="21">
        <v>3615</v>
      </c>
      <c r="F12" s="21">
        <v>3950</v>
      </c>
      <c r="G12" s="21">
        <v>-335</v>
      </c>
      <c r="H12" s="22">
        <f t="shared" si="0"/>
        <v>-8.4810126582278475E-2</v>
      </c>
      <c r="I12" s="19" t="s">
        <v>39</v>
      </c>
    </row>
    <row r="13" spans="1:9" x14ac:dyDescent="0.25">
      <c r="A13" s="19" t="s">
        <v>154</v>
      </c>
      <c r="B13" s="19" t="s">
        <v>58</v>
      </c>
      <c r="C13" s="20">
        <v>353497850454183</v>
      </c>
      <c r="D13" s="19" t="s">
        <v>15</v>
      </c>
      <c r="E13" s="21">
        <v>3460</v>
      </c>
      <c r="F13" s="21">
        <v>3500</v>
      </c>
      <c r="G13" s="21">
        <v>-40</v>
      </c>
      <c r="H13" s="22">
        <f t="shared" si="0"/>
        <v>-1.1428571428571429E-2</v>
      </c>
      <c r="I13" s="19" t="s">
        <v>39</v>
      </c>
    </row>
    <row r="14" spans="1:9" x14ac:dyDescent="0.25">
      <c r="A14" s="19" t="s">
        <v>159</v>
      </c>
      <c r="B14" s="19" t="s">
        <v>58</v>
      </c>
      <c r="C14" s="20">
        <v>356392240109232</v>
      </c>
      <c r="D14" s="19" t="s">
        <v>15</v>
      </c>
      <c r="E14" s="21">
        <v>3410</v>
      </c>
      <c r="F14" s="21">
        <v>3500</v>
      </c>
      <c r="G14" s="21">
        <v>-90</v>
      </c>
      <c r="H14" s="22">
        <f t="shared" si="0"/>
        <v>-2.5714285714285714E-2</v>
      </c>
      <c r="I14" s="19" t="s">
        <v>39</v>
      </c>
    </row>
    <row r="15" spans="1:9" x14ac:dyDescent="0.25">
      <c r="A15" s="19" t="s">
        <v>159</v>
      </c>
      <c r="B15" s="19" t="s">
        <v>58</v>
      </c>
      <c r="C15" s="20">
        <v>359392240174970</v>
      </c>
      <c r="D15" s="19" t="s">
        <v>15</v>
      </c>
      <c r="E15" s="21">
        <v>3410</v>
      </c>
      <c r="F15" s="21">
        <v>3500</v>
      </c>
      <c r="G15" s="21">
        <v>-90</v>
      </c>
      <c r="H15" s="22">
        <f t="shared" si="0"/>
        <v>-2.5714285714285714E-2</v>
      </c>
      <c r="I15" s="19" t="s">
        <v>39</v>
      </c>
    </row>
    <row r="16" spans="1:9" x14ac:dyDescent="0.25">
      <c r="A16" s="19" t="s">
        <v>436</v>
      </c>
      <c r="B16" s="19" t="s">
        <v>150</v>
      </c>
      <c r="C16" s="20">
        <v>353335921105733</v>
      </c>
      <c r="D16" s="19" t="s">
        <v>15</v>
      </c>
      <c r="E16" s="21">
        <v>2130</v>
      </c>
      <c r="F16" s="21">
        <v>2350</v>
      </c>
      <c r="G16" s="21">
        <v>-220</v>
      </c>
      <c r="H16" s="22">
        <f t="shared" si="0"/>
        <v>-9.3617021276595741E-2</v>
      </c>
      <c r="I16" s="19" t="s">
        <v>39</v>
      </c>
    </row>
    <row r="17" spans="1:9" x14ac:dyDescent="0.25">
      <c r="A17" s="19" t="s">
        <v>473</v>
      </c>
      <c r="B17" s="19" t="s">
        <v>475</v>
      </c>
      <c r="C17" s="20">
        <v>357550247373999</v>
      </c>
      <c r="D17" s="19" t="s">
        <v>15</v>
      </c>
      <c r="E17" s="21">
        <v>840</v>
      </c>
      <c r="F17" s="21">
        <v>900</v>
      </c>
      <c r="G17" s="21">
        <v>-60</v>
      </c>
      <c r="H17" s="22">
        <f t="shared" si="0"/>
        <v>-6.6666666666666666E-2</v>
      </c>
      <c r="I17" s="19" t="s">
        <v>39</v>
      </c>
    </row>
    <row r="18" spans="1:9" x14ac:dyDescent="0.25">
      <c r="A18" s="19" t="s">
        <v>12</v>
      </c>
      <c r="B18" s="19" t="s">
        <v>42</v>
      </c>
      <c r="C18" s="20">
        <v>352066342215865</v>
      </c>
      <c r="D18" s="19" t="s">
        <v>15</v>
      </c>
      <c r="E18" s="21">
        <v>5100</v>
      </c>
      <c r="F18" s="21">
        <v>5206</v>
      </c>
      <c r="G18" s="21">
        <v>-106</v>
      </c>
      <c r="H18" s="22">
        <f t="shared" si="0"/>
        <v>-2.0361121782558587E-2</v>
      </c>
      <c r="I18" s="19" t="s">
        <v>20</v>
      </c>
    </row>
    <row r="19" spans="1:9" x14ac:dyDescent="0.25">
      <c r="A19" s="19" t="s">
        <v>12</v>
      </c>
      <c r="B19" s="19" t="s">
        <v>43</v>
      </c>
      <c r="C19" s="20">
        <v>358112934659435</v>
      </c>
      <c r="D19" s="19" t="s">
        <v>15</v>
      </c>
      <c r="E19" s="21">
        <v>3700</v>
      </c>
      <c r="F19" s="21">
        <v>3855.6</v>
      </c>
      <c r="G19" s="21">
        <v>-155.6</v>
      </c>
      <c r="H19" s="22">
        <f t="shared" si="0"/>
        <v>-4.0356883494138372E-2</v>
      </c>
      <c r="I19" s="19" t="s">
        <v>20</v>
      </c>
    </row>
    <row r="20" spans="1:9" x14ac:dyDescent="0.25">
      <c r="A20" s="19" t="s">
        <v>12</v>
      </c>
      <c r="B20" s="19" t="s">
        <v>51</v>
      </c>
      <c r="C20" s="20">
        <v>352355704693557</v>
      </c>
      <c r="D20" s="19" t="s">
        <v>44</v>
      </c>
      <c r="E20" s="21">
        <v>3750</v>
      </c>
      <c r="F20" s="21">
        <v>3855.6</v>
      </c>
      <c r="G20" s="21">
        <v>-105.6</v>
      </c>
      <c r="H20" s="22">
        <f t="shared" si="0"/>
        <v>-2.738873327108619E-2</v>
      </c>
      <c r="I20" s="19" t="s">
        <v>20</v>
      </c>
    </row>
    <row r="21" spans="1:9" x14ac:dyDescent="0.25">
      <c r="A21" s="19" t="s">
        <v>12</v>
      </c>
      <c r="B21" s="19" t="s">
        <v>51</v>
      </c>
      <c r="C21" s="20">
        <v>352355709496667</v>
      </c>
      <c r="D21" s="19" t="s">
        <v>15</v>
      </c>
      <c r="E21" s="21">
        <v>3615</v>
      </c>
      <c r="F21" s="21">
        <v>3877.2</v>
      </c>
      <c r="G21" s="21">
        <v>-262.2</v>
      </c>
      <c r="H21" s="22">
        <f t="shared" si="0"/>
        <v>-6.7626121943670653E-2</v>
      </c>
      <c r="I21" s="19" t="s">
        <v>20</v>
      </c>
    </row>
    <row r="22" spans="1:9" x14ac:dyDescent="0.25">
      <c r="A22" s="19" t="s">
        <v>54</v>
      </c>
      <c r="B22" s="19" t="s">
        <v>55</v>
      </c>
      <c r="C22" s="20">
        <v>351807171680906</v>
      </c>
      <c r="D22" s="19" t="s">
        <v>56</v>
      </c>
      <c r="E22" s="21">
        <v>2250</v>
      </c>
      <c r="F22" s="21">
        <v>2297.6</v>
      </c>
      <c r="G22" s="21">
        <v>-47.6</v>
      </c>
      <c r="H22" s="22">
        <f t="shared" si="0"/>
        <v>-2.0717270194986034E-2</v>
      </c>
      <c r="I22" s="19" t="s">
        <v>20</v>
      </c>
    </row>
    <row r="23" spans="1:9" x14ac:dyDescent="0.25">
      <c r="A23" s="19" t="s">
        <v>54</v>
      </c>
      <c r="B23" s="19" t="s">
        <v>55</v>
      </c>
      <c r="C23" s="20">
        <v>353502585377474</v>
      </c>
      <c r="D23" s="19" t="s">
        <v>56</v>
      </c>
      <c r="E23" s="21">
        <v>2250</v>
      </c>
      <c r="F23" s="21">
        <v>2297.6</v>
      </c>
      <c r="G23" s="21">
        <v>-47.6</v>
      </c>
      <c r="H23" s="22">
        <f t="shared" si="0"/>
        <v>-2.0717270194986034E-2</v>
      </c>
      <c r="I23" s="19" t="s">
        <v>20</v>
      </c>
    </row>
    <row r="24" spans="1:9" x14ac:dyDescent="0.25">
      <c r="A24" s="19" t="s">
        <v>54</v>
      </c>
      <c r="B24" s="19" t="s">
        <v>55</v>
      </c>
      <c r="C24" s="20">
        <v>353502589829355</v>
      </c>
      <c r="D24" s="19" t="s">
        <v>56</v>
      </c>
      <c r="E24" s="21">
        <v>2250</v>
      </c>
      <c r="F24" s="21">
        <v>2297.6</v>
      </c>
      <c r="G24" s="21">
        <v>-47.6</v>
      </c>
      <c r="H24" s="22">
        <f t="shared" si="0"/>
        <v>-2.0717270194986034E-2</v>
      </c>
      <c r="I24" s="19" t="s">
        <v>20</v>
      </c>
    </row>
    <row r="25" spans="1:9" x14ac:dyDescent="0.25">
      <c r="A25" s="19" t="s">
        <v>54</v>
      </c>
      <c r="B25" s="19" t="s">
        <v>55</v>
      </c>
      <c r="C25" s="20">
        <v>354717537662067</v>
      </c>
      <c r="D25" s="19" t="s">
        <v>56</v>
      </c>
      <c r="E25" s="21">
        <v>2250</v>
      </c>
      <c r="F25" s="21">
        <v>2297.6</v>
      </c>
      <c r="G25" s="21">
        <v>-47.6</v>
      </c>
      <c r="H25" s="22">
        <f t="shared" si="0"/>
        <v>-2.0717270194986034E-2</v>
      </c>
      <c r="I25" s="19" t="s">
        <v>20</v>
      </c>
    </row>
    <row r="26" spans="1:9" x14ac:dyDescent="0.25">
      <c r="A26" s="19" t="s">
        <v>54</v>
      </c>
      <c r="B26" s="19" t="s">
        <v>55</v>
      </c>
      <c r="C26" s="20">
        <v>355714603147940</v>
      </c>
      <c r="D26" s="19" t="s">
        <v>56</v>
      </c>
      <c r="E26" s="21">
        <v>2250</v>
      </c>
      <c r="F26" s="21">
        <v>2297.6</v>
      </c>
      <c r="G26" s="21">
        <v>-47.6</v>
      </c>
      <c r="H26" s="22">
        <f t="shared" si="0"/>
        <v>-2.0717270194986034E-2</v>
      </c>
      <c r="I26" s="19" t="s">
        <v>20</v>
      </c>
    </row>
    <row r="27" spans="1:9" x14ac:dyDescent="0.25">
      <c r="A27" s="19" t="s">
        <v>54</v>
      </c>
      <c r="B27" s="19" t="s">
        <v>55</v>
      </c>
      <c r="C27" s="20">
        <v>355714605463394</v>
      </c>
      <c r="D27" s="19" t="s">
        <v>56</v>
      </c>
      <c r="E27" s="21">
        <v>2250</v>
      </c>
      <c r="F27" s="21">
        <v>2297.6</v>
      </c>
      <c r="G27" s="21">
        <v>-47.6</v>
      </c>
      <c r="H27" s="22">
        <f t="shared" si="0"/>
        <v>-2.0717270194986034E-2</v>
      </c>
      <c r="I27" s="19" t="s">
        <v>20</v>
      </c>
    </row>
    <row r="28" spans="1:9" x14ac:dyDescent="0.25">
      <c r="A28" s="19" t="s">
        <v>54</v>
      </c>
      <c r="B28" s="19" t="s">
        <v>58</v>
      </c>
      <c r="C28" s="20">
        <v>358902510026078</v>
      </c>
      <c r="D28" s="19" t="s">
        <v>56</v>
      </c>
      <c r="E28" s="21">
        <v>3900</v>
      </c>
      <c r="F28" s="21">
        <v>4272.1000000000004</v>
      </c>
      <c r="G28" s="21">
        <v>-372.1</v>
      </c>
      <c r="H28" s="22">
        <f t="shared" si="0"/>
        <v>-8.7100021066922675E-2</v>
      </c>
      <c r="I28" s="19" t="s">
        <v>20</v>
      </c>
    </row>
    <row r="29" spans="1:9" x14ac:dyDescent="0.25">
      <c r="A29" s="19" t="s">
        <v>54</v>
      </c>
      <c r="B29" s="19" t="s">
        <v>58</v>
      </c>
      <c r="C29" s="20">
        <v>359802898807108</v>
      </c>
      <c r="D29" s="19" t="s">
        <v>59</v>
      </c>
      <c r="E29" s="21">
        <v>3800</v>
      </c>
      <c r="F29" s="21">
        <v>3913.1</v>
      </c>
      <c r="G29" s="21">
        <v>-113.1</v>
      </c>
      <c r="H29" s="22">
        <f t="shared" si="0"/>
        <v>-2.8902915846771078E-2</v>
      </c>
      <c r="I29" s="19" t="s">
        <v>20</v>
      </c>
    </row>
    <row r="30" spans="1:9" x14ac:dyDescent="0.25">
      <c r="A30" s="19" t="s">
        <v>159</v>
      </c>
      <c r="B30" s="19" t="s">
        <v>160</v>
      </c>
      <c r="C30" s="20" t="s">
        <v>161</v>
      </c>
      <c r="D30" s="19" t="s">
        <v>15</v>
      </c>
      <c r="E30" s="21">
        <v>345</v>
      </c>
      <c r="F30" s="21">
        <v>448.75</v>
      </c>
      <c r="G30" s="21">
        <v>-103.75</v>
      </c>
      <c r="H30" s="22">
        <f t="shared" si="0"/>
        <v>-0.23119777158774374</v>
      </c>
      <c r="I30" s="19" t="s">
        <v>20</v>
      </c>
    </row>
    <row r="31" spans="1:9" x14ac:dyDescent="0.25">
      <c r="A31" s="19" t="s">
        <v>159</v>
      </c>
      <c r="B31" s="19" t="s">
        <v>58</v>
      </c>
      <c r="C31" s="20">
        <v>353497852096644</v>
      </c>
      <c r="D31" s="19" t="s">
        <v>26</v>
      </c>
      <c r="E31" s="21">
        <v>3230</v>
      </c>
      <c r="F31" s="21">
        <v>3446.4</v>
      </c>
      <c r="G31" s="21">
        <v>-216.4</v>
      </c>
      <c r="H31" s="22">
        <f t="shared" si="0"/>
        <v>-6.279015784586818E-2</v>
      </c>
      <c r="I31" s="19" t="s">
        <v>20</v>
      </c>
    </row>
    <row r="32" spans="1:9" x14ac:dyDescent="0.25">
      <c r="A32" s="19" t="s">
        <v>159</v>
      </c>
      <c r="B32" s="19" t="s">
        <v>58</v>
      </c>
      <c r="C32" s="20">
        <v>355246659786123</v>
      </c>
      <c r="D32" s="19" t="s">
        <v>26</v>
      </c>
      <c r="E32" s="21">
        <v>3410</v>
      </c>
      <c r="F32" s="21">
        <v>3446.4</v>
      </c>
      <c r="G32" s="21">
        <v>-36.4</v>
      </c>
      <c r="H32" s="22">
        <f t="shared" si="0"/>
        <v>-1.0561745589600768E-2</v>
      </c>
      <c r="I32" s="19" t="s">
        <v>20</v>
      </c>
    </row>
    <row r="33" spans="1:9" x14ac:dyDescent="0.25">
      <c r="A33" s="19" t="s">
        <v>343</v>
      </c>
      <c r="B33" s="19" t="s">
        <v>407</v>
      </c>
      <c r="C33" s="20">
        <v>815820024125</v>
      </c>
      <c r="D33" s="19" t="s">
        <v>15</v>
      </c>
      <c r="E33" s="21">
        <v>1</v>
      </c>
      <c r="F33" s="21">
        <v>89.75</v>
      </c>
      <c r="G33" s="21">
        <v>-88.75</v>
      </c>
      <c r="H33" s="22">
        <f t="shared" si="0"/>
        <v>-0.9888579387186629</v>
      </c>
      <c r="I33" s="19" t="s">
        <v>20</v>
      </c>
    </row>
    <row r="34" spans="1:9" x14ac:dyDescent="0.25">
      <c r="A34" s="19" t="s">
        <v>343</v>
      </c>
      <c r="B34" s="19" t="s">
        <v>410</v>
      </c>
      <c r="C34" s="20" t="s">
        <v>411</v>
      </c>
      <c r="D34" s="19" t="s">
        <v>15</v>
      </c>
      <c r="E34" s="21">
        <v>700</v>
      </c>
      <c r="F34" s="21">
        <v>1006.6</v>
      </c>
      <c r="G34" s="21">
        <v>-593.38</v>
      </c>
      <c r="H34" s="22">
        <f t="shared" si="0"/>
        <v>-0.30458970792767737</v>
      </c>
      <c r="I34" s="19" t="s">
        <v>20</v>
      </c>
    </row>
    <row r="35" spans="1:9" x14ac:dyDescent="0.25">
      <c r="A35" s="19" t="s">
        <v>473</v>
      </c>
      <c r="B35" s="19" t="s">
        <v>474</v>
      </c>
      <c r="C35" s="20">
        <v>351117220319542</v>
      </c>
      <c r="D35" s="19" t="s">
        <v>46</v>
      </c>
      <c r="E35" s="21">
        <v>740</v>
      </c>
      <c r="F35" s="21">
        <v>825.7</v>
      </c>
      <c r="G35" s="21">
        <v>-85.7</v>
      </c>
      <c r="H35" s="22">
        <f t="shared" si="0"/>
        <v>-0.10379072302288972</v>
      </c>
      <c r="I35" s="19" t="s">
        <v>20</v>
      </c>
    </row>
    <row r="36" spans="1:9" x14ac:dyDescent="0.25">
      <c r="A36" s="19" t="s">
        <v>473</v>
      </c>
      <c r="B36" s="19" t="s">
        <v>158</v>
      </c>
      <c r="C36" s="20">
        <v>358862982636483</v>
      </c>
      <c r="D36" s="19" t="s">
        <v>484</v>
      </c>
      <c r="E36" s="21">
        <v>2170</v>
      </c>
      <c r="F36" s="21">
        <v>2225.8000000000002</v>
      </c>
      <c r="G36" s="21">
        <v>-55.8</v>
      </c>
      <c r="H36" s="22">
        <f t="shared" si="0"/>
        <v>-2.5069637883008436E-2</v>
      </c>
      <c r="I36" s="19" t="s">
        <v>20</v>
      </c>
    </row>
    <row r="37" spans="1:9" x14ac:dyDescent="0.25">
      <c r="A37" s="23" t="s">
        <v>12</v>
      </c>
      <c r="B37" s="23" t="s">
        <v>38</v>
      </c>
      <c r="C37" s="24">
        <v>359200573550764</v>
      </c>
      <c r="D37" s="23" t="s">
        <v>15</v>
      </c>
      <c r="E37" s="25">
        <v>2400</v>
      </c>
      <c r="F37" s="25">
        <v>2100</v>
      </c>
      <c r="G37" s="25">
        <v>300</v>
      </c>
      <c r="H37" s="26">
        <f t="shared" si="0"/>
        <v>0.14285714285714285</v>
      </c>
      <c r="I37" s="23" t="s">
        <v>39</v>
      </c>
    </row>
    <row r="38" spans="1:9" x14ac:dyDescent="0.25">
      <c r="A38" s="23" t="s">
        <v>12</v>
      </c>
      <c r="B38" s="23" t="s">
        <v>51</v>
      </c>
      <c r="C38" s="24">
        <v>352355700215959</v>
      </c>
      <c r="D38" s="23" t="s">
        <v>15</v>
      </c>
      <c r="E38" s="25">
        <v>4000</v>
      </c>
      <c r="F38" s="25">
        <v>3950</v>
      </c>
      <c r="G38" s="25">
        <v>50</v>
      </c>
      <c r="H38" s="26">
        <f t="shared" si="0"/>
        <v>1.2658227848101266E-2</v>
      </c>
      <c r="I38" s="23" t="s">
        <v>39</v>
      </c>
    </row>
    <row r="39" spans="1:9" x14ac:dyDescent="0.25">
      <c r="A39" s="23" t="s">
        <v>12</v>
      </c>
      <c r="B39" s="23" t="s">
        <v>51</v>
      </c>
      <c r="C39" s="24">
        <v>352355703868101</v>
      </c>
      <c r="D39" s="23" t="s">
        <v>26</v>
      </c>
      <c r="E39" s="25">
        <v>4000</v>
      </c>
      <c r="F39" s="25">
        <v>3850</v>
      </c>
      <c r="G39" s="25">
        <v>150</v>
      </c>
      <c r="H39" s="26">
        <f t="shared" si="0"/>
        <v>3.896103896103896E-2</v>
      </c>
      <c r="I39" s="23" t="s">
        <v>39</v>
      </c>
    </row>
    <row r="40" spans="1:9" x14ac:dyDescent="0.25">
      <c r="A40" s="23" t="s">
        <v>12</v>
      </c>
      <c r="B40" s="23" t="s">
        <v>52</v>
      </c>
      <c r="C40" s="24">
        <v>352355708317864</v>
      </c>
      <c r="D40" s="23" t="s">
        <v>15</v>
      </c>
      <c r="E40" s="25">
        <v>6050</v>
      </c>
      <c r="F40" s="25">
        <v>4600</v>
      </c>
      <c r="G40" s="25">
        <v>1450</v>
      </c>
      <c r="H40" s="26">
        <f t="shared" si="0"/>
        <v>0.31521739130434784</v>
      </c>
      <c r="I40" s="23" t="s">
        <v>39</v>
      </c>
    </row>
    <row r="41" spans="1:9" x14ac:dyDescent="0.25">
      <c r="A41" s="23" t="s">
        <v>67</v>
      </c>
      <c r="B41" s="23" t="s">
        <v>87</v>
      </c>
      <c r="C41" s="24">
        <v>350795041666034</v>
      </c>
      <c r="D41" s="23" t="s">
        <v>15</v>
      </c>
      <c r="E41" s="25">
        <v>2000</v>
      </c>
      <c r="F41" s="25">
        <v>1920</v>
      </c>
      <c r="G41" s="25">
        <v>80</v>
      </c>
      <c r="H41" s="26">
        <f t="shared" si="0"/>
        <v>4.1666666666666664E-2</v>
      </c>
      <c r="I41" s="23" t="s">
        <v>39</v>
      </c>
    </row>
    <row r="42" spans="1:9" x14ac:dyDescent="0.25">
      <c r="A42" s="23" t="s">
        <v>67</v>
      </c>
      <c r="B42" s="23" t="s">
        <v>87</v>
      </c>
      <c r="C42" s="24">
        <v>350795045749612</v>
      </c>
      <c r="D42" s="23" t="s">
        <v>88</v>
      </c>
      <c r="E42" s="25">
        <v>2000</v>
      </c>
      <c r="F42" s="25">
        <v>1920</v>
      </c>
      <c r="G42" s="25">
        <v>80</v>
      </c>
      <c r="H42" s="26">
        <f t="shared" si="0"/>
        <v>4.1666666666666664E-2</v>
      </c>
      <c r="I42" s="23" t="s">
        <v>39</v>
      </c>
    </row>
    <row r="43" spans="1:9" x14ac:dyDescent="0.25">
      <c r="A43" s="23" t="s">
        <v>67</v>
      </c>
      <c r="B43" s="23" t="s">
        <v>87</v>
      </c>
      <c r="C43" s="24">
        <v>351605724701124</v>
      </c>
      <c r="D43" s="23" t="s">
        <v>15</v>
      </c>
      <c r="E43" s="25">
        <v>2000</v>
      </c>
      <c r="F43" s="25">
        <v>1920</v>
      </c>
      <c r="G43" s="25">
        <v>80</v>
      </c>
      <c r="H43" s="26">
        <f t="shared" si="0"/>
        <v>4.1666666666666664E-2</v>
      </c>
      <c r="I43" s="23" t="s">
        <v>39</v>
      </c>
    </row>
    <row r="44" spans="1:9" x14ac:dyDescent="0.25">
      <c r="A44" s="23" t="s">
        <v>67</v>
      </c>
      <c r="B44" s="23" t="s">
        <v>87</v>
      </c>
      <c r="C44" s="24">
        <v>355413814741027</v>
      </c>
      <c r="D44" s="23" t="s">
        <v>15</v>
      </c>
      <c r="E44" s="25">
        <v>1950</v>
      </c>
      <c r="F44" s="25">
        <v>1920</v>
      </c>
      <c r="G44" s="25">
        <v>30</v>
      </c>
      <c r="H44" s="26">
        <f t="shared" si="0"/>
        <v>1.5625E-2</v>
      </c>
      <c r="I44" s="23" t="s">
        <v>39</v>
      </c>
    </row>
    <row r="45" spans="1:9" x14ac:dyDescent="0.25">
      <c r="A45" s="23" t="s">
        <v>67</v>
      </c>
      <c r="B45" s="23" t="s">
        <v>87</v>
      </c>
      <c r="C45" s="24">
        <v>355413814850182</v>
      </c>
      <c r="D45" s="23" t="s">
        <v>15</v>
      </c>
      <c r="E45" s="25">
        <v>1950</v>
      </c>
      <c r="F45" s="25">
        <v>1920</v>
      </c>
      <c r="G45" s="25">
        <v>30</v>
      </c>
      <c r="H45" s="26">
        <f t="shared" si="0"/>
        <v>1.5625E-2</v>
      </c>
      <c r="I45" s="23" t="s">
        <v>39</v>
      </c>
    </row>
    <row r="46" spans="1:9" x14ac:dyDescent="0.25">
      <c r="A46" s="23" t="s">
        <v>67</v>
      </c>
      <c r="B46" s="23" t="s">
        <v>87</v>
      </c>
      <c r="C46" s="24">
        <v>355413815048182</v>
      </c>
      <c r="D46" s="23" t="s">
        <v>15</v>
      </c>
      <c r="E46" s="25">
        <v>2000</v>
      </c>
      <c r="F46" s="25">
        <v>1920</v>
      </c>
      <c r="G46" s="25">
        <v>80</v>
      </c>
      <c r="H46" s="26">
        <f t="shared" si="0"/>
        <v>4.1666666666666664E-2</v>
      </c>
      <c r="I46" s="23" t="s">
        <v>39</v>
      </c>
    </row>
    <row r="47" spans="1:9" x14ac:dyDescent="0.25">
      <c r="A47" s="23" t="s">
        <v>67</v>
      </c>
      <c r="B47" s="23" t="s">
        <v>87</v>
      </c>
      <c r="C47" s="24">
        <v>355413815114174</v>
      </c>
      <c r="D47" s="23" t="s">
        <v>15</v>
      </c>
      <c r="E47" s="25">
        <v>2000</v>
      </c>
      <c r="F47" s="25">
        <v>1920</v>
      </c>
      <c r="G47" s="25">
        <v>80</v>
      </c>
      <c r="H47" s="26">
        <f t="shared" si="0"/>
        <v>4.1666666666666664E-2</v>
      </c>
      <c r="I47" s="23" t="s">
        <v>39</v>
      </c>
    </row>
    <row r="48" spans="1:9" x14ac:dyDescent="0.25">
      <c r="A48" s="23" t="s">
        <v>67</v>
      </c>
      <c r="B48" s="23" t="s">
        <v>87</v>
      </c>
      <c r="C48" s="24">
        <v>355413815139585</v>
      </c>
      <c r="D48" s="23" t="s">
        <v>15</v>
      </c>
      <c r="E48" s="25">
        <v>2000</v>
      </c>
      <c r="F48" s="25">
        <v>1920</v>
      </c>
      <c r="G48" s="25">
        <v>80</v>
      </c>
      <c r="H48" s="26">
        <f t="shared" si="0"/>
        <v>4.1666666666666664E-2</v>
      </c>
      <c r="I48" s="23" t="s">
        <v>39</v>
      </c>
    </row>
    <row r="49" spans="1:9" x14ac:dyDescent="0.25">
      <c r="A49" s="23" t="s">
        <v>147</v>
      </c>
      <c r="B49" s="23" t="s">
        <v>149</v>
      </c>
      <c r="C49" s="24">
        <v>351878872372564</v>
      </c>
      <c r="D49" s="23" t="s">
        <v>15</v>
      </c>
      <c r="E49" s="25">
        <v>1900</v>
      </c>
      <c r="F49" s="25">
        <v>1800</v>
      </c>
      <c r="G49" s="25">
        <v>100</v>
      </c>
      <c r="H49" s="26">
        <f t="shared" si="0"/>
        <v>5.5555555555555552E-2</v>
      </c>
      <c r="I49" s="23" t="s">
        <v>39</v>
      </c>
    </row>
    <row r="50" spans="1:9" x14ac:dyDescent="0.25">
      <c r="A50" s="23" t="s">
        <v>147</v>
      </c>
      <c r="B50" s="23" t="s">
        <v>149</v>
      </c>
      <c r="C50" s="24">
        <v>351878872398734</v>
      </c>
      <c r="D50" s="23" t="s">
        <v>15</v>
      </c>
      <c r="E50" s="25">
        <v>1900</v>
      </c>
      <c r="F50" s="25">
        <v>1800</v>
      </c>
      <c r="G50" s="25">
        <v>100</v>
      </c>
      <c r="H50" s="26">
        <f t="shared" si="0"/>
        <v>5.5555555555555552E-2</v>
      </c>
      <c r="I50" s="23" t="s">
        <v>39</v>
      </c>
    </row>
    <row r="51" spans="1:9" x14ac:dyDescent="0.25">
      <c r="A51" s="23" t="s">
        <v>147</v>
      </c>
      <c r="B51" s="23" t="s">
        <v>64</v>
      </c>
      <c r="C51" s="24">
        <v>355820205617501</v>
      </c>
      <c r="D51" s="23" t="s">
        <v>15</v>
      </c>
      <c r="E51" s="25">
        <v>3020</v>
      </c>
      <c r="F51" s="25">
        <v>2850</v>
      </c>
      <c r="G51" s="25">
        <v>170</v>
      </c>
      <c r="H51" s="26">
        <f t="shared" si="0"/>
        <v>5.9649122807017542E-2</v>
      </c>
      <c r="I51" s="23" t="s">
        <v>39</v>
      </c>
    </row>
    <row r="52" spans="1:9" x14ac:dyDescent="0.25">
      <c r="A52" s="23" t="s">
        <v>147</v>
      </c>
      <c r="B52" s="23" t="s">
        <v>64</v>
      </c>
      <c r="C52" s="24">
        <v>355820206673735</v>
      </c>
      <c r="D52" s="23" t="s">
        <v>15</v>
      </c>
      <c r="E52" s="25">
        <v>3130</v>
      </c>
      <c r="F52" s="25">
        <v>3000</v>
      </c>
      <c r="G52" s="25">
        <v>130</v>
      </c>
      <c r="H52" s="26">
        <f t="shared" si="0"/>
        <v>4.3333333333333335E-2</v>
      </c>
      <c r="I52" s="23" t="s">
        <v>39</v>
      </c>
    </row>
    <row r="53" spans="1:9" x14ac:dyDescent="0.25">
      <c r="A53" s="23" t="s">
        <v>147</v>
      </c>
      <c r="B53" s="23" t="s">
        <v>64</v>
      </c>
      <c r="C53" s="24">
        <v>355981551539945</v>
      </c>
      <c r="D53" s="23" t="s">
        <v>15</v>
      </c>
      <c r="E53" s="25">
        <v>3020</v>
      </c>
      <c r="F53" s="25">
        <v>2850</v>
      </c>
      <c r="G53" s="25">
        <v>170</v>
      </c>
      <c r="H53" s="26">
        <f t="shared" si="0"/>
        <v>5.9649122807017542E-2</v>
      </c>
      <c r="I53" s="23" t="s">
        <v>39</v>
      </c>
    </row>
    <row r="54" spans="1:9" x14ac:dyDescent="0.25">
      <c r="A54" s="23" t="s">
        <v>147</v>
      </c>
      <c r="B54" s="23" t="s">
        <v>64</v>
      </c>
      <c r="C54" s="24">
        <v>356245413499675</v>
      </c>
      <c r="D54" s="23" t="s">
        <v>15</v>
      </c>
      <c r="E54" s="25">
        <v>3130</v>
      </c>
      <c r="F54" s="25">
        <v>3000</v>
      </c>
      <c r="G54" s="25">
        <v>130</v>
      </c>
      <c r="H54" s="26">
        <f t="shared" si="0"/>
        <v>4.3333333333333335E-2</v>
      </c>
      <c r="I54" s="23" t="s">
        <v>39</v>
      </c>
    </row>
    <row r="55" spans="1:9" x14ac:dyDescent="0.25">
      <c r="A55" s="23" t="s">
        <v>304</v>
      </c>
      <c r="B55" s="23" t="s">
        <v>58</v>
      </c>
      <c r="C55" s="24">
        <v>350599864315723</v>
      </c>
      <c r="D55" s="23" t="s">
        <v>15</v>
      </c>
      <c r="E55" s="25">
        <v>3290</v>
      </c>
      <c r="F55" s="25">
        <v>3200</v>
      </c>
      <c r="G55" s="25">
        <v>90</v>
      </c>
      <c r="H55" s="26">
        <f t="shared" si="0"/>
        <v>2.8125000000000001E-2</v>
      </c>
      <c r="I55" s="23" t="s">
        <v>39</v>
      </c>
    </row>
    <row r="56" spans="1:9" x14ac:dyDescent="0.25">
      <c r="A56" s="23" t="s">
        <v>343</v>
      </c>
      <c r="B56" s="23" t="s">
        <v>64</v>
      </c>
      <c r="C56" s="24">
        <v>355820206873293</v>
      </c>
      <c r="D56" s="23" t="s">
        <v>15</v>
      </c>
      <c r="E56" s="25">
        <v>2900</v>
      </c>
      <c r="F56" s="25">
        <v>2750</v>
      </c>
      <c r="G56" s="25">
        <v>150</v>
      </c>
      <c r="H56" s="26">
        <f t="shared" si="0"/>
        <v>5.4545454545454543E-2</v>
      </c>
      <c r="I56" s="23" t="s">
        <v>39</v>
      </c>
    </row>
    <row r="57" spans="1:9" x14ac:dyDescent="0.25">
      <c r="A57" s="59" t="s">
        <v>473</v>
      </c>
      <c r="B57" s="59" t="s">
        <v>148</v>
      </c>
      <c r="C57" s="24">
        <v>356187983891693</v>
      </c>
      <c r="D57" s="59" t="s">
        <v>15</v>
      </c>
      <c r="E57" s="25">
        <v>2440</v>
      </c>
      <c r="F57" s="25">
        <v>2380</v>
      </c>
      <c r="G57" s="25">
        <v>60</v>
      </c>
      <c r="H57" s="26">
        <f t="shared" si="0"/>
        <v>2.5210084033613446E-2</v>
      </c>
      <c r="I57" s="59" t="s">
        <v>39</v>
      </c>
    </row>
    <row r="58" spans="1:9" x14ac:dyDescent="0.25">
      <c r="A58" s="23" t="s">
        <v>473</v>
      </c>
      <c r="B58" s="23" t="s">
        <v>148</v>
      </c>
      <c r="C58" s="24">
        <v>358135793125933</v>
      </c>
      <c r="D58" s="23" t="s">
        <v>15</v>
      </c>
      <c r="E58" s="25">
        <v>2440</v>
      </c>
      <c r="F58" s="25">
        <v>2380</v>
      </c>
      <c r="G58" s="25">
        <v>60</v>
      </c>
      <c r="H58" s="26">
        <f t="shared" si="0"/>
        <v>2.5210084033613446E-2</v>
      </c>
      <c r="I58" s="23" t="s">
        <v>39</v>
      </c>
    </row>
    <row r="59" spans="1:9" x14ac:dyDescent="0.25">
      <c r="A59" s="23" t="s">
        <v>473</v>
      </c>
      <c r="B59" s="23" t="s">
        <v>148</v>
      </c>
      <c r="C59" s="24">
        <v>358135794004590</v>
      </c>
      <c r="D59" s="23" t="s">
        <v>15</v>
      </c>
      <c r="E59" s="25">
        <v>2500</v>
      </c>
      <c r="F59" s="25">
        <v>2380</v>
      </c>
      <c r="G59" s="25">
        <v>120</v>
      </c>
      <c r="H59" s="26">
        <f t="shared" si="0"/>
        <v>5.0420168067226892E-2</v>
      </c>
      <c r="I59" s="23" t="s">
        <v>39</v>
      </c>
    </row>
    <row r="60" spans="1:9" x14ac:dyDescent="0.25">
      <c r="A60" s="23" t="s">
        <v>495</v>
      </c>
      <c r="B60" s="23" t="s">
        <v>51</v>
      </c>
      <c r="C60" s="24">
        <v>352355703295107</v>
      </c>
      <c r="D60" s="23" t="s">
        <v>15</v>
      </c>
      <c r="E60" s="25">
        <v>3950</v>
      </c>
      <c r="F60" s="25">
        <v>3900</v>
      </c>
      <c r="G60" s="25">
        <v>50</v>
      </c>
      <c r="H60" s="26">
        <f t="shared" si="0"/>
        <v>1.282051282051282E-2</v>
      </c>
      <c r="I60" s="23" t="s">
        <v>39</v>
      </c>
    </row>
    <row r="61" spans="1:9" x14ac:dyDescent="0.25">
      <c r="A61" s="23" t="s">
        <v>495</v>
      </c>
      <c r="B61" s="23" t="s">
        <v>51</v>
      </c>
      <c r="C61" s="24">
        <v>352355709093084</v>
      </c>
      <c r="D61" s="23" t="s">
        <v>15</v>
      </c>
      <c r="E61" s="25">
        <v>3950</v>
      </c>
      <c r="F61" s="25">
        <v>3900</v>
      </c>
      <c r="G61" s="25">
        <v>50</v>
      </c>
      <c r="H61" s="26">
        <f t="shared" si="0"/>
        <v>1.282051282051282E-2</v>
      </c>
      <c r="I61" s="23" t="s">
        <v>39</v>
      </c>
    </row>
    <row r="62" spans="1:9" x14ac:dyDescent="0.25">
      <c r="A62" s="23" t="s">
        <v>12</v>
      </c>
      <c r="B62" s="23" t="s">
        <v>18</v>
      </c>
      <c r="C62" s="24" t="s">
        <v>19</v>
      </c>
      <c r="D62" s="23" t="s">
        <v>15</v>
      </c>
      <c r="E62" s="25">
        <v>1440</v>
      </c>
      <c r="F62" s="25">
        <v>1382.15</v>
      </c>
      <c r="G62" s="25">
        <v>57.85</v>
      </c>
      <c r="H62" s="26">
        <f t="shared" si="0"/>
        <v>4.1855080852295265E-2</v>
      </c>
      <c r="I62" s="23" t="s">
        <v>20</v>
      </c>
    </row>
    <row r="63" spans="1:9" x14ac:dyDescent="0.25">
      <c r="A63" s="59" t="s">
        <v>12</v>
      </c>
      <c r="B63" s="59" t="s">
        <v>18</v>
      </c>
      <c r="C63" s="24" t="s">
        <v>21</v>
      </c>
      <c r="D63" s="59" t="s">
        <v>15</v>
      </c>
      <c r="E63" s="25">
        <v>1440</v>
      </c>
      <c r="F63" s="25">
        <v>1382.15</v>
      </c>
      <c r="G63" s="25">
        <v>57.85</v>
      </c>
      <c r="H63" s="26">
        <f t="shared" si="0"/>
        <v>4.1855080852295265E-2</v>
      </c>
      <c r="I63" s="59" t="s">
        <v>20</v>
      </c>
    </row>
    <row r="64" spans="1:9" x14ac:dyDescent="0.25">
      <c r="A64" s="23" t="s">
        <v>12</v>
      </c>
      <c r="B64" s="23" t="s">
        <v>18</v>
      </c>
      <c r="C64" s="24" t="s">
        <v>22</v>
      </c>
      <c r="D64" s="23" t="s">
        <v>15</v>
      </c>
      <c r="E64" s="25">
        <v>1440</v>
      </c>
      <c r="F64" s="25">
        <v>1382.15</v>
      </c>
      <c r="G64" s="25">
        <v>57.85</v>
      </c>
      <c r="H64" s="26">
        <f t="shared" si="0"/>
        <v>4.1855080852295265E-2</v>
      </c>
      <c r="I64" s="23" t="s">
        <v>20</v>
      </c>
    </row>
    <row r="65" spans="1:9" x14ac:dyDescent="0.25">
      <c r="A65" s="23" t="s">
        <v>12</v>
      </c>
      <c r="B65" s="23" t="s">
        <v>18</v>
      </c>
      <c r="C65" s="24" t="s">
        <v>23</v>
      </c>
      <c r="D65" s="23" t="s">
        <v>15</v>
      </c>
      <c r="E65" s="25">
        <v>1440</v>
      </c>
      <c r="F65" s="25">
        <v>1382.15</v>
      </c>
      <c r="G65" s="25">
        <v>57.85</v>
      </c>
      <c r="H65" s="26">
        <f t="shared" si="0"/>
        <v>4.1855080852295265E-2</v>
      </c>
      <c r="I65" s="23" t="s">
        <v>20</v>
      </c>
    </row>
    <row r="66" spans="1:9" x14ac:dyDescent="0.25">
      <c r="A66" s="23" t="s">
        <v>12</v>
      </c>
      <c r="B66" s="23" t="s">
        <v>24</v>
      </c>
      <c r="C66" s="24">
        <v>357585651901984</v>
      </c>
      <c r="D66" s="23" t="s">
        <v>15</v>
      </c>
      <c r="E66" s="25">
        <v>2050</v>
      </c>
      <c r="F66" s="25">
        <v>1795</v>
      </c>
      <c r="G66" s="25">
        <v>255</v>
      </c>
      <c r="H66" s="26">
        <f t="shared" ref="H66:H129" si="1">(E66-F66)/F66</f>
        <v>0.14206128133704735</v>
      </c>
      <c r="I66" s="23" t="s">
        <v>20</v>
      </c>
    </row>
    <row r="67" spans="1:9" x14ac:dyDescent="0.25">
      <c r="A67" s="23" t="s">
        <v>12</v>
      </c>
      <c r="B67" s="23" t="s">
        <v>25</v>
      </c>
      <c r="C67" s="24">
        <v>351159023117517</v>
      </c>
      <c r="D67" s="23" t="s">
        <v>15</v>
      </c>
      <c r="E67" s="25">
        <v>1360</v>
      </c>
      <c r="F67" s="25">
        <v>1249.5</v>
      </c>
      <c r="G67" s="25">
        <v>110.5</v>
      </c>
      <c r="H67" s="26">
        <f t="shared" si="1"/>
        <v>8.8435374149659865E-2</v>
      </c>
      <c r="I67" s="23" t="s">
        <v>20</v>
      </c>
    </row>
    <row r="68" spans="1:9" x14ac:dyDescent="0.25">
      <c r="A68" s="23" t="s">
        <v>12</v>
      </c>
      <c r="B68" s="23" t="s">
        <v>25</v>
      </c>
      <c r="C68" s="24">
        <v>357585652557637</v>
      </c>
      <c r="D68" s="23" t="s">
        <v>26</v>
      </c>
      <c r="E68" s="25">
        <v>1150</v>
      </c>
      <c r="F68" s="25">
        <v>1071</v>
      </c>
      <c r="G68" s="25">
        <v>79</v>
      </c>
      <c r="H68" s="26">
        <f t="shared" si="1"/>
        <v>7.3762838468720823E-2</v>
      </c>
      <c r="I68" s="23" t="s">
        <v>20</v>
      </c>
    </row>
    <row r="69" spans="1:9" x14ac:dyDescent="0.25">
      <c r="A69" s="23" t="s">
        <v>12</v>
      </c>
      <c r="B69" s="23" t="s">
        <v>25</v>
      </c>
      <c r="C69" s="24">
        <v>357879852424809</v>
      </c>
      <c r="D69" s="23" t="s">
        <v>27</v>
      </c>
      <c r="E69" s="25">
        <v>1360</v>
      </c>
      <c r="F69" s="25">
        <v>1220.5999999999999</v>
      </c>
      <c r="G69" s="25">
        <v>139.4</v>
      </c>
      <c r="H69" s="26">
        <f t="shared" si="1"/>
        <v>0.11420612813370482</v>
      </c>
      <c r="I69" s="23" t="s">
        <v>20</v>
      </c>
    </row>
    <row r="70" spans="1:9" x14ac:dyDescent="0.25">
      <c r="A70" s="23" t="s">
        <v>12</v>
      </c>
      <c r="B70" s="23" t="s">
        <v>28</v>
      </c>
      <c r="C70" s="24" t="s">
        <v>29</v>
      </c>
      <c r="D70" s="23" t="s">
        <v>15</v>
      </c>
      <c r="E70" s="25">
        <v>1730</v>
      </c>
      <c r="F70" s="25">
        <v>1570.8</v>
      </c>
      <c r="G70" s="25">
        <v>159.19999999999999</v>
      </c>
      <c r="H70" s="26">
        <f t="shared" si="1"/>
        <v>0.1013496307613955</v>
      </c>
      <c r="I70" s="23" t="s">
        <v>20</v>
      </c>
    </row>
    <row r="71" spans="1:9" x14ac:dyDescent="0.25">
      <c r="A71" s="59" t="s">
        <v>12</v>
      </c>
      <c r="B71" s="59" t="s">
        <v>28</v>
      </c>
      <c r="C71" s="24" t="s">
        <v>30</v>
      </c>
      <c r="D71" s="59" t="s">
        <v>15</v>
      </c>
      <c r="E71" s="25">
        <v>1730</v>
      </c>
      <c r="F71" s="25">
        <v>1579.6</v>
      </c>
      <c r="G71" s="25">
        <v>150.4</v>
      </c>
      <c r="H71" s="26">
        <f t="shared" si="1"/>
        <v>9.5213978222334836E-2</v>
      </c>
      <c r="I71" s="59" t="s">
        <v>20</v>
      </c>
    </row>
    <row r="72" spans="1:9" x14ac:dyDescent="0.25">
      <c r="A72" s="23" t="s">
        <v>12</v>
      </c>
      <c r="B72" s="23" t="s">
        <v>31</v>
      </c>
      <c r="C72" s="24" t="s">
        <v>32</v>
      </c>
      <c r="D72" s="23" t="s">
        <v>15</v>
      </c>
      <c r="E72" s="25">
        <v>2100</v>
      </c>
      <c r="F72" s="25">
        <v>1874.25</v>
      </c>
      <c r="G72" s="25">
        <v>225.75</v>
      </c>
      <c r="H72" s="26">
        <f t="shared" si="1"/>
        <v>0.12044817927170869</v>
      </c>
      <c r="I72" s="23" t="s">
        <v>20</v>
      </c>
    </row>
    <row r="73" spans="1:9" x14ac:dyDescent="0.25">
      <c r="A73" s="23" t="s">
        <v>12</v>
      </c>
      <c r="B73" s="23" t="s">
        <v>33</v>
      </c>
      <c r="C73" s="24" t="s">
        <v>34</v>
      </c>
      <c r="D73" s="23" t="s">
        <v>15</v>
      </c>
      <c r="E73" s="25">
        <v>2350</v>
      </c>
      <c r="F73" s="25">
        <v>2142</v>
      </c>
      <c r="G73" s="25">
        <v>208</v>
      </c>
      <c r="H73" s="26">
        <f t="shared" si="1"/>
        <v>9.7105508870214755E-2</v>
      </c>
      <c r="I73" s="23" t="s">
        <v>20</v>
      </c>
    </row>
    <row r="74" spans="1:9" x14ac:dyDescent="0.25">
      <c r="A74" s="59" t="s">
        <v>12</v>
      </c>
      <c r="B74" s="59" t="s">
        <v>33</v>
      </c>
      <c r="C74" s="24" t="s">
        <v>35</v>
      </c>
      <c r="D74" s="59" t="s">
        <v>15</v>
      </c>
      <c r="E74" s="25">
        <v>2350</v>
      </c>
      <c r="F74" s="25">
        <v>2142</v>
      </c>
      <c r="G74" s="25">
        <v>208</v>
      </c>
      <c r="H74" s="26">
        <f t="shared" si="1"/>
        <v>9.7105508870214755E-2</v>
      </c>
      <c r="I74" s="59" t="s">
        <v>20</v>
      </c>
    </row>
    <row r="75" spans="1:9" x14ac:dyDescent="0.25">
      <c r="A75" s="23" t="s">
        <v>12</v>
      </c>
      <c r="B75" s="23" t="s">
        <v>36</v>
      </c>
      <c r="C75" s="24" t="s">
        <v>37</v>
      </c>
      <c r="D75" s="23" t="s">
        <v>15</v>
      </c>
      <c r="E75" s="25">
        <v>2850</v>
      </c>
      <c r="F75" s="25">
        <v>2112.1999999999998</v>
      </c>
      <c r="G75" s="25">
        <v>737.8</v>
      </c>
      <c r="H75" s="26">
        <f t="shared" si="1"/>
        <v>0.34930404317772951</v>
      </c>
      <c r="I75" s="23" t="s">
        <v>20</v>
      </c>
    </row>
    <row r="76" spans="1:9" x14ac:dyDescent="0.25">
      <c r="A76" s="59" t="s">
        <v>12</v>
      </c>
      <c r="B76" s="59" t="s">
        <v>38</v>
      </c>
      <c r="C76" s="24">
        <v>359200572142647</v>
      </c>
      <c r="D76" s="59" t="s">
        <v>15</v>
      </c>
      <c r="E76" s="25">
        <v>2400</v>
      </c>
      <c r="F76" s="25">
        <v>2064.25</v>
      </c>
      <c r="G76" s="25">
        <v>335.75</v>
      </c>
      <c r="H76" s="26">
        <f t="shared" si="1"/>
        <v>0.16264987283517016</v>
      </c>
      <c r="I76" s="59" t="s">
        <v>20</v>
      </c>
    </row>
    <row r="77" spans="1:9" x14ac:dyDescent="0.25">
      <c r="A77" s="59" t="s">
        <v>12</v>
      </c>
      <c r="B77" s="59" t="s">
        <v>40</v>
      </c>
      <c r="C77" s="24" t="s">
        <v>41</v>
      </c>
      <c r="D77" s="59" t="s">
        <v>15</v>
      </c>
      <c r="E77" s="25">
        <v>2880</v>
      </c>
      <c r="F77" s="25">
        <v>2677.5</v>
      </c>
      <c r="G77" s="25">
        <v>202.5</v>
      </c>
      <c r="H77" s="26">
        <f t="shared" si="1"/>
        <v>7.5630252100840331E-2</v>
      </c>
      <c r="I77" s="59" t="s">
        <v>20</v>
      </c>
    </row>
    <row r="78" spans="1:9" x14ac:dyDescent="0.25">
      <c r="A78" s="59" t="s">
        <v>12</v>
      </c>
      <c r="B78" s="59" t="s">
        <v>43</v>
      </c>
      <c r="C78" s="24">
        <v>358112932235725</v>
      </c>
      <c r="D78" s="59" t="s">
        <v>15</v>
      </c>
      <c r="E78" s="25">
        <v>3700</v>
      </c>
      <c r="F78" s="25">
        <v>3518.2</v>
      </c>
      <c r="G78" s="25">
        <v>181.8</v>
      </c>
      <c r="H78" s="26">
        <f t="shared" si="1"/>
        <v>5.1674151554772382E-2</v>
      </c>
      <c r="I78" s="59" t="s">
        <v>20</v>
      </c>
    </row>
    <row r="79" spans="1:9" x14ac:dyDescent="0.25">
      <c r="A79" s="59" t="s">
        <v>12</v>
      </c>
      <c r="B79" s="59" t="s">
        <v>43</v>
      </c>
      <c r="C79" s="24">
        <v>358112932632558</v>
      </c>
      <c r="D79" s="59" t="s">
        <v>15</v>
      </c>
      <c r="E79" s="25">
        <v>3700</v>
      </c>
      <c r="F79" s="25">
        <v>3590</v>
      </c>
      <c r="G79" s="25">
        <v>110</v>
      </c>
      <c r="H79" s="26">
        <f t="shared" si="1"/>
        <v>3.0640668523676879E-2</v>
      </c>
      <c r="I79" s="59" t="s">
        <v>20</v>
      </c>
    </row>
    <row r="80" spans="1:9" x14ac:dyDescent="0.25">
      <c r="A80" s="59" t="s">
        <v>12</v>
      </c>
      <c r="B80" s="59" t="s">
        <v>43</v>
      </c>
      <c r="C80" s="24">
        <v>358112932864458</v>
      </c>
      <c r="D80" s="59" t="s">
        <v>44</v>
      </c>
      <c r="E80" s="25">
        <v>3700</v>
      </c>
      <c r="F80" s="25">
        <v>3015.6</v>
      </c>
      <c r="G80" s="25">
        <v>684.4</v>
      </c>
      <c r="H80" s="26">
        <f t="shared" si="1"/>
        <v>0.22695317681390109</v>
      </c>
      <c r="I80" s="59" t="s">
        <v>20</v>
      </c>
    </row>
    <row r="81" spans="1:9" x14ac:dyDescent="0.25">
      <c r="A81" s="59" t="s">
        <v>12</v>
      </c>
      <c r="B81" s="59" t="s">
        <v>43</v>
      </c>
      <c r="C81" s="24">
        <v>358112933617087</v>
      </c>
      <c r="D81" s="59" t="s">
        <v>15</v>
      </c>
      <c r="E81" s="25">
        <v>3700</v>
      </c>
      <c r="F81" s="25">
        <v>3498.6</v>
      </c>
      <c r="G81" s="25">
        <v>201.4</v>
      </c>
      <c r="H81" s="26">
        <f t="shared" si="1"/>
        <v>5.7565883496255674E-2</v>
      </c>
      <c r="I81" s="59" t="s">
        <v>20</v>
      </c>
    </row>
    <row r="82" spans="1:9" x14ac:dyDescent="0.25">
      <c r="A82" s="23" t="s">
        <v>12</v>
      </c>
      <c r="B82" s="23" t="s">
        <v>43</v>
      </c>
      <c r="C82" s="24">
        <v>358112933692858</v>
      </c>
      <c r="D82" s="23" t="s">
        <v>15</v>
      </c>
      <c r="E82" s="25">
        <v>3700</v>
      </c>
      <c r="F82" s="25">
        <v>3518.2</v>
      </c>
      <c r="G82" s="25">
        <v>181.8</v>
      </c>
      <c r="H82" s="26">
        <f t="shared" si="1"/>
        <v>5.1674151554772382E-2</v>
      </c>
      <c r="I82" s="23" t="s">
        <v>20</v>
      </c>
    </row>
    <row r="83" spans="1:9" x14ac:dyDescent="0.25">
      <c r="A83" s="23" t="s">
        <v>12</v>
      </c>
      <c r="B83" s="23" t="s">
        <v>45</v>
      </c>
      <c r="C83" s="24">
        <v>352355704946237</v>
      </c>
      <c r="D83" s="23" t="s">
        <v>46</v>
      </c>
      <c r="E83" s="25">
        <v>4030</v>
      </c>
      <c r="F83" s="25">
        <v>3877.2</v>
      </c>
      <c r="G83" s="25">
        <v>152.80000000000001</v>
      </c>
      <c r="H83" s="26">
        <f t="shared" si="1"/>
        <v>3.9409883421025534E-2</v>
      </c>
      <c r="I83" s="23" t="s">
        <v>20</v>
      </c>
    </row>
    <row r="84" spans="1:9" x14ac:dyDescent="0.25">
      <c r="A84" s="23" t="s">
        <v>12</v>
      </c>
      <c r="B84" s="23" t="s">
        <v>45</v>
      </c>
      <c r="C84" s="24">
        <v>352355708483302</v>
      </c>
      <c r="D84" s="23" t="s">
        <v>47</v>
      </c>
      <c r="E84" s="25">
        <v>4030</v>
      </c>
      <c r="F84" s="25">
        <v>3410.5</v>
      </c>
      <c r="G84" s="25">
        <v>619.5</v>
      </c>
      <c r="H84" s="26">
        <f t="shared" si="1"/>
        <v>0.18164492009969213</v>
      </c>
      <c r="I84" s="23" t="s">
        <v>20</v>
      </c>
    </row>
    <row r="85" spans="1:9" x14ac:dyDescent="0.25">
      <c r="A85" s="23" t="s">
        <v>12</v>
      </c>
      <c r="B85" s="23" t="s">
        <v>45</v>
      </c>
      <c r="C85" s="24" t="s">
        <v>48</v>
      </c>
      <c r="D85" s="23" t="s">
        <v>15</v>
      </c>
      <c r="E85" s="25">
        <v>4030</v>
      </c>
      <c r="F85" s="25">
        <v>3877.2</v>
      </c>
      <c r="G85" s="25">
        <v>152.80000000000001</v>
      </c>
      <c r="H85" s="26">
        <f t="shared" si="1"/>
        <v>3.9409883421025534E-2</v>
      </c>
      <c r="I85" s="23" t="s">
        <v>20</v>
      </c>
    </row>
    <row r="86" spans="1:9" x14ac:dyDescent="0.25">
      <c r="A86" s="23" t="s">
        <v>12</v>
      </c>
      <c r="B86" s="23" t="s">
        <v>45</v>
      </c>
      <c r="C86" s="24" t="s">
        <v>49</v>
      </c>
      <c r="D86" s="23" t="s">
        <v>15</v>
      </c>
      <c r="E86" s="25">
        <v>4030</v>
      </c>
      <c r="F86" s="25">
        <v>3769.5</v>
      </c>
      <c r="G86" s="25">
        <v>260.5</v>
      </c>
      <c r="H86" s="26">
        <f t="shared" si="1"/>
        <v>6.9107308661626204E-2</v>
      </c>
      <c r="I86" s="23" t="s">
        <v>20</v>
      </c>
    </row>
    <row r="87" spans="1:9" x14ac:dyDescent="0.25">
      <c r="A87" s="23" t="s">
        <v>12</v>
      </c>
      <c r="B87" s="23" t="s">
        <v>45</v>
      </c>
      <c r="C87" s="24" t="s">
        <v>50</v>
      </c>
      <c r="D87" s="23" t="s">
        <v>15</v>
      </c>
      <c r="E87" s="25">
        <v>4030</v>
      </c>
      <c r="F87" s="25">
        <v>3877.2</v>
      </c>
      <c r="G87" s="25">
        <v>152.80000000000001</v>
      </c>
      <c r="H87" s="26">
        <f t="shared" si="1"/>
        <v>3.9409883421025534E-2</v>
      </c>
      <c r="I87" s="23" t="s">
        <v>20</v>
      </c>
    </row>
    <row r="88" spans="1:9" x14ac:dyDescent="0.25">
      <c r="A88" s="23" t="s">
        <v>12</v>
      </c>
      <c r="B88" s="23" t="s">
        <v>51</v>
      </c>
      <c r="C88" s="24">
        <v>352355700468632</v>
      </c>
      <c r="D88" s="23" t="s">
        <v>44</v>
      </c>
      <c r="E88" s="25">
        <v>4000</v>
      </c>
      <c r="F88" s="25">
        <v>3877.2</v>
      </c>
      <c r="G88" s="25">
        <v>122.8</v>
      </c>
      <c r="H88" s="26">
        <f t="shared" si="1"/>
        <v>3.1672340864541473E-2</v>
      </c>
      <c r="I88" s="23" t="s">
        <v>20</v>
      </c>
    </row>
    <row r="89" spans="1:9" x14ac:dyDescent="0.25">
      <c r="A89" s="59" t="s">
        <v>12</v>
      </c>
      <c r="B89" s="59" t="s">
        <v>51</v>
      </c>
      <c r="C89" s="24">
        <v>352355703580722</v>
      </c>
      <c r="D89" s="59" t="s">
        <v>44</v>
      </c>
      <c r="E89" s="25">
        <v>4000</v>
      </c>
      <c r="F89" s="25">
        <v>3877.2</v>
      </c>
      <c r="G89" s="25">
        <v>122.8</v>
      </c>
      <c r="H89" s="26">
        <f t="shared" si="1"/>
        <v>3.1672340864541473E-2</v>
      </c>
      <c r="I89" s="59" t="s">
        <v>20</v>
      </c>
    </row>
    <row r="90" spans="1:9" x14ac:dyDescent="0.25">
      <c r="A90" s="23" t="s">
        <v>12</v>
      </c>
      <c r="B90" s="23" t="s">
        <v>51</v>
      </c>
      <c r="C90" s="24">
        <v>352355708769940</v>
      </c>
      <c r="D90" s="23" t="s">
        <v>44</v>
      </c>
      <c r="E90" s="25">
        <v>4000</v>
      </c>
      <c r="F90" s="25">
        <v>3877.2</v>
      </c>
      <c r="G90" s="25">
        <v>122.8</v>
      </c>
      <c r="H90" s="26">
        <f t="shared" si="1"/>
        <v>3.1672340864541473E-2</v>
      </c>
      <c r="I90" s="23" t="s">
        <v>20</v>
      </c>
    </row>
    <row r="91" spans="1:9" x14ac:dyDescent="0.25">
      <c r="A91" s="59" t="s">
        <v>12</v>
      </c>
      <c r="B91" s="59" t="s">
        <v>51</v>
      </c>
      <c r="C91" s="24">
        <v>352355709045845</v>
      </c>
      <c r="D91" s="59" t="s">
        <v>46</v>
      </c>
      <c r="E91" s="25">
        <v>4000</v>
      </c>
      <c r="F91" s="25">
        <v>3877.2</v>
      </c>
      <c r="G91" s="25">
        <v>122.8</v>
      </c>
      <c r="H91" s="26">
        <f t="shared" si="1"/>
        <v>3.1672340864541473E-2</v>
      </c>
      <c r="I91" s="59" t="s">
        <v>20</v>
      </c>
    </row>
    <row r="92" spans="1:9" x14ac:dyDescent="0.25">
      <c r="A92" s="23" t="s">
        <v>12</v>
      </c>
      <c r="B92" s="23" t="s">
        <v>53</v>
      </c>
      <c r="C92" s="24">
        <v>352355701949234</v>
      </c>
      <c r="D92" s="23" t="s">
        <v>46</v>
      </c>
      <c r="E92" s="25">
        <v>5050</v>
      </c>
      <c r="F92" s="25">
        <v>4738.8</v>
      </c>
      <c r="G92" s="25">
        <v>311.2</v>
      </c>
      <c r="H92" s="26">
        <f t="shared" si="1"/>
        <v>6.5670633915759224E-2</v>
      </c>
      <c r="I92" s="23" t="s">
        <v>20</v>
      </c>
    </row>
    <row r="93" spans="1:9" x14ac:dyDescent="0.25">
      <c r="A93" s="23" t="s">
        <v>54</v>
      </c>
      <c r="B93" s="23" t="s">
        <v>57</v>
      </c>
      <c r="C93" s="24">
        <v>356392246941075</v>
      </c>
      <c r="D93" s="23" t="s">
        <v>56</v>
      </c>
      <c r="E93" s="25">
        <v>5200</v>
      </c>
      <c r="F93" s="25">
        <v>4595.2</v>
      </c>
      <c r="G93" s="25">
        <v>604.79999999999995</v>
      </c>
      <c r="H93" s="26">
        <f t="shared" si="1"/>
        <v>0.13161559888579391</v>
      </c>
      <c r="I93" s="23" t="s">
        <v>20</v>
      </c>
    </row>
    <row r="94" spans="1:9" x14ac:dyDescent="0.25">
      <c r="A94" s="23" t="s">
        <v>54</v>
      </c>
      <c r="B94" s="23" t="s">
        <v>57</v>
      </c>
      <c r="C94" s="24">
        <v>359814712557405</v>
      </c>
      <c r="D94" s="23" t="s">
        <v>56</v>
      </c>
      <c r="E94" s="25">
        <v>5200</v>
      </c>
      <c r="F94" s="25">
        <v>4595.2</v>
      </c>
      <c r="G94" s="25">
        <v>604.79999999999995</v>
      </c>
      <c r="H94" s="26">
        <f t="shared" si="1"/>
        <v>0.13161559888579391</v>
      </c>
      <c r="I94" s="23" t="s">
        <v>20</v>
      </c>
    </row>
    <row r="95" spans="1:9" x14ac:dyDescent="0.25">
      <c r="A95" s="23" t="s">
        <v>54</v>
      </c>
      <c r="B95" s="23" t="s">
        <v>57</v>
      </c>
      <c r="C95" s="24">
        <v>359814713098391</v>
      </c>
      <c r="D95" s="23" t="s">
        <v>56</v>
      </c>
      <c r="E95" s="25">
        <v>5200</v>
      </c>
      <c r="F95" s="25">
        <v>4595.2</v>
      </c>
      <c r="G95" s="25">
        <v>604.79999999999995</v>
      </c>
      <c r="H95" s="26">
        <f t="shared" si="1"/>
        <v>0.13161559888579391</v>
      </c>
      <c r="I95" s="23" t="s">
        <v>20</v>
      </c>
    </row>
    <row r="96" spans="1:9" x14ac:dyDescent="0.25">
      <c r="A96" s="23" t="s">
        <v>54</v>
      </c>
      <c r="B96" s="23" t="s">
        <v>58</v>
      </c>
      <c r="C96" s="24">
        <v>353263423085494</v>
      </c>
      <c r="D96" s="23" t="s">
        <v>59</v>
      </c>
      <c r="E96" s="25">
        <v>3800</v>
      </c>
      <c r="F96" s="25">
        <v>3769.5</v>
      </c>
      <c r="G96" s="25">
        <v>30.5</v>
      </c>
      <c r="H96" s="26">
        <f t="shared" si="1"/>
        <v>8.0912587876376171E-3</v>
      </c>
      <c r="I96" s="23" t="s">
        <v>20</v>
      </c>
    </row>
    <row r="97" spans="1:9" x14ac:dyDescent="0.25">
      <c r="A97" s="23" t="s">
        <v>54</v>
      </c>
      <c r="B97" s="23" t="s">
        <v>58</v>
      </c>
      <c r="C97" s="24">
        <v>353497851093964</v>
      </c>
      <c r="D97" s="23" t="s">
        <v>56</v>
      </c>
      <c r="E97" s="25">
        <v>3900</v>
      </c>
      <c r="F97" s="25">
        <v>3482.3</v>
      </c>
      <c r="G97" s="25">
        <v>417.7</v>
      </c>
      <c r="H97" s="26">
        <f t="shared" si="1"/>
        <v>0.11994945869109491</v>
      </c>
      <c r="I97" s="23" t="s">
        <v>20</v>
      </c>
    </row>
    <row r="98" spans="1:9" x14ac:dyDescent="0.25">
      <c r="A98" s="23" t="s">
        <v>54</v>
      </c>
      <c r="B98" s="23" t="s">
        <v>58</v>
      </c>
      <c r="C98" s="24">
        <v>353497853988997</v>
      </c>
      <c r="D98" s="23" t="s">
        <v>56</v>
      </c>
      <c r="E98" s="25">
        <v>3900</v>
      </c>
      <c r="F98" s="25">
        <v>3266.9</v>
      </c>
      <c r="G98" s="25">
        <v>633.1</v>
      </c>
      <c r="H98" s="26">
        <f t="shared" si="1"/>
        <v>0.19379228014325503</v>
      </c>
      <c r="I98" s="23" t="s">
        <v>20</v>
      </c>
    </row>
    <row r="99" spans="1:9" x14ac:dyDescent="0.25">
      <c r="A99" s="23" t="s">
        <v>54</v>
      </c>
      <c r="B99" s="23" t="s">
        <v>58</v>
      </c>
      <c r="C99" s="24">
        <v>356188169816942</v>
      </c>
      <c r="D99" s="23" t="s">
        <v>60</v>
      </c>
      <c r="E99" s="25">
        <v>3900</v>
      </c>
      <c r="F99" s="25">
        <v>3590</v>
      </c>
      <c r="G99" s="25">
        <v>310</v>
      </c>
      <c r="H99" s="26">
        <f t="shared" si="1"/>
        <v>8.6350974930362118E-2</v>
      </c>
      <c r="I99" s="23" t="s">
        <v>20</v>
      </c>
    </row>
    <row r="100" spans="1:9" x14ac:dyDescent="0.25">
      <c r="A100" s="23" t="s">
        <v>54</v>
      </c>
      <c r="B100" s="23" t="s">
        <v>58</v>
      </c>
      <c r="C100" s="24">
        <v>358902510967826</v>
      </c>
      <c r="D100" s="23" t="s">
        <v>60</v>
      </c>
      <c r="E100" s="25">
        <v>3900</v>
      </c>
      <c r="F100" s="25">
        <v>3446.4</v>
      </c>
      <c r="G100" s="25">
        <v>453.6</v>
      </c>
      <c r="H100" s="26">
        <f t="shared" si="1"/>
        <v>0.13161559888579386</v>
      </c>
      <c r="I100" s="23" t="s">
        <v>20</v>
      </c>
    </row>
    <row r="101" spans="1:9" x14ac:dyDescent="0.25">
      <c r="A101" s="23" t="s">
        <v>54</v>
      </c>
      <c r="B101" s="23" t="s">
        <v>58</v>
      </c>
      <c r="C101" s="24">
        <v>359814711892837</v>
      </c>
      <c r="D101" s="23" t="s">
        <v>56</v>
      </c>
      <c r="E101" s="25">
        <v>3750</v>
      </c>
      <c r="F101" s="25">
        <v>3679.75</v>
      </c>
      <c r="G101" s="25">
        <v>70.25</v>
      </c>
      <c r="H101" s="26">
        <f t="shared" si="1"/>
        <v>1.9090970853998232E-2</v>
      </c>
      <c r="I101" s="23" t="s">
        <v>20</v>
      </c>
    </row>
    <row r="102" spans="1:9" x14ac:dyDescent="0.25">
      <c r="A102" s="23" t="s">
        <v>54</v>
      </c>
      <c r="B102" s="23" t="s">
        <v>58</v>
      </c>
      <c r="C102" s="24">
        <v>359814713057827</v>
      </c>
      <c r="D102" s="23" t="s">
        <v>56</v>
      </c>
      <c r="E102" s="25">
        <v>3750</v>
      </c>
      <c r="F102" s="25">
        <v>3679.75</v>
      </c>
      <c r="G102" s="25">
        <v>70.25</v>
      </c>
      <c r="H102" s="26">
        <f t="shared" si="1"/>
        <v>1.9090970853998232E-2</v>
      </c>
      <c r="I102" s="23" t="s">
        <v>20</v>
      </c>
    </row>
    <row r="103" spans="1:9" x14ac:dyDescent="0.25">
      <c r="A103" s="23" t="s">
        <v>54</v>
      </c>
      <c r="B103" s="23" t="s">
        <v>61</v>
      </c>
      <c r="C103" s="24">
        <v>357329441424068</v>
      </c>
      <c r="D103" s="23" t="s">
        <v>56</v>
      </c>
      <c r="E103" s="25">
        <v>4530</v>
      </c>
      <c r="F103" s="25">
        <v>4236.2</v>
      </c>
      <c r="G103" s="25">
        <v>293.8</v>
      </c>
      <c r="H103" s="26">
        <f t="shared" si="1"/>
        <v>6.9354610263915817E-2</v>
      </c>
      <c r="I103" s="23" t="s">
        <v>20</v>
      </c>
    </row>
    <row r="104" spans="1:9" x14ac:dyDescent="0.25">
      <c r="A104" s="23" t="s">
        <v>54</v>
      </c>
      <c r="B104" s="23" t="s">
        <v>61</v>
      </c>
      <c r="C104" s="24">
        <v>359814715206307</v>
      </c>
      <c r="D104" s="23" t="s">
        <v>56</v>
      </c>
      <c r="E104" s="25">
        <v>4530</v>
      </c>
      <c r="F104" s="25">
        <v>4236.2</v>
      </c>
      <c r="G104" s="25">
        <v>293.8</v>
      </c>
      <c r="H104" s="26">
        <f t="shared" si="1"/>
        <v>6.9354610263915817E-2</v>
      </c>
      <c r="I104" s="23" t="s">
        <v>20</v>
      </c>
    </row>
    <row r="105" spans="1:9" x14ac:dyDescent="0.25">
      <c r="A105" s="23" t="s">
        <v>62</v>
      </c>
      <c r="B105" s="23" t="s">
        <v>64</v>
      </c>
      <c r="C105" s="24">
        <v>352294447725915</v>
      </c>
      <c r="D105" s="23" t="s">
        <v>65</v>
      </c>
      <c r="E105" s="25">
        <v>4130</v>
      </c>
      <c r="F105" s="25">
        <v>3877.2</v>
      </c>
      <c r="G105" s="25">
        <v>252.8</v>
      </c>
      <c r="H105" s="26">
        <f t="shared" si="1"/>
        <v>6.520169194263907E-2</v>
      </c>
      <c r="I105" s="23" t="s">
        <v>20</v>
      </c>
    </row>
    <row r="106" spans="1:9" x14ac:dyDescent="0.25">
      <c r="A106" s="23" t="s">
        <v>62</v>
      </c>
      <c r="B106" s="23" t="s">
        <v>64</v>
      </c>
      <c r="C106" s="24">
        <v>352294449052755</v>
      </c>
      <c r="D106" s="23" t="s">
        <v>65</v>
      </c>
      <c r="E106" s="25">
        <v>4130</v>
      </c>
      <c r="F106" s="25">
        <v>3877.2</v>
      </c>
      <c r="G106" s="25">
        <v>252.8</v>
      </c>
      <c r="H106" s="26">
        <f t="shared" si="1"/>
        <v>6.520169194263907E-2</v>
      </c>
      <c r="I106" s="23" t="s">
        <v>20</v>
      </c>
    </row>
    <row r="107" spans="1:9" x14ac:dyDescent="0.25">
      <c r="A107" s="23" t="s">
        <v>62</v>
      </c>
      <c r="B107" s="23" t="s">
        <v>58</v>
      </c>
      <c r="C107" s="24">
        <v>350599864077034</v>
      </c>
      <c r="D107" s="23" t="s">
        <v>66</v>
      </c>
      <c r="E107" s="25">
        <v>4430</v>
      </c>
      <c r="F107" s="25">
        <v>4272.1000000000004</v>
      </c>
      <c r="G107" s="25">
        <v>157.9</v>
      </c>
      <c r="H107" s="26">
        <f t="shared" si="1"/>
        <v>3.696074530090579E-2</v>
      </c>
      <c r="I107" s="23" t="s">
        <v>20</v>
      </c>
    </row>
    <row r="108" spans="1:9" x14ac:dyDescent="0.25">
      <c r="A108" s="23" t="s">
        <v>62</v>
      </c>
      <c r="B108" s="23" t="s">
        <v>58</v>
      </c>
      <c r="C108" s="24">
        <v>353837419424757</v>
      </c>
      <c r="D108" s="23" t="s">
        <v>65</v>
      </c>
      <c r="E108" s="25">
        <v>4570</v>
      </c>
      <c r="F108" s="25">
        <v>4236.2</v>
      </c>
      <c r="G108" s="25">
        <v>333.8</v>
      </c>
      <c r="H108" s="26">
        <f t="shared" si="1"/>
        <v>7.8797035078608232E-2</v>
      </c>
      <c r="I108" s="23" t="s">
        <v>20</v>
      </c>
    </row>
    <row r="109" spans="1:9" x14ac:dyDescent="0.25">
      <c r="A109" s="23" t="s">
        <v>62</v>
      </c>
      <c r="B109" s="23" t="s">
        <v>58</v>
      </c>
      <c r="C109" s="24">
        <v>353837419937733</v>
      </c>
      <c r="D109" s="23" t="s">
        <v>65</v>
      </c>
      <c r="E109" s="25">
        <v>4570</v>
      </c>
      <c r="F109" s="25">
        <v>4236.2</v>
      </c>
      <c r="G109" s="25">
        <v>333.8</v>
      </c>
      <c r="H109" s="26">
        <f t="shared" si="1"/>
        <v>7.8797035078608232E-2</v>
      </c>
      <c r="I109" s="23" t="s">
        <v>20</v>
      </c>
    </row>
    <row r="110" spans="1:9" x14ac:dyDescent="0.25">
      <c r="A110" s="23" t="s">
        <v>62</v>
      </c>
      <c r="B110" s="23" t="s">
        <v>58</v>
      </c>
      <c r="C110" s="24">
        <v>353837419953243</v>
      </c>
      <c r="D110" s="23" t="s">
        <v>65</v>
      </c>
      <c r="E110" s="25">
        <v>4570</v>
      </c>
      <c r="F110" s="25">
        <v>4236.2</v>
      </c>
      <c r="G110" s="25">
        <v>333.8</v>
      </c>
      <c r="H110" s="26">
        <f t="shared" si="1"/>
        <v>7.8797035078608232E-2</v>
      </c>
      <c r="I110" s="23" t="s">
        <v>20</v>
      </c>
    </row>
    <row r="111" spans="1:9" x14ac:dyDescent="0.25">
      <c r="A111" s="23" t="s">
        <v>62</v>
      </c>
      <c r="B111" s="23" t="s">
        <v>58</v>
      </c>
      <c r="C111" s="24">
        <v>356188169957969</v>
      </c>
      <c r="D111" s="23" t="s">
        <v>65</v>
      </c>
      <c r="E111" s="25">
        <v>4430</v>
      </c>
      <c r="F111" s="25">
        <v>4272.1000000000004</v>
      </c>
      <c r="G111" s="25">
        <v>157.9</v>
      </c>
      <c r="H111" s="26">
        <f t="shared" si="1"/>
        <v>3.696074530090579E-2</v>
      </c>
      <c r="I111" s="23" t="s">
        <v>20</v>
      </c>
    </row>
    <row r="112" spans="1:9" x14ac:dyDescent="0.25">
      <c r="A112" s="23" t="s">
        <v>62</v>
      </c>
      <c r="B112" s="23" t="s">
        <v>58</v>
      </c>
      <c r="C112" s="24">
        <v>357329442466084</v>
      </c>
      <c r="D112" s="23" t="s">
        <v>65</v>
      </c>
      <c r="E112" s="25">
        <v>4430</v>
      </c>
      <c r="F112" s="25">
        <v>4236.2</v>
      </c>
      <c r="G112" s="25">
        <v>193.8</v>
      </c>
      <c r="H112" s="26">
        <f t="shared" si="1"/>
        <v>4.5748548227184785E-2</v>
      </c>
      <c r="I112" s="23" t="s">
        <v>20</v>
      </c>
    </row>
    <row r="113" spans="1:9" x14ac:dyDescent="0.25">
      <c r="A113" s="23" t="s">
        <v>62</v>
      </c>
      <c r="B113" s="23" t="s">
        <v>58</v>
      </c>
      <c r="C113" s="24">
        <v>357329442747004</v>
      </c>
      <c r="D113" s="23" t="s">
        <v>65</v>
      </c>
      <c r="E113" s="25">
        <v>4430</v>
      </c>
      <c r="F113" s="25">
        <v>4236.2</v>
      </c>
      <c r="G113" s="25">
        <v>193.8</v>
      </c>
      <c r="H113" s="26">
        <f t="shared" si="1"/>
        <v>4.5748548227184785E-2</v>
      </c>
      <c r="I113" s="23" t="s">
        <v>20</v>
      </c>
    </row>
    <row r="114" spans="1:9" x14ac:dyDescent="0.25">
      <c r="A114" s="23" t="s">
        <v>62</v>
      </c>
      <c r="B114" s="23" t="s">
        <v>58</v>
      </c>
      <c r="C114" s="24">
        <v>357329443067907</v>
      </c>
      <c r="D114" s="23" t="s">
        <v>65</v>
      </c>
      <c r="E114" s="25">
        <v>4430</v>
      </c>
      <c r="F114" s="25">
        <v>4236.2</v>
      </c>
      <c r="G114" s="25">
        <v>193.8</v>
      </c>
      <c r="H114" s="26">
        <f t="shared" si="1"/>
        <v>4.5748548227184785E-2</v>
      </c>
      <c r="I114" s="23" t="s">
        <v>20</v>
      </c>
    </row>
    <row r="115" spans="1:9" x14ac:dyDescent="0.25">
      <c r="A115" s="23" t="s">
        <v>62</v>
      </c>
      <c r="B115" s="23" t="s">
        <v>58</v>
      </c>
      <c r="C115" s="24">
        <v>357329443543139</v>
      </c>
      <c r="D115" s="23" t="s">
        <v>65</v>
      </c>
      <c r="E115" s="25">
        <v>4430</v>
      </c>
      <c r="F115" s="25">
        <v>4236.2</v>
      </c>
      <c r="G115" s="25">
        <v>193.8</v>
      </c>
      <c r="H115" s="26">
        <f t="shared" si="1"/>
        <v>4.5748548227184785E-2</v>
      </c>
      <c r="I115" s="23" t="s">
        <v>20</v>
      </c>
    </row>
    <row r="116" spans="1:9" x14ac:dyDescent="0.25">
      <c r="A116" s="23" t="s">
        <v>62</v>
      </c>
      <c r="B116" s="23" t="s">
        <v>58</v>
      </c>
      <c r="C116" s="24">
        <v>357329443574662</v>
      </c>
      <c r="D116" s="23" t="s">
        <v>65</v>
      </c>
      <c r="E116" s="25">
        <v>4430</v>
      </c>
      <c r="F116" s="25">
        <v>4236.2</v>
      </c>
      <c r="G116" s="25">
        <v>193.8</v>
      </c>
      <c r="H116" s="26">
        <f t="shared" si="1"/>
        <v>4.5748548227184785E-2</v>
      </c>
      <c r="I116" s="23" t="s">
        <v>20</v>
      </c>
    </row>
    <row r="117" spans="1:9" x14ac:dyDescent="0.25">
      <c r="A117" s="23" t="s">
        <v>62</v>
      </c>
      <c r="B117" s="23" t="s">
        <v>58</v>
      </c>
      <c r="C117" s="24">
        <v>358051329925383</v>
      </c>
      <c r="D117" s="23" t="s">
        <v>65</v>
      </c>
      <c r="E117" s="25">
        <v>4430</v>
      </c>
      <c r="F117" s="25">
        <v>4272.1000000000004</v>
      </c>
      <c r="G117" s="25">
        <v>157.9</v>
      </c>
      <c r="H117" s="26">
        <f t="shared" si="1"/>
        <v>3.696074530090579E-2</v>
      </c>
      <c r="I117" s="23" t="s">
        <v>20</v>
      </c>
    </row>
    <row r="118" spans="1:9" x14ac:dyDescent="0.25">
      <c r="A118" s="23" t="s">
        <v>62</v>
      </c>
      <c r="B118" s="23" t="s">
        <v>58</v>
      </c>
      <c r="C118" s="24">
        <v>358902510478006</v>
      </c>
      <c r="D118" s="23" t="s">
        <v>65</v>
      </c>
      <c r="E118" s="25">
        <v>4430</v>
      </c>
      <c r="F118" s="25">
        <v>4272.1000000000004</v>
      </c>
      <c r="G118" s="25">
        <v>157.9</v>
      </c>
      <c r="H118" s="26">
        <f t="shared" si="1"/>
        <v>3.696074530090579E-2</v>
      </c>
      <c r="I118" s="23" t="s">
        <v>20</v>
      </c>
    </row>
    <row r="119" spans="1:9" x14ac:dyDescent="0.25">
      <c r="A119" s="23" t="s">
        <v>62</v>
      </c>
      <c r="B119" s="23" t="s">
        <v>58</v>
      </c>
      <c r="C119" s="24">
        <v>358902510698074</v>
      </c>
      <c r="D119" s="23" t="s">
        <v>65</v>
      </c>
      <c r="E119" s="25">
        <v>4430</v>
      </c>
      <c r="F119" s="25">
        <v>4272.1000000000004</v>
      </c>
      <c r="G119" s="25">
        <v>157.9</v>
      </c>
      <c r="H119" s="26">
        <f t="shared" si="1"/>
        <v>3.696074530090579E-2</v>
      </c>
      <c r="I119" s="23" t="s">
        <v>20</v>
      </c>
    </row>
    <row r="120" spans="1:9" x14ac:dyDescent="0.25">
      <c r="A120" s="23" t="s">
        <v>62</v>
      </c>
      <c r="B120" s="23" t="s">
        <v>58</v>
      </c>
      <c r="C120" s="24">
        <v>358902514085609</v>
      </c>
      <c r="D120" s="23" t="s">
        <v>65</v>
      </c>
      <c r="E120" s="25">
        <v>4430</v>
      </c>
      <c r="F120" s="25">
        <v>4272.1000000000004</v>
      </c>
      <c r="G120" s="25">
        <v>157.9</v>
      </c>
      <c r="H120" s="26">
        <f t="shared" si="1"/>
        <v>3.696074530090579E-2</v>
      </c>
      <c r="I120" s="23" t="s">
        <v>20</v>
      </c>
    </row>
    <row r="121" spans="1:9" x14ac:dyDescent="0.25">
      <c r="A121" s="23" t="s">
        <v>67</v>
      </c>
      <c r="B121" s="23" t="s">
        <v>85</v>
      </c>
      <c r="C121" s="24">
        <v>351399085288729</v>
      </c>
      <c r="D121" s="23" t="s">
        <v>60</v>
      </c>
      <c r="E121" s="25">
        <v>1140</v>
      </c>
      <c r="F121" s="25">
        <v>981.75</v>
      </c>
      <c r="G121" s="25">
        <v>158.25</v>
      </c>
      <c r="H121" s="26">
        <f t="shared" si="1"/>
        <v>0.16119174942704353</v>
      </c>
      <c r="I121" s="23" t="s">
        <v>20</v>
      </c>
    </row>
    <row r="122" spans="1:9" x14ac:dyDescent="0.25">
      <c r="A122" s="23" t="s">
        <v>67</v>
      </c>
      <c r="B122" s="23" t="s">
        <v>85</v>
      </c>
      <c r="C122" s="24">
        <v>351682391733748</v>
      </c>
      <c r="D122" s="23" t="s">
        <v>56</v>
      </c>
      <c r="E122" s="25">
        <v>1190</v>
      </c>
      <c r="F122" s="25">
        <v>1005.2</v>
      </c>
      <c r="G122" s="25">
        <v>184.8</v>
      </c>
      <c r="H122" s="26">
        <f t="shared" si="1"/>
        <v>0.18384401114206123</v>
      </c>
      <c r="I122" s="23" t="s">
        <v>20</v>
      </c>
    </row>
    <row r="123" spans="1:9" x14ac:dyDescent="0.25">
      <c r="A123" s="23" t="s">
        <v>67</v>
      </c>
      <c r="B123" s="23" t="s">
        <v>85</v>
      </c>
      <c r="C123" s="24">
        <v>353215877111390</v>
      </c>
      <c r="D123" s="23" t="s">
        <v>56</v>
      </c>
      <c r="E123" s="25">
        <v>1190</v>
      </c>
      <c r="F123" s="25">
        <v>1005.2</v>
      </c>
      <c r="G123" s="25">
        <v>184.8</v>
      </c>
      <c r="H123" s="26">
        <f t="shared" si="1"/>
        <v>0.18384401114206123</v>
      </c>
      <c r="I123" s="23" t="s">
        <v>20</v>
      </c>
    </row>
    <row r="124" spans="1:9" x14ac:dyDescent="0.25">
      <c r="A124" s="23" t="s">
        <v>67</v>
      </c>
      <c r="B124" s="23" t="s">
        <v>85</v>
      </c>
      <c r="C124" s="24">
        <v>353215877148384</v>
      </c>
      <c r="D124" s="23" t="s">
        <v>56</v>
      </c>
      <c r="E124" s="25">
        <v>1190</v>
      </c>
      <c r="F124" s="25">
        <v>1005.2</v>
      </c>
      <c r="G124" s="25">
        <v>184.8</v>
      </c>
      <c r="H124" s="26">
        <f t="shared" si="1"/>
        <v>0.18384401114206123</v>
      </c>
      <c r="I124" s="23" t="s">
        <v>20</v>
      </c>
    </row>
    <row r="125" spans="1:9" x14ac:dyDescent="0.25">
      <c r="A125" s="23" t="s">
        <v>67</v>
      </c>
      <c r="B125" s="23" t="s">
        <v>85</v>
      </c>
      <c r="C125" s="24">
        <v>353215877234358</v>
      </c>
      <c r="D125" s="23" t="s">
        <v>56</v>
      </c>
      <c r="E125" s="25">
        <v>1190</v>
      </c>
      <c r="F125" s="25">
        <v>1005.2</v>
      </c>
      <c r="G125" s="25">
        <v>184.8</v>
      </c>
      <c r="H125" s="26">
        <f t="shared" si="1"/>
        <v>0.18384401114206123</v>
      </c>
      <c r="I125" s="23" t="s">
        <v>20</v>
      </c>
    </row>
    <row r="126" spans="1:9" x14ac:dyDescent="0.25">
      <c r="A126" s="23" t="s">
        <v>67</v>
      </c>
      <c r="B126" s="23" t="s">
        <v>85</v>
      </c>
      <c r="C126" s="24">
        <v>353215877284767</v>
      </c>
      <c r="D126" s="23" t="s">
        <v>56</v>
      </c>
      <c r="E126" s="25">
        <v>1190</v>
      </c>
      <c r="F126" s="25">
        <v>1005.2</v>
      </c>
      <c r="G126" s="25">
        <v>184.8</v>
      </c>
      <c r="H126" s="26">
        <f t="shared" si="1"/>
        <v>0.18384401114206123</v>
      </c>
      <c r="I126" s="23" t="s">
        <v>20</v>
      </c>
    </row>
    <row r="127" spans="1:9" x14ac:dyDescent="0.25">
      <c r="A127" s="23" t="s">
        <v>67</v>
      </c>
      <c r="B127" s="23" t="s">
        <v>85</v>
      </c>
      <c r="C127" s="24">
        <v>353215878686424</v>
      </c>
      <c r="D127" s="23" t="s">
        <v>56</v>
      </c>
      <c r="E127" s="25">
        <v>1190</v>
      </c>
      <c r="F127" s="25">
        <v>1005.2</v>
      </c>
      <c r="G127" s="25">
        <v>184.8</v>
      </c>
      <c r="H127" s="26">
        <f t="shared" si="1"/>
        <v>0.18384401114206123</v>
      </c>
      <c r="I127" s="23" t="s">
        <v>20</v>
      </c>
    </row>
    <row r="128" spans="1:9" x14ac:dyDescent="0.25">
      <c r="A128" s="23" t="s">
        <v>67</v>
      </c>
      <c r="B128" s="23" t="s">
        <v>85</v>
      </c>
      <c r="C128" s="24">
        <v>353215879512090</v>
      </c>
      <c r="D128" s="23" t="s">
        <v>56</v>
      </c>
      <c r="E128" s="25">
        <v>1190</v>
      </c>
      <c r="F128" s="25">
        <v>1005.2</v>
      </c>
      <c r="G128" s="25">
        <v>184.8</v>
      </c>
      <c r="H128" s="26">
        <f t="shared" si="1"/>
        <v>0.18384401114206123</v>
      </c>
      <c r="I128" s="23" t="s">
        <v>20</v>
      </c>
    </row>
    <row r="129" spans="1:9" x14ac:dyDescent="0.25">
      <c r="A129" s="23" t="s">
        <v>67</v>
      </c>
      <c r="B129" s="23" t="s">
        <v>85</v>
      </c>
      <c r="C129" s="24">
        <v>357491835223942</v>
      </c>
      <c r="D129" s="23" t="s">
        <v>60</v>
      </c>
      <c r="E129" s="25">
        <v>1140</v>
      </c>
      <c r="F129" s="25">
        <v>981.75</v>
      </c>
      <c r="G129" s="25">
        <v>158.25</v>
      </c>
      <c r="H129" s="26">
        <f t="shared" si="1"/>
        <v>0.16119174942704353</v>
      </c>
      <c r="I129" s="23" t="s">
        <v>20</v>
      </c>
    </row>
    <row r="130" spans="1:9" x14ac:dyDescent="0.25">
      <c r="A130" s="23" t="s">
        <v>67</v>
      </c>
      <c r="B130" s="23" t="s">
        <v>86</v>
      </c>
      <c r="C130" s="24">
        <v>354741554813635</v>
      </c>
      <c r="D130" s="23" t="s">
        <v>15</v>
      </c>
      <c r="E130" s="25">
        <v>800</v>
      </c>
      <c r="F130" s="25">
        <v>735.95</v>
      </c>
      <c r="G130" s="25">
        <v>64.05</v>
      </c>
      <c r="H130" s="26">
        <f t="shared" ref="H130:H193" si="2">(E130-F130)/F130</f>
        <v>8.7030368910931383E-2</v>
      </c>
      <c r="I130" s="23" t="s">
        <v>20</v>
      </c>
    </row>
    <row r="131" spans="1:9" x14ac:dyDescent="0.25">
      <c r="A131" s="23" t="s">
        <v>67</v>
      </c>
      <c r="B131" s="23" t="s">
        <v>86</v>
      </c>
      <c r="C131" s="24">
        <v>355354210936854</v>
      </c>
      <c r="D131" s="23" t="s">
        <v>15</v>
      </c>
      <c r="E131" s="25">
        <v>800</v>
      </c>
      <c r="F131" s="25">
        <v>735.95</v>
      </c>
      <c r="G131" s="25">
        <v>64.05</v>
      </c>
      <c r="H131" s="26">
        <f t="shared" si="2"/>
        <v>8.7030368910931383E-2</v>
      </c>
      <c r="I131" s="23" t="s">
        <v>20</v>
      </c>
    </row>
    <row r="132" spans="1:9" x14ac:dyDescent="0.25">
      <c r="A132" s="23" t="s">
        <v>67</v>
      </c>
      <c r="B132" s="23" t="s">
        <v>86</v>
      </c>
      <c r="C132" s="24">
        <v>356842891030715</v>
      </c>
      <c r="D132" s="23" t="s">
        <v>15</v>
      </c>
      <c r="E132" s="25">
        <v>800</v>
      </c>
      <c r="F132" s="25">
        <v>735.95</v>
      </c>
      <c r="G132" s="25">
        <v>64.05</v>
      </c>
      <c r="H132" s="26">
        <f t="shared" si="2"/>
        <v>8.7030368910931383E-2</v>
      </c>
      <c r="I132" s="23" t="s">
        <v>20</v>
      </c>
    </row>
    <row r="133" spans="1:9" x14ac:dyDescent="0.25">
      <c r="A133" s="23" t="s">
        <v>67</v>
      </c>
      <c r="B133" s="23" t="s">
        <v>86</v>
      </c>
      <c r="C133" s="24">
        <v>356842891165669</v>
      </c>
      <c r="D133" s="23" t="s">
        <v>15</v>
      </c>
      <c r="E133" s="25">
        <v>800</v>
      </c>
      <c r="F133" s="25">
        <v>735.95</v>
      </c>
      <c r="G133" s="25">
        <v>64.05</v>
      </c>
      <c r="H133" s="26">
        <f t="shared" si="2"/>
        <v>8.7030368910931383E-2</v>
      </c>
      <c r="I133" s="23" t="s">
        <v>20</v>
      </c>
    </row>
    <row r="134" spans="1:9" x14ac:dyDescent="0.25">
      <c r="A134" s="23" t="s">
        <v>67</v>
      </c>
      <c r="B134" s="23" t="s">
        <v>87</v>
      </c>
      <c r="C134" s="24">
        <v>350795045808152</v>
      </c>
      <c r="D134" s="23" t="s">
        <v>26</v>
      </c>
      <c r="E134" s="25">
        <v>2000</v>
      </c>
      <c r="F134" s="25">
        <v>1856.4</v>
      </c>
      <c r="G134" s="25">
        <v>143.6</v>
      </c>
      <c r="H134" s="26">
        <f t="shared" si="2"/>
        <v>7.7354018530489066E-2</v>
      </c>
      <c r="I134" s="23" t="s">
        <v>20</v>
      </c>
    </row>
    <row r="135" spans="1:9" x14ac:dyDescent="0.25">
      <c r="A135" s="23" t="s">
        <v>67</v>
      </c>
      <c r="B135" s="23" t="s">
        <v>87</v>
      </c>
      <c r="C135" s="24">
        <v>358271525408493</v>
      </c>
      <c r="D135" s="23" t="s">
        <v>15</v>
      </c>
      <c r="E135" s="25">
        <v>2000</v>
      </c>
      <c r="F135" s="25">
        <v>1866.8</v>
      </c>
      <c r="G135" s="25">
        <v>133.19999999999999</v>
      </c>
      <c r="H135" s="26">
        <f t="shared" si="2"/>
        <v>7.1352046282408432E-2</v>
      </c>
      <c r="I135" s="23" t="s">
        <v>20</v>
      </c>
    </row>
    <row r="136" spans="1:9" x14ac:dyDescent="0.25">
      <c r="A136" s="23" t="s">
        <v>67</v>
      </c>
      <c r="B136" s="23" t="s">
        <v>58</v>
      </c>
      <c r="C136" s="24">
        <v>358902511404977</v>
      </c>
      <c r="D136" s="23" t="s">
        <v>66</v>
      </c>
      <c r="E136" s="25">
        <v>4230</v>
      </c>
      <c r="F136" s="25">
        <v>4092.6</v>
      </c>
      <c r="G136" s="25">
        <v>137.4</v>
      </c>
      <c r="H136" s="26">
        <f t="shared" si="2"/>
        <v>3.3572789913502439E-2</v>
      </c>
      <c r="I136" s="23" t="s">
        <v>20</v>
      </c>
    </row>
    <row r="137" spans="1:9" x14ac:dyDescent="0.25">
      <c r="A137" s="23" t="s">
        <v>67</v>
      </c>
      <c r="B137" s="23" t="s">
        <v>89</v>
      </c>
      <c r="C137" s="24" t="s">
        <v>90</v>
      </c>
      <c r="D137" s="23" t="s">
        <v>91</v>
      </c>
      <c r="E137" s="25">
        <v>9250</v>
      </c>
      <c r="F137" s="25">
        <v>8113.4</v>
      </c>
      <c r="G137" s="25">
        <v>1136.5999999999999</v>
      </c>
      <c r="H137" s="26">
        <f t="shared" si="2"/>
        <v>0.14008923509256296</v>
      </c>
      <c r="I137" s="23" t="s">
        <v>20</v>
      </c>
    </row>
    <row r="138" spans="1:9" x14ac:dyDescent="0.25">
      <c r="A138" s="23" t="s">
        <v>67</v>
      </c>
      <c r="B138" s="23" t="s">
        <v>89</v>
      </c>
      <c r="C138" s="24" t="s">
        <v>92</v>
      </c>
      <c r="D138" s="23" t="s">
        <v>91</v>
      </c>
      <c r="E138" s="25">
        <v>9250</v>
      </c>
      <c r="F138" s="25">
        <v>8113.4</v>
      </c>
      <c r="G138" s="25">
        <v>1136.5999999999999</v>
      </c>
      <c r="H138" s="26">
        <f t="shared" si="2"/>
        <v>0.14008923509256296</v>
      </c>
      <c r="I138" s="23" t="s">
        <v>20</v>
      </c>
    </row>
    <row r="139" spans="1:9" x14ac:dyDescent="0.25">
      <c r="A139" s="23" t="s">
        <v>93</v>
      </c>
      <c r="B139" s="23" t="s">
        <v>144</v>
      </c>
      <c r="C139" s="24" t="s">
        <v>145</v>
      </c>
      <c r="D139" s="23" t="s">
        <v>146</v>
      </c>
      <c r="E139" s="25">
        <v>3700</v>
      </c>
      <c r="F139" s="25">
        <v>3320.1</v>
      </c>
      <c r="G139" s="25">
        <v>379.9</v>
      </c>
      <c r="H139" s="26">
        <f t="shared" si="2"/>
        <v>0.1144242643293877</v>
      </c>
      <c r="I139" s="23" t="s">
        <v>20</v>
      </c>
    </row>
    <row r="140" spans="1:9" x14ac:dyDescent="0.25">
      <c r="A140" s="23" t="s">
        <v>147</v>
      </c>
      <c r="B140" s="23" t="s">
        <v>150</v>
      </c>
      <c r="C140" s="24">
        <v>357241831204176</v>
      </c>
      <c r="D140" s="23" t="s">
        <v>27</v>
      </c>
      <c r="E140" s="25">
        <v>2130</v>
      </c>
      <c r="F140" s="25">
        <v>1902.7</v>
      </c>
      <c r="G140" s="25">
        <v>227.3</v>
      </c>
      <c r="H140" s="26">
        <f t="shared" si="2"/>
        <v>0.11946181741735426</v>
      </c>
      <c r="I140" s="23" t="s">
        <v>20</v>
      </c>
    </row>
    <row r="141" spans="1:9" x14ac:dyDescent="0.25">
      <c r="A141" s="23" t="s">
        <v>147</v>
      </c>
      <c r="B141" s="23" t="s">
        <v>150</v>
      </c>
      <c r="C141" s="24">
        <v>357241833258287</v>
      </c>
      <c r="D141" s="23" t="s">
        <v>27</v>
      </c>
      <c r="E141" s="25">
        <v>2130</v>
      </c>
      <c r="F141" s="25">
        <v>1902.7</v>
      </c>
      <c r="G141" s="25">
        <v>227.3</v>
      </c>
      <c r="H141" s="26">
        <f t="shared" si="2"/>
        <v>0.11946181741735426</v>
      </c>
      <c r="I141" s="23" t="s">
        <v>20</v>
      </c>
    </row>
    <row r="142" spans="1:9" x14ac:dyDescent="0.25">
      <c r="A142" s="23" t="s">
        <v>147</v>
      </c>
      <c r="B142" s="23" t="s">
        <v>150</v>
      </c>
      <c r="C142" s="24">
        <v>357241833334930</v>
      </c>
      <c r="D142" s="23" t="s">
        <v>27</v>
      </c>
      <c r="E142" s="25">
        <v>2130</v>
      </c>
      <c r="F142" s="25">
        <v>1902.7</v>
      </c>
      <c r="G142" s="25">
        <v>227.3</v>
      </c>
      <c r="H142" s="26">
        <f t="shared" si="2"/>
        <v>0.11946181741735426</v>
      </c>
      <c r="I142" s="23" t="s">
        <v>20</v>
      </c>
    </row>
    <row r="143" spans="1:9" x14ac:dyDescent="0.25">
      <c r="A143" s="23" t="s">
        <v>147</v>
      </c>
      <c r="B143" s="23" t="s">
        <v>150</v>
      </c>
      <c r="C143" s="24">
        <v>357241834340043</v>
      </c>
      <c r="D143" s="23" t="s">
        <v>27</v>
      </c>
      <c r="E143" s="25">
        <v>2130</v>
      </c>
      <c r="F143" s="25">
        <v>1902.7</v>
      </c>
      <c r="G143" s="25">
        <v>227.3</v>
      </c>
      <c r="H143" s="26">
        <f t="shared" si="2"/>
        <v>0.11946181741735426</v>
      </c>
      <c r="I143" s="23" t="s">
        <v>20</v>
      </c>
    </row>
    <row r="144" spans="1:9" x14ac:dyDescent="0.25">
      <c r="A144" s="23" t="s">
        <v>147</v>
      </c>
      <c r="B144" s="23" t="s">
        <v>150</v>
      </c>
      <c r="C144" s="24">
        <v>357241835523662</v>
      </c>
      <c r="D144" s="23" t="s">
        <v>27</v>
      </c>
      <c r="E144" s="25">
        <v>2130</v>
      </c>
      <c r="F144" s="25">
        <v>1902.7</v>
      </c>
      <c r="G144" s="25">
        <v>227.3</v>
      </c>
      <c r="H144" s="26">
        <f t="shared" si="2"/>
        <v>0.11946181741735426</v>
      </c>
      <c r="I144" s="23" t="s">
        <v>20</v>
      </c>
    </row>
    <row r="145" spans="1:9" x14ac:dyDescent="0.25">
      <c r="A145" s="23" t="s">
        <v>147</v>
      </c>
      <c r="B145" s="23" t="s">
        <v>64</v>
      </c>
      <c r="C145" s="24">
        <v>352190328033777</v>
      </c>
      <c r="D145" s="23" t="s">
        <v>151</v>
      </c>
      <c r="E145" s="25">
        <v>3020</v>
      </c>
      <c r="F145" s="25">
        <v>2979.7</v>
      </c>
      <c r="G145" s="25">
        <v>40.299999999999997</v>
      </c>
      <c r="H145" s="26">
        <f t="shared" si="2"/>
        <v>1.3524851495117019E-2</v>
      </c>
      <c r="I145" s="23" t="s">
        <v>20</v>
      </c>
    </row>
    <row r="146" spans="1:9" x14ac:dyDescent="0.25">
      <c r="A146" s="23" t="s">
        <v>147</v>
      </c>
      <c r="B146" s="23" t="s">
        <v>58</v>
      </c>
      <c r="C146" s="24">
        <v>353497854636249</v>
      </c>
      <c r="D146" s="23" t="s">
        <v>15</v>
      </c>
      <c r="E146" s="25">
        <v>3470</v>
      </c>
      <c r="F146" s="25">
        <v>3338.7</v>
      </c>
      <c r="G146" s="25">
        <v>131.30000000000001</v>
      </c>
      <c r="H146" s="26">
        <f t="shared" si="2"/>
        <v>3.9326684038697754E-2</v>
      </c>
      <c r="I146" s="23" t="s">
        <v>20</v>
      </c>
    </row>
    <row r="147" spans="1:9" x14ac:dyDescent="0.25">
      <c r="A147" s="59" t="s">
        <v>147</v>
      </c>
      <c r="B147" s="59" t="s">
        <v>58</v>
      </c>
      <c r="C147" s="24">
        <v>357329443885589</v>
      </c>
      <c r="D147" s="59" t="s">
        <v>15</v>
      </c>
      <c r="E147" s="25">
        <v>3470</v>
      </c>
      <c r="F147" s="25">
        <v>3338.7</v>
      </c>
      <c r="G147" s="25">
        <v>131.30000000000001</v>
      </c>
      <c r="H147" s="26">
        <f t="shared" si="2"/>
        <v>3.9326684038697754E-2</v>
      </c>
      <c r="I147" s="59" t="s">
        <v>20</v>
      </c>
    </row>
    <row r="148" spans="1:9" x14ac:dyDescent="0.25">
      <c r="A148" s="23" t="s">
        <v>147</v>
      </c>
      <c r="B148" s="23" t="s">
        <v>58</v>
      </c>
      <c r="C148" s="24">
        <v>357329443990397</v>
      </c>
      <c r="D148" s="23" t="s">
        <v>15</v>
      </c>
      <c r="E148" s="25">
        <v>3470</v>
      </c>
      <c r="F148" s="25">
        <v>3338.7</v>
      </c>
      <c r="G148" s="25">
        <v>131.30000000000001</v>
      </c>
      <c r="H148" s="26">
        <f t="shared" si="2"/>
        <v>3.9326684038697754E-2</v>
      </c>
      <c r="I148" s="23" t="s">
        <v>20</v>
      </c>
    </row>
    <row r="149" spans="1:9" x14ac:dyDescent="0.25">
      <c r="A149" s="23" t="s">
        <v>147</v>
      </c>
      <c r="B149" s="23" t="s">
        <v>58</v>
      </c>
      <c r="C149" s="24">
        <v>358206132452443</v>
      </c>
      <c r="D149" s="23" t="s">
        <v>15</v>
      </c>
      <c r="E149" s="25">
        <v>3670</v>
      </c>
      <c r="F149" s="25">
        <v>3446.4</v>
      </c>
      <c r="G149" s="25">
        <v>223.6</v>
      </c>
      <c r="H149" s="26">
        <f t="shared" si="2"/>
        <v>6.4879294336118817E-2</v>
      </c>
      <c r="I149" s="23" t="s">
        <v>20</v>
      </c>
    </row>
    <row r="150" spans="1:9" x14ac:dyDescent="0.25">
      <c r="A150" s="23" t="s">
        <v>147</v>
      </c>
      <c r="B150" s="23" t="s">
        <v>58</v>
      </c>
      <c r="C150" s="24">
        <v>358206134886663</v>
      </c>
      <c r="D150" s="23" t="s">
        <v>15</v>
      </c>
      <c r="E150" s="25">
        <v>3670</v>
      </c>
      <c r="F150" s="25">
        <v>3446.4</v>
      </c>
      <c r="G150" s="25">
        <v>223.6</v>
      </c>
      <c r="H150" s="26">
        <f t="shared" si="2"/>
        <v>6.4879294336118817E-2</v>
      </c>
      <c r="I150" s="23" t="s">
        <v>20</v>
      </c>
    </row>
    <row r="151" spans="1:9" x14ac:dyDescent="0.25">
      <c r="A151" s="23" t="s">
        <v>147</v>
      </c>
      <c r="B151" s="23" t="s">
        <v>58</v>
      </c>
      <c r="C151" s="24">
        <v>358206134905695</v>
      </c>
      <c r="D151" s="23" t="s">
        <v>15</v>
      </c>
      <c r="E151" s="25">
        <v>3670</v>
      </c>
      <c r="F151" s="25">
        <v>3446.4</v>
      </c>
      <c r="G151" s="25">
        <v>223.6</v>
      </c>
      <c r="H151" s="26">
        <f t="shared" si="2"/>
        <v>6.4879294336118817E-2</v>
      </c>
      <c r="I151" s="23" t="s">
        <v>20</v>
      </c>
    </row>
    <row r="152" spans="1:9" x14ac:dyDescent="0.25">
      <c r="A152" s="23" t="s">
        <v>147</v>
      </c>
      <c r="B152" s="23" t="s">
        <v>58</v>
      </c>
      <c r="C152" s="24">
        <v>359814711121583</v>
      </c>
      <c r="D152" s="23" t="s">
        <v>151</v>
      </c>
      <c r="E152" s="25">
        <v>3470</v>
      </c>
      <c r="F152" s="25">
        <v>3338.7</v>
      </c>
      <c r="G152" s="25">
        <v>131.30000000000001</v>
      </c>
      <c r="H152" s="26">
        <f t="shared" si="2"/>
        <v>3.9326684038697754E-2</v>
      </c>
      <c r="I152" s="23" t="s">
        <v>20</v>
      </c>
    </row>
    <row r="153" spans="1:9" x14ac:dyDescent="0.25">
      <c r="A153" s="23" t="s">
        <v>147</v>
      </c>
      <c r="B153" s="23" t="s">
        <v>152</v>
      </c>
      <c r="C153" s="24" t="s">
        <v>153</v>
      </c>
      <c r="D153" s="23" t="s">
        <v>26</v>
      </c>
      <c r="E153" s="25">
        <v>7750</v>
      </c>
      <c r="F153" s="25">
        <v>6641.5</v>
      </c>
      <c r="G153" s="25">
        <v>1108.5</v>
      </c>
      <c r="H153" s="26">
        <f t="shared" si="2"/>
        <v>0.16690506662651508</v>
      </c>
      <c r="I153" s="23" t="s">
        <v>20</v>
      </c>
    </row>
    <row r="154" spans="1:9" x14ac:dyDescent="0.25">
      <c r="A154" s="23" t="s">
        <v>154</v>
      </c>
      <c r="B154" s="23" t="s">
        <v>58</v>
      </c>
      <c r="C154" s="24">
        <v>357329444137212</v>
      </c>
      <c r="D154" s="23" t="s">
        <v>15</v>
      </c>
      <c r="E154" s="25">
        <v>3460</v>
      </c>
      <c r="F154" s="25">
        <v>3338.7</v>
      </c>
      <c r="G154" s="25">
        <v>121.3</v>
      </c>
      <c r="H154" s="26">
        <f t="shared" si="2"/>
        <v>3.6331506274897472E-2</v>
      </c>
      <c r="I154" s="23" t="s">
        <v>20</v>
      </c>
    </row>
    <row r="155" spans="1:9" x14ac:dyDescent="0.25">
      <c r="A155" s="23" t="s">
        <v>154</v>
      </c>
      <c r="B155" s="23" t="s">
        <v>58</v>
      </c>
      <c r="C155" s="24">
        <v>359614548859920</v>
      </c>
      <c r="D155" s="23" t="s">
        <v>66</v>
      </c>
      <c r="E155" s="25">
        <v>4250</v>
      </c>
      <c r="F155" s="25">
        <v>4092.6</v>
      </c>
      <c r="G155" s="25">
        <v>157.4</v>
      </c>
      <c r="H155" s="26">
        <f t="shared" si="2"/>
        <v>3.8459658896545006E-2</v>
      </c>
      <c r="I155" s="23" t="s">
        <v>20</v>
      </c>
    </row>
    <row r="156" spans="1:9" x14ac:dyDescent="0.25">
      <c r="A156" s="23" t="s">
        <v>159</v>
      </c>
      <c r="B156" s="23" t="s">
        <v>162</v>
      </c>
      <c r="C156" s="24" t="s">
        <v>163</v>
      </c>
      <c r="D156" s="23" t="s">
        <v>15</v>
      </c>
      <c r="E156" s="25">
        <v>470</v>
      </c>
      <c r="F156" s="25">
        <v>448.75</v>
      </c>
      <c r="G156" s="25">
        <v>21.25</v>
      </c>
      <c r="H156" s="26">
        <f t="shared" si="2"/>
        <v>4.7353760445682451E-2</v>
      </c>
      <c r="I156" s="23" t="s">
        <v>20</v>
      </c>
    </row>
    <row r="157" spans="1:9" x14ac:dyDescent="0.25">
      <c r="A157" s="23" t="s">
        <v>159</v>
      </c>
      <c r="B157" s="23" t="s">
        <v>162</v>
      </c>
      <c r="C157" s="24" t="s">
        <v>164</v>
      </c>
      <c r="D157" s="23" t="s">
        <v>15</v>
      </c>
      <c r="E157" s="25">
        <v>470</v>
      </c>
      <c r="F157" s="25">
        <v>448.75</v>
      </c>
      <c r="G157" s="25">
        <v>21.25</v>
      </c>
      <c r="H157" s="26">
        <f t="shared" si="2"/>
        <v>4.7353760445682451E-2</v>
      </c>
      <c r="I157" s="23" t="s">
        <v>20</v>
      </c>
    </row>
    <row r="158" spans="1:9" x14ac:dyDescent="0.25">
      <c r="A158" s="23" t="s">
        <v>159</v>
      </c>
      <c r="B158" s="23" t="s">
        <v>162</v>
      </c>
      <c r="C158" s="24" t="s">
        <v>165</v>
      </c>
      <c r="D158" s="23" t="s">
        <v>15</v>
      </c>
      <c r="E158" s="25">
        <v>470</v>
      </c>
      <c r="F158" s="25">
        <v>448.75</v>
      </c>
      <c r="G158" s="25">
        <v>21.25</v>
      </c>
      <c r="H158" s="26">
        <f t="shared" si="2"/>
        <v>4.7353760445682451E-2</v>
      </c>
      <c r="I158" s="23" t="s">
        <v>20</v>
      </c>
    </row>
    <row r="159" spans="1:9" x14ac:dyDescent="0.25">
      <c r="A159" s="23" t="s">
        <v>159</v>
      </c>
      <c r="B159" s="23" t="s">
        <v>162</v>
      </c>
      <c r="C159" s="24" t="s">
        <v>166</v>
      </c>
      <c r="D159" s="23" t="s">
        <v>15</v>
      </c>
      <c r="E159" s="25">
        <v>470</v>
      </c>
      <c r="F159" s="25">
        <v>448.75</v>
      </c>
      <c r="G159" s="25">
        <v>21.25</v>
      </c>
      <c r="H159" s="26">
        <f t="shared" si="2"/>
        <v>4.7353760445682451E-2</v>
      </c>
      <c r="I159" s="23" t="s">
        <v>20</v>
      </c>
    </row>
    <row r="160" spans="1:9" x14ac:dyDescent="0.25">
      <c r="A160" s="23" t="s">
        <v>159</v>
      </c>
      <c r="B160" s="23" t="s">
        <v>162</v>
      </c>
      <c r="C160" s="24" t="s">
        <v>167</v>
      </c>
      <c r="D160" s="23" t="s">
        <v>15</v>
      </c>
      <c r="E160" s="25">
        <v>470</v>
      </c>
      <c r="F160" s="25">
        <v>448.75</v>
      </c>
      <c r="G160" s="25">
        <v>21.25</v>
      </c>
      <c r="H160" s="26">
        <f t="shared" si="2"/>
        <v>4.7353760445682451E-2</v>
      </c>
      <c r="I160" s="23" t="s">
        <v>20</v>
      </c>
    </row>
    <row r="161" spans="1:9" x14ac:dyDescent="0.25">
      <c r="A161" s="23" t="s">
        <v>159</v>
      </c>
      <c r="B161" s="23" t="s">
        <v>162</v>
      </c>
      <c r="C161" s="24" t="s">
        <v>168</v>
      </c>
      <c r="D161" s="23" t="s">
        <v>15</v>
      </c>
      <c r="E161" s="25">
        <v>470</v>
      </c>
      <c r="F161" s="25">
        <v>448.75</v>
      </c>
      <c r="G161" s="25">
        <v>21.25</v>
      </c>
      <c r="H161" s="26">
        <f t="shared" si="2"/>
        <v>4.7353760445682451E-2</v>
      </c>
      <c r="I161" s="23" t="s">
        <v>20</v>
      </c>
    </row>
    <row r="162" spans="1:9" x14ac:dyDescent="0.25">
      <c r="A162" s="23" t="s">
        <v>159</v>
      </c>
      <c r="B162" s="23" t="s">
        <v>162</v>
      </c>
      <c r="C162" s="24" t="s">
        <v>169</v>
      </c>
      <c r="D162" s="23" t="s">
        <v>15</v>
      </c>
      <c r="E162" s="25">
        <v>470</v>
      </c>
      <c r="F162" s="25">
        <v>448.75</v>
      </c>
      <c r="G162" s="25">
        <v>21.25</v>
      </c>
      <c r="H162" s="26">
        <f t="shared" si="2"/>
        <v>4.7353760445682451E-2</v>
      </c>
      <c r="I162" s="23" t="s">
        <v>20</v>
      </c>
    </row>
    <row r="163" spans="1:9" x14ac:dyDescent="0.25">
      <c r="A163" s="23" t="s">
        <v>159</v>
      </c>
      <c r="B163" s="23" t="s">
        <v>170</v>
      </c>
      <c r="C163" s="24" t="s">
        <v>171</v>
      </c>
      <c r="D163" s="23" t="s">
        <v>15</v>
      </c>
      <c r="E163" s="25">
        <v>750</v>
      </c>
      <c r="F163" s="25">
        <v>718</v>
      </c>
      <c r="G163" s="25">
        <v>32</v>
      </c>
      <c r="H163" s="26">
        <f t="shared" si="2"/>
        <v>4.456824512534819E-2</v>
      </c>
      <c r="I163" s="23" t="s">
        <v>20</v>
      </c>
    </row>
    <row r="164" spans="1:9" x14ac:dyDescent="0.25">
      <c r="A164" s="23" t="s">
        <v>159</v>
      </c>
      <c r="B164" s="23" t="s">
        <v>170</v>
      </c>
      <c r="C164" s="24" t="s">
        <v>172</v>
      </c>
      <c r="D164" s="23" t="s">
        <v>15</v>
      </c>
      <c r="E164" s="25">
        <v>750</v>
      </c>
      <c r="F164" s="25">
        <v>718</v>
      </c>
      <c r="G164" s="25">
        <v>32</v>
      </c>
      <c r="H164" s="26">
        <f t="shared" si="2"/>
        <v>4.456824512534819E-2</v>
      </c>
      <c r="I164" s="23" t="s">
        <v>20</v>
      </c>
    </row>
    <row r="165" spans="1:9" x14ac:dyDescent="0.25">
      <c r="A165" s="23" t="s">
        <v>159</v>
      </c>
      <c r="B165" s="23" t="s">
        <v>170</v>
      </c>
      <c r="C165" s="24" t="s">
        <v>173</v>
      </c>
      <c r="D165" s="23" t="s">
        <v>15</v>
      </c>
      <c r="E165" s="25">
        <v>750</v>
      </c>
      <c r="F165" s="25">
        <v>718</v>
      </c>
      <c r="G165" s="25">
        <v>32</v>
      </c>
      <c r="H165" s="26">
        <f t="shared" si="2"/>
        <v>4.456824512534819E-2</v>
      </c>
      <c r="I165" s="23" t="s">
        <v>20</v>
      </c>
    </row>
    <row r="166" spans="1:9" x14ac:dyDescent="0.25">
      <c r="A166" s="23" t="s">
        <v>159</v>
      </c>
      <c r="B166" s="23" t="s">
        <v>170</v>
      </c>
      <c r="C166" s="24" t="s">
        <v>174</v>
      </c>
      <c r="D166" s="23" t="s">
        <v>15</v>
      </c>
      <c r="E166" s="25">
        <v>750</v>
      </c>
      <c r="F166" s="25">
        <v>718</v>
      </c>
      <c r="G166" s="25">
        <v>32</v>
      </c>
      <c r="H166" s="26">
        <f t="shared" si="2"/>
        <v>4.456824512534819E-2</v>
      </c>
      <c r="I166" s="23" t="s">
        <v>20</v>
      </c>
    </row>
    <row r="167" spans="1:9" x14ac:dyDescent="0.25">
      <c r="A167" s="23" t="s">
        <v>159</v>
      </c>
      <c r="B167" s="23" t="s">
        <v>170</v>
      </c>
      <c r="C167" s="24" t="s">
        <v>175</v>
      </c>
      <c r="D167" s="23" t="s">
        <v>15</v>
      </c>
      <c r="E167" s="25">
        <v>750</v>
      </c>
      <c r="F167" s="25">
        <v>718</v>
      </c>
      <c r="G167" s="25">
        <v>32</v>
      </c>
      <c r="H167" s="26">
        <f t="shared" si="2"/>
        <v>4.456824512534819E-2</v>
      </c>
      <c r="I167" s="23" t="s">
        <v>20</v>
      </c>
    </row>
    <row r="168" spans="1:9" x14ac:dyDescent="0.25">
      <c r="A168" s="23" t="s">
        <v>159</v>
      </c>
      <c r="B168" s="23" t="s">
        <v>170</v>
      </c>
      <c r="C168" s="24" t="s">
        <v>176</v>
      </c>
      <c r="D168" s="23" t="s">
        <v>15</v>
      </c>
      <c r="E168" s="25">
        <v>750</v>
      </c>
      <c r="F168" s="25">
        <v>718</v>
      </c>
      <c r="G168" s="25">
        <v>32</v>
      </c>
      <c r="H168" s="26">
        <f t="shared" si="2"/>
        <v>4.456824512534819E-2</v>
      </c>
      <c r="I168" s="23" t="s">
        <v>20</v>
      </c>
    </row>
    <row r="169" spans="1:9" x14ac:dyDescent="0.25">
      <c r="A169" s="59" t="s">
        <v>159</v>
      </c>
      <c r="B169" s="59" t="s">
        <v>170</v>
      </c>
      <c r="C169" s="24" t="s">
        <v>177</v>
      </c>
      <c r="D169" s="59" t="s">
        <v>15</v>
      </c>
      <c r="E169" s="25">
        <v>750</v>
      </c>
      <c r="F169" s="25">
        <v>718</v>
      </c>
      <c r="G169" s="25">
        <v>32</v>
      </c>
      <c r="H169" s="26">
        <f t="shared" si="2"/>
        <v>4.456824512534819E-2</v>
      </c>
      <c r="I169" s="59" t="s">
        <v>20</v>
      </c>
    </row>
    <row r="170" spans="1:9" x14ac:dyDescent="0.25">
      <c r="A170" s="23" t="s">
        <v>159</v>
      </c>
      <c r="B170" s="23" t="s">
        <v>170</v>
      </c>
      <c r="C170" s="24" t="s">
        <v>178</v>
      </c>
      <c r="D170" s="23" t="s">
        <v>15</v>
      </c>
      <c r="E170" s="25">
        <v>750</v>
      </c>
      <c r="F170" s="25">
        <v>718</v>
      </c>
      <c r="G170" s="25">
        <v>32</v>
      </c>
      <c r="H170" s="26">
        <f t="shared" si="2"/>
        <v>4.456824512534819E-2</v>
      </c>
      <c r="I170" s="23" t="s">
        <v>20</v>
      </c>
    </row>
    <row r="171" spans="1:9" x14ac:dyDescent="0.25">
      <c r="A171" s="23" t="s">
        <v>159</v>
      </c>
      <c r="B171" s="23" t="s">
        <v>170</v>
      </c>
      <c r="C171" s="24" t="s">
        <v>179</v>
      </c>
      <c r="D171" s="23" t="s">
        <v>15</v>
      </c>
      <c r="E171" s="25">
        <v>750</v>
      </c>
      <c r="F171" s="25">
        <v>718</v>
      </c>
      <c r="G171" s="25">
        <v>32</v>
      </c>
      <c r="H171" s="26">
        <f t="shared" si="2"/>
        <v>4.456824512534819E-2</v>
      </c>
      <c r="I171" s="23" t="s">
        <v>20</v>
      </c>
    </row>
    <row r="172" spans="1:9" x14ac:dyDescent="0.25">
      <c r="A172" s="59" t="s">
        <v>159</v>
      </c>
      <c r="B172" s="59" t="s">
        <v>170</v>
      </c>
      <c r="C172" s="24" t="s">
        <v>180</v>
      </c>
      <c r="D172" s="59" t="s">
        <v>15</v>
      </c>
      <c r="E172" s="25">
        <v>750</v>
      </c>
      <c r="F172" s="25">
        <v>718</v>
      </c>
      <c r="G172" s="25">
        <v>32</v>
      </c>
      <c r="H172" s="26">
        <f t="shared" si="2"/>
        <v>4.456824512534819E-2</v>
      </c>
      <c r="I172" s="59" t="s">
        <v>20</v>
      </c>
    </row>
    <row r="173" spans="1:9" x14ac:dyDescent="0.25">
      <c r="A173" s="23" t="s">
        <v>159</v>
      </c>
      <c r="B173" s="23" t="s">
        <v>207</v>
      </c>
      <c r="C173" s="24" t="s">
        <v>208</v>
      </c>
      <c r="D173" s="23" t="s">
        <v>15</v>
      </c>
      <c r="E173" s="25">
        <v>950</v>
      </c>
      <c r="F173" s="25">
        <v>574.4</v>
      </c>
      <c r="G173" s="25">
        <v>375.6</v>
      </c>
      <c r="H173" s="26">
        <f t="shared" si="2"/>
        <v>0.65389972144846809</v>
      </c>
      <c r="I173" s="23" t="s">
        <v>20</v>
      </c>
    </row>
    <row r="174" spans="1:9" x14ac:dyDescent="0.25">
      <c r="A174" s="23" t="s">
        <v>159</v>
      </c>
      <c r="B174" s="23" t="s">
        <v>58</v>
      </c>
      <c r="C174" s="24">
        <v>350599863608805</v>
      </c>
      <c r="D174" s="23" t="s">
        <v>26</v>
      </c>
      <c r="E174" s="25">
        <v>3610</v>
      </c>
      <c r="F174" s="25">
        <v>3446.4</v>
      </c>
      <c r="G174" s="25">
        <v>163.6</v>
      </c>
      <c r="H174" s="26">
        <f t="shared" si="2"/>
        <v>4.7469823584029687E-2</v>
      </c>
      <c r="I174" s="23" t="s">
        <v>20</v>
      </c>
    </row>
    <row r="175" spans="1:9" x14ac:dyDescent="0.25">
      <c r="A175" s="23" t="s">
        <v>159</v>
      </c>
      <c r="B175" s="23" t="s">
        <v>58</v>
      </c>
      <c r="C175" s="24">
        <v>350599865637059</v>
      </c>
      <c r="D175" s="23" t="s">
        <v>66</v>
      </c>
      <c r="E175" s="25">
        <v>4230</v>
      </c>
      <c r="F175" s="25">
        <v>4092.6</v>
      </c>
      <c r="G175" s="25">
        <v>137.4</v>
      </c>
      <c r="H175" s="26">
        <f t="shared" si="2"/>
        <v>3.3572789913502439E-2</v>
      </c>
      <c r="I175" s="23" t="s">
        <v>20</v>
      </c>
    </row>
    <row r="176" spans="1:9" x14ac:dyDescent="0.25">
      <c r="A176" s="23" t="s">
        <v>159</v>
      </c>
      <c r="B176" s="23" t="s">
        <v>58</v>
      </c>
      <c r="C176" s="24">
        <v>353263429157560</v>
      </c>
      <c r="D176" s="23" t="s">
        <v>66</v>
      </c>
      <c r="E176" s="25">
        <v>4230</v>
      </c>
      <c r="F176" s="25">
        <v>4092.6</v>
      </c>
      <c r="G176" s="25">
        <v>137.4</v>
      </c>
      <c r="H176" s="26">
        <f t="shared" si="2"/>
        <v>3.3572789913502439E-2</v>
      </c>
      <c r="I176" s="23" t="s">
        <v>20</v>
      </c>
    </row>
    <row r="177" spans="1:9" x14ac:dyDescent="0.25">
      <c r="A177" s="23" t="s">
        <v>159</v>
      </c>
      <c r="B177" s="23" t="s">
        <v>58</v>
      </c>
      <c r="C177" s="24">
        <v>355224259834551</v>
      </c>
      <c r="D177" s="23" t="s">
        <v>26</v>
      </c>
      <c r="E177" s="25">
        <v>3410</v>
      </c>
      <c r="F177" s="25">
        <v>3338.7</v>
      </c>
      <c r="G177" s="25">
        <v>71.3</v>
      </c>
      <c r="H177" s="26">
        <f t="shared" si="2"/>
        <v>2.1355617455896064E-2</v>
      </c>
      <c r="I177" s="23" t="s">
        <v>20</v>
      </c>
    </row>
    <row r="178" spans="1:9" x14ac:dyDescent="0.25">
      <c r="A178" s="23" t="s">
        <v>159</v>
      </c>
      <c r="B178" s="23" t="s">
        <v>58</v>
      </c>
      <c r="C178" s="24">
        <v>355246656971413</v>
      </c>
      <c r="D178" s="23" t="s">
        <v>26</v>
      </c>
      <c r="E178" s="25">
        <v>3410</v>
      </c>
      <c r="F178" s="25">
        <v>3338.7</v>
      </c>
      <c r="G178" s="25">
        <v>71.3</v>
      </c>
      <c r="H178" s="26">
        <f t="shared" si="2"/>
        <v>2.1355617455896064E-2</v>
      </c>
      <c r="I178" s="23" t="s">
        <v>20</v>
      </c>
    </row>
    <row r="179" spans="1:9" x14ac:dyDescent="0.25">
      <c r="A179" s="23" t="s">
        <v>159</v>
      </c>
      <c r="B179" s="23" t="s">
        <v>58</v>
      </c>
      <c r="C179" s="24">
        <v>357329444317814</v>
      </c>
      <c r="D179" s="23" t="s">
        <v>66</v>
      </c>
      <c r="E179" s="25">
        <v>4230</v>
      </c>
      <c r="F179" s="25">
        <v>4092.6</v>
      </c>
      <c r="G179" s="25">
        <v>137.4</v>
      </c>
      <c r="H179" s="26">
        <f t="shared" si="2"/>
        <v>3.3572789913502439E-2</v>
      </c>
      <c r="I179" s="23" t="s">
        <v>20</v>
      </c>
    </row>
    <row r="180" spans="1:9" x14ac:dyDescent="0.25">
      <c r="A180" s="23" t="s">
        <v>159</v>
      </c>
      <c r="B180" s="23" t="s">
        <v>58</v>
      </c>
      <c r="C180" s="24">
        <v>357329444404208</v>
      </c>
      <c r="D180" s="23" t="s">
        <v>26</v>
      </c>
      <c r="E180" s="25">
        <v>3610</v>
      </c>
      <c r="F180" s="25">
        <v>3446.4</v>
      </c>
      <c r="G180" s="25">
        <v>163.6</v>
      </c>
      <c r="H180" s="26">
        <f t="shared" si="2"/>
        <v>4.7469823584029687E-2</v>
      </c>
      <c r="I180" s="23" t="s">
        <v>20</v>
      </c>
    </row>
    <row r="181" spans="1:9" x14ac:dyDescent="0.25">
      <c r="A181" s="23" t="s">
        <v>159</v>
      </c>
      <c r="B181" s="23" t="s">
        <v>58</v>
      </c>
      <c r="C181" s="24">
        <v>357329444500310</v>
      </c>
      <c r="D181" s="23" t="s">
        <v>26</v>
      </c>
      <c r="E181" s="25">
        <v>3410</v>
      </c>
      <c r="F181" s="25">
        <v>3338.7</v>
      </c>
      <c r="G181" s="25">
        <v>71.3</v>
      </c>
      <c r="H181" s="26">
        <f t="shared" si="2"/>
        <v>2.1355617455896064E-2</v>
      </c>
      <c r="I181" s="23" t="s">
        <v>20</v>
      </c>
    </row>
    <row r="182" spans="1:9" x14ac:dyDescent="0.25">
      <c r="A182" s="23" t="s">
        <v>159</v>
      </c>
      <c r="B182" s="23" t="s">
        <v>58</v>
      </c>
      <c r="C182" s="24">
        <v>357329444659058</v>
      </c>
      <c r="D182" s="23" t="s">
        <v>26</v>
      </c>
      <c r="E182" s="25">
        <v>3610</v>
      </c>
      <c r="F182" s="25">
        <v>3446.4</v>
      </c>
      <c r="G182" s="25">
        <v>163.6</v>
      </c>
      <c r="H182" s="26">
        <f t="shared" si="2"/>
        <v>4.7469823584029687E-2</v>
      </c>
      <c r="I182" s="23" t="s">
        <v>20</v>
      </c>
    </row>
    <row r="183" spans="1:9" x14ac:dyDescent="0.25">
      <c r="A183" s="23" t="s">
        <v>159</v>
      </c>
      <c r="B183" s="23" t="s">
        <v>58</v>
      </c>
      <c r="C183" s="24">
        <v>357329444694014</v>
      </c>
      <c r="D183" s="23" t="s">
        <v>26</v>
      </c>
      <c r="E183" s="25">
        <v>3610</v>
      </c>
      <c r="F183" s="25">
        <v>3446.4</v>
      </c>
      <c r="G183" s="25">
        <v>163.6</v>
      </c>
      <c r="H183" s="26">
        <f t="shared" si="2"/>
        <v>4.7469823584029687E-2</v>
      </c>
      <c r="I183" s="23" t="s">
        <v>20</v>
      </c>
    </row>
    <row r="184" spans="1:9" x14ac:dyDescent="0.25">
      <c r="A184" s="23" t="s">
        <v>159</v>
      </c>
      <c r="B184" s="23" t="s">
        <v>58</v>
      </c>
      <c r="C184" s="24">
        <v>357329444760500</v>
      </c>
      <c r="D184" s="23" t="s">
        <v>26</v>
      </c>
      <c r="E184" s="25">
        <v>3410</v>
      </c>
      <c r="F184" s="25">
        <v>3338.7</v>
      </c>
      <c r="G184" s="25">
        <v>71.3</v>
      </c>
      <c r="H184" s="26">
        <f t="shared" si="2"/>
        <v>2.1355617455896064E-2</v>
      </c>
      <c r="I184" s="23" t="s">
        <v>20</v>
      </c>
    </row>
    <row r="185" spans="1:9" x14ac:dyDescent="0.25">
      <c r="A185" s="23" t="s">
        <v>159</v>
      </c>
      <c r="B185" s="23" t="s">
        <v>58</v>
      </c>
      <c r="C185" s="24">
        <v>359614548053847</v>
      </c>
      <c r="D185" s="23" t="s">
        <v>26</v>
      </c>
      <c r="E185" s="25">
        <v>3610</v>
      </c>
      <c r="F185" s="25">
        <v>3266.9</v>
      </c>
      <c r="G185" s="25">
        <v>343.1</v>
      </c>
      <c r="H185" s="26">
        <f t="shared" si="2"/>
        <v>0.1050231105941412</v>
      </c>
      <c r="I185" s="23" t="s">
        <v>20</v>
      </c>
    </row>
    <row r="186" spans="1:9" x14ac:dyDescent="0.25">
      <c r="A186" s="23" t="s">
        <v>159</v>
      </c>
      <c r="B186" s="23" t="s">
        <v>58</v>
      </c>
      <c r="C186" s="24">
        <v>359614548237234</v>
      </c>
      <c r="D186" s="23" t="s">
        <v>26</v>
      </c>
      <c r="E186" s="25">
        <v>3610</v>
      </c>
      <c r="F186" s="25">
        <v>3266.9</v>
      </c>
      <c r="G186" s="25">
        <v>343.1</v>
      </c>
      <c r="H186" s="26">
        <f t="shared" si="2"/>
        <v>0.1050231105941412</v>
      </c>
      <c r="I186" s="23" t="s">
        <v>20</v>
      </c>
    </row>
    <row r="187" spans="1:9" x14ac:dyDescent="0.25">
      <c r="A187" s="23" t="s">
        <v>159</v>
      </c>
      <c r="B187" s="23" t="s">
        <v>58</v>
      </c>
      <c r="C187" s="24">
        <v>359814712090548</v>
      </c>
      <c r="D187" s="23" t="s">
        <v>15</v>
      </c>
      <c r="E187" s="25">
        <v>3290</v>
      </c>
      <c r="F187" s="25">
        <v>3266.9</v>
      </c>
      <c r="G187" s="25">
        <v>23.1</v>
      </c>
      <c r="H187" s="26">
        <f t="shared" si="2"/>
        <v>7.0709235054638676E-3</v>
      </c>
      <c r="I187" s="23" t="s">
        <v>20</v>
      </c>
    </row>
    <row r="188" spans="1:9" x14ac:dyDescent="0.25">
      <c r="A188" s="23" t="s">
        <v>159</v>
      </c>
      <c r="B188" s="23" t="s">
        <v>269</v>
      </c>
      <c r="C188" s="24" t="s">
        <v>270</v>
      </c>
      <c r="D188" s="23" t="s">
        <v>15</v>
      </c>
      <c r="E188" s="25">
        <v>3100</v>
      </c>
      <c r="F188" s="25">
        <v>2656.6</v>
      </c>
      <c r="G188" s="25">
        <v>443.4</v>
      </c>
      <c r="H188" s="26">
        <f t="shared" si="2"/>
        <v>0.16690506662651514</v>
      </c>
      <c r="I188" s="23" t="s">
        <v>20</v>
      </c>
    </row>
    <row r="189" spans="1:9" x14ac:dyDescent="0.25">
      <c r="A189" s="23" t="s">
        <v>159</v>
      </c>
      <c r="B189" s="23" t="s">
        <v>271</v>
      </c>
      <c r="C189" s="24" t="s">
        <v>272</v>
      </c>
      <c r="D189" s="23" t="s">
        <v>15</v>
      </c>
      <c r="E189" s="25">
        <v>4650</v>
      </c>
      <c r="F189" s="25">
        <v>3966.95</v>
      </c>
      <c r="G189" s="25">
        <v>683.05</v>
      </c>
      <c r="H189" s="26">
        <f t="shared" si="2"/>
        <v>0.17218518005016453</v>
      </c>
      <c r="I189" s="23" t="s">
        <v>20</v>
      </c>
    </row>
    <row r="190" spans="1:9" x14ac:dyDescent="0.25">
      <c r="A190" s="23" t="s">
        <v>159</v>
      </c>
      <c r="B190" s="23" t="s">
        <v>273</v>
      </c>
      <c r="C190" s="24" t="s">
        <v>274</v>
      </c>
      <c r="D190" s="23" t="s">
        <v>15</v>
      </c>
      <c r="E190" s="25">
        <v>1670</v>
      </c>
      <c r="F190" s="25">
        <v>1521.5</v>
      </c>
      <c r="G190" s="25">
        <v>148.5</v>
      </c>
      <c r="H190" s="26">
        <f t="shared" si="2"/>
        <v>9.7601051593821889E-2</v>
      </c>
      <c r="I190" s="23" t="s">
        <v>20</v>
      </c>
    </row>
    <row r="191" spans="1:9" x14ac:dyDescent="0.25">
      <c r="A191" s="23" t="s">
        <v>159</v>
      </c>
      <c r="B191" s="23" t="s">
        <v>273</v>
      </c>
      <c r="C191" s="24" t="s">
        <v>275</v>
      </c>
      <c r="D191" s="23" t="s">
        <v>15</v>
      </c>
      <c r="E191" s="25">
        <v>1670</v>
      </c>
      <c r="F191" s="25">
        <v>1521.5</v>
      </c>
      <c r="G191" s="25">
        <v>148.5</v>
      </c>
      <c r="H191" s="26">
        <f t="shared" si="2"/>
        <v>9.7601051593821889E-2</v>
      </c>
      <c r="I191" s="23" t="s">
        <v>20</v>
      </c>
    </row>
    <row r="192" spans="1:9" x14ac:dyDescent="0.25">
      <c r="A192" s="23" t="s">
        <v>159</v>
      </c>
      <c r="B192" s="23" t="s">
        <v>273</v>
      </c>
      <c r="C192" s="24" t="s">
        <v>276</v>
      </c>
      <c r="D192" s="23" t="s">
        <v>15</v>
      </c>
      <c r="E192" s="25">
        <v>1670</v>
      </c>
      <c r="F192" s="25">
        <v>1521.5</v>
      </c>
      <c r="G192" s="25">
        <v>148.5</v>
      </c>
      <c r="H192" s="26">
        <f t="shared" si="2"/>
        <v>9.7601051593821889E-2</v>
      </c>
      <c r="I192" s="23" t="s">
        <v>20</v>
      </c>
    </row>
    <row r="193" spans="1:9" x14ac:dyDescent="0.25">
      <c r="A193" s="23" t="s">
        <v>159</v>
      </c>
      <c r="B193" s="23" t="s">
        <v>273</v>
      </c>
      <c r="C193" s="24" t="s">
        <v>277</v>
      </c>
      <c r="D193" s="23" t="s">
        <v>15</v>
      </c>
      <c r="E193" s="25">
        <v>1670</v>
      </c>
      <c r="F193" s="25">
        <v>1521.5</v>
      </c>
      <c r="G193" s="25">
        <v>148.5</v>
      </c>
      <c r="H193" s="26">
        <f t="shared" si="2"/>
        <v>9.7601051593821889E-2</v>
      </c>
      <c r="I193" s="23" t="s">
        <v>20</v>
      </c>
    </row>
    <row r="194" spans="1:9" x14ac:dyDescent="0.25">
      <c r="A194" s="23" t="s">
        <v>159</v>
      </c>
      <c r="B194" s="23" t="s">
        <v>273</v>
      </c>
      <c r="C194" s="24" t="s">
        <v>278</v>
      </c>
      <c r="D194" s="23" t="s">
        <v>15</v>
      </c>
      <c r="E194" s="25">
        <v>1670</v>
      </c>
      <c r="F194" s="25">
        <v>1521.5</v>
      </c>
      <c r="G194" s="25">
        <v>148.5</v>
      </c>
      <c r="H194" s="26">
        <f t="shared" ref="H194:H257" si="3">(E194-F194)/F194</f>
        <v>9.7601051593821889E-2</v>
      </c>
      <c r="I194" s="23" t="s">
        <v>20</v>
      </c>
    </row>
    <row r="195" spans="1:9" x14ac:dyDescent="0.25">
      <c r="A195" s="23" t="s">
        <v>159</v>
      </c>
      <c r="B195" s="23" t="s">
        <v>273</v>
      </c>
      <c r="C195" s="24" t="s">
        <v>279</v>
      </c>
      <c r="D195" s="23" t="s">
        <v>15</v>
      </c>
      <c r="E195" s="25">
        <v>1670</v>
      </c>
      <c r="F195" s="25">
        <v>1521.5</v>
      </c>
      <c r="G195" s="25">
        <v>148.5</v>
      </c>
      <c r="H195" s="26">
        <f t="shared" si="3"/>
        <v>9.7601051593821889E-2</v>
      </c>
      <c r="I195" s="23" t="s">
        <v>20</v>
      </c>
    </row>
    <row r="196" spans="1:9" x14ac:dyDescent="0.25">
      <c r="A196" s="23" t="s">
        <v>159</v>
      </c>
      <c r="B196" s="23" t="s">
        <v>273</v>
      </c>
      <c r="C196" s="24" t="s">
        <v>280</v>
      </c>
      <c r="D196" s="23" t="s">
        <v>15</v>
      </c>
      <c r="E196" s="25">
        <v>1670</v>
      </c>
      <c r="F196" s="25">
        <v>1521.5</v>
      </c>
      <c r="G196" s="25">
        <v>148.5</v>
      </c>
      <c r="H196" s="26">
        <f t="shared" si="3"/>
        <v>9.7601051593821889E-2</v>
      </c>
      <c r="I196" s="23" t="s">
        <v>20</v>
      </c>
    </row>
    <row r="197" spans="1:9" x14ac:dyDescent="0.25">
      <c r="A197" s="23" t="s">
        <v>159</v>
      </c>
      <c r="B197" s="23" t="s">
        <v>273</v>
      </c>
      <c r="C197" s="24" t="s">
        <v>281</v>
      </c>
      <c r="D197" s="23" t="s">
        <v>15</v>
      </c>
      <c r="E197" s="25">
        <v>1670</v>
      </c>
      <c r="F197" s="25">
        <v>1521.5</v>
      </c>
      <c r="G197" s="25">
        <v>148.5</v>
      </c>
      <c r="H197" s="26">
        <f t="shared" si="3"/>
        <v>9.7601051593821889E-2</v>
      </c>
      <c r="I197" s="23" t="s">
        <v>20</v>
      </c>
    </row>
    <row r="198" spans="1:9" x14ac:dyDescent="0.25">
      <c r="A198" s="23" t="s">
        <v>159</v>
      </c>
      <c r="B198" s="23" t="s">
        <v>273</v>
      </c>
      <c r="C198" s="24" t="s">
        <v>282</v>
      </c>
      <c r="D198" s="23" t="s">
        <v>15</v>
      </c>
      <c r="E198" s="25">
        <v>1670</v>
      </c>
      <c r="F198" s="25">
        <v>1521.5</v>
      </c>
      <c r="G198" s="25">
        <v>148.5</v>
      </c>
      <c r="H198" s="26">
        <f t="shared" si="3"/>
        <v>9.7601051593821889E-2</v>
      </c>
      <c r="I198" s="23" t="s">
        <v>20</v>
      </c>
    </row>
    <row r="199" spans="1:9" x14ac:dyDescent="0.25">
      <c r="A199" s="23" t="s">
        <v>159</v>
      </c>
      <c r="B199" s="23" t="s">
        <v>273</v>
      </c>
      <c r="C199" s="24" t="s">
        <v>283</v>
      </c>
      <c r="D199" s="23" t="s">
        <v>15</v>
      </c>
      <c r="E199" s="25">
        <v>1670</v>
      </c>
      <c r="F199" s="25">
        <v>1525.75</v>
      </c>
      <c r="G199" s="25">
        <v>144.25</v>
      </c>
      <c r="H199" s="26">
        <f t="shared" si="3"/>
        <v>9.4543667048992294E-2</v>
      </c>
      <c r="I199" s="23" t="s">
        <v>20</v>
      </c>
    </row>
    <row r="200" spans="1:9" x14ac:dyDescent="0.25">
      <c r="A200" s="23" t="s">
        <v>159</v>
      </c>
      <c r="B200" s="23" t="s">
        <v>273</v>
      </c>
      <c r="C200" s="24" t="s">
        <v>284</v>
      </c>
      <c r="D200" s="23" t="s">
        <v>15</v>
      </c>
      <c r="E200" s="25">
        <v>1670</v>
      </c>
      <c r="F200" s="25">
        <v>1521.5</v>
      </c>
      <c r="G200" s="25">
        <v>148.5</v>
      </c>
      <c r="H200" s="26">
        <f t="shared" si="3"/>
        <v>9.7601051593821889E-2</v>
      </c>
      <c r="I200" s="23" t="s">
        <v>20</v>
      </c>
    </row>
    <row r="201" spans="1:9" x14ac:dyDescent="0.25">
      <c r="A201" s="23" t="s">
        <v>159</v>
      </c>
      <c r="B201" s="23" t="s">
        <v>273</v>
      </c>
      <c r="C201" s="24" t="s">
        <v>285</v>
      </c>
      <c r="D201" s="23" t="s">
        <v>15</v>
      </c>
      <c r="E201" s="25">
        <v>1670</v>
      </c>
      <c r="F201" s="25">
        <v>1521.5</v>
      </c>
      <c r="G201" s="25">
        <v>148.5</v>
      </c>
      <c r="H201" s="26">
        <f t="shared" si="3"/>
        <v>9.7601051593821889E-2</v>
      </c>
      <c r="I201" s="23" t="s">
        <v>20</v>
      </c>
    </row>
    <row r="202" spans="1:9" x14ac:dyDescent="0.25">
      <c r="A202" s="23" t="s">
        <v>159</v>
      </c>
      <c r="B202" s="23" t="s">
        <v>273</v>
      </c>
      <c r="C202" s="24" t="s">
        <v>286</v>
      </c>
      <c r="D202" s="23" t="s">
        <v>15</v>
      </c>
      <c r="E202" s="25">
        <v>1670</v>
      </c>
      <c r="F202" s="25">
        <v>1521.5</v>
      </c>
      <c r="G202" s="25">
        <v>148.5</v>
      </c>
      <c r="H202" s="26">
        <f t="shared" si="3"/>
        <v>9.7601051593821889E-2</v>
      </c>
      <c r="I202" s="23" t="s">
        <v>20</v>
      </c>
    </row>
    <row r="203" spans="1:9" x14ac:dyDescent="0.25">
      <c r="A203" s="23" t="s">
        <v>159</v>
      </c>
      <c r="B203" s="23" t="s">
        <v>273</v>
      </c>
      <c r="C203" s="24" t="s">
        <v>287</v>
      </c>
      <c r="D203" s="23" t="s">
        <v>15</v>
      </c>
      <c r="E203" s="25">
        <v>1670</v>
      </c>
      <c r="F203" s="25">
        <v>1525.75</v>
      </c>
      <c r="G203" s="25">
        <v>144.25</v>
      </c>
      <c r="H203" s="26">
        <f t="shared" si="3"/>
        <v>9.4543667048992294E-2</v>
      </c>
      <c r="I203" s="23" t="s">
        <v>20</v>
      </c>
    </row>
    <row r="204" spans="1:9" x14ac:dyDescent="0.25">
      <c r="A204" s="59" t="s">
        <v>159</v>
      </c>
      <c r="B204" s="59" t="s">
        <v>273</v>
      </c>
      <c r="C204" s="24" t="s">
        <v>288</v>
      </c>
      <c r="D204" s="59" t="s">
        <v>15</v>
      </c>
      <c r="E204" s="25">
        <v>1670</v>
      </c>
      <c r="F204" s="25">
        <v>1521.5</v>
      </c>
      <c r="G204" s="25">
        <v>148.5</v>
      </c>
      <c r="H204" s="26">
        <f t="shared" si="3"/>
        <v>9.7601051593821889E-2</v>
      </c>
      <c r="I204" s="59" t="s">
        <v>20</v>
      </c>
    </row>
    <row r="205" spans="1:9" x14ac:dyDescent="0.25">
      <c r="A205" s="59" t="s">
        <v>159</v>
      </c>
      <c r="B205" s="59" t="s">
        <v>293</v>
      </c>
      <c r="C205" s="24" t="s">
        <v>294</v>
      </c>
      <c r="D205" s="59" t="s">
        <v>15</v>
      </c>
      <c r="E205" s="25">
        <v>910</v>
      </c>
      <c r="F205" s="25">
        <v>628.25</v>
      </c>
      <c r="G205" s="25">
        <v>281.75</v>
      </c>
      <c r="H205" s="26">
        <f t="shared" si="3"/>
        <v>0.44846796657381616</v>
      </c>
      <c r="I205" s="59" t="s">
        <v>20</v>
      </c>
    </row>
    <row r="206" spans="1:9" x14ac:dyDescent="0.25">
      <c r="A206" s="23" t="s">
        <v>159</v>
      </c>
      <c r="B206" s="23" t="s">
        <v>295</v>
      </c>
      <c r="C206" s="24" t="s">
        <v>296</v>
      </c>
      <c r="D206" s="23" t="s">
        <v>15</v>
      </c>
      <c r="E206" s="25">
        <v>1330</v>
      </c>
      <c r="F206" s="25">
        <v>1256.5</v>
      </c>
      <c r="G206" s="25">
        <v>73.5</v>
      </c>
      <c r="H206" s="26">
        <f t="shared" si="3"/>
        <v>5.8495821727019497E-2</v>
      </c>
      <c r="I206" s="23" t="s">
        <v>20</v>
      </c>
    </row>
    <row r="207" spans="1:9" x14ac:dyDescent="0.25">
      <c r="A207" s="23" t="s">
        <v>159</v>
      </c>
      <c r="B207" s="23" t="s">
        <v>300</v>
      </c>
      <c r="C207" s="24" t="s">
        <v>301</v>
      </c>
      <c r="D207" s="23" t="s">
        <v>15</v>
      </c>
      <c r="E207" s="25">
        <v>2500</v>
      </c>
      <c r="F207" s="25">
        <v>2225.8000000000002</v>
      </c>
      <c r="G207" s="25">
        <v>274.2</v>
      </c>
      <c r="H207" s="26">
        <f t="shared" si="3"/>
        <v>0.12319166142510549</v>
      </c>
      <c r="I207" s="23" t="s">
        <v>20</v>
      </c>
    </row>
    <row r="208" spans="1:9" x14ac:dyDescent="0.25">
      <c r="A208" s="23" t="s">
        <v>159</v>
      </c>
      <c r="B208" s="23" t="s">
        <v>300</v>
      </c>
      <c r="C208" s="24" t="s">
        <v>302</v>
      </c>
      <c r="D208" s="23" t="s">
        <v>15</v>
      </c>
      <c r="E208" s="25">
        <v>2500</v>
      </c>
      <c r="F208" s="25">
        <v>2225.8000000000002</v>
      </c>
      <c r="G208" s="25">
        <v>274.2</v>
      </c>
      <c r="H208" s="26">
        <f t="shared" si="3"/>
        <v>0.12319166142510549</v>
      </c>
      <c r="I208" s="23" t="s">
        <v>20</v>
      </c>
    </row>
    <row r="209" spans="1:9" x14ac:dyDescent="0.25">
      <c r="A209" s="23" t="s">
        <v>159</v>
      </c>
      <c r="B209" s="23" t="s">
        <v>300</v>
      </c>
      <c r="C209" s="24" t="s">
        <v>303</v>
      </c>
      <c r="D209" s="23" t="s">
        <v>15</v>
      </c>
      <c r="E209" s="25">
        <v>2500</v>
      </c>
      <c r="F209" s="25">
        <v>2225.8000000000002</v>
      </c>
      <c r="G209" s="25">
        <v>274.2</v>
      </c>
      <c r="H209" s="26">
        <f t="shared" si="3"/>
        <v>0.12319166142510549</v>
      </c>
      <c r="I209" s="23" t="s">
        <v>20</v>
      </c>
    </row>
    <row r="210" spans="1:9" x14ac:dyDescent="0.25">
      <c r="A210" s="23" t="s">
        <v>304</v>
      </c>
      <c r="B210" s="23" t="s">
        <v>61</v>
      </c>
      <c r="C210" s="24">
        <v>355224256591014</v>
      </c>
      <c r="D210" s="23" t="s">
        <v>66</v>
      </c>
      <c r="E210" s="25">
        <v>4850</v>
      </c>
      <c r="F210" s="25">
        <v>4559.3</v>
      </c>
      <c r="G210" s="25">
        <v>290.7</v>
      </c>
      <c r="H210" s="26">
        <f t="shared" si="3"/>
        <v>6.3759787686706246E-2</v>
      </c>
      <c r="I210" s="23" t="s">
        <v>20</v>
      </c>
    </row>
    <row r="211" spans="1:9" x14ac:dyDescent="0.25">
      <c r="A211" s="23" t="s">
        <v>304</v>
      </c>
      <c r="B211" s="23" t="s">
        <v>322</v>
      </c>
      <c r="C211" s="24" t="s">
        <v>323</v>
      </c>
      <c r="D211" s="23" t="s">
        <v>15</v>
      </c>
      <c r="E211" s="25">
        <v>1540</v>
      </c>
      <c r="F211" s="25">
        <v>1293.3800000000001</v>
      </c>
      <c r="G211" s="25">
        <v>246.62</v>
      </c>
      <c r="H211" s="26">
        <f t="shared" si="3"/>
        <v>0.19067868685150527</v>
      </c>
      <c r="I211" s="23" t="s">
        <v>20</v>
      </c>
    </row>
    <row r="212" spans="1:9" x14ac:dyDescent="0.25">
      <c r="A212" s="23" t="s">
        <v>304</v>
      </c>
      <c r="B212" s="23" t="s">
        <v>322</v>
      </c>
      <c r="C212" s="24" t="s">
        <v>324</v>
      </c>
      <c r="D212" s="23" t="s">
        <v>15</v>
      </c>
      <c r="E212" s="25">
        <v>1540</v>
      </c>
      <c r="F212" s="25">
        <v>1293.3800000000001</v>
      </c>
      <c r="G212" s="25">
        <v>246.62</v>
      </c>
      <c r="H212" s="26">
        <f t="shared" si="3"/>
        <v>0.19067868685150527</v>
      </c>
      <c r="I212" s="23" t="s">
        <v>20</v>
      </c>
    </row>
    <row r="213" spans="1:9" x14ac:dyDescent="0.25">
      <c r="A213" s="23" t="s">
        <v>304</v>
      </c>
      <c r="B213" s="23" t="s">
        <v>322</v>
      </c>
      <c r="C213" s="24" t="s">
        <v>325</v>
      </c>
      <c r="D213" s="23" t="s">
        <v>15</v>
      </c>
      <c r="E213" s="25">
        <v>1540</v>
      </c>
      <c r="F213" s="25">
        <v>1293.3800000000001</v>
      </c>
      <c r="G213" s="25">
        <v>246.62</v>
      </c>
      <c r="H213" s="26">
        <f t="shared" si="3"/>
        <v>0.19067868685150527</v>
      </c>
      <c r="I213" s="23" t="s">
        <v>20</v>
      </c>
    </row>
    <row r="214" spans="1:9" x14ac:dyDescent="0.25">
      <c r="A214" s="23" t="s">
        <v>304</v>
      </c>
      <c r="B214" s="23" t="s">
        <v>322</v>
      </c>
      <c r="C214" s="24" t="s">
        <v>326</v>
      </c>
      <c r="D214" s="23" t="s">
        <v>15</v>
      </c>
      <c r="E214" s="25">
        <v>1540</v>
      </c>
      <c r="F214" s="25">
        <v>1293.3800000000001</v>
      </c>
      <c r="G214" s="25">
        <v>246.62</v>
      </c>
      <c r="H214" s="26">
        <f t="shared" si="3"/>
        <v>0.19067868685150527</v>
      </c>
      <c r="I214" s="23" t="s">
        <v>20</v>
      </c>
    </row>
    <row r="215" spans="1:9" x14ac:dyDescent="0.25">
      <c r="A215" s="23" t="s">
        <v>304</v>
      </c>
      <c r="B215" s="23" t="s">
        <v>322</v>
      </c>
      <c r="C215" s="24" t="s">
        <v>327</v>
      </c>
      <c r="D215" s="23" t="s">
        <v>15</v>
      </c>
      <c r="E215" s="25">
        <v>1540</v>
      </c>
      <c r="F215" s="25">
        <v>1293.3800000000001</v>
      </c>
      <c r="G215" s="25">
        <v>246.62</v>
      </c>
      <c r="H215" s="26">
        <f t="shared" si="3"/>
        <v>0.19067868685150527</v>
      </c>
      <c r="I215" s="23" t="s">
        <v>20</v>
      </c>
    </row>
    <row r="216" spans="1:9" x14ac:dyDescent="0.25">
      <c r="A216" s="23" t="s">
        <v>304</v>
      </c>
      <c r="B216" s="23" t="s">
        <v>322</v>
      </c>
      <c r="C216" s="24" t="s">
        <v>328</v>
      </c>
      <c r="D216" s="23" t="s">
        <v>15</v>
      </c>
      <c r="E216" s="25">
        <v>1540</v>
      </c>
      <c r="F216" s="25">
        <v>1293.3800000000001</v>
      </c>
      <c r="G216" s="25">
        <v>246.62</v>
      </c>
      <c r="H216" s="26">
        <f t="shared" si="3"/>
        <v>0.19067868685150527</v>
      </c>
      <c r="I216" s="23" t="s">
        <v>20</v>
      </c>
    </row>
    <row r="217" spans="1:9" x14ac:dyDescent="0.25">
      <c r="A217" s="23" t="s">
        <v>343</v>
      </c>
      <c r="B217" s="23" t="s">
        <v>344</v>
      </c>
      <c r="C217" s="24" t="s">
        <v>345</v>
      </c>
      <c r="D217" s="23" t="s">
        <v>15</v>
      </c>
      <c r="E217" s="25">
        <v>540</v>
      </c>
      <c r="F217" s="25">
        <v>484.65</v>
      </c>
      <c r="G217" s="25">
        <v>55.35</v>
      </c>
      <c r="H217" s="26">
        <f t="shared" si="3"/>
        <v>0.11420612813370479</v>
      </c>
      <c r="I217" s="23" t="s">
        <v>20</v>
      </c>
    </row>
    <row r="218" spans="1:9" x14ac:dyDescent="0.25">
      <c r="A218" s="23" t="s">
        <v>343</v>
      </c>
      <c r="B218" s="23" t="s">
        <v>344</v>
      </c>
      <c r="C218" s="24" t="s">
        <v>346</v>
      </c>
      <c r="D218" s="23" t="s">
        <v>15</v>
      </c>
      <c r="E218" s="25">
        <v>540</v>
      </c>
      <c r="F218" s="25">
        <v>484.65</v>
      </c>
      <c r="G218" s="25">
        <v>55.35</v>
      </c>
      <c r="H218" s="26">
        <f t="shared" si="3"/>
        <v>0.11420612813370479</v>
      </c>
      <c r="I218" s="23" t="s">
        <v>20</v>
      </c>
    </row>
    <row r="219" spans="1:9" x14ac:dyDescent="0.25">
      <c r="A219" s="23" t="s">
        <v>343</v>
      </c>
      <c r="B219" s="23" t="s">
        <v>344</v>
      </c>
      <c r="C219" s="24" t="s">
        <v>347</v>
      </c>
      <c r="D219" s="23" t="s">
        <v>15</v>
      </c>
      <c r="E219" s="25">
        <v>540</v>
      </c>
      <c r="F219" s="25">
        <v>484.65</v>
      </c>
      <c r="G219" s="25">
        <v>55.35</v>
      </c>
      <c r="H219" s="26">
        <f t="shared" si="3"/>
        <v>0.11420612813370479</v>
      </c>
      <c r="I219" s="23" t="s">
        <v>20</v>
      </c>
    </row>
    <row r="220" spans="1:9" x14ac:dyDescent="0.25">
      <c r="A220" s="23" t="s">
        <v>343</v>
      </c>
      <c r="B220" s="23" t="s">
        <v>344</v>
      </c>
      <c r="C220" s="24" t="s">
        <v>348</v>
      </c>
      <c r="D220" s="23" t="s">
        <v>15</v>
      </c>
      <c r="E220" s="25">
        <v>540</v>
      </c>
      <c r="F220" s="25">
        <v>484.65</v>
      </c>
      <c r="G220" s="25">
        <v>55.35</v>
      </c>
      <c r="H220" s="26">
        <f t="shared" si="3"/>
        <v>0.11420612813370479</v>
      </c>
      <c r="I220" s="23" t="s">
        <v>20</v>
      </c>
    </row>
    <row r="221" spans="1:9" x14ac:dyDescent="0.25">
      <c r="A221" s="23" t="s">
        <v>343</v>
      </c>
      <c r="B221" s="23" t="s">
        <v>58</v>
      </c>
      <c r="C221" s="24">
        <v>350599869414539</v>
      </c>
      <c r="D221" s="23" t="s">
        <v>15</v>
      </c>
      <c r="E221" s="25">
        <v>3545</v>
      </c>
      <c r="F221" s="25">
        <v>3338.7</v>
      </c>
      <c r="G221" s="25">
        <v>206.3</v>
      </c>
      <c r="H221" s="26">
        <f t="shared" si="3"/>
        <v>6.179051726719987E-2</v>
      </c>
      <c r="I221" s="23" t="s">
        <v>20</v>
      </c>
    </row>
    <row r="222" spans="1:9" x14ac:dyDescent="0.25">
      <c r="A222" s="23" t="s">
        <v>343</v>
      </c>
      <c r="B222" s="23" t="s">
        <v>58</v>
      </c>
      <c r="C222" s="24">
        <v>353837411197401</v>
      </c>
      <c r="D222" s="23" t="s">
        <v>15</v>
      </c>
      <c r="E222" s="25">
        <v>3545</v>
      </c>
      <c r="F222" s="25">
        <v>3338.7</v>
      </c>
      <c r="G222" s="25">
        <v>206.3</v>
      </c>
      <c r="H222" s="26">
        <f t="shared" si="3"/>
        <v>6.179051726719987E-2</v>
      </c>
      <c r="I222" s="23" t="s">
        <v>20</v>
      </c>
    </row>
    <row r="223" spans="1:9" x14ac:dyDescent="0.25">
      <c r="A223" s="23" t="s">
        <v>343</v>
      </c>
      <c r="B223" s="23" t="s">
        <v>58</v>
      </c>
      <c r="C223" s="24">
        <v>355246658872551</v>
      </c>
      <c r="D223" s="23" t="s">
        <v>65</v>
      </c>
      <c r="E223" s="25">
        <v>4570</v>
      </c>
      <c r="F223" s="25">
        <v>4272.1000000000004</v>
      </c>
      <c r="G223" s="25">
        <v>297.89999999999998</v>
      </c>
      <c r="H223" s="26">
        <f t="shared" si="3"/>
        <v>6.973151377542651E-2</v>
      </c>
      <c r="I223" s="23" t="s">
        <v>20</v>
      </c>
    </row>
    <row r="224" spans="1:9" x14ac:dyDescent="0.25">
      <c r="A224" s="23" t="s">
        <v>343</v>
      </c>
      <c r="B224" s="23" t="s">
        <v>58</v>
      </c>
      <c r="C224" s="24">
        <v>355246659007686</v>
      </c>
      <c r="D224" s="23" t="s">
        <v>65</v>
      </c>
      <c r="E224" s="25">
        <v>4570</v>
      </c>
      <c r="F224" s="25">
        <v>4272.1000000000004</v>
      </c>
      <c r="G224" s="25">
        <v>297.89999999999998</v>
      </c>
      <c r="H224" s="26">
        <f t="shared" si="3"/>
        <v>6.973151377542651E-2</v>
      </c>
      <c r="I224" s="23" t="s">
        <v>20</v>
      </c>
    </row>
    <row r="225" spans="1:9" x14ac:dyDescent="0.25">
      <c r="A225" s="59" t="s">
        <v>343</v>
      </c>
      <c r="B225" s="59" t="s">
        <v>58</v>
      </c>
      <c r="C225" s="24">
        <v>355246659168132</v>
      </c>
      <c r="D225" s="59" t="s">
        <v>65</v>
      </c>
      <c r="E225" s="25">
        <v>4570</v>
      </c>
      <c r="F225" s="25">
        <v>4272.1000000000004</v>
      </c>
      <c r="G225" s="25">
        <v>297.89999999999998</v>
      </c>
      <c r="H225" s="26">
        <f t="shared" si="3"/>
        <v>6.973151377542651E-2</v>
      </c>
      <c r="I225" s="59" t="s">
        <v>20</v>
      </c>
    </row>
    <row r="226" spans="1:9" x14ac:dyDescent="0.25">
      <c r="A226" s="23" t="s">
        <v>343</v>
      </c>
      <c r="B226" s="23" t="s">
        <v>58</v>
      </c>
      <c r="C226" s="24">
        <v>356364249592973</v>
      </c>
      <c r="D226" s="23" t="s">
        <v>15</v>
      </c>
      <c r="E226" s="25">
        <v>3300</v>
      </c>
      <c r="F226" s="25">
        <v>3195.1</v>
      </c>
      <c r="G226" s="25">
        <v>104.9</v>
      </c>
      <c r="H226" s="26">
        <f t="shared" si="3"/>
        <v>3.2831523270007226E-2</v>
      </c>
      <c r="I226" s="23" t="s">
        <v>20</v>
      </c>
    </row>
    <row r="227" spans="1:9" x14ac:dyDescent="0.25">
      <c r="A227" s="23" t="s">
        <v>343</v>
      </c>
      <c r="B227" s="23" t="s">
        <v>61</v>
      </c>
      <c r="C227" s="24">
        <v>356188168371030</v>
      </c>
      <c r="D227" s="23" t="s">
        <v>27</v>
      </c>
      <c r="E227" s="25">
        <v>4800</v>
      </c>
      <c r="F227" s="25">
        <v>4272.1000000000004</v>
      </c>
      <c r="G227" s="25">
        <v>527.9</v>
      </c>
      <c r="H227" s="26">
        <f t="shared" si="3"/>
        <v>0.12356920484071056</v>
      </c>
      <c r="I227" s="23" t="s">
        <v>20</v>
      </c>
    </row>
    <row r="228" spans="1:9" x14ac:dyDescent="0.25">
      <c r="A228" s="23" t="s">
        <v>343</v>
      </c>
      <c r="B228" s="23" t="s">
        <v>273</v>
      </c>
      <c r="C228" s="24" t="s">
        <v>406</v>
      </c>
      <c r="D228" s="23" t="s">
        <v>15</v>
      </c>
      <c r="E228" s="25">
        <v>1650</v>
      </c>
      <c r="F228" s="25">
        <v>1525.75</v>
      </c>
      <c r="G228" s="25">
        <v>124.25</v>
      </c>
      <c r="H228" s="26">
        <f t="shared" si="3"/>
        <v>8.1435359659184012E-2</v>
      </c>
      <c r="I228" s="23" t="s">
        <v>20</v>
      </c>
    </row>
    <row r="229" spans="1:9" x14ac:dyDescent="0.25">
      <c r="A229" s="59" t="s">
        <v>343</v>
      </c>
      <c r="B229" s="59" t="s">
        <v>289</v>
      </c>
      <c r="C229" s="24" t="s">
        <v>290</v>
      </c>
      <c r="D229" s="59" t="s">
        <v>15</v>
      </c>
      <c r="E229" s="25">
        <v>1650</v>
      </c>
      <c r="F229" s="25">
        <v>1364.2</v>
      </c>
      <c r="G229" s="25">
        <v>285.8</v>
      </c>
      <c r="H229" s="26">
        <f t="shared" si="3"/>
        <v>0.20950007330303472</v>
      </c>
      <c r="I229" s="59" t="s">
        <v>20</v>
      </c>
    </row>
    <row r="230" spans="1:9" x14ac:dyDescent="0.25">
      <c r="A230" s="23" t="s">
        <v>343</v>
      </c>
      <c r="B230" s="23" t="s">
        <v>289</v>
      </c>
      <c r="C230" s="24" t="s">
        <v>291</v>
      </c>
      <c r="D230" s="23" t="s">
        <v>15</v>
      </c>
      <c r="E230" s="25">
        <v>1650</v>
      </c>
      <c r="F230" s="25">
        <v>1364.2</v>
      </c>
      <c r="G230" s="25">
        <v>285.8</v>
      </c>
      <c r="H230" s="26">
        <f t="shared" si="3"/>
        <v>0.20950007330303472</v>
      </c>
      <c r="I230" s="23" t="s">
        <v>20</v>
      </c>
    </row>
    <row r="231" spans="1:9" x14ac:dyDescent="0.25">
      <c r="A231" s="23" t="s">
        <v>343</v>
      </c>
      <c r="B231" s="23" t="s">
        <v>289</v>
      </c>
      <c r="C231" s="24" t="s">
        <v>292</v>
      </c>
      <c r="D231" s="23" t="s">
        <v>15</v>
      </c>
      <c r="E231" s="25">
        <v>1650</v>
      </c>
      <c r="F231" s="25">
        <v>1364.2</v>
      </c>
      <c r="G231" s="25">
        <v>285.8</v>
      </c>
      <c r="H231" s="26">
        <f t="shared" si="3"/>
        <v>0.20950007330303472</v>
      </c>
      <c r="I231" s="23" t="s">
        <v>20</v>
      </c>
    </row>
    <row r="232" spans="1:9" x14ac:dyDescent="0.25">
      <c r="A232" s="23" t="s">
        <v>343</v>
      </c>
      <c r="B232" s="23" t="s">
        <v>412</v>
      </c>
      <c r="C232" s="24" t="s">
        <v>413</v>
      </c>
      <c r="D232" s="23" t="s">
        <v>15</v>
      </c>
      <c r="E232" s="25">
        <v>700</v>
      </c>
      <c r="F232" s="25">
        <v>646</v>
      </c>
      <c r="G232" s="25">
        <v>54</v>
      </c>
      <c r="H232" s="26">
        <f t="shared" si="3"/>
        <v>8.3591331269349839E-2</v>
      </c>
      <c r="I232" s="23" t="s">
        <v>20</v>
      </c>
    </row>
    <row r="233" spans="1:9" x14ac:dyDescent="0.25">
      <c r="A233" s="23" t="s">
        <v>343</v>
      </c>
      <c r="B233" s="23" t="s">
        <v>415</v>
      </c>
      <c r="C233" s="24" t="s">
        <v>416</v>
      </c>
      <c r="D233" s="23" t="s">
        <v>15</v>
      </c>
      <c r="E233" s="25">
        <v>540</v>
      </c>
      <c r="F233" s="25">
        <v>481.95</v>
      </c>
      <c r="G233" s="25">
        <v>58.05</v>
      </c>
      <c r="H233" s="26">
        <f t="shared" si="3"/>
        <v>0.12044817927170871</v>
      </c>
      <c r="I233" s="23" t="s">
        <v>20</v>
      </c>
    </row>
    <row r="234" spans="1:9" x14ac:dyDescent="0.25">
      <c r="A234" s="23" t="s">
        <v>343</v>
      </c>
      <c r="B234" s="23" t="s">
        <v>415</v>
      </c>
      <c r="C234" s="24" t="s">
        <v>417</v>
      </c>
      <c r="D234" s="23" t="s">
        <v>15</v>
      </c>
      <c r="E234" s="25">
        <v>540</v>
      </c>
      <c r="F234" s="25">
        <v>481.95</v>
      </c>
      <c r="G234" s="25">
        <v>58.05</v>
      </c>
      <c r="H234" s="26">
        <f t="shared" si="3"/>
        <v>0.12044817927170871</v>
      </c>
      <c r="I234" s="23" t="s">
        <v>20</v>
      </c>
    </row>
    <row r="235" spans="1:9" x14ac:dyDescent="0.25">
      <c r="A235" s="23" t="s">
        <v>436</v>
      </c>
      <c r="B235" s="23" t="s">
        <v>170</v>
      </c>
      <c r="C235" s="24" t="s">
        <v>437</v>
      </c>
      <c r="D235" s="23" t="s">
        <v>15</v>
      </c>
      <c r="E235" s="25">
        <v>750</v>
      </c>
      <c r="F235" s="25">
        <v>718</v>
      </c>
      <c r="G235" s="25">
        <v>32</v>
      </c>
      <c r="H235" s="26">
        <f t="shared" si="3"/>
        <v>4.456824512534819E-2</v>
      </c>
      <c r="I235" s="23" t="s">
        <v>20</v>
      </c>
    </row>
    <row r="236" spans="1:9" x14ac:dyDescent="0.25">
      <c r="A236" s="23" t="s">
        <v>436</v>
      </c>
      <c r="B236" s="23" t="s">
        <v>170</v>
      </c>
      <c r="C236" s="24" t="s">
        <v>438</v>
      </c>
      <c r="D236" s="23" t="s">
        <v>15</v>
      </c>
      <c r="E236" s="25">
        <v>750</v>
      </c>
      <c r="F236" s="25">
        <v>718</v>
      </c>
      <c r="G236" s="25">
        <v>32</v>
      </c>
      <c r="H236" s="26">
        <f t="shared" si="3"/>
        <v>4.456824512534819E-2</v>
      </c>
      <c r="I236" s="23" t="s">
        <v>20</v>
      </c>
    </row>
    <row r="237" spans="1:9" x14ac:dyDescent="0.25">
      <c r="A237" s="23" t="s">
        <v>436</v>
      </c>
      <c r="B237" s="23" t="s">
        <v>170</v>
      </c>
      <c r="C237" s="24" t="s">
        <v>439</v>
      </c>
      <c r="D237" s="23" t="s">
        <v>15</v>
      </c>
      <c r="E237" s="25">
        <v>750</v>
      </c>
      <c r="F237" s="25">
        <v>718</v>
      </c>
      <c r="G237" s="25">
        <v>32</v>
      </c>
      <c r="H237" s="26">
        <f t="shared" si="3"/>
        <v>4.456824512534819E-2</v>
      </c>
      <c r="I237" s="23" t="s">
        <v>20</v>
      </c>
    </row>
    <row r="238" spans="1:9" x14ac:dyDescent="0.25">
      <c r="A238" s="23" t="s">
        <v>436</v>
      </c>
      <c r="B238" s="23" t="s">
        <v>170</v>
      </c>
      <c r="C238" s="24" t="s">
        <v>440</v>
      </c>
      <c r="D238" s="23" t="s">
        <v>15</v>
      </c>
      <c r="E238" s="25">
        <v>750</v>
      </c>
      <c r="F238" s="25">
        <v>718</v>
      </c>
      <c r="G238" s="25">
        <v>32</v>
      </c>
      <c r="H238" s="26">
        <f t="shared" si="3"/>
        <v>4.456824512534819E-2</v>
      </c>
      <c r="I238" s="23" t="s">
        <v>20</v>
      </c>
    </row>
    <row r="239" spans="1:9" x14ac:dyDescent="0.25">
      <c r="A239" s="23" t="s">
        <v>436</v>
      </c>
      <c r="B239" s="23" t="s">
        <v>170</v>
      </c>
      <c r="C239" s="24" t="s">
        <v>441</v>
      </c>
      <c r="D239" s="23" t="s">
        <v>15</v>
      </c>
      <c r="E239" s="25">
        <v>750</v>
      </c>
      <c r="F239" s="25">
        <v>718</v>
      </c>
      <c r="G239" s="25">
        <v>32</v>
      </c>
      <c r="H239" s="26">
        <f t="shared" si="3"/>
        <v>4.456824512534819E-2</v>
      </c>
      <c r="I239" s="23" t="s">
        <v>20</v>
      </c>
    </row>
    <row r="240" spans="1:9" x14ac:dyDescent="0.25">
      <c r="A240" s="23" t="s">
        <v>436</v>
      </c>
      <c r="B240" s="23" t="s">
        <v>170</v>
      </c>
      <c r="C240" s="24" t="s">
        <v>442</v>
      </c>
      <c r="D240" s="23" t="s">
        <v>15</v>
      </c>
      <c r="E240" s="25">
        <v>750</v>
      </c>
      <c r="F240" s="25">
        <v>718</v>
      </c>
      <c r="G240" s="25">
        <v>32</v>
      </c>
      <c r="H240" s="26">
        <f t="shared" si="3"/>
        <v>4.456824512534819E-2</v>
      </c>
      <c r="I240" s="23" t="s">
        <v>20</v>
      </c>
    </row>
    <row r="241" spans="1:9" x14ac:dyDescent="0.25">
      <c r="A241" s="23" t="s">
        <v>466</v>
      </c>
      <c r="B241" s="23" t="s">
        <v>55</v>
      </c>
      <c r="C241" s="24">
        <v>354666659216865</v>
      </c>
      <c r="D241" s="23" t="s">
        <v>15</v>
      </c>
      <c r="E241" s="25">
        <v>2740</v>
      </c>
      <c r="F241" s="25">
        <v>2692.5</v>
      </c>
      <c r="G241" s="25">
        <v>47.5</v>
      </c>
      <c r="H241" s="26">
        <f t="shared" si="3"/>
        <v>1.7641597028783658E-2</v>
      </c>
      <c r="I241" s="23" t="s">
        <v>20</v>
      </c>
    </row>
    <row r="242" spans="1:9" x14ac:dyDescent="0.25">
      <c r="A242" s="23" t="s">
        <v>466</v>
      </c>
      <c r="B242" s="23" t="s">
        <v>55</v>
      </c>
      <c r="C242" s="24">
        <v>354666659768618</v>
      </c>
      <c r="D242" s="23" t="s">
        <v>15</v>
      </c>
      <c r="E242" s="25">
        <v>2740</v>
      </c>
      <c r="F242" s="25">
        <v>2692.5</v>
      </c>
      <c r="G242" s="25">
        <v>47.5</v>
      </c>
      <c r="H242" s="26">
        <f t="shared" si="3"/>
        <v>1.7641597028783658E-2</v>
      </c>
      <c r="I242" s="23" t="s">
        <v>20</v>
      </c>
    </row>
    <row r="243" spans="1:9" x14ac:dyDescent="0.25">
      <c r="A243" s="23" t="s">
        <v>466</v>
      </c>
      <c r="B243" s="23" t="s">
        <v>55</v>
      </c>
      <c r="C243" s="24">
        <v>354666659937353</v>
      </c>
      <c r="D243" s="23" t="s">
        <v>15</v>
      </c>
      <c r="E243" s="25">
        <v>2740</v>
      </c>
      <c r="F243" s="25">
        <v>2692.5</v>
      </c>
      <c r="G243" s="25">
        <v>47.5</v>
      </c>
      <c r="H243" s="26">
        <f t="shared" si="3"/>
        <v>1.7641597028783658E-2</v>
      </c>
      <c r="I243" s="23" t="s">
        <v>20</v>
      </c>
    </row>
    <row r="244" spans="1:9" x14ac:dyDescent="0.25">
      <c r="A244" s="59" t="s">
        <v>466</v>
      </c>
      <c r="B244" s="59" t="s">
        <v>55</v>
      </c>
      <c r="C244" s="24">
        <v>355714605268900</v>
      </c>
      <c r="D244" s="59" t="s">
        <v>65</v>
      </c>
      <c r="E244" s="25">
        <v>2740</v>
      </c>
      <c r="F244" s="25">
        <v>2677.5</v>
      </c>
      <c r="G244" s="25">
        <v>62.5</v>
      </c>
      <c r="H244" s="26">
        <f t="shared" si="3"/>
        <v>2.3342670401493931E-2</v>
      </c>
      <c r="I244" s="59" t="s">
        <v>20</v>
      </c>
    </row>
    <row r="245" spans="1:9" x14ac:dyDescent="0.25">
      <c r="A245" s="23" t="s">
        <v>466</v>
      </c>
      <c r="B245" s="23" t="s">
        <v>55</v>
      </c>
      <c r="C245" s="24">
        <v>359371454638463</v>
      </c>
      <c r="D245" s="23" t="s">
        <v>15</v>
      </c>
      <c r="E245" s="25">
        <v>2740</v>
      </c>
      <c r="F245" s="25">
        <v>2692.5</v>
      </c>
      <c r="G245" s="25">
        <v>47.5</v>
      </c>
      <c r="H245" s="26">
        <f t="shared" si="3"/>
        <v>1.7641597028783658E-2</v>
      </c>
      <c r="I245" s="23" t="s">
        <v>20</v>
      </c>
    </row>
    <row r="246" spans="1:9" x14ac:dyDescent="0.25">
      <c r="A246" s="23" t="s">
        <v>473</v>
      </c>
      <c r="B246" s="23" t="s">
        <v>476</v>
      </c>
      <c r="C246" s="24">
        <v>358911634406827</v>
      </c>
      <c r="D246" s="23" t="s">
        <v>27</v>
      </c>
      <c r="E246" s="25">
        <v>1200</v>
      </c>
      <c r="F246" s="25">
        <v>1041.0999999999999</v>
      </c>
      <c r="G246" s="25">
        <v>158.9</v>
      </c>
      <c r="H246" s="26">
        <f t="shared" si="3"/>
        <v>0.15262702910383258</v>
      </c>
      <c r="I246" s="23" t="s">
        <v>20</v>
      </c>
    </row>
    <row r="247" spans="1:9" x14ac:dyDescent="0.25">
      <c r="A247" s="23" t="s">
        <v>473</v>
      </c>
      <c r="B247" s="23" t="s">
        <v>477</v>
      </c>
      <c r="C247" s="24" t="s">
        <v>478</v>
      </c>
      <c r="D247" s="23" t="s">
        <v>15</v>
      </c>
      <c r="E247" s="25">
        <v>1180</v>
      </c>
      <c r="F247" s="25">
        <v>1148.8</v>
      </c>
      <c r="G247" s="25">
        <v>31.2</v>
      </c>
      <c r="H247" s="26">
        <f t="shared" si="3"/>
        <v>2.7158774373259094E-2</v>
      </c>
      <c r="I247" s="23" t="s">
        <v>20</v>
      </c>
    </row>
    <row r="248" spans="1:9" x14ac:dyDescent="0.25">
      <c r="A248" s="23" t="s">
        <v>473</v>
      </c>
      <c r="B248" s="23" t="s">
        <v>477</v>
      </c>
      <c r="C248" s="24" t="s">
        <v>479</v>
      </c>
      <c r="D248" s="23" t="s">
        <v>15</v>
      </c>
      <c r="E248" s="25">
        <v>1180</v>
      </c>
      <c r="F248" s="25">
        <v>1148.8</v>
      </c>
      <c r="G248" s="25">
        <v>31.2</v>
      </c>
      <c r="H248" s="26">
        <f t="shared" si="3"/>
        <v>2.7158774373259094E-2</v>
      </c>
      <c r="I248" s="23" t="s">
        <v>20</v>
      </c>
    </row>
    <row r="249" spans="1:9" x14ac:dyDescent="0.25">
      <c r="A249" s="23" t="s">
        <v>473</v>
      </c>
      <c r="B249" s="23" t="s">
        <v>158</v>
      </c>
      <c r="C249" s="24">
        <v>350773436222036</v>
      </c>
      <c r="D249" s="23" t="s">
        <v>15</v>
      </c>
      <c r="E249" s="25">
        <v>2170</v>
      </c>
      <c r="F249" s="25">
        <v>2154</v>
      </c>
      <c r="G249" s="25">
        <v>16</v>
      </c>
      <c r="H249" s="26">
        <f t="shared" si="3"/>
        <v>7.4280408542246983E-3</v>
      </c>
      <c r="I249" s="23" t="s">
        <v>20</v>
      </c>
    </row>
    <row r="250" spans="1:9" x14ac:dyDescent="0.25">
      <c r="A250" s="23" t="s">
        <v>473</v>
      </c>
      <c r="B250" s="23" t="s">
        <v>158</v>
      </c>
      <c r="C250" s="24">
        <v>351614401317857</v>
      </c>
      <c r="D250" s="23" t="s">
        <v>26</v>
      </c>
      <c r="E250" s="25">
        <v>2170</v>
      </c>
      <c r="F250" s="25">
        <v>2154</v>
      </c>
      <c r="G250" s="25">
        <v>16</v>
      </c>
      <c r="H250" s="26">
        <f t="shared" si="3"/>
        <v>7.4280408542246983E-3</v>
      </c>
      <c r="I250" s="23" t="s">
        <v>20</v>
      </c>
    </row>
    <row r="251" spans="1:9" x14ac:dyDescent="0.25">
      <c r="A251" s="23" t="s">
        <v>473</v>
      </c>
      <c r="B251" s="23" t="s">
        <v>158</v>
      </c>
      <c r="C251" s="24">
        <v>353484621259737</v>
      </c>
      <c r="D251" s="23" t="s">
        <v>481</v>
      </c>
      <c r="E251" s="25">
        <v>2170</v>
      </c>
      <c r="F251" s="25">
        <v>2142</v>
      </c>
      <c r="G251" s="25">
        <v>28</v>
      </c>
      <c r="H251" s="26">
        <f t="shared" si="3"/>
        <v>1.3071895424836602E-2</v>
      </c>
      <c r="I251" s="23" t="s">
        <v>20</v>
      </c>
    </row>
    <row r="252" spans="1:9" x14ac:dyDescent="0.25">
      <c r="A252" s="23" t="s">
        <v>473</v>
      </c>
      <c r="B252" s="23" t="s">
        <v>158</v>
      </c>
      <c r="C252" s="24">
        <v>354423233904396</v>
      </c>
      <c r="D252" s="23" t="s">
        <v>482</v>
      </c>
      <c r="E252" s="25">
        <v>2170</v>
      </c>
      <c r="F252" s="25">
        <v>2142</v>
      </c>
      <c r="G252" s="25">
        <v>28</v>
      </c>
      <c r="H252" s="26">
        <f t="shared" si="3"/>
        <v>1.3071895424836602E-2</v>
      </c>
      <c r="I252" s="23" t="s">
        <v>20</v>
      </c>
    </row>
    <row r="253" spans="1:9" x14ac:dyDescent="0.25">
      <c r="A253" s="23" t="s">
        <v>473</v>
      </c>
      <c r="B253" s="23" t="s">
        <v>158</v>
      </c>
      <c r="C253" s="24">
        <v>355445525545842</v>
      </c>
      <c r="D253" s="23" t="s">
        <v>15</v>
      </c>
      <c r="E253" s="25">
        <v>2170</v>
      </c>
      <c r="F253" s="25">
        <v>2154</v>
      </c>
      <c r="G253" s="25">
        <v>16</v>
      </c>
      <c r="H253" s="26">
        <f t="shared" si="3"/>
        <v>7.4280408542246983E-3</v>
      </c>
      <c r="I253" s="23" t="s">
        <v>20</v>
      </c>
    </row>
    <row r="254" spans="1:9" x14ac:dyDescent="0.25">
      <c r="A254" s="59" t="s">
        <v>473</v>
      </c>
      <c r="B254" s="59" t="s">
        <v>158</v>
      </c>
      <c r="C254" s="24">
        <v>357100773012494</v>
      </c>
      <c r="D254" s="59" t="s">
        <v>483</v>
      </c>
      <c r="E254" s="25">
        <v>2170</v>
      </c>
      <c r="F254" s="25">
        <v>2142</v>
      </c>
      <c r="G254" s="25">
        <v>28</v>
      </c>
      <c r="H254" s="26">
        <f t="shared" si="3"/>
        <v>1.3071895424836602E-2</v>
      </c>
      <c r="I254" s="59" t="s">
        <v>20</v>
      </c>
    </row>
    <row r="255" spans="1:9" x14ac:dyDescent="0.25">
      <c r="A255" s="23" t="s">
        <v>473</v>
      </c>
      <c r="B255" s="23" t="s">
        <v>158</v>
      </c>
      <c r="C255" s="24">
        <v>358862983224131</v>
      </c>
      <c r="D255" s="23" t="s">
        <v>484</v>
      </c>
      <c r="E255" s="25">
        <v>2170</v>
      </c>
      <c r="F255" s="25">
        <v>2154</v>
      </c>
      <c r="G255" s="25">
        <v>16</v>
      </c>
      <c r="H255" s="26">
        <f t="shared" si="3"/>
        <v>7.4280408542246983E-3</v>
      </c>
      <c r="I255" s="23" t="s">
        <v>20</v>
      </c>
    </row>
    <row r="256" spans="1:9" x14ac:dyDescent="0.25">
      <c r="A256" s="23" t="s">
        <v>473</v>
      </c>
      <c r="B256" s="23" t="s">
        <v>158</v>
      </c>
      <c r="C256" s="24">
        <v>359906329765163</v>
      </c>
      <c r="D256" s="23" t="s">
        <v>15</v>
      </c>
      <c r="E256" s="25">
        <v>2170</v>
      </c>
      <c r="F256" s="25">
        <v>2154</v>
      </c>
      <c r="G256" s="25">
        <v>16</v>
      </c>
      <c r="H256" s="26">
        <f t="shared" si="3"/>
        <v>7.4280408542246983E-3</v>
      </c>
      <c r="I256" s="23" t="s">
        <v>20</v>
      </c>
    </row>
    <row r="257" spans="1:9" x14ac:dyDescent="0.25">
      <c r="A257" s="23" t="s">
        <v>473</v>
      </c>
      <c r="B257" s="23" t="s">
        <v>61</v>
      </c>
      <c r="C257" s="24">
        <v>353263421036721</v>
      </c>
      <c r="D257" s="23" t="s">
        <v>65</v>
      </c>
      <c r="E257" s="25">
        <v>4980</v>
      </c>
      <c r="F257" s="25">
        <v>4667</v>
      </c>
      <c r="G257" s="25">
        <v>313</v>
      </c>
      <c r="H257" s="26">
        <f t="shared" si="3"/>
        <v>6.7066638097278766E-2</v>
      </c>
      <c r="I257" s="23" t="s">
        <v>20</v>
      </c>
    </row>
    <row r="258" spans="1:9" x14ac:dyDescent="0.25">
      <c r="A258" s="23" t="s">
        <v>473</v>
      </c>
      <c r="B258" s="23" t="s">
        <v>61</v>
      </c>
      <c r="C258" s="24">
        <v>353837419687544</v>
      </c>
      <c r="D258" s="23" t="s">
        <v>65</v>
      </c>
      <c r="E258" s="25">
        <v>4980</v>
      </c>
      <c r="F258" s="25">
        <v>4738.8</v>
      </c>
      <c r="G258" s="25">
        <v>241.2</v>
      </c>
      <c r="H258" s="26">
        <f t="shared" ref="H258:H321" si="4">(E258-F258)/F258</f>
        <v>5.0898961762471474E-2</v>
      </c>
      <c r="I258" s="23" t="s">
        <v>20</v>
      </c>
    </row>
    <row r="259" spans="1:9" x14ac:dyDescent="0.25">
      <c r="A259" s="23" t="s">
        <v>733</v>
      </c>
      <c r="B259" s="23" t="s">
        <v>734</v>
      </c>
      <c r="C259" s="24">
        <v>351523426490179</v>
      </c>
      <c r="D259" s="23" t="s">
        <v>15</v>
      </c>
      <c r="E259" s="25">
        <v>3300</v>
      </c>
      <c r="F259" s="25">
        <v>3091.7</v>
      </c>
      <c r="G259" s="25">
        <v>208.3</v>
      </c>
      <c r="H259" s="26">
        <f t="shared" si="4"/>
        <v>6.7373936669146484E-2</v>
      </c>
      <c r="I259" s="23" t="s">
        <v>20</v>
      </c>
    </row>
    <row r="260" spans="1:9" x14ac:dyDescent="0.25">
      <c r="A260" s="23" t="s">
        <v>737</v>
      </c>
      <c r="B260" s="23" t="s">
        <v>64</v>
      </c>
      <c r="C260" s="24">
        <v>352001991657588</v>
      </c>
      <c r="D260" s="23" t="s">
        <v>65</v>
      </c>
      <c r="E260" s="25">
        <v>4100</v>
      </c>
      <c r="F260" s="25">
        <v>3776.9</v>
      </c>
      <c r="G260" s="25">
        <v>323.10000000000002</v>
      </c>
      <c r="H260" s="26">
        <f t="shared" si="4"/>
        <v>8.5546347533691627E-2</v>
      </c>
      <c r="I260" s="23" t="s">
        <v>20</v>
      </c>
    </row>
    <row r="261" spans="1:9" x14ac:dyDescent="0.25">
      <c r="A261" s="23" t="s">
        <v>737</v>
      </c>
      <c r="B261" s="23" t="s">
        <v>64</v>
      </c>
      <c r="C261" s="24">
        <v>352001991949498</v>
      </c>
      <c r="D261" s="23" t="s">
        <v>65</v>
      </c>
      <c r="E261" s="25">
        <v>4100</v>
      </c>
      <c r="F261" s="25">
        <v>3776.9</v>
      </c>
      <c r="G261" s="25">
        <v>323.10000000000002</v>
      </c>
      <c r="H261" s="26">
        <f t="shared" si="4"/>
        <v>8.5546347533691627E-2</v>
      </c>
      <c r="I261" s="23" t="s">
        <v>20</v>
      </c>
    </row>
    <row r="262" spans="1:9" x14ac:dyDescent="0.25">
      <c r="A262" s="23" t="s">
        <v>737</v>
      </c>
      <c r="B262" s="23" t="s">
        <v>64</v>
      </c>
      <c r="C262" s="24">
        <v>352001991998560</v>
      </c>
      <c r="D262" s="23" t="s">
        <v>65</v>
      </c>
      <c r="E262" s="25">
        <v>4100</v>
      </c>
      <c r="F262" s="25">
        <v>3776.9</v>
      </c>
      <c r="G262" s="25">
        <v>323.10000000000002</v>
      </c>
      <c r="H262" s="26">
        <f t="shared" si="4"/>
        <v>8.5546347533691627E-2</v>
      </c>
      <c r="I262" s="23" t="s">
        <v>20</v>
      </c>
    </row>
    <row r="263" spans="1:9" x14ac:dyDescent="0.25">
      <c r="A263" s="23" t="s">
        <v>737</v>
      </c>
      <c r="B263" s="23" t="s">
        <v>64</v>
      </c>
      <c r="C263" s="24">
        <v>352001992033599</v>
      </c>
      <c r="D263" s="23" t="s">
        <v>65</v>
      </c>
      <c r="E263" s="25">
        <v>4100</v>
      </c>
      <c r="F263" s="25">
        <v>3776.9</v>
      </c>
      <c r="G263" s="25">
        <v>323.10000000000002</v>
      </c>
      <c r="H263" s="26">
        <f t="shared" si="4"/>
        <v>8.5546347533691627E-2</v>
      </c>
      <c r="I263" s="23" t="s">
        <v>20</v>
      </c>
    </row>
    <row r="264" spans="1:9" x14ac:dyDescent="0.25">
      <c r="A264" s="23" t="s">
        <v>737</v>
      </c>
      <c r="B264" s="23" t="s">
        <v>64</v>
      </c>
      <c r="C264" s="24">
        <v>355079366633035</v>
      </c>
      <c r="D264" s="23" t="s">
        <v>65</v>
      </c>
      <c r="E264" s="25">
        <v>4100</v>
      </c>
      <c r="F264" s="25">
        <v>3848.5</v>
      </c>
      <c r="G264" s="25">
        <v>251.5</v>
      </c>
      <c r="H264" s="26">
        <f t="shared" si="4"/>
        <v>6.5350136416785762E-2</v>
      </c>
      <c r="I264" s="23" t="s">
        <v>20</v>
      </c>
    </row>
    <row r="265" spans="1:9" x14ac:dyDescent="0.25">
      <c r="A265" s="23" t="s">
        <v>737</v>
      </c>
      <c r="B265" s="23" t="s">
        <v>64</v>
      </c>
      <c r="C265" s="24">
        <v>355981555631979</v>
      </c>
      <c r="D265" s="23" t="s">
        <v>65</v>
      </c>
      <c r="E265" s="25">
        <v>4100</v>
      </c>
      <c r="F265" s="25">
        <v>3848.5</v>
      </c>
      <c r="G265" s="25">
        <v>251.5</v>
      </c>
      <c r="H265" s="26">
        <f t="shared" si="4"/>
        <v>6.5350136416785762E-2</v>
      </c>
      <c r="I265" s="23" t="s">
        <v>20</v>
      </c>
    </row>
    <row r="266" spans="1:9" x14ac:dyDescent="0.25">
      <c r="A266" s="23" t="s">
        <v>737</v>
      </c>
      <c r="B266" s="23" t="s">
        <v>64</v>
      </c>
      <c r="C266" s="24">
        <v>355981556309765</v>
      </c>
      <c r="D266" s="23" t="s">
        <v>65</v>
      </c>
      <c r="E266" s="25">
        <v>4100</v>
      </c>
      <c r="F266" s="25">
        <v>3848.5</v>
      </c>
      <c r="G266" s="25">
        <v>251.5</v>
      </c>
      <c r="H266" s="26">
        <f t="shared" si="4"/>
        <v>6.5350136416785762E-2</v>
      </c>
      <c r="I266" s="23" t="s">
        <v>20</v>
      </c>
    </row>
    <row r="267" spans="1:9" x14ac:dyDescent="0.25">
      <c r="A267" s="23" t="s">
        <v>737</v>
      </c>
      <c r="B267" s="23" t="s">
        <v>64</v>
      </c>
      <c r="C267" s="24">
        <v>356245416093897</v>
      </c>
      <c r="D267" s="23" t="s">
        <v>65</v>
      </c>
      <c r="E267" s="25">
        <v>4170</v>
      </c>
      <c r="F267" s="25">
        <v>3776.9</v>
      </c>
      <c r="G267" s="25">
        <v>393.1</v>
      </c>
      <c r="H267" s="26">
        <f t="shared" si="4"/>
        <v>0.10408006566231563</v>
      </c>
      <c r="I267" s="23" t="s">
        <v>20</v>
      </c>
    </row>
    <row r="268" spans="1:9" x14ac:dyDescent="0.25">
      <c r="A268" s="23" t="s">
        <v>737</v>
      </c>
      <c r="B268" s="23" t="s">
        <v>64</v>
      </c>
      <c r="C268" s="24">
        <v>357254476544624</v>
      </c>
      <c r="D268" s="23" t="s">
        <v>65</v>
      </c>
      <c r="E268" s="25">
        <v>4100</v>
      </c>
      <c r="F268" s="25">
        <v>3848.5</v>
      </c>
      <c r="G268" s="25">
        <v>251.5</v>
      </c>
      <c r="H268" s="26">
        <f t="shared" si="4"/>
        <v>6.5350136416785762E-2</v>
      </c>
      <c r="I268" s="23" t="s">
        <v>20</v>
      </c>
    </row>
    <row r="269" spans="1:9" x14ac:dyDescent="0.25">
      <c r="A269" s="23" t="s">
        <v>737</v>
      </c>
      <c r="B269" s="23" t="s">
        <v>64</v>
      </c>
      <c r="C269" s="24">
        <v>357254479143853</v>
      </c>
      <c r="D269" s="23" t="s">
        <v>65</v>
      </c>
      <c r="E269" s="25">
        <v>4170</v>
      </c>
      <c r="F269" s="25">
        <v>3776.9</v>
      </c>
      <c r="G269" s="25">
        <v>393.1</v>
      </c>
      <c r="H269" s="26">
        <f t="shared" si="4"/>
        <v>0.10408006566231563</v>
      </c>
      <c r="I269" s="23" t="s">
        <v>20</v>
      </c>
    </row>
    <row r="270" spans="1:9" x14ac:dyDescent="0.25">
      <c r="A270" s="23" t="s">
        <v>737</v>
      </c>
      <c r="B270" s="23" t="s">
        <v>64</v>
      </c>
      <c r="C270" s="24">
        <v>357254479235014</v>
      </c>
      <c r="D270" s="23" t="s">
        <v>65</v>
      </c>
      <c r="E270" s="25">
        <v>4170</v>
      </c>
      <c r="F270" s="25">
        <v>3776.9</v>
      </c>
      <c r="G270" s="25">
        <v>393.1</v>
      </c>
      <c r="H270" s="26">
        <f t="shared" si="4"/>
        <v>0.10408006566231563</v>
      </c>
      <c r="I270" s="23" t="s">
        <v>20</v>
      </c>
    </row>
    <row r="271" spans="1:9" x14ac:dyDescent="0.25">
      <c r="A271" s="23" t="s">
        <v>737</v>
      </c>
      <c r="B271" s="23" t="s">
        <v>64</v>
      </c>
      <c r="C271" s="24">
        <v>357254479645311</v>
      </c>
      <c r="D271" s="23" t="s">
        <v>65</v>
      </c>
      <c r="E271" s="25">
        <v>4170</v>
      </c>
      <c r="F271" s="25">
        <v>3776.9</v>
      </c>
      <c r="G271" s="25">
        <v>393.1</v>
      </c>
      <c r="H271" s="26">
        <f t="shared" si="4"/>
        <v>0.10408006566231563</v>
      </c>
      <c r="I271" s="23" t="s">
        <v>20</v>
      </c>
    </row>
    <row r="272" spans="1:9" x14ac:dyDescent="0.25">
      <c r="A272" s="23" t="s">
        <v>737</v>
      </c>
      <c r="B272" s="23" t="s">
        <v>64</v>
      </c>
      <c r="C272" s="24">
        <v>357254479782668</v>
      </c>
      <c r="D272" s="23" t="s">
        <v>65</v>
      </c>
      <c r="E272" s="25">
        <v>4170</v>
      </c>
      <c r="F272" s="25">
        <v>3776.9</v>
      </c>
      <c r="G272" s="25">
        <v>393.1</v>
      </c>
      <c r="H272" s="26">
        <f t="shared" si="4"/>
        <v>0.10408006566231563</v>
      </c>
      <c r="I272" s="23" t="s">
        <v>20</v>
      </c>
    </row>
    <row r="273" spans="1:9" x14ac:dyDescent="0.25">
      <c r="A273" s="23" t="s">
        <v>737</v>
      </c>
      <c r="B273" s="23" t="s">
        <v>64</v>
      </c>
      <c r="C273" s="24">
        <v>357254479829584</v>
      </c>
      <c r="D273" s="23" t="s">
        <v>65</v>
      </c>
      <c r="E273" s="25">
        <v>4170</v>
      </c>
      <c r="F273" s="25">
        <v>3776.9</v>
      </c>
      <c r="G273" s="25">
        <v>393.1</v>
      </c>
      <c r="H273" s="26">
        <f t="shared" si="4"/>
        <v>0.10408006566231563</v>
      </c>
      <c r="I273" s="23" t="s">
        <v>20</v>
      </c>
    </row>
    <row r="274" spans="1:9" x14ac:dyDescent="0.25">
      <c r="A274" s="23" t="s">
        <v>737</v>
      </c>
      <c r="B274" s="23" t="s">
        <v>64</v>
      </c>
      <c r="C274" s="24">
        <v>359477637539278</v>
      </c>
      <c r="D274" s="23" t="s">
        <v>65</v>
      </c>
      <c r="E274" s="25">
        <v>4100</v>
      </c>
      <c r="F274" s="25">
        <v>3776.9</v>
      </c>
      <c r="G274" s="25">
        <v>323.10000000000002</v>
      </c>
      <c r="H274" s="26">
        <f t="shared" si="4"/>
        <v>8.5546347533691627E-2</v>
      </c>
      <c r="I274" s="23" t="s">
        <v>20</v>
      </c>
    </row>
    <row r="275" spans="1:9" x14ac:dyDescent="0.25">
      <c r="A275" s="23" t="s">
        <v>737</v>
      </c>
      <c r="B275" s="23" t="s">
        <v>58</v>
      </c>
      <c r="C275" s="24">
        <v>350599861621222</v>
      </c>
      <c r="D275" s="23" t="s">
        <v>15</v>
      </c>
      <c r="E275" s="25">
        <v>3750</v>
      </c>
      <c r="F275" s="25">
        <v>3418.9</v>
      </c>
      <c r="G275" s="25">
        <v>331.1</v>
      </c>
      <c r="H275" s="26">
        <f t="shared" si="4"/>
        <v>9.6844014156600045E-2</v>
      </c>
      <c r="I275" s="23" t="s">
        <v>20</v>
      </c>
    </row>
    <row r="276" spans="1:9" x14ac:dyDescent="0.25">
      <c r="A276" s="23" t="s">
        <v>737</v>
      </c>
      <c r="B276" s="23" t="s">
        <v>58</v>
      </c>
      <c r="C276" s="24">
        <v>350599861712427</v>
      </c>
      <c r="D276" s="23" t="s">
        <v>15</v>
      </c>
      <c r="E276" s="25">
        <v>3750</v>
      </c>
      <c r="F276" s="25">
        <v>3418.9</v>
      </c>
      <c r="G276" s="25">
        <v>331.1</v>
      </c>
      <c r="H276" s="26">
        <f t="shared" si="4"/>
        <v>9.6844014156600045E-2</v>
      </c>
      <c r="I276" s="23" t="s">
        <v>20</v>
      </c>
    </row>
    <row r="277" spans="1:9" x14ac:dyDescent="0.25">
      <c r="A277" s="23" t="s">
        <v>737</v>
      </c>
      <c r="B277" s="23" t="s">
        <v>58</v>
      </c>
      <c r="C277" s="24">
        <v>350599868360865</v>
      </c>
      <c r="D277" s="23" t="s">
        <v>15</v>
      </c>
      <c r="E277" s="25">
        <v>3495</v>
      </c>
      <c r="F277" s="25">
        <v>3257.8</v>
      </c>
      <c r="G277" s="25">
        <v>237.2</v>
      </c>
      <c r="H277" s="26">
        <f t="shared" si="4"/>
        <v>7.2809871692553194E-2</v>
      </c>
      <c r="I277" s="23" t="s">
        <v>20</v>
      </c>
    </row>
    <row r="278" spans="1:9" x14ac:dyDescent="0.25">
      <c r="A278" s="23" t="s">
        <v>737</v>
      </c>
      <c r="B278" s="23" t="s">
        <v>58</v>
      </c>
      <c r="C278" s="24">
        <v>350599868697217</v>
      </c>
      <c r="D278" s="23" t="s">
        <v>15</v>
      </c>
      <c r="E278" s="25">
        <v>3440</v>
      </c>
      <c r="F278" s="25">
        <v>3329.4</v>
      </c>
      <c r="G278" s="25">
        <v>110.6</v>
      </c>
      <c r="H278" s="26">
        <f t="shared" si="4"/>
        <v>3.3219198654412176E-2</v>
      </c>
      <c r="I278" s="23" t="s">
        <v>20</v>
      </c>
    </row>
    <row r="279" spans="1:9" x14ac:dyDescent="0.25">
      <c r="A279" s="23" t="s">
        <v>737</v>
      </c>
      <c r="B279" s="23" t="s">
        <v>58</v>
      </c>
      <c r="C279" s="24">
        <v>350599869285392</v>
      </c>
      <c r="D279" s="23" t="s">
        <v>15</v>
      </c>
      <c r="E279" s="25">
        <v>3500</v>
      </c>
      <c r="F279" s="25">
        <v>3257.8</v>
      </c>
      <c r="G279" s="25">
        <v>242.2</v>
      </c>
      <c r="H279" s="26">
        <f t="shared" si="4"/>
        <v>7.4344649763644119E-2</v>
      </c>
      <c r="I279" s="23" t="s">
        <v>20</v>
      </c>
    </row>
    <row r="280" spans="1:9" x14ac:dyDescent="0.25">
      <c r="A280" s="23" t="s">
        <v>737</v>
      </c>
      <c r="B280" s="23" t="s">
        <v>58</v>
      </c>
      <c r="C280" s="24">
        <v>350889866655501</v>
      </c>
      <c r="D280" s="23" t="s">
        <v>65</v>
      </c>
      <c r="E280" s="25">
        <v>4450</v>
      </c>
      <c r="F280" s="25">
        <v>4260.2</v>
      </c>
      <c r="G280" s="25">
        <v>189.8</v>
      </c>
      <c r="H280" s="26">
        <f t="shared" si="4"/>
        <v>4.4551898971879299E-2</v>
      </c>
      <c r="I280" s="23" t="s">
        <v>20</v>
      </c>
    </row>
    <row r="281" spans="1:9" x14ac:dyDescent="0.25">
      <c r="A281" s="23" t="s">
        <v>737</v>
      </c>
      <c r="B281" s="23" t="s">
        <v>58</v>
      </c>
      <c r="C281" s="24">
        <v>352791390500633</v>
      </c>
      <c r="D281" s="23" t="s">
        <v>738</v>
      </c>
      <c r="E281" s="25">
        <v>3700</v>
      </c>
      <c r="F281" s="25">
        <v>3257.8</v>
      </c>
      <c r="G281" s="25">
        <v>442.2</v>
      </c>
      <c r="H281" s="26">
        <f t="shared" si="4"/>
        <v>0.13573577260728092</v>
      </c>
      <c r="I281" s="23" t="s">
        <v>20</v>
      </c>
    </row>
    <row r="282" spans="1:9" x14ac:dyDescent="0.25">
      <c r="A282" s="23" t="s">
        <v>737</v>
      </c>
      <c r="B282" s="23" t="s">
        <v>58</v>
      </c>
      <c r="C282" s="24">
        <v>352791390598538</v>
      </c>
      <c r="D282" s="23" t="s">
        <v>738</v>
      </c>
      <c r="E282" s="25">
        <v>3700</v>
      </c>
      <c r="F282" s="25">
        <v>3257.8</v>
      </c>
      <c r="G282" s="25">
        <v>442.2</v>
      </c>
      <c r="H282" s="26">
        <f t="shared" si="4"/>
        <v>0.13573577260728092</v>
      </c>
      <c r="I282" s="23" t="s">
        <v>20</v>
      </c>
    </row>
    <row r="283" spans="1:9" x14ac:dyDescent="0.25">
      <c r="A283" s="23" t="s">
        <v>737</v>
      </c>
      <c r="B283" s="23" t="s">
        <v>58</v>
      </c>
      <c r="C283" s="24">
        <v>352791398838225</v>
      </c>
      <c r="D283" s="23" t="s">
        <v>65</v>
      </c>
      <c r="E283" s="25">
        <v>4450</v>
      </c>
      <c r="F283" s="25">
        <v>4260.2</v>
      </c>
      <c r="G283" s="25">
        <v>189.8</v>
      </c>
      <c r="H283" s="26">
        <f t="shared" si="4"/>
        <v>4.4551898971879299E-2</v>
      </c>
      <c r="I283" s="23" t="s">
        <v>20</v>
      </c>
    </row>
    <row r="284" spans="1:9" x14ac:dyDescent="0.25">
      <c r="A284" s="23" t="s">
        <v>737</v>
      </c>
      <c r="B284" s="23" t="s">
        <v>58</v>
      </c>
      <c r="C284" s="24">
        <v>353263424328430</v>
      </c>
      <c r="D284" s="23" t="s">
        <v>15</v>
      </c>
      <c r="E284" s="25">
        <v>3495</v>
      </c>
      <c r="F284" s="25">
        <v>3329.4</v>
      </c>
      <c r="G284" s="25">
        <v>165.6</v>
      </c>
      <c r="H284" s="26">
        <f t="shared" si="4"/>
        <v>4.9738691656154237E-2</v>
      </c>
      <c r="I284" s="23" t="s">
        <v>20</v>
      </c>
    </row>
    <row r="285" spans="1:9" x14ac:dyDescent="0.25">
      <c r="A285" s="23" t="s">
        <v>737</v>
      </c>
      <c r="B285" s="23" t="s">
        <v>58</v>
      </c>
      <c r="C285" s="24">
        <v>353263425312722</v>
      </c>
      <c r="D285" s="23" t="s">
        <v>15</v>
      </c>
      <c r="E285" s="25">
        <v>3500</v>
      </c>
      <c r="F285" s="25">
        <v>3257.8</v>
      </c>
      <c r="G285" s="25">
        <v>242.2</v>
      </c>
      <c r="H285" s="26">
        <f t="shared" si="4"/>
        <v>7.4344649763644119E-2</v>
      </c>
      <c r="I285" s="23" t="s">
        <v>20</v>
      </c>
    </row>
    <row r="286" spans="1:9" x14ac:dyDescent="0.25">
      <c r="A286" s="23" t="s">
        <v>737</v>
      </c>
      <c r="B286" s="23" t="s">
        <v>58</v>
      </c>
      <c r="C286" s="24">
        <v>353263427785008</v>
      </c>
      <c r="D286" s="23" t="s">
        <v>65</v>
      </c>
      <c r="E286" s="25">
        <v>4420</v>
      </c>
      <c r="F286" s="25">
        <v>4009.6</v>
      </c>
      <c r="G286" s="25">
        <v>410.4</v>
      </c>
      <c r="H286" s="26">
        <f t="shared" si="4"/>
        <v>0.10235434956105349</v>
      </c>
      <c r="I286" s="23" t="s">
        <v>20</v>
      </c>
    </row>
    <row r="287" spans="1:9" x14ac:dyDescent="0.25">
      <c r="A287" s="23" t="s">
        <v>737</v>
      </c>
      <c r="B287" s="23" t="s">
        <v>58</v>
      </c>
      <c r="C287" s="24">
        <v>353263427788085</v>
      </c>
      <c r="D287" s="23" t="s">
        <v>65</v>
      </c>
      <c r="E287" s="25">
        <v>4450</v>
      </c>
      <c r="F287" s="25">
        <v>4260.2</v>
      </c>
      <c r="G287" s="25">
        <v>189.8</v>
      </c>
      <c r="H287" s="26">
        <f t="shared" si="4"/>
        <v>4.4551898971879299E-2</v>
      </c>
      <c r="I287" s="23" t="s">
        <v>20</v>
      </c>
    </row>
    <row r="288" spans="1:9" x14ac:dyDescent="0.25">
      <c r="A288" s="23" t="s">
        <v>737</v>
      </c>
      <c r="B288" s="23" t="s">
        <v>58</v>
      </c>
      <c r="C288" s="24">
        <v>353263427796328</v>
      </c>
      <c r="D288" s="23" t="s">
        <v>15</v>
      </c>
      <c r="E288" s="25">
        <v>3500</v>
      </c>
      <c r="F288" s="25">
        <v>3329.4</v>
      </c>
      <c r="G288" s="25">
        <v>170.6</v>
      </c>
      <c r="H288" s="26">
        <f t="shared" si="4"/>
        <v>5.1240463747221694E-2</v>
      </c>
      <c r="I288" s="23" t="s">
        <v>20</v>
      </c>
    </row>
    <row r="289" spans="1:9" x14ac:dyDescent="0.25">
      <c r="A289" s="23" t="s">
        <v>737</v>
      </c>
      <c r="B289" s="23" t="s">
        <v>58</v>
      </c>
      <c r="C289" s="24">
        <v>353263428837816</v>
      </c>
      <c r="D289" s="23" t="s">
        <v>65</v>
      </c>
      <c r="E289" s="25">
        <v>4450</v>
      </c>
      <c r="F289" s="25">
        <v>4260.2</v>
      </c>
      <c r="G289" s="25">
        <v>189.8</v>
      </c>
      <c r="H289" s="26">
        <f t="shared" si="4"/>
        <v>4.4551898971879299E-2</v>
      </c>
      <c r="I289" s="23" t="s">
        <v>20</v>
      </c>
    </row>
    <row r="290" spans="1:9" x14ac:dyDescent="0.25">
      <c r="A290" s="23" t="s">
        <v>737</v>
      </c>
      <c r="B290" s="23" t="s">
        <v>58</v>
      </c>
      <c r="C290" s="24">
        <v>353497859918261</v>
      </c>
      <c r="D290" s="23" t="s">
        <v>15</v>
      </c>
      <c r="E290" s="25">
        <v>3495</v>
      </c>
      <c r="F290" s="25">
        <v>3257.8</v>
      </c>
      <c r="G290" s="25">
        <v>237.2</v>
      </c>
      <c r="H290" s="26">
        <f t="shared" si="4"/>
        <v>7.2809871692553194E-2</v>
      </c>
      <c r="I290" s="23" t="s">
        <v>20</v>
      </c>
    </row>
    <row r="291" spans="1:9" x14ac:dyDescent="0.25">
      <c r="A291" s="23" t="s">
        <v>737</v>
      </c>
      <c r="B291" s="23" t="s">
        <v>58</v>
      </c>
      <c r="C291" s="24">
        <v>355224254800300</v>
      </c>
      <c r="D291" s="23" t="s">
        <v>15</v>
      </c>
      <c r="E291" s="25">
        <v>3440</v>
      </c>
      <c r="F291" s="25">
        <v>3329.4</v>
      </c>
      <c r="G291" s="25">
        <v>110.6</v>
      </c>
      <c r="H291" s="26">
        <f t="shared" si="4"/>
        <v>3.3219198654412176E-2</v>
      </c>
      <c r="I291" s="23" t="s">
        <v>20</v>
      </c>
    </row>
    <row r="292" spans="1:9" x14ac:dyDescent="0.25">
      <c r="A292" s="23" t="s">
        <v>737</v>
      </c>
      <c r="B292" s="23" t="s">
        <v>58</v>
      </c>
      <c r="C292" s="24">
        <v>355224254940502</v>
      </c>
      <c r="D292" s="23" t="s">
        <v>15</v>
      </c>
      <c r="E292" s="25">
        <v>3440</v>
      </c>
      <c r="F292" s="25">
        <v>3329.4</v>
      </c>
      <c r="G292" s="25">
        <v>110.6</v>
      </c>
      <c r="H292" s="26">
        <f t="shared" si="4"/>
        <v>3.3219198654412176E-2</v>
      </c>
      <c r="I292" s="23" t="s">
        <v>20</v>
      </c>
    </row>
    <row r="293" spans="1:9" x14ac:dyDescent="0.25">
      <c r="A293" s="23" t="s">
        <v>737</v>
      </c>
      <c r="B293" s="23" t="s">
        <v>58</v>
      </c>
      <c r="C293" s="24">
        <v>355224254961490</v>
      </c>
      <c r="D293" s="23" t="s">
        <v>15</v>
      </c>
      <c r="E293" s="25">
        <v>3440</v>
      </c>
      <c r="F293" s="25">
        <v>3329.4</v>
      </c>
      <c r="G293" s="25">
        <v>110.6</v>
      </c>
      <c r="H293" s="26">
        <f t="shared" si="4"/>
        <v>3.3219198654412176E-2</v>
      </c>
      <c r="I293" s="23" t="s">
        <v>20</v>
      </c>
    </row>
    <row r="294" spans="1:9" x14ac:dyDescent="0.25">
      <c r="A294" s="23" t="s">
        <v>737</v>
      </c>
      <c r="B294" s="23" t="s">
        <v>58</v>
      </c>
      <c r="C294" s="24">
        <v>355224259876222</v>
      </c>
      <c r="D294" s="23" t="s">
        <v>15</v>
      </c>
      <c r="E294" s="25">
        <v>3495</v>
      </c>
      <c r="F294" s="25">
        <v>3257.8</v>
      </c>
      <c r="G294" s="25">
        <v>237.2</v>
      </c>
      <c r="H294" s="26">
        <f t="shared" si="4"/>
        <v>7.2809871692553194E-2</v>
      </c>
      <c r="I294" s="23" t="s">
        <v>20</v>
      </c>
    </row>
    <row r="295" spans="1:9" x14ac:dyDescent="0.25">
      <c r="A295" s="23" t="s">
        <v>737</v>
      </c>
      <c r="B295" s="23" t="s">
        <v>58</v>
      </c>
      <c r="C295" s="24">
        <v>355246650094030</v>
      </c>
      <c r="D295" s="23" t="s">
        <v>15</v>
      </c>
      <c r="E295" s="25">
        <v>3440</v>
      </c>
      <c r="F295" s="25">
        <v>3329.4</v>
      </c>
      <c r="G295" s="25">
        <v>110.6</v>
      </c>
      <c r="H295" s="26">
        <f t="shared" si="4"/>
        <v>3.3219198654412176E-2</v>
      </c>
      <c r="I295" s="23" t="s">
        <v>20</v>
      </c>
    </row>
    <row r="296" spans="1:9" x14ac:dyDescent="0.25">
      <c r="A296" s="23" t="s">
        <v>737</v>
      </c>
      <c r="B296" s="23" t="s">
        <v>58</v>
      </c>
      <c r="C296" s="24">
        <v>355246652795725</v>
      </c>
      <c r="D296" s="23" t="s">
        <v>15</v>
      </c>
      <c r="E296" s="25">
        <v>3440</v>
      </c>
      <c r="F296" s="25">
        <v>3329.4</v>
      </c>
      <c r="G296" s="25">
        <v>110.6</v>
      </c>
      <c r="H296" s="26">
        <f t="shared" si="4"/>
        <v>3.3219198654412176E-2</v>
      </c>
      <c r="I296" s="23" t="s">
        <v>20</v>
      </c>
    </row>
    <row r="297" spans="1:9" x14ac:dyDescent="0.25">
      <c r="A297" s="23" t="s">
        <v>737</v>
      </c>
      <c r="B297" s="23" t="s">
        <v>58</v>
      </c>
      <c r="C297" s="24">
        <v>355246653154211</v>
      </c>
      <c r="D297" s="23" t="s">
        <v>15</v>
      </c>
      <c r="E297" s="25">
        <v>3750</v>
      </c>
      <c r="F297" s="25">
        <v>3418.9</v>
      </c>
      <c r="G297" s="25">
        <v>331.1</v>
      </c>
      <c r="H297" s="26">
        <f t="shared" si="4"/>
        <v>9.6844014156600045E-2</v>
      </c>
      <c r="I297" s="23" t="s">
        <v>20</v>
      </c>
    </row>
    <row r="298" spans="1:9" x14ac:dyDescent="0.25">
      <c r="A298" s="23" t="s">
        <v>737</v>
      </c>
      <c r="B298" s="23" t="s">
        <v>58</v>
      </c>
      <c r="C298" s="24">
        <v>355246653172064</v>
      </c>
      <c r="D298" s="23" t="s">
        <v>15</v>
      </c>
      <c r="E298" s="25">
        <v>3750</v>
      </c>
      <c r="F298" s="25">
        <v>3418.9</v>
      </c>
      <c r="G298" s="25">
        <v>331.1</v>
      </c>
      <c r="H298" s="26">
        <f t="shared" si="4"/>
        <v>9.6844014156600045E-2</v>
      </c>
      <c r="I298" s="23" t="s">
        <v>20</v>
      </c>
    </row>
    <row r="299" spans="1:9" x14ac:dyDescent="0.25">
      <c r="A299" s="23" t="s">
        <v>737</v>
      </c>
      <c r="B299" s="23" t="s">
        <v>58</v>
      </c>
      <c r="C299" s="24">
        <v>355246654057488</v>
      </c>
      <c r="D299" s="23" t="s">
        <v>15</v>
      </c>
      <c r="E299" s="25">
        <v>3750</v>
      </c>
      <c r="F299" s="25">
        <v>3418.9</v>
      </c>
      <c r="G299" s="25">
        <v>331.1</v>
      </c>
      <c r="H299" s="26">
        <f t="shared" si="4"/>
        <v>9.6844014156600045E-2</v>
      </c>
      <c r="I299" s="23" t="s">
        <v>20</v>
      </c>
    </row>
    <row r="300" spans="1:9" x14ac:dyDescent="0.25">
      <c r="A300" s="23" t="s">
        <v>737</v>
      </c>
      <c r="B300" s="23" t="s">
        <v>58</v>
      </c>
      <c r="C300" s="24">
        <v>355246657172003</v>
      </c>
      <c r="D300" s="23" t="s">
        <v>15</v>
      </c>
      <c r="E300" s="25">
        <v>3440</v>
      </c>
      <c r="F300" s="25">
        <v>3329.4</v>
      </c>
      <c r="G300" s="25">
        <v>110.6</v>
      </c>
      <c r="H300" s="26">
        <f t="shared" si="4"/>
        <v>3.3219198654412176E-2</v>
      </c>
      <c r="I300" s="23" t="s">
        <v>20</v>
      </c>
    </row>
    <row r="301" spans="1:9" x14ac:dyDescent="0.25">
      <c r="A301" s="23" t="s">
        <v>737</v>
      </c>
      <c r="B301" s="23" t="s">
        <v>58</v>
      </c>
      <c r="C301" s="24">
        <v>355246657888731</v>
      </c>
      <c r="D301" s="23" t="s">
        <v>15</v>
      </c>
      <c r="E301" s="25">
        <v>3495</v>
      </c>
      <c r="F301" s="25">
        <v>3329.4</v>
      </c>
      <c r="G301" s="25">
        <v>165.6</v>
      </c>
      <c r="H301" s="26">
        <f t="shared" si="4"/>
        <v>4.9738691656154237E-2</v>
      </c>
      <c r="I301" s="23" t="s">
        <v>20</v>
      </c>
    </row>
    <row r="302" spans="1:9" x14ac:dyDescent="0.25">
      <c r="A302" s="23" t="s">
        <v>737</v>
      </c>
      <c r="B302" s="23" t="s">
        <v>58</v>
      </c>
      <c r="C302" s="24">
        <v>355450219934542</v>
      </c>
      <c r="D302" s="23" t="s">
        <v>15</v>
      </c>
      <c r="E302" s="25">
        <v>3495</v>
      </c>
      <c r="F302" s="25">
        <v>3257.8</v>
      </c>
      <c r="G302" s="25">
        <v>237.2</v>
      </c>
      <c r="H302" s="26">
        <f t="shared" si="4"/>
        <v>7.2809871692553194E-2</v>
      </c>
      <c r="I302" s="23" t="s">
        <v>20</v>
      </c>
    </row>
    <row r="303" spans="1:9" x14ac:dyDescent="0.25">
      <c r="A303" s="23" t="s">
        <v>737</v>
      </c>
      <c r="B303" s="23" t="s">
        <v>58</v>
      </c>
      <c r="C303" s="24">
        <v>356392240521485</v>
      </c>
      <c r="D303" s="23" t="s">
        <v>15</v>
      </c>
      <c r="E303" s="25">
        <v>3440</v>
      </c>
      <c r="F303" s="25">
        <v>3329.4</v>
      </c>
      <c r="G303" s="25">
        <v>110.6</v>
      </c>
      <c r="H303" s="26">
        <f t="shared" si="4"/>
        <v>3.3219198654412176E-2</v>
      </c>
      <c r="I303" s="23" t="s">
        <v>20</v>
      </c>
    </row>
    <row r="304" spans="1:9" x14ac:dyDescent="0.25">
      <c r="A304" s="23" t="s">
        <v>737</v>
      </c>
      <c r="B304" s="23" t="s">
        <v>58</v>
      </c>
      <c r="C304" s="24">
        <v>356392241826214</v>
      </c>
      <c r="D304" s="23" t="s">
        <v>15</v>
      </c>
      <c r="E304" s="25">
        <v>3495</v>
      </c>
      <c r="F304" s="25">
        <v>3329.4</v>
      </c>
      <c r="G304" s="25">
        <v>165.6</v>
      </c>
      <c r="H304" s="26">
        <f t="shared" si="4"/>
        <v>4.9738691656154237E-2</v>
      </c>
      <c r="I304" s="23" t="s">
        <v>20</v>
      </c>
    </row>
    <row r="305" spans="1:9" x14ac:dyDescent="0.25">
      <c r="A305" s="23" t="s">
        <v>737</v>
      </c>
      <c r="B305" s="23" t="s">
        <v>58</v>
      </c>
      <c r="C305" s="24">
        <v>356392243055499</v>
      </c>
      <c r="D305" s="23" t="s">
        <v>15</v>
      </c>
      <c r="E305" s="25">
        <v>3440</v>
      </c>
      <c r="F305" s="25">
        <v>3257.8</v>
      </c>
      <c r="G305" s="25">
        <v>182.2</v>
      </c>
      <c r="H305" s="26">
        <f t="shared" si="4"/>
        <v>5.5927312910553077E-2</v>
      </c>
      <c r="I305" s="23" t="s">
        <v>20</v>
      </c>
    </row>
    <row r="306" spans="1:9" x14ac:dyDescent="0.25">
      <c r="A306" s="23" t="s">
        <v>737</v>
      </c>
      <c r="B306" s="23" t="s">
        <v>58</v>
      </c>
      <c r="C306" s="24">
        <v>356392243184323</v>
      </c>
      <c r="D306" s="23" t="s">
        <v>15</v>
      </c>
      <c r="E306" s="25">
        <v>3500</v>
      </c>
      <c r="F306" s="25">
        <v>3329.4</v>
      </c>
      <c r="G306" s="25">
        <v>170.6</v>
      </c>
      <c r="H306" s="26">
        <f t="shared" si="4"/>
        <v>5.1240463747221694E-2</v>
      </c>
      <c r="I306" s="23" t="s">
        <v>20</v>
      </c>
    </row>
    <row r="307" spans="1:9" x14ac:dyDescent="0.25">
      <c r="A307" s="23" t="s">
        <v>737</v>
      </c>
      <c r="B307" s="23" t="s">
        <v>58</v>
      </c>
      <c r="C307" s="24">
        <v>356392244615788</v>
      </c>
      <c r="D307" s="23" t="s">
        <v>65</v>
      </c>
      <c r="E307" s="25">
        <v>4450</v>
      </c>
      <c r="F307" s="25">
        <v>4260.2</v>
      </c>
      <c r="G307" s="25">
        <v>189.8</v>
      </c>
      <c r="H307" s="26">
        <f t="shared" si="4"/>
        <v>4.4551898971879299E-2</v>
      </c>
      <c r="I307" s="23" t="s">
        <v>20</v>
      </c>
    </row>
    <row r="308" spans="1:9" x14ac:dyDescent="0.25">
      <c r="A308" s="23" t="s">
        <v>737</v>
      </c>
      <c r="B308" s="23" t="s">
        <v>58</v>
      </c>
      <c r="C308" s="24">
        <v>356392245134060</v>
      </c>
      <c r="D308" s="23" t="s">
        <v>65</v>
      </c>
      <c r="E308" s="25">
        <v>4450</v>
      </c>
      <c r="F308" s="25">
        <v>4260.2</v>
      </c>
      <c r="G308" s="25">
        <v>189.8</v>
      </c>
      <c r="H308" s="26">
        <f t="shared" si="4"/>
        <v>4.4551898971879299E-2</v>
      </c>
      <c r="I308" s="23" t="s">
        <v>20</v>
      </c>
    </row>
    <row r="309" spans="1:9" x14ac:dyDescent="0.25">
      <c r="A309" s="23" t="s">
        <v>737</v>
      </c>
      <c r="B309" s="23" t="s">
        <v>58</v>
      </c>
      <c r="C309" s="24">
        <v>356392245206678</v>
      </c>
      <c r="D309" s="23" t="s">
        <v>15</v>
      </c>
      <c r="E309" s="25">
        <v>3495</v>
      </c>
      <c r="F309" s="25">
        <v>3329.4</v>
      </c>
      <c r="G309" s="25">
        <v>165.6</v>
      </c>
      <c r="H309" s="26">
        <f t="shared" si="4"/>
        <v>4.9738691656154237E-2</v>
      </c>
      <c r="I309" s="23" t="s">
        <v>20</v>
      </c>
    </row>
    <row r="310" spans="1:9" x14ac:dyDescent="0.25">
      <c r="A310" s="23" t="s">
        <v>737</v>
      </c>
      <c r="B310" s="23" t="s">
        <v>58</v>
      </c>
      <c r="C310" s="24">
        <v>356392245441655</v>
      </c>
      <c r="D310" s="23" t="s">
        <v>15</v>
      </c>
      <c r="E310" s="25">
        <v>3495</v>
      </c>
      <c r="F310" s="25">
        <v>3329.4</v>
      </c>
      <c r="G310" s="25">
        <v>165.6</v>
      </c>
      <c r="H310" s="26">
        <f t="shared" si="4"/>
        <v>4.9738691656154237E-2</v>
      </c>
      <c r="I310" s="23" t="s">
        <v>20</v>
      </c>
    </row>
    <row r="311" spans="1:9" x14ac:dyDescent="0.25">
      <c r="A311" s="23" t="s">
        <v>737</v>
      </c>
      <c r="B311" s="23" t="s">
        <v>58</v>
      </c>
      <c r="C311" s="24">
        <v>356392246679634</v>
      </c>
      <c r="D311" s="23" t="s">
        <v>65</v>
      </c>
      <c r="E311" s="25">
        <v>4450</v>
      </c>
      <c r="F311" s="25">
        <v>4260.2</v>
      </c>
      <c r="G311" s="25">
        <v>189.8</v>
      </c>
      <c r="H311" s="26">
        <f t="shared" si="4"/>
        <v>4.4551898971879299E-2</v>
      </c>
      <c r="I311" s="23" t="s">
        <v>20</v>
      </c>
    </row>
    <row r="312" spans="1:9" x14ac:dyDescent="0.25">
      <c r="A312" s="23" t="s">
        <v>737</v>
      </c>
      <c r="B312" s="23" t="s">
        <v>58</v>
      </c>
      <c r="C312" s="24">
        <v>356392246918693</v>
      </c>
      <c r="D312" s="23" t="s">
        <v>15</v>
      </c>
      <c r="E312" s="25">
        <v>3500</v>
      </c>
      <c r="F312" s="25">
        <v>3257.8</v>
      </c>
      <c r="G312" s="25">
        <v>242.2</v>
      </c>
      <c r="H312" s="26">
        <f t="shared" si="4"/>
        <v>7.4344649763644119E-2</v>
      </c>
      <c r="I312" s="23" t="s">
        <v>20</v>
      </c>
    </row>
    <row r="313" spans="1:9" x14ac:dyDescent="0.25">
      <c r="A313" s="23" t="s">
        <v>737</v>
      </c>
      <c r="B313" s="23" t="s">
        <v>58</v>
      </c>
      <c r="C313" s="24">
        <v>356392247197248</v>
      </c>
      <c r="D313" s="23" t="s">
        <v>15</v>
      </c>
      <c r="E313" s="25">
        <v>3495</v>
      </c>
      <c r="F313" s="25">
        <v>3329.4</v>
      </c>
      <c r="G313" s="25">
        <v>165.6</v>
      </c>
      <c r="H313" s="26">
        <f t="shared" si="4"/>
        <v>4.9738691656154237E-2</v>
      </c>
      <c r="I313" s="23" t="s">
        <v>20</v>
      </c>
    </row>
    <row r="314" spans="1:9" x14ac:dyDescent="0.25">
      <c r="A314" s="23" t="s">
        <v>737</v>
      </c>
      <c r="B314" s="23" t="s">
        <v>58</v>
      </c>
      <c r="C314" s="24">
        <v>356392249980104</v>
      </c>
      <c r="D314" s="23" t="s">
        <v>15</v>
      </c>
      <c r="E314" s="25">
        <v>3440</v>
      </c>
      <c r="F314" s="25">
        <v>3257.8</v>
      </c>
      <c r="G314" s="25">
        <v>182.2</v>
      </c>
      <c r="H314" s="26">
        <f t="shared" si="4"/>
        <v>5.5927312910553077E-2</v>
      </c>
      <c r="I314" s="23" t="s">
        <v>20</v>
      </c>
    </row>
    <row r="315" spans="1:9" x14ac:dyDescent="0.25">
      <c r="A315" s="23" t="s">
        <v>737</v>
      </c>
      <c r="B315" s="23" t="s">
        <v>58</v>
      </c>
      <c r="C315" s="24">
        <v>357329442919850</v>
      </c>
      <c r="D315" s="23" t="s">
        <v>65</v>
      </c>
      <c r="E315" s="25">
        <v>4450</v>
      </c>
      <c r="F315" s="25">
        <v>4260.2</v>
      </c>
      <c r="G315" s="25">
        <v>189.8</v>
      </c>
      <c r="H315" s="26">
        <f t="shared" si="4"/>
        <v>4.4551898971879299E-2</v>
      </c>
      <c r="I315" s="23" t="s">
        <v>20</v>
      </c>
    </row>
    <row r="316" spans="1:9" x14ac:dyDescent="0.25">
      <c r="A316" s="23" t="s">
        <v>737</v>
      </c>
      <c r="B316" s="23" t="s">
        <v>58</v>
      </c>
      <c r="C316" s="24">
        <v>357329444250981</v>
      </c>
      <c r="D316" s="23" t="s">
        <v>15</v>
      </c>
      <c r="E316" s="25">
        <v>3495</v>
      </c>
      <c r="F316" s="25">
        <v>3257.8</v>
      </c>
      <c r="G316" s="25">
        <v>237.2</v>
      </c>
      <c r="H316" s="26">
        <f t="shared" si="4"/>
        <v>7.2809871692553194E-2</v>
      </c>
      <c r="I316" s="23" t="s">
        <v>20</v>
      </c>
    </row>
    <row r="317" spans="1:9" x14ac:dyDescent="0.25">
      <c r="A317" s="23" t="s">
        <v>737</v>
      </c>
      <c r="B317" s="23" t="s">
        <v>58</v>
      </c>
      <c r="C317" s="24">
        <v>357431267875470</v>
      </c>
      <c r="D317" s="23" t="s">
        <v>15</v>
      </c>
      <c r="E317" s="25">
        <v>3440</v>
      </c>
      <c r="F317" s="25">
        <v>3329.4</v>
      </c>
      <c r="G317" s="25">
        <v>110.6</v>
      </c>
      <c r="H317" s="26">
        <f t="shared" si="4"/>
        <v>3.3219198654412176E-2</v>
      </c>
      <c r="I317" s="23" t="s">
        <v>20</v>
      </c>
    </row>
    <row r="318" spans="1:9" x14ac:dyDescent="0.25">
      <c r="A318" s="23" t="s">
        <v>737</v>
      </c>
      <c r="B318" s="23" t="s">
        <v>58</v>
      </c>
      <c r="C318" s="24">
        <v>357586349525474</v>
      </c>
      <c r="D318" s="23" t="s">
        <v>15</v>
      </c>
      <c r="E318" s="25">
        <v>3495</v>
      </c>
      <c r="F318" s="25">
        <v>3257.8</v>
      </c>
      <c r="G318" s="25">
        <v>237.2</v>
      </c>
      <c r="H318" s="26">
        <f t="shared" si="4"/>
        <v>7.2809871692553194E-2</v>
      </c>
      <c r="I318" s="23" t="s">
        <v>20</v>
      </c>
    </row>
    <row r="319" spans="1:9" x14ac:dyDescent="0.25">
      <c r="A319" s="23" t="s">
        <v>737</v>
      </c>
      <c r="B319" s="23" t="s">
        <v>58</v>
      </c>
      <c r="C319" s="24">
        <v>358051328209029</v>
      </c>
      <c r="D319" s="23" t="s">
        <v>15</v>
      </c>
      <c r="E319" s="25">
        <v>3440</v>
      </c>
      <c r="F319" s="25">
        <v>3329.4</v>
      </c>
      <c r="G319" s="25">
        <v>110.6</v>
      </c>
      <c r="H319" s="26">
        <f t="shared" si="4"/>
        <v>3.3219198654412176E-2</v>
      </c>
      <c r="I319" s="23" t="s">
        <v>20</v>
      </c>
    </row>
    <row r="320" spans="1:9" x14ac:dyDescent="0.25">
      <c r="A320" s="23" t="s">
        <v>737</v>
      </c>
      <c r="B320" s="23" t="s">
        <v>58</v>
      </c>
      <c r="C320" s="24">
        <v>358434702497701</v>
      </c>
      <c r="D320" s="23" t="s">
        <v>15</v>
      </c>
      <c r="E320" s="25">
        <v>3750</v>
      </c>
      <c r="F320" s="25">
        <v>3418.9</v>
      </c>
      <c r="G320" s="25">
        <v>331.1</v>
      </c>
      <c r="H320" s="26">
        <f t="shared" si="4"/>
        <v>9.6844014156600045E-2</v>
      </c>
      <c r="I320" s="23" t="s">
        <v>20</v>
      </c>
    </row>
    <row r="321" spans="1:9" x14ac:dyDescent="0.25">
      <c r="A321" s="23" t="s">
        <v>737</v>
      </c>
      <c r="B321" s="23" t="s">
        <v>58</v>
      </c>
      <c r="C321" s="24">
        <v>358434704616415</v>
      </c>
      <c r="D321" s="23" t="s">
        <v>15</v>
      </c>
      <c r="E321" s="25">
        <v>3750</v>
      </c>
      <c r="F321" s="25">
        <v>3418.9</v>
      </c>
      <c r="G321" s="25">
        <v>331.1</v>
      </c>
      <c r="H321" s="26">
        <f t="shared" si="4"/>
        <v>9.6844014156600045E-2</v>
      </c>
      <c r="I321" s="23" t="s">
        <v>20</v>
      </c>
    </row>
    <row r="322" spans="1:9" x14ac:dyDescent="0.25">
      <c r="A322" s="23" t="s">
        <v>737</v>
      </c>
      <c r="B322" s="23" t="s">
        <v>58</v>
      </c>
      <c r="C322" s="24">
        <v>358434705981347</v>
      </c>
      <c r="D322" s="23" t="s">
        <v>15</v>
      </c>
      <c r="E322" s="25">
        <v>3500</v>
      </c>
      <c r="F322" s="25">
        <v>3329.4</v>
      </c>
      <c r="G322" s="25">
        <v>170.6</v>
      </c>
      <c r="H322" s="26">
        <f t="shared" ref="H322:H338" si="5">(E322-F322)/F322</f>
        <v>5.1240463747221694E-2</v>
      </c>
      <c r="I322" s="23" t="s">
        <v>20</v>
      </c>
    </row>
    <row r="323" spans="1:9" x14ac:dyDescent="0.25">
      <c r="A323" s="23" t="s">
        <v>737</v>
      </c>
      <c r="B323" s="23" t="s">
        <v>58</v>
      </c>
      <c r="C323" s="24">
        <v>358434706000295</v>
      </c>
      <c r="D323" s="23" t="s">
        <v>15</v>
      </c>
      <c r="E323" s="25">
        <v>3495</v>
      </c>
      <c r="F323" s="25">
        <v>3329.4</v>
      </c>
      <c r="G323" s="25">
        <v>165.6</v>
      </c>
      <c r="H323" s="26">
        <f t="shared" si="5"/>
        <v>4.9738691656154237E-2</v>
      </c>
      <c r="I323" s="23" t="s">
        <v>20</v>
      </c>
    </row>
    <row r="324" spans="1:9" x14ac:dyDescent="0.25">
      <c r="A324" s="23" t="s">
        <v>737</v>
      </c>
      <c r="B324" s="23" t="s">
        <v>58</v>
      </c>
      <c r="C324" s="24">
        <v>358434706438164</v>
      </c>
      <c r="D324" s="23" t="s">
        <v>15</v>
      </c>
      <c r="E324" s="25">
        <v>3500</v>
      </c>
      <c r="F324" s="25">
        <v>3329.4</v>
      </c>
      <c r="G324" s="25">
        <v>170.6</v>
      </c>
      <c r="H324" s="26">
        <f t="shared" si="5"/>
        <v>5.1240463747221694E-2</v>
      </c>
      <c r="I324" s="23" t="s">
        <v>20</v>
      </c>
    </row>
    <row r="325" spans="1:9" x14ac:dyDescent="0.25">
      <c r="A325" s="23" t="s">
        <v>737</v>
      </c>
      <c r="B325" s="23" t="s">
        <v>58</v>
      </c>
      <c r="C325" s="24">
        <v>358902514556856</v>
      </c>
      <c r="D325" s="23" t="s">
        <v>15</v>
      </c>
      <c r="E325" s="25">
        <v>3500</v>
      </c>
      <c r="F325" s="25">
        <v>3257.8</v>
      </c>
      <c r="G325" s="25">
        <v>242.2</v>
      </c>
      <c r="H325" s="26">
        <f t="shared" si="5"/>
        <v>7.4344649763644119E-2</v>
      </c>
      <c r="I325" s="23" t="s">
        <v>20</v>
      </c>
    </row>
    <row r="326" spans="1:9" x14ac:dyDescent="0.25">
      <c r="A326" s="23" t="s">
        <v>737</v>
      </c>
      <c r="B326" s="23" t="s">
        <v>58</v>
      </c>
      <c r="C326" s="24">
        <v>358902515517865</v>
      </c>
      <c r="D326" s="23" t="s">
        <v>15</v>
      </c>
      <c r="E326" s="25">
        <v>3440</v>
      </c>
      <c r="F326" s="25">
        <v>3418.9</v>
      </c>
      <c r="G326" s="25">
        <v>21.1</v>
      </c>
      <c r="H326" s="26">
        <f t="shared" si="5"/>
        <v>6.1715756529877762E-3</v>
      </c>
      <c r="I326" s="23" t="s">
        <v>20</v>
      </c>
    </row>
    <row r="327" spans="1:9" x14ac:dyDescent="0.25">
      <c r="A327" s="23" t="s">
        <v>737</v>
      </c>
      <c r="B327" s="23" t="s">
        <v>58</v>
      </c>
      <c r="C327" s="24">
        <v>358902515736036</v>
      </c>
      <c r="D327" s="23" t="s">
        <v>15</v>
      </c>
      <c r="E327" s="25">
        <v>3440</v>
      </c>
      <c r="F327" s="25">
        <v>3329.4</v>
      </c>
      <c r="G327" s="25">
        <v>110.6</v>
      </c>
      <c r="H327" s="26">
        <f t="shared" si="5"/>
        <v>3.3219198654412176E-2</v>
      </c>
      <c r="I327" s="23" t="s">
        <v>20</v>
      </c>
    </row>
    <row r="328" spans="1:9" x14ac:dyDescent="0.25">
      <c r="A328" s="23" t="s">
        <v>737</v>
      </c>
      <c r="B328" s="23" t="s">
        <v>58</v>
      </c>
      <c r="C328" s="24">
        <v>358902515766629</v>
      </c>
      <c r="D328" s="23" t="s">
        <v>15</v>
      </c>
      <c r="E328" s="25">
        <v>3495</v>
      </c>
      <c r="F328" s="25">
        <v>3329.4</v>
      </c>
      <c r="G328" s="25">
        <v>165.6</v>
      </c>
      <c r="H328" s="26">
        <f t="shared" si="5"/>
        <v>4.9738691656154237E-2</v>
      </c>
      <c r="I328" s="23" t="s">
        <v>20</v>
      </c>
    </row>
    <row r="329" spans="1:9" x14ac:dyDescent="0.25">
      <c r="A329" s="23" t="s">
        <v>737</v>
      </c>
      <c r="B329" s="23" t="s">
        <v>58</v>
      </c>
      <c r="C329" s="24">
        <v>358902515823545</v>
      </c>
      <c r="D329" s="23" t="s">
        <v>15</v>
      </c>
      <c r="E329" s="25">
        <v>3440</v>
      </c>
      <c r="F329" s="25">
        <v>3329.4</v>
      </c>
      <c r="G329" s="25">
        <v>110.6</v>
      </c>
      <c r="H329" s="26">
        <f t="shared" si="5"/>
        <v>3.3219198654412176E-2</v>
      </c>
      <c r="I329" s="23" t="s">
        <v>20</v>
      </c>
    </row>
    <row r="330" spans="1:9" x14ac:dyDescent="0.25">
      <c r="A330" s="23" t="s">
        <v>737</v>
      </c>
      <c r="B330" s="23" t="s">
        <v>58</v>
      </c>
      <c r="C330" s="24">
        <v>358902515956444</v>
      </c>
      <c r="D330" s="23" t="s">
        <v>15</v>
      </c>
      <c r="E330" s="25">
        <v>3440</v>
      </c>
      <c r="F330" s="25">
        <v>3418.9</v>
      </c>
      <c r="G330" s="25">
        <v>21.1</v>
      </c>
      <c r="H330" s="26">
        <f t="shared" si="5"/>
        <v>6.1715756529877762E-3</v>
      </c>
      <c r="I330" s="23" t="s">
        <v>20</v>
      </c>
    </row>
    <row r="331" spans="1:9" x14ac:dyDescent="0.25">
      <c r="A331" s="23" t="s">
        <v>737</v>
      </c>
      <c r="B331" s="23" t="s">
        <v>58</v>
      </c>
      <c r="C331" s="24">
        <v>359614548948483</v>
      </c>
      <c r="D331" s="23" t="s">
        <v>15</v>
      </c>
      <c r="E331" s="25">
        <v>3495</v>
      </c>
      <c r="F331" s="25">
        <v>3329.4</v>
      </c>
      <c r="G331" s="25">
        <v>165.6</v>
      </c>
      <c r="H331" s="26">
        <f t="shared" si="5"/>
        <v>4.9738691656154237E-2</v>
      </c>
      <c r="I331" s="23" t="s">
        <v>20</v>
      </c>
    </row>
    <row r="332" spans="1:9" x14ac:dyDescent="0.25">
      <c r="A332" s="23" t="s">
        <v>737</v>
      </c>
      <c r="B332" s="23" t="s">
        <v>58</v>
      </c>
      <c r="C332" s="24">
        <v>359814713520592</v>
      </c>
      <c r="D332" s="23" t="s">
        <v>15</v>
      </c>
      <c r="E332" s="25">
        <v>3750</v>
      </c>
      <c r="F332" s="25">
        <v>3418.9</v>
      </c>
      <c r="G332" s="25">
        <v>331.1</v>
      </c>
      <c r="H332" s="26">
        <f t="shared" si="5"/>
        <v>9.6844014156600045E-2</v>
      </c>
      <c r="I332" s="23" t="s">
        <v>20</v>
      </c>
    </row>
    <row r="333" spans="1:9" x14ac:dyDescent="0.25">
      <c r="A333" s="23" t="s">
        <v>737</v>
      </c>
      <c r="B333" s="23" t="s">
        <v>58</v>
      </c>
      <c r="C333" s="24">
        <v>359814713897271</v>
      </c>
      <c r="D333" s="23" t="s">
        <v>15</v>
      </c>
      <c r="E333" s="25">
        <v>3750</v>
      </c>
      <c r="F333" s="25">
        <v>3418.9</v>
      </c>
      <c r="G333" s="25">
        <v>331.1</v>
      </c>
      <c r="H333" s="26">
        <f t="shared" si="5"/>
        <v>9.6844014156600045E-2</v>
      </c>
      <c r="I333" s="23" t="s">
        <v>20</v>
      </c>
    </row>
    <row r="334" spans="1:9" x14ac:dyDescent="0.25">
      <c r="A334" s="23" t="s">
        <v>737</v>
      </c>
      <c r="B334" s="23" t="s">
        <v>58</v>
      </c>
      <c r="C334" s="24">
        <v>359814714043008</v>
      </c>
      <c r="D334" s="23" t="s">
        <v>15</v>
      </c>
      <c r="E334" s="25">
        <v>3750</v>
      </c>
      <c r="F334" s="25">
        <v>3418.9</v>
      </c>
      <c r="G334" s="25">
        <v>331.1</v>
      </c>
      <c r="H334" s="26">
        <f t="shared" si="5"/>
        <v>9.6844014156600045E-2</v>
      </c>
      <c r="I334" s="23" t="s">
        <v>20</v>
      </c>
    </row>
    <row r="335" spans="1:9" x14ac:dyDescent="0.25">
      <c r="A335" s="23" t="s">
        <v>737</v>
      </c>
      <c r="B335" s="23" t="s">
        <v>58</v>
      </c>
      <c r="C335" s="24">
        <v>359814715431186</v>
      </c>
      <c r="D335" s="23" t="s">
        <v>15</v>
      </c>
      <c r="E335" s="25">
        <v>3500</v>
      </c>
      <c r="F335" s="25">
        <v>3329.4</v>
      </c>
      <c r="G335" s="25">
        <v>170.6</v>
      </c>
      <c r="H335" s="26">
        <f t="shared" si="5"/>
        <v>5.1240463747221694E-2</v>
      </c>
      <c r="I335" s="23" t="s">
        <v>20</v>
      </c>
    </row>
    <row r="336" spans="1:9" x14ac:dyDescent="0.25">
      <c r="A336" s="23" t="s">
        <v>737</v>
      </c>
      <c r="B336" s="23" t="s">
        <v>58</v>
      </c>
      <c r="C336" s="24">
        <v>359814716687380</v>
      </c>
      <c r="D336" s="23" t="s">
        <v>15</v>
      </c>
      <c r="E336" s="25">
        <v>3500</v>
      </c>
      <c r="F336" s="25">
        <v>3257.8</v>
      </c>
      <c r="G336" s="25">
        <v>242.2</v>
      </c>
      <c r="H336" s="26">
        <f t="shared" si="5"/>
        <v>7.4344649763644119E-2</v>
      </c>
      <c r="I336" s="23" t="s">
        <v>20</v>
      </c>
    </row>
    <row r="337" spans="1:9" x14ac:dyDescent="0.25">
      <c r="A337" s="23" t="s">
        <v>737</v>
      </c>
      <c r="B337" s="23" t="s">
        <v>61</v>
      </c>
      <c r="C337" s="24">
        <v>358206134032201</v>
      </c>
      <c r="D337" s="23" t="s">
        <v>65</v>
      </c>
      <c r="E337" s="25">
        <v>5200</v>
      </c>
      <c r="F337" s="25">
        <v>4618.2</v>
      </c>
      <c r="G337" s="25">
        <v>581.79999999999995</v>
      </c>
      <c r="H337" s="26">
        <f t="shared" si="5"/>
        <v>0.12597981897709068</v>
      </c>
      <c r="I337" s="23" t="s">
        <v>20</v>
      </c>
    </row>
    <row r="338" spans="1:9" x14ac:dyDescent="0.25">
      <c r="A338" s="23" t="s">
        <v>737</v>
      </c>
      <c r="B338" s="23" t="s">
        <v>61</v>
      </c>
      <c r="C338" s="24">
        <v>359814712797035</v>
      </c>
      <c r="D338" s="23" t="s">
        <v>65</v>
      </c>
      <c r="E338" s="25">
        <v>5200</v>
      </c>
      <c r="F338" s="25">
        <v>4618.2</v>
      </c>
      <c r="G338" s="25">
        <v>581.79999999999995</v>
      </c>
      <c r="H338" s="26">
        <f t="shared" si="5"/>
        <v>0.12597981897709068</v>
      </c>
      <c r="I338" s="23" t="s">
        <v>20</v>
      </c>
    </row>
    <row r="339" spans="1:9" x14ac:dyDescent="0.25">
      <c r="A339" s="23"/>
      <c r="B339" s="23"/>
      <c r="C339" s="23"/>
      <c r="D339" s="23"/>
      <c r="E339" s="16" t="s">
        <v>741</v>
      </c>
      <c r="F339" s="16" t="s">
        <v>742</v>
      </c>
      <c r="G339" s="16" t="s">
        <v>743</v>
      </c>
      <c r="H339" s="18" t="s">
        <v>744</v>
      </c>
      <c r="I339" s="23"/>
    </row>
    <row r="340" spans="1:9" x14ac:dyDescent="0.25">
      <c r="A340" s="23"/>
      <c r="B340" s="23"/>
      <c r="C340" s="23"/>
      <c r="D340" s="23"/>
      <c r="E340" s="27">
        <f>SUM(E2:E339)</f>
        <v>985571</v>
      </c>
      <c r="F340" s="27">
        <f>SUM(F2:F339)</f>
        <v>931939.28000000189</v>
      </c>
      <c r="G340" s="27">
        <f>SUM(G2:G339)</f>
        <v>53344.939999999871</v>
      </c>
      <c r="H340" s="28">
        <f>AVERAGE(H2:H339)</f>
        <v>6.0004400302456073E-2</v>
      </c>
      <c r="I340" s="23"/>
    </row>
    <row r="345" spans="1:9" x14ac:dyDescent="0.25">
      <c r="B345" s="58" t="s">
        <v>762</v>
      </c>
      <c r="C345" s="61">
        <v>57.46</v>
      </c>
      <c r="D345" s="59">
        <f>C345*3.58</f>
        <v>205.70680000000002</v>
      </c>
    </row>
    <row r="346" spans="1:9" x14ac:dyDescent="0.25">
      <c r="B346" s="58" t="s">
        <v>763</v>
      </c>
      <c r="C346" s="61">
        <v>42.55</v>
      </c>
      <c r="D346" s="59">
        <f t="shared" ref="D346:D348" si="6">C346*3.58</f>
        <v>152.32899999999998</v>
      </c>
    </row>
    <row r="347" spans="1:9" x14ac:dyDescent="0.25">
      <c r="B347" s="58" t="s">
        <v>764</v>
      </c>
      <c r="C347" s="61">
        <v>3500</v>
      </c>
      <c r="D347" s="59">
        <f t="shared" si="6"/>
        <v>12530</v>
      </c>
    </row>
    <row r="348" spans="1:9" x14ac:dyDescent="0.25">
      <c r="B348" s="60">
        <v>46104</v>
      </c>
      <c r="C348" s="61">
        <v>1091.5</v>
      </c>
      <c r="D348" s="59">
        <f t="shared" si="6"/>
        <v>3907.57</v>
      </c>
    </row>
    <row r="349" spans="1:9" x14ac:dyDescent="0.25">
      <c r="B349" s="59"/>
      <c r="C349" s="59"/>
      <c r="D349" s="59"/>
    </row>
    <row r="350" spans="1:9" x14ac:dyDescent="0.25">
      <c r="B350" s="27" t="s">
        <v>766</v>
      </c>
      <c r="C350" s="44"/>
      <c r="D350" s="27">
        <f>SUM(D345:D349)</f>
        <v>16795.605800000001</v>
      </c>
    </row>
    <row r="351" spans="1:9" x14ac:dyDescent="0.25">
      <c r="B351" s="27"/>
      <c r="C351" s="45"/>
      <c r="D351" s="27"/>
    </row>
    <row r="352" spans="1:9" x14ac:dyDescent="0.25">
      <c r="B352" s="27" t="s">
        <v>768</v>
      </c>
      <c r="C352" s="45"/>
      <c r="D352" s="27">
        <f>G340-D350</f>
        <v>36549.334199999867</v>
      </c>
    </row>
    <row r="353" spans="3:3" x14ac:dyDescent="0.25">
      <c r="C353" s="49"/>
    </row>
    <row r="354" spans="3:3" x14ac:dyDescent="0.25">
      <c r="C354" s="52"/>
    </row>
    <row r="355" spans="3:3" x14ac:dyDescent="0.25">
      <c r="C355" s="52"/>
    </row>
    <row r="356" spans="3:3" x14ac:dyDescent="0.25">
      <c r="C356" s="52"/>
    </row>
    <row r="357" spans="3:3" x14ac:dyDescent="0.25">
      <c r="C357" s="52"/>
    </row>
    <row r="358" spans="3:3" x14ac:dyDescent="0.25">
      <c r="C358" s="50"/>
    </row>
    <row r="359" spans="3:3" x14ac:dyDescent="0.25">
      <c r="C359" s="50"/>
    </row>
    <row r="360" spans="3:3" x14ac:dyDescent="0.25">
      <c r="C360" s="50"/>
    </row>
    <row r="361" spans="3:3" x14ac:dyDescent="0.25">
      <c r="C361" s="53"/>
    </row>
    <row r="362" spans="3:3" x14ac:dyDescent="0.25">
      <c r="C362" s="54"/>
    </row>
    <row r="363" spans="3:3" x14ac:dyDescent="0.25">
      <c r="C363" s="53"/>
    </row>
    <row r="364" spans="3:3" x14ac:dyDescent="0.25">
      <c r="C364" s="51"/>
    </row>
    <row r="365" spans="3:3" x14ac:dyDescent="0.25">
      <c r="C365" s="53"/>
    </row>
    <row r="366" spans="3:3" x14ac:dyDescent="0.25">
      <c r="C366" s="47"/>
    </row>
    <row r="367" spans="3:3" x14ac:dyDescent="0.25">
      <c r="C367" s="47"/>
    </row>
    <row r="368" spans="3:3" x14ac:dyDescent="0.25">
      <c r="C368" s="54"/>
    </row>
    <row r="369" spans="3:3" x14ac:dyDescent="0.25">
      <c r="C369" s="47"/>
    </row>
    <row r="370" spans="3:3" x14ac:dyDescent="0.25">
      <c r="C370" s="47"/>
    </row>
    <row r="371" spans="3:3" x14ac:dyDescent="0.25">
      <c r="C371" s="47"/>
    </row>
    <row r="372" spans="3:3" x14ac:dyDescent="0.25">
      <c r="C372" s="47"/>
    </row>
    <row r="373" spans="3:3" x14ac:dyDescent="0.25">
      <c r="C373" s="48"/>
    </row>
    <row r="374" spans="3:3" x14ac:dyDescent="0.25">
      <c r="C374" s="47"/>
    </row>
    <row r="375" spans="3:3" x14ac:dyDescent="0.25">
      <c r="C375" s="47"/>
    </row>
    <row r="376" spans="3:3" x14ac:dyDescent="0.25">
      <c r="C376" s="47"/>
    </row>
    <row r="377" spans="3:3" x14ac:dyDescent="0.25">
      <c r="C377" s="47"/>
    </row>
    <row r="378" spans="3:3" x14ac:dyDescent="0.25">
      <c r="C378" s="48"/>
    </row>
    <row r="379" spans="3:3" x14ac:dyDescent="0.25">
      <c r="C379" s="47"/>
    </row>
    <row r="380" spans="3:3" x14ac:dyDescent="0.25">
      <c r="C380" s="47"/>
    </row>
    <row r="381" spans="3:3" x14ac:dyDescent="0.25">
      <c r="C381" s="47"/>
    </row>
    <row r="382" spans="3:3" x14ac:dyDescent="0.25">
      <c r="C382" s="47"/>
    </row>
    <row r="383" spans="3:3" x14ac:dyDescent="0.25">
      <c r="C383" s="47"/>
    </row>
    <row r="384" spans="3:3" x14ac:dyDescent="0.25">
      <c r="C384" s="47"/>
    </row>
    <row r="385" spans="3:3" x14ac:dyDescent="0.25">
      <c r="C385" s="47"/>
    </row>
    <row r="386" spans="3:3" x14ac:dyDescent="0.25">
      <c r="C386" s="47"/>
    </row>
    <row r="387" spans="3:3" x14ac:dyDescent="0.25">
      <c r="C387" s="47"/>
    </row>
    <row r="388" spans="3:3" x14ac:dyDescent="0.25">
      <c r="C388" s="47"/>
    </row>
    <row r="389" spans="3:3" x14ac:dyDescent="0.25">
      <c r="C389" s="47"/>
    </row>
    <row r="390" spans="3:3" x14ac:dyDescent="0.25">
      <c r="C390" s="48"/>
    </row>
    <row r="391" spans="3:3" x14ac:dyDescent="0.25">
      <c r="C391" s="47"/>
    </row>
    <row r="392" spans="3:3" x14ac:dyDescent="0.25">
      <c r="C392" s="47"/>
    </row>
    <row r="393" spans="3:3" x14ac:dyDescent="0.25">
      <c r="C393" s="47"/>
    </row>
    <row r="394" spans="3:3" x14ac:dyDescent="0.25">
      <c r="C394" s="47"/>
    </row>
    <row r="395" spans="3:3" x14ac:dyDescent="0.25">
      <c r="C395" s="47"/>
    </row>
    <row r="396" spans="3:3" x14ac:dyDescent="0.25">
      <c r="C396" s="47"/>
    </row>
    <row r="397" spans="3:3" x14ac:dyDescent="0.25">
      <c r="C397" s="47"/>
    </row>
    <row r="398" spans="3:3" x14ac:dyDescent="0.25">
      <c r="C398" s="47"/>
    </row>
    <row r="399" spans="3:3" x14ac:dyDescent="0.25">
      <c r="C399" s="49"/>
    </row>
    <row r="400" spans="3:3" x14ac:dyDescent="0.25">
      <c r="C400" s="50"/>
    </row>
    <row r="401" spans="3:3" x14ac:dyDescent="0.25">
      <c r="C401" s="50"/>
    </row>
    <row r="402" spans="3:3" x14ac:dyDescent="0.25">
      <c r="C402" s="48"/>
    </row>
    <row r="403" spans="3:3" x14ac:dyDescent="0.25">
      <c r="C403" s="50"/>
    </row>
    <row r="404" spans="3:3" x14ac:dyDescent="0.25">
      <c r="C404" s="50"/>
    </row>
    <row r="405" spans="3:3" x14ac:dyDescent="0.25">
      <c r="C405" s="50"/>
    </row>
    <row r="406" spans="3:3" x14ac:dyDescent="0.25">
      <c r="C406" s="48"/>
    </row>
    <row r="407" spans="3:3" x14ac:dyDescent="0.25">
      <c r="C407" s="50"/>
    </row>
    <row r="408" spans="3:3" x14ac:dyDescent="0.25">
      <c r="C408" s="50"/>
    </row>
    <row r="409" spans="3:3" x14ac:dyDescent="0.25">
      <c r="C409" s="50"/>
    </row>
    <row r="410" spans="3:3" x14ac:dyDescent="0.25">
      <c r="C410" s="50"/>
    </row>
    <row r="411" spans="3:3" x14ac:dyDescent="0.25">
      <c r="C411" s="50"/>
    </row>
    <row r="412" spans="3:3" x14ac:dyDescent="0.25">
      <c r="C412" s="50"/>
    </row>
    <row r="413" spans="3:3" x14ac:dyDescent="0.25">
      <c r="C413" s="50"/>
    </row>
    <row r="414" spans="3:3" x14ac:dyDescent="0.25">
      <c r="C414" s="50"/>
    </row>
    <row r="415" spans="3:3" x14ac:dyDescent="0.25">
      <c r="C415" s="48"/>
    </row>
    <row r="416" spans="3:3" x14ac:dyDescent="0.25">
      <c r="C416" s="50"/>
    </row>
    <row r="417" spans="3:3" x14ac:dyDescent="0.25">
      <c r="C417" s="48"/>
    </row>
    <row r="418" spans="3:3" x14ac:dyDescent="0.25">
      <c r="C418" s="50"/>
    </row>
    <row r="419" spans="3:3" x14ac:dyDescent="0.25">
      <c r="C419" s="48"/>
    </row>
    <row r="420" spans="3:3" x14ac:dyDescent="0.25">
      <c r="C420" s="50"/>
    </row>
    <row r="421" spans="3:3" x14ac:dyDescent="0.25">
      <c r="C421" s="50"/>
    </row>
    <row r="422" spans="3:3" x14ac:dyDescent="0.25">
      <c r="C422" s="50"/>
    </row>
    <row r="423" spans="3:3" x14ac:dyDescent="0.25">
      <c r="C423" s="48"/>
    </row>
    <row r="424" spans="3:3" x14ac:dyDescent="0.25">
      <c r="C424" s="50"/>
    </row>
    <row r="425" spans="3:3" x14ac:dyDescent="0.25">
      <c r="C425" s="50"/>
    </row>
    <row r="426" spans="3:3" x14ac:dyDescent="0.25">
      <c r="C426" s="50"/>
    </row>
    <row r="427" spans="3:3" x14ac:dyDescent="0.25">
      <c r="C427" s="50"/>
    </row>
    <row r="428" spans="3:3" x14ac:dyDescent="0.25">
      <c r="C428" s="50"/>
    </row>
    <row r="429" spans="3:3" x14ac:dyDescent="0.25">
      <c r="C429" s="48"/>
    </row>
    <row r="430" spans="3:3" x14ac:dyDescent="0.25">
      <c r="C430" s="50"/>
    </row>
    <row r="431" spans="3:3" x14ac:dyDescent="0.25">
      <c r="C431" s="50"/>
    </row>
  </sheetData>
  <autoFilter ref="A1:I340" xr:uid="{3173FCA6-5802-4D67-BBA6-452A234EAF8D}"/>
  <sortState xmlns:xlrd2="http://schemas.microsoft.com/office/spreadsheetml/2017/richdata2" ref="A2:I338">
    <sortCondition sortBy="cellColor" ref="I2:I338" dxfId="47"/>
  </sortState>
  <conditionalFormatting sqref="C348:C1048576 C1:C344">
    <cfRule type="duplicateValues" dxfId="37" priority="3"/>
  </conditionalFormatting>
  <conditionalFormatting sqref="C350">
    <cfRule type="duplicateValues" dxfId="36" priority="34"/>
  </conditionalFormatting>
  <conditionalFormatting sqref="C350:C431">
    <cfRule type="duplicateValues" dxfId="35" priority="10"/>
  </conditionalFormatting>
  <conditionalFormatting sqref="C351:C352">
    <cfRule type="duplicateValues" dxfId="34" priority="33"/>
  </conditionalFormatting>
  <conditionalFormatting sqref="C353">
    <cfRule type="duplicateValues" dxfId="33" priority="32"/>
  </conditionalFormatting>
  <conditionalFormatting sqref="C354">
    <cfRule type="duplicateValues" dxfId="32" priority="31"/>
  </conditionalFormatting>
  <conditionalFormatting sqref="C355">
    <cfRule type="duplicateValues" dxfId="31" priority="30"/>
  </conditionalFormatting>
  <conditionalFormatting sqref="C356">
    <cfRule type="duplicateValues" dxfId="30" priority="29"/>
  </conditionalFormatting>
  <conditionalFormatting sqref="C357">
    <cfRule type="duplicateValues" dxfId="29" priority="28"/>
  </conditionalFormatting>
  <conditionalFormatting sqref="C358">
    <cfRule type="duplicateValues" dxfId="28" priority="27"/>
  </conditionalFormatting>
  <conditionalFormatting sqref="C359">
    <cfRule type="duplicateValues" dxfId="27" priority="26"/>
  </conditionalFormatting>
  <conditionalFormatting sqref="C360">
    <cfRule type="duplicateValues" dxfId="26" priority="25"/>
  </conditionalFormatting>
  <conditionalFormatting sqref="C362">
    <cfRule type="duplicateValues" dxfId="25" priority="24"/>
  </conditionalFormatting>
  <conditionalFormatting sqref="C364">
    <cfRule type="duplicateValues" dxfId="24" priority="23"/>
  </conditionalFormatting>
  <conditionalFormatting sqref="C366">
    <cfRule type="duplicateValues" dxfId="23" priority="22"/>
  </conditionalFormatting>
  <conditionalFormatting sqref="C367">
    <cfRule type="duplicateValues" dxfId="22" priority="21"/>
  </conditionalFormatting>
  <conditionalFormatting sqref="C368">
    <cfRule type="duplicateValues" dxfId="21" priority="20"/>
  </conditionalFormatting>
  <conditionalFormatting sqref="C371">
    <cfRule type="duplicateValues" dxfId="20" priority="19"/>
  </conditionalFormatting>
  <conditionalFormatting sqref="C372">
    <cfRule type="duplicateValues" dxfId="19" priority="18"/>
  </conditionalFormatting>
  <conditionalFormatting sqref="C374:C377">
    <cfRule type="duplicateValues" dxfId="18" priority="17"/>
  </conditionalFormatting>
  <conditionalFormatting sqref="C379:C389">
    <cfRule type="duplicateValues" dxfId="17" priority="16"/>
  </conditionalFormatting>
  <conditionalFormatting sqref="C391:C398">
    <cfRule type="duplicateValues" dxfId="16" priority="15"/>
  </conditionalFormatting>
  <conditionalFormatting sqref="C399">
    <cfRule type="duplicateValues" dxfId="15" priority="14"/>
  </conditionalFormatting>
  <conditionalFormatting sqref="C400:C401">
    <cfRule type="duplicateValues" dxfId="14" priority="13"/>
  </conditionalFormatting>
  <conditionalFormatting sqref="C403:C405">
    <cfRule type="duplicateValues" dxfId="13" priority="12"/>
  </conditionalFormatting>
  <conditionalFormatting sqref="C407:C414">
    <cfRule type="duplicateValues" dxfId="12" priority="11"/>
  </conditionalFormatting>
  <conditionalFormatting sqref="C416">
    <cfRule type="duplicateValues" dxfId="11" priority="9"/>
  </conditionalFormatting>
  <conditionalFormatting sqref="C418">
    <cfRule type="duplicateValues" dxfId="10" priority="8"/>
  </conditionalFormatting>
  <conditionalFormatting sqref="C420:C421">
    <cfRule type="duplicateValues" dxfId="9" priority="7"/>
  </conditionalFormatting>
  <conditionalFormatting sqref="C422">
    <cfRule type="duplicateValues" dxfId="8" priority="6"/>
  </conditionalFormatting>
  <conditionalFormatting sqref="C424:C428">
    <cfRule type="duplicateValues" dxfId="7" priority="5"/>
  </conditionalFormatting>
  <conditionalFormatting sqref="C430:C431">
    <cfRule type="duplicateValues" dxfId="6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5F10-81A5-4808-A7C0-DB3E6F97F575}">
  <dimension ref="A1:K78"/>
  <sheetViews>
    <sheetView topLeftCell="A55" workbookViewId="0">
      <selection activeCell="E80" sqref="E80"/>
    </sheetView>
  </sheetViews>
  <sheetFormatPr defaultRowHeight="15" x14ac:dyDescent="0.25"/>
  <cols>
    <col min="1" max="1" width="15" customWidth="1"/>
    <col min="2" max="2" width="28.28515625" customWidth="1"/>
    <col min="3" max="3" width="21.28515625" customWidth="1"/>
    <col min="4" max="6" width="15" customWidth="1"/>
    <col min="7" max="7" width="15" style="8" customWidth="1"/>
    <col min="8" max="8" width="21" customWidth="1"/>
    <col min="9" max="9" width="18.5703125" customWidth="1"/>
  </cols>
  <sheetData>
    <row r="1" spans="1:9" x14ac:dyDescent="0.25">
      <c r="A1" s="16" t="s">
        <v>3</v>
      </c>
      <c r="B1" s="16" t="s">
        <v>4</v>
      </c>
      <c r="C1" s="17" t="s">
        <v>5</v>
      </c>
      <c r="D1" s="16" t="s">
        <v>6</v>
      </c>
      <c r="E1" s="16" t="s">
        <v>7</v>
      </c>
      <c r="F1" s="16" t="s">
        <v>8</v>
      </c>
      <c r="G1" s="16" t="s">
        <v>9</v>
      </c>
      <c r="H1" s="18" t="s">
        <v>10</v>
      </c>
      <c r="I1" s="16" t="s">
        <v>11</v>
      </c>
    </row>
    <row r="2" spans="1:9" x14ac:dyDescent="0.25">
      <c r="A2" s="29" t="s">
        <v>62</v>
      </c>
      <c r="B2" s="29" t="s">
        <v>63</v>
      </c>
      <c r="C2" s="30">
        <v>351420495470085</v>
      </c>
      <c r="D2" s="29" t="s">
        <v>26</v>
      </c>
      <c r="E2" s="31">
        <v>1784.81</v>
      </c>
      <c r="F2" s="31">
        <v>1500</v>
      </c>
      <c r="G2" s="32">
        <f>E2-F2</f>
        <v>284.80999999999995</v>
      </c>
      <c r="H2" s="26">
        <f>(E2-F2)/F2</f>
        <v>0.18987333333333331</v>
      </c>
      <c r="I2" s="29" t="s">
        <v>39</v>
      </c>
    </row>
    <row r="3" spans="1:9" x14ac:dyDescent="0.25">
      <c r="A3" s="29" t="s">
        <v>62</v>
      </c>
      <c r="B3" s="29" t="s">
        <v>63</v>
      </c>
      <c r="C3" s="30">
        <v>357253673868281</v>
      </c>
      <c r="D3" s="29" t="s">
        <v>26</v>
      </c>
      <c r="E3" s="31">
        <v>1734.17</v>
      </c>
      <c r="F3" s="31">
        <v>1600</v>
      </c>
      <c r="G3" s="32">
        <f t="shared" ref="G3:G66" si="0">E3-F3</f>
        <v>134.17000000000007</v>
      </c>
      <c r="H3" s="26">
        <f t="shared" ref="H3:H66" si="1">(E3-F3)/F3</f>
        <v>8.3856250000000049E-2</v>
      </c>
      <c r="I3" s="29" t="s">
        <v>39</v>
      </c>
    </row>
    <row r="4" spans="1:9" x14ac:dyDescent="0.25">
      <c r="A4" s="29" t="s">
        <v>154</v>
      </c>
      <c r="B4" s="29" t="s">
        <v>58</v>
      </c>
      <c r="C4" s="30">
        <v>355246657880290</v>
      </c>
      <c r="D4" s="29" t="s">
        <v>15</v>
      </c>
      <c r="E4" s="31">
        <v>3854.43</v>
      </c>
      <c r="F4" s="31">
        <v>3500</v>
      </c>
      <c r="G4" s="32">
        <f t="shared" si="0"/>
        <v>354.42999999999984</v>
      </c>
      <c r="H4" s="26">
        <f t="shared" si="1"/>
        <v>0.10126571428571424</v>
      </c>
      <c r="I4" s="29" t="s">
        <v>39</v>
      </c>
    </row>
    <row r="5" spans="1:9" x14ac:dyDescent="0.25">
      <c r="A5" s="29" t="s">
        <v>304</v>
      </c>
      <c r="B5" s="29" t="s">
        <v>64</v>
      </c>
      <c r="C5" s="30" t="s">
        <v>320</v>
      </c>
      <c r="D5" s="29" t="s">
        <v>15</v>
      </c>
      <c r="E5" s="31">
        <v>3569.62</v>
      </c>
      <c r="F5" s="31">
        <v>3000</v>
      </c>
      <c r="G5" s="32">
        <f t="shared" si="0"/>
        <v>569.61999999999989</v>
      </c>
      <c r="H5" s="26">
        <f t="shared" si="1"/>
        <v>0.18987333333333331</v>
      </c>
      <c r="I5" s="29" t="s">
        <v>39</v>
      </c>
    </row>
    <row r="6" spans="1:9" x14ac:dyDescent="0.25">
      <c r="A6" s="29" t="s">
        <v>304</v>
      </c>
      <c r="B6" s="29" t="s">
        <v>64</v>
      </c>
      <c r="C6" s="30" t="s">
        <v>321</v>
      </c>
      <c r="D6" s="29" t="s">
        <v>15</v>
      </c>
      <c r="E6" s="31">
        <v>3354.43</v>
      </c>
      <c r="F6" s="31">
        <v>2650</v>
      </c>
      <c r="G6" s="32">
        <f t="shared" si="0"/>
        <v>704.42999999999984</v>
      </c>
      <c r="H6" s="26">
        <f t="shared" si="1"/>
        <v>0.26582264150943391</v>
      </c>
      <c r="I6" s="29" t="s">
        <v>39</v>
      </c>
    </row>
    <row r="7" spans="1:9" x14ac:dyDescent="0.25">
      <c r="A7" s="29" t="s">
        <v>304</v>
      </c>
      <c r="B7" s="29" t="s">
        <v>58</v>
      </c>
      <c r="C7" s="30">
        <v>358206132662819</v>
      </c>
      <c r="D7" s="29" t="s">
        <v>15</v>
      </c>
      <c r="E7" s="31">
        <v>4139.24</v>
      </c>
      <c r="F7" s="31">
        <v>3600</v>
      </c>
      <c r="G7" s="32">
        <f t="shared" si="0"/>
        <v>539.23999999999978</v>
      </c>
      <c r="H7" s="26">
        <f t="shared" si="1"/>
        <v>0.14978888888888883</v>
      </c>
      <c r="I7" s="29" t="s">
        <v>39</v>
      </c>
    </row>
    <row r="8" spans="1:9" x14ac:dyDescent="0.25">
      <c r="A8" s="29" t="s">
        <v>304</v>
      </c>
      <c r="B8" s="29" t="s">
        <v>58</v>
      </c>
      <c r="C8" s="30">
        <v>358206135066869</v>
      </c>
      <c r="D8" s="29" t="s">
        <v>15</v>
      </c>
      <c r="E8" s="31">
        <v>4139.24</v>
      </c>
      <c r="F8" s="31">
        <v>3600</v>
      </c>
      <c r="G8" s="32">
        <f t="shared" si="0"/>
        <v>539.23999999999978</v>
      </c>
      <c r="H8" s="26">
        <f t="shared" si="1"/>
        <v>0.14978888888888883</v>
      </c>
      <c r="I8" s="29" t="s">
        <v>39</v>
      </c>
    </row>
    <row r="9" spans="1:9" x14ac:dyDescent="0.25">
      <c r="A9" s="29" t="s">
        <v>304</v>
      </c>
      <c r="B9" s="29" t="s">
        <v>58</v>
      </c>
      <c r="C9" s="30">
        <v>359614549382799</v>
      </c>
      <c r="D9" s="29" t="s">
        <v>15</v>
      </c>
      <c r="E9" s="31">
        <v>3734.17</v>
      </c>
      <c r="F9" s="31">
        <v>3200</v>
      </c>
      <c r="G9" s="32">
        <f t="shared" si="0"/>
        <v>534.17000000000007</v>
      </c>
      <c r="H9" s="26">
        <f t="shared" si="1"/>
        <v>0.16692812500000001</v>
      </c>
      <c r="I9" s="29" t="s">
        <v>39</v>
      </c>
    </row>
    <row r="10" spans="1:9" x14ac:dyDescent="0.25">
      <c r="A10" s="29" t="s">
        <v>418</v>
      </c>
      <c r="B10" s="29" t="s">
        <v>64</v>
      </c>
      <c r="C10" s="30">
        <v>351317527261690</v>
      </c>
      <c r="D10" s="29" t="s">
        <v>15</v>
      </c>
      <c r="E10" s="31">
        <v>3291.13</v>
      </c>
      <c r="F10" s="31">
        <v>2700</v>
      </c>
      <c r="G10" s="32">
        <f t="shared" si="0"/>
        <v>591.13000000000011</v>
      </c>
      <c r="H10" s="26">
        <f t="shared" si="1"/>
        <v>0.21893703703703707</v>
      </c>
      <c r="I10" s="29" t="s">
        <v>39</v>
      </c>
    </row>
    <row r="11" spans="1:9" x14ac:dyDescent="0.25">
      <c r="A11" s="29" t="s">
        <v>418</v>
      </c>
      <c r="B11" s="29" t="s">
        <v>64</v>
      </c>
      <c r="C11" s="30">
        <v>352190327455278</v>
      </c>
      <c r="D11" s="29" t="s">
        <v>15</v>
      </c>
      <c r="E11" s="31">
        <v>3443.03</v>
      </c>
      <c r="F11" s="31">
        <v>2850</v>
      </c>
      <c r="G11" s="32">
        <f t="shared" si="0"/>
        <v>593.0300000000002</v>
      </c>
      <c r="H11" s="26">
        <f t="shared" si="1"/>
        <v>0.20808070175438603</v>
      </c>
      <c r="I11" s="29" t="s">
        <v>39</v>
      </c>
    </row>
    <row r="12" spans="1:9" x14ac:dyDescent="0.25">
      <c r="A12" s="29" t="s">
        <v>418</v>
      </c>
      <c r="B12" s="29" t="s">
        <v>64</v>
      </c>
      <c r="C12" s="30">
        <v>355079360679018</v>
      </c>
      <c r="D12" s="29" t="s">
        <v>15</v>
      </c>
      <c r="E12" s="31">
        <v>3569.62</v>
      </c>
      <c r="F12" s="31">
        <v>3000</v>
      </c>
      <c r="G12" s="32">
        <f t="shared" si="0"/>
        <v>569.61999999999989</v>
      </c>
      <c r="H12" s="26">
        <f t="shared" si="1"/>
        <v>0.18987333333333331</v>
      </c>
      <c r="I12" s="29" t="s">
        <v>39</v>
      </c>
    </row>
    <row r="13" spans="1:9" x14ac:dyDescent="0.25">
      <c r="A13" s="29" t="s">
        <v>418</v>
      </c>
      <c r="B13" s="29" t="s">
        <v>64</v>
      </c>
      <c r="C13" s="30">
        <v>355832518355554</v>
      </c>
      <c r="D13" s="29" t="s">
        <v>15</v>
      </c>
      <c r="E13" s="31">
        <v>3354.43</v>
      </c>
      <c r="F13" s="31">
        <v>2700</v>
      </c>
      <c r="G13" s="32">
        <f t="shared" si="0"/>
        <v>654.42999999999984</v>
      </c>
      <c r="H13" s="26">
        <f t="shared" si="1"/>
        <v>0.24238148148148142</v>
      </c>
      <c r="I13" s="29" t="s">
        <v>39</v>
      </c>
    </row>
    <row r="14" spans="1:9" x14ac:dyDescent="0.25">
      <c r="A14" s="29" t="s">
        <v>418</v>
      </c>
      <c r="B14" s="29" t="s">
        <v>58</v>
      </c>
      <c r="C14" s="30">
        <v>358206130687685</v>
      </c>
      <c r="D14" s="29" t="s">
        <v>15</v>
      </c>
      <c r="E14" s="31">
        <v>3734.17</v>
      </c>
      <c r="F14" s="31">
        <v>3200</v>
      </c>
      <c r="G14" s="32">
        <f t="shared" si="0"/>
        <v>534.17000000000007</v>
      </c>
      <c r="H14" s="26">
        <f t="shared" si="1"/>
        <v>0.16692812500000001</v>
      </c>
      <c r="I14" s="29" t="s">
        <v>39</v>
      </c>
    </row>
    <row r="15" spans="1:9" x14ac:dyDescent="0.25">
      <c r="A15" s="29" t="s">
        <v>472</v>
      </c>
      <c r="B15" s="29" t="s">
        <v>61</v>
      </c>
      <c r="C15" s="30">
        <v>355224257251246</v>
      </c>
      <c r="D15" s="29" t="s">
        <v>15</v>
      </c>
      <c r="E15" s="31">
        <v>4164.55</v>
      </c>
      <c r="F15" s="31">
        <v>3300</v>
      </c>
      <c r="G15" s="32">
        <f t="shared" si="0"/>
        <v>864.55000000000018</v>
      </c>
      <c r="H15" s="26">
        <f t="shared" si="1"/>
        <v>0.26198484848484854</v>
      </c>
      <c r="I15" s="29" t="s">
        <v>39</v>
      </c>
    </row>
    <row r="16" spans="1:9" x14ac:dyDescent="0.25">
      <c r="A16" s="29" t="s">
        <v>472</v>
      </c>
      <c r="B16" s="29" t="s">
        <v>61</v>
      </c>
      <c r="C16" s="30">
        <v>359614548843338</v>
      </c>
      <c r="D16" s="29" t="s">
        <v>15</v>
      </c>
      <c r="E16" s="31">
        <v>4215.18</v>
      </c>
      <c r="F16" s="31">
        <v>3300</v>
      </c>
      <c r="G16" s="32">
        <f t="shared" si="0"/>
        <v>915.18000000000029</v>
      </c>
      <c r="H16" s="26">
        <f t="shared" si="1"/>
        <v>0.27732727272727281</v>
      </c>
      <c r="I16" s="29" t="s">
        <v>39</v>
      </c>
    </row>
    <row r="17" spans="1:9" x14ac:dyDescent="0.25">
      <c r="A17" s="29" t="s">
        <v>515</v>
      </c>
      <c r="B17" s="29" t="s">
        <v>64</v>
      </c>
      <c r="C17" s="30">
        <v>359477634647454</v>
      </c>
      <c r="D17" s="29" t="s">
        <v>516</v>
      </c>
      <c r="E17" s="31">
        <v>3316.45</v>
      </c>
      <c r="F17" s="31">
        <v>2750</v>
      </c>
      <c r="G17" s="32">
        <f t="shared" si="0"/>
        <v>566.44999999999982</v>
      </c>
      <c r="H17" s="26">
        <f t="shared" si="1"/>
        <v>0.20598181818181813</v>
      </c>
      <c r="I17" s="29" t="s">
        <v>39</v>
      </c>
    </row>
    <row r="18" spans="1:9" x14ac:dyDescent="0.25">
      <c r="A18" s="29" t="s">
        <v>54</v>
      </c>
      <c r="B18" s="29" t="s">
        <v>58</v>
      </c>
      <c r="C18" s="30">
        <v>355224259504121</v>
      </c>
      <c r="D18" s="29" t="s">
        <v>15</v>
      </c>
      <c r="E18" s="31">
        <v>4126.58</v>
      </c>
      <c r="F18" s="31">
        <v>3428.45</v>
      </c>
      <c r="G18" s="32">
        <f t="shared" si="0"/>
        <v>698.13000000000011</v>
      </c>
      <c r="H18" s="26">
        <f t="shared" si="1"/>
        <v>0.20362846184135691</v>
      </c>
      <c r="I18" s="29" t="s">
        <v>20</v>
      </c>
    </row>
    <row r="19" spans="1:9" x14ac:dyDescent="0.25">
      <c r="A19" s="29" t="s">
        <v>62</v>
      </c>
      <c r="B19" s="29" t="s">
        <v>58</v>
      </c>
      <c r="C19" s="30">
        <v>352791395180480</v>
      </c>
      <c r="D19" s="29" t="s">
        <v>15</v>
      </c>
      <c r="E19" s="31">
        <v>3481.01</v>
      </c>
      <c r="F19" s="31">
        <v>3015.6</v>
      </c>
      <c r="G19" s="32">
        <f t="shared" si="0"/>
        <v>465.41000000000031</v>
      </c>
      <c r="H19" s="26">
        <f t="shared" si="1"/>
        <v>0.15433412919485354</v>
      </c>
      <c r="I19" s="29" t="s">
        <v>20</v>
      </c>
    </row>
    <row r="20" spans="1:9" x14ac:dyDescent="0.25">
      <c r="A20" s="29" t="s">
        <v>93</v>
      </c>
      <c r="B20" s="29" t="s">
        <v>86</v>
      </c>
      <c r="C20" s="30">
        <v>355852813455594</v>
      </c>
      <c r="D20" s="29" t="s">
        <v>15</v>
      </c>
      <c r="E20" s="31">
        <v>943.03</v>
      </c>
      <c r="F20" s="31">
        <v>736.98</v>
      </c>
      <c r="G20" s="32">
        <f t="shared" si="0"/>
        <v>206.04999999999995</v>
      </c>
      <c r="H20" s="26">
        <f t="shared" si="1"/>
        <v>0.27958696301120783</v>
      </c>
      <c r="I20" s="29" t="s">
        <v>20</v>
      </c>
    </row>
    <row r="21" spans="1:9" x14ac:dyDescent="0.25">
      <c r="A21" s="29" t="s">
        <v>93</v>
      </c>
      <c r="B21" s="29" t="s">
        <v>86</v>
      </c>
      <c r="C21" s="30">
        <v>355852813543027</v>
      </c>
      <c r="D21" s="29" t="s">
        <v>15</v>
      </c>
      <c r="E21" s="31">
        <v>943.03</v>
      </c>
      <c r="F21" s="31">
        <v>736.98</v>
      </c>
      <c r="G21" s="32">
        <f t="shared" si="0"/>
        <v>206.04999999999995</v>
      </c>
      <c r="H21" s="26">
        <f t="shared" si="1"/>
        <v>0.27958696301120783</v>
      </c>
      <c r="I21" s="29" t="s">
        <v>20</v>
      </c>
    </row>
    <row r="22" spans="1:9" x14ac:dyDescent="0.25">
      <c r="A22" s="29" t="s">
        <v>93</v>
      </c>
      <c r="B22" s="29" t="s">
        <v>86</v>
      </c>
      <c r="C22" s="30">
        <v>357020913138365</v>
      </c>
      <c r="D22" s="29" t="s">
        <v>15</v>
      </c>
      <c r="E22" s="31">
        <v>943.03</v>
      </c>
      <c r="F22" s="31">
        <v>736.98</v>
      </c>
      <c r="G22" s="32">
        <f t="shared" si="0"/>
        <v>206.04999999999995</v>
      </c>
      <c r="H22" s="26">
        <f t="shared" si="1"/>
        <v>0.27958696301120783</v>
      </c>
      <c r="I22" s="29" t="s">
        <v>20</v>
      </c>
    </row>
    <row r="23" spans="1:9" x14ac:dyDescent="0.25">
      <c r="A23" s="29" t="s">
        <v>93</v>
      </c>
      <c r="B23" s="29" t="s">
        <v>58</v>
      </c>
      <c r="C23" s="30">
        <v>350599867930171</v>
      </c>
      <c r="D23" s="29" t="s">
        <v>15</v>
      </c>
      <c r="E23" s="31">
        <v>3860.75</v>
      </c>
      <c r="F23" s="31">
        <v>3320.75</v>
      </c>
      <c r="G23" s="32">
        <f t="shared" si="0"/>
        <v>540</v>
      </c>
      <c r="H23" s="26">
        <f t="shared" si="1"/>
        <v>0.16261386734924341</v>
      </c>
      <c r="I23" s="29" t="s">
        <v>20</v>
      </c>
    </row>
    <row r="24" spans="1:9" x14ac:dyDescent="0.25">
      <c r="A24" s="29" t="s">
        <v>93</v>
      </c>
      <c r="B24" s="29" t="s">
        <v>58</v>
      </c>
      <c r="C24" s="30">
        <v>356392240436270</v>
      </c>
      <c r="D24" s="29" t="s">
        <v>26</v>
      </c>
      <c r="E24" s="31">
        <v>3810.12</v>
      </c>
      <c r="F24" s="31">
        <v>3320.75</v>
      </c>
      <c r="G24" s="32">
        <f t="shared" si="0"/>
        <v>489.36999999999989</v>
      </c>
      <c r="H24" s="26">
        <f t="shared" si="1"/>
        <v>0.14736731160129485</v>
      </c>
      <c r="I24" s="29" t="s">
        <v>20</v>
      </c>
    </row>
    <row r="25" spans="1:9" x14ac:dyDescent="0.25">
      <c r="A25" s="29" t="s">
        <v>93</v>
      </c>
      <c r="B25" s="29" t="s">
        <v>58</v>
      </c>
      <c r="C25" s="30">
        <v>356392241032599</v>
      </c>
      <c r="D25" s="29" t="s">
        <v>26</v>
      </c>
      <c r="E25" s="31">
        <v>3810.12</v>
      </c>
      <c r="F25" s="31">
        <v>3320.75</v>
      </c>
      <c r="G25" s="32">
        <f t="shared" si="0"/>
        <v>489.36999999999989</v>
      </c>
      <c r="H25" s="26">
        <f t="shared" si="1"/>
        <v>0.14736731160129485</v>
      </c>
      <c r="I25" s="29" t="s">
        <v>20</v>
      </c>
    </row>
    <row r="26" spans="1:9" x14ac:dyDescent="0.25">
      <c r="A26" s="29" t="s">
        <v>154</v>
      </c>
      <c r="B26" s="29" t="s">
        <v>158</v>
      </c>
      <c r="C26" s="30">
        <v>352356350826400</v>
      </c>
      <c r="D26" s="29" t="s">
        <v>15</v>
      </c>
      <c r="E26" s="31">
        <v>3000</v>
      </c>
      <c r="F26" s="31">
        <v>2513</v>
      </c>
      <c r="G26" s="32">
        <f t="shared" si="0"/>
        <v>487</v>
      </c>
      <c r="H26" s="26">
        <f t="shared" si="1"/>
        <v>0.19379228014325509</v>
      </c>
      <c r="I26" s="29" t="s">
        <v>20</v>
      </c>
    </row>
    <row r="27" spans="1:9" x14ac:dyDescent="0.25">
      <c r="A27" s="29" t="s">
        <v>154</v>
      </c>
      <c r="B27" s="29" t="s">
        <v>58</v>
      </c>
      <c r="C27" s="30">
        <v>353497851611575</v>
      </c>
      <c r="D27" s="29" t="s">
        <v>15</v>
      </c>
      <c r="E27" s="31">
        <v>3860.75</v>
      </c>
      <c r="F27" s="31">
        <v>3338.7</v>
      </c>
      <c r="G27" s="32">
        <f t="shared" si="0"/>
        <v>522.05000000000018</v>
      </c>
      <c r="H27" s="26">
        <f t="shared" si="1"/>
        <v>0.15636325515919375</v>
      </c>
      <c r="I27" s="29" t="s">
        <v>20</v>
      </c>
    </row>
    <row r="28" spans="1:9" x14ac:dyDescent="0.25">
      <c r="A28" s="29" t="s">
        <v>154</v>
      </c>
      <c r="B28" s="29" t="s">
        <v>58</v>
      </c>
      <c r="C28" s="30">
        <v>355246658436142</v>
      </c>
      <c r="D28" s="29" t="s">
        <v>15</v>
      </c>
      <c r="E28" s="31">
        <v>3860.75</v>
      </c>
      <c r="F28" s="31">
        <v>3338.7</v>
      </c>
      <c r="G28" s="32">
        <f t="shared" si="0"/>
        <v>522.05000000000018</v>
      </c>
      <c r="H28" s="26">
        <f t="shared" si="1"/>
        <v>0.15636325515919375</v>
      </c>
      <c r="I28" s="29" t="s">
        <v>20</v>
      </c>
    </row>
    <row r="29" spans="1:9" x14ac:dyDescent="0.25">
      <c r="A29" s="29" t="s">
        <v>154</v>
      </c>
      <c r="B29" s="29" t="s">
        <v>58</v>
      </c>
      <c r="C29" s="30">
        <v>355246659780654</v>
      </c>
      <c r="D29" s="29" t="s">
        <v>26</v>
      </c>
      <c r="E29" s="31">
        <v>3810.12</v>
      </c>
      <c r="F29" s="31">
        <v>3320.75</v>
      </c>
      <c r="G29" s="32">
        <f t="shared" si="0"/>
        <v>489.36999999999989</v>
      </c>
      <c r="H29" s="26">
        <f t="shared" si="1"/>
        <v>0.14736731160129485</v>
      </c>
      <c r="I29" s="29" t="s">
        <v>20</v>
      </c>
    </row>
    <row r="30" spans="1:9" x14ac:dyDescent="0.25">
      <c r="A30" s="29" t="s">
        <v>159</v>
      </c>
      <c r="B30" s="29" t="s">
        <v>58</v>
      </c>
      <c r="C30" s="30">
        <v>350889869760597</v>
      </c>
      <c r="D30" s="29" t="s">
        <v>26</v>
      </c>
      <c r="E30" s="31">
        <v>3810.2</v>
      </c>
      <c r="F30" s="31">
        <v>3338.7</v>
      </c>
      <c r="G30" s="32">
        <f t="shared" si="0"/>
        <v>471.5</v>
      </c>
      <c r="H30" s="26">
        <f t="shared" si="1"/>
        <v>0.14122263156318329</v>
      </c>
      <c r="I30" s="29" t="s">
        <v>20</v>
      </c>
    </row>
    <row r="31" spans="1:9" x14ac:dyDescent="0.25">
      <c r="A31" s="29" t="s">
        <v>159</v>
      </c>
      <c r="B31" s="29" t="s">
        <v>58</v>
      </c>
      <c r="C31" s="30">
        <v>350889869929234</v>
      </c>
      <c r="D31" s="29" t="s">
        <v>26</v>
      </c>
      <c r="E31" s="31">
        <v>3810.2</v>
      </c>
      <c r="F31" s="31">
        <v>3338.7</v>
      </c>
      <c r="G31" s="32">
        <f t="shared" si="0"/>
        <v>471.5</v>
      </c>
      <c r="H31" s="26">
        <f t="shared" si="1"/>
        <v>0.14122263156318329</v>
      </c>
      <c r="I31" s="29" t="s">
        <v>20</v>
      </c>
    </row>
    <row r="32" spans="1:9" x14ac:dyDescent="0.25">
      <c r="A32" s="29" t="s">
        <v>159</v>
      </c>
      <c r="B32" s="29" t="s">
        <v>58</v>
      </c>
      <c r="C32" s="30">
        <v>359814713965672</v>
      </c>
      <c r="D32" s="29" t="s">
        <v>15</v>
      </c>
      <c r="E32" s="31">
        <v>4126.58</v>
      </c>
      <c r="F32" s="31">
        <v>3446.4</v>
      </c>
      <c r="G32" s="32">
        <f t="shared" si="0"/>
        <v>680.17999999999984</v>
      </c>
      <c r="H32" s="26">
        <f t="shared" si="1"/>
        <v>0.19735956360259976</v>
      </c>
      <c r="I32" s="29" t="s">
        <v>20</v>
      </c>
    </row>
    <row r="33" spans="1:9" x14ac:dyDescent="0.25">
      <c r="A33" s="29" t="s">
        <v>304</v>
      </c>
      <c r="B33" s="29" t="s">
        <v>58</v>
      </c>
      <c r="C33" s="30">
        <v>358206133065350</v>
      </c>
      <c r="D33" s="29" t="s">
        <v>15</v>
      </c>
      <c r="E33" s="31">
        <v>4139.24</v>
      </c>
      <c r="F33" s="31">
        <v>3446.4</v>
      </c>
      <c r="G33" s="32">
        <f t="shared" si="0"/>
        <v>692.83999999999969</v>
      </c>
      <c r="H33" s="26">
        <f t="shared" si="1"/>
        <v>0.20103296193129053</v>
      </c>
      <c r="I33" s="29" t="s">
        <v>20</v>
      </c>
    </row>
    <row r="34" spans="1:9" x14ac:dyDescent="0.25">
      <c r="A34" s="29" t="s">
        <v>418</v>
      </c>
      <c r="B34" s="29" t="s">
        <v>85</v>
      </c>
      <c r="C34" s="30">
        <v>351399086670404</v>
      </c>
      <c r="D34" s="29" t="s">
        <v>15</v>
      </c>
      <c r="E34" s="31">
        <v>1569.62</v>
      </c>
      <c r="F34" s="31">
        <v>1005.2</v>
      </c>
      <c r="G34" s="32">
        <f t="shared" si="0"/>
        <v>564.41999999999985</v>
      </c>
      <c r="H34" s="26">
        <f t="shared" si="1"/>
        <v>0.56150019896537984</v>
      </c>
      <c r="I34" s="29" t="s">
        <v>20</v>
      </c>
    </row>
    <row r="35" spans="1:9" x14ac:dyDescent="0.25">
      <c r="A35" s="29" t="s">
        <v>418</v>
      </c>
      <c r="B35" s="29" t="s">
        <v>433</v>
      </c>
      <c r="C35" s="30">
        <v>357463447012518</v>
      </c>
      <c r="D35" s="29" t="s">
        <v>15</v>
      </c>
      <c r="E35" s="31">
        <v>2461.5300000000002</v>
      </c>
      <c r="F35" s="31">
        <v>1687.3</v>
      </c>
      <c r="G35" s="32">
        <f t="shared" si="0"/>
        <v>774.23000000000025</v>
      </c>
      <c r="H35" s="26">
        <f t="shared" si="1"/>
        <v>0.45885734605582901</v>
      </c>
      <c r="I35" s="29" t="s">
        <v>20</v>
      </c>
    </row>
    <row r="36" spans="1:9" x14ac:dyDescent="0.25">
      <c r="A36" s="29" t="s">
        <v>418</v>
      </c>
      <c r="B36" s="29" t="s">
        <v>58</v>
      </c>
      <c r="C36" s="30">
        <v>357329444402202</v>
      </c>
      <c r="D36" s="29" t="s">
        <v>26</v>
      </c>
      <c r="E36" s="31">
        <v>4075.94</v>
      </c>
      <c r="F36" s="31">
        <v>3446.4</v>
      </c>
      <c r="G36" s="32">
        <f t="shared" si="0"/>
        <v>629.54</v>
      </c>
      <c r="H36" s="26">
        <f t="shared" si="1"/>
        <v>0.18266597028783657</v>
      </c>
      <c r="I36" s="29" t="s">
        <v>20</v>
      </c>
    </row>
    <row r="37" spans="1:9" x14ac:dyDescent="0.25">
      <c r="A37" s="29" t="s">
        <v>418</v>
      </c>
      <c r="B37" s="29" t="s">
        <v>58</v>
      </c>
      <c r="C37" s="30">
        <v>357329444677837</v>
      </c>
      <c r="D37" s="29" t="s">
        <v>26</v>
      </c>
      <c r="E37" s="31">
        <v>4075.94</v>
      </c>
      <c r="F37" s="31">
        <v>3446.4</v>
      </c>
      <c r="G37" s="32">
        <f t="shared" si="0"/>
        <v>629.54</v>
      </c>
      <c r="H37" s="26">
        <f t="shared" si="1"/>
        <v>0.18266597028783657</v>
      </c>
      <c r="I37" s="29" t="s">
        <v>20</v>
      </c>
    </row>
    <row r="38" spans="1:9" x14ac:dyDescent="0.25">
      <c r="A38" s="29" t="s">
        <v>436</v>
      </c>
      <c r="B38" s="29" t="s">
        <v>55</v>
      </c>
      <c r="C38" s="30">
        <v>354717534936118</v>
      </c>
      <c r="D38" s="29" t="s">
        <v>15</v>
      </c>
      <c r="E38" s="31">
        <v>2430.37</v>
      </c>
      <c r="F38" s="31">
        <v>2046.3</v>
      </c>
      <c r="G38" s="32">
        <f t="shared" si="0"/>
        <v>384.06999999999994</v>
      </c>
      <c r="H38" s="26">
        <f t="shared" si="1"/>
        <v>0.18768997703171575</v>
      </c>
      <c r="I38" s="29" t="s">
        <v>20</v>
      </c>
    </row>
    <row r="39" spans="1:9" x14ac:dyDescent="0.25">
      <c r="A39" s="29" t="s">
        <v>436</v>
      </c>
      <c r="B39" s="29" t="s">
        <v>58</v>
      </c>
      <c r="C39" s="30">
        <v>353497852090191</v>
      </c>
      <c r="D39" s="29" t="s">
        <v>26</v>
      </c>
      <c r="E39" s="31">
        <v>3683.54</v>
      </c>
      <c r="F39" s="31">
        <v>3446.4</v>
      </c>
      <c r="G39" s="32">
        <f t="shared" si="0"/>
        <v>237.13999999999987</v>
      </c>
      <c r="H39" s="26">
        <f t="shared" si="1"/>
        <v>6.8808031569173589E-2</v>
      </c>
      <c r="I39" s="29" t="s">
        <v>20</v>
      </c>
    </row>
    <row r="40" spans="1:9" x14ac:dyDescent="0.25">
      <c r="A40" s="29" t="s">
        <v>436</v>
      </c>
      <c r="B40" s="29" t="s">
        <v>58</v>
      </c>
      <c r="C40" s="30">
        <v>356188169002535</v>
      </c>
      <c r="D40" s="29" t="s">
        <v>26</v>
      </c>
      <c r="E40" s="31">
        <v>3683.54</v>
      </c>
      <c r="F40" s="31">
        <v>3213</v>
      </c>
      <c r="G40" s="32">
        <f t="shared" si="0"/>
        <v>470.53999999999996</v>
      </c>
      <c r="H40" s="26">
        <f t="shared" si="1"/>
        <v>0.14644880174291938</v>
      </c>
      <c r="I40" s="29" t="s">
        <v>20</v>
      </c>
    </row>
    <row r="41" spans="1:9" x14ac:dyDescent="0.25">
      <c r="A41" s="29" t="s">
        <v>466</v>
      </c>
      <c r="B41" s="29" t="s">
        <v>467</v>
      </c>
      <c r="C41" s="30">
        <v>359836518197367</v>
      </c>
      <c r="D41" s="29" t="s">
        <v>15</v>
      </c>
      <c r="E41" s="31">
        <v>1392.4</v>
      </c>
      <c r="F41" s="31">
        <v>1078.5</v>
      </c>
      <c r="G41" s="32">
        <f t="shared" si="0"/>
        <v>313.90000000000009</v>
      </c>
      <c r="H41" s="26">
        <f t="shared" si="1"/>
        <v>0.29105238757533619</v>
      </c>
      <c r="I41" s="29" t="s">
        <v>20</v>
      </c>
    </row>
    <row r="42" spans="1:9" x14ac:dyDescent="0.25">
      <c r="A42" s="29" t="s">
        <v>466</v>
      </c>
      <c r="B42" s="29" t="s">
        <v>468</v>
      </c>
      <c r="C42" s="30">
        <v>358352972640471</v>
      </c>
      <c r="D42" s="29" t="s">
        <v>15</v>
      </c>
      <c r="E42" s="31">
        <v>531.64</v>
      </c>
      <c r="F42" s="31">
        <v>295</v>
      </c>
      <c r="G42" s="32">
        <f t="shared" si="0"/>
        <v>236.64</v>
      </c>
      <c r="H42" s="26">
        <f t="shared" si="1"/>
        <v>0.80216949152542372</v>
      </c>
      <c r="I42" s="29" t="s">
        <v>20</v>
      </c>
    </row>
    <row r="43" spans="1:9" x14ac:dyDescent="0.25">
      <c r="A43" s="29" t="s">
        <v>466</v>
      </c>
      <c r="B43" s="29" t="s">
        <v>469</v>
      </c>
      <c r="C43" s="30">
        <v>359636864068653</v>
      </c>
      <c r="D43" s="29" t="s">
        <v>15</v>
      </c>
      <c r="E43" s="31">
        <v>354.43</v>
      </c>
      <c r="F43" s="31">
        <v>108</v>
      </c>
      <c r="G43" s="32">
        <f t="shared" si="0"/>
        <v>246.43</v>
      </c>
      <c r="H43" s="26">
        <f t="shared" si="1"/>
        <v>2.2817592592592595</v>
      </c>
      <c r="I43" s="29" t="s">
        <v>20</v>
      </c>
    </row>
    <row r="44" spans="1:9" x14ac:dyDescent="0.25">
      <c r="A44" s="29" t="s">
        <v>466</v>
      </c>
      <c r="B44" s="29" t="s">
        <v>470</v>
      </c>
      <c r="C44" s="30">
        <v>353490912585953</v>
      </c>
      <c r="D44" s="29" t="s">
        <v>15</v>
      </c>
      <c r="E44" s="31">
        <v>354.43</v>
      </c>
      <c r="F44" s="31">
        <v>270</v>
      </c>
      <c r="G44" s="32">
        <f t="shared" si="0"/>
        <v>84.43</v>
      </c>
      <c r="H44" s="26">
        <f t="shared" si="1"/>
        <v>0.31270370370370371</v>
      </c>
      <c r="I44" s="29" t="s">
        <v>20</v>
      </c>
    </row>
    <row r="45" spans="1:9" x14ac:dyDescent="0.25">
      <c r="A45" s="29" t="s">
        <v>466</v>
      </c>
      <c r="B45" s="29" t="s">
        <v>329</v>
      </c>
      <c r="C45" s="30" t="s">
        <v>471</v>
      </c>
      <c r="D45" s="29" t="s">
        <v>15</v>
      </c>
      <c r="E45" s="31">
        <v>2088.6</v>
      </c>
      <c r="F45" s="31">
        <v>1581.76</v>
      </c>
      <c r="G45" s="32">
        <f t="shared" si="0"/>
        <v>506.83999999999992</v>
      </c>
      <c r="H45" s="26">
        <f t="shared" si="1"/>
        <v>0.32042787780699977</v>
      </c>
      <c r="I45" s="29" t="s">
        <v>20</v>
      </c>
    </row>
    <row r="46" spans="1:9" x14ac:dyDescent="0.25">
      <c r="A46" s="29" t="s">
        <v>472</v>
      </c>
      <c r="B46" s="29" t="s">
        <v>55</v>
      </c>
      <c r="C46" s="30">
        <v>355714601350611</v>
      </c>
      <c r="D46" s="29" t="s">
        <v>15</v>
      </c>
      <c r="E46" s="31">
        <v>2443.0300000000002</v>
      </c>
      <c r="F46" s="31">
        <v>2046.3</v>
      </c>
      <c r="G46" s="32">
        <f t="shared" si="0"/>
        <v>396.73000000000025</v>
      </c>
      <c r="H46" s="26">
        <f t="shared" si="1"/>
        <v>0.19387675316424779</v>
      </c>
      <c r="I46" s="29" t="s">
        <v>20</v>
      </c>
    </row>
    <row r="47" spans="1:9" x14ac:dyDescent="0.25">
      <c r="A47" s="29" t="s">
        <v>473</v>
      </c>
      <c r="B47" s="29" t="s">
        <v>480</v>
      </c>
      <c r="C47" s="30">
        <v>354136652903232</v>
      </c>
      <c r="D47" s="29" t="s">
        <v>15</v>
      </c>
      <c r="E47" s="31">
        <v>2379.7399999999998</v>
      </c>
      <c r="F47" s="31">
        <v>1938.6</v>
      </c>
      <c r="G47" s="32">
        <f t="shared" si="0"/>
        <v>441.13999999999987</v>
      </c>
      <c r="H47" s="26">
        <f t="shared" si="1"/>
        <v>0.22755596822449184</v>
      </c>
      <c r="I47" s="29" t="s">
        <v>20</v>
      </c>
    </row>
    <row r="48" spans="1:9" x14ac:dyDescent="0.25">
      <c r="A48" s="29" t="s">
        <v>496</v>
      </c>
      <c r="B48" s="29" t="s">
        <v>497</v>
      </c>
      <c r="C48" s="30">
        <v>352676524778959</v>
      </c>
      <c r="D48" s="29" t="s">
        <v>15</v>
      </c>
      <c r="E48" s="31">
        <v>1924.05</v>
      </c>
      <c r="F48" s="31">
        <v>1797.5</v>
      </c>
      <c r="G48" s="32">
        <f t="shared" si="0"/>
        <v>126.54999999999995</v>
      </c>
      <c r="H48" s="26">
        <f t="shared" si="1"/>
        <v>7.0403337969401916E-2</v>
      </c>
      <c r="I48" s="29" t="s">
        <v>20</v>
      </c>
    </row>
    <row r="49" spans="1:11" x14ac:dyDescent="0.25">
      <c r="A49" s="29" t="s">
        <v>496</v>
      </c>
      <c r="B49" s="29" t="s">
        <v>497</v>
      </c>
      <c r="C49" s="30">
        <v>357275795101812</v>
      </c>
      <c r="D49" s="29" t="s">
        <v>15</v>
      </c>
      <c r="E49" s="31">
        <v>1924.05</v>
      </c>
      <c r="F49" s="31">
        <v>1833.45</v>
      </c>
      <c r="G49" s="32">
        <f t="shared" si="0"/>
        <v>90.599999999999909</v>
      </c>
      <c r="H49" s="26">
        <f t="shared" si="1"/>
        <v>4.941503722490382E-2</v>
      </c>
      <c r="I49" s="29" t="s">
        <v>20</v>
      </c>
    </row>
    <row r="50" spans="1:11" x14ac:dyDescent="0.25">
      <c r="A50" s="29" t="s">
        <v>498</v>
      </c>
      <c r="B50" s="29" t="s">
        <v>58</v>
      </c>
      <c r="C50" s="30">
        <v>357431261821892</v>
      </c>
      <c r="D50" s="29" t="s">
        <v>15</v>
      </c>
      <c r="E50" s="31">
        <v>3493.67</v>
      </c>
      <c r="F50" s="31">
        <v>2979.7</v>
      </c>
      <c r="G50" s="32">
        <f t="shared" si="0"/>
        <v>513.97000000000025</v>
      </c>
      <c r="H50" s="26">
        <f t="shared" si="1"/>
        <v>0.17249051917978331</v>
      </c>
      <c r="I50" s="29" t="s">
        <v>20</v>
      </c>
    </row>
    <row r="51" spans="1:11" x14ac:dyDescent="0.25">
      <c r="A51" s="29" t="s">
        <v>515</v>
      </c>
      <c r="B51" s="29" t="s">
        <v>85</v>
      </c>
      <c r="C51" s="30">
        <v>351399080605059</v>
      </c>
      <c r="D51" s="29" t="s">
        <v>56</v>
      </c>
      <c r="E51" s="31">
        <v>1468.35</v>
      </c>
      <c r="F51" s="31">
        <v>1005.2</v>
      </c>
      <c r="G51" s="32">
        <f t="shared" si="0"/>
        <v>463.14999999999986</v>
      </c>
      <c r="H51" s="26">
        <f t="shared" si="1"/>
        <v>0.46075407879029034</v>
      </c>
      <c r="I51" s="29" t="s">
        <v>20</v>
      </c>
    </row>
    <row r="52" spans="1:11" x14ac:dyDescent="0.25">
      <c r="A52" s="29" t="s">
        <v>515</v>
      </c>
      <c r="B52" s="29" t="s">
        <v>63</v>
      </c>
      <c r="C52" s="30">
        <v>357253672862772</v>
      </c>
      <c r="D52" s="29" t="s">
        <v>56</v>
      </c>
      <c r="E52" s="31">
        <v>1860.75</v>
      </c>
      <c r="F52" s="31">
        <v>1292.4000000000001</v>
      </c>
      <c r="G52" s="32">
        <f t="shared" si="0"/>
        <v>568.34999999999991</v>
      </c>
      <c r="H52" s="26">
        <f t="shared" si="1"/>
        <v>0.4397632311977715</v>
      </c>
      <c r="I52" s="29" t="s">
        <v>20</v>
      </c>
    </row>
    <row r="53" spans="1:11" x14ac:dyDescent="0.25">
      <c r="A53" s="29" t="s">
        <v>515</v>
      </c>
      <c r="B53" s="29" t="s">
        <v>517</v>
      </c>
      <c r="C53" s="30">
        <v>358838942166878</v>
      </c>
      <c r="D53" s="29" t="s">
        <v>15</v>
      </c>
      <c r="E53" s="31">
        <v>2670.88</v>
      </c>
      <c r="F53" s="31">
        <v>2225.8000000000002</v>
      </c>
      <c r="G53" s="32">
        <f t="shared" si="0"/>
        <v>445.07999999999993</v>
      </c>
      <c r="H53" s="26">
        <f t="shared" si="1"/>
        <v>0.19996405786683435</v>
      </c>
      <c r="I53" s="29" t="s">
        <v>20</v>
      </c>
    </row>
    <row r="54" spans="1:11" x14ac:dyDescent="0.25">
      <c r="A54" s="29" t="s">
        <v>515</v>
      </c>
      <c r="B54" s="29" t="s">
        <v>64</v>
      </c>
      <c r="C54" s="57">
        <v>355820200559732</v>
      </c>
      <c r="D54" s="29"/>
      <c r="E54" s="31">
        <v>2856</v>
      </c>
      <c r="F54" s="31">
        <v>3379.74</v>
      </c>
      <c r="G54" s="32">
        <f t="shared" si="0"/>
        <v>-523.73999999999978</v>
      </c>
      <c r="H54" s="26">
        <f t="shared" si="1"/>
        <v>-0.15496458307443761</v>
      </c>
      <c r="I54" s="29" t="s">
        <v>20</v>
      </c>
    </row>
    <row r="55" spans="1:11" x14ac:dyDescent="0.25">
      <c r="A55" s="29" t="s">
        <v>733</v>
      </c>
      <c r="B55" s="29" t="s">
        <v>58</v>
      </c>
      <c r="C55" s="30">
        <v>353497854667285</v>
      </c>
      <c r="D55" s="29" t="s">
        <v>735</v>
      </c>
      <c r="E55" s="31">
        <v>3930.37</v>
      </c>
      <c r="F55" s="31">
        <v>3530</v>
      </c>
      <c r="G55" s="32">
        <f t="shared" si="0"/>
        <v>400.36999999999989</v>
      </c>
      <c r="H55" s="26">
        <f t="shared" si="1"/>
        <v>0.11341926345609062</v>
      </c>
      <c r="I55" s="29" t="s">
        <v>736</v>
      </c>
    </row>
    <row r="56" spans="1:11" x14ac:dyDescent="0.25">
      <c r="A56" s="29" t="s">
        <v>733</v>
      </c>
      <c r="B56" s="29" t="s">
        <v>58</v>
      </c>
      <c r="C56" s="30">
        <v>355246657678173</v>
      </c>
      <c r="D56" s="29" t="s">
        <v>735</v>
      </c>
      <c r="E56" s="31">
        <v>3930.37</v>
      </c>
      <c r="F56" s="31">
        <v>3530</v>
      </c>
      <c r="G56" s="32">
        <f t="shared" si="0"/>
        <v>400.36999999999989</v>
      </c>
      <c r="H56" s="26">
        <f t="shared" si="1"/>
        <v>0.11341926345609062</v>
      </c>
      <c r="I56" s="29" t="s">
        <v>736</v>
      </c>
    </row>
    <row r="57" spans="1:11" x14ac:dyDescent="0.25">
      <c r="A57" s="29" t="s">
        <v>304</v>
      </c>
      <c r="B57" s="29" t="s">
        <v>329</v>
      </c>
      <c r="C57" s="30" t="s">
        <v>330</v>
      </c>
      <c r="D57" s="29" t="s">
        <v>15</v>
      </c>
      <c r="E57" s="31">
        <v>2088.6</v>
      </c>
      <c r="F57" s="32">
        <v>1375.7909090909091</v>
      </c>
      <c r="G57" s="32">
        <f t="shared" si="0"/>
        <v>712.80909090909086</v>
      </c>
      <c r="H57" s="26">
        <f t="shared" si="1"/>
        <v>0.51810859208257065</v>
      </c>
      <c r="I57" s="29" t="s">
        <v>16</v>
      </c>
      <c r="J57" s="55"/>
      <c r="K57" s="56"/>
    </row>
    <row r="58" spans="1:11" x14ac:dyDescent="0.25">
      <c r="A58" s="29" t="s">
        <v>304</v>
      </c>
      <c r="B58" s="29" t="s">
        <v>329</v>
      </c>
      <c r="C58" s="30" t="s">
        <v>331</v>
      </c>
      <c r="D58" s="29" t="s">
        <v>15</v>
      </c>
      <c r="E58" s="31">
        <v>2126.58</v>
      </c>
      <c r="F58" s="32">
        <v>1375.7909090909091</v>
      </c>
      <c r="G58" s="32">
        <f t="shared" si="0"/>
        <v>750.78909090909087</v>
      </c>
      <c r="H58" s="26">
        <f t="shared" si="1"/>
        <v>0.5457145311457211</v>
      </c>
      <c r="I58" s="29" t="s">
        <v>16</v>
      </c>
      <c r="J58" s="55"/>
      <c r="K58" s="56"/>
    </row>
    <row r="59" spans="1:11" x14ac:dyDescent="0.25">
      <c r="A59" s="29" t="s">
        <v>304</v>
      </c>
      <c r="B59" s="29" t="s">
        <v>329</v>
      </c>
      <c r="C59" s="30" t="s">
        <v>332</v>
      </c>
      <c r="D59" s="29" t="s">
        <v>15</v>
      </c>
      <c r="E59" s="31">
        <v>2120.25</v>
      </c>
      <c r="F59" s="32">
        <v>1375.7909090909091</v>
      </c>
      <c r="G59" s="32">
        <f t="shared" si="0"/>
        <v>744.45909090909095</v>
      </c>
      <c r="H59" s="26">
        <f t="shared" si="1"/>
        <v>0.54111354130186273</v>
      </c>
      <c r="I59" s="29" t="s">
        <v>16</v>
      </c>
      <c r="J59" s="55"/>
      <c r="K59" s="56"/>
    </row>
    <row r="60" spans="1:11" x14ac:dyDescent="0.25">
      <c r="A60" s="29" t="s">
        <v>304</v>
      </c>
      <c r="B60" s="29" t="s">
        <v>329</v>
      </c>
      <c r="C60" s="30" t="s">
        <v>333</v>
      </c>
      <c r="D60" s="29" t="s">
        <v>15</v>
      </c>
      <c r="E60" s="31">
        <v>2126.58</v>
      </c>
      <c r="F60" s="32">
        <v>1359.2545454545455</v>
      </c>
      <c r="G60" s="32">
        <f t="shared" si="0"/>
        <v>767.32545454545448</v>
      </c>
      <c r="H60" s="26">
        <f t="shared" si="1"/>
        <v>0.56451932208831035</v>
      </c>
      <c r="I60" s="29" t="s">
        <v>16</v>
      </c>
      <c r="J60" s="55"/>
      <c r="K60" s="56"/>
    </row>
    <row r="61" spans="1:11" x14ac:dyDescent="0.25">
      <c r="A61" s="29" t="s">
        <v>304</v>
      </c>
      <c r="B61" s="29" t="s">
        <v>329</v>
      </c>
      <c r="C61" s="30" t="s">
        <v>334</v>
      </c>
      <c r="D61" s="29" t="s">
        <v>15</v>
      </c>
      <c r="E61" s="31">
        <v>2126.58</v>
      </c>
      <c r="F61" s="32">
        <v>1359.2545454545455</v>
      </c>
      <c r="G61" s="32">
        <f t="shared" si="0"/>
        <v>767.32545454545448</v>
      </c>
      <c r="H61" s="26">
        <f t="shared" si="1"/>
        <v>0.56451932208831035</v>
      </c>
      <c r="I61" s="29" t="s">
        <v>16</v>
      </c>
      <c r="J61" s="55"/>
      <c r="K61" s="56"/>
    </row>
    <row r="62" spans="1:11" x14ac:dyDescent="0.25">
      <c r="A62" s="29" t="s">
        <v>304</v>
      </c>
      <c r="B62" s="29" t="s">
        <v>329</v>
      </c>
      <c r="C62" s="30" t="s">
        <v>335</v>
      </c>
      <c r="D62" s="29" t="s">
        <v>15</v>
      </c>
      <c r="E62" s="31">
        <v>2120.25</v>
      </c>
      <c r="F62" s="32">
        <v>1375.7909090909091</v>
      </c>
      <c r="G62" s="32">
        <f t="shared" si="0"/>
        <v>744.45909090909095</v>
      </c>
      <c r="H62" s="26">
        <f t="shared" si="1"/>
        <v>0.54111354130186273</v>
      </c>
      <c r="I62" s="29" t="s">
        <v>16</v>
      </c>
      <c r="J62" s="55"/>
      <c r="K62" s="56"/>
    </row>
    <row r="63" spans="1:11" x14ac:dyDescent="0.25">
      <c r="A63" s="29" t="s">
        <v>304</v>
      </c>
      <c r="B63" s="29" t="s">
        <v>329</v>
      </c>
      <c r="C63" s="30" t="s">
        <v>336</v>
      </c>
      <c r="D63" s="29" t="s">
        <v>15</v>
      </c>
      <c r="E63" s="31">
        <v>2120.25</v>
      </c>
      <c r="F63" s="32">
        <v>1359.2545454545455</v>
      </c>
      <c r="G63" s="32">
        <f t="shared" si="0"/>
        <v>760.99545454545455</v>
      </c>
      <c r="H63" s="26">
        <f t="shared" si="1"/>
        <v>0.55986235770943971</v>
      </c>
      <c r="I63" s="29" t="s">
        <v>16</v>
      </c>
      <c r="J63" s="55"/>
      <c r="K63" s="56"/>
    </row>
    <row r="64" spans="1:11" x14ac:dyDescent="0.25">
      <c r="A64" s="29" t="s">
        <v>304</v>
      </c>
      <c r="B64" s="29" t="s">
        <v>329</v>
      </c>
      <c r="C64" s="30" t="s">
        <v>337</v>
      </c>
      <c r="D64" s="29" t="s">
        <v>15</v>
      </c>
      <c r="E64" s="31">
        <v>2120.25</v>
      </c>
      <c r="F64" s="32">
        <v>1375.7545454545455</v>
      </c>
      <c r="G64" s="32">
        <f t="shared" si="0"/>
        <v>744.49545454545455</v>
      </c>
      <c r="H64" s="26">
        <f t="shared" si="1"/>
        <v>0.54115427567021068</v>
      </c>
      <c r="I64" s="29" t="s">
        <v>16</v>
      </c>
      <c r="J64" s="55"/>
      <c r="K64" s="56"/>
    </row>
    <row r="65" spans="1:11" x14ac:dyDescent="0.25">
      <c r="A65" s="29" t="s">
        <v>304</v>
      </c>
      <c r="B65" s="29" t="s">
        <v>329</v>
      </c>
      <c r="C65" s="30" t="s">
        <v>338</v>
      </c>
      <c r="D65" s="29" t="s">
        <v>15</v>
      </c>
      <c r="E65" s="31">
        <v>2126.58</v>
      </c>
      <c r="F65" s="32">
        <v>1375.7909090909091</v>
      </c>
      <c r="G65" s="32">
        <f t="shared" si="0"/>
        <v>750.78909090909087</v>
      </c>
      <c r="H65" s="26">
        <f t="shared" si="1"/>
        <v>0.5457145311457211</v>
      </c>
      <c r="I65" s="29" t="s">
        <v>16</v>
      </c>
      <c r="J65" s="55"/>
      <c r="K65" s="56"/>
    </row>
    <row r="66" spans="1:11" x14ac:dyDescent="0.25">
      <c r="A66" s="29" t="s">
        <v>418</v>
      </c>
      <c r="B66" s="29" t="s">
        <v>329</v>
      </c>
      <c r="C66" s="30" t="s">
        <v>434</v>
      </c>
      <c r="D66" s="29" t="s">
        <v>15</v>
      </c>
      <c r="E66" s="31">
        <v>2115.38</v>
      </c>
      <c r="F66" s="32">
        <v>1375.7545454545455</v>
      </c>
      <c r="G66" s="32">
        <f t="shared" si="0"/>
        <v>739.62545454545466</v>
      </c>
      <c r="H66" s="26">
        <f t="shared" si="1"/>
        <v>0.53761440003171823</v>
      </c>
      <c r="I66" s="29" t="s">
        <v>16</v>
      </c>
      <c r="J66" s="55"/>
      <c r="K66" s="56"/>
    </row>
    <row r="67" spans="1:11" x14ac:dyDescent="0.25">
      <c r="A67" s="29" t="s">
        <v>418</v>
      </c>
      <c r="B67" s="29" t="s">
        <v>329</v>
      </c>
      <c r="C67" s="30" t="s">
        <v>435</v>
      </c>
      <c r="D67" s="29" t="s">
        <v>15</v>
      </c>
      <c r="E67" s="31">
        <v>2115.38</v>
      </c>
      <c r="F67" s="32">
        <v>1359.2545454545455</v>
      </c>
      <c r="G67" s="32">
        <f t="shared" ref="G67:G68" si="2">E67-F67</f>
        <v>756.12545454545466</v>
      </c>
      <c r="H67" s="26">
        <f t="shared" ref="H67:H68" si="3">(E67-F67)/F67</f>
        <v>0.55627951149694355</v>
      </c>
      <c r="I67" s="29" t="s">
        <v>16</v>
      </c>
      <c r="J67" s="55"/>
      <c r="K67" s="56"/>
    </row>
    <row r="68" spans="1:11" x14ac:dyDescent="0.25">
      <c r="A68" s="29" t="s">
        <v>485</v>
      </c>
      <c r="B68" s="29" t="s">
        <v>329</v>
      </c>
      <c r="C68" s="30" t="s">
        <v>486</v>
      </c>
      <c r="D68" s="29" t="s">
        <v>15</v>
      </c>
      <c r="E68" s="31">
        <v>2126.58</v>
      </c>
      <c r="F68" s="32">
        <v>1375.7545454545455</v>
      </c>
      <c r="G68" s="32">
        <f t="shared" si="2"/>
        <v>750.82545454545448</v>
      </c>
      <c r="H68" s="26">
        <f t="shared" si="3"/>
        <v>0.54575538712640337</v>
      </c>
      <c r="I68" s="29" t="s">
        <v>16</v>
      </c>
      <c r="J68" s="55"/>
      <c r="K68" s="56"/>
    </row>
    <row r="69" spans="1:11" x14ac:dyDescent="0.25">
      <c r="E69" s="16" t="s">
        <v>741</v>
      </c>
      <c r="F69" s="16" t="s">
        <v>742</v>
      </c>
      <c r="G69" s="16" t="s">
        <v>743</v>
      </c>
      <c r="H69" s="18" t="s">
        <v>744</v>
      </c>
      <c r="I69" s="23"/>
    </row>
    <row r="70" spans="1:11" x14ac:dyDescent="0.25">
      <c r="E70" s="27">
        <f t="shared" ref="E70:G70" si="4">SUM(E2:E69)</f>
        <v>188750.67999999991</v>
      </c>
      <c r="F70" s="27">
        <f t="shared" si="4"/>
        <v>154774.7763636364</v>
      </c>
      <c r="G70" s="43">
        <f t="shared" si="4"/>
        <v>33975.903636363626</v>
      </c>
      <c r="H70" s="28">
        <f>AVERAGE(H2:H69)</f>
        <v>0.30301198374687444</v>
      </c>
      <c r="I70" s="23"/>
    </row>
    <row r="73" spans="1:11" x14ac:dyDescent="0.25">
      <c r="B73" s="59" t="s">
        <v>755</v>
      </c>
      <c r="C73" s="59">
        <v>8922</v>
      </c>
    </row>
    <row r="74" spans="1:11" x14ac:dyDescent="0.25">
      <c r="B74" s="59" t="s">
        <v>756</v>
      </c>
      <c r="C74" s="59">
        <v>2731</v>
      </c>
    </row>
    <row r="75" spans="1:11" x14ac:dyDescent="0.25">
      <c r="B75" s="59"/>
      <c r="C75" s="59"/>
    </row>
    <row r="76" spans="1:11" x14ac:dyDescent="0.25">
      <c r="B76" s="27" t="s">
        <v>766</v>
      </c>
      <c r="C76" s="27">
        <f>SUM(C73:C75)</f>
        <v>11653</v>
      </c>
    </row>
    <row r="77" spans="1:11" x14ac:dyDescent="0.25">
      <c r="B77" s="27"/>
      <c r="C77" s="27"/>
    </row>
    <row r="78" spans="1:11" x14ac:dyDescent="0.25">
      <c r="B78" s="27" t="s">
        <v>770</v>
      </c>
      <c r="C78" s="43">
        <f>G70-C76</f>
        <v>22322.903636363626</v>
      </c>
    </row>
  </sheetData>
  <conditionalFormatting sqref="C1">
    <cfRule type="duplicateValues" dxfId="5" priority="1"/>
  </conditionalFormatting>
  <conditionalFormatting sqref="C2:C17">
    <cfRule type="duplicateValues" dxfId="4" priority="6"/>
  </conditionalFormatting>
  <conditionalFormatting sqref="C18:C54">
    <cfRule type="duplicateValues" dxfId="3" priority="5"/>
  </conditionalFormatting>
  <conditionalFormatting sqref="C54">
    <cfRule type="duplicateValues" dxfId="2" priority="3"/>
    <cfRule type="duplicateValues" dxfId="1" priority="4"/>
  </conditionalFormatting>
  <conditionalFormatting sqref="C57:C68"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7804-0984-43DF-92F3-3C2BE70D022A}">
  <dimension ref="A1:K212"/>
  <sheetViews>
    <sheetView topLeftCell="A196" zoomScale="80" zoomScaleNormal="80" workbookViewId="0">
      <selection activeCell="I212" sqref="I212"/>
    </sheetView>
  </sheetViews>
  <sheetFormatPr defaultRowHeight="15" x14ac:dyDescent="0.25"/>
  <cols>
    <col min="1" max="3" width="23.5703125" customWidth="1"/>
    <col min="4" max="4" width="15.28515625" customWidth="1"/>
    <col min="5" max="6" width="23.5703125" customWidth="1"/>
    <col min="7" max="8" width="23.5703125" style="8" customWidth="1"/>
    <col min="9" max="9" width="23.5703125" customWidth="1"/>
    <col min="10" max="10" width="23.5703125" style="15" customWidth="1"/>
    <col min="11" max="11" width="23.5703125" customWidth="1"/>
  </cols>
  <sheetData>
    <row r="1" spans="1:11" x14ac:dyDescent="0.25">
      <c r="A1" s="16" t="s">
        <v>3</v>
      </c>
      <c r="B1" s="16" t="s">
        <v>4</v>
      </c>
      <c r="C1" s="17" t="s">
        <v>5</v>
      </c>
      <c r="D1" s="16" t="s">
        <v>6</v>
      </c>
      <c r="E1" s="16" t="s">
        <v>7</v>
      </c>
      <c r="F1" s="16" t="s">
        <v>8</v>
      </c>
      <c r="G1" s="35" t="s">
        <v>745</v>
      </c>
      <c r="H1" s="35" t="s">
        <v>746</v>
      </c>
      <c r="I1" s="16" t="s">
        <v>9</v>
      </c>
      <c r="J1" s="18" t="s">
        <v>10</v>
      </c>
      <c r="K1" s="16" t="s">
        <v>11</v>
      </c>
    </row>
    <row r="2" spans="1:11" x14ac:dyDescent="0.25">
      <c r="A2" s="29" t="s">
        <v>67</v>
      </c>
      <c r="B2" s="29" t="s">
        <v>68</v>
      </c>
      <c r="C2" s="30" t="s">
        <v>69</v>
      </c>
      <c r="D2" s="29" t="s">
        <v>15</v>
      </c>
      <c r="E2" s="31">
        <v>630</v>
      </c>
      <c r="F2" s="31">
        <v>637</v>
      </c>
      <c r="G2" s="32">
        <f>F2*13.04/100</f>
        <v>83.064799999999991</v>
      </c>
      <c r="H2" s="32">
        <f>F2-G2</f>
        <v>553.93520000000001</v>
      </c>
      <c r="I2" s="32">
        <f>E2-H2</f>
        <v>76.064799999999991</v>
      </c>
      <c r="J2" s="26">
        <f>(E2-H2)/H2</f>
        <v>0.13731714467685027</v>
      </c>
      <c r="K2" s="29" t="s">
        <v>70</v>
      </c>
    </row>
    <row r="3" spans="1:11" x14ac:dyDescent="0.25">
      <c r="A3" s="29" t="s">
        <v>67</v>
      </c>
      <c r="B3" s="29" t="s">
        <v>68</v>
      </c>
      <c r="C3" s="30" t="s">
        <v>71</v>
      </c>
      <c r="D3" s="29" t="s">
        <v>15</v>
      </c>
      <c r="E3" s="31">
        <v>630</v>
      </c>
      <c r="F3" s="31">
        <v>637</v>
      </c>
      <c r="G3" s="32">
        <f t="shared" ref="G3:G66" si="0">F3*13.04/100</f>
        <v>83.064799999999991</v>
      </c>
      <c r="H3" s="32">
        <f t="shared" ref="H3:H66" si="1">F3-G3</f>
        <v>553.93520000000001</v>
      </c>
      <c r="I3" s="32">
        <f t="shared" ref="I3:I66" si="2">E3-H3</f>
        <v>76.064799999999991</v>
      </c>
      <c r="J3" s="26">
        <f t="shared" ref="J3:J66" si="3">(E3-H3)/H3</f>
        <v>0.13731714467685027</v>
      </c>
      <c r="K3" s="29" t="s">
        <v>70</v>
      </c>
    </row>
    <row r="4" spans="1:11" x14ac:dyDescent="0.25">
      <c r="A4" s="29" t="s">
        <v>67</v>
      </c>
      <c r="B4" s="29" t="s">
        <v>68</v>
      </c>
      <c r="C4" s="30" t="s">
        <v>72</v>
      </c>
      <c r="D4" s="29" t="s">
        <v>15</v>
      </c>
      <c r="E4" s="31">
        <v>630</v>
      </c>
      <c r="F4" s="31">
        <v>637</v>
      </c>
      <c r="G4" s="32">
        <f t="shared" si="0"/>
        <v>83.064799999999991</v>
      </c>
      <c r="H4" s="32">
        <f t="shared" si="1"/>
        <v>553.93520000000001</v>
      </c>
      <c r="I4" s="32">
        <f t="shared" si="2"/>
        <v>76.064799999999991</v>
      </c>
      <c r="J4" s="26">
        <f t="shared" si="3"/>
        <v>0.13731714467685027</v>
      </c>
      <c r="K4" s="29" t="s">
        <v>70</v>
      </c>
    </row>
    <row r="5" spans="1:11" x14ac:dyDescent="0.25">
      <c r="A5" s="29" t="s">
        <v>67</v>
      </c>
      <c r="B5" s="29" t="s">
        <v>68</v>
      </c>
      <c r="C5" s="30" t="s">
        <v>73</v>
      </c>
      <c r="D5" s="29" t="s">
        <v>15</v>
      </c>
      <c r="E5" s="31">
        <v>630</v>
      </c>
      <c r="F5" s="31">
        <v>633.88</v>
      </c>
      <c r="G5" s="32">
        <f t="shared" si="0"/>
        <v>82.65795199999998</v>
      </c>
      <c r="H5" s="32">
        <f t="shared" si="1"/>
        <v>551.22204799999997</v>
      </c>
      <c r="I5" s="32">
        <f t="shared" si="2"/>
        <v>78.777952000000028</v>
      </c>
      <c r="J5" s="26">
        <f t="shared" si="3"/>
        <v>0.14291509616828685</v>
      </c>
      <c r="K5" s="29" t="s">
        <v>16</v>
      </c>
    </row>
    <row r="6" spans="1:11" x14ac:dyDescent="0.25">
      <c r="A6" s="29" t="s">
        <v>67</v>
      </c>
      <c r="B6" s="29" t="s">
        <v>68</v>
      </c>
      <c r="C6" s="30" t="s">
        <v>74</v>
      </c>
      <c r="D6" s="29" t="s">
        <v>15</v>
      </c>
      <c r="E6" s="31">
        <v>630</v>
      </c>
      <c r="F6" s="31">
        <v>633.88</v>
      </c>
      <c r="G6" s="32">
        <f t="shared" si="0"/>
        <v>82.65795199999998</v>
      </c>
      <c r="H6" s="32">
        <f t="shared" si="1"/>
        <v>551.22204799999997</v>
      </c>
      <c r="I6" s="32">
        <f t="shared" si="2"/>
        <v>78.777952000000028</v>
      </c>
      <c r="J6" s="26">
        <f t="shared" si="3"/>
        <v>0.14291509616828685</v>
      </c>
      <c r="K6" s="29" t="s">
        <v>16</v>
      </c>
    </row>
    <row r="7" spans="1:11" x14ac:dyDescent="0.25">
      <c r="A7" s="29" t="s">
        <v>67</v>
      </c>
      <c r="B7" s="29" t="s">
        <v>68</v>
      </c>
      <c r="C7" s="30" t="s">
        <v>75</v>
      </c>
      <c r="D7" s="29" t="s">
        <v>15</v>
      </c>
      <c r="E7" s="31">
        <v>630</v>
      </c>
      <c r="F7" s="31">
        <v>633.88</v>
      </c>
      <c r="G7" s="32">
        <f t="shared" si="0"/>
        <v>82.65795199999998</v>
      </c>
      <c r="H7" s="32">
        <f t="shared" si="1"/>
        <v>551.22204799999997</v>
      </c>
      <c r="I7" s="32">
        <f t="shared" si="2"/>
        <v>78.777952000000028</v>
      </c>
      <c r="J7" s="26">
        <f t="shared" si="3"/>
        <v>0.14291509616828685</v>
      </c>
      <c r="K7" s="29" t="s">
        <v>16</v>
      </c>
    </row>
    <row r="8" spans="1:11" x14ac:dyDescent="0.25">
      <c r="A8" s="29" t="s">
        <v>67</v>
      </c>
      <c r="B8" s="29" t="s">
        <v>68</v>
      </c>
      <c r="C8" s="30" t="s">
        <v>76</v>
      </c>
      <c r="D8" s="29" t="s">
        <v>15</v>
      </c>
      <c r="E8" s="31">
        <v>630</v>
      </c>
      <c r="F8" s="31">
        <v>633.88</v>
      </c>
      <c r="G8" s="32">
        <f t="shared" si="0"/>
        <v>82.65795199999998</v>
      </c>
      <c r="H8" s="32">
        <f t="shared" si="1"/>
        <v>551.22204799999997</v>
      </c>
      <c r="I8" s="32">
        <f t="shared" si="2"/>
        <v>78.777952000000028</v>
      </c>
      <c r="J8" s="26">
        <f t="shared" si="3"/>
        <v>0.14291509616828685</v>
      </c>
      <c r="K8" s="29" t="s">
        <v>16</v>
      </c>
    </row>
    <row r="9" spans="1:11" x14ac:dyDescent="0.25">
      <c r="A9" s="29" t="s">
        <v>67</v>
      </c>
      <c r="B9" s="29" t="s">
        <v>68</v>
      </c>
      <c r="C9" s="30" t="s">
        <v>77</v>
      </c>
      <c r="D9" s="29" t="s">
        <v>15</v>
      </c>
      <c r="E9" s="31">
        <v>630</v>
      </c>
      <c r="F9" s="31">
        <v>633.88</v>
      </c>
      <c r="G9" s="32">
        <f t="shared" si="0"/>
        <v>82.65795199999998</v>
      </c>
      <c r="H9" s="32">
        <f t="shared" si="1"/>
        <v>551.22204799999997</v>
      </c>
      <c r="I9" s="32">
        <f t="shared" si="2"/>
        <v>78.777952000000028</v>
      </c>
      <c r="J9" s="26">
        <f t="shared" si="3"/>
        <v>0.14291509616828685</v>
      </c>
      <c r="K9" s="29" t="s">
        <v>16</v>
      </c>
    </row>
    <row r="10" spans="1:11" x14ac:dyDescent="0.25">
      <c r="A10" s="29" t="s">
        <v>67</v>
      </c>
      <c r="B10" s="29" t="s">
        <v>68</v>
      </c>
      <c r="C10" s="30" t="s">
        <v>78</v>
      </c>
      <c r="D10" s="29" t="s">
        <v>15</v>
      </c>
      <c r="E10" s="31">
        <v>630</v>
      </c>
      <c r="F10" s="31">
        <v>633.88</v>
      </c>
      <c r="G10" s="32">
        <f t="shared" si="0"/>
        <v>82.65795199999998</v>
      </c>
      <c r="H10" s="32">
        <f t="shared" si="1"/>
        <v>551.22204799999997</v>
      </c>
      <c r="I10" s="32">
        <f t="shared" si="2"/>
        <v>78.777952000000028</v>
      </c>
      <c r="J10" s="26">
        <f t="shared" si="3"/>
        <v>0.14291509616828685</v>
      </c>
      <c r="K10" s="29" t="s">
        <v>16</v>
      </c>
    </row>
    <row r="11" spans="1:11" x14ac:dyDescent="0.25">
      <c r="A11" s="29" t="s">
        <v>67</v>
      </c>
      <c r="B11" s="29" t="s">
        <v>68</v>
      </c>
      <c r="C11" s="30" t="s">
        <v>79</v>
      </c>
      <c r="D11" s="29" t="s">
        <v>15</v>
      </c>
      <c r="E11" s="31">
        <v>630</v>
      </c>
      <c r="F11" s="31">
        <v>633.88</v>
      </c>
      <c r="G11" s="32">
        <f t="shared" si="0"/>
        <v>82.65795199999998</v>
      </c>
      <c r="H11" s="32">
        <f t="shared" si="1"/>
        <v>551.22204799999997</v>
      </c>
      <c r="I11" s="32">
        <f t="shared" si="2"/>
        <v>78.777952000000028</v>
      </c>
      <c r="J11" s="26">
        <f t="shared" si="3"/>
        <v>0.14291509616828685</v>
      </c>
      <c r="K11" s="29" t="s">
        <v>16</v>
      </c>
    </row>
    <row r="12" spans="1:11" x14ac:dyDescent="0.25">
      <c r="A12" s="29" t="s">
        <v>67</v>
      </c>
      <c r="B12" s="29" t="s">
        <v>68</v>
      </c>
      <c r="C12" s="30" t="s">
        <v>80</v>
      </c>
      <c r="D12" s="29" t="s">
        <v>15</v>
      </c>
      <c r="E12" s="31">
        <v>630</v>
      </c>
      <c r="F12" s="31">
        <v>633.88</v>
      </c>
      <c r="G12" s="32">
        <f t="shared" si="0"/>
        <v>82.65795199999998</v>
      </c>
      <c r="H12" s="32">
        <f t="shared" si="1"/>
        <v>551.22204799999997</v>
      </c>
      <c r="I12" s="32">
        <f t="shared" si="2"/>
        <v>78.777952000000028</v>
      </c>
      <c r="J12" s="26">
        <f t="shared" si="3"/>
        <v>0.14291509616828685</v>
      </c>
      <c r="K12" s="29" t="s">
        <v>16</v>
      </c>
    </row>
    <row r="13" spans="1:11" x14ac:dyDescent="0.25">
      <c r="A13" s="29" t="s">
        <v>67</v>
      </c>
      <c r="B13" s="29" t="s">
        <v>68</v>
      </c>
      <c r="C13" s="30" t="s">
        <v>81</v>
      </c>
      <c r="D13" s="29" t="s">
        <v>15</v>
      </c>
      <c r="E13" s="31">
        <v>630</v>
      </c>
      <c r="F13" s="31">
        <v>633.88</v>
      </c>
      <c r="G13" s="32">
        <f t="shared" si="0"/>
        <v>82.65795199999998</v>
      </c>
      <c r="H13" s="32">
        <f t="shared" si="1"/>
        <v>551.22204799999997</v>
      </c>
      <c r="I13" s="32">
        <f t="shared" si="2"/>
        <v>78.777952000000028</v>
      </c>
      <c r="J13" s="26">
        <f t="shared" si="3"/>
        <v>0.14291509616828685</v>
      </c>
      <c r="K13" s="29" t="s">
        <v>16</v>
      </c>
    </row>
    <row r="14" spans="1:11" x14ac:dyDescent="0.25">
      <c r="A14" s="29" t="s">
        <v>67</v>
      </c>
      <c r="B14" s="29" t="s">
        <v>68</v>
      </c>
      <c r="C14" s="30" t="s">
        <v>82</v>
      </c>
      <c r="D14" s="29" t="s">
        <v>15</v>
      </c>
      <c r="E14" s="31">
        <v>630</v>
      </c>
      <c r="F14" s="31">
        <v>633.88</v>
      </c>
      <c r="G14" s="32">
        <f t="shared" si="0"/>
        <v>82.65795199999998</v>
      </c>
      <c r="H14" s="32">
        <f t="shared" si="1"/>
        <v>551.22204799999997</v>
      </c>
      <c r="I14" s="32">
        <f t="shared" si="2"/>
        <v>78.777952000000028</v>
      </c>
      <c r="J14" s="26">
        <f t="shared" si="3"/>
        <v>0.14291509616828685</v>
      </c>
      <c r="K14" s="29" t="s">
        <v>16</v>
      </c>
    </row>
    <row r="15" spans="1:11" x14ac:dyDescent="0.25">
      <c r="A15" s="29" t="s">
        <v>67</v>
      </c>
      <c r="B15" s="29" t="s">
        <v>68</v>
      </c>
      <c r="C15" s="30" t="s">
        <v>83</v>
      </c>
      <c r="D15" s="29" t="s">
        <v>15</v>
      </c>
      <c r="E15" s="31">
        <v>630</v>
      </c>
      <c r="F15" s="31">
        <v>633.88</v>
      </c>
      <c r="G15" s="32">
        <f t="shared" si="0"/>
        <v>82.65795199999998</v>
      </c>
      <c r="H15" s="32">
        <f t="shared" si="1"/>
        <v>551.22204799999997</v>
      </c>
      <c r="I15" s="32">
        <f t="shared" si="2"/>
        <v>78.777952000000028</v>
      </c>
      <c r="J15" s="26">
        <f t="shared" si="3"/>
        <v>0.14291509616828685</v>
      </c>
      <c r="K15" s="29" t="s">
        <v>16</v>
      </c>
    </row>
    <row r="16" spans="1:11" x14ac:dyDescent="0.25">
      <c r="A16" s="29" t="s">
        <v>67</v>
      </c>
      <c r="B16" s="29" t="s">
        <v>68</v>
      </c>
      <c r="C16" s="30" t="s">
        <v>84</v>
      </c>
      <c r="D16" s="29" t="s">
        <v>15</v>
      </c>
      <c r="E16" s="31">
        <v>630</v>
      </c>
      <c r="F16" s="31">
        <v>633.88</v>
      </c>
      <c r="G16" s="32">
        <f t="shared" si="0"/>
        <v>82.65795199999998</v>
      </c>
      <c r="H16" s="32">
        <f t="shared" si="1"/>
        <v>551.22204799999997</v>
      </c>
      <c r="I16" s="32">
        <f t="shared" si="2"/>
        <v>78.777952000000028</v>
      </c>
      <c r="J16" s="26">
        <f t="shared" si="3"/>
        <v>0.14291509616828685</v>
      </c>
      <c r="K16" s="29" t="s">
        <v>16</v>
      </c>
    </row>
    <row r="17" spans="1:11" x14ac:dyDescent="0.25">
      <c r="A17" s="29" t="s">
        <v>93</v>
      </c>
      <c r="B17" s="29" t="s">
        <v>68</v>
      </c>
      <c r="C17" s="30" t="s">
        <v>94</v>
      </c>
      <c r="D17" s="29" t="s">
        <v>15</v>
      </c>
      <c r="E17" s="31">
        <v>630</v>
      </c>
      <c r="F17" s="31">
        <v>637</v>
      </c>
      <c r="G17" s="32">
        <f t="shared" si="0"/>
        <v>83.064799999999991</v>
      </c>
      <c r="H17" s="32">
        <f t="shared" si="1"/>
        <v>553.93520000000001</v>
      </c>
      <c r="I17" s="32">
        <f t="shared" si="2"/>
        <v>76.064799999999991</v>
      </c>
      <c r="J17" s="26">
        <f t="shared" si="3"/>
        <v>0.13731714467685027</v>
      </c>
      <c r="K17" s="29" t="s">
        <v>70</v>
      </c>
    </row>
    <row r="18" spans="1:11" x14ac:dyDescent="0.25">
      <c r="A18" s="29" t="s">
        <v>93</v>
      </c>
      <c r="B18" s="29" t="s">
        <v>68</v>
      </c>
      <c r="C18" s="30" t="s">
        <v>95</v>
      </c>
      <c r="D18" s="29" t="s">
        <v>15</v>
      </c>
      <c r="E18" s="31">
        <v>630</v>
      </c>
      <c r="F18" s="31">
        <v>717.22</v>
      </c>
      <c r="G18" s="32">
        <f t="shared" si="0"/>
        <v>93.52548800000001</v>
      </c>
      <c r="H18" s="32">
        <f t="shared" si="1"/>
        <v>623.69451200000003</v>
      </c>
      <c r="I18" s="32">
        <f t="shared" si="2"/>
        <v>6.3054879999999685</v>
      </c>
      <c r="J18" s="26">
        <f t="shared" si="3"/>
        <v>1.0109898161168954E-2</v>
      </c>
      <c r="K18" s="29" t="s">
        <v>16</v>
      </c>
    </row>
    <row r="19" spans="1:11" x14ac:dyDescent="0.25">
      <c r="A19" s="29" t="s">
        <v>93</v>
      </c>
      <c r="B19" s="29" t="s">
        <v>68</v>
      </c>
      <c r="C19" s="30" t="s">
        <v>96</v>
      </c>
      <c r="D19" s="29" t="s">
        <v>15</v>
      </c>
      <c r="E19" s="31">
        <v>630</v>
      </c>
      <c r="F19" s="31">
        <v>717.22</v>
      </c>
      <c r="G19" s="32">
        <f t="shared" si="0"/>
        <v>93.52548800000001</v>
      </c>
      <c r="H19" s="32">
        <f t="shared" si="1"/>
        <v>623.69451200000003</v>
      </c>
      <c r="I19" s="32">
        <f t="shared" si="2"/>
        <v>6.3054879999999685</v>
      </c>
      <c r="J19" s="26">
        <f t="shared" si="3"/>
        <v>1.0109898161168954E-2</v>
      </c>
      <c r="K19" s="29" t="s">
        <v>16</v>
      </c>
    </row>
    <row r="20" spans="1:11" x14ac:dyDescent="0.25">
      <c r="A20" s="29" t="s">
        <v>93</v>
      </c>
      <c r="B20" s="29" t="s">
        <v>68</v>
      </c>
      <c r="C20" s="30" t="s">
        <v>97</v>
      </c>
      <c r="D20" s="29" t="s">
        <v>15</v>
      </c>
      <c r="E20" s="31">
        <v>630</v>
      </c>
      <c r="F20" s="31">
        <v>717.22</v>
      </c>
      <c r="G20" s="32">
        <f t="shared" si="0"/>
        <v>93.52548800000001</v>
      </c>
      <c r="H20" s="32">
        <f t="shared" si="1"/>
        <v>623.69451200000003</v>
      </c>
      <c r="I20" s="32">
        <f t="shared" si="2"/>
        <v>6.3054879999999685</v>
      </c>
      <c r="J20" s="26">
        <f t="shared" si="3"/>
        <v>1.0109898161168954E-2</v>
      </c>
      <c r="K20" s="29" t="s">
        <v>16</v>
      </c>
    </row>
    <row r="21" spans="1:11" x14ac:dyDescent="0.25">
      <c r="A21" s="29" t="s">
        <v>93</v>
      </c>
      <c r="B21" s="29" t="s">
        <v>68</v>
      </c>
      <c r="C21" s="30" t="s">
        <v>98</v>
      </c>
      <c r="D21" s="29" t="s">
        <v>15</v>
      </c>
      <c r="E21" s="31">
        <v>630</v>
      </c>
      <c r="F21" s="31">
        <v>717.22</v>
      </c>
      <c r="G21" s="32">
        <f t="shared" si="0"/>
        <v>93.52548800000001</v>
      </c>
      <c r="H21" s="32">
        <f t="shared" si="1"/>
        <v>623.69451200000003</v>
      </c>
      <c r="I21" s="32">
        <f t="shared" si="2"/>
        <v>6.3054879999999685</v>
      </c>
      <c r="J21" s="26">
        <f t="shared" si="3"/>
        <v>1.0109898161168954E-2</v>
      </c>
      <c r="K21" s="29" t="s">
        <v>16</v>
      </c>
    </row>
    <row r="22" spans="1:11" x14ac:dyDescent="0.25">
      <c r="A22" s="29" t="s">
        <v>93</v>
      </c>
      <c r="B22" s="29" t="s">
        <v>68</v>
      </c>
      <c r="C22" s="30" t="s">
        <v>99</v>
      </c>
      <c r="D22" s="29" t="s">
        <v>15</v>
      </c>
      <c r="E22" s="31">
        <v>630</v>
      </c>
      <c r="F22" s="31">
        <v>717.22</v>
      </c>
      <c r="G22" s="32">
        <f t="shared" si="0"/>
        <v>93.52548800000001</v>
      </c>
      <c r="H22" s="32">
        <f t="shared" si="1"/>
        <v>623.69451200000003</v>
      </c>
      <c r="I22" s="32">
        <f t="shared" si="2"/>
        <v>6.3054879999999685</v>
      </c>
      <c r="J22" s="26">
        <f t="shared" si="3"/>
        <v>1.0109898161168954E-2</v>
      </c>
      <c r="K22" s="29" t="s">
        <v>16</v>
      </c>
    </row>
    <row r="23" spans="1:11" x14ac:dyDescent="0.25">
      <c r="A23" s="29" t="s">
        <v>93</v>
      </c>
      <c r="B23" s="29" t="s">
        <v>68</v>
      </c>
      <c r="C23" s="30" t="s">
        <v>100</v>
      </c>
      <c r="D23" s="29" t="s">
        <v>15</v>
      </c>
      <c r="E23" s="31">
        <v>630</v>
      </c>
      <c r="F23" s="31">
        <v>717.22</v>
      </c>
      <c r="G23" s="32">
        <f t="shared" si="0"/>
        <v>93.52548800000001</v>
      </c>
      <c r="H23" s="32">
        <f t="shared" si="1"/>
        <v>623.69451200000003</v>
      </c>
      <c r="I23" s="32">
        <f t="shared" si="2"/>
        <v>6.3054879999999685</v>
      </c>
      <c r="J23" s="26">
        <f t="shared" si="3"/>
        <v>1.0109898161168954E-2</v>
      </c>
      <c r="K23" s="29" t="s">
        <v>16</v>
      </c>
    </row>
    <row r="24" spans="1:11" x14ac:dyDescent="0.25">
      <c r="A24" s="29" t="s">
        <v>93</v>
      </c>
      <c r="B24" s="29" t="s">
        <v>68</v>
      </c>
      <c r="C24" s="30" t="s">
        <v>101</v>
      </c>
      <c r="D24" s="29" t="s">
        <v>15</v>
      </c>
      <c r="E24" s="31">
        <v>630</v>
      </c>
      <c r="F24" s="31">
        <v>717.22</v>
      </c>
      <c r="G24" s="32">
        <f t="shared" si="0"/>
        <v>93.52548800000001</v>
      </c>
      <c r="H24" s="32">
        <f t="shared" si="1"/>
        <v>623.69451200000003</v>
      </c>
      <c r="I24" s="32">
        <f t="shared" si="2"/>
        <v>6.3054879999999685</v>
      </c>
      <c r="J24" s="26">
        <f t="shared" si="3"/>
        <v>1.0109898161168954E-2</v>
      </c>
      <c r="K24" s="29" t="s">
        <v>16</v>
      </c>
    </row>
    <row r="25" spans="1:11" x14ac:dyDescent="0.25">
      <c r="A25" s="29" t="s">
        <v>93</v>
      </c>
      <c r="B25" s="29" t="s">
        <v>68</v>
      </c>
      <c r="C25" s="30" t="s">
        <v>102</v>
      </c>
      <c r="D25" s="29" t="s">
        <v>15</v>
      </c>
      <c r="E25" s="31">
        <v>630</v>
      </c>
      <c r="F25" s="31">
        <v>717.22</v>
      </c>
      <c r="G25" s="32">
        <f t="shared" si="0"/>
        <v>93.52548800000001</v>
      </c>
      <c r="H25" s="32">
        <f t="shared" si="1"/>
        <v>623.69451200000003</v>
      </c>
      <c r="I25" s="32">
        <f t="shared" si="2"/>
        <v>6.3054879999999685</v>
      </c>
      <c r="J25" s="26">
        <f t="shared" si="3"/>
        <v>1.0109898161168954E-2</v>
      </c>
      <c r="K25" s="29" t="s">
        <v>16</v>
      </c>
    </row>
    <row r="26" spans="1:11" x14ac:dyDescent="0.25">
      <c r="A26" s="29" t="s">
        <v>93</v>
      </c>
      <c r="B26" s="29" t="s">
        <v>68</v>
      </c>
      <c r="C26" s="30" t="s">
        <v>103</v>
      </c>
      <c r="D26" s="29" t="s">
        <v>15</v>
      </c>
      <c r="E26" s="31">
        <v>630</v>
      </c>
      <c r="F26" s="31">
        <v>717.22</v>
      </c>
      <c r="G26" s="32">
        <f t="shared" si="0"/>
        <v>93.52548800000001</v>
      </c>
      <c r="H26" s="32">
        <f t="shared" si="1"/>
        <v>623.69451200000003</v>
      </c>
      <c r="I26" s="32">
        <f t="shared" si="2"/>
        <v>6.3054879999999685</v>
      </c>
      <c r="J26" s="26">
        <f t="shared" si="3"/>
        <v>1.0109898161168954E-2</v>
      </c>
      <c r="K26" s="29" t="s">
        <v>16</v>
      </c>
    </row>
    <row r="27" spans="1:11" x14ac:dyDescent="0.25">
      <c r="A27" s="29" t="s">
        <v>93</v>
      </c>
      <c r="B27" s="29" t="s">
        <v>68</v>
      </c>
      <c r="C27" s="30" t="s">
        <v>104</v>
      </c>
      <c r="D27" s="29" t="s">
        <v>15</v>
      </c>
      <c r="E27" s="31">
        <v>630</v>
      </c>
      <c r="F27" s="31">
        <v>717.22</v>
      </c>
      <c r="G27" s="32">
        <f t="shared" si="0"/>
        <v>93.52548800000001</v>
      </c>
      <c r="H27" s="32">
        <f t="shared" si="1"/>
        <v>623.69451200000003</v>
      </c>
      <c r="I27" s="32">
        <f t="shared" si="2"/>
        <v>6.3054879999999685</v>
      </c>
      <c r="J27" s="26">
        <f t="shared" si="3"/>
        <v>1.0109898161168954E-2</v>
      </c>
      <c r="K27" s="29" t="s">
        <v>16</v>
      </c>
    </row>
    <row r="28" spans="1:11" x14ac:dyDescent="0.25">
      <c r="A28" s="29" t="s">
        <v>93</v>
      </c>
      <c r="B28" s="29" t="s">
        <v>68</v>
      </c>
      <c r="C28" s="30" t="s">
        <v>105</v>
      </c>
      <c r="D28" s="29" t="s">
        <v>15</v>
      </c>
      <c r="E28" s="31">
        <v>630</v>
      </c>
      <c r="F28" s="31">
        <v>637</v>
      </c>
      <c r="G28" s="32">
        <f t="shared" si="0"/>
        <v>83.064799999999991</v>
      </c>
      <c r="H28" s="32">
        <f t="shared" si="1"/>
        <v>553.93520000000001</v>
      </c>
      <c r="I28" s="32">
        <f t="shared" si="2"/>
        <v>76.064799999999991</v>
      </c>
      <c r="J28" s="26">
        <f t="shared" si="3"/>
        <v>0.13731714467685027</v>
      </c>
      <c r="K28" s="29" t="s">
        <v>70</v>
      </c>
    </row>
    <row r="29" spans="1:11" x14ac:dyDescent="0.25">
      <c r="A29" s="29" t="s">
        <v>93</v>
      </c>
      <c r="B29" s="29" t="s">
        <v>68</v>
      </c>
      <c r="C29" s="30" t="s">
        <v>106</v>
      </c>
      <c r="D29" s="29" t="s">
        <v>15</v>
      </c>
      <c r="E29" s="31">
        <v>630</v>
      </c>
      <c r="F29" s="31">
        <v>637</v>
      </c>
      <c r="G29" s="32">
        <f t="shared" si="0"/>
        <v>83.064799999999991</v>
      </c>
      <c r="H29" s="32">
        <f t="shared" si="1"/>
        <v>553.93520000000001</v>
      </c>
      <c r="I29" s="32">
        <f t="shared" si="2"/>
        <v>76.064799999999991</v>
      </c>
      <c r="J29" s="26">
        <f t="shared" si="3"/>
        <v>0.13731714467685027</v>
      </c>
      <c r="K29" s="29" t="s">
        <v>70</v>
      </c>
    </row>
    <row r="30" spans="1:11" x14ac:dyDescent="0.25">
      <c r="A30" s="29" t="s">
        <v>93</v>
      </c>
      <c r="B30" s="29" t="s">
        <v>68</v>
      </c>
      <c r="C30" s="30" t="s">
        <v>107</v>
      </c>
      <c r="D30" s="29" t="s">
        <v>15</v>
      </c>
      <c r="E30" s="31">
        <v>630</v>
      </c>
      <c r="F30" s="31">
        <v>637</v>
      </c>
      <c r="G30" s="32">
        <f t="shared" si="0"/>
        <v>83.064799999999991</v>
      </c>
      <c r="H30" s="32">
        <f t="shared" si="1"/>
        <v>553.93520000000001</v>
      </c>
      <c r="I30" s="32">
        <f t="shared" si="2"/>
        <v>76.064799999999991</v>
      </c>
      <c r="J30" s="26">
        <f t="shared" si="3"/>
        <v>0.13731714467685027</v>
      </c>
      <c r="K30" s="29" t="s">
        <v>70</v>
      </c>
    </row>
    <row r="31" spans="1:11" x14ac:dyDescent="0.25">
      <c r="A31" s="29" t="s">
        <v>93</v>
      </c>
      <c r="B31" s="29" t="s">
        <v>68</v>
      </c>
      <c r="C31" s="30" t="s">
        <v>108</v>
      </c>
      <c r="D31" s="29" t="s">
        <v>15</v>
      </c>
      <c r="E31" s="31">
        <v>630</v>
      </c>
      <c r="F31" s="31">
        <v>637</v>
      </c>
      <c r="G31" s="32">
        <f t="shared" si="0"/>
        <v>83.064799999999991</v>
      </c>
      <c r="H31" s="32">
        <f t="shared" si="1"/>
        <v>553.93520000000001</v>
      </c>
      <c r="I31" s="32">
        <f t="shared" si="2"/>
        <v>76.064799999999991</v>
      </c>
      <c r="J31" s="26">
        <f t="shared" si="3"/>
        <v>0.13731714467685027</v>
      </c>
      <c r="K31" s="29" t="s">
        <v>70</v>
      </c>
    </row>
    <row r="32" spans="1:11" x14ac:dyDescent="0.25">
      <c r="A32" s="29" t="s">
        <v>93</v>
      </c>
      <c r="B32" s="29" t="s">
        <v>68</v>
      </c>
      <c r="C32" s="30" t="s">
        <v>109</v>
      </c>
      <c r="D32" s="29" t="s">
        <v>15</v>
      </c>
      <c r="E32" s="31">
        <v>630</v>
      </c>
      <c r="F32" s="31">
        <v>637</v>
      </c>
      <c r="G32" s="32">
        <f t="shared" si="0"/>
        <v>83.064799999999991</v>
      </c>
      <c r="H32" s="32">
        <f t="shared" si="1"/>
        <v>553.93520000000001</v>
      </c>
      <c r="I32" s="32">
        <f t="shared" si="2"/>
        <v>76.064799999999991</v>
      </c>
      <c r="J32" s="26">
        <f t="shared" si="3"/>
        <v>0.13731714467685027</v>
      </c>
      <c r="K32" s="29" t="s">
        <v>70</v>
      </c>
    </row>
    <row r="33" spans="1:11" x14ac:dyDescent="0.25">
      <c r="A33" s="29" t="s">
        <v>93</v>
      </c>
      <c r="B33" s="29" t="s">
        <v>68</v>
      </c>
      <c r="C33" s="30" t="s">
        <v>110</v>
      </c>
      <c r="D33" s="29" t="s">
        <v>15</v>
      </c>
      <c r="E33" s="31">
        <v>630</v>
      </c>
      <c r="F33" s="31">
        <v>637</v>
      </c>
      <c r="G33" s="32">
        <f t="shared" si="0"/>
        <v>83.064799999999991</v>
      </c>
      <c r="H33" s="32">
        <f t="shared" si="1"/>
        <v>553.93520000000001</v>
      </c>
      <c r="I33" s="32">
        <f t="shared" si="2"/>
        <v>76.064799999999991</v>
      </c>
      <c r="J33" s="26">
        <f t="shared" si="3"/>
        <v>0.13731714467685027</v>
      </c>
      <c r="K33" s="29" t="s">
        <v>70</v>
      </c>
    </row>
    <row r="34" spans="1:11" x14ac:dyDescent="0.25">
      <c r="A34" s="29" t="s">
        <v>93</v>
      </c>
      <c r="B34" s="29" t="s">
        <v>68</v>
      </c>
      <c r="C34" s="30" t="s">
        <v>111</v>
      </c>
      <c r="D34" s="29" t="s">
        <v>15</v>
      </c>
      <c r="E34" s="31">
        <v>630</v>
      </c>
      <c r="F34" s="31">
        <v>637</v>
      </c>
      <c r="G34" s="32">
        <f t="shared" si="0"/>
        <v>83.064799999999991</v>
      </c>
      <c r="H34" s="32">
        <f t="shared" si="1"/>
        <v>553.93520000000001</v>
      </c>
      <c r="I34" s="32">
        <f t="shared" si="2"/>
        <v>76.064799999999991</v>
      </c>
      <c r="J34" s="26">
        <f t="shared" si="3"/>
        <v>0.13731714467685027</v>
      </c>
      <c r="K34" s="29" t="s">
        <v>70</v>
      </c>
    </row>
    <row r="35" spans="1:11" x14ac:dyDescent="0.25">
      <c r="A35" s="29" t="s">
        <v>93</v>
      </c>
      <c r="B35" s="29" t="s">
        <v>68</v>
      </c>
      <c r="C35" s="30" t="s">
        <v>112</v>
      </c>
      <c r="D35" s="29" t="s">
        <v>15</v>
      </c>
      <c r="E35" s="31">
        <v>630</v>
      </c>
      <c r="F35" s="31">
        <v>637</v>
      </c>
      <c r="G35" s="32">
        <f t="shared" si="0"/>
        <v>83.064799999999991</v>
      </c>
      <c r="H35" s="32">
        <f t="shared" si="1"/>
        <v>553.93520000000001</v>
      </c>
      <c r="I35" s="32">
        <f t="shared" si="2"/>
        <v>76.064799999999991</v>
      </c>
      <c r="J35" s="26">
        <f t="shared" si="3"/>
        <v>0.13731714467685027</v>
      </c>
      <c r="K35" s="29" t="s">
        <v>70</v>
      </c>
    </row>
    <row r="36" spans="1:11" x14ac:dyDescent="0.25">
      <c r="A36" s="29" t="s">
        <v>93</v>
      </c>
      <c r="B36" s="29" t="s">
        <v>68</v>
      </c>
      <c r="C36" s="30" t="s">
        <v>113</v>
      </c>
      <c r="D36" s="29" t="s">
        <v>15</v>
      </c>
      <c r="E36" s="31">
        <v>630</v>
      </c>
      <c r="F36" s="31">
        <v>637</v>
      </c>
      <c r="G36" s="32">
        <f t="shared" si="0"/>
        <v>83.064799999999991</v>
      </c>
      <c r="H36" s="32">
        <f t="shared" si="1"/>
        <v>553.93520000000001</v>
      </c>
      <c r="I36" s="32">
        <f t="shared" si="2"/>
        <v>76.064799999999991</v>
      </c>
      <c r="J36" s="26">
        <f t="shared" si="3"/>
        <v>0.13731714467685027</v>
      </c>
      <c r="K36" s="29" t="s">
        <v>70</v>
      </c>
    </row>
    <row r="37" spans="1:11" x14ac:dyDescent="0.25">
      <c r="A37" s="29" t="s">
        <v>93</v>
      </c>
      <c r="B37" s="29" t="s">
        <v>68</v>
      </c>
      <c r="C37" s="30" t="s">
        <v>114</v>
      </c>
      <c r="D37" s="29" t="s">
        <v>15</v>
      </c>
      <c r="E37" s="31">
        <v>630</v>
      </c>
      <c r="F37" s="31">
        <v>637</v>
      </c>
      <c r="G37" s="32">
        <f t="shared" si="0"/>
        <v>83.064799999999991</v>
      </c>
      <c r="H37" s="32">
        <f t="shared" si="1"/>
        <v>553.93520000000001</v>
      </c>
      <c r="I37" s="32">
        <f t="shared" si="2"/>
        <v>76.064799999999991</v>
      </c>
      <c r="J37" s="26">
        <f t="shared" si="3"/>
        <v>0.13731714467685027</v>
      </c>
      <c r="K37" s="29" t="s">
        <v>70</v>
      </c>
    </row>
    <row r="38" spans="1:11" x14ac:dyDescent="0.25">
      <c r="A38" s="29" t="s">
        <v>93</v>
      </c>
      <c r="B38" s="29" t="s">
        <v>68</v>
      </c>
      <c r="C38" s="30" t="s">
        <v>115</v>
      </c>
      <c r="D38" s="29" t="s">
        <v>15</v>
      </c>
      <c r="E38" s="31">
        <v>630</v>
      </c>
      <c r="F38" s="31">
        <v>637</v>
      </c>
      <c r="G38" s="32">
        <f t="shared" si="0"/>
        <v>83.064799999999991</v>
      </c>
      <c r="H38" s="32">
        <f t="shared" si="1"/>
        <v>553.93520000000001</v>
      </c>
      <c r="I38" s="32">
        <f t="shared" si="2"/>
        <v>76.064799999999991</v>
      </c>
      <c r="J38" s="26">
        <f t="shared" si="3"/>
        <v>0.13731714467685027</v>
      </c>
      <c r="K38" s="29" t="s">
        <v>70</v>
      </c>
    </row>
    <row r="39" spans="1:11" x14ac:dyDescent="0.25">
      <c r="A39" s="29" t="s">
        <v>93</v>
      </c>
      <c r="B39" s="29" t="s">
        <v>68</v>
      </c>
      <c r="C39" s="30" t="s">
        <v>116</v>
      </c>
      <c r="D39" s="29" t="s">
        <v>15</v>
      </c>
      <c r="E39" s="31">
        <v>630</v>
      </c>
      <c r="F39" s="31">
        <v>637</v>
      </c>
      <c r="G39" s="32">
        <f t="shared" si="0"/>
        <v>83.064799999999991</v>
      </c>
      <c r="H39" s="32">
        <f t="shared" si="1"/>
        <v>553.93520000000001</v>
      </c>
      <c r="I39" s="32">
        <f t="shared" si="2"/>
        <v>76.064799999999991</v>
      </c>
      <c r="J39" s="26">
        <f t="shared" si="3"/>
        <v>0.13731714467685027</v>
      </c>
      <c r="K39" s="29" t="s">
        <v>70</v>
      </c>
    </row>
    <row r="40" spans="1:11" x14ac:dyDescent="0.25">
      <c r="A40" s="29" t="s">
        <v>93</v>
      </c>
      <c r="B40" s="29" t="s">
        <v>68</v>
      </c>
      <c r="C40" s="30" t="s">
        <v>117</v>
      </c>
      <c r="D40" s="29" t="s">
        <v>15</v>
      </c>
      <c r="E40" s="31">
        <v>630</v>
      </c>
      <c r="F40" s="31">
        <v>637</v>
      </c>
      <c r="G40" s="32">
        <f t="shared" si="0"/>
        <v>83.064799999999991</v>
      </c>
      <c r="H40" s="32">
        <f t="shared" si="1"/>
        <v>553.93520000000001</v>
      </c>
      <c r="I40" s="32">
        <f t="shared" si="2"/>
        <v>76.064799999999991</v>
      </c>
      <c r="J40" s="26">
        <f t="shared" si="3"/>
        <v>0.13731714467685027</v>
      </c>
      <c r="K40" s="29" t="s">
        <v>70</v>
      </c>
    </row>
    <row r="41" spans="1:11" x14ac:dyDescent="0.25">
      <c r="A41" s="29" t="s">
        <v>93</v>
      </c>
      <c r="B41" s="29" t="s">
        <v>68</v>
      </c>
      <c r="C41" s="30" t="s">
        <v>118</v>
      </c>
      <c r="D41" s="29" t="s">
        <v>15</v>
      </c>
      <c r="E41" s="31">
        <v>630</v>
      </c>
      <c r="F41" s="31">
        <v>637</v>
      </c>
      <c r="G41" s="32">
        <f t="shared" si="0"/>
        <v>83.064799999999991</v>
      </c>
      <c r="H41" s="32">
        <f t="shared" si="1"/>
        <v>553.93520000000001</v>
      </c>
      <c r="I41" s="32">
        <f t="shared" si="2"/>
        <v>76.064799999999991</v>
      </c>
      <c r="J41" s="26">
        <f t="shared" si="3"/>
        <v>0.13731714467685027</v>
      </c>
      <c r="K41" s="29" t="s">
        <v>70</v>
      </c>
    </row>
    <row r="42" spans="1:11" x14ac:dyDescent="0.25">
      <c r="A42" s="29" t="s">
        <v>93</v>
      </c>
      <c r="B42" s="29" t="s">
        <v>68</v>
      </c>
      <c r="C42" s="30" t="s">
        <v>119</v>
      </c>
      <c r="D42" s="29" t="s">
        <v>15</v>
      </c>
      <c r="E42" s="31">
        <v>630</v>
      </c>
      <c r="F42" s="31">
        <v>637</v>
      </c>
      <c r="G42" s="32">
        <f t="shared" si="0"/>
        <v>83.064799999999991</v>
      </c>
      <c r="H42" s="32">
        <f t="shared" si="1"/>
        <v>553.93520000000001</v>
      </c>
      <c r="I42" s="32">
        <f t="shared" si="2"/>
        <v>76.064799999999991</v>
      </c>
      <c r="J42" s="26">
        <f t="shared" si="3"/>
        <v>0.13731714467685027</v>
      </c>
      <c r="K42" s="29" t="s">
        <v>70</v>
      </c>
    </row>
    <row r="43" spans="1:11" x14ac:dyDescent="0.25">
      <c r="A43" s="29" t="s">
        <v>93</v>
      </c>
      <c r="B43" s="29" t="s">
        <v>68</v>
      </c>
      <c r="C43" s="30" t="s">
        <v>120</v>
      </c>
      <c r="D43" s="29" t="s">
        <v>15</v>
      </c>
      <c r="E43" s="31">
        <v>630</v>
      </c>
      <c r="F43" s="31">
        <v>637</v>
      </c>
      <c r="G43" s="32">
        <f t="shared" si="0"/>
        <v>83.064799999999991</v>
      </c>
      <c r="H43" s="32">
        <f t="shared" si="1"/>
        <v>553.93520000000001</v>
      </c>
      <c r="I43" s="32">
        <f t="shared" si="2"/>
        <v>76.064799999999991</v>
      </c>
      <c r="J43" s="26">
        <f t="shared" si="3"/>
        <v>0.13731714467685027</v>
      </c>
      <c r="K43" s="29" t="s">
        <v>70</v>
      </c>
    </row>
    <row r="44" spans="1:11" x14ac:dyDescent="0.25">
      <c r="A44" s="29" t="s">
        <v>93</v>
      </c>
      <c r="B44" s="29" t="s">
        <v>68</v>
      </c>
      <c r="C44" s="30" t="s">
        <v>121</v>
      </c>
      <c r="D44" s="29" t="s">
        <v>15</v>
      </c>
      <c r="E44" s="31">
        <v>630</v>
      </c>
      <c r="F44" s="31">
        <v>637</v>
      </c>
      <c r="G44" s="32">
        <f t="shared" si="0"/>
        <v>83.064799999999991</v>
      </c>
      <c r="H44" s="32">
        <f t="shared" si="1"/>
        <v>553.93520000000001</v>
      </c>
      <c r="I44" s="32">
        <f t="shared" si="2"/>
        <v>76.064799999999991</v>
      </c>
      <c r="J44" s="26">
        <f t="shared" si="3"/>
        <v>0.13731714467685027</v>
      </c>
      <c r="K44" s="29" t="s">
        <v>70</v>
      </c>
    </row>
    <row r="45" spans="1:11" x14ac:dyDescent="0.25">
      <c r="A45" s="29" t="s">
        <v>93</v>
      </c>
      <c r="B45" s="29" t="s">
        <v>68</v>
      </c>
      <c r="C45" s="30" t="s">
        <v>122</v>
      </c>
      <c r="D45" s="29" t="s">
        <v>15</v>
      </c>
      <c r="E45" s="31">
        <v>630</v>
      </c>
      <c r="F45" s="31">
        <v>637</v>
      </c>
      <c r="G45" s="32">
        <f t="shared" si="0"/>
        <v>83.064799999999991</v>
      </c>
      <c r="H45" s="32">
        <f t="shared" si="1"/>
        <v>553.93520000000001</v>
      </c>
      <c r="I45" s="32">
        <f t="shared" si="2"/>
        <v>76.064799999999991</v>
      </c>
      <c r="J45" s="26">
        <f t="shared" si="3"/>
        <v>0.13731714467685027</v>
      </c>
      <c r="K45" s="29" t="s">
        <v>70</v>
      </c>
    </row>
    <row r="46" spans="1:11" x14ac:dyDescent="0.25">
      <c r="A46" s="29" t="s">
        <v>93</v>
      </c>
      <c r="B46" s="29" t="s">
        <v>68</v>
      </c>
      <c r="C46" s="30" t="s">
        <v>123</v>
      </c>
      <c r="D46" s="29" t="s">
        <v>15</v>
      </c>
      <c r="E46" s="31">
        <v>630</v>
      </c>
      <c r="F46" s="31">
        <v>637</v>
      </c>
      <c r="G46" s="32">
        <f t="shared" si="0"/>
        <v>83.064799999999991</v>
      </c>
      <c r="H46" s="32">
        <f t="shared" si="1"/>
        <v>553.93520000000001</v>
      </c>
      <c r="I46" s="32">
        <f t="shared" si="2"/>
        <v>76.064799999999991</v>
      </c>
      <c r="J46" s="26">
        <f t="shared" si="3"/>
        <v>0.13731714467685027</v>
      </c>
      <c r="K46" s="29" t="s">
        <v>70</v>
      </c>
    </row>
    <row r="47" spans="1:11" x14ac:dyDescent="0.25">
      <c r="A47" s="29" t="s">
        <v>93</v>
      </c>
      <c r="B47" s="29" t="s">
        <v>68</v>
      </c>
      <c r="C47" s="30" t="s">
        <v>124</v>
      </c>
      <c r="D47" s="29" t="s">
        <v>15</v>
      </c>
      <c r="E47" s="31">
        <v>630</v>
      </c>
      <c r="F47" s="31">
        <v>637</v>
      </c>
      <c r="G47" s="32">
        <f t="shared" si="0"/>
        <v>83.064799999999991</v>
      </c>
      <c r="H47" s="32">
        <f t="shared" si="1"/>
        <v>553.93520000000001</v>
      </c>
      <c r="I47" s="32">
        <f t="shared" si="2"/>
        <v>76.064799999999991</v>
      </c>
      <c r="J47" s="26">
        <f t="shared" si="3"/>
        <v>0.13731714467685027</v>
      </c>
      <c r="K47" s="29" t="s">
        <v>70</v>
      </c>
    </row>
    <row r="48" spans="1:11" x14ac:dyDescent="0.25">
      <c r="A48" s="29" t="s">
        <v>93</v>
      </c>
      <c r="B48" s="29" t="s">
        <v>68</v>
      </c>
      <c r="C48" s="30" t="s">
        <v>125</v>
      </c>
      <c r="D48" s="29" t="s">
        <v>15</v>
      </c>
      <c r="E48" s="31">
        <v>630</v>
      </c>
      <c r="F48" s="31">
        <v>637</v>
      </c>
      <c r="G48" s="32">
        <f t="shared" si="0"/>
        <v>83.064799999999991</v>
      </c>
      <c r="H48" s="32">
        <f t="shared" si="1"/>
        <v>553.93520000000001</v>
      </c>
      <c r="I48" s="32">
        <f t="shared" si="2"/>
        <v>76.064799999999991</v>
      </c>
      <c r="J48" s="26">
        <f t="shared" si="3"/>
        <v>0.13731714467685027</v>
      </c>
      <c r="K48" s="29" t="s">
        <v>70</v>
      </c>
    </row>
    <row r="49" spans="1:11" x14ac:dyDescent="0.25">
      <c r="A49" s="29" t="s">
        <v>93</v>
      </c>
      <c r="B49" s="29" t="s">
        <v>68</v>
      </c>
      <c r="C49" s="30" t="s">
        <v>126</v>
      </c>
      <c r="D49" s="29" t="s">
        <v>15</v>
      </c>
      <c r="E49" s="31">
        <v>630</v>
      </c>
      <c r="F49" s="31">
        <v>637</v>
      </c>
      <c r="G49" s="32">
        <f t="shared" si="0"/>
        <v>83.064799999999991</v>
      </c>
      <c r="H49" s="32">
        <f t="shared" si="1"/>
        <v>553.93520000000001</v>
      </c>
      <c r="I49" s="32">
        <f t="shared" si="2"/>
        <v>76.064799999999991</v>
      </c>
      <c r="J49" s="26">
        <f t="shared" si="3"/>
        <v>0.13731714467685027</v>
      </c>
      <c r="K49" s="29" t="s">
        <v>70</v>
      </c>
    </row>
    <row r="50" spans="1:11" x14ac:dyDescent="0.25">
      <c r="A50" s="29" t="s">
        <v>93</v>
      </c>
      <c r="B50" s="29" t="s">
        <v>68</v>
      </c>
      <c r="C50" s="30" t="s">
        <v>127</v>
      </c>
      <c r="D50" s="29" t="s">
        <v>15</v>
      </c>
      <c r="E50" s="31">
        <v>630</v>
      </c>
      <c r="F50" s="31">
        <v>637</v>
      </c>
      <c r="G50" s="32">
        <f t="shared" si="0"/>
        <v>83.064799999999991</v>
      </c>
      <c r="H50" s="32">
        <f t="shared" si="1"/>
        <v>553.93520000000001</v>
      </c>
      <c r="I50" s="32">
        <f t="shared" si="2"/>
        <v>76.064799999999991</v>
      </c>
      <c r="J50" s="26">
        <f t="shared" si="3"/>
        <v>0.13731714467685027</v>
      </c>
      <c r="K50" s="29" t="s">
        <v>70</v>
      </c>
    </row>
    <row r="51" spans="1:11" x14ac:dyDescent="0.25">
      <c r="A51" s="29" t="s">
        <v>93</v>
      </c>
      <c r="B51" s="29" t="s">
        <v>68</v>
      </c>
      <c r="C51" s="30" t="s">
        <v>128</v>
      </c>
      <c r="D51" s="29" t="s">
        <v>15</v>
      </c>
      <c r="E51" s="31">
        <v>630</v>
      </c>
      <c r="F51" s="31">
        <v>637</v>
      </c>
      <c r="G51" s="32">
        <f t="shared" si="0"/>
        <v>83.064799999999991</v>
      </c>
      <c r="H51" s="32">
        <f t="shared" si="1"/>
        <v>553.93520000000001</v>
      </c>
      <c r="I51" s="32">
        <f t="shared" si="2"/>
        <v>76.064799999999991</v>
      </c>
      <c r="J51" s="26">
        <f t="shared" si="3"/>
        <v>0.13731714467685027</v>
      </c>
      <c r="K51" s="29" t="s">
        <v>70</v>
      </c>
    </row>
    <row r="52" spans="1:11" x14ac:dyDescent="0.25">
      <c r="A52" s="29" t="s">
        <v>93</v>
      </c>
      <c r="B52" s="29" t="s">
        <v>68</v>
      </c>
      <c r="C52" s="30" t="s">
        <v>129</v>
      </c>
      <c r="D52" s="29" t="s">
        <v>15</v>
      </c>
      <c r="E52" s="31">
        <v>630</v>
      </c>
      <c r="F52" s="31">
        <v>637</v>
      </c>
      <c r="G52" s="32">
        <f t="shared" si="0"/>
        <v>83.064799999999991</v>
      </c>
      <c r="H52" s="32">
        <f t="shared" si="1"/>
        <v>553.93520000000001</v>
      </c>
      <c r="I52" s="32">
        <f t="shared" si="2"/>
        <v>76.064799999999991</v>
      </c>
      <c r="J52" s="26">
        <f t="shared" si="3"/>
        <v>0.13731714467685027</v>
      </c>
      <c r="K52" s="29" t="s">
        <v>70</v>
      </c>
    </row>
    <row r="53" spans="1:11" x14ac:dyDescent="0.25">
      <c r="A53" s="29" t="s">
        <v>93</v>
      </c>
      <c r="B53" s="29" t="s">
        <v>68</v>
      </c>
      <c r="C53" s="30" t="s">
        <v>130</v>
      </c>
      <c r="D53" s="29" t="s">
        <v>15</v>
      </c>
      <c r="E53" s="31">
        <v>630</v>
      </c>
      <c r="F53" s="31">
        <v>637</v>
      </c>
      <c r="G53" s="32">
        <f t="shared" si="0"/>
        <v>83.064799999999991</v>
      </c>
      <c r="H53" s="32">
        <f t="shared" si="1"/>
        <v>553.93520000000001</v>
      </c>
      <c r="I53" s="32">
        <f t="shared" si="2"/>
        <v>76.064799999999991</v>
      </c>
      <c r="J53" s="26">
        <f t="shared" si="3"/>
        <v>0.13731714467685027</v>
      </c>
      <c r="K53" s="29" t="s">
        <v>70</v>
      </c>
    </row>
    <row r="54" spans="1:11" x14ac:dyDescent="0.25">
      <c r="A54" s="29" t="s">
        <v>93</v>
      </c>
      <c r="B54" s="29" t="s">
        <v>68</v>
      </c>
      <c r="C54" s="30" t="s">
        <v>131</v>
      </c>
      <c r="D54" s="29" t="s">
        <v>15</v>
      </c>
      <c r="E54" s="31">
        <v>630</v>
      </c>
      <c r="F54" s="31">
        <v>637</v>
      </c>
      <c r="G54" s="32">
        <f t="shared" si="0"/>
        <v>83.064799999999991</v>
      </c>
      <c r="H54" s="32">
        <f t="shared" si="1"/>
        <v>553.93520000000001</v>
      </c>
      <c r="I54" s="32">
        <f t="shared" si="2"/>
        <v>76.064799999999991</v>
      </c>
      <c r="J54" s="26">
        <f t="shared" si="3"/>
        <v>0.13731714467685027</v>
      </c>
      <c r="K54" s="29" t="s">
        <v>70</v>
      </c>
    </row>
    <row r="55" spans="1:11" x14ac:dyDescent="0.25">
      <c r="A55" s="29" t="s">
        <v>93</v>
      </c>
      <c r="B55" s="29" t="s">
        <v>68</v>
      </c>
      <c r="C55" s="30" t="s">
        <v>132</v>
      </c>
      <c r="D55" s="29" t="s">
        <v>15</v>
      </c>
      <c r="E55" s="31">
        <v>630</v>
      </c>
      <c r="F55" s="31">
        <v>637</v>
      </c>
      <c r="G55" s="32">
        <f t="shared" si="0"/>
        <v>83.064799999999991</v>
      </c>
      <c r="H55" s="32">
        <f t="shared" si="1"/>
        <v>553.93520000000001</v>
      </c>
      <c r="I55" s="32">
        <f t="shared" si="2"/>
        <v>76.064799999999991</v>
      </c>
      <c r="J55" s="26">
        <f t="shared" si="3"/>
        <v>0.13731714467685027</v>
      </c>
      <c r="K55" s="29" t="s">
        <v>70</v>
      </c>
    </row>
    <row r="56" spans="1:11" x14ac:dyDescent="0.25">
      <c r="A56" s="29" t="s">
        <v>93</v>
      </c>
      <c r="B56" s="29" t="s">
        <v>68</v>
      </c>
      <c r="C56" s="30" t="s">
        <v>133</v>
      </c>
      <c r="D56" s="29" t="s">
        <v>15</v>
      </c>
      <c r="E56" s="31">
        <v>630</v>
      </c>
      <c r="F56" s="31">
        <v>637</v>
      </c>
      <c r="G56" s="32">
        <f t="shared" si="0"/>
        <v>83.064799999999991</v>
      </c>
      <c r="H56" s="32">
        <f t="shared" si="1"/>
        <v>553.93520000000001</v>
      </c>
      <c r="I56" s="32">
        <f t="shared" si="2"/>
        <v>76.064799999999991</v>
      </c>
      <c r="J56" s="26">
        <f t="shared" si="3"/>
        <v>0.13731714467685027</v>
      </c>
      <c r="K56" s="29" t="s">
        <v>70</v>
      </c>
    </row>
    <row r="57" spans="1:11" x14ac:dyDescent="0.25">
      <c r="A57" s="29" t="s">
        <v>93</v>
      </c>
      <c r="B57" s="29" t="s">
        <v>68</v>
      </c>
      <c r="C57" s="30" t="s">
        <v>134</v>
      </c>
      <c r="D57" s="29" t="s">
        <v>15</v>
      </c>
      <c r="E57" s="31">
        <v>630</v>
      </c>
      <c r="F57" s="31">
        <v>637</v>
      </c>
      <c r="G57" s="32">
        <f t="shared" si="0"/>
        <v>83.064799999999991</v>
      </c>
      <c r="H57" s="32">
        <f t="shared" si="1"/>
        <v>553.93520000000001</v>
      </c>
      <c r="I57" s="32">
        <f t="shared" si="2"/>
        <v>76.064799999999991</v>
      </c>
      <c r="J57" s="26">
        <f t="shared" si="3"/>
        <v>0.13731714467685027</v>
      </c>
      <c r="K57" s="29" t="s">
        <v>70</v>
      </c>
    </row>
    <row r="58" spans="1:11" x14ac:dyDescent="0.25">
      <c r="A58" s="29" t="s">
        <v>93</v>
      </c>
      <c r="B58" s="29" t="s">
        <v>68</v>
      </c>
      <c r="C58" s="30" t="s">
        <v>135</v>
      </c>
      <c r="D58" s="29" t="s">
        <v>15</v>
      </c>
      <c r="E58" s="31">
        <v>630</v>
      </c>
      <c r="F58" s="31">
        <v>637</v>
      </c>
      <c r="G58" s="32">
        <f t="shared" si="0"/>
        <v>83.064799999999991</v>
      </c>
      <c r="H58" s="32">
        <f t="shared" si="1"/>
        <v>553.93520000000001</v>
      </c>
      <c r="I58" s="32">
        <f t="shared" si="2"/>
        <v>76.064799999999991</v>
      </c>
      <c r="J58" s="26">
        <f t="shared" si="3"/>
        <v>0.13731714467685027</v>
      </c>
      <c r="K58" s="29" t="s">
        <v>70</v>
      </c>
    </row>
    <row r="59" spans="1:11" x14ac:dyDescent="0.25">
      <c r="A59" s="29" t="s">
        <v>93</v>
      </c>
      <c r="B59" s="29" t="s">
        <v>68</v>
      </c>
      <c r="C59" s="30" t="s">
        <v>136</v>
      </c>
      <c r="D59" s="29" t="s">
        <v>15</v>
      </c>
      <c r="E59" s="31">
        <v>630</v>
      </c>
      <c r="F59" s="31">
        <v>633.88</v>
      </c>
      <c r="G59" s="32">
        <f t="shared" si="0"/>
        <v>82.65795199999998</v>
      </c>
      <c r="H59" s="32">
        <f t="shared" si="1"/>
        <v>551.22204799999997</v>
      </c>
      <c r="I59" s="32">
        <f t="shared" si="2"/>
        <v>78.777952000000028</v>
      </c>
      <c r="J59" s="26">
        <f t="shared" si="3"/>
        <v>0.14291509616828685</v>
      </c>
      <c r="K59" s="29" t="s">
        <v>16</v>
      </c>
    </row>
    <row r="60" spans="1:11" x14ac:dyDescent="0.25">
      <c r="A60" s="29" t="s">
        <v>93</v>
      </c>
      <c r="B60" s="29" t="s">
        <v>68</v>
      </c>
      <c r="C60" s="30" t="s">
        <v>137</v>
      </c>
      <c r="D60" s="29" t="s">
        <v>15</v>
      </c>
      <c r="E60" s="31">
        <v>630</v>
      </c>
      <c r="F60" s="31">
        <v>633.88</v>
      </c>
      <c r="G60" s="32">
        <f t="shared" si="0"/>
        <v>82.65795199999998</v>
      </c>
      <c r="H60" s="32">
        <f t="shared" si="1"/>
        <v>551.22204799999997</v>
      </c>
      <c r="I60" s="32">
        <f t="shared" si="2"/>
        <v>78.777952000000028</v>
      </c>
      <c r="J60" s="26">
        <f t="shared" si="3"/>
        <v>0.14291509616828685</v>
      </c>
      <c r="K60" s="29" t="s">
        <v>16</v>
      </c>
    </row>
    <row r="61" spans="1:11" x14ac:dyDescent="0.25">
      <c r="A61" s="29" t="s">
        <v>93</v>
      </c>
      <c r="B61" s="29" t="s">
        <v>68</v>
      </c>
      <c r="C61" s="30" t="s">
        <v>138</v>
      </c>
      <c r="D61" s="29" t="s">
        <v>15</v>
      </c>
      <c r="E61" s="31">
        <v>630</v>
      </c>
      <c r="F61" s="31">
        <v>633.88</v>
      </c>
      <c r="G61" s="32">
        <f t="shared" si="0"/>
        <v>82.65795199999998</v>
      </c>
      <c r="H61" s="32">
        <f t="shared" si="1"/>
        <v>551.22204799999997</v>
      </c>
      <c r="I61" s="32">
        <f t="shared" si="2"/>
        <v>78.777952000000028</v>
      </c>
      <c r="J61" s="26">
        <f t="shared" si="3"/>
        <v>0.14291509616828685</v>
      </c>
      <c r="K61" s="29" t="s">
        <v>16</v>
      </c>
    </row>
    <row r="62" spans="1:11" x14ac:dyDescent="0.25">
      <c r="A62" s="29" t="s">
        <v>93</v>
      </c>
      <c r="B62" s="29" t="s">
        <v>68</v>
      </c>
      <c r="C62" s="30" t="s">
        <v>139</v>
      </c>
      <c r="D62" s="29" t="s">
        <v>15</v>
      </c>
      <c r="E62" s="31">
        <v>630</v>
      </c>
      <c r="F62" s="31">
        <v>633.88</v>
      </c>
      <c r="G62" s="32">
        <f t="shared" si="0"/>
        <v>82.65795199999998</v>
      </c>
      <c r="H62" s="32">
        <f t="shared" si="1"/>
        <v>551.22204799999997</v>
      </c>
      <c r="I62" s="32">
        <f t="shared" si="2"/>
        <v>78.777952000000028</v>
      </c>
      <c r="J62" s="26">
        <f t="shared" si="3"/>
        <v>0.14291509616828685</v>
      </c>
      <c r="K62" s="29" t="s">
        <v>16</v>
      </c>
    </row>
    <row r="63" spans="1:11" x14ac:dyDescent="0.25">
      <c r="A63" s="29" t="s">
        <v>93</v>
      </c>
      <c r="B63" s="29" t="s">
        <v>68</v>
      </c>
      <c r="C63" s="30" t="s">
        <v>140</v>
      </c>
      <c r="D63" s="29" t="s">
        <v>15</v>
      </c>
      <c r="E63" s="31">
        <v>630</v>
      </c>
      <c r="F63" s="31">
        <v>633.88</v>
      </c>
      <c r="G63" s="32">
        <f t="shared" si="0"/>
        <v>82.65795199999998</v>
      </c>
      <c r="H63" s="32">
        <f t="shared" si="1"/>
        <v>551.22204799999997</v>
      </c>
      <c r="I63" s="32">
        <f t="shared" si="2"/>
        <v>78.777952000000028</v>
      </c>
      <c r="J63" s="26">
        <f t="shared" si="3"/>
        <v>0.14291509616828685</v>
      </c>
      <c r="K63" s="29" t="s">
        <v>16</v>
      </c>
    </row>
    <row r="64" spans="1:11" x14ac:dyDescent="0.25">
      <c r="A64" s="29" t="s">
        <v>93</v>
      </c>
      <c r="B64" s="29" t="s">
        <v>68</v>
      </c>
      <c r="C64" s="30" t="s">
        <v>141</v>
      </c>
      <c r="D64" s="29" t="s">
        <v>15</v>
      </c>
      <c r="E64" s="31">
        <v>630</v>
      </c>
      <c r="F64" s="31">
        <v>633.88</v>
      </c>
      <c r="G64" s="32">
        <f t="shared" si="0"/>
        <v>82.65795199999998</v>
      </c>
      <c r="H64" s="32">
        <f t="shared" si="1"/>
        <v>551.22204799999997</v>
      </c>
      <c r="I64" s="32">
        <f t="shared" si="2"/>
        <v>78.777952000000028</v>
      </c>
      <c r="J64" s="26">
        <f t="shared" si="3"/>
        <v>0.14291509616828685</v>
      </c>
      <c r="K64" s="29" t="s">
        <v>16</v>
      </c>
    </row>
    <row r="65" spans="1:11" x14ac:dyDescent="0.25">
      <c r="A65" s="29" t="s">
        <v>93</v>
      </c>
      <c r="B65" s="29" t="s">
        <v>68</v>
      </c>
      <c r="C65" s="30" t="s">
        <v>142</v>
      </c>
      <c r="D65" s="29" t="s">
        <v>15</v>
      </c>
      <c r="E65" s="31">
        <v>630</v>
      </c>
      <c r="F65" s="31">
        <v>633.88</v>
      </c>
      <c r="G65" s="32">
        <f t="shared" si="0"/>
        <v>82.65795199999998</v>
      </c>
      <c r="H65" s="32">
        <f t="shared" si="1"/>
        <v>551.22204799999997</v>
      </c>
      <c r="I65" s="32">
        <f t="shared" si="2"/>
        <v>78.777952000000028</v>
      </c>
      <c r="J65" s="26">
        <f t="shared" si="3"/>
        <v>0.14291509616828685</v>
      </c>
      <c r="K65" s="29" t="s">
        <v>16</v>
      </c>
    </row>
    <row r="66" spans="1:11" x14ac:dyDescent="0.25">
      <c r="A66" s="29" t="s">
        <v>93</v>
      </c>
      <c r="B66" s="29" t="s">
        <v>68</v>
      </c>
      <c r="C66" s="30" t="s">
        <v>143</v>
      </c>
      <c r="D66" s="29" t="s">
        <v>15</v>
      </c>
      <c r="E66" s="31">
        <v>630</v>
      </c>
      <c r="F66" s="31">
        <v>633.88</v>
      </c>
      <c r="G66" s="32">
        <f t="shared" si="0"/>
        <v>82.65795199999998</v>
      </c>
      <c r="H66" s="32">
        <f t="shared" si="1"/>
        <v>551.22204799999997</v>
      </c>
      <c r="I66" s="32">
        <f t="shared" si="2"/>
        <v>78.777952000000028</v>
      </c>
      <c r="J66" s="26">
        <f t="shared" si="3"/>
        <v>0.14291509616828685</v>
      </c>
      <c r="K66" s="29" t="s">
        <v>16</v>
      </c>
    </row>
    <row r="67" spans="1:11" x14ac:dyDescent="0.25">
      <c r="A67" s="29" t="s">
        <v>159</v>
      </c>
      <c r="B67" s="29" t="s">
        <v>68</v>
      </c>
      <c r="C67" s="30" t="s">
        <v>209</v>
      </c>
      <c r="D67" s="29" t="s">
        <v>15</v>
      </c>
      <c r="E67" s="31">
        <v>630</v>
      </c>
      <c r="F67" s="31">
        <v>633.88</v>
      </c>
      <c r="G67" s="32">
        <f t="shared" ref="G67:G130" si="4">F67*13.04/100</f>
        <v>82.65795199999998</v>
      </c>
      <c r="H67" s="32">
        <f t="shared" ref="H67:H130" si="5">F67-G67</f>
        <v>551.22204799999997</v>
      </c>
      <c r="I67" s="32">
        <f t="shared" ref="I67:I130" si="6">E67-H67</f>
        <v>78.777952000000028</v>
      </c>
      <c r="J67" s="26">
        <f t="shared" ref="J67:J130" si="7">(E67-H67)/H67</f>
        <v>0.14291509616828685</v>
      </c>
      <c r="K67" s="29" t="s">
        <v>16</v>
      </c>
    </row>
    <row r="68" spans="1:11" x14ac:dyDescent="0.25">
      <c r="A68" s="29" t="s">
        <v>159</v>
      </c>
      <c r="B68" s="29" t="s">
        <v>68</v>
      </c>
      <c r="C68" s="30" t="s">
        <v>210</v>
      </c>
      <c r="D68" s="29" t="s">
        <v>15</v>
      </c>
      <c r="E68" s="31">
        <v>630</v>
      </c>
      <c r="F68" s="31">
        <v>633.88</v>
      </c>
      <c r="G68" s="32">
        <f t="shared" si="4"/>
        <v>82.65795199999998</v>
      </c>
      <c r="H68" s="32">
        <f t="shared" si="5"/>
        <v>551.22204799999997</v>
      </c>
      <c r="I68" s="32">
        <f t="shared" si="6"/>
        <v>78.777952000000028</v>
      </c>
      <c r="J68" s="26">
        <f t="shared" si="7"/>
        <v>0.14291509616828685</v>
      </c>
      <c r="K68" s="29" t="s">
        <v>16</v>
      </c>
    </row>
    <row r="69" spans="1:11" x14ac:dyDescent="0.25">
      <c r="A69" s="29" t="s">
        <v>159</v>
      </c>
      <c r="B69" s="29" t="s">
        <v>68</v>
      </c>
      <c r="C69" s="30" t="s">
        <v>211</v>
      </c>
      <c r="D69" s="29" t="s">
        <v>15</v>
      </c>
      <c r="E69" s="31">
        <v>630</v>
      </c>
      <c r="F69" s="31">
        <v>637</v>
      </c>
      <c r="G69" s="32">
        <f t="shared" si="4"/>
        <v>83.064799999999991</v>
      </c>
      <c r="H69" s="32">
        <f t="shared" si="5"/>
        <v>553.93520000000001</v>
      </c>
      <c r="I69" s="32">
        <f t="shared" si="6"/>
        <v>76.064799999999991</v>
      </c>
      <c r="J69" s="26">
        <f t="shared" si="7"/>
        <v>0.13731714467685027</v>
      </c>
      <c r="K69" s="29" t="s">
        <v>70</v>
      </c>
    </row>
    <row r="70" spans="1:11" x14ac:dyDescent="0.25">
      <c r="A70" s="29" t="s">
        <v>159</v>
      </c>
      <c r="B70" s="29" t="s">
        <v>68</v>
      </c>
      <c r="C70" s="30" t="s">
        <v>212</v>
      </c>
      <c r="D70" s="29" t="s">
        <v>15</v>
      </c>
      <c r="E70" s="31">
        <v>630</v>
      </c>
      <c r="F70" s="31">
        <v>637</v>
      </c>
      <c r="G70" s="32">
        <f t="shared" si="4"/>
        <v>83.064799999999991</v>
      </c>
      <c r="H70" s="32">
        <f t="shared" si="5"/>
        <v>553.93520000000001</v>
      </c>
      <c r="I70" s="32">
        <f t="shared" si="6"/>
        <v>76.064799999999991</v>
      </c>
      <c r="J70" s="26">
        <f t="shared" si="7"/>
        <v>0.13731714467685027</v>
      </c>
      <c r="K70" s="29" t="s">
        <v>70</v>
      </c>
    </row>
    <row r="71" spans="1:11" x14ac:dyDescent="0.25">
      <c r="A71" s="29" t="s">
        <v>159</v>
      </c>
      <c r="B71" s="29" t="s">
        <v>68</v>
      </c>
      <c r="C71" s="30" t="s">
        <v>213</v>
      </c>
      <c r="D71" s="29" t="s">
        <v>15</v>
      </c>
      <c r="E71" s="31">
        <v>630</v>
      </c>
      <c r="F71" s="31">
        <v>637</v>
      </c>
      <c r="G71" s="32">
        <f t="shared" si="4"/>
        <v>83.064799999999991</v>
      </c>
      <c r="H71" s="32">
        <f t="shared" si="5"/>
        <v>553.93520000000001</v>
      </c>
      <c r="I71" s="32">
        <f t="shared" si="6"/>
        <v>76.064799999999991</v>
      </c>
      <c r="J71" s="26">
        <f t="shared" si="7"/>
        <v>0.13731714467685027</v>
      </c>
      <c r="K71" s="29" t="s">
        <v>70</v>
      </c>
    </row>
    <row r="72" spans="1:11" x14ac:dyDescent="0.25">
      <c r="A72" s="29" t="s">
        <v>159</v>
      </c>
      <c r="B72" s="29" t="s">
        <v>68</v>
      </c>
      <c r="C72" s="30" t="s">
        <v>214</v>
      </c>
      <c r="D72" s="29" t="s">
        <v>15</v>
      </c>
      <c r="E72" s="31">
        <v>630</v>
      </c>
      <c r="F72" s="31">
        <v>637</v>
      </c>
      <c r="G72" s="32">
        <f t="shared" si="4"/>
        <v>83.064799999999991</v>
      </c>
      <c r="H72" s="32">
        <f t="shared" si="5"/>
        <v>553.93520000000001</v>
      </c>
      <c r="I72" s="32">
        <f t="shared" si="6"/>
        <v>76.064799999999991</v>
      </c>
      <c r="J72" s="26">
        <f t="shared" si="7"/>
        <v>0.13731714467685027</v>
      </c>
      <c r="K72" s="29" t="s">
        <v>70</v>
      </c>
    </row>
    <row r="73" spans="1:11" x14ac:dyDescent="0.25">
      <c r="A73" s="29" t="s">
        <v>159</v>
      </c>
      <c r="B73" s="29" t="s">
        <v>68</v>
      </c>
      <c r="C73" s="30" t="s">
        <v>215</v>
      </c>
      <c r="D73" s="29" t="s">
        <v>15</v>
      </c>
      <c r="E73" s="31">
        <v>630</v>
      </c>
      <c r="F73" s="31">
        <v>637</v>
      </c>
      <c r="G73" s="32">
        <f t="shared" si="4"/>
        <v>83.064799999999991</v>
      </c>
      <c r="H73" s="32">
        <f t="shared" si="5"/>
        <v>553.93520000000001</v>
      </c>
      <c r="I73" s="32">
        <f t="shared" si="6"/>
        <v>76.064799999999991</v>
      </c>
      <c r="J73" s="26">
        <f t="shared" si="7"/>
        <v>0.13731714467685027</v>
      </c>
      <c r="K73" s="29" t="s">
        <v>70</v>
      </c>
    </row>
    <row r="74" spans="1:11" x14ac:dyDescent="0.25">
      <c r="A74" s="29" t="s">
        <v>159</v>
      </c>
      <c r="B74" s="29" t="s">
        <v>68</v>
      </c>
      <c r="C74" s="30" t="s">
        <v>216</v>
      </c>
      <c r="D74" s="29" t="s">
        <v>15</v>
      </c>
      <c r="E74" s="31">
        <v>630</v>
      </c>
      <c r="F74" s="31">
        <v>717.22</v>
      </c>
      <c r="G74" s="32">
        <f t="shared" si="4"/>
        <v>93.52548800000001</v>
      </c>
      <c r="H74" s="32">
        <f t="shared" si="5"/>
        <v>623.69451200000003</v>
      </c>
      <c r="I74" s="32">
        <f t="shared" si="6"/>
        <v>6.3054879999999685</v>
      </c>
      <c r="J74" s="26">
        <f t="shared" si="7"/>
        <v>1.0109898161168954E-2</v>
      </c>
      <c r="K74" s="29" t="s">
        <v>16</v>
      </c>
    </row>
    <row r="75" spans="1:11" x14ac:dyDescent="0.25">
      <c r="A75" s="29" t="s">
        <v>159</v>
      </c>
      <c r="B75" s="29" t="s">
        <v>68</v>
      </c>
      <c r="C75" s="30" t="s">
        <v>217</v>
      </c>
      <c r="D75" s="29" t="s">
        <v>15</v>
      </c>
      <c r="E75" s="31">
        <v>630</v>
      </c>
      <c r="F75" s="31">
        <v>717.22</v>
      </c>
      <c r="G75" s="32">
        <f t="shared" si="4"/>
        <v>93.52548800000001</v>
      </c>
      <c r="H75" s="32">
        <f t="shared" si="5"/>
        <v>623.69451200000003</v>
      </c>
      <c r="I75" s="32">
        <f t="shared" si="6"/>
        <v>6.3054879999999685</v>
      </c>
      <c r="J75" s="26">
        <f t="shared" si="7"/>
        <v>1.0109898161168954E-2</v>
      </c>
      <c r="K75" s="29" t="s">
        <v>16</v>
      </c>
    </row>
    <row r="76" spans="1:11" x14ac:dyDescent="0.25">
      <c r="A76" s="29" t="s">
        <v>159</v>
      </c>
      <c r="B76" s="29" t="s">
        <v>68</v>
      </c>
      <c r="C76" s="30" t="s">
        <v>218</v>
      </c>
      <c r="D76" s="29" t="s">
        <v>15</v>
      </c>
      <c r="E76" s="31">
        <v>630</v>
      </c>
      <c r="F76" s="31">
        <v>717.22</v>
      </c>
      <c r="G76" s="32">
        <f t="shared" si="4"/>
        <v>93.52548800000001</v>
      </c>
      <c r="H76" s="32">
        <f t="shared" si="5"/>
        <v>623.69451200000003</v>
      </c>
      <c r="I76" s="32">
        <f t="shared" si="6"/>
        <v>6.3054879999999685</v>
      </c>
      <c r="J76" s="26">
        <f t="shared" si="7"/>
        <v>1.0109898161168954E-2</v>
      </c>
      <c r="K76" s="29" t="s">
        <v>16</v>
      </c>
    </row>
    <row r="77" spans="1:11" x14ac:dyDescent="0.25">
      <c r="A77" s="29" t="s">
        <v>159</v>
      </c>
      <c r="B77" s="29" t="s">
        <v>68</v>
      </c>
      <c r="C77" s="30" t="s">
        <v>219</v>
      </c>
      <c r="D77" s="29" t="s">
        <v>15</v>
      </c>
      <c r="E77" s="31">
        <v>630</v>
      </c>
      <c r="F77" s="31">
        <v>717.22</v>
      </c>
      <c r="G77" s="32">
        <f t="shared" si="4"/>
        <v>93.52548800000001</v>
      </c>
      <c r="H77" s="32">
        <f t="shared" si="5"/>
        <v>623.69451200000003</v>
      </c>
      <c r="I77" s="32">
        <f t="shared" si="6"/>
        <v>6.3054879999999685</v>
      </c>
      <c r="J77" s="26">
        <f t="shared" si="7"/>
        <v>1.0109898161168954E-2</v>
      </c>
      <c r="K77" s="29" t="s">
        <v>16</v>
      </c>
    </row>
    <row r="78" spans="1:11" x14ac:dyDescent="0.25">
      <c r="A78" s="29" t="s">
        <v>159</v>
      </c>
      <c r="B78" s="29" t="s">
        <v>68</v>
      </c>
      <c r="C78" s="30" t="s">
        <v>220</v>
      </c>
      <c r="D78" s="29" t="s">
        <v>15</v>
      </c>
      <c r="E78" s="31">
        <v>630</v>
      </c>
      <c r="F78" s="31">
        <v>717.22</v>
      </c>
      <c r="G78" s="32">
        <f t="shared" si="4"/>
        <v>93.52548800000001</v>
      </c>
      <c r="H78" s="32">
        <f t="shared" si="5"/>
        <v>623.69451200000003</v>
      </c>
      <c r="I78" s="32">
        <f t="shared" si="6"/>
        <v>6.3054879999999685</v>
      </c>
      <c r="J78" s="26">
        <f t="shared" si="7"/>
        <v>1.0109898161168954E-2</v>
      </c>
      <c r="K78" s="29" t="s">
        <v>16</v>
      </c>
    </row>
    <row r="79" spans="1:11" x14ac:dyDescent="0.25">
      <c r="A79" s="29" t="s">
        <v>159</v>
      </c>
      <c r="B79" s="29" t="s">
        <v>68</v>
      </c>
      <c r="C79" s="30" t="s">
        <v>221</v>
      </c>
      <c r="D79" s="29" t="s">
        <v>15</v>
      </c>
      <c r="E79" s="31">
        <v>630</v>
      </c>
      <c r="F79" s="31">
        <v>637</v>
      </c>
      <c r="G79" s="32">
        <f t="shared" si="4"/>
        <v>83.064799999999991</v>
      </c>
      <c r="H79" s="32">
        <f t="shared" si="5"/>
        <v>553.93520000000001</v>
      </c>
      <c r="I79" s="32">
        <f t="shared" si="6"/>
        <v>76.064799999999991</v>
      </c>
      <c r="J79" s="26">
        <f t="shared" si="7"/>
        <v>0.13731714467685027</v>
      </c>
      <c r="K79" s="29" t="s">
        <v>70</v>
      </c>
    </row>
    <row r="80" spans="1:11" x14ac:dyDescent="0.25">
      <c r="A80" s="29" t="s">
        <v>159</v>
      </c>
      <c r="B80" s="29" t="s">
        <v>68</v>
      </c>
      <c r="C80" s="30" t="s">
        <v>222</v>
      </c>
      <c r="D80" s="29" t="s">
        <v>15</v>
      </c>
      <c r="E80" s="31">
        <v>630</v>
      </c>
      <c r="F80" s="31">
        <v>637</v>
      </c>
      <c r="G80" s="32">
        <f t="shared" si="4"/>
        <v>83.064799999999991</v>
      </c>
      <c r="H80" s="32">
        <f t="shared" si="5"/>
        <v>553.93520000000001</v>
      </c>
      <c r="I80" s="32">
        <f t="shared" si="6"/>
        <v>76.064799999999991</v>
      </c>
      <c r="J80" s="26">
        <f t="shared" si="7"/>
        <v>0.13731714467685027</v>
      </c>
      <c r="K80" s="29" t="s">
        <v>70</v>
      </c>
    </row>
    <row r="81" spans="1:11" x14ac:dyDescent="0.25">
      <c r="A81" s="29" t="s">
        <v>159</v>
      </c>
      <c r="B81" s="29" t="s">
        <v>68</v>
      </c>
      <c r="C81" s="30" t="s">
        <v>223</v>
      </c>
      <c r="D81" s="29" t="s">
        <v>15</v>
      </c>
      <c r="E81" s="31">
        <v>630</v>
      </c>
      <c r="F81" s="31">
        <v>637</v>
      </c>
      <c r="G81" s="32">
        <f t="shared" si="4"/>
        <v>83.064799999999991</v>
      </c>
      <c r="H81" s="32">
        <f t="shared" si="5"/>
        <v>553.93520000000001</v>
      </c>
      <c r="I81" s="32">
        <f t="shared" si="6"/>
        <v>76.064799999999991</v>
      </c>
      <c r="J81" s="26">
        <f t="shared" si="7"/>
        <v>0.13731714467685027</v>
      </c>
      <c r="K81" s="29" t="s">
        <v>70</v>
      </c>
    </row>
    <row r="82" spans="1:11" x14ac:dyDescent="0.25">
      <c r="A82" s="29" t="s">
        <v>159</v>
      </c>
      <c r="B82" s="29" t="s">
        <v>68</v>
      </c>
      <c r="C82" s="30" t="s">
        <v>224</v>
      </c>
      <c r="D82" s="29" t="s">
        <v>15</v>
      </c>
      <c r="E82" s="31">
        <v>630</v>
      </c>
      <c r="F82" s="31">
        <v>637</v>
      </c>
      <c r="G82" s="32">
        <f t="shared" si="4"/>
        <v>83.064799999999991</v>
      </c>
      <c r="H82" s="32">
        <f t="shared" si="5"/>
        <v>553.93520000000001</v>
      </c>
      <c r="I82" s="32">
        <f t="shared" si="6"/>
        <v>76.064799999999991</v>
      </c>
      <c r="J82" s="26">
        <f t="shared" si="7"/>
        <v>0.13731714467685027</v>
      </c>
      <c r="K82" s="29" t="s">
        <v>70</v>
      </c>
    </row>
    <row r="83" spans="1:11" x14ac:dyDescent="0.25">
      <c r="A83" s="29" t="s">
        <v>159</v>
      </c>
      <c r="B83" s="29" t="s">
        <v>68</v>
      </c>
      <c r="C83" s="30" t="s">
        <v>225</v>
      </c>
      <c r="D83" s="29" t="s">
        <v>15</v>
      </c>
      <c r="E83" s="31">
        <v>630</v>
      </c>
      <c r="F83" s="31">
        <v>637</v>
      </c>
      <c r="G83" s="32">
        <f t="shared" si="4"/>
        <v>83.064799999999991</v>
      </c>
      <c r="H83" s="32">
        <f t="shared" si="5"/>
        <v>553.93520000000001</v>
      </c>
      <c r="I83" s="32">
        <f t="shared" si="6"/>
        <v>76.064799999999991</v>
      </c>
      <c r="J83" s="26">
        <f t="shared" si="7"/>
        <v>0.13731714467685027</v>
      </c>
      <c r="K83" s="29" t="s">
        <v>70</v>
      </c>
    </row>
    <row r="84" spans="1:11" x14ac:dyDescent="0.25">
      <c r="A84" s="29" t="s">
        <v>159</v>
      </c>
      <c r="B84" s="29" t="s">
        <v>68</v>
      </c>
      <c r="C84" s="30" t="s">
        <v>226</v>
      </c>
      <c r="D84" s="29" t="s">
        <v>15</v>
      </c>
      <c r="E84" s="31">
        <v>630</v>
      </c>
      <c r="F84" s="31">
        <v>637</v>
      </c>
      <c r="G84" s="32">
        <f t="shared" si="4"/>
        <v>83.064799999999991</v>
      </c>
      <c r="H84" s="32">
        <f t="shared" si="5"/>
        <v>553.93520000000001</v>
      </c>
      <c r="I84" s="32">
        <f t="shared" si="6"/>
        <v>76.064799999999991</v>
      </c>
      <c r="J84" s="26">
        <f t="shared" si="7"/>
        <v>0.13731714467685027</v>
      </c>
      <c r="K84" s="29" t="s">
        <v>70</v>
      </c>
    </row>
    <row r="85" spans="1:11" x14ac:dyDescent="0.25">
      <c r="A85" s="29" t="s">
        <v>159</v>
      </c>
      <c r="B85" s="29" t="s">
        <v>68</v>
      </c>
      <c r="C85" s="30" t="s">
        <v>227</v>
      </c>
      <c r="D85" s="29" t="s">
        <v>15</v>
      </c>
      <c r="E85" s="31">
        <v>630</v>
      </c>
      <c r="F85" s="31">
        <v>637</v>
      </c>
      <c r="G85" s="32">
        <f t="shared" si="4"/>
        <v>83.064799999999991</v>
      </c>
      <c r="H85" s="32">
        <f t="shared" si="5"/>
        <v>553.93520000000001</v>
      </c>
      <c r="I85" s="32">
        <f t="shared" si="6"/>
        <v>76.064799999999991</v>
      </c>
      <c r="J85" s="26">
        <f t="shared" si="7"/>
        <v>0.13731714467685027</v>
      </c>
      <c r="K85" s="29" t="s">
        <v>70</v>
      </c>
    </row>
    <row r="86" spans="1:11" x14ac:dyDescent="0.25">
      <c r="A86" s="29" t="s">
        <v>159</v>
      </c>
      <c r="B86" s="29" t="s">
        <v>68</v>
      </c>
      <c r="C86" s="30" t="s">
        <v>228</v>
      </c>
      <c r="D86" s="29" t="s">
        <v>15</v>
      </c>
      <c r="E86" s="31">
        <v>630</v>
      </c>
      <c r="F86" s="31">
        <v>637</v>
      </c>
      <c r="G86" s="32">
        <f t="shared" si="4"/>
        <v>83.064799999999991</v>
      </c>
      <c r="H86" s="32">
        <f t="shared" si="5"/>
        <v>553.93520000000001</v>
      </c>
      <c r="I86" s="32">
        <f t="shared" si="6"/>
        <v>76.064799999999991</v>
      </c>
      <c r="J86" s="26">
        <f t="shared" si="7"/>
        <v>0.13731714467685027</v>
      </c>
      <c r="K86" s="29" t="s">
        <v>70</v>
      </c>
    </row>
    <row r="87" spans="1:11" x14ac:dyDescent="0.25">
      <c r="A87" s="29" t="s">
        <v>159</v>
      </c>
      <c r="B87" s="29" t="s">
        <v>68</v>
      </c>
      <c r="C87" s="30" t="s">
        <v>229</v>
      </c>
      <c r="D87" s="29" t="s">
        <v>15</v>
      </c>
      <c r="E87" s="31">
        <v>630</v>
      </c>
      <c r="F87" s="31">
        <v>637</v>
      </c>
      <c r="G87" s="32">
        <f t="shared" si="4"/>
        <v>83.064799999999991</v>
      </c>
      <c r="H87" s="32">
        <f t="shared" si="5"/>
        <v>553.93520000000001</v>
      </c>
      <c r="I87" s="32">
        <f t="shared" si="6"/>
        <v>76.064799999999991</v>
      </c>
      <c r="J87" s="26">
        <f t="shared" si="7"/>
        <v>0.13731714467685027</v>
      </c>
      <c r="K87" s="29" t="s">
        <v>70</v>
      </c>
    </row>
    <row r="88" spans="1:11" x14ac:dyDescent="0.25">
      <c r="A88" s="29" t="s">
        <v>159</v>
      </c>
      <c r="B88" s="29" t="s">
        <v>68</v>
      </c>
      <c r="C88" s="30" t="s">
        <v>230</v>
      </c>
      <c r="D88" s="29" t="s">
        <v>15</v>
      </c>
      <c r="E88" s="31">
        <v>630</v>
      </c>
      <c r="F88" s="31">
        <v>637</v>
      </c>
      <c r="G88" s="32">
        <f t="shared" si="4"/>
        <v>83.064799999999991</v>
      </c>
      <c r="H88" s="32">
        <f t="shared" si="5"/>
        <v>553.93520000000001</v>
      </c>
      <c r="I88" s="32">
        <f t="shared" si="6"/>
        <v>76.064799999999991</v>
      </c>
      <c r="J88" s="26">
        <f t="shared" si="7"/>
        <v>0.13731714467685027</v>
      </c>
      <c r="K88" s="29" t="s">
        <v>70</v>
      </c>
    </row>
    <row r="89" spans="1:11" x14ac:dyDescent="0.25">
      <c r="A89" s="29" t="s">
        <v>159</v>
      </c>
      <c r="B89" s="29" t="s">
        <v>68</v>
      </c>
      <c r="C89" s="30" t="s">
        <v>231</v>
      </c>
      <c r="D89" s="29" t="s">
        <v>15</v>
      </c>
      <c r="E89" s="31">
        <v>630</v>
      </c>
      <c r="F89" s="31">
        <v>637</v>
      </c>
      <c r="G89" s="32">
        <f t="shared" si="4"/>
        <v>83.064799999999991</v>
      </c>
      <c r="H89" s="32">
        <f t="shared" si="5"/>
        <v>553.93520000000001</v>
      </c>
      <c r="I89" s="32">
        <f t="shared" si="6"/>
        <v>76.064799999999991</v>
      </c>
      <c r="J89" s="26">
        <f t="shared" si="7"/>
        <v>0.13731714467685027</v>
      </c>
      <c r="K89" s="29" t="s">
        <v>70</v>
      </c>
    </row>
    <row r="90" spans="1:11" x14ac:dyDescent="0.25">
      <c r="A90" s="29" t="s">
        <v>159</v>
      </c>
      <c r="B90" s="29" t="s">
        <v>68</v>
      </c>
      <c r="C90" s="30" t="s">
        <v>232</v>
      </c>
      <c r="D90" s="29" t="s">
        <v>15</v>
      </c>
      <c r="E90" s="31">
        <v>630</v>
      </c>
      <c r="F90" s="31">
        <v>637</v>
      </c>
      <c r="G90" s="32">
        <f t="shared" si="4"/>
        <v>83.064799999999991</v>
      </c>
      <c r="H90" s="32">
        <f t="shared" si="5"/>
        <v>553.93520000000001</v>
      </c>
      <c r="I90" s="32">
        <f t="shared" si="6"/>
        <v>76.064799999999991</v>
      </c>
      <c r="J90" s="26">
        <f t="shared" si="7"/>
        <v>0.13731714467685027</v>
      </c>
      <c r="K90" s="29" t="s">
        <v>70</v>
      </c>
    </row>
    <row r="91" spans="1:11" x14ac:dyDescent="0.25">
      <c r="A91" s="29" t="s">
        <v>159</v>
      </c>
      <c r="B91" s="29" t="s">
        <v>68</v>
      </c>
      <c r="C91" s="30" t="s">
        <v>233</v>
      </c>
      <c r="D91" s="29" t="s">
        <v>15</v>
      </c>
      <c r="E91" s="31">
        <v>630</v>
      </c>
      <c r="F91" s="31">
        <v>637</v>
      </c>
      <c r="G91" s="32">
        <f t="shared" si="4"/>
        <v>83.064799999999991</v>
      </c>
      <c r="H91" s="32">
        <f t="shared" si="5"/>
        <v>553.93520000000001</v>
      </c>
      <c r="I91" s="32">
        <f t="shared" si="6"/>
        <v>76.064799999999991</v>
      </c>
      <c r="J91" s="26">
        <f t="shared" si="7"/>
        <v>0.13731714467685027</v>
      </c>
      <c r="K91" s="29" t="s">
        <v>70</v>
      </c>
    </row>
    <row r="92" spans="1:11" x14ac:dyDescent="0.25">
      <c r="A92" s="29" t="s">
        <v>159</v>
      </c>
      <c r="B92" s="29" t="s">
        <v>68</v>
      </c>
      <c r="C92" s="30" t="s">
        <v>234</v>
      </c>
      <c r="D92" s="29" t="s">
        <v>15</v>
      </c>
      <c r="E92" s="31">
        <v>630</v>
      </c>
      <c r="F92" s="31">
        <v>637</v>
      </c>
      <c r="G92" s="32">
        <f t="shared" si="4"/>
        <v>83.064799999999991</v>
      </c>
      <c r="H92" s="32">
        <f t="shared" si="5"/>
        <v>553.93520000000001</v>
      </c>
      <c r="I92" s="32">
        <f t="shared" si="6"/>
        <v>76.064799999999991</v>
      </c>
      <c r="J92" s="26">
        <f t="shared" si="7"/>
        <v>0.13731714467685027</v>
      </c>
      <c r="K92" s="29" t="s">
        <v>70</v>
      </c>
    </row>
    <row r="93" spans="1:11" x14ac:dyDescent="0.25">
      <c r="A93" s="29" t="s">
        <v>159</v>
      </c>
      <c r="B93" s="29" t="s">
        <v>68</v>
      </c>
      <c r="C93" s="30" t="s">
        <v>235</v>
      </c>
      <c r="D93" s="29" t="s">
        <v>15</v>
      </c>
      <c r="E93" s="31">
        <v>630</v>
      </c>
      <c r="F93" s="31">
        <v>637</v>
      </c>
      <c r="G93" s="32">
        <f t="shared" si="4"/>
        <v>83.064799999999991</v>
      </c>
      <c r="H93" s="32">
        <f t="shared" si="5"/>
        <v>553.93520000000001</v>
      </c>
      <c r="I93" s="32">
        <f t="shared" si="6"/>
        <v>76.064799999999991</v>
      </c>
      <c r="J93" s="26">
        <f t="shared" si="7"/>
        <v>0.13731714467685027</v>
      </c>
      <c r="K93" s="29" t="s">
        <v>70</v>
      </c>
    </row>
    <row r="94" spans="1:11" x14ac:dyDescent="0.25">
      <c r="A94" s="29" t="s">
        <v>159</v>
      </c>
      <c r="B94" s="29" t="s">
        <v>68</v>
      </c>
      <c r="C94" s="30" t="s">
        <v>236</v>
      </c>
      <c r="D94" s="29" t="s">
        <v>15</v>
      </c>
      <c r="E94" s="31">
        <v>630</v>
      </c>
      <c r="F94" s="31">
        <v>637</v>
      </c>
      <c r="G94" s="32">
        <f t="shared" si="4"/>
        <v>83.064799999999991</v>
      </c>
      <c r="H94" s="32">
        <f t="shared" si="5"/>
        <v>553.93520000000001</v>
      </c>
      <c r="I94" s="32">
        <f t="shared" si="6"/>
        <v>76.064799999999991</v>
      </c>
      <c r="J94" s="26">
        <f t="shared" si="7"/>
        <v>0.13731714467685027</v>
      </c>
      <c r="K94" s="29" t="s">
        <v>70</v>
      </c>
    </row>
    <row r="95" spans="1:11" x14ac:dyDescent="0.25">
      <c r="A95" s="29" t="s">
        <v>159</v>
      </c>
      <c r="B95" s="29" t="s">
        <v>68</v>
      </c>
      <c r="C95" s="30" t="s">
        <v>237</v>
      </c>
      <c r="D95" s="29" t="s">
        <v>15</v>
      </c>
      <c r="E95" s="31">
        <v>630</v>
      </c>
      <c r="F95" s="31">
        <v>637</v>
      </c>
      <c r="G95" s="32">
        <f t="shared" si="4"/>
        <v>83.064799999999991</v>
      </c>
      <c r="H95" s="32">
        <f t="shared" si="5"/>
        <v>553.93520000000001</v>
      </c>
      <c r="I95" s="32">
        <f t="shared" si="6"/>
        <v>76.064799999999991</v>
      </c>
      <c r="J95" s="26">
        <f t="shared" si="7"/>
        <v>0.13731714467685027</v>
      </c>
      <c r="K95" s="29" t="s">
        <v>70</v>
      </c>
    </row>
    <row r="96" spans="1:11" x14ac:dyDescent="0.25">
      <c r="A96" s="29" t="s">
        <v>159</v>
      </c>
      <c r="B96" s="29" t="s">
        <v>68</v>
      </c>
      <c r="C96" s="30" t="s">
        <v>238</v>
      </c>
      <c r="D96" s="29" t="s">
        <v>15</v>
      </c>
      <c r="E96" s="31">
        <v>630</v>
      </c>
      <c r="F96" s="31">
        <v>633.88</v>
      </c>
      <c r="G96" s="32">
        <f t="shared" si="4"/>
        <v>82.65795199999998</v>
      </c>
      <c r="H96" s="32">
        <f t="shared" si="5"/>
        <v>551.22204799999997</v>
      </c>
      <c r="I96" s="32">
        <f t="shared" si="6"/>
        <v>78.777952000000028</v>
      </c>
      <c r="J96" s="26">
        <f t="shared" si="7"/>
        <v>0.14291509616828685</v>
      </c>
      <c r="K96" s="29" t="s">
        <v>16</v>
      </c>
    </row>
    <row r="97" spans="1:11" x14ac:dyDescent="0.25">
      <c r="A97" s="29" t="s">
        <v>159</v>
      </c>
      <c r="B97" s="29" t="s">
        <v>68</v>
      </c>
      <c r="C97" s="30" t="s">
        <v>239</v>
      </c>
      <c r="D97" s="29" t="s">
        <v>15</v>
      </c>
      <c r="E97" s="31">
        <v>630</v>
      </c>
      <c r="F97" s="31">
        <v>633.88</v>
      </c>
      <c r="G97" s="32">
        <f t="shared" si="4"/>
        <v>82.65795199999998</v>
      </c>
      <c r="H97" s="32">
        <f t="shared" si="5"/>
        <v>551.22204799999997</v>
      </c>
      <c r="I97" s="32">
        <f t="shared" si="6"/>
        <v>78.777952000000028</v>
      </c>
      <c r="J97" s="26">
        <f t="shared" si="7"/>
        <v>0.14291509616828685</v>
      </c>
      <c r="K97" s="29" t="s">
        <v>16</v>
      </c>
    </row>
    <row r="98" spans="1:11" x14ac:dyDescent="0.25">
      <c r="A98" s="29" t="s">
        <v>159</v>
      </c>
      <c r="B98" s="29" t="s">
        <v>68</v>
      </c>
      <c r="C98" s="30" t="s">
        <v>240</v>
      </c>
      <c r="D98" s="29" t="s">
        <v>15</v>
      </c>
      <c r="E98" s="31">
        <v>630</v>
      </c>
      <c r="F98" s="31">
        <v>633.88</v>
      </c>
      <c r="G98" s="32">
        <f t="shared" si="4"/>
        <v>82.65795199999998</v>
      </c>
      <c r="H98" s="32">
        <f t="shared" si="5"/>
        <v>551.22204799999997</v>
      </c>
      <c r="I98" s="32">
        <f t="shared" si="6"/>
        <v>78.777952000000028</v>
      </c>
      <c r="J98" s="26">
        <f t="shared" si="7"/>
        <v>0.14291509616828685</v>
      </c>
      <c r="K98" s="29" t="s">
        <v>16</v>
      </c>
    </row>
    <row r="99" spans="1:11" x14ac:dyDescent="0.25">
      <c r="A99" s="29" t="s">
        <v>159</v>
      </c>
      <c r="B99" s="29" t="s">
        <v>68</v>
      </c>
      <c r="C99" s="30" t="s">
        <v>241</v>
      </c>
      <c r="D99" s="29" t="s">
        <v>15</v>
      </c>
      <c r="E99" s="31">
        <v>630</v>
      </c>
      <c r="F99" s="31">
        <v>633.88</v>
      </c>
      <c r="G99" s="32">
        <f t="shared" si="4"/>
        <v>82.65795199999998</v>
      </c>
      <c r="H99" s="32">
        <f t="shared" si="5"/>
        <v>551.22204799999997</v>
      </c>
      <c r="I99" s="32">
        <f t="shared" si="6"/>
        <v>78.777952000000028</v>
      </c>
      <c r="J99" s="26">
        <f t="shared" si="7"/>
        <v>0.14291509616828685</v>
      </c>
      <c r="K99" s="29" t="s">
        <v>16</v>
      </c>
    </row>
    <row r="100" spans="1:11" x14ac:dyDescent="0.25">
      <c r="A100" s="29" t="s">
        <v>159</v>
      </c>
      <c r="B100" s="29" t="s">
        <v>68</v>
      </c>
      <c r="C100" s="30" t="s">
        <v>242</v>
      </c>
      <c r="D100" s="29" t="s">
        <v>15</v>
      </c>
      <c r="E100" s="31">
        <v>630</v>
      </c>
      <c r="F100" s="31">
        <v>633.88</v>
      </c>
      <c r="G100" s="32">
        <f t="shared" si="4"/>
        <v>82.65795199999998</v>
      </c>
      <c r="H100" s="32">
        <f t="shared" si="5"/>
        <v>551.22204799999997</v>
      </c>
      <c r="I100" s="32">
        <f t="shared" si="6"/>
        <v>78.777952000000028</v>
      </c>
      <c r="J100" s="26">
        <f t="shared" si="7"/>
        <v>0.14291509616828685</v>
      </c>
      <c r="K100" s="29" t="s">
        <v>16</v>
      </c>
    </row>
    <row r="101" spans="1:11" x14ac:dyDescent="0.25">
      <c r="A101" s="29" t="s">
        <v>159</v>
      </c>
      <c r="B101" s="29" t="s">
        <v>68</v>
      </c>
      <c r="C101" s="30" t="s">
        <v>243</v>
      </c>
      <c r="D101" s="29" t="s">
        <v>15</v>
      </c>
      <c r="E101" s="31">
        <v>630</v>
      </c>
      <c r="F101" s="31">
        <v>633.88</v>
      </c>
      <c r="G101" s="32">
        <f t="shared" si="4"/>
        <v>82.65795199999998</v>
      </c>
      <c r="H101" s="32">
        <f t="shared" si="5"/>
        <v>551.22204799999997</v>
      </c>
      <c r="I101" s="32">
        <f t="shared" si="6"/>
        <v>78.777952000000028</v>
      </c>
      <c r="J101" s="26">
        <f t="shared" si="7"/>
        <v>0.14291509616828685</v>
      </c>
      <c r="K101" s="29" t="s">
        <v>16</v>
      </c>
    </row>
    <row r="102" spans="1:11" x14ac:dyDescent="0.25">
      <c r="A102" s="29" t="s">
        <v>159</v>
      </c>
      <c r="B102" s="29" t="s">
        <v>68</v>
      </c>
      <c r="C102" s="30" t="s">
        <v>244</v>
      </c>
      <c r="D102" s="29" t="s">
        <v>15</v>
      </c>
      <c r="E102" s="31">
        <v>630</v>
      </c>
      <c r="F102" s="31">
        <v>633.88</v>
      </c>
      <c r="G102" s="32">
        <f t="shared" si="4"/>
        <v>82.65795199999998</v>
      </c>
      <c r="H102" s="32">
        <f t="shared" si="5"/>
        <v>551.22204799999997</v>
      </c>
      <c r="I102" s="32">
        <f t="shared" si="6"/>
        <v>78.777952000000028</v>
      </c>
      <c r="J102" s="26">
        <f t="shared" si="7"/>
        <v>0.14291509616828685</v>
      </c>
      <c r="K102" s="29" t="s">
        <v>16</v>
      </c>
    </row>
    <row r="103" spans="1:11" x14ac:dyDescent="0.25">
      <c r="A103" s="29" t="s">
        <v>159</v>
      </c>
      <c r="B103" s="29" t="s">
        <v>68</v>
      </c>
      <c r="C103" s="30" t="s">
        <v>245</v>
      </c>
      <c r="D103" s="29" t="s">
        <v>15</v>
      </c>
      <c r="E103" s="31">
        <v>630</v>
      </c>
      <c r="F103" s="31">
        <v>633.88</v>
      </c>
      <c r="G103" s="32">
        <f t="shared" si="4"/>
        <v>82.65795199999998</v>
      </c>
      <c r="H103" s="32">
        <f t="shared" si="5"/>
        <v>551.22204799999997</v>
      </c>
      <c r="I103" s="32">
        <f t="shared" si="6"/>
        <v>78.777952000000028</v>
      </c>
      <c r="J103" s="26">
        <f t="shared" si="7"/>
        <v>0.14291509616828685</v>
      </c>
      <c r="K103" s="29" t="s">
        <v>16</v>
      </c>
    </row>
    <row r="104" spans="1:11" x14ac:dyDescent="0.25">
      <c r="A104" s="29" t="s">
        <v>159</v>
      </c>
      <c r="B104" s="29" t="s">
        <v>68</v>
      </c>
      <c r="C104" s="30" t="s">
        <v>246</v>
      </c>
      <c r="D104" s="29" t="s">
        <v>15</v>
      </c>
      <c r="E104" s="31">
        <v>630</v>
      </c>
      <c r="F104" s="31">
        <v>633.88</v>
      </c>
      <c r="G104" s="32">
        <f t="shared" si="4"/>
        <v>82.65795199999998</v>
      </c>
      <c r="H104" s="32">
        <f t="shared" si="5"/>
        <v>551.22204799999997</v>
      </c>
      <c r="I104" s="32">
        <f t="shared" si="6"/>
        <v>78.777952000000028</v>
      </c>
      <c r="J104" s="26">
        <f t="shared" si="7"/>
        <v>0.14291509616828685</v>
      </c>
      <c r="K104" s="29" t="s">
        <v>16</v>
      </c>
    </row>
    <row r="105" spans="1:11" x14ac:dyDescent="0.25">
      <c r="A105" s="29" t="s">
        <v>159</v>
      </c>
      <c r="B105" s="29" t="s">
        <v>68</v>
      </c>
      <c r="C105" s="30" t="s">
        <v>247</v>
      </c>
      <c r="D105" s="29" t="s">
        <v>15</v>
      </c>
      <c r="E105" s="31">
        <v>630</v>
      </c>
      <c r="F105" s="31">
        <v>633.88</v>
      </c>
      <c r="G105" s="32">
        <f t="shared" si="4"/>
        <v>82.65795199999998</v>
      </c>
      <c r="H105" s="32">
        <f t="shared" si="5"/>
        <v>551.22204799999997</v>
      </c>
      <c r="I105" s="32">
        <f t="shared" si="6"/>
        <v>78.777952000000028</v>
      </c>
      <c r="J105" s="26">
        <f t="shared" si="7"/>
        <v>0.14291509616828685</v>
      </c>
      <c r="K105" s="29" t="s">
        <v>16</v>
      </c>
    </row>
    <row r="106" spans="1:11" x14ac:dyDescent="0.25">
      <c r="A106" s="29" t="s">
        <v>159</v>
      </c>
      <c r="B106" s="29" t="s">
        <v>68</v>
      </c>
      <c r="C106" s="30" t="s">
        <v>248</v>
      </c>
      <c r="D106" s="29" t="s">
        <v>15</v>
      </c>
      <c r="E106" s="31">
        <v>630</v>
      </c>
      <c r="F106" s="31">
        <v>633.88</v>
      </c>
      <c r="G106" s="32">
        <f t="shared" si="4"/>
        <v>82.65795199999998</v>
      </c>
      <c r="H106" s="32">
        <f t="shared" si="5"/>
        <v>551.22204799999997</v>
      </c>
      <c r="I106" s="32">
        <f t="shared" si="6"/>
        <v>78.777952000000028</v>
      </c>
      <c r="J106" s="26">
        <f t="shared" si="7"/>
        <v>0.14291509616828685</v>
      </c>
      <c r="K106" s="29" t="s">
        <v>16</v>
      </c>
    </row>
    <row r="107" spans="1:11" x14ac:dyDescent="0.25">
      <c r="A107" s="29" t="s">
        <v>159</v>
      </c>
      <c r="B107" s="29" t="s">
        <v>68</v>
      </c>
      <c r="C107" s="30" t="s">
        <v>249</v>
      </c>
      <c r="D107" s="29" t="s">
        <v>15</v>
      </c>
      <c r="E107" s="31">
        <v>630</v>
      </c>
      <c r="F107" s="31">
        <v>633.88</v>
      </c>
      <c r="G107" s="32">
        <f t="shared" si="4"/>
        <v>82.65795199999998</v>
      </c>
      <c r="H107" s="32">
        <f t="shared" si="5"/>
        <v>551.22204799999997</v>
      </c>
      <c r="I107" s="32">
        <f t="shared" si="6"/>
        <v>78.777952000000028</v>
      </c>
      <c r="J107" s="26">
        <f t="shared" si="7"/>
        <v>0.14291509616828685</v>
      </c>
      <c r="K107" s="29" t="s">
        <v>16</v>
      </c>
    </row>
    <row r="108" spans="1:11" x14ac:dyDescent="0.25">
      <c r="A108" s="29" t="s">
        <v>159</v>
      </c>
      <c r="B108" s="29" t="s">
        <v>68</v>
      </c>
      <c r="C108" s="30" t="s">
        <v>250</v>
      </c>
      <c r="D108" s="29" t="s">
        <v>15</v>
      </c>
      <c r="E108" s="31">
        <v>630</v>
      </c>
      <c r="F108" s="31">
        <v>633.88</v>
      </c>
      <c r="G108" s="32">
        <f t="shared" si="4"/>
        <v>82.65795199999998</v>
      </c>
      <c r="H108" s="32">
        <f t="shared" si="5"/>
        <v>551.22204799999997</v>
      </c>
      <c r="I108" s="32">
        <f t="shared" si="6"/>
        <v>78.777952000000028</v>
      </c>
      <c r="J108" s="26">
        <f t="shared" si="7"/>
        <v>0.14291509616828685</v>
      </c>
      <c r="K108" s="29" t="s">
        <v>16</v>
      </c>
    </row>
    <row r="109" spans="1:11" x14ac:dyDescent="0.25">
      <c r="A109" s="29" t="s">
        <v>159</v>
      </c>
      <c r="B109" s="29" t="s">
        <v>68</v>
      </c>
      <c r="C109" s="30" t="s">
        <v>251</v>
      </c>
      <c r="D109" s="29" t="s">
        <v>15</v>
      </c>
      <c r="E109" s="31">
        <v>630</v>
      </c>
      <c r="F109" s="31">
        <v>633.88</v>
      </c>
      <c r="G109" s="32">
        <f t="shared" si="4"/>
        <v>82.65795199999998</v>
      </c>
      <c r="H109" s="32">
        <f t="shared" si="5"/>
        <v>551.22204799999997</v>
      </c>
      <c r="I109" s="32">
        <f t="shared" si="6"/>
        <v>78.777952000000028</v>
      </c>
      <c r="J109" s="26">
        <f t="shared" si="7"/>
        <v>0.14291509616828685</v>
      </c>
      <c r="K109" s="29" t="s">
        <v>16</v>
      </c>
    </row>
    <row r="110" spans="1:11" x14ac:dyDescent="0.25">
      <c r="A110" s="29" t="s">
        <v>159</v>
      </c>
      <c r="B110" s="29" t="s">
        <v>68</v>
      </c>
      <c r="C110" s="30" t="s">
        <v>252</v>
      </c>
      <c r="D110" s="29" t="s">
        <v>15</v>
      </c>
      <c r="E110" s="31">
        <v>630</v>
      </c>
      <c r="F110" s="31">
        <v>633.88</v>
      </c>
      <c r="G110" s="32">
        <f t="shared" si="4"/>
        <v>82.65795199999998</v>
      </c>
      <c r="H110" s="32">
        <f t="shared" si="5"/>
        <v>551.22204799999997</v>
      </c>
      <c r="I110" s="32">
        <f t="shared" si="6"/>
        <v>78.777952000000028</v>
      </c>
      <c r="J110" s="26">
        <f t="shared" si="7"/>
        <v>0.14291509616828685</v>
      </c>
      <c r="K110" s="29" t="s">
        <v>16</v>
      </c>
    </row>
    <row r="111" spans="1:11" x14ac:dyDescent="0.25">
      <c r="A111" s="29" t="s">
        <v>159</v>
      </c>
      <c r="B111" s="29" t="s">
        <v>68</v>
      </c>
      <c r="C111" s="30" t="s">
        <v>253</v>
      </c>
      <c r="D111" s="29" t="s">
        <v>15</v>
      </c>
      <c r="E111" s="31">
        <v>630</v>
      </c>
      <c r="F111" s="31">
        <v>633.88</v>
      </c>
      <c r="G111" s="32">
        <f t="shared" si="4"/>
        <v>82.65795199999998</v>
      </c>
      <c r="H111" s="32">
        <f t="shared" si="5"/>
        <v>551.22204799999997</v>
      </c>
      <c r="I111" s="32">
        <f t="shared" si="6"/>
        <v>78.777952000000028</v>
      </c>
      <c r="J111" s="26">
        <f t="shared" si="7"/>
        <v>0.14291509616828685</v>
      </c>
      <c r="K111" s="29" t="s">
        <v>16</v>
      </c>
    </row>
    <row r="112" spans="1:11" x14ac:dyDescent="0.25">
      <c r="A112" s="29" t="s">
        <v>159</v>
      </c>
      <c r="B112" s="29" t="s">
        <v>68</v>
      </c>
      <c r="C112" s="30" t="s">
        <v>254</v>
      </c>
      <c r="D112" s="29" t="s">
        <v>15</v>
      </c>
      <c r="E112" s="31">
        <v>630</v>
      </c>
      <c r="F112" s="31">
        <v>633.88</v>
      </c>
      <c r="G112" s="32">
        <f t="shared" si="4"/>
        <v>82.65795199999998</v>
      </c>
      <c r="H112" s="32">
        <f t="shared" si="5"/>
        <v>551.22204799999997</v>
      </c>
      <c r="I112" s="32">
        <f t="shared" si="6"/>
        <v>78.777952000000028</v>
      </c>
      <c r="J112" s="26">
        <f t="shared" si="7"/>
        <v>0.14291509616828685</v>
      </c>
      <c r="K112" s="29" t="s">
        <v>16</v>
      </c>
    </row>
    <row r="113" spans="1:11" x14ac:dyDescent="0.25">
      <c r="A113" s="29" t="s">
        <v>159</v>
      </c>
      <c r="B113" s="29" t="s">
        <v>68</v>
      </c>
      <c r="C113" s="30" t="s">
        <v>255</v>
      </c>
      <c r="D113" s="29" t="s">
        <v>15</v>
      </c>
      <c r="E113" s="31">
        <v>630</v>
      </c>
      <c r="F113" s="31">
        <v>633.88</v>
      </c>
      <c r="G113" s="32">
        <f t="shared" si="4"/>
        <v>82.65795199999998</v>
      </c>
      <c r="H113" s="32">
        <f t="shared" si="5"/>
        <v>551.22204799999997</v>
      </c>
      <c r="I113" s="32">
        <f t="shared" si="6"/>
        <v>78.777952000000028</v>
      </c>
      <c r="J113" s="26">
        <f t="shared" si="7"/>
        <v>0.14291509616828685</v>
      </c>
      <c r="K113" s="29" t="s">
        <v>16</v>
      </c>
    </row>
    <row r="114" spans="1:11" x14ac:dyDescent="0.25">
      <c r="A114" s="29" t="s">
        <v>159</v>
      </c>
      <c r="B114" s="29" t="s">
        <v>68</v>
      </c>
      <c r="C114" s="30" t="s">
        <v>256</v>
      </c>
      <c r="D114" s="29" t="s">
        <v>15</v>
      </c>
      <c r="E114" s="31">
        <v>630</v>
      </c>
      <c r="F114" s="31">
        <v>633.88</v>
      </c>
      <c r="G114" s="32">
        <f t="shared" si="4"/>
        <v>82.65795199999998</v>
      </c>
      <c r="H114" s="32">
        <f t="shared" si="5"/>
        <v>551.22204799999997</v>
      </c>
      <c r="I114" s="32">
        <f t="shared" si="6"/>
        <v>78.777952000000028</v>
      </c>
      <c r="J114" s="26">
        <f t="shared" si="7"/>
        <v>0.14291509616828685</v>
      </c>
      <c r="K114" s="29" t="s">
        <v>16</v>
      </c>
    </row>
    <row r="115" spans="1:11" x14ac:dyDescent="0.25">
      <c r="A115" s="29" t="s">
        <v>159</v>
      </c>
      <c r="B115" s="29" t="s">
        <v>68</v>
      </c>
      <c r="C115" s="30" t="s">
        <v>257</v>
      </c>
      <c r="D115" s="29" t="s">
        <v>15</v>
      </c>
      <c r="E115" s="31">
        <v>630</v>
      </c>
      <c r="F115" s="31">
        <v>633.88</v>
      </c>
      <c r="G115" s="32">
        <f t="shared" si="4"/>
        <v>82.65795199999998</v>
      </c>
      <c r="H115" s="32">
        <f t="shared" si="5"/>
        <v>551.22204799999997</v>
      </c>
      <c r="I115" s="32">
        <f t="shared" si="6"/>
        <v>78.777952000000028</v>
      </c>
      <c r="J115" s="26">
        <f t="shared" si="7"/>
        <v>0.14291509616828685</v>
      </c>
      <c r="K115" s="29" t="s">
        <v>16</v>
      </c>
    </row>
    <row r="116" spans="1:11" x14ac:dyDescent="0.25">
      <c r="A116" s="29" t="s">
        <v>159</v>
      </c>
      <c r="B116" s="29" t="s">
        <v>68</v>
      </c>
      <c r="C116" s="30" t="s">
        <v>258</v>
      </c>
      <c r="D116" s="29" t="s">
        <v>15</v>
      </c>
      <c r="E116" s="31">
        <v>630</v>
      </c>
      <c r="F116" s="31">
        <v>633.88</v>
      </c>
      <c r="G116" s="32">
        <f t="shared" si="4"/>
        <v>82.65795199999998</v>
      </c>
      <c r="H116" s="32">
        <f t="shared" si="5"/>
        <v>551.22204799999997</v>
      </c>
      <c r="I116" s="32">
        <f t="shared" si="6"/>
        <v>78.777952000000028</v>
      </c>
      <c r="J116" s="26">
        <f t="shared" si="7"/>
        <v>0.14291509616828685</v>
      </c>
      <c r="K116" s="29" t="s">
        <v>16</v>
      </c>
    </row>
    <row r="117" spans="1:11" x14ac:dyDescent="0.25">
      <c r="A117" s="29" t="s">
        <v>159</v>
      </c>
      <c r="B117" s="29" t="s">
        <v>68</v>
      </c>
      <c r="C117" s="30" t="s">
        <v>259</v>
      </c>
      <c r="D117" s="29" t="s">
        <v>15</v>
      </c>
      <c r="E117" s="31">
        <v>630</v>
      </c>
      <c r="F117" s="31">
        <v>636</v>
      </c>
      <c r="G117" s="32">
        <f t="shared" si="4"/>
        <v>82.934399999999982</v>
      </c>
      <c r="H117" s="32">
        <f t="shared" si="5"/>
        <v>553.06560000000002</v>
      </c>
      <c r="I117" s="32">
        <f t="shared" si="6"/>
        <v>76.934399999999982</v>
      </c>
      <c r="J117" s="26">
        <f t="shared" si="7"/>
        <v>0.13910537918105914</v>
      </c>
      <c r="K117" s="29" t="s">
        <v>70</v>
      </c>
    </row>
    <row r="118" spans="1:11" x14ac:dyDescent="0.25">
      <c r="A118" s="29" t="s">
        <v>159</v>
      </c>
      <c r="B118" s="29" t="s">
        <v>68</v>
      </c>
      <c r="C118" s="30" t="s">
        <v>260</v>
      </c>
      <c r="D118" s="29" t="s">
        <v>15</v>
      </c>
      <c r="E118" s="31">
        <v>630</v>
      </c>
      <c r="F118" s="31">
        <v>636</v>
      </c>
      <c r="G118" s="32">
        <f t="shared" si="4"/>
        <v>82.934399999999982</v>
      </c>
      <c r="H118" s="32">
        <f t="shared" si="5"/>
        <v>553.06560000000002</v>
      </c>
      <c r="I118" s="32">
        <f t="shared" si="6"/>
        <v>76.934399999999982</v>
      </c>
      <c r="J118" s="26">
        <f t="shared" si="7"/>
        <v>0.13910537918105914</v>
      </c>
      <c r="K118" s="29" t="s">
        <v>70</v>
      </c>
    </row>
    <row r="119" spans="1:11" x14ac:dyDescent="0.25">
      <c r="A119" s="29" t="s">
        <v>159</v>
      </c>
      <c r="B119" s="29" t="s">
        <v>68</v>
      </c>
      <c r="C119" s="30" t="s">
        <v>261</v>
      </c>
      <c r="D119" s="29" t="s">
        <v>15</v>
      </c>
      <c r="E119" s="31">
        <v>630</v>
      </c>
      <c r="F119" s="31">
        <v>636</v>
      </c>
      <c r="G119" s="32">
        <f t="shared" si="4"/>
        <v>82.934399999999982</v>
      </c>
      <c r="H119" s="32">
        <f t="shared" si="5"/>
        <v>553.06560000000002</v>
      </c>
      <c r="I119" s="32">
        <f t="shared" si="6"/>
        <v>76.934399999999982</v>
      </c>
      <c r="J119" s="26">
        <f t="shared" si="7"/>
        <v>0.13910537918105914</v>
      </c>
      <c r="K119" s="29" t="s">
        <v>70</v>
      </c>
    </row>
    <row r="120" spans="1:11" x14ac:dyDescent="0.25">
      <c r="A120" s="29" t="s">
        <v>159</v>
      </c>
      <c r="B120" s="29" t="s">
        <v>68</v>
      </c>
      <c r="C120" s="30" t="s">
        <v>262</v>
      </c>
      <c r="D120" s="29" t="s">
        <v>15</v>
      </c>
      <c r="E120" s="31">
        <v>630</v>
      </c>
      <c r="F120" s="31">
        <v>636</v>
      </c>
      <c r="G120" s="32">
        <f t="shared" si="4"/>
        <v>82.934399999999982</v>
      </c>
      <c r="H120" s="32">
        <f t="shared" si="5"/>
        <v>553.06560000000002</v>
      </c>
      <c r="I120" s="32">
        <f t="shared" si="6"/>
        <v>76.934399999999982</v>
      </c>
      <c r="J120" s="26">
        <f t="shared" si="7"/>
        <v>0.13910537918105914</v>
      </c>
      <c r="K120" s="29" t="s">
        <v>70</v>
      </c>
    </row>
    <row r="121" spans="1:11" x14ac:dyDescent="0.25">
      <c r="A121" s="29" t="s">
        <v>159</v>
      </c>
      <c r="B121" s="29" t="s">
        <v>68</v>
      </c>
      <c r="C121" s="30" t="s">
        <v>263</v>
      </c>
      <c r="D121" s="29" t="s">
        <v>15</v>
      </c>
      <c r="E121" s="31">
        <v>630</v>
      </c>
      <c r="F121" s="31">
        <v>636</v>
      </c>
      <c r="G121" s="32">
        <f t="shared" si="4"/>
        <v>82.934399999999982</v>
      </c>
      <c r="H121" s="32">
        <f t="shared" si="5"/>
        <v>553.06560000000002</v>
      </c>
      <c r="I121" s="32">
        <f t="shared" si="6"/>
        <v>76.934399999999982</v>
      </c>
      <c r="J121" s="26">
        <f t="shared" si="7"/>
        <v>0.13910537918105914</v>
      </c>
      <c r="K121" s="29" t="s">
        <v>70</v>
      </c>
    </row>
    <row r="122" spans="1:11" x14ac:dyDescent="0.25">
      <c r="A122" s="29" t="s">
        <v>159</v>
      </c>
      <c r="B122" s="29" t="s">
        <v>68</v>
      </c>
      <c r="C122" s="30" t="s">
        <v>264</v>
      </c>
      <c r="D122" s="29" t="s">
        <v>15</v>
      </c>
      <c r="E122" s="31">
        <v>630</v>
      </c>
      <c r="F122" s="31">
        <v>636</v>
      </c>
      <c r="G122" s="32">
        <f t="shared" si="4"/>
        <v>82.934399999999982</v>
      </c>
      <c r="H122" s="32">
        <f t="shared" si="5"/>
        <v>553.06560000000002</v>
      </c>
      <c r="I122" s="32">
        <f t="shared" si="6"/>
        <v>76.934399999999982</v>
      </c>
      <c r="J122" s="26">
        <f t="shared" si="7"/>
        <v>0.13910537918105914</v>
      </c>
      <c r="K122" s="29" t="s">
        <v>70</v>
      </c>
    </row>
    <row r="123" spans="1:11" x14ac:dyDescent="0.25">
      <c r="A123" s="29" t="s">
        <v>159</v>
      </c>
      <c r="B123" s="29" t="s">
        <v>68</v>
      </c>
      <c r="C123" s="30" t="s">
        <v>265</v>
      </c>
      <c r="D123" s="29" t="s">
        <v>15</v>
      </c>
      <c r="E123" s="31">
        <v>630</v>
      </c>
      <c r="F123" s="31">
        <v>636</v>
      </c>
      <c r="G123" s="32">
        <f t="shared" si="4"/>
        <v>82.934399999999982</v>
      </c>
      <c r="H123" s="32">
        <f t="shared" si="5"/>
        <v>553.06560000000002</v>
      </c>
      <c r="I123" s="32">
        <f t="shared" si="6"/>
        <v>76.934399999999982</v>
      </c>
      <c r="J123" s="26">
        <f t="shared" si="7"/>
        <v>0.13910537918105914</v>
      </c>
      <c r="K123" s="29" t="s">
        <v>70</v>
      </c>
    </row>
    <row r="124" spans="1:11" x14ac:dyDescent="0.25">
      <c r="A124" s="29" t="s">
        <v>159</v>
      </c>
      <c r="B124" s="29" t="s">
        <v>68</v>
      </c>
      <c r="C124" s="30" t="s">
        <v>266</v>
      </c>
      <c r="D124" s="29" t="s">
        <v>15</v>
      </c>
      <c r="E124" s="31">
        <v>630</v>
      </c>
      <c r="F124" s="31">
        <v>636</v>
      </c>
      <c r="G124" s="32">
        <f t="shared" si="4"/>
        <v>82.934399999999982</v>
      </c>
      <c r="H124" s="32">
        <f t="shared" si="5"/>
        <v>553.06560000000002</v>
      </c>
      <c r="I124" s="32">
        <f t="shared" si="6"/>
        <v>76.934399999999982</v>
      </c>
      <c r="J124" s="26">
        <f t="shared" si="7"/>
        <v>0.13910537918105914</v>
      </c>
      <c r="K124" s="29" t="s">
        <v>70</v>
      </c>
    </row>
    <row r="125" spans="1:11" x14ac:dyDescent="0.25">
      <c r="A125" s="29" t="s">
        <v>159</v>
      </c>
      <c r="B125" s="29" t="s">
        <v>68</v>
      </c>
      <c r="C125" s="30" t="s">
        <v>267</v>
      </c>
      <c r="D125" s="29" t="s">
        <v>15</v>
      </c>
      <c r="E125" s="31">
        <v>630</v>
      </c>
      <c r="F125" s="31">
        <v>636</v>
      </c>
      <c r="G125" s="32">
        <f t="shared" si="4"/>
        <v>82.934399999999982</v>
      </c>
      <c r="H125" s="32">
        <f t="shared" si="5"/>
        <v>553.06560000000002</v>
      </c>
      <c r="I125" s="32">
        <f t="shared" si="6"/>
        <v>76.934399999999982</v>
      </c>
      <c r="J125" s="26">
        <f t="shared" si="7"/>
        <v>0.13910537918105914</v>
      </c>
      <c r="K125" s="29" t="s">
        <v>70</v>
      </c>
    </row>
    <row r="126" spans="1:11" x14ac:dyDescent="0.25">
      <c r="A126" s="29" t="s">
        <v>159</v>
      </c>
      <c r="B126" s="29" t="s">
        <v>68</v>
      </c>
      <c r="C126" s="30" t="s">
        <v>268</v>
      </c>
      <c r="D126" s="29" t="s">
        <v>15</v>
      </c>
      <c r="E126" s="31">
        <v>630</v>
      </c>
      <c r="F126" s="31">
        <v>636</v>
      </c>
      <c r="G126" s="32">
        <f t="shared" si="4"/>
        <v>82.934399999999982</v>
      </c>
      <c r="H126" s="32">
        <f t="shared" si="5"/>
        <v>553.06560000000002</v>
      </c>
      <c r="I126" s="32">
        <f t="shared" si="6"/>
        <v>76.934399999999982</v>
      </c>
      <c r="J126" s="26">
        <f t="shared" si="7"/>
        <v>0.13910537918105914</v>
      </c>
      <c r="K126" s="29" t="s">
        <v>70</v>
      </c>
    </row>
    <row r="127" spans="1:11" x14ac:dyDescent="0.25">
      <c r="A127" s="29" t="s">
        <v>304</v>
      </c>
      <c r="B127" s="29" t="s">
        <v>68</v>
      </c>
      <c r="C127" s="30" t="s">
        <v>305</v>
      </c>
      <c r="D127" s="29" t="s">
        <v>15</v>
      </c>
      <c r="E127" s="31">
        <v>635</v>
      </c>
      <c r="F127" s="31">
        <v>633.88</v>
      </c>
      <c r="G127" s="32">
        <f t="shared" si="4"/>
        <v>82.65795199999998</v>
      </c>
      <c r="H127" s="32">
        <f t="shared" si="5"/>
        <v>551.22204799999997</v>
      </c>
      <c r="I127" s="32">
        <f t="shared" si="6"/>
        <v>83.777952000000028</v>
      </c>
      <c r="J127" s="26">
        <f t="shared" si="7"/>
        <v>0.1519858508997812</v>
      </c>
      <c r="K127" s="29" t="s">
        <v>16</v>
      </c>
    </row>
    <row r="128" spans="1:11" x14ac:dyDescent="0.25">
      <c r="A128" s="29" t="s">
        <v>304</v>
      </c>
      <c r="B128" s="29" t="s">
        <v>68</v>
      </c>
      <c r="C128" s="30" t="s">
        <v>306</v>
      </c>
      <c r="D128" s="29" t="s">
        <v>15</v>
      </c>
      <c r="E128" s="31">
        <v>635</v>
      </c>
      <c r="F128" s="31">
        <v>633.88</v>
      </c>
      <c r="G128" s="32">
        <f t="shared" si="4"/>
        <v>82.65795199999998</v>
      </c>
      <c r="H128" s="32">
        <f t="shared" si="5"/>
        <v>551.22204799999997</v>
      </c>
      <c r="I128" s="32">
        <f t="shared" si="6"/>
        <v>83.777952000000028</v>
      </c>
      <c r="J128" s="26">
        <f t="shared" si="7"/>
        <v>0.1519858508997812</v>
      </c>
      <c r="K128" s="29" t="s">
        <v>16</v>
      </c>
    </row>
    <row r="129" spans="1:11" x14ac:dyDescent="0.25">
      <c r="A129" s="29" t="s">
        <v>304</v>
      </c>
      <c r="B129" s="29" t="s">
        <v>68</v>
      </c>
      <c r="C129" s="30" t="s">
        <v>307</v>
      </c>
      <c r="D129" s="29" t="s">
        <v>15</v>
      </c>
      <c r="E129" s="31">
        <v>635</v>
      </c>
      <c r="F129" s="31">
        <v>633.88</v>
      </c>
      <c r="G129" s="32">
        <f t="shared" si="4"/>
        <v>82.65795199999998</v>
      </c>
      <c r="H129" s="32">
        <f t="shared" si="5"/>
        <v>551.22204799999997</v>
      </c>
      <c r="I129" s="32">
        <f t="shared" si="6"/>
        <v>83.777952000000028</v>
      </c>
      <c r="J129" s="26">
        <f t="shared" si="7"/>
        <v>0.1519858508997812</v>
      </c>
      <c r="K129" s="29" t="s">
        <v>16</v>
      </c>
    </row>
    <row r="130" spans="1:11" x14ac:dyDescent="0.25">
      <c r="A130" s="29" t="s">
        <v>304</v>
      </c>
      <c r="B130" s="29" t="s">
        <v>68</v>
      </c>
      <c r="C130" s="30" t="s">
        <v>308</v>
      </c>
      <c r="D130" s="29" t="s">
        <v>15</v>
      </c>
      <c r="E130" s="31">
        <v>635</v>
      </c>
      <c r="F130" s="31">
        <v>633.88</v>
      </c>
      <c r="G130" s="32">
        <f t="shared" si="4"/>
        <v>82.65795199999998</v>
      </c>
      <c r="H130" s="32">
        <f t="shared" si="5"/>
        <v>551.22204799999997</v>
      </c>
      <c r="I130" s="32">
        <f t="shared" si="6"/>
        <v>83.777952000000028</v>
      </c>
      <c r="J130" s="26">
        <f t="shared" si="7"/>
        <v>0.1519858508997812</v>
      </c>
      <c r="K130" s="29" t="s">
        <v>16</v>
      </c>
    </row>
    <row r="131" spans="1:11" x14ac:dyDescent="0.25">
      <c r="A131" s="29" t="s">
        <v>304</v>
      </c>
      <c r="B131" s="29" t="s">
        <v>68</v>
      </c>
      <c r="C131" s="30" t="s">
        <v>309</v>
      </c>
      <c r="D131" s="29" t="s">
        <v>15</v>
      </c>
      <c r="E131" s="31">
        <v>635</v>
      </c>
      <c r="F131" s="31">
        <v>633.88</v>
      </c>
      <c r="G131" s="32">
        <f t="shared" ref="G131:G194" si="8">F131*13.04/100</f>
        <v>82.65795199999998</v>
      </c>
      <c r="H131" s="32">
        <f t="shared" ref="H131:H194" si="9">F131-G131</f>
        <v>551.22204799999997</v>
      </c>
      <c r="I131" s="32">
        <f t="shared" ref="I131:I194" si="10">E131-H131</f>
        <v>83.777952000000028</v>
      </c>
      <c r="J131" s="26">
        <f t="shared" ref="J131:J194" si="11">(E131-H131)/H131</f>
        <v>0.1519858508997812</v>
      </c>
      <c r="K131" s="29" t="s">
        <v>16</v>
      </c>
    </row>
    <row r="132" spans="1:11" x14ac:dyDescent="0.25">
      <c r="A132" s="29" t="s">
        <v>304</v>
      </c>
      <c r="B132" s="29" t="s">
        <v>68</v>
      </c>
      <c r="C132" s="30" t="s">
        <v>310</v>
      </c>
      <c r="D132" s="29" t="s">
        <v>15</v>
      </c>
      <c r="E132" s="31">
        <v>635</v>
      </c>
      <c r="F132" s="31">
        <v>633.88</v>
      </c>
      <c r="G132" s="32">
        <f t="shared" si="8"/>
        <v>82.65795199999998</v>
      </c>
      <c r="H132" s="32">
        <f t="shared" si="9"/>
        <v>551.22204799999997</v>
      </c>
      <c r="I132" s="32">
        <f t="shared" si="10"/>
        <v>83.777952000000028</v>
      </c>
      <c r="J132" s="26">
        <f t="shared" si="11"/>
        <v>0.1519858508997812</v>
      </c>
      <c r="K132" s="29" t="s">
        <v>16</v>
      </c>
    </row>
    <row r="133" spans="1:11" x14ac:dyDescent="0.25">
      <c r="A133" s="29" t="s">
        <v>304</v>
      </c>
      <c r="B133" s="29" t="s">
        <v>68</v>
      </c>
      <c r="C133" s="30" t="s">
        <v>311</v>
      </c>
      <c r="D133" s="29" t="s">
        <v>15</v>
      </c>
      <c r="E133" s="31">
        <v>635</v>
      </c>
      <c r="F133" s="31">
        <v>633.88</v>
      </c>
      <c r="G133" s="32">
        <f t="shared" si="8"/>
        <v>82.65795199999998</v>
      </c>
      <c r="H133" s="32">
        <f t="shared" si="9"/>
        <v>551.22204799999997</v>
      </c>
      <c r="I133" s="32">
        <f t="shared" si="10"/>
        <v>83.777952000000028</v>
      </c>
      <c r="J133" s="26">
        <f t="shared" si="11"/>
        <v>0.1519858508997812</v>
      </c>
      <c r="K133" s="29" t="s">
        <v>16</v>
      </c>
    </row>
    <row r="134" spans="1:11" x14ac:dyDescent="0.25">
      <c r="A134" s="29" t="s">
        <v>304</v>
      </c>
      <c r="B134" s="29" t="s">
        <v>68</v>
      </c>
      <c r="C134" s="30" t="s">
        <v>312</v>
      </c>
      <c r="D134" s="29" t="s">
        <v>15</v>
      </c>
      <c r="E134" s="31">
        <v>635</v>
      </c>
      <c r="F134" s="31">
        <v>633.88</v>
      </c>
      <c r="G134" s="32">
        <f t="shared" si="8"/>
        <v>82.65795199999998</v>
      </c>
      <c r="H134" s="32">
        <f t="shared" si="9"/>
        <v>551.22204799999997</v>
      </c>
      <c r="I134" s="32">
        <f t="shared" si="10"/>
        <v>83.777952000000028</v>
      </c>
      <c r="J134" s="26">
        <f t="shared" si="11"/>
        <v>0.1519858508997812</v>
      </c>
      <c r="K134" s="29" t="s">
        <v>16</v>
      </c>
    </row>
    <row r="135" spans="1:11" x14ac:dyDescent="0.25">
      <c r="A135" s="29" t="s">
        <v>304</v>
      </c>
      <c r="B135" s="29" t="s">
        <v>68</v>
      </c>
      <c r="C135" s="30" t="s">
        <v>313</v>
      </c>
      <c r="D135" s="29" t="s">
        <v>15</v>
      </c>
      <c r="E135" s="31">
        <v>635</v>
      </c>
      <c r="F135" s="31">
        <v>633.88</v>
      </c>
      <c r="G135" s="32">
        <f t="shared" si="8"/>
        <v>82.65795199999998</v>
      </c>
      <c r="H135" s="32">
        <f t="shared" si="9"/>
        <v>551.22204799999997</v>
      </c>
      <c r="I135" s="32">
        <f t="shared" si="10"/>
        <v>83.777952000000028</v>
      </c>
      <c r="J135" s="26">
        <f t="shared" si="11"/>
        <v>0.1519858508997812</v>
      </c>
      <c r="K135" s="29" t="s">
        <v>16</v>
      </c>
    </row>
    <row r="136" spans="1:11" x14ac:dyDescent="0.25">
      <c r="A136" s="29" t="s">
        <v>304</v>
      </c>
      <c r="B136" s="29" t="s">
        <v>68</v>
      </c>
      <c r="C136" s="30" t="s">
        <v>314</v>
      </c>
      <c r="D136" s="29" t="s">
        <v>15</v>
      </c>
      <c r="E136" s="31">
        <v>635</v>
      </c>
      <c r="F136" s="31">
        <v>633.88</v>
      </c>
      <c r="G136" s="32">
        <f t="shared" si="8"/>
        <v>82.65795199999998</v>
      </c>
      <c r="H136" s="32">
        <f t="shared" si="9"/>
        <v>551.22204799999997</v>
      </c>
      <c r="I136" s="32">
        <f t="shared" si="10"/>
        <v>83.777952000000028</v>
      </c>
      <c r="J136" s="26">
        <f t="shared" si="11"/>
        <v>0.1519858508997812</v>
      </c>
      <c r="K136" s="29" t="s">
        <v>16</v>
      </c>
    </row>
    <row r="137" spans="1:11" x14ac:dyDescent="0.25">
      <c r="A137" s="29" t="s">
        <v>304</v>
      </c>
      <c r="B137" s="29" t="s">
        <v>68</v>
      </c>
      <c r="C137" s="30" t="s">
        <v>315</v>
      </c>
      <c r="D137" s="29" t="s">
        <v>15</v>
      </c>
      <c r="E137" s="31">
        <v>635</v>
      </c>
      <c r="F137" s="31">
        <v>633.88</v>
      </c>
      <c r="G137" s="32">
        <f t="shared" si="8"/>
        <v>82.65795199999998</v>
      </c>
      <c r="H137" s="32">
        <f t="shared" si="9"/>
        <v>551.22204799999997</v>
      </c>
      <c r="I137" s="32">
        <f t="shared" si="10"/>
        <v>83.777952000000028</v>
      </c>
      <c r="J137" s="26">
        <f t="shared" si="11"/>
        <v>0.1519858508997812</v>
      </c>
      <c r="K137" s="29" t="s">
        <v>16</v>
      </c>
    </row>
    <row r="138" spans="1:11" x14ac:dyDescent="0.25">
      <c r="A138" s="29" t="s">
        <v>304</v>
      </c>
      <c r="B138" s="29" t="s">
        <v>68</v>
      </c>
      <c r="C138" s="30" t="s">
        <v>316</v>
      </c>
      <c r="D138" s="29" t="s">
        <v>15</v>
      </c>
      <c r="E138" s="31">
        <v>635</v>
      </c>
      <c r="F138" s="31">
        <v>633.88</v>
      </c>
      <c r="G138" s="32">
        <f t="shared" si="8"/>
        <v>82.65795199999998</v>
      </c>
      <c r="H138" s="32">
        <f t="shared" si="9"/>
        <v>551.22204799999997</v>
      </c>
      <c r="I138" s="32">
        <f t="shared" si="10"/>
        <v>83.777952000000028</v>
      </c>
      <c r="J138" s="26">
        <f t="shared" si="11"/>
        <v>0.1519858508997812</v>
      </c>
      <c r="K138" s="29" t="s">
        <v>16</v>
      </c>
    </row>
    <row r="139" spans="1:11" x14ac:dyDescent="0.25">
      <c r="A139" s="29" t="s">
        <v>304</v>
      </c>
      <c r="B139" s="29" t="s">
        <v>68</v>
      </c>
      <c r="C139" s="30" t="s">
        <v>317</v>
      </c>
      <c r="D139" s="29" t="s">
        <v>15</v>
      </c>
      <c r="E139" s="31">
        <v>635</v>
      </c>
      <c r="F139" s="31">
        <v>633.88</v>
      </c>
      <c r="G139" s="32">
        <f t="shared" si="8"/>
        <v>82.65795199999998</v>
      </c>
      <c r="H139" s="32">
        <f t="shared" si="9"/>
        <v>551.22204799999997</v>
      </c>
      <c r="I139" s="32">
        <f t="shared" si="10"/>
        <v>83.777952000000028</v>
      </c>
      <c r="J139" s="26">
        <f t="shared" si="11"/>
        <v>0.1519858508997812</v>
      </c>
      <c r="K139" s="29" t="s">
        <v>16</v>
      </c>
    </row>
    <row r="140" spans="1:11" x14ac:dyDescent="0.25">
      <c r="A140" s="29" t="s">
        <v>304</v>
      </c>
      <c r="B140" s="29" t="s">
        <v>68</v>
      </c>
      <c r="C140" s="30" t="s">
        <v>318</v>
      </c>
      <c r="D140" s="29" t="s">
        <v>15</v>
      </c>
      <c r="E140" s="31">
        <v>635</v>
      </c>
      <c r="F140" s="31">
        <v>633.88</v>
      </c>
      <c r="G140" s="32">
        <f t="shared" si="8"/>
        <v>82.65795199999998</v>
      </c>
      <c r="H140" s="32">
        <f t="shared" si="9"/>
        <v>551.22204799999997</v>
      </c>
      <c r="I140" s="32">
        <f t="shared" si="10"/>
        <v>83.777952000000028</v>
      </c>
      <c r="J140" s="26">
        <f t="shared" si="11"/>
        <v>0.1519858508997812</v>
      </c>
      <c r="K140" s="29" t="s">
        <v>16</v>
      </c>
    </row>
    <row r="141" spans="1:11" x14ac:dyDescent="0.25">
      <c r="A141" s="29" t="s">
        <v>304</v>
      </c>
      <c r="B141" s="29" t="s">
        <v>68</v>
      </c>
      <c r="C141" s="30" t="s">
        <v>319</v>
      </c>
      <c r="D141" s="29" t="s">
        <v>15</v>
      </c>
      <c r="E141" s="31">
        <v>635</v>
      </c>
      <c r="F141" s="31">
        <v>633.88</v>
      </c>
      <c r="G141" s="32">
        <f t="shared" si="8"/>
        <v>82.65795199999998</v>
      </c>
      <c r="H141" s="32">
        <f t="shared" si="9"/>
        <v>551.22204799999997</v>
      </c>
      <c r="I141" s="32">
        <f t="shared" si="10"/>
        <v>83.777952000000028</v>
      </c>
      <c r="J141" s="26">
        <f t="shared" si="11"/>
        <v>0.1519858508997812</v>
      </c>
      <c r="K141" s="29" t="s">
        <v>16</v>
      </c>
    </row>
    <row r="142" spans="1:11" x14ac:dyDescent="0.25">
      <c r="A142" s="29" t="s">
        <v>343</v>
      </c>
      <c r="B142" s="29" t="s">
        <v>68</v>
      </c>
      <c r="C142" s="30" t="s">
        <v>349</v>
      </c>
      <c r="D142" s="29" t="s">
        <v>15</v>
      </c>
      <c r="E142" s="31">
        <v>630</v>
      </c>
      <c r="F142" s="31">
        <v>633.88</v>
      </c>
      <c r="G142" s="32">
        <f t="shared" si="8"/>
        <v>82.65795199999998</v>
      </c>
      <c r="H142" s="32">
        <f t="shared" si="9"/>
        <v>551.22204799999997</v>
      </c>
      <c r="I142" s="32">
        <f t="shared" si="10"/>
        <v>78.777952000000028</v>
      </c>
      <c r="J142" s="26">
        <f t="shared" si="11"/>
        <v>0.14291509616828685</v>
      </c>
      <c r="K142" s="29" t="s">
        <v>16</v>
      </c>
    </row>
    <row r="143" spans="1:11" x14ac:dyDescent="0.25">
      <c r="A143" s="29" t="s">
        <v>343</v>
      </c>
      <c r="B143" s="29" t="s">
        <v>68</v>
      </c>
      <c r="C143" s="30" t="s">
        <v>350</v>
      </c>
      <c r="D143" s="29" t="s">
        <v>15</v>
      </c>
      <c r="E143" s="31">
        <v>630</v>
      </c>
      <c r="F143" s="31">
        <v>633.88</v>
      </c>
      <c r="G143" s="32">
        <f t="shared" si="8"/>
        <v>82.65795199999998</v>
      </c>
      <c r="H143" s="32">
        <f t="shared" si="9"/>
        <v>551.22204799999997</v>
      </c>
      <c r="I143" s="32">
        <f t="shared" si="10"/>
        <v>78.777952000000028</v>
      </c>
      <c r="J143" s="26">
        <f t="shared" si="11"/>
        <v>0.14291509616828685</v>
      </c>
      <c r="K143" s="29" t="s">
        <v>16</v>
      </c>
    </row>
    <row r="144" spans="1:11" x14ac:dyDescent="0.25">
      <c r="A144" s="29" t="s">
        <v>343</v>
      </c>
      <c r="B144" s="29" t="s">
        <v>68</v>
      </c>
      <c r="C144" s="30" t="s">
        <v>351</v>
      </c>
      <c r="D144" s="29" t="s">
        <v>15</v>
      </c>
      <c r="E144" s="31">
        <v>630</v>
      </c>
      <c r="F144" s="31">
        <v>633.88</v>
      </c>
      <c r="G144" s="32">
        <f t="shared" si="8"/>
        <v>82.65795199999998</v>
      </c>
      <c r="H144" s="32">
        <f t="shared" si="9"/>
        <v>551.22204799999997</v>
      </c>
      <c r="I144" s="32">
        <f t="shared" si="10"/>
        <v>78.777952000000028</v>
      </c>
      <c r="J144" s="26">
        <f t="shared" si="11"/>
        <v>0.14291509616828685</v>
      </c>
      <c r="K144" s="29" t="s">
        <v>16</v>
      </c>
    </row>
    <row r="145" spans="1:11" x14ac:dyDescent="0.25">
      <c r="A145" s="29" t="s">
        <v>343</v>
      </c>
      <c r="B145" s="29" t="s">
        <v>68</v>
      </c>
      <c r="C145" s="30" t="s">
        <v>352</v>
      </c>
      <c r="D145" s="29" t="s">
        <v>15</v>
      </c>
      <c r="E145" s="31">
        <v>630</v>
      </c>
      <c r="F145" s="31">
        <v>633.88</v>
      </c>
      <c r="G145" s="32">
        <f t="shared" si="8"/>
        <v>82.65795199999998</v>
      </c>
      <c r="H145" s="32">
        <f t="shared" si="9"/>
        <v>551.22204799999997</v>
      </c>
      <c r="I145" s="32">
        <f t="shared" si="10"/>
        <v>78.777952000000028</v>
      </c>
      <c r="J145" s="26">
        <f t="shared" si="11"/>
        <v>0.14291509616828685</v>
      </c>
      <c r="K145" s="29" t="s">
        <v>16</v>
      </c>
    </row>
    <row r="146" spans="1:11" x14ac:dyDescent="0.25">
      <c r="A146" s="29" t="s">
        <v>343</v>
      </c>
      <c r="B146" s="29" t="s">
        <v>68</v>
      </c>
      <c r="C146" s="30" t="s">
        <v>353</v>
      </c>
      <c r="D146" s="29" t="s">
        <v>15</v>
      </c>
      <c r="E146" s="31">
        <v>630</v>
      </c>
      <c r="F146" s="31">
        <v>637</v>
      </c>
      <c r="G146" s="32">
        <f t="shared" si="8"/>
        <v>83.064799999999991</v>
      </c>
      <c r="H146" s="32">
        <f t="shared" si="9"/>
        <v>553.93520000000001</v>
      </c>
      <c r="I146" s="32">
        <f t="shared" si="10"/>
        <v>76.064799999999991</v>
      </c>
      <c r="J146" s="26">
        <f t="shared" si="11"/>
        <v>0.13731714467685027</v>
      </c>
      <c r="K146" s="29" t="s">
        <v>70</v>
      </c>
    </row>
    <row r="147" spans="1:11" x14ac:dyDescent="0.25">
      <c r="A147" s="29" t="s">
        <v>343</v>
      </c>
      <c r="B147" s="29" t="s">
        <v>68</v>
      </c>
      <c r="C147" s="30" t="s">
        <v>354</v>
      </c>
      <c r="D147" s="29" t="s">
        <v>15</v>
      </c>
      <c r="E147" s="31">
        <v>630</v>
      </c>
      <c r="F147" s="31">
        <v>637</v>
      </c>
      <c r="G147" s="32">
        <f t="shared" si="8"/>
        <v>83.064799999999991</v>
      </c>
      <c r="H147" s="32">
        <f t="shared" si="9"/>
        <v>553.93520000000001</v>
      </c>
      <c r="I147" s="32">
        <f t="shared" si="10"/>
        <v>76.064799999999991</v>
      </c>
      <c r="J147" s="26">
        <f t="shared" si="11"/>
        <v>0.13731714467685027</v>
      </c>
      <c r="K147" s="29" t="s">
        <v>70</v>
      </c>
    </row>
    <row r="148" spans="1:11" x14ac:dyDescent="0.25">
      <c r="A148" s="29" t="s">
        <v>343</v>
      </c>
      <c r="B148" s="29" t="s">
        <v>68</v>
      </c>
      <c r="C148" s="30" t="s">
        <v>355</v>
      </c>
      <c r="D148" s="29" t="s">
        <v>15</v>
      </c>
      <c r="E148" s="31">
        <v>630</v>
      </c>
      <c r="F148" s="31">
        <v>637</v>
      </c>
      <c r="G148" s="32">
        <f t="shared" si="8"/>
        <v>83.064799999999991</v>
      </c>
      <c r="H148" s="32">
        <f t="shared" si="9"/>
        <v>553.93520000000001</v>
      </c>
      <c r="I148" s="32">
        <f t="shared" si="10"/>
        <v>76.064799999999991</v>
      </c>
      <c r="J148" s="26">
        <f t="shared" si="11"/>
        <v>0.13731714467685027</v>
      </c>
      <c r="K148" s="29" t="s">
        <v>70</v>
      </c>
    </row>
    <row r="149" spans="1:11" x14ac:dyDescent="0.25">
      <c r="A149" s="29" t="s">
        <v>343</v>
      </c>
      <c r="B149" s="29" t="s">
        <v>68</v>
      </c>
      <c r="C149" s="30" t="s">
        <v>356</v>
      </c>
      <c r="D149" s="29" t="s">
        <v>15</v>
      </c>
      <c r="E149" s="31">
        <v>630</v>
      </c>
      <c r="F149" s="31">
        <v>637</v>
      </c>
      <c r="G149" s="32">
        <f t="shared" si="8"/>
        <v>83.064799999999991</v>
      </c>
      <c r="H149" s="32">
        <f t="shared" si="9"/>
        <v>553.93520000000001</v>
      </c>
      <c r="I149" s="32">
        <f t="shared" si="10"/>
        <v>76.064799999999991</v>
      </c>
      <c r="J149" s="26">
        <f t="shared" si="11"/>
        <v>0.13731714467685027</v>
      </c>
      <c r="K149" s="29" t="s">
        <v>70</v>
      </c>
    </row>
    <row r="150" spans="1:11" x14ac:dyDescent="0.25">
      <c r="A150" s="29" t="s">
        <v>343</v>
      </c>
      <c r="B150" s="29" t="s">
        <v>68</v>
      </c>
      <c r="C150" s="30" t="s">
        <v>357</v>
      </c>
      <c r="D150" s="29" t="s">
        <v>15</v>
      </c>
      <c r="E150" s="31">
        <v>630</v>
      </c>
      <c r="F150" s="31">
        <v>637</v>
      </c>
      <c r="G150" s="32">
        <f t="shared" si="8"/>
        <v>83.064799999999991</v>
      </c>
      <c r="H150" s="32">
        <f t="shared" si="9"/>
        <v>553.93520000000001</v>
      </c>
      <c r="I150" s="32">
        <f t="shared" si="10"/>
        <v>76.064799999999991</v>
      </c>
      <c r="J150" s="26">
        <f t="shared" si="11"/>
        <v>0.13731714467685027</v>
      </c>
      <c r="K150" s="29" t="s">
        <v>70</v>
      </c>
    </row>
    <row r="151" spans="1:11" x14ac:dyDescent="0.25">
      <c r="A151" s="29" t="s">
        <v>343</v>
      </c>
      <c r="B151" s="29" t="s">
        <v>68</v>
      </c>
      <c r="C151" s="30" t="s">
        <v>358</v>
      </c>
      <c r="D151" s="29" t="s">
        <v>15</v>
      </c>
      <c r="E151" s="31">
        <v>630</v>
      </c>
      <c r="F151" s="31">
        <v>637</v>
      </c>
      <c r="G151" s="32">
        <f t="shared" si="8"/>
        <v>83.064799999999991</v>
      </c>
      <c r="H151" s="32">
        <f t="shared" si="9"/>
        <v>553.93520000000001</v>
      </c>
      <c r="I151" s="32">
        <f t="shared" si="10"/>
        <v>76.064799999999991</v>
      </c>
      <c r="J151" s="26">
        <f t="shared" si="11"/>
        <v>0.13731714467685027</v>
      </c>
      <c r="K151" s="29" t="s">
        <v>70</v>
      </c>
    </row>
    <row r="152" spans="1:11" x14ac:dyDescent="0.25">
      <c r="A152" s="29" t="s">
        <v>343</v>
      </c>
      <c r="B152" s="29" t="s">
        <v>68</v>
      </c>
      <c r="C152" s="30" t="s">
        <v>359</v>
      </c>
      <c r="D152" s="29" t="s">
        <v>15</v>
      </c>
      <c r="E152" s="31">
        <v>630</v>
      </c>
      <c r="F152" s="31">
        <v>637</v>
      </c>
      <c r="G152" s="32">
        <f t="shared" si="8"/>
        <v>83.064799999999991</v>
      </c>
      <c r="H152" s="32">
        <f t="shared" si="9"/>
        <v>553.93520000000001</v>
      </c>
      <c r="I152" s="32">
        <f t="shared" si="10"/>
        <v>76.064799999999991</v>
      </c>
      <c r="J152" s="26">
        <f t="shared" si="11"/>
        <v>0.13731714467685027</v>
      </c>
      <c r="K152" s="29" t="s">
        <v>70</v>
      </c>
    </row>
    <row r="153" spans="1:11" x14ac:dyDescent="0.25">
      <c r="A153" s="29" t="s">
        <v>343</v>
      </c>
      <c r="B153" s="29" t="s">
        <v>68</v>
      </c>
      <c r="C153" s="30" t="s">
        <v>360</v>
      </c>
      <c r="D153" s="29" t="s">
        <v>15</v>
      </c>
      <c r="E153" s="31">
        <v>630</v>
      </c>
      <c r="F153" s="31">
        <v>637</v>
      </c>
      <c r="G153" s="32">
        <f t="shared" si="8"/>
        <v>83.064799999999991</v>
      </c>
      <c r="H153" s="32">
        <f t="shared" si="9"/>
        <v>553.93520000000001</v>
      </c>
      <c r="I153" s="32">
        <f t="shared" si="10"/>
        <v>76.064799999999991</v>
      </c>
      <c r="J153" s="26">
        <f t="shared" si="11"/>
        <v>0.13731714467685027</v>
      </c>
      <c r="K153" s="29" t="s">
        <v>70</v>
      </c>
    </row>
    <row r="154" spans="1:11" x14ac:dyDescent="0.25">
      <c r="A154" s="29" t="s">
        <v>343</v>
      </c>
      <c r="B154" s="29" t="s">
        <v>68</v>
      </c>
      <c r="C154" s="30" t="s">
        <v>361</v>
      </c>
      <c r="D154" s="29" t="s">
        <v>15</v>
      </c>
      <c r="E154" s="31">
        <v>630</v>
      </c>
      <c r="F154" s="31">
        <v>637</v>
      </c>
      <c r="G154" s="32">
        <f t="shared" si="8"/>
        <v>83.064799999999991</v>
      </c>
      <c r="H154" s="32">
        <f t="shared" si="9"/>
        <v>553.93520000000001</v>
      </c>
      <c r="I154" s="32">
        <f t="shared" si="10"/>
        <v>76.064799999999991</v>
      </c>
      <c r="J154" s="26">
        <f t="shared" si="11"/>
        <v>0.13731714467685027</v>
      </c>
      <c r="K154" s="29" t="s">
        <v>70</v>
      </c>
    </row>
    <row r="155" spans="1:11" x14ac:dyDescent="0.25">
      <c r="A155" s="29" t="s">
        <v>343</v>
      </c>
      <c r="B155" s="29" t="s">
        <v>68</v>
      </c>
      <c r="C155" s="30" t="s">
        <v>362</v>
      </c>
      <c r="D155" s="29" t="s">
        <v>15</v>
      </c>
      <c r="E155" s="31">
        <v>630</v>
      </c>
      <c r="F155" s="31">
        <v>637</v>
      </c>
      <c r="G155" s="32">
        <f t="shared" si="8"/>
        <v>83.064799999999991</v>
      </c>
      <c r="H155" s="32">
        <f t="shared" si="9"/>
        <v>553.93520000000001</v>
      </c>
      <c r="I155" s="32">
        <f t="shared" si="10"/>
        <v>76.064799999999991</v>
      </c>
      <c r="J155" s="26">
        <f t="shared" si="11"/>
        <v>0.13731714467685027</v>
      </c>
      <c r="K155" s="29" t="s">
        <v>70</v>
      </c>
    </row>
    <row r="156" spans="1:11" x14ac:dyDescent="0.25">
      <c r="A156" s="29" t="s">
        <v>343</v>
      </c>
      <c r="B156" s="29" t="s">
        <v>68</v>
      </c>
      <c r="C156" s="30" t="s">
        <v>363</v>
      </c>
      <c r="D156" s="29" t="s">
        <v>15</v>
      </c>
      <c r="E156" s="31">
        <v>630</v>
      </c>
      <c r="F156" s="31">
        <v>633.88</v>
      </c>
      <c r="G156" s="32">
        <f t="shared" si="8"/>
        <v>82.65795199999998</v>
      </c>
      <c r="H156" s="32">
        <f t="shared" si="9"/>
        <v>551.22204799999997</v>
      </c>
      <c r="I156" s="32">
        <f t="shared" si="10"/>
        <v>78.777952000000028</v>
      </c>
      <c r="J156" s="26">
        <f t="shared" si="11"/>
        <v>0.14291509616828685</v>
      </c>
      <c r="K156" s="29" t="s">
        <v>16</v>
      </c>
    </row>
    <row r="157" spans="1:11" x14ac:dyDescent="0.25">
      <c r="A157" s="29" t="s">
        <v>343</v>
      </c>
      <c r="B157" s="29" t="s">
        <v>68</v>
      </c>
      <c r="C157" s="30" t="s">
        <v>364</v>
      </c>
      <c r="D157" s="29" t="s">
        <v>15</v>
      </c>
      <c r="E157" s="31">
        <v>630</v>
      </c>
      <c r="F157" s="31">
        <v>633.88</v>
      </c>
      <c r="G157" s="32">
        <f t="shared" si="8"/>
        <v>82.65795199999998</v>
      </c>
      <c r="H157" s="32">
        <f t="shared" si="9"/>
        <v>551.22204799999997</v>
      </c>
      <c r="I157" s="32">
        <f t="shared" si="10"/>
        <v>78.777952000000028</v>
      </c>
      <c r="J157" s="26">
        <f t="shared" si="11"/>
        <v>0.14291509616828685</v>
      </c>
      <c r="K157" s="29" t="s">
        <v>16</v>
      </c>
    </row>
    <row r="158" spans="1:11" x14ac:dyDescent="0.25">
      <c r="A158" s="29" t="s">
        <v>343</v>
      </c>
      <c r="B158" s="29" t="s">
        <v>68</v>
      </c>
      <c r="C158" s="30" t="s">
        <v>365</v>
      </c>
      <c r="D158" s="29" t="s">
        <v>15</v>
      </c>
      <c r="E158" s="31">
        <v>630</v>
      </c>
      <c r="F158" s="31">
        <v>633.88</v>
      </c>
      <c r="G158" s="32">
        <f t="shared" si="8"/>
        <v>82.65795199999998</v>
      </c>
      <c r="H158" s="32">
        <f t="shared" si="9"/>
        <v>551.22204799999997</v>
      </c>
      <c r="I158" s="32">
        <f t="shared" si="10"/>
        <v>78.777952000000028</v>
      </c>
      <c r="J158" s="26">
        <f t="shared" si="11"/>
        <v>0.14291509616828685</v>
      </c>
      <c r="K158" s="29" t="s">
        <v>16</v>
      </c>
    </row>
    <row r="159" spans="1:11" x14ac:dyDescent="0.25">
      <c r="A159" s="29" t="s">
        <v>343</v>
      </c>
      <c r="B159" s="29" t="s">
        <v>68</v>
      </c>
      <c r="C159" s="30" t="s">
        <v>366</v>
      </c>
      <c r="D159" s="29" t="s">
        <v>15</v>
      </c>
      <c r="E159" s="31">
        <v>630</v>
      </c>
      <c r="F159" s="31">
        <v>633.88</v>
      </c>
      <c r="G159" s="32">
        <f t="shared" si="8"/>
        <v>82.65795199999998</v>
      </c>
      <c r="H159" s="32">
        <f t="shared" si="9"/>
        <v>551.22204799999997</v>
      </c>
      <c r="I159" s="32">
        <f t="shared" si="10"/>
        <v>78.777952000000028</v>
      </c>
      <c r="J159" s="26">
        <f t="shared" si="11"/>
        <v>0.14291509616828685</v>
      </c>
      <c r="K159" s="29" t="s">
        <v>16</v>
      </c>
    </row>
    <row r="160" spans="1:11" x14ac:dyDescent="0.25">
      <c r="A160" s="29" t="s">
        <v>343</v>
      </c>
      <c r="B160" s="29" t="s">
        <v>68</v>
      </c>
      <c r="C160" s="30" t="s">
        <v>367</v>
      </c>
      <c r="D160" s="29" t="s">
        <v>15</v>
      </c>
      <c r="E160" s="31">
        <v>630</v>
      </c>
      <c r="F160" s="31">
        <v>633.88</v>
      </c>
      <c r="G160" s="32">
        <f t="shared" si="8"/>
        <v>82.65795199999998</v>
      </c>
      <c r="H160" s="32">
        <f t="shared" si="9"/>
        <v>551.22204799999997</v>
      </c>
      <c r="I160" s="32">
        <f t="shared" si="10"/>
        <v>78.777952000000028</v>
      </c>
      <c r="J160" s="26">
        <f t="shared" si="11"/>
        <v>0.14291509616828685</v>
      </c>
      <c r="K160" s="29" t="s">
        <v>16</v>
      </c>
    </row>
    <row r="161" spans="1:11" x14ac:dyDescent="0.25">
      <c r="A161" s="29" t="s">
        <v>343</v>
      </c>
      <c r="B161" s="29" t="s">
        <v>68</v>
      </c>
      <c r="C161" s="30" t="s">
        <v>368</v>
      </c>
      <c r="D161" s="29" t="s">
        <v>15</v>
      </c>
      <c r="E161" s="31">
        <v>630</v>
      </c>
      <c r="F161" s="31">
        <v>633.88</v>
      </c>
      <c r="G161" s="32">
        <f t="shared" si="8"/>
        <v>82.65795199999998</v>
      </c>
      <c r="H161" s="32">
        <f t="shared" si="9"/>
        <v>551.22204799999997</v>
      </c>
      <c r="I161" s="32">
        <f t="shared" si="10"/>
        <v>78.777952000000028</v>
      </c>
      <c r="J161" s="26">
        <f t="shared" si="11"/>
        <v>0.14291509616828685</v>
      </c>
      <c r="K161" s="29" t="s">
        <v>16</v>
      </c>
    </row>
    <row r="162" spans="1:11" x14ac:dyDescent="0.25">
      <c r="A162" s="29" t="s">
        <v>343</v>
      </c>
      <c r="B162" s="29" t="s">
        <v>68</v>
      </c>
      <c r="C162" s="30" t="s">
        <v>369</v>
      </c>
      <c r="D162" s="29" t="s">
        <v>15</v>
      </c>
      <c r="E162" s="31">
        <v>630</v>
      </c>
      <c r="F162" s="31">
        <v>633.88</v>
      </c>
      <c r="G162" s="32">
        <f t="shared" si="8"/>
        <v>82.65795199999998</v>
      </c>
      <c r="H162" s="32">
        <f t="shared" si="9"/>
        <v>551.22204799999997</v>
      </c>
      <c r="I162" s="32">
        <f t="shared" si="10"/>
        <v>78.777952000000028</v>
      </c>
      <c r="J162" s="26">
        <f t="shared" si="11"/>
        <v>0.14291509616828685</v>
      </c>
      <c r="K162" s="29" t="s">
        <v>16</v>
      </c>
    </row>
    <row r="163" spans="1:11" x14ac:dyDescent="0.25">
      <c r="A163" s="29" t="s">
        <v>343</v>
      </c>
      <c r="B163" s="29" t="s">
        <v>68</v>
      </c>
      <c r="C163" s="30" t="s">
        <v>370</v>
      </c>
      <c r="D163" s="29" t="s">
        <v>15</v>
      </c>
      <c r="E163" s="31">
        <v>630</v>
      </c>
      <c r="F163" s="31">
        <v>633.88</v>
      </c>
      <c r="G163" s="32">
        <f t="shared" si="8"/>
        <v>82.65795199999998</v>
      </c>
      <c r="H163" s="32">
        <f t="shared" si="9"/>
        <v>551.22204799999997</v>
      </c>
      <c r="I163" s="32">
        <f t="shared" si="10"/>
        <v>78.777952000000028</v>
      </c>
      <c r="J163" s="26">
        <f t="shared" si="11"/>
        <v>0.14291509616828685</v>
      </c>
      <c r="K163" s="29" t="s">
        <v>16</v>
      </c>
    </row>
    <row r="164" spans="1:11" x14ac:dyDescent="0.25">
      <c r="A164" s="29" t="s">
        <v>343</v>
      </c>
      <c r="B164" s="29" t="s">
        <v>68</v>
      </c>
      <c r="C164" s="30" t="s">
        <v>371</v>
      </c>
      <c r="D164" s="29" t="s">
        <v>15</v>
      </c>
      <c r="E164" s="31">
        <v>630</v>
      </c>
      <c r="F164" s="31">
        <v>633.88</v>
      </c>
      <c r="G164" s="32">
        <f t="shared" si="8"/>
        <v>82.65795199999998</v>
      </c>
      <c r="H164" s="32">
        <f t="shared" si="9"/>
        <v>551.22204799999997</v>
      </c>
      <c r="I164" s="32">
        <f t="shared" si="10"/>
        <v>78.777952000000028</v>
      </c>
      <c r="J164" s="26">
        <f t="shared" si="11"/>
        <v>0.14291509616828685</v>
      </c>
      <c r="K164" s="29" t="s">
        <v>16</v>
      </c>
    </row>
    <row r="165" spans="1:11" x14ac:dyDescent="0.25">
      <c r="A165" s="29" t="s">
        <v>343</v>
      </c>
      <c r="B165" s="29" t="s">
        <v>68</v>
      </c>
      <c r="C165" s="30" t="s">
        <v>372</v>
      </c>
      <c r="D165" s="29" t="s">
        <v>15</v>
      </c>
      <c r="E165" s="31">
        <v>630</v>
      </c>
      <c r="F165" s="31">
        <v>633.88</v>
      </c>
      <c r="G165" s="32">
        <f t="shared" si="8"/>
        <v>82.65795199999998</v>
      </c>
      <c r="H165" s="32">
        <f t="shared" si="9"/>
        <v>551.22204799999997</v>
      </c>
      <c r="I165" s="32">
        <f t="shared" si="10"/>
        <v>78.777952000000028</v>
      </c>
      <c r="J165" s="26">
        <f t="shared" si="11"/>
        <v>0.14291509616828685</v>
      </c>
      <c r="K165" s="29" t="s">
        <v>16</v>
      </c>
    </row>
    <row r="166" spans="1:11" x14ac:dyDescent="0.25">
      <c r="A166" s="29" t="s">
        <v>343</v>
      </c>
      <c r="B166" s="29" t="s">
        <v>68</v>
      </c>
      <c r="C166" s="30" t="s">
        <v>373</v>
      </c>
      <c r="D166" s="29" t="s">
        <v>15</v>
      </c>
      <c r="E166" s="31">
        <v>630</v>
      </c>
      <c r="F166" s="31">
        <v>633.88</v>
      </c>
      <c r="G166" s="32">
        <f t="shared" si="8"/>
        <v>82.65795199999998</v>
      </c>
      <c r="H166" s="32">
        <f t="shared" si="9"/>
        <v>551.22204799999997</v>
      </c>
      <c r="I166" s="32">
        <f t="shared" si="10"/>
        <v>78.777952000000028</v>
      </c>
      <c r="J166" s="26">
        <f t="shared" si="11"/>
        <v>0.14291509616828685</v>
      </c>
      <c r="K166" s="29" t="s">
        <v>16</v>
      </c>
    </row>
    <row r="167" spans="1:11" x14ac:dyDescent="0.25">
      <c r="A167" s="29" t="s">
        <v>343</v>
      </c>
      <c r="B167" s="29" t="s">
        <v>68</v>
      </c>
      <c r="C167" s="30" t="s">
        <v>374</v>
      </c>
      <c r="D167" s="29" t="s">
        <v>15</v>
      </c>
      <c r="E167" s="31">
        <v>630</v>
      </c>
      <c r="F167" s="31">
        <v>633.88</v>
      </c>
      <c r="G167" s="32">
        <f t="shared" si="8"/>
        <v>82.65795199999998</v>
      </c>
      <c r="H167" s="32">
        <f t="shared" si="9"/>
        <v>551.22204799999997</v>
      </c>
      <c r="I167" s="32">
        <f t="shared" si="10"/>
        <v>78.777952000000028</v>
      </c>
      <c r="J167" s="26">
        <f t="shared" si="11"/>
        <v>0.14291509616828685</v>
      </c>
      <c r="K167" s="29" t="s">
        <v>16</v>
      </c>
    </row>
    <row r="168" spans="1:11" x14ac:dyDescent="0.25">
      <c r="A168" s="29" t="s">
        <v>343</v>
      </c>
      <c r="B168" s="29" t="s">
        <v>68</v>
      </c>
      <c r="C168" s="30" t="s">
        <v>375</v>
      </c>
      <c r="D168" s="29" t="s">
        <v>15</v>
      </c>
      <c r="E168" s="31">
        <v>630</v>
      </c>
      <c r="F168" s="31">
        <v>633.88</v>
      </c>
      <c r="G168" s="32">
        <f t="shared" si="8"/>
        <v>82.65795199999998</v>
      </c>
      <c r="H168" s="32">
        <f t="shared" si="9"/>
        <v>551.22204799999997</v>
      </c>
      <c r="I168" s="32">
        <f t="shared" si="10"/>
        <v>78.777952000000028</v>
      </c>
      <c r="J168" s="26">
        <f t="shared" si="11"/>
        <v>0.14291509616828685</v>
      </c>
      <c r="K168" s="29" t="s">
        <v>16</v>
      </c>
    </row>
    <row r="169" spans="1:11" x14ac:dyDescent="0.25">
      <c r="A169" s="29" t="s">
        <v>343</v>
      </c>
      <c r="B169" s="29" t="s">
        <v>68</v>
      </c>
      <c r="C169" s="30" t="s">
        <v>376</v>
      </c>
      <c r="D169" s="29" t="s">
        <v>15</v>
      </c>
      <c r="E169" s="31">
        <v>630</v>
      </c>
      <c r="F169" s="31">
        <v>633.88</v>
      </c>
      <c r="G169" s="32">
        <f t="shared" si="8"/>
        <v>82.65795199999998</v>
      </c>
      <c r="H169" s="32">
        <f t="shared" si="9"/>
        <v>551.22204799999997</v>
      </c>
      <c r="I169" s="32">
        <f t="shared" si="10"/>
        <v>78.777952000000028</v>
      </c>
      <c r="J169" s="26">
        <f t="shared" si="11"/>
        <v>0.14291509616828685</v>
      </c>
      <c r="K169" s="29" t="s">
        <v>16</v>
      </c>
    </row>
    <row r="170" spans="1:11" x14ac:dyDescent="0.25">
      <c r="A170" s="29" t="s">
        <v>343</v>
      </c>
      <c r="B170" s="29" t="s">
        <v>68</v>
      </c>
      <c r="C170" s="30" t="s">
        <v>377</v>
      </c>
      <c r="D170" s="29" t="s">
        <v>15</v>
      </c>
      <c r="E170" s="31">
        <v>630</v>
      </c>
      <c r="F170" s="31">
        <v>633.88</v>
      </c>
      <c r="G170" s="32">
        <f t="shared" si="8"/>
        <v>82.65795199999998</v>
      </c>
      <c r="H170" s="32">
        <f t="shared" si="9"/>
        <v>551.22204799999997</v>
      </c>
      <c r="I170" s="32">
        <f t="shared" si="10"/>
        <v>78.777952000000028</v>
      </c>
      <c r="J170" s="26">
        <f t="shared" si="11"/>
        <v>0.14291509616828685</v>
      </c>
      <c r="K170" s="29" t="s">
        <v>16</v>
      </c>
    </row>
    <row r="171" spans="1:11" x14ac:dyDescent="0.25">
      <c r="A171" s="29" t="s">
        <v>343</v>
      </c>
      <c r="B171" s="29" t="s">
        <v>68</v>
      </c>
      <c r="C171" s="30" t="s">
        <v>378</v>
      </c>
      <c r="D171" s="29" t="s">
        <v>15</v>
      </c>
      <c r="E171" s="31">
        <v>630</v>
      </c>
      <c r="F171" s="31">
        <v>633.88</v>
      </c>
      <c r="G171" s="32">
        <f t="shared" si="8"/>
        <v>82.65795199999998</v>
      </c>
      <c r="H171" s="32">
        <f t="shared" si="9"/>
        <v>551.22204799999997</v>
      </c>
      <c r="I171" s="32">
        <f t="shared" si="10"/>
        <v>78.777952000000028</v>
      </c>
      <c r="J171" s="26">
        <f t="shared" si="11"/>
        <v>0.14291509616828685</v>
      </c>
      <c r="K171" s="29" t="s">
        <v>16</v>
      </c>
    </row>
    <row r="172" spans="1:11" x14ac:dyDescent="0.25">
      <c r="A172" s="29" t="s">
        <v>343</v>
      </c>
      <c r="B172" s="29" t="s">
        <v>68</v>
      </c>
      <c r="C172" s="30" t="s">
        <v>379</v>
      </c>
      <c r="D172" s="29" t="s">
        <v>15</v>
      </c>
      <c r="E172" s="31">
        <v>630</v>
      </c>
      <c r="F172" s="31">
        <v>633.88</v>
      </c>
      <c r="G172" s="32">
        <f t="shared" si="8"/>
        <v>82.65795199999998</v>
      </c>
      <c r="H172" s="32">
        <f t="shared" si="9"/>
        <v>551.22204799999997</v>
      </c>
      <c r="I172" s="32">
        <f t="shared" si="10"/>
        <v>78.777952000000028</v>
      </c>
      <c r="J172" s="26">
        <f t="shared" si="11"/>
        <v>0.14291509616828685</v>
      </c>
      <c r="K172" s="29" t="s">
        <v>16</v>
      </c>
    </row>
    <row r="173" spans="1:11" x14ac:dyDescent="0.25">
      <c r="A173" s="29" t="s">
        <v>343</v>
      </c>
      <c r="B173" s="29" t="s">
        <v>68</v>
      </c>
      <c r="C173" s="30" t="s">
        <v>380</v>
      </c>
      <c r="D173" s="29" t="s">
        <v>15</v>
      </c>
      <c r="E173" s="31">
        <v>630</v>
      </c>
      <c r="F173" s="31">
        <v>633.88</v>
      </c>
      <c r="G173" s="32">
        <f t="shared" si="8"/>
        <v>82.65795199999998</v>
      </c>
      <c r="H173" s="32">
        <f t="shared" si="9"/>
        <v>551.22204799999997</v>
      </c>
      <c r="I173" s="32">
        <f t="shared" si="10"/>
        <v>78.777952000000028</v>
      </c>
      <c r="J173" s="26">
        <f t="shared" si="11"/>
        <v>0.14291509616828685</v>
      </c>
      <c r="K173" s="29" t="s">
        <v>16</v>
      </c>
    </row>
    <row r="174" spans="1:11" x14ac:dyDescent="0.25">
      <c r="A174" s="29" t="s">
        <v>343</v>
      </c>
      <c r="B174" s="29" t="s">
        <v>68</v>
      </c>
      <c r="C174" s="30" t="s">
        <v>381</v>
      </c>
      <c r="D174" s="29" t="s">
        <v>15</v>
      </c>
      <c r="E174" s="31">
        <v>630</v>
      </c>
      <c r="F174" s="31">
        <v>633.88</v>
      </c>
      <c r="G174" s="32">
        <f t="shared" si="8"/>
        <v>82.65795199999998</v>
      </c>
      <c r="H174" s="32">
        <f t="shared" si="9"/>
        <v>551.22204799999997</v>
      </c>
      <c r="I174" s="32">
        <f t="shared" si="10"/>
        <v>78.777952000000028</v>
      </c>
      <c r="J174" s="26">
        <f t="shared" si="11"/>
        <v>0.14291509616828685</v>
      </c>
      <c r="K174" s="29" t="s">
        <v>16</v>
      </c>
    </row>
    <row r="175" spans="1:11" x14ac:dyDescent="0.25">
      <c r="A175" s="29" t="s">
        <v>343</v>
      </c>
      <c r="B175" s="29" t="s">
        <v>68</v>
      </c>
      <c r="C175" s="30" t="s">
        <v>382</v>
      </c>
      <c r="D175" s="29" t="s">
        <v>15</v>
      </c>
      <c r="E175" s="31">
        <v>630</v>
      </c>
      <c r="F175" s="31">
        <v>633.88</v>
      </c>
      <c r="G175" s="32">
        <f t="shared" si="8"/>
        <v>82.65795199999998</v>
      </c>
      <c r="H175" s="32">
        <f t="shared" si="9"/>
        <v>551.22204799999997</v>
      </c>
      <c r="I175" s="32">
        <f t="shared" si="10"/>
        <v>78.777952000000028</v>
      </c>
      <c r="J175" s="26">
        <f t="shared" si="11"/>
        <v>0.14291509616828685</v>
      </c>
      <c r="K175" s="29" t="s">
        <v>16</v>
      </c>
    </row>
    <row r="176" spans="1:11" x14ac:dyDescent="0.25">
      <c r="A176" s="29" t="s">
        <v>343</v>
      </c>
      <c r="B176" s="29" t="s">
        <v>68</v>
      </c>
      <c r="C176" s="30" t="s">
        <v>383</v>
      </c>
      <c r="D176" s="29" t="s">
        <v>15</v>
      </c>
      <c r="E176" s="31">
        <v>630</v>
      </c>
      <c r="F176" s="31">
        <v>633.88</v>
      </c>
      <c r="G176" s="32">
        <f t="shared" si="8"/>
        <v>82.65795199999998</v>
      </c>
      <c r="H176" s="32">
        <f t="shared" si="9"/>
        <v>551.22204799999997</v>
      </c>
      <c r="I176" s="32">
        <f t="shared" si="10"/>
        <v>78.777952000000028</v>
      </c>
      <c r="J176" s="26">
        <f t="shared" si="11"/>
        <v>0.14291509616828685</v>
      </c>
      <c r="K176" s="29" t="s">
        <v>16</v>
      </c>
    </row>
    <row r="177" spans="1:11" x14ac:dyDescent="0.25">
      <c r="A177" s="29" t="s">
        <v>343</v>
      </c>
      <c r="B177" s="29" t="s">
        <v>68</v>
      </c>
      <c r="C177" s="30" t="s">
        <v>384</v>
      </c>
      <c r="D177" s="29" t="s">
        <v>15</v>
      </c>
      <c r="E177" s="31">
        <v>630</v>
      </c>
      <c r="F177" s="31">
        <v>633.88</v>
      </c>
      <c r="G177" s="32">
        <f t="shared" si="8"/>
        <v>82.65795199999998</v>
      </c>
      <c r="H177" s="32">
        <f t="shared" si="9"/>
        <v>551.22204799999997</v>
      </c>
      <c r="I177" s="32">
        <f t="shared" si="10"/>
        <v>78.777952000000028</v>
      </c>
      <c r="J177" s="26">
        <f t="shared" si="11"/>
        <v>0.14291509616828685</v>
      </c>
      <c r="K177" s="29" t="s">
        <v>16</v>
      </c>
    </row>
    <row r="178" spans="1:11" x14ac:dyDescent="0.25">
      <c r="A178" s="29" t="s">
        <v>343</v>
      </c>
      <c r="B178" s="29" t="s">
        <v>68</v>
      </c>
      <c r="C178" s="30" t="s">
        <v>385</v>
      </c>
      <c r="D178" s="29" t="s">
        <v>15</v>
      </c>
      <c r="E178" s="31">
        <v>630</v>
      </c>
      <c r="F178" s="31">
        <v>633.88</v>
      </c>
      <c r="G178" s="32">
        <f t="shared" si="8"/>
        <v>82.65795199999998</v>
      </c>
      <c r="H178" s="32">
        <f t="shared" si="9"/>
        <v>551.22204799999997</v>
      </c>
      <c r="I178" s="32">
        <f t="shared" si="10"/>
        <v>78.777952000000028</v>
      </c>
      <c r="J178" s="26">
        <f t="shared" si="11"/>
        <v>0.14291509616828685</v>
      </c>
      <c r="K178" s="29" t="s">
        <v>16</v>
      </c>
    </row>
    <row r="179" spans="1:11" x14ac:dyDescent="0.25">
      <c r="A179" s="29" t="s">
        <v>343</v>
      </c>
      <c r="B179" s="29" t="s">
        <v>68</v>
      </c>
      <c r="C179" s="30" t="s">
        <v>386</v>
      </c>
      <c r="D179" s="29" t="s">
        <v>15</v>
      </c>
      <c r="E179" s="31">
        <v>630</v>
      </c>
      <c r="F179" s="31">
        <v>633.88</v>
      </c>
      <c r="G179" s="32">
        <f t="shared" si="8"/>
        <v>82.65795199999998</v>
      </c>
      <c r="H179" s="32">
        <f t="shared" si="9"/>
        <v>551.22204799999997</v>
      </c>
      <c r="I179" s="32">
        <f t="shared" si="10"/>
        <v>78.777952000000028</v>
      </c>
      <c r="J179" s="26">
        <f t="shared" si="11"/>
        <v>0.14291509616828685</v>
      </c>
      <c r="K179" s="29" t="s">
        <v>16</v>
      </c>
    </row>
    <row r="180" spans="1:11" x14ac:dyDescent="0.25">
      <c r="A180" s="29" t="s">
        <v>343</v>
      </c>
      <c r="B180" s="29" t="s">
        <v>68</v>
      </c>
      <c r="C180" s="30" t="s">
        <v>387</v>
      </c>
      <c r="D180" s="29" t="s">
        <v>15</v>
      </c>
      <c r="E180" s="31">
        <v>630</v>
      </c>
      <c r="F180" s="31">
        <v>633.88</v>
      </c>
      <c r="G180" s="32">
        <f t="shared" si="8"/>
        <v>82.65795199999998</v>
      </c>
      <c r="H180" s="32">
        <f t="shared" si="9"/>
        <v>551.22204799999997</v>
      </c>
      <c r="I180" s="32">
        <f t="shared" si="10"/>
        <v>78.777952000000028</v>
      </c>
      <c r="J180" s="26">
        <f t="shared" si="11"/>
        <v>0.14291509616828685</v>
      </c>
      <c r="K180" s="29" t="s">
        <v>16</v>
      </c>
    </row>
    <row r="181" spans="1:11" x14ac:dyDescent="0.25">
      <c r="A181" s="29" t="s">
        <v>343</v>
      </c>
      <c r="B181" s="29" t="s">
        <v>68</v>
      </c>
      <c r="C181" s="30" t="s">
        <v>388</v>
      </c>
      <c r="D181" s="29" t="s">
        <v>15</v>
      </c>
      <c r="E181" s="31">
        <v>630</v>
      </c>
      <c r="F181" s="31">
        <v>633.88</v>
      </c>
      <c r="G181" s="32">
        <f t="shared" si="8"/>
        <v>82.65795199999998</v>
      </c>
      <c r="H181" s="32">
        <f t="shared" si="9"/>
        <v>551.22204799999997</v>
      </c>
      <c r="I181" s="32">
        <f t="shared" si="10"/>
        <v>78.777952000000028</v>
      </c>
      <c r="J181" s="26">
        <f t="shared" si="11"/>
        <v>0.14291509616828685</v>
      </c>
      <c r="K181" s="29" t="s">
        <v>16</v>
      </c>
    </row>
    <row r="182" spans="1:11" x14ac:dyDescent="0.25">
      <c r="A182" s="29" t="s">
        <v>343</v>
      </c>
      <c r="B182" s="29" t="s">
        <v>68</v>
      </c>
      <c r="C182" s="30" t="s">
        <v>389</v>
      </c>
      <c r="D182" s="29" t="s">
        <v>15</v>
      </c>
      <c r="E182" s="31">
        <v>640</v>
      </c>
      <c r="F182" s="31">
        <v>633.88</v>
      </c>
      <c r="G182" s="32">
        <f t="shared" si="8"/>
        <v>82.65795199999998</v>
      </c>
      <c r="H182" s="32">
        <f t="shared" si="9"/>
        <v>551.22204799999997</v>
      </c>
      <c r="I182" s="32">
        <f t="shared" si="10"/>
        <v>88.777952000000028</v>
      </c>
      <c r="J182" s="26">
        <f t="shared" si="11"/>
        <v>0.16105660563127552</v>
      </c>
      <c r="K182" s="29" t="s">
        <v>16</v>
      </c>
    </row>
    <row r="183" spans="1:11" x14ac:dyDescent="0.25">
      <c r="A183" s="29" t="s">
        <v>343</v>
      </c>
      <c r="B183" s="29" t="s">
        <v>68</v>
      </c>
      <c r="C183" s="30" t="s">
        <v>390</v>
      </c>
      <c r="D183" s="29" t="s">
        <v>15</v>
      </c>
      <c r="E183" s="31">
        <v>640</v>
      </c>
      <c r="F183" s="31">
        <v>633.88</v>
      </c>
      <c r="G183" s="32">
        <f t="shared" si="8"/>
        <v>82.65795199999998</v>
      </c>
      <c r="H183" s="32">
        <f t="shared" si="9"/>
        <v>551.22204799999997</v>
      </c>
      <c r="I183" s="32">
        <f t="shared" si="10"/>
        <v>88.777952000000028</v>
      </c>
      <c r="J183" s="26">
        <f t="shared" si="11"/>
        <v>0.16105660563127552</v>
      </c>
      <c r="K183" s="29" t="s">
        <v>16</v>
      </c>
    </row>
    <row r="184" spans="1:11" x14ac:dyDescent="0.25">
      <c r="A184" s="29" t="s">
        <v>343</v>
      </c>
      <c r="B184" s="29" t="s">
        <v>68</v>
      </c>
      <c r="C184" s="30" t="s">
        <v>391</v>
      </c>
      <c r="D184" s="29" t="s">
        <v>15</v>
      </c>
      <c r="E184" s="31">
        <v>640</v>
      </c>
      <c r="F184" s="31">
        <v>633.88</v>
      </c>
      <c r="G184" s="32">
        <f t="shared" si="8"/>
        <v>82.65795199999998</v>
      </c>
      <c r="H184" s="32">
        <f t="shared" si="9"/>
        <v>551.22204799999997</v>
      </c>
      <c r="I184" s="32">
        <f t="shared" si="10"/>
        <v>88.777952000000028</v>
      </c>
      <c r="J184" s="26">
        <f t="shared" si="11"/>
        <v>0.16105660563127552</v>
      </c>
      <c r="K184" s="29" t="s">
        <v>16</v>
      </c>
    </row>
    <row r="185" spans="1:11" x14ac:dyDescent="0.25">
      <c r="A185" s="29" t="s">
        <v>343</v>
      </c>
      <c r="B185" s="29" t="s">
        <v>68</v>
      </c>
      <c r="C185" s="30" t="s">
        <v>392</v>
      </c>
      <c r="D185" s="29" t="s">
        <v>15</v>
      </c>
      <c r="E185" s="31">
        <v>640</v>
      </c>
      <c r="F185" s="31">
        <v>633.88</v>
      </c>
      <c r="G185" s="32">
        <f t="shared" si="8"/>
        <v>82.65795199999998</v>
      </c>
      <c r="H185" s="32">
        <f t="shared" si="9"/>
        <v>551.22204799999997</v>
      </c>
      <c r="I185" s="32">
        <f t="shared" si="10"/>
        <v>88.777952000000028</v>
      </c>
      <c r="J185" s="26">
        <f t="shared" si="11"/>
        <v>0.16105660563127552</v>
      </c>
      <c r="K185" s="29" t="s">
        <v>16</v>
      </c>
    </row>
    <row r="186" spans="1:11" x14ac:dyDescent="0.25">
      <c r="A186" s="29" t="s">
        <v>343</v>
      </c>
      <c r="B186" s="29" t="s">
        <v>68</v>
      </c>
      <c r="C186" s="30" t="s">
        <v>393</v>
      </c>
      <c r="D186" s="29" t="s">
        <v>15</v>
      </c>
      <c r="E186" s="31">
        <v>640</v>
      </c>
      <c r="F186" s="31">
        <v>633.88</v>
      </c>
      <c r="G186" s="32">
        <f t="shared" si="8"/>
        <v>82.65795199999998</v>
      </c>
      <c r="H186" s="32">
        <f t="shared" si="9"/>
        <v>551.22204799999997</v>
      </c>
      <c r="I186" s="32">
        <f t="shared" si="10"/>
        <v>88.777952000000028</v>
      </c>
      <c r="J186" s="26">
        <f t="shared" si="11"/>
        <v>0.16105660563127552</v>
      </c>
      <c r="K186" s="29" t="s">
        <v>16</v>
      </c>
    </row>
    <row r="187" spans="1:11" x14ac:dyDescent="0.25">
      <c r="A187" s="29" t="s">
        <v>343</v>
      </c>
      <c r="B187" s="29" t="s">
        <v>68</v>
      </c>
      <c r="C187" s="30" t="s">
        <v>394</v>
      </c>
      <c r="D187" s="29" t="s">
        <v>15</v>
      </c>
      <c r="E187" s="31">
        <v>640</v>
      </c>
      <c r="F187" s="31">
        <v>633.88</v>
      </c>
      <c r="G187" s="32">
        <f t="shared" si="8"/>
        <v>82.65795199999998</v>
      </c>
      <c r="H187" s="32">
        <f t="shared" si="9"/>
        <v>551.22204799999997</v>
      </c>
      <c r="I187" s="32">
        <f t="shared" si="10"/>
        <v>88.777952000000028</v>
      </c>
      <c r="J187" s="26">
        <f t="shared" si="11"/>
        <v>0.16105660563127552</v>
      </c>
      <c r="K187" s="29" t="s">
        <v>16</v>
      </c>
    </row>
    <row r="188" spans="1:11" x14ac:dyDescent="0.25">
      <c r="A188" s="29" t="s">
        <v>343</v>
      </c>
      <c r="B188" s="29" t="s">
        <v>68</v>
      </c>
      <c r="C188" s="30" t="s">
        <v>395</v>
      </c>
      <c r="D188" s="29" t="s">
        <v>15</v>
      </c>
      <c r="E188" s="31">
        <v>640</v>
      </c>
      <c r="F188" s="31">
        <v>633.88</v>
      </c>
      <c r="G188" s="32">
        <f t="shared" si="8"/>
        <v>82.65795199999998</v>
      </c>
      <c r="H188" s="32">
        <f t="shared" si="9"/>
        <v>551.22204799999997</v>
      </c>
      <c r="I188" s="32">
        <f t="shared" si="10"/>
        <v>88.777952000000028</v>
      </c>
      <c r="J188" s="26">
        <f t="shared" si="11"/>
        <v>0.16105660563127552</v>
      </c>
      <c r="K188" s="29" t="s">
        <v>16</v>
      </c>
    </row>
    <row r="189" spans="1:11" x14ac:dyDescent="0.25">
      <c r="A189" s="29" t="s">
        <v>343</v>
      </c>
      <c r="B189" s="29" t="s">
        <v>68</v>
      </c>
      <c r="C189" s="30" t="s">
        <v>396</v>
      </c>
      <c r="D189" s="29" t="s">
        <v>15</v>
      </c>
      <c r="E189" s="31">
        <v>640</v>
      </c>
      <c r="F189" s="31">
        <v>633.88</v>
      </c>
      <c r="G189" s="32">
        <f t="shared" si="8"/>
        <v>82.65795199999998</v>
      </c>
      <c r="H189" s="32">
        <f t="shared" si="9"/>
        <v>551.22204799999997</v>
      </c>
      <c r="I189" s="32">
        <f t="shared" si="10"/>
        <v>88.777952000000028</v>
      </c>
      <c r="J189" s="26">
        <f t="shared" si="11"/>
        <v>0.16105660563127552</v>
      </c>
      <c r="K189" s="29" t="s">
        <v>16</v>
      </c>
    </row>
    <row r="190" spans="1:11" x14ac:dyDescent="0.25">
      <c r="A190" s="29" t="s">
        <v>343</v>
      </c>
      <c r="B190" s="29" t="s">
        <v>68</v>
      </c>
      <c r="C190" s="30" t="s">
        <v>397</v>
      </c>
      <c r="D190" s="29" t="s">
        <v>15</v>
      </c>
      <c r="E190" s="31">
        <v>640</v>
      </c>
      <c r="F190" s="31">
        <v>633.88</v>
      </c>
      <c r="G190" s="32">
        <f t="shared" si="8"/>
        <v>82.65795199999998</v>
      </c>
      <c r="H190" s="32">
        <f t="shared" si="9"/>
        <v>551.22204799999997</v>
      </c>
      <c r="I190" s="32">
        <f t="shared" si="10"/>
        <v>88.777952000000028</v>
      </c>
      <c r="J190" s="26">
        <f t="shared" si="11"/>
        <v>0.16105660563127552</v>
      </c>
      <c r="K190" s="29" t="s">
        <v>16</v>
      </c>
    </row>
    <row r="191" spans="1:11" x14ac:dyDescent="0.25">
      <c r="A191" s="29" t="s">
        <v>343</v>
      </c>
      <c r="B191" s="29" t="s">
        <v>68</v>
      </c>
      <c r="C191" s="30" t="s">
        <v>398</v>
      </c>
      <c r="D191" s="29" t="s">
        <v>15</v>
      </c>
      <c r="E191" s="31">
        <v>640</v>
      </c>
      <c r="F191" s="31">
        <v>633.88</v>
      </c>
      <c r="G191" s="32">
        <f t="shared" si="8"/>
        <v>82.65795199999998</v>
      </c>
      <c r="H191" s="32">
        <f t="shared" si="9"/>
        <v>551.22204799999997</v>
      </c>
      <c r="I191" s="32">
        <f t="shared" si="10"/>
        <v>88.777952000000028</v>
      </c>
      <c r="J191" s="26">
        <f t="shared" si="11"/>
        <v>0.16105660563127552</v>
      </c>
      <c r="K191" s="29" t="s">
        <v>16</v>
      </c>
    </row>
    <row r="192" spans="1:11" x14ac:dyDescent="0.25">
      <c r="A192" s="29" t="s">
        <v>343</v>
      </c>
      <c r="B192" s="29" t="s">
        <v>68</v>
      </c>
      <c r="C192" s="30" t="s">
        <v>399</v>
      </c>
      <c r="D192" s="29" t="s">
        <v>15</v>
      </c>
      <c r="E192" s="31">
        <v>640</v>
      </c>
      <c r="F192" s="31">
        <v>633.88</v>
      </c>
      <c r="G192" s="32">
        <f t="shared" si="8"/>
        <v>82.65795199999998</v>
      </c>
      <c r="H192" s="32">
        <f t="shared" si="9"/>
        <v>551.22204799999997</v>
      </c>
      <c r="I192" s="32">
        <f t="shared" si="10"/>
        <v>88.777952000000028</v>
      </c>
      <c r="J192" s="26">
        <f t="shared" si="11"/>
        <v>0.16105660563127552</v>
      </c>
      <c r="K192" s="29" t="s">
        <v>16</v>
      </c>
    </row>
    <row r="193" spans="1:11" x14ac:dyDescent="0.25">
      <c r="A193" s="29" t="s">
        <v>343</v>
      </c>
      <c r="B193" s="29" t="s">
        <v>68</v>
      </c>
      <c r="C193" s="30" t="s">
        <v>400</v>
      </c>
      <c r="D193" s="29" t="s">
        <v>15</v>
      </c>
      <c r="E193" s="31">
        <v>640</v>
      </c>
      <c r="F193" s="31">
        <v>633.88</v>
      </c>
      <c r="G193" s="32">
        <f t="shared" si="8"/>
        <v>82.65795199999998</v>
      </c>
      <c r="H193" s="32">
        <f t="shared" si="9"/>
        <v>551.22204799999997</v>
      </c>
      <c r="I193" s="32">
        <f t="shared" si="10"/>
        <v>88.777952000000028</v>
      </c>
      <c r="J193" s="26">
        <f t="shared" si="11"/>
        <v>0.16105660563127552</v>
      </c>
      <c r="K193" s="29" t="s">
        <v>16</v>
      </c>
    </row>
    <row r="194" spans="1:11" x14ac:dyDescent="0.25">
      <c r="A194" s="29" t="s">
        <v>343</v>
      </c>
      <c r="B194" s="29" t="s">
        <v>68</v>
      </c>
      <c r="C194" s="30" t="s">
        <v>401</v>
      </c>
      <c r="D194" s="29" t="s">
        <v>15</v>
      </c>
      <c r="E194" s="31">
        <v>640</v>
      </c>
      <c r="F194" s="31">
        <v>633.88</v>
      </c>
      <c r="G194" s="32">
        <f t="shared" si="8"/>
        <v>82.65795199999998</v>
      </c>
      <c r="H194" s="32">
        <f t="shared" si="9"/>
        <v>551.22204799999997</v>
      </c>
      <c r="I194" s="32">
        <f t="shared" si="10"/>
        <v>88.777952000000028</v>
      </c>
      <c r="J194" s="26">
        <f t="shared" si="11"/>
        <v>0.16105660563127552</v>
      </c>
      <c r="K194" s="29" t="s">
        <v>16</v>
      </c>
    </row>
    <row r="195" spans="1:11" x14ac:dyDescent="0.25">
      <c r="A195" s="29" t="s">
        <v>343</v>
      </c>
      <c r="B195" s="29" t="s">
        <v>68</v>
      </c>
      <c r="C195" s="30" t="s">
        <v>402</v>
      </c>
      <c r="D195" s="29" t="s">
        <v>15</v>
      </c>
      <c r="E195" s="31">
        <v>640</v>
      </c>
      <c r="F195" s="31">
        <v>633.88</v>
      </c>
      <c r="G195" s="32">
        <f t="shared" ref="G195:G210" si="12">F195*13.04/100</f>
        <v>82.65795199999998</v>
      </c>
      <c r="H195" s="32">
        <f t="shared" ref="H195:H210" si="13">F195-G195</f>
        <v>551.22204799999997</v>
      </c>
      <c r="I195" s="32">
        <f t="shared" ref="I195:I210" si="14">E195-H195</f>
        <v>88.777952000000028</v>
      </c>
      <c r="J195" s="26">
        <f t="shared" ref="J195:J210" si="15">(E195-H195)/H195</f>
        <v>0.16105660563127552</v>
      </c>
      <c r="K195" s="29" t="s">
        <v>16</v>
      </c>
    </row>
    <row r="196" spans="1:11" x14ac:dyDescent="0.25">
      <c r="A196" s="29" t="s">
        <v>343</v>
      </c>
      <c r="B196" s="29" t="s">
        <v>68</v>
      </c>
      <c r="C196" s="30" t="s">
        <v>403</v>
      </c>
      <c r="D196" s="29" t="s">
        <v>15</v>
      </c>
      <c r="E196" s="31">
        <v>640</v>
      </c>
      <c r="F196" s="31">
        <v>633.88</v>
      </c>
      <c r="G196" s="32">
        <f t="shared" si="12"/>
        <v>82.65795199999998</v>
      </c>
      <c r="H196" s="32">
        <f t="shared" si="13"/>
        <v>551.22204799999997</v>
      </c>
      <c r="I196" s="32">
        <f t="shared" si="14"/>
        <v>88.777952000000028</v>
      </c>
      <c r="J196" s="26">
        <f t="shared" si="15"/>
        <v>0.16105660563127552</v>
      </c>
      <c r="K196" s="29" t="s">
        <v>16</v>
      </c>
    </row>
    <row r="197" spans="1:11" x14ac:dyDescent="0.25">
      <c r="A197" s="29" t="s">
        <v>418</v>
      </c>
      <c r="B197" s="29" t="s">
        <v>68</v>
      </c>
      <c r="C197" s="30" t="s">
        <v>419</v>
      </c>
      <c r="D197" s="29" t="s">
        <v>15</v>
      </c>
      <c r="E197" s="31">
        <v>635</v>
      </c>
      <c r="F197" s="31">
        <v>633.88</v>
      </c>
      <c r="G197" s="32">
        <f t="shared" si="12"/>
        <v>82.65795199999998</v>
      </c>
      <c r="H197" s="32">
        <f t="shared" si="13"/>
        <v>551.22204799999997</v>
      </c>
      <c r="I197" s="32">
        <f t="shared" si="14"/>
        <v>83.777952000000028</v>
      </c>
      <c r="J197" s="26">
        <f t="shared" si="15"/>
        <v>0.1519858508997812</v>
      </c>
      <c r="K197" s="29" t="s">
        <v>16</v>
      </c>
    </row>
    <row r="198" spans="1:11" x14ac:dyDescent="0.25">
      <c r="A198" s="29" t="s">
        <v>418</v>
      </c>
      <c r="B198" s="29" t="s">
        <v>68</v>
      </c>
      <c r="C198" s="30" t="s">
        <v>420</v>
      </c>
      <c r="D198" s="29" t="s">
        <v>15</v>
      </c>
      <c r="E198" s="31">
        <v>635</v>
      </c>
      <c r="F198" s="31">
        <v>633.88</v>
      </c>
      <c r="G198" s="32">
        <f t="shared" si="12"/>
        <v>82.65795199999998</v>
      </c>
      <c r="H198" s="32">
        <f t="shared" si="13"/>
        <v>551.22204799999997</v>
      </c>
      <c r="I198" s="32">
        <f t="shared" si="14"/>
        <v>83.777952000000028</v>
      </c>
      <c r="J198" s="26">
        <f t="shared" si="15"/>
        <v>0.1519858508997812</v>
      </c>
      <c r="K198" s="29" t="s">
        <v>16</v>
      </c>
    </row>
    <row r="199" spans="1:11" x14ac:dyDescent="0.25">
      <c r="A199" s="29" t="s">
        <v>418</v>
      </c>
      <c r="B199" s="29" t="s">
        <v>68</v>
      </c>
      <c r="C199" s="30" t="s">
        <v>421</v>
      </c>
      <c r="D199" s="29" t="s">
        <v>15</v>
      </c>
      <c r="E199" s="31">
        <v>635</v>
      </c>
      <c r="F199" s="31">
        <v>633.88</v>
      </c>
      <c r="G199" s="32">
        <f t="shared" si="12"/>
        <v>82.65795199999998</v>
      </c>
      <c r="H199" s="32">
        <f t="shared" si="13"/>
        <v>551.22204799999997</v>
      </c>
      <c r="I199" s="32">
        <f t="shared" si="14"/>
        <v>83.777952000000028</v>
      </c>
      <c r="J199" s="26">
        <f t="shared" si="15"/>
        <v>0.1519858508997812</v>
      </c>
      <c r="K199" s="29" t="s">
        <v>16</v>
      </c>
    </row>
    <row r="200" spans="1:11" x14ac:dyDescent="0.25">
      <c r="A200" s="29" t="s">
        <v>418</v>
      </c>
      <c r="B200" s="29" t="s">
        <v>68</v>
      </c>
      <c r="C200" s="30" t="s">
        <v>422</v>
      </c>
      <c r="D200" s="29" t="s">
        <v>15</v>
      </c>
      <c r="E200" s="31">
        <v>635</v>
      </c>
      <c r="F200" s="31">
        <v>633.88</v>
      </c>
      <c r="G200" s="32">
        <f t="shared" si="12"/>
        <v>82.65795199999998</v>
      </c>
      <c r="H200" s="32">
        <f t="shared" si="13"/>
        <v>551.22204799999997</v>
      </c>
      <c r="I200" s="32">
        <f t="shared" si="14"/>
        <v>83.777952000000028</v>
      </c>
      <c r="J200" s="26">
        <f t="shared" si="15"/>
        <v>0.1519858508997812</v>
      </c>
      <c r="K200" s="29" t="s">
        <v>16</v>
      </c>
    </row>
    <row r="201" spans="1:11" x14ac:dyDescent="0.25">
      <c r="A201" s="29" t="s">
        <v>418</v>
      </c>
      <c r="B201" s="29" t="s">
        <v>68</v>
      </c>
      <c r="C201" s="30" t="s">
        <v>423</v>
      </c>
      <c r="D201" s="29" t="s">
        <v>15</v>
      </c>
      <c r="E201" s="31">
        <v>635</v>
      </c>
      <c r="F201" s="31">
        <v>633.88</v>
      </c>
      <c r="G201" s="32">
        <f t="shared" si="12"/>
        <v>82.65795199999998</v>
      </c>
      <c r="H201" s="32">
        <f t="shared" si="13"/>
        <v>551.22204799999997</v>
      </c>
      <c r="I201" s="32">
        <f t="shared" si="14"/>
        <v>83.777952000000028</v>
      </c>
      <c r="J201" s="26">
        <f t="shared" si="15"/>
        <v>0.1519858508997812</v>
      </c>
      <c r="K201" s="29" t="s">
        <v>16</v>
      </c>
    </row>
    <row r="202" spans="1:11" x14ac:dyDescent="0.25">
      <c r="A202" s="29" t="s">
        <v>418</v>
      </c>
      <c r="B202" s="29" t="s">
        <v>68</v>
      </c>
      <c r="C202" s="30" t="s">
        <v>424</v>
      </c>
      <c r="D202" s="29" t="s">
        <v>15</v>
      </c>
      <c r="E202" s="31">
        <v>635</v>
      </c>
      <c r="F202" s="31">
        <v>633.88</v>
      </c>
      <c r="G202" s="32">
        <f t="shared" si="12"/>
        <v>82.65795199999998</v>
      </c>
      <c r="H202" s="32">
        <f t="shared" si="13"/>
        <v>551.22204799999997</v>
      </c>
      <c r="I202" s="32">
        <f t="shared" si="14"/>
        <v>83.777952000000028</v>
      </c>
      <c r="J202" s="26">
        <f t="shared" si="15"/>
        <v>0.1519858508997812</v>
      </c>
      <c r="K202" s="29" t="s">
        <v>16</v>
      </c>
    </row>
    <row r="203" spans="1:11" x14ac:dyDescent="0.25">
      <c r="A203" s="29" t="s">
        <v>418</v>
      </c>
      <c r="B203" s="29" t="s">
        <v>68</v>
      </c>
      <c r="C203" s="30" t="s">
        <v>425</v>
      </c>
      <c r="D203" s="29" t="s">
        <v>15</v>
      </c>
      <c r="E203" s="31">
        <v>635</v>
      </c>
      <c r="F203" s="31">
        <v>633.88</v>
      </c>
      <c r="G203" s="32">
        <f t="shared" si="12"/>
        <v>82.65795199999998</v>
      </c>
      <c r="H203" s="32">
        <f t="shared" si="13"/>
        <v>551.22204799999997</v>
      </c>
      <c r="I203" s="32">
        <f t="shared" si="14"/>
        <v>83.777952000000028</v>
      </c>
      <c r="J203" s="26">
        <f t="shared" si="15"/>
        <v>0.1519858508997812</v>
      </c>
      <c r="K203" s="29" t="s">
        <v>16</v>
      </c>
    </row>
    <row r="204" spans="1:11" x14ac:dyDescent="0.25">
      <c r="A204" s="29" t="s">
        <v>418</v>
      </c>
      <c r="B204" s="29" t="s">
        <v>68</v>
      </c>
      <c r="C204" s="30" t="s">
        <v>426</v>
      </c>
      <c r="D204" s="29" t="s">
        <v>15</v>
      </c>
      <c r="E204" s="31">
        <v>635</v>
      </c>
      <c r="F204" s="31">
        <v>633.88</v>
      </c>
      <c r="G204" s="32">
        <f t="shared" si="12"/>
        <v>82.65795199999998</v>
      </c>
      <c r="H204" s="32">
        <f t="shared" si="13"/>
        <v>551.22204799999997</v>
      </c>
      <c r="I204" s="32">
        <f t="shared" si="14"/>
        <v>83.777952000000028</v>
      </c>
      <c r="J204" s="26">
        <f t="shared" si="15"/>
        <v>0.1519858508997812</v>
      </c>
      <c r="K204" s="29" t="s">
        <v>16</v>
      </c>
    </row>
    <row r="205" spans="1:11" x14ac:dyDescent="0.25">
      <c r="A205" s="29" t="s">
        <v>418</v>
      </c>
      <c r="B205" s="29" t="s">
        <v>68</v>
      </c>
      <c r="C205" s="30" t="s">
        <v>427</v>
      </c>
      <c r="D205" s="29" t="s">
        <v>15</v>
      </c>
      <c r="E205" s="31">
        <v>635</v>
      </c>
      <c r="F205" s="31">
        <v>633.88</v>
      </c>
      <c r="G205" s="32">
        <f t="shared" si="12"/>
        <v>82.65795199999998</v>
      </c>
      <c r="H205" s="32">
        <f t="shared" si="13"/>
        <v>551.22204799999997</v>
      </c>
      <c r="I205" s="32">
        <f t="shared" si="14"/>
        <v>83.777952000000028</v>
      </c>
      <c r="J205" s="26">
        <f t="shared" si="15"/>
        <v>0.1519858508997812</v>
      </c>
      <c r="K205" s="29" t="s">
        <v>16</v>
      </c>
    </row>
    <row r="206" spans="1:11" x14ac:dyDescent="0.25">
      <c r="A206" s="29" t="s">
        <v>418</v>
      </c>
      <c r="B206" s="29" t="s">
        <v>68</v>
      </c>
      <c r="C206" s="30" t="s">
        <v>428</v>
      </c>
      <c r="D206" s="29" t="s">
        <v>15</v>
      </c>
      <c r="E206" s="31">
        <v>635</v>
      </c>
      <c r="F206" s="31">
        <v>637</v>
      </c>
      <c r="G206" s="32">
        <f t="shared" si="12"/>
        <v>83.064799999999991</v>
      </c>
      <c r="H206" s="32">
        <f t="shared" si="13"/>
        <v>553.93520000000001</v>
      </c>
      <c r="I206" s="32">
        <f t="shared" si="14"/>
        <v>81.064799999999991</v>
      </c>
      <c r="J206" s="26">
        <f t="shared" si="15"/>
        <v>0.14634347122190464</v>
      </c>
      <c r="K206" s="29" t="s">
        <v>70</v>
      </c>
    </row>
    <row r="207" spans="1:11" x14ac:dyDescent="0.25">
      <c r="A207" s="29" t="s">
        <v>418</v>
      </c>
      <c r="B207" s="29" t="s">
        <v>68</v>
      </c>
      <c r="C207" s="30" t="s">
        <v>429</v>
      </c>
      <c r="D207" s="29" t="s">
        <v>15</v>
      </c>
      <c r="E207" s="31">
        <v>635</v>
      </c>
      <c r="F207" s="31">
        <v>637</v>
      </c>
      <c r="G207" s="32">
        <f t="shared" si="12"/>
        <v>83.064799999999991</v>
      </c>
      <c r="H207" s="32">
        <f t="shared" si="13"/>
        <v>553.93520000000001</v>
      </c>
      <c r="I207" s="32">
        <f t="shared" si="14"/>
        <v>81.064799999999991</v>
      </c>
      <c r="J207" s="26">
        <f t="shared" si="15"/>
        <v>0.14634347122190464</v>
      </c>
      <c r="K207" s="29" t="s">
        <v>70</v>
      </c>
    </row>
    <row r="208" spans="1:11" x14ac:dyDescent="0.25">
      <c r="A208" s="29" t="s">
        <v>418</v>
      </c>
      <c r="B208" s="29" t="s">
        <v>68</v>
      </c>
      <c r="C208" s="30" t="s">
        <v>430</v>
      </c>
      <c r="D208" s="29" t="s">
        <v>15</v>
      </c>
      <c r="E208" s="31">
        <v>635</v>
      </c>
      <c r="F208" s="31">
        <v>637</v>
      </c>
      <c r="G208" s="32">
        <f t="shared" si="12"/>
        <v>83.064799999999991</v>
      </c>
      <c r="H208" s="32">
        <f t="shared" si="13"/>
        <v>553.93520000000001</v>
      </c>
      <c r="I208" s="32">
        <f t="shared" si="14"/>
        <v>81.064799999999991</v>
      </c>
      <c r="J208" s="26">
        <f t="shared" si="15"/>
        <v>0.14634347122190464</v>
      </c>
      <c r="K208" s="29" t="s">
        <v>70</v>
      </c>
    </row>
    <row r="209" spans="1:11" x14ac:dyDescent="0.25">
      <c r="A209" s="29" t="s">
        <v>418</v>
      </c>
      <c r="B209" s="29" t="s">
        <v>68</v>
      </c>
      <c r="C209" s="30" t="s">
        <v>431</v>
      </c>
      <c r="D209" s="29" t="s">
        <v>15</v>
      </c>
      <c r="E209" s="31">
        <v>635</v>
      </c>
      <c r="F209" s="31">
        <v>637</v>
      </c>
      <c r="G209" s="32">
        <f t="shared" si="12"/>
        <v>83.064799999999991</v>
      </c>
      <c r="H209" s="32">
        <f t="shared" si="13"/>
        <v>553.93520000000001</v>
      </c>
      <c r="I209" s="32">
        <f t="shared" si="14"/>
        <v>81.064799999999991</v>
      </c>
      <c r="J209" s="26">
        <f t="shared" si="15"/>
        <v>0.14634347122190464</v>
      </c>
      <c r="K209" s="29" t="s">
        <v>70</v>
      </c>
    </row>
    <row r="210" spans="1:11" x14ac:dyDescent="0.25">
      <c r="A210" s="29" t="s">
        <v>418</v>
      </c>
      <c r="B210" s="29" t="s">
        <v>68</v>
      </c>
      <c r="C210" s="30" t="s">
        <v>432</v>
      </c>
      <c r="D210" s="29" t="s">
        <v>15</v>
      </c>
      <c r="E210" s="31">
        <v>635</v>
      </c>
      <c r="F210" s="31">
        <v>637</v>
      </c>
      <c r="G210" s="32">
        <f t="shared" si="12"/>
        <v>83.064799999999991</v>
      </c>
      <c r="H210" s="32">
        <f t="shared" si="13"/>
        <v>553.93520000000001</v>
      </c>
      <c r="I210" s="32">
        <f t="shared" si="14"/>
        <v>81.064799999999991</v>
      </c>
      <c r="J210" s="26">
        <f t="shared" si="15"/>
        <v>0.14634347122190464</v>
      </c>
      <c r="K210" s="29" t="s">
        <v>70</v>
      </c>
    </row>
    <row r="211" spans="1:11" x14ac:dyDescent="0.25">
      <c r="A211" s="23"/>
      <c r="B211" s="23"/>
      <c r="C211" s="23"/>
      <c r="D211" s="23"/>
      <c r="E211" s="33" t="s">
        <v>741</v>
      </c>
      <c r="F211" s="33" t="s">
        <v>748</v>
      </c>
      <c r="G211" s="34" t="s">
        <v>749</v>
      </c>
      <c r="H211" s="34" t="s">
        <v>750</v>
      </c>
      <c r="I211" s="34" t="s">
        <v>751</v>
      </c>
      <c r="J211" s="33" t="s">
        <v>744</v>
      </c>
      <c r="K211" s="23"/>
    </row>
    <row r="212" spans="1:11" x14ac:dyDescent="0.25">
      <c r="A212" s="23"/>
      <c r="B212" s="23"/>
      <c r="C212" s="23"/>
      <c r="D212" s="23"/>
      <c r="E212" s="27">
        <f t="shared" ref="E212:I212" si="16">SUM(E2:E211)</f>
        <v>131965</v>
      </c>
      <c r="F212" s="27">
        <f t="shared" si="16"/>
        <v>133976.86000000034</v>
      </c>
      <c r="G212" s="43">
        <f t="shared" si="16"/>
        <v>17470.582543999983</v>
      </c>
      <c r="H212" s="43">
        <f t="shared" si="16"/>
        <v>116506.27745599995</v>
      </c>
      <c r="I212" s="27">
        <f t="shared" si="16"/>
        <v>15458.722544000042</v>
      </c>
      <c r="J212" s="28">
        <f>AVERAGE(J2:J211)</f>
        <v>0.13383243942600687</v>
      </c>
      <c r="K212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619F-06D5-448A-AA8E-85DFC3DBDF53}">
  <dimension ref="A1:I25"/>
  <sheetViews>
    <sheetView tabSelected="1" topLeftCell="A7" workbookViewId="0">
      <selection activeCell="H19" sqref="H19"/>
    </sheetView>
  </sheetViews>
  <sheetFormatPr defaultRowHeight="15" x14ac:dyDescent="0.25"/>
  <cols>
    <col min="1" max="1" width="18.28515625" customWidth="1"/>
    <col min="2" max="2" width="27.28515625" customWidth="1"/>
    <col min="3" max="7" width="18.28515625" customWidth="1"/>
    <col min="8" max="8" width="18.28515625" style="8" customWidth="1"/>
    <col min="9" max="9" width="18.28515625" customWidth="1"/>
  </cols>
  <sheetData>
    <row r="1" spans="1:9" x14ac:dyDescent="0.25">
      <c r="A1" s="1" t="s">
        <v>3</v>
      </c>
      <c r="B1" s="1" t="s">
        <v>4</v>
      </c>
      <c r="C1" s="1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9" t="s">
        <v>10</v>
      </c>
      <c r="I1" s="1" t="s">
        <v>11</v>
      </c>
    </row>
    <row r="2" spans="1:9" x14ac:dyDescent="0.25">
      <c r="A2" s="23" t="s">
        <v>343</v>
      </c>
      <c r="B2" s="23" t="s">
        <v>57</v>
      </c>
      <c r="C2" s="24">
        <v>353837412113530</v>
      </c>
      <c r="D2" s="23" t="s">
        <v>15</v>
      </c>
      <c r="E2" s="25">
        <v>4150</v>
      </c>
      <c r="F2" s="25">
        <v>4130</v>
      </c>
      <c r="G2" s="25">
        <v>20</v>
      </c>
      <c r="H2" s="36">
        <v>0.48</v>
      </c>
      <c r="I2" s="23" t="s">
        <v>404</v>
      </c>
    </row>
    <row r="3" spans="1:9" x14ac:dyDescent="0.25">
      <c r="A3" s="23" t="s">
        <v>343</v>
      </c>
      <c r="B3" s="23" t="s">
        <v>405</v>
      </c>
      <c r="C3" s="24">
        <v>352791392760441</v>
      </c>
      <c r="D3" s="23" t="s">
        <v>15</v>
      </c>
      <c r="E3" s="25">
        <v>4460</v>
      </c>
      <c r="F3" s="25">
        <v>4440</v>
      </c>
      <c r="G3" s="25">
        <v>20</v>
      </c>
      <c r="H3" s="36">
        <v>0.45</v>
      </c>
      <c r="I3" s="23" t="s">
        <v>404</v>
      </c>
    </row>
    <row r="4" spans="1:9" x14ac:dyDescent="0.25">
      <c r="A4" s="23" t="s">
        <v>343</v>
      </c>
      <c r="B4" s="23" t="s">
        <v>405</v>
      </c>
      <c r="C4" s="24">
        <v>352791393807431</v>
      </c>
      <c r="D4" s="23" t="s">
        <v>15</v>
      </c>
      <c r="E4" s="25">
        <v>4460</v>
      </c>
      <c r="F4" s="25">
        <v>4440</v>
      </c>
      <c r="G4" s="25">
        <v>20</v>
      </c>
      <c r="H4" s="36">
        <v>0.45</v>
      </c>
      <c r="I4" s="23" t="s">
        <v>404</v>
      </c>
    </row>
    <row r="5" spans="1:9" x14ac:dyDescent="0.25">
      <c r="A5" s="23" t="s">
        <v>343</v>
      </c>
      <c r="B5" s="23" t="s">
        <v>405</v>
      </c>
      <c r="C5" s="24">
        <v>357063608210552</v>
      </c>
      <c r="D5" s="23" t="s">
        <v>15</v>
      </c>
      <c r="E5" s="25">
        <v>4460</v>
      </c>
      <c r="F5" s="25">
        <v>4440</v>
      </c>
      <c r="G5" s="25">
        <v>20</v>
      </c>
      <c r="H5" s="36">
        <v>0.45</v>
      </c>
      <c r="I5" s="23" t="s">
        <v>404</v>
      </c>
    </row>
    <row r="6" spans="1:9" x14ac:dyDescent="0.25">
      <c r="A6" s="23" t="s">
        <v>487</v>
      </c>
      <c r="B6" s="23" t="s">
        <v>488</v>
      </c>
      <c r="C6" s="24" t="s">
        <v>489</v>
      </c>
      <c r="D6" s="23" t="s">
        <v>15</v>
      </c>
      <c r="E6" s="25">
        <v>1625</v>
      </c>
      <c r="F6" s="25">
        <v>1410</v>
      </c>
      <c r="G6" s="25">
        <v>215</v>
      </c>
      <c r="H6" s="36">
        <v>15.25</v>
      </c>
      <c r="I6" s="23" t="s">
        <v>490</v>
      </c>
    </row>
    <row r="7" spans="1:9" x14ac:dyDescent="0.25">
      <c r="A7" s="23" t="s">
        <v>487</v>
      </c>
      <c r="B7" s="23" t="s">
        <v>488</v>
      </c>
      <c r="C7" s="24" t="s">
        <v>491</v>
      </c>
      <c r="D7" s="23" t="s">
        <v>15</v>
      </c>
      <c r="E7" s="25">
        <v>1625</v>
      </c>
      <c r="F7" s="25">
        <v>1410</v>
      </c>
      <c r="G7" s="25">
        <v>215</v>
      </c>
      <c r="H7" s="36">
        <v>15.25</v>
      </c>
      <c r="I7" s="23" t="s">
        <v>490</v>
      </c>
    </row>
    <row r="8" spans="1:9" x14ac:dyDescent="0.25">
      <c r="A8" s="23" t="s">
        <v>487</v>
      </c>
      <c r="B8" s="23" t="s">
        <v>488</v>
      </c>
      <c r="C8" s="24" t="s">
        <v>492</v>
      </c>
      <c r="D8" s="23" t="s">
        <v>15</v>
      </c>
      <c r="E8" s="25">
        <v>1625</v>
      </c>
      <c r="F8" s="25">
        <v>1410</v>
      </c>
      <c r="G8" s="25">
        <v>215</v>
      </c>
      <c r="H8" s="36">
        <v>15.25</v>
      </c>
      <c r="I8" s="23" t="s">
        <v>490</v>
      </c>
    </row>
    <row r="9" spans="1:9" x14ac:dyDescent="0.25">
      <c r="A9" s="23" t="s">
        <v>487</v>
      </c>
      <c r="B9" s="23" t="s">
        <v>488</v>
      </c>
      <c r="C9" s="24" t="s">
        <v>493</v>
      </c>
      <c r="D9" s="23" t="s">
        <v>15</v>
      </c>
      <c r="E9" s="25">
        <v>1625</v>
      </c>
      <c r="F9" s="25">
        <v>1410</v>
      </c>
      <c r="G9" s="25">
        <v>215</v>
      </c>
      <c r="H9" s="36">
        <v>15.25</v>
      </c>
      <c r="I9" s="23" t="s">
        <v>490</v>
      </c>
    </row>
    <row r="10" spans="1:9" x14ac:dyDescent="0.25">
      <c r="A10" s="23" t="s">
        <v>487</v>
      </c>
      <c r="B10" s="23" t="s">
        <v>488</v>
      </c>
      <c r="C10" s="24" t="s">
        <v>494</v>
      </c>
      <c r="D10" s="23" t="s">
        <v>15</v>
      </c>
      <c r="E10" s="25">
        <v>1625</v>
      </c>
      <c r="F10" s="25">
        <v>1410</v>
      </c>
      <c r="G10" s="25">
        <v>215</v>
      </c>
      <c r="H10" s="36">
        <v>15.25</v>
      </c>
      <c r="I10" s="23" t="s">
        <v>490</v>
      </c>
    </row>
    <row r="11" spans="1:9" x14ac:dyDescent="0.25">
      <c r="E11" s="16" t="s">
        <v>741</v>
      </c>
      <c r="F11" s="16" t="s">
        <v>742</v>
      </c>
      <c r="G11" s="16" t="s">
        <v>743</v>
      </c>
      <c r="H11" s="35" t="s">
        <v>744</v>
      </c>
      <c r="I11" s="23"/>
    </row>
    <row r="12" spans="1:9" x14ac:dyDescent="0.25">
      <c r="E12" s="27">
        <f>SUM(E2:E11)</f>
        <v>25655</v>
      </c>
      <c r="F12" s="27">
        <f>SUM(F2:F11)</f>
        <v>24500</v>
      </c>
      <c r="G12" s="27">
        <f>SUM(G2:G11)</f>
        <v>1155</v>
      </c>
      <c r="H12" s="43">
        <f>AVERAGE(H2:H11)</f>
        <v>8.6755555555555546</v>
      </c>
      <c r="I12" s="23"/>
    </row>
    <row r="18" spans="2:3" x14ac:dyDescent="0.25">
      <c r="B18" s="59" t="s">
        <v>757</v>
      </c>
      <c r="C18" s="59">
        <v>17732</v>
      </c>
    </row>
    <row r="19" spans="2:3" x14ac:dyDescent="0.25">
      <c r="B19" s="59" t="s">
        <v>758</v>
      </c>
      <c r="C19" s="59">
        <v>19500</v>
      </c>
    </row>
    <row r="20" spans="2:3" x14ac:dyDescent="0.25">
      <c r="B20" s="59" t="s">
        <v>759</v>
      </c>
      <c r="C20" s="59">
        <v>1220</v>
      </c>
    </row>
    <row r="21" spans="2:3" x14ac:dyDescent="0.25">
      <c r="B21" s="59" t="s">
        <v>769</v>
      </c>
      <c r="C21" s="59">
        <v>150</v>
      </c>
    </row>
    <row r="22" spans="2:3" x14ac:dyDescent="0.25">
      <c r="B22" s="59"/>
      <c r="C22" s="59"/>
    </row>
    <row r="23" spans="2:3" x14ac:dyDescent="0.25">
      <c r="B23" s="27" t="s">
        <v>766</v>
      </c>
      <c r="C23" s="27">
        <f>SUM(C18:C22)</f>
        <v>38602</v>
      </c>
    </row>
    <row r="24" spans="2:3" x14ac:dyDescent="0.25">
      <c r="B24" s="27"/>
      <c r="C24" s="27"/>
    </row>
    <row r="25" spans="2:3" x14ac:dyDescent="0.25">
      <c r="B25" s="27" t="s">
        <v>772</v>
      </c>
      <c r="C25" s="27">
        <f>G12-C23</f>
        <v>-37447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Sale_wise_Profit</vt:lpstr>
      <vt:lpstr>Australia</vt:lpstr>
      <vt:lpstr>Usa</vt:lpstr>
      <vt:lpstr>Karachi</vt:lpstr>
      <vt:lpstr>Newzealand</vt:lpstr>
      <vt:lpstr>Dubai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2026-04-02T11:13:48Z</dcterms:created>
  <dcterms:modified xsi:type="dcterms:W3CDTF">2026-05-09T16:04:41Z</dcterms:modified>
  <cp:category/>
</cp:coreProperties>
</file>