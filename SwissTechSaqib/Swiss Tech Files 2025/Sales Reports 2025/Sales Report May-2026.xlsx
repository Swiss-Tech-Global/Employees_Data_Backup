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Sales Reports 2025\"/>
    </mc:Choice>
  </mc:AlternateContent>
  <xr:revisionPtr revIDLastSave="0" documentId="13_ncr:1_{281D7AB8-2555-4C7C-A280-7406C1CFA19F}" xr6:coauthVersionLast="47" xr6:coauthVersionMax="47" xr10:uidLastSave="{00000000-0000-0000-0000-000000000000}"/>
  <bookViews>
    <workbookView xWindow="-120" yWindow="-120" windowWidth="29040" windowHeight="15720" activeTab="1" xr2:uid="{3DC8782F-D885-414F-8C55-534906B6F2AC}"/>
  </bookViews>
  <sheets>
    <sheet name="Sheet1" sheetId="1" r:id="rId1"/>
    <sheet name="Australia" sheetId="3" r:id="rId2"/>
    <sheet name="NewZealand" sheetId="4" r:id="rId3"/>
    <sheet name="USA" sheetId="2" r:id="rId4"/>
    <sheet name="Dxb &amp; Khi" sheetId="5" r:id="rId5"/>
  </sheets>
  <definedNames>
    <definedName name="_xlnm._FilterDatabase" localSheetId="4" hidden="1">'Dxb &amp; Khi'!$A$1:$J$147</definedName>
    <definedName name="_xlnm._FilterDatabase" localSheetId="0" hidden="1">Sheet1!$A$6:$I$1178</definedName>
    <definedName name="_xlnm._FilterDatabase" localSheetId="3" hidden="1">USA!$A$1:$J$504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9" i="5" l="1"/>
  <c r="C418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418" i="3"/>
  <c r="F418" i="3"/>
  <c r="C157" i="5"/>
  <c r="H147" i="5" l="1"/>
  <c r="E147" i="5"/>
  <c r="F147" i="5"/>
  <c r="G147" i="5"/>
  <c r="C159" i="5" s="1"/>
  <c r="C137" i="4"/>
  <c r="C516" i="2" l="1"/>
  <c r="C404" i="3"/>
  <c r="H249" i="2" l="1"/>
  <c r="E125" i="4"/>
  <c r="F125" i="4"/>
  <c r="E388" i="3"/>
  <c r="F388" i="3"/>
  <c r="E504" i="2" l="1"/>
  <c r="F50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2" i="2"/>
  <c r="G2" i="2"/>
  <c r="J24" i="4"/>
  <c r="J32" i="4"/>
  <c r="J48" i="4"/>
  <c r="J56" i="4"/>
  <c r="J72" i="4"/>
  <c r="J80" i="4"/>
  <c r="J96" i="4"/>
  <c r="J104" i="4"/>
  <c r="H4" i="4"/>
  <c r="H5" i="4"/>
  <c r="J5" i="4" s="1"/>
  <c r="H6" i="4"/>
  <c r="J6" i="4" s="1"/>
  <c r="H13" i="4"/>
  <c r="J13" i="4" s="1"/>
  <c r="H14" i="4"/>
  <c r="J14" i="4" s="1"/>
  <c r="H18" i="4"/>
  <c r="H20" i="4"/>
  <c r="H21" i="4"/>
  <c r="J21" i="4" s="1"/>
  <c r="H22" i="4"/>
  <c r="J22" i="4" s="1"/>
  <c r="H28" i="4"/>
  <c r="H29" i="4"/>
  <c r="J29" i="4" s="1"/>
  <c r="H30" i="4"/>
  <c r="J30" i="4" s="1"/>
  <c r="H36" i="4"/>
  <c r="H37" i="4"/>
  <c r="J37" i="4" s="1"/>
  <c r="H38" i="4"/>
  <c r="J38" i="4" s="1"/>
  <c r="H45" i="4"/>
  <c r="J45" i="4" s="1"/>
  <c r="H46" i="4"/>
  <c r="J46" i="4" s="1"/>
  <c r="H50" i="4"/>
  <c r="H52" i="4"/>
  <c r="H53" i="4"/>
  <c r="J53" i="4" s="1"/>
  <c r="H54" i="4"/>
  <c r="J54" i="4" s="1"/>
  <c r="H60" i="4"/>
  <c r="H61" i="4"/>
  <c r="J61" i="4" s="1"/>
  <c r="H62" i="4"/>
  <c r="J62" i="4" s="1"/>
  <c r="H68" i="4"/>
  <c r="H69" i="4"/>
  <c r="J69" i="4" s="1"/>
  <c r="H70" i="4"/>
  <c r="J70" i="4" s="1"/>
  <c r="H77" i="4"/>
  <c r="J77" i="4" s="1"/>
  <c r="H78" i="4"/>
  <c r="J78" i="4" s="1"/>
  <c r="H82" i="4"/>
  <c r="H84" i="4"/>
  <c r="H85" i="4"/>
  <c r="J85" i="4" s="1"/>
  <c r="H86" i="4"/>
  <c r="J86" i="4" s="1"/>
  <c r="H92" i="4"/>
  <c r="J92" i="4" s="1"/>
  <c r="H93" i="4"/>
  <c r="J93" i="4" s="1"/>
  <c r="H94" i="4"/>
  <c r="J94" i="4" s="1"/>
  <c r="H100" i="4"/>
  <c r="H101" i="4"/>
  <c r="J101" i="4" s="1"/>
  <c r="H102" i="4"/>
  <c r="J102" i="4" s="1"/>
  <c r="H109" i="4"/>
  <c r="J109" i="4" s="1"/>
  <c r="H110" i="4"/>
  <c r="J110" i="4" s="1"/>
  <c r="H114" i="4"/>
  <c r="H116" i="4"/>
  <c r="J116" i="4" s="1"/>
  <c r="H117" i="4"/>
  <c r="J117" i="4" s="1"/>
  <c r="H118" i="4"/>
  <c r="J118" i="4" s="1"/>
  <c r="H2" i="4"/>
  <c r="I2" i="4" s="1"/>
  <c r="G3" i="4"/>
  <c r="H3" i="4" s="1"/>
  <c r="G4" i="4"/>
  <c r="G5" i="4"/>
  <c r="G6" i="4"/>
  <c r="G7" i="4"/>
  <c r="H7" i="4" s="1"/>
  <c r="G8" i="4"/>
  <c r="H8" i="4" s="1"/>
  <c r="J8" i="4" s="1"/>
  <c r="G9" i="4"/>
  <c r="H9" i="4" s="1"/>
  <c r="G10" i="4"/>
  <c r="H10" i="4" s="1"/>
  <c r="G11" i="4"/>
  <c r="H11" i="4" s="1"/>
  <c r="G12" i="4"/>
  <c r="H12" i="4" s="1"/>
  <c r="G13" i="4"/>
  <c r="G14" i="4"/>
  <c r="G15" i="4"/>
  <c r="H15" i="4" s="1"/>
  <c r="G16" i="4"/>
  <c r="H16" i="4" s="1"/>
  <c r="J16" i="4" s="1"/>
  <c r="G17" i="4"/>
  <c r="H17" i="4" s="1"/>
  <c r="G18" i="4"/>
  <c r="G19" i="4"/>
  <c r="H19" i="4" s="1"/>
  <c r="G20" i="4"/>
  <c r="G21" i="4"/>
  <c r="G22" i="4"/>
  <c r="G23" i="4"/>
  <c r="H23" i="4" s="1"/>
  <c r="G24" i="4"/>
  <c r="H24" i="4" s="1"/>
  <c r="G25" i="4"/>
  <c r="H25" i="4" s="1"/>
  <c r="G26" i="4"/>
  <c r="H26" i="4" s="1"/>
  <c r="G27" i="4"/>
  <c r="H27" i="4" s="1"/>
  <c r="G28" i="4"/>
  <c r="G29" i="4"/>
  <c r="G30" i="4"/>
  <c r="G31" i="4"/>
  <c r="H31" i="4" s="1"/>
  <c r="G32" i="4"/>
  <c r="H32" i="4" s="1"/>
  <c r="G33" i="4"/>
  <c r="H33" i="4" s="1"/>
  <c r="G34" i="4"/>
  <c r="H34" i="4" s="1"/>
  <c r="G35" i="4"/>
  <c r="H35" i="4" s="1"/>
  <c r="G36" i="4"/>
  <c r="G37" i="4"/>
  <c r="G38" i="4"/>
  <c r="G39" i="4"/>
  <c r="H39" i="4" s="1"/>
  <c r="G40" i="4"/>
  <c r="H40" i="4" s="1"/>
  <c r="J40" i="4" s="1"/>
  <c r="G41" i="4"/>
  <c r="H41" i="4" s="1"/>
  <c r="G42" i="4"/>
  <c r="H42" i="4" s="1"/>
  <c r="G43" i="4"/>
  <c r="H43" i="4" s="1"/>
  <c r="G44" i="4"/>
  <c r="H44" i="4" s="1"/>
  <c r="G45" i="4"/>
  <c r="G46" i="4"/>
  <c r="G47" i="4"/>
  <c r="H47" i="4" s="1"/>
  <c r="G48" i="4"/>
  <c r="H48" i="4" s="1"/>
  <c r="G49" i="4"/>
  <c r="H49" i="4" s="1"/>
  <c r="G50" i="4"/>
  <c r="G51" i="4"/>
  <c r="H51" i="4" s="1"/>
  <c r="G52" i="4"/>
  <c r="G53" i="4"/>
  <c r="G54" i="4"/>
  <c r="G55" i="4"/>
  <c r="H55" i="4" s="1"/>
  <c r="G56" i="4"/>
  <c r="H56" i="4" s="1"/>
  <c r="G57" i="4"/>
  <c r="H57" i="4" s="1"/>
  <c r="G58" i="4"/>
  <c r="H58" i="4" s="1"/>
  <c r="G59" i="4"/>
  <c r="H59" i="4" s="1"/>
  <c r="G60" i="4"/>
  <c r="G61" i="4"/>
  <c r="G62" i="4"/>
  <c r="G63" i="4"/>
  <c r="H63" i="4" s="1"/>
  <c r="G64" i="4"/>
  <c r="H64" i="4" s="1"/>
  <c r="J64" i="4" s="1"/>
  <c r="G65" i="4"/>
  <c r="H65" i="4" s="1"/>
  <c r="G66" i="4"/>
  <c r="H66" i="4" s="1"/>
  <c r="G67" i="4"/>
  <c r="H67" i="4" s="1"/>
  <c r="G68" i="4"/>
  <c r="G69" i="4"/>
  <c r="G70" i="4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G78" i="4"/>
  <c r="G79" i="4"/>
  <c r="H79" i="4" s="1"/>
  <c r="G80" i="4"/>
  <c r="H80" i="4" s="1"/>
  <c r="G81" i="4"/>
  <c r="H81" i="4" s="1"/>
  <c r="G82" i="4"/>
  <c r="G83" i="4"/>
  <c r="H83" i="4" s="1"/>
  <c r="G84" i="4"/>
  <c r="G85" i="4"/>
  <c r="G86" i="4"/>
  <c r="G87" i="4"/>
  <c r="H87" i="4" s="1"/>
  <c r="G88" i="4"/>
  <c r="H88" i="4" s="1"/>
  <c r="J88" i="4" s="1"/>
  <c r="G89" i="4"/>
  <c r="H89" i="4" s="1"/>
  <c r="G90" i="4"/>
  <c r="H90" i="4" s="1"/>
  <c r="G91" i="4"/>
  <c r="H91" i="4" s="1"/>
  <c r="G92" i="4"/>
  <c r="G93" i="4"/>
  <c r="G94" i="4"/>
  <c r="G95" i="4"/>
  <c r="H95" i="4" s="1"/>
  <c r="G96" i="4"/>
  <c r="H96" i="4" s="1"/>
  <c r="G97" i="4"/>
  <c r="H97" i="4" s="1"/>
  <c r="G98" i="4"/>
  <c r="H98" i="4" s="1"/>
  <c r="G99" i="4"/>
  <c r="H99" i="4" s="1"/>
  <c r="G100" i="4"/>
  <c r="G101" i="4"/>
  <c r="G102" i="4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G110" i="4"/>
  <c r="G111" i="4"/>
  <c r="H111" i="4" s="1"/>
  <c r="G112" i="4"/>
  <c r="H112" i="4" s="1"/>
  <c r="G113" i="4"/>
  <c r="H113" i="4" s="1"/>
  <c r="G114" i="4"/>
  <c r="G115" i="4"/>
  <c r="H115" i="4" s="1"/>
  <c r="G116" i="4"/>
  <c r="G117" i="4"/>
  <c r="G118" i="4"/>
  <c r="G119" i="4"/>
  <c r="H119" i="4" s="1"/>
  <c r="G120" i="4"/>
  <c r="H120" i="4" s="1"/>
  <c r="J120" i="4" s="1"/>
  <c r="G121" i="4"/>
  <c r="H121" i="4" s="1"/>
  <c r="G122" i="4"/>
  <c r="H122" i="4" s="1"/>
  <c r="G123" i="4"/>
  <c r="H123" i="4" s="1"/>
  <c r="G2" i="4"/>
  <c r="J108" i="4" l="1"/>
  <c r="J76" i="4"/>
  <c r="J12" i="4"/>
  <c r="J115" i="4"/>
  <c r="J99" i="4"/>
  <c r="J75" i="4"/>
  <c r="J67" i="4"/>
  <c r="J59" i="4"/>
  <c r="J43" i="4"/>
  <c r="J27" i="4"/>
  <c r="J11" i="4"/>
  <c r="J122" i="4"/>
  <c r="J106" i="4"/>
  <c r="J98" i="4"/>
  <c r="J90" i="4"/>
  <c r="J74" i="4"/>
  <c r="J66" i="4"/>
  <c r="J58" i="4"/>
  <c r="J42" i="4"/>
  <c r="J34" i="4"/>
  <c r="J26" i="4"/>
  <c r="J10" i="4"/>
  <c r="J91" i="4"/>
  <c r="J19" i="4"/>
  <c r="J44" i="4"/>
  <c r="J123" i="4"/>
  <c r="J107" i="4"/>
  <c r="J83" i="4"/>
  <c r="J51" i="4"/>
  <c r="J35" i="4"/>
  <c r="J3" i="4"/>
  <c r="I125" i="4"/>
  <c r="C139" i="4" s="1"/>
  <c r="J47" i="4"/>
  <c r="J31" i="4"/>
  <c r="J23" i="4"/>
  <c r="J15" i="4"/>
  <c r="J7" i="4"/>
  <c r="J68" i="4"/>
  <c r="J18" i="4"/>
  <c r="J4" i="4"/>
  <c r="J87" i="4"/>
  <c r="J52" i="4"/>
  <c r="J103" i="4"/>
  <c r="G125" i="4"/>
  <c r="J79" i="4"/>
  <c r="J113" i="4"/>
  <c r="J97" i="4"/>
  <c r="J49" i="4"/>
  <c r="J112" i="4"/>
  <c r="J100" i="4"/>
  <c r="J50" i="4"/>
  <c r="J36" i="4"/>
  <c r="J119" i="4"/>
  <c r="H125" i="4"/>
  <c r="J2" i="4"/>
  <c r="J60" i="4"/>
  <c r="J114" i="4"/>
  <c r="J95" i="4"/>
  <c r="J71" i="4"/>
  <c r="J121" i="4"/>
  <c r="J105" i="4"/>
  <c r="J89" i="4"/>
  <c r="J81" i="4"/>
  <c r="J73" i="4"/>
  <c r="J65" i="4"/>
  <c r="J57" i="4"/>
  <c r="J41" i="4"/>
  <c r="J33" i="4"/>
  <c r="J25" i="4"/>
  <c r="J17" i="4"/>
  <c r="J9" i="4"/>
  <c r="J84" i="4"/>
  <c r="J20" i="4"/>
  <c r="J111" i="4"/>
  <c r="J63" i="4"/>
  <c r="J39" i="4"/>
  <c r="J28" i="4"/>
  <c r="J82" i="4"/>
  <c r="J55" i="4"/>
  <c r="G504" i="2"/>
  <c r="C518" i="2" s="1"/>
  <c r="H504" i="2"/>
  <c r="H130" i="3"/>
  <c r="I130" i="3" s="1"/>
  <c r="H194" i="3"/>
  <c r="I194" i="3" s="1"/>
  <c r="G3" i="3"/>
  <c r="H3" i="3" s="1"/>
  <c r="I3" i="3" s="1"/>
  <c r="G4" i="3"/>
  <c r="H4" i="3" s="1"/>
  <c r="G5" i="3"/>
  <c r="H5" i="3" s="1"/>
  <c r="I5" i="3" s="1"/>
  <c r="G6" i="3"/>
  <c r="H6" i="3" s="1"/>
  <c r="I6" i="3" s="1"/>
  <c r="G7" i="3"/>
  <c r="H7" i="3" s="1"/>
  <c r="I7" i="3" s="1"/>
  <c r="G8" i="3"/>
  <c r="H8" i="3" s="1"/>
  <c r="I8" i="3" s="1"/>
  <c r="G9" i="3"/>
  <c r="H9" i="3" s="1"/>
  <c r="I9" i="3" s="1"/>
  <c r="G10" i="3"/>
  <c r="H10" i="3" s="1"/>
  <c r="I10" i="3" s="1"/>
  <c r="G11" i="3"/>
  <c r="H11" i="3" s="1"/>
  <c r="I11" i="3" s="1"/>
  <c r="G12" i="3"/>
  <c r="H12" i="3" s="1"/>
  <c r="I12" i="3" s="1"/>
  <c r="G13" i="3"/>
  <c r="H13" i="3" s="1"/>
  <c r="I13" i="3" s="1"/>
  <c r="G14" i="3"/>
  <c r="H14" i="3" s="1"/>
  <c r="I14" i="3" s="1"/>
  <c r="G15" i="3"/>
  <c r="H15" i="3" s="1"/>
  <c r="I15" i="3" s="1"/>
  <c r="G16" i="3"/>
  <c r="H16" i="3" s="1"/>
  <c r="I16" i="3" s="1"/>
  <c r="G17" i="3"/>
  <c r="H17" i="3" s="1"/>
  <c r="I17" i="3" s="1"/>
  <c r="G18" i="3"/>
  <c r="H18" i="3" s="1"/>
  <c r="I18" i="3" s="1"/>
  <c r="G19" i="3"/>
  <c r="H19" i="3" s="1"/>
  <c r="I19" i="3" s="1"/>
  <c r="G20" i="3"/>
  <c r="H20" i="3" s="1"/>
  <c r="I20" i="3" s="1"/>
  <c r="G21" i="3"/>
  <c r="H21" i="3" s="1"/>
  <c r="I21" i="3" s="1"/>
  <c r="G22" i="3"/>
  <c r="H22" i="3" s="1"/>
  <c r="I22" i="3" s="1"/>
  <c r="G23" i="3"/>
  <c r="H23" i="3" s="1"/>
  <c r="I23" i="3" s="1"/>
  <c r="G24" i="3"/>
  <c r="H24" i="3" s="1"/>
  <c r="I24" i="3" s="1"/>
  <c r="G25" i="3"/>
  <c r="H25" i="3" s="1"/>
  <c r="I25" i="3" s="1"/>
  <c r="G26" i="3"/>
  <c r="H26" i="3" s="1"/>
  <c r="I26" i="3" s="1"/>
  <c r="G27" i="3"/>
  <c r="H27" i="3" s="1"/>
  <c r="I27" i="3" s="1"/>
  <c r="G28" i="3"/>
  <c r="H28" i="3" s="1"/>
  <c r="G29" i="3"/>
  <c r="H29" i="3" s="1"/>
  <c r="I29" i="3" s="1"/>
  <c r="G30" i="3"/>
  <c r="H30" i="3" s="1"/>
  <c r="I30" i="3" s="1"/>
  <c r="G31" i="3"/>
  <c r="H31" i="3" s="1"/>
  <c r="I31" i="3" s="1"/>
  <c r="G32" i="3"/>
  <c r="H32" i="3" s="1"/>
  <c r="I32" i="3" s="1"/>
  <c r="G33" i="3"/>
  <c r="H33" i="3" s="1"/>
  <c r="I33" i="3" s="1"/>
  <c r="G34" i="3"/>
  <c r="H34" i="3" s="1"/>
  <c r="G35" i="3"/>
  <c r="H35" i="3" s="1"/>
  <c r="I35" i="3" s="1"/>
  <c r="G36" i="3"/>
  <c r="H36" i="3" s="1"/>
  <c r="I36" i="3" s="1"/>
  <c r="G37" i="3"/>
  <c r="H37" i="3" s="1"/>
  <c r="I37" i="3" s="1"/>
  <c r="G38" i="3"/>
  <c r="H38" i="3" s="1"/>
  <c r="I38" i="3" s="1"/>
  <c r="G39" i="3"/>
  <c r="H39" i="3" s="1"/>
  <c r="I39" i="3" s="1"/>
  <c r="G40" i="3"/>
  <c r="H40" i="3" s="1"/>
  <c r="I40" i="3" s="1"/>
  <c r="G41" i="3"/>
  <c r="H41" i="3" s="1"/>
  <c r="I41" i="3" s="1"/>
  <c r="G42" i="3"/>
  <c r="H42" i="3" s="1"/>
  <c r="I42" i="3" s="1"/>
  <c r="G43" i="3"/>
  <c r="H43" i="3" s="1"/>
  <c r="I43" i="3" s="1"/>
  <c r="G44" i="3"/>
  <c r="H44" i="3" s="1"/>
  <c r="I44" i="3" s="1"/>
  <c r="G45" i="3"/>
  <c r="H45" i="3" s="1"/>
  <c r="I45" i="3" s="1"/>
  <c r="G46" i="3"/>
  <c r="H46" i="3" s="1"/>
  <c r="I46" i="3" s="1"/>
  <c r="G47" i="3"/>
  <c r="H47" i="3" s="1"/>
  <c r="I47" i="3" s="1"/>
  <c r="G48" i="3"/>
  <c r="H48" i="3" s="1"/>
  <c r="G49" i="3"/>
  <c r="H49" i="3" s="1"/>
  <c r="I49" i="3" s="1"/>
  <c r="G50" i="3"/>
  <c r="H50" i="3" s="1"/>
  <c r="I50" i="3" s="1"/>
  <c r="G51" i="3"/>
  <c r="H51" i="3" s="1"/>
  <c r="I51" i="3" s="1"/>
  <c r="G52" i="3"/>
  <c r="H52" i="3" s="1"/>
  <c r="I52" i="3" s="1"/>
  <c r="G53" i="3"/>
  <c r="H53" i="3" s="1"/>
  <c r="I53" i="3" s="1"/>
  <c r="G54" i="3"/>
  <c r="H54" i="3" s="1"/>
  <c r="G55" i="3"/>
  <c r="H55" i="3" s="1"/>
  <c r="I55" i="3" s="1"/>
  <c r="G56" i="3"/>
  <c r="H56" i="3" s="1"/>
  <c r="G57" i="3"/>
  <c r="H57" i="3" s="1"/>
  <c r="I57" i="3" s="1"/>
  <c r="G58" i="3"/>
  <c r="H58" i="3" s="1"/>
  <c r="I58" i="3" s="1"/>
  <c r="G59" i="3"/>
  <c r="H59" i="3" s="1"/>
  <c r="I59" i="3" s="1"/>
  <c r="G60" i="3"/>
  <c r="H60" i="3" s="1"/>
  <c r="I60" i="3" s="1"/>
  <c r="G61" i="3"/>
  <c r="H61" i="3" s="1"/>
  <c r="I61" i="3" s="1"/>
  <c r="G62" i="3"/>
  <c r="H62" i="3" s="1"/>
  <c r="I62" i="3" s="1"/>
  <c r="G63" i="3"/>
  <c r="H63" i="3" s="1"/>
  <c r="I63" i="3" s="1"/>
  <c r="G64" i="3"/>
  <c r="H64" i="3" s="1"/>
  <c r="G65" i="3"/>
  <c r="H65" i="3" s="1"/>
  <c r="I65" i="3" s="1"/>
  <c r="G66" i="3"/>
  <c r="H66" i="3" s="1"/>
  <c r="I66" i="3" s="1"/>
  <c r="G67" i="3"/>
  <c r="H67" i="3" s="1"/>
  <c r="I67" i="3" s="1"/>
  <c r="G68" i="3"/>
  <c r="H68" i="3" s="1"/>
  <c r="G69" i="3"/>
  <c r="H69" i="3" s="1"/>
  <c r="I69" i="3" s="1"/>
  <c r="G70" i="3"/>
  <c r="H70" i="3" s="1"/>
  <c r="I70" i="3" s="1"/>
  <c r="G71" i="3"/>
  <c r="H71" i="3" s="1"/>
  <c r="I71" i="3" s="1"/>
  <c r="G72" i="3"/>
  <c r="H72" i="3" s="1"/>
  <c r="I72" i="3" s="1"/>
  <c r="G73" i="3"/>
  <c r="H73" i="3" s="1"/>
  <c r="I73" i="3" s="1"/>
  <c r="G74" i="3"/>
  <c r="H74" i="3" s="1"/>
  <c r="G75" i="3"/>
  <c r="H75" i="3" s="1"/>
  <c r="I75" i="3" s="1"/>
  <c r="G76" i="3"/>
  <c r="H76" i="3" s="1"/>
  <c r="I76" i="3" s="1"/>
  <c r="G77" i="3"/>
  <c r="H77" i="3" s="1"/>
  <c r="I77" i="3" s="1"/>
  <c r="G78" i="3"/>
  <c r="H78" i="3" s="1"/>
  <c r="I78" i="3" s="1"/>
  <c r="G79" i="3"/>
  <c r="H79" i="3" s="1"/>
  <c r="I79" i="3" s="1"/>
  <c r="G80" i="3"/>
  <c r="H80" i="3" s="1"/>
  <c r="G81" i="3"/>
  <c r="H81" i="3" s="1"/>
  <c r="I81" i="3" s="1"/>
  <c r="G82" i="3"/>
  <c r="H82" i="3" s="1"/>
  <c r="I82" i="3" s="1"/>
  <c r="G83" i="3"/>
  <c r="H83" i="3" s="1"/>
  <c r="I83" i="3" s="1"/>
  <c r="G84" i="3"/>
  <c r="H84" i="3" s="1"/>
  <c r="I84" i="3" s="1"/>
  <c r="G85" i="3"/>
  <c r="H85" i="3" s="1"/>
  <c r="I85" i="3" s="1"/>
  <c r="G86" i="3"/>
  <c r="H86" i="3" s="1"/>
  <c r="I86" i="3" s="1"/>
  <c r="G87" i="3"/>
  <c r="H87" i="3" s="1"/>
  <c r="G88" i="3"/>
  <c r="H88" i="3" s="1"/>
  <c r="G89" i="3"/>
  <c r="H89" i="3" s="1"/>
  <c r="G90" i="3"/>
  <c r="H90" i="3" s="1"/>
  <c r="I90" i="3" s="1"/>
  <c r="G91" i="3"/>
  <c r="H91" i="3" s="1"/>
  <c r="I91" i="3" s="1"/>
  <c r="G92" i="3"/>
  <c r="H92" i="3" s="1"/>
  <c r="I92" i="3" s="1"/>
  <c r="G93" i="3"/>
  <c r="H93" i="3" s="1"/>
  <c r="I93" i="3" s="1"/>
  <c r="G94" i="3"/>
  <c r="H94" i="3" s="1"/>
  <c r="I94" i="3" s="1"/>
  <c r="G95" i="3"/>
  <c r="H95" i="3" s="1"/>
  <c r="I95" i="3" s="1"/>
  <c r="G96" i="3"/>
  <c r="H96" i="3" s="1"/>
  <c r="G97" i="3"/>
  <c r="H97" i="3" s="1"/>
  <c r="I97" i="3" s="1"/>
  <c r="G98" i="3"/>
  <c r="H98" i="3" s="1"/>
  <c r="I98" i="3" s="1"/>
  <c r="G99" i="3"/>
  <c r="H99" i="3" s="1"/>
  <c r="I99" i="3" s="1"/>
  <c r="G100" i="3"/>
  <c r="H100" i="3" s="1"/>
  <c r="I100" i="3" s="1"/>
  <c r="G101" i="3"/>
  <c r="H101" i="3" s="1"/>
  <c r="I101" i="3" s="1"/>
  <c r="G102" i="3"/>
  <c r="H102" i="3" s="1"/>
  <c r="G103" i="3"/>
  <c r="H103" i="3" s="1"/>
  <c r="I103" i="3" s="1"/>
  <c r="G104" i="3"/>
  <c r="H104" i="3" s="1"/>
  <c r="I104" i="3" s="1"/>
  <c r="G105" i="3"/>
  <c r="H105" i="3" s="1"/>
  <c r="I105" i="3" s="1"/>
  <c r="G106" i="3"/>
  <c r="H106" i="3" s="1"/>
  <c r="I106" i="3" s="1"/>
  <c r="G107" i="3"/>
  <c r="H107" i="3" s="1"/>
  <c r="I107" i="3" s="1"/>
  <c r="G108" i="3"/>
  <c r="H108" i="3" s="1"/>
  <c r="G109" i="3"/>
  <c r="H109" i="3" s="1"/>
  <c r="I109" i="3" s="1"/>
  <c r="G110" i="3"/>
  <c r="H110" i="3" s="1"/>
  <c r="I110" i="3" s="1"/>
  <c r="G111" i="3"/>
  <c r="H111" i="3" s="1"/>
  <c r="I111" i="3" s="1"/>
  <c r="G112" i="3"/>
  <c r="H112" i="3" s="1"/>
  <c r="G113" i="3"/>
  <c r="H113" i="3" s="1"/>
  <c r="I113" i="3" s="1"/>
  <c r="G114" i="3"/>
  <c r="H114" i="3" s="1"/>
  <c r="I114" i="3" s="1"/>
  <c r="G115" i="3"/>
  <c r="H115" i="3" s="1"/>
  <c r="I115" i="3" s="1"/>
  <c r="G116" i="3"/>
  <c r="H116" i="3" s="1"/>
  <c r="I116" i="3" s="1"/>
  <c r="G117" i="3"/>
  <c r="H117" i="3" s="1"/>
  <c r="I117" i="3" s="1"/>
  <c r="G118" i="3"/>
  <c r="H118" i="3" s="1"/>
  <c r="I118" i="3" s="1"/>
  <c r="G119" i="3"/>
  <c r="H119" i="3" s="1"/>
  <c r="I119" i="3" s="1"/>
  <c r="G120" i="3"/>
  <c r="H120" i="3" s="1"/>
  <c r="G121" i="3"/>
  <c r="H121" i="3" s="1"/>
  <c r="I121" i="3" s="1"/>
  <c r="G122" i="3"/>
  <c r="H122" i="3" s="1"/>
  <c r="G123" i="3"/>
  <c r="H123" i="3" s="1"/>
  <c r="I123" i="3" s="1"/>
  <c r="G124" i="3"/>
  <c r="H124" i="3" s="1"/>
  <c r="I124" i="3" s="1"/>
  <c r="G125" i="3"/>
  <c r="H125" i="3" s="1"/>
  <c r="I125" i="3" s="1"/>
  <c r="G126" i="3"/>
  <c r="H126" i="3" s="1"/>
  <c r="I126" i="3" s="1"/>
  <c r="G127" i="3"/>
  <c r="H127" i="3" s="1"/>
  <c r="I127" i="3" s="1"/>
  <c r="G128" i="3"/>
  <c r="H128" i="3" s="1"/>
  <c r="I128" i="3" s="1"/>
  <c r="G129" i="3"/>
  <c r="H129" i="3" s="1"/>
  <c r="I129" i="3" s="1"/>
  <c r="G130" i="3"/>
  <c r="G131" i="3"/>
  <c r="H131" i="3" s="1"/>
  <c r="I131" i="3" s="1"/>
  <c r="G132" i="3"/>
  <c r="H132" i="3" s="1"/>
  <c r="I132" i="3" s="1"/>
  <c r="G133" i="3"/>
  <c r="H133" i="3" s="1"/>
  <c r="I133" i="3" s="1"/>
  <c r="G134" i="3"/>
  <c r="H134" i="3" s="1"/>
  <c r="I134" i="3" s="1"/>
  <c r="G135" i="3"/>
  <c r="H135" i="3" s="1"/>
  <c r="I135" i="3" s="1"/>
  <c r="G136" i="3"/>
  <c r="H136" i="3" s="1"/>
  <c r="I136" i="3" s="1"/>
  <c r="G137" i="3"/>
  <c r="H137" i="3" s="1"/>
  <c r="I137" i="3" s="1"/>
  <c r="G138" i="3"/>
  <c r="H138" i="3" s="1"/>
  <c r="G139" i="3"/>
  <c r="H139" i="3" s="1"/>
  <c r="I139" i="3" s="1"/>
  <c r="G140" i="3"/>
  <c r="H140" i="3" s="1"/>
  <c r="I140" i="3" s="1"/>
  <c r="G141" i="3"/>
  <c r="H141" i="3" s="1"/>
  <c r="I141" i="3" s="1"/>
  <c r="G142" i="3"/>
  <c r="H142" i="3" s="1"/>
  <c r="G143" i="3"/>
  <c r="H143" i="3" s="1"/>
  <c r="I143" i="3" s="1"/>
  <c r="G144" i="3"/>
  <c r="H144" i="3" s="1"/>
  <c r="I144" i="3" s="1"/>
  <c r="G145" i="3"/>
  <c r="H145" i="3" s="1"/>
  <c r="I145" i="3" s="1"/>
  <c r="G146" i="3"/>
  <c r="H146" i="3" s="1"/>
  <c r="I146" i="3" s="1"/>
  <c r="G147" i="3"/>
  <c r="H147" i="3" s="1"/>
  <c r="I147" i="3" s="1"/>
  <c r="G148" i="3"/>
  <c r="H148" i="3" s="1"/>
  <c r="I148" i="3" s="1"/>
  <c r="G149" i="3"/>
  <c r="H149" i="3" s="1"/>
  <c r="I149" i="3" s="1"/>
  <c r="G150" i="3"/>
  <c r="H150" i="3" s="1"/>
  <c r="I150" i="3" s="1"/>
  <c r="G151" i="3"/>
  <c r="H151" i="3" s="1"/>
  <c r="I151" i="3" s="1"/>
  <c r="G152" i="3"/>
  <c r="H152" i="3" s="1"/>
  <c r="I152" i="3" s="1"/>
  <c r="G153" i="3"/>
  <c r="H153" i="3" s="1"/>
  <c r="G154" i="3"/>
  <c r="H154" i="3" s="1"/>
  <c r="I154" i="3" s="1"/>
  <c r="G155" i="3"/>
  <c r="H155" i="3" s="1"/>
  <c r="I155" i="3" s="1"/>
  <c r="G156" i="3"/>
  <c r="H156" i="3" s="1"/>
  <c r="I156" i="3" s="1"/>
  <c r="G157" i="3"/>
  <c r="H157" i="3" s="1"/>
  <c r="I157" i="3" s="1"/>
  <c r="G158" i="3"/>
  <c r="H158" i="3" s="1"/>
  <c r="I158" i="3" s="1"/>
  <c r="G159" i="3"/>
  <c r="H159" i="3" s="1"/>
  <c r="I159" i="3" s="1"/>
  <c r="G160" i="3"/>
  <c r="H160" i="3" s="1"/>
  <c r="G161" i="3"/>
  <c r="H161" i="3" s="1"/>
  <c r="I161" i="3" s="1"/>
  <c r="G162" i="3"/>
  <c r="H162" i="3" s="1"/>
  <c r="I162" i="3" s="1"/>
  <c r="G163" i="3"/>
  <c r="H163" i="3" s="1"/>
  <c r="I163" i="3" s="1"/>
  <c r="G164" i="3"/>
  <c r="H164" i="3" s="1"/>
  <c r="I164" i="3" s="1"/>
  <c r="G165" i="3"/>
  <c r="H165" i="3" s="1"/>
  <c r="I165" i="3" s="1"/>
  <c r="G166" i="3"/>
  <c r="H166" i="3" s="1"/>
  <c r="I166" i="3" s="1"/>
  <c r="G167" i="3"/>
  <c r="H167" i="3" s="1"/>
  <c r="I167" i="3" s="1"/>
  <c r="G168" i="3"/>
  <c r="H168" i="3" s="1"/>
  <c r="I168" i="3" s="1"/>
  <c r="G169" i="3"/>
  <c r="H169" i="3" s="1"/>
  <c r="I169" i="3" s="1"/>
  <c r="G170" i="3"/>
  <c r="H170" i="3" s="1"/>
  <c r="I170" i="3" s="1"/>
  <c r="G171" i="3"/>
  <c r="H171" i="3" s="1"/>
  <c r="I171" i="3" s="1"/>
  <c r="G172" i="3"/>
  <c r="H172" i="3" s="1"/>
  <c r="G173" i="3"/>
  <c r="H173" i="3" s="1"/>
  <c r="I173" i="3" s="1"/>
  <c r="G174" i="3"/>
  <c r="H174" i="3" s="1"/>
  <c r="I174" i="3" s="1"/>
  <c r="G175" i="3"/>
  <c r="H175" i="3" s="1"/>
  <c r="I175" i="3" s="1"/>
  <c r="G176" i="3"/>
  <c r="H176" i="3" s="1"/>
  <c r="I176" i="3" s="1"/>
  <c r="G177" i="3"/>
  <c r="H177" i="3" s="1"/>
  <c r="I177" i="3" s="1"/>
  <c r="G178" i="3"/>
  <c r="H178" i="3" s="1"/>
  <c r="I178" i="3" s="1"/>
  <c r="G179" i="3"/>
  <c r="H179" i="3" s="1"/>
  <c r="I179" i="3" s="1"/>
  <c r="G180" i="3"/>
  <c r="H180" i="3" s="1"/>
  <c r="I180" i="3" s="1"/>
  <c r="G181" i="3"/>
  <c r="H181" i="3" s="1"/>
  <c r="I181" i="3" s="1"/>
  <c r="G182" i="3"/>
  <c r="H182" i="3" s="1"/>
  <c r="I182" i="3" s="1"/>
  <c r="G183" i="3"/>
  <c r="H183" i="3" s="1"/>
  <c r="I183" i="3" s="1"/>
  <c r="G184" i="3"/>
  <c r="H184" i="3" s="1"/>
  <c r="I184" i="3" s="1"/>
  <c r="G185" i="3"/>
  <c r="H185" i="3" s="1"/>
  <c r="I185" i="3" s="1"/>
  <c r="G186" i="3"/>
  <c r="H186" i="3" s="1"/>
  <c r="G187" i="3"/>
  <c r="H187" i="3" s="1"/>
  <c r="I187" i="3" s="1"/>
  <c r="G188" i="3"/>
  <c r="H188" i="3" s="1"/>
  <c r="I188" i="3" s="1"/>
  <c r="G189" i="3"/>
  <c r="H189" i="3" s="1"/>
  <c r="I189" i="3" s="1"/>
  <c r="G190" i="3"/>
  <c r="H190" i="3" s="1"/>
  <c r="I190" i="3" s="1"/>
  <c r="G191" i="3"/>
  <c r="H191" i="3" s="1"/>
  <c r="I191" i="3" s="1"/>
  <c r="G192" i="3"/>
  <c r="H192" i="3" s="1"/>
  <c r="I192" i="3" s="1"/>
  <c r="G193" i="3"/>
  <c r="H193" i="3" s="1"/>
  <c r="G194" i="3"/>
  <c r="G195" i="3"/>
  <c r="H195" i="3" s="1"/>
  <c r="I195" i="3" s="1"/>
  <c r="G196" i="3"/>
  <c r="H196" i="3" s="1"/>
  <c r="I196" i="3" s="1"/>
  <c r="G197" i="3"/>
  <c r="H197" i="3" s="1"/>
  <c r="I197" i="3" s="1"/>
  <c r="G198" i="3"/>
  <c r="H198" i="3" s="1"/>
  <c r="I198" i="3" s="1"/>
  <c r="G199" i="3"/>
  <c r="H199" i="3" s="1"/>
  <c r="I199" i="3" s="1"/>
  <c r="G200" i="3"/>
  <c r="H200" i="3" s="1"/>
  <c r="I200" i="3" s="1"/>
  <c r="G201" i="3"/>
  <c r="H201" i="3" s="1"/>
  <c r="I201" i="3" s="1"/>
  <c r="G202" i="3"/>
  <c r="H202" i="3" s="1"/>
  <c r="I202" i="3" s="1"/>
  <c r="G203" i="3"/>
  <c r="H203" i="3" s="1"/>
  <c r="I203" i="3" s="1"/>
  <c r="G204" i="3"/>
  <c r="H204" i="3" s="1"/>
  <c r="I204" i="3" s="1"/>
  <c r="G205" i="3"/>
  <c r="H205" i="3" s="1"/>
  <c r="I205" i="3" s="1"/>
  <c r="G206" i="3"/>
  <c r="H206" i="3" s="1"/>
  <c r="G207" i="3"/>
  <c r="H207" i="3" s="1"/>
  <c r="I207" i="3" s="1"/>
  <c r="G208" i="3"/>
  <c r="H208" i="3" s="1"/>
  <c r="G209" i="3"/>
  <c r="H209" i="3" s="1"/>
  <c r="I209" i="3" s="1"/>
  <c r="G210" i="3"/>
  <c r="H210" i="3" s="1"/>
  <c r="I210" i="3" s="1"/>
  <c r="G211" i="3"/>
  <c r="H211" i="3" s="1"/>
  <c r="I211" i="3" s="1"/>
  <c r="G212" i="3"/>
  <c r="H212" i="3" s="1"/>
  <c r="I212" i="3" s="1"/>
  <c r="G213" i="3"/>
  <c r="H213" i="3" s="1"/>
  <c r="I213" i="3" s="1"/>
  <c r="G214" i="3"/>
  <c r="H214" i="3" s="1"/>
  <c r="I214" i="3" s="1"/>
  <c r="G215" i="3"/>
  <c r="H215" i="3" s="1"/>
  <c r="I215" i="3" s="1"/>
  <c r="G216" i="3"/>
  <c r="H216" i="3" s="1"/>
  <c r="I216" i="3" s="1"/>
  <c r="G217" i="3"/>
  <c r="H217" i="3" s="1"/>
  <c r="I217" i="3" s="1"/>
  <c r="G218" i="3"/>
  <c r="H218" i="3" s="1"/>
  <c r="I218" i="3" s="1"/>
  <c r="G219" i="3"/>
  <c r="H219" i="3" s="1"/>
  <c r="I219" i="3" s="1"/>
  <c r="G220" i="3"/>
  <c r="H220" i="3" s="1"/>
  <c r="I220" i="3" s="1"/>
  <c r="G221" i="3"/>
  <c r="H221" i="3" s="1"/>
  <c r="I221" i="3" s="1"/>
  <c r="G222" i="3"/>
  <c r="H222" i="3" s="1"/>
  <c r="I222" i="3" s="1"/>
  <c r="G223" i="3"/>
  <c r="H223" i="3" s="1"/>
  <c r="I223" i="3" s="1"/>
  <c r="G224" i="3"/>
  <c r="H224" i="3" s="1"/>
  <c r="G225" i="3"/>
  <c r="H225" i="3" s="1"/>
  <c r="I225" i="3" s="1"/>
  <c r="G226" i="3"/>
  <c r="H226" i="3" s="1"/>
  <c r="G227" i="3"/>
  <c r="H227" i="3" s="1"/>
  <c r="I227" i="3" s="1"/>
  <c r="G228" i="3"/>
  <c r="H228" i="3" s="1"/>
  <c r="I228" i="3" s="1"/>
  <c r="G229" i="3"/>
  <c r="H229" i="3" s="1"/>
  <c r="I229" i="3" s="1"/>
  <c r="G230" i="3"/>
  <c r="H230" i="3" s="1"/>
  <c r="I230" i="3" s="1"/>
  <c r="G231" i="3"/>
  <c r="H231" i="3" s="1"/>
  <c r="I231" i="3" s="1"/>
  <c r="G232" i="3"/>
  <c r="H232" i="3" s="1"/>
  <c r="I232" i="3" s="1"/>
  <c r="G233" i="3"/>
  <c r="H233" i="3" s="1"/>
  <c r="I233" i="3" s="1"/>
  <c r="G234" i="3"/>
  <c r="H234" i="3" s="1"/>
  <c r="I234" i="3" s="1"/>
  <c r="G235" i="3"/>
  <c r="H235" i="3" s="1"/>
  <c r="I235" i="3" s="1"/>
  <c r="G236" i="3"/>
  <c r="H236" i="3" s="1"/>
  <c r="I236" i="3" s="1"/>
  <c r="G237" i="3"/>
  <c r="H237" i="3" s="1"/>
  <c r="I237" i="3" s="1"/>
  <c r="G238" i="3"/>
  <c r="H238" i="3" s="1"/>
  <c r="I238" i="3" s="1"/>
  <c r="G239" i="3"/>
  <c r="H239" i="3" s="1"/>
  <c r="I239" i="3" s="1"/>
  <c r="G240" i="3"/>
  <c r="H240" i="3" s="1"/>
  <c r="I240" i="3" s="1"/>
  <c r="G241" i="3"/>
  <c r="H241" i="3" s="1"/>
  <c r="I241" i="3" s="1"/>
  <c r="G242" i="3"/>
  <c r="H242" i="3" s="1"/>
  <c r="I242" i="3" s="1"/>
  <c r="G243" i="3"/>
  <c r="H243" i="3" s="1"/>
  <c r="I243" i="3" s="1"/>
  <c r="G244" i="3"/>
  <c r="H244" i="3" s="1"/>
  <c r="G245" i="3"/>
  <c r="H245" i="3" s="1"/>
  <c r="I245" i="3" s="1"/>
  <c r="G246" i="3"/>
  <c r="H246" i="3" s="1"/>
  <c r="I246" i="3" s="1"/>
  <c r="G247" i="3"/>
  <c r="H247" i="3" s="1"/>
  <c r="I247" i="3" s="1"/>
  <c r="G248" i="3"/>
  <c r="H248" i="3" s="1"/>
  <c r="I248" i="3" s="1"/>
  <c r="G249" i="3"/>
  <c r="H249" i="3" s="1"/>
  <c r="I249" i="3" s="1"/>
  <c r="G250" i="3"/>
  <c r="H250" i="3" s="1"/>
  <c r="I250" i="3" s="1"/>
  <c r="G251" i="3"/>
  <c r="H251" i="3" s="1"/>
  <c r="I251" i="3" s="1"/>
  <c r="G252" i="3"/>
  <c r="H252" i="3" s="1"/>
  <c r="I252" i="3" s="1"/>
  <c r="G253" i="3"/>
  <c r="H253" i="3" s="1"/>
  <c r="I253" i="3" s="1"/>
  <c r="G254" i="3"/>
  <c r="H254" i="3" s="1"/>
  <c r="I254" i="3" s="1"/>
  <c r="G255" i="3"/>
  <c r="H255" i="3" s="1"/>
  <c r="I255" i="3" s="1"/>
  <c r="G256" i="3"/>
  <c r="H256" i="3" s="1"/>
  <c r="G257" i="3"/>
  <c r="H257" i="3" s="1"/>
  <c r="I257" i="3" s="1"/>
  <c r="G258" i="3"/>
  <c r="H258" i="3" s="1"/>
  <c r="I258" i="3" s="1"/>
  <c r="G259" i="3"/>
  <c r="H259" i="3" s="1"/>
  <c r="I259" i="3" s="1"/>
  <c r="G260" i="3"/>
  <c r="H260" i="3" s="1"/>
  <c r="I260" i="3" s="1"/>
  <c r="G261" i="3"/>
  <c r="H261" i="3" s="1"/>
  <c r="I261" i="3" s="1"/>
  <c r="G262" i="3"/>
  <c r="H262" i="3" s="1"/>
  <c r="I262" i="3" s="1"/>
  <c r="G263" i="3"/>
  <c r="H263" i="3" s="1"/>
  <c r="I263" i="3" s="1"/>
  <c r="G264" i="3"/>
  <c r="H264" i="3" s="1"/>
  <c r="I264" i="3" s="1"/>
  <c r="G265" i="3"/>
  <c r="H265" i="3" s="1"/>
  <c r="I265" i="3" s="1"/>
  <c r="G266" i="3"/>
  <c r="H266" i="3" s="1"/>
  <c r="G267" i="3"/>
  <c r="H267" i="3" s="1"/>
  <c r="I267" i="3" s="1"/>
  <c r="G268" i="3"/>
  <c r="H268" i="3" s="1"/>
  <c r="I268" i="3" s="1"/>
  <c r="G269" i="3"/>
  <c r="H269" i="3" s="1"/>
  <c r="I269" i="3" s="1"/>
  <c r="G270" i="3"/>
  <c r="H270" i="3" s="1"/>
  <c r="I270" i="3" s="1"/>
  <c r="G271" i="3"/>
  <c r="H271" i="3" s="1"/>
  <c r="I271" i="3" s="1"/>
  <c r="G272" i="3"/>
  <c r="H272" i="3" s="1"/>
  <c r="G273" i="3"/>
  <c r="H273" i="3" s="1"/>
  <c r="I273" i="3" s="1"/>
  <c r="G274" i="3"/>
  <c r="H274" i="3" s="1"/>
  <c r="I274" i="3" s="1"/>
  <c r="G275" i="3"/>
  <c r="H275" i="3" s="1"/>
  <c r="I275" i="3" s="1"/>
  <c r="G276" i="3"/>
  <c r="H276" i="3" s="1"/>
  <c r="I276" i="3" s="1"/>
  <c r="G277" i="3"/>
  <c r="H277" i="3" s="1"/>
  <c r="I277" i="3" s="1"/>
  <c r="G278" i="3"/>
  <c r="H278" i="3" s="1"/>
  <c r="I278" i="3" s="1"/>
  <c r="G279" i="3"/>
  <c r="H279" i="3" s="1"/>
  <c r="I279" i="3" s="1"/>
  <c r="G280" i="3"/>
  <c r="H280" i="3" s="1"/>
  <c r="I280" i="3" s="1"/>
  <c r="G281" i="3"/>
  <c r="H281" i="3" s="1"/>
  <c r="I281" i="3" s="1"/>
  <c r="G282" i="3"/>
  <c r="H282" i="3" s="1"/>
  <c r="G283" i="3"/>
  <c r="H283" i="3" s="1"/>
  <c r="I283" i="3" s="1"/>
  <c r="G284" i="3"/>
  <c r="H284" i="3" s="1"/>
  <c r="I284" i="3" s="1"/>
  <c r="G285" i="3"/>
  <c r="H285" i="3" s="1"/>
  <c r="G286" i="3"/>
  <c r="H286" i="3" s="1"/>
  <c r="I286" i="3" s="1"/>
  <c r="G287" i="3"/>
  <c r="H287" i="3" s="1"/>
  <c r="I287" i="3" s="1"/>
  <c r="G288" i="3"/>
  <c r="H288" i="3" s="1"/>
  <c r="I288" i="3" s="1"/>
  <c r="G289" i="3"/>
  <c r="H289" i="3" s="1"/>
  <c r="I289" i="3" s="1"/>
  <c r="G290" i="3"/>
  <c r="H290" i="3" s="1"/>
  <c r="I290" i="3" s="1"/>
  <c r="G291" i="3"/>
  <c r="H291" i="3" s="1"/>
  <c r="I291" i="3" s="1"/>
  <c r="G292" i="3"/>
  <c r="H292" i="3" s="1"/>
  <c r="I292" i="3" s="1"/>
  <c r="G293" i="3"/>
  <c r="H293" i="3" s="1"/>
  <c r="I293" i="3" s="1"/>
  <c r="G294" i="3"/>
  <c r="H294" i="3" s="1"/>
  <c r="I294" i="3" s="1"/>
  <c r="G295" i="3"/>
  <c r="H295" i="3" s="1"/>
  <c r="I295" i="3" s="1"/>
  <c r="G296" i="3"/>
  <c r="H296" i="3" s="1"/>
  <c r="I296" i="3" s="1"/>
  <c r="G297" i="3"/>
  <c r="H297" i="3" s="1"/>
  <c r="I297" i="3" s="1"/>
  <c r="G298" i="3"/>
  <c r="H298" i="3" s="1"/>
  <c r="G299" i="3"/>
  <c r="H299" i="3" s="1"/>
  <c r="I299" i="3" s="1"/>
  <c r="G300" i="3"/>
  <c r="H300" i="3" s="1"/>
  <c r="G301" i="3"/>
  <c r="H301" i="3" s="1"/>
  <c r="I301" i="3" s="1"/>
  <c r="G302" i="3"/>
  <c r="H302" i="3" s="1"/>
  <c r="I302" i="3" s="1"/>
  <c r="G303" i="3"/>
  <c r="H303" i="3" s="1"/>
  <c r="I303" i="3" s="1"/>
  <c r="G304" i="3"/>
  <c r="H304" i="3" s="1"/>
  <c r="I304" i="3" s="1"/>
  <c r="G305" i="3"/>
  <c r="H305" i="3" s="1"/>
  <c r="I305" i="3" s="1"/>
  <c r="G306" i="3"/>
  <c r="H306" i="3" s="1"/>
  <c r="I306" i="3" s="1"/>
  <c r="G307" i="3"/>
  <c r="H307" i="3" s="1"/>
  <c r="I307" i="3" s="1"/>
  <c r="G308" i="3"/>
  <c r="H308" i="3" s="1"/>
  <c r="G309" i="3"/>
  <c r="H309" i="3" s="1"/>
  <c r="G310" i="3"/>
  <c r="H310" i="3" s="1"/>
  <c r="I310" i="3" s="1"/>
  <c r="G311" i="3"/>
  <c r="H311" i="3" s="1"/>
  <c r="I311" i="3" s="1"/>
  <c r="G312" i="3"/>
  <c r="H312" i="3" s="1"/>
  <c r="I312" i="3" s="1"/>
  <c r="G313" i="3"/>
  <c r="H313" i="3" s="1"/>
  <c r="I313" i="3" s="1"/>
  <c r="G314" i="3"/>
  <c r="H314" i="3" s="1"/>
  <c r="G315" i="3"/>
  <c r="H315" i="3" s="1"/>
  <c r="I315" i="3" s="1"/>
  <c r="G316" i="3"/>
  <c r="H316" i="3" s="1"/>
  <c r="I316" i="3" s="1"/>
  <c r="G317" i="3"/>
  <c r="H317" i="3" s="1"/>
  <c r="I317" i="3" s="1"/>
  <c r="G318" i="3"/>
  <c r="H318" i="3" s="1"/>
  <c r="I318" i="3" s="1"/>
  <c r="G319" i="3"/>
  <c r="H319" i="3" s="1"/>
  <c r="I319" i="3" s="1"/>
  <c r="G320" i="3"/>
  <c r="H320" i="3" s="1"/>
  <c r="I320" i="3" s="1"/>
  <c r="G321" i="3"/>
  <c r="H321" i="3" s="1"/>
  <c r="I321" i="3" s="1"/>
  <c r="G322" i="3"/>
  <c r="H322" i="3" s="1"/>
  <c r="G323" i="3"/>
  <c r="H323" i="3" s="1"/>
  <c r="G324" i="3"/>
  <c r="H324" i="3" s="1"/>
  <c r="I324" i="3" s="1"/>
  <c r="G325" i="3"/>
  <c r="H325" i="3" s="1"/>
  <c r="G326" i="3"/>
  <c r="H326" i="3" s="1"/>
  <c r="I326" i="3" s="1"/>
  <c r="G327" i="3"/>
  <c r="H327" i="3" s="1"/>
  <c r="I327" i="3" s="1"/>
  <c r="G328" i="3"/>
  <c r="H328" i="3" s="1"/>
  <c r="I328" i="3" s="1"/>
  <c r="G329" i="3"/>
  <c r="H329" i="3" s="1"/>
  <c r="I329" i="3" s="1"/>
  <c r="G330" i="3"/>
  <c r="H330" i="3" s="1"/>
  <c r="I330" i="3" s="1"/>
  <c r="G331" i="3"/>
  <c r="H331" i="3" s="1"/>
  <c r="I331" i="3" s="1"/>
  <c r="G332" i="3"/>
  <c r="H332" i="3" s="1"/>
  <c r="I332" i="3" s="1"/>
  <c r="G333" i="3"/>
  <c r="H333" i="3" s="1"/>
  <c r="G334" i="3"/>
  <c r="H334" i="3" s="1"/>
  <c r="I334" i="3" s="1"/>
  <c r="G335" i="3"/>
  <c r="H335" i="3" s="1"/>
  <c r="I335" i="3" s="1"/>
  <c r="G336" i="3"/>
  <c r="H336" i="3" s="1"/>
  <c r="I336" i="3" s="1"/>
  <c r="G337" i="3"/>
  <c r="H337" i="3" s="1"/>
  <c r="I337" i="3" s="1"/>
  <c r="G338" i="3"/>
  <c r="H338" i="3" s="1"/>
  <c r="I338" i="3" s="1"/>
  <c r="G339" i="3"/>
  <c r="H339" i="3" s="1"/>
  <c r="G340" i="3"/>
  <c r="H340" i="3" s="1"/>
  <c r="I340" i="3" s="1"/>
  <c r="G341" i="3"/>
  <c r="H341" i="3" s="1"/>
  <c r="I341" i="3" s="1"/>
  <c r="G342" i="3"/>
  <c r="H342" i="3" s="1"/>
  <c r="I342" i="3" s="1"/>
  <c r="G343" i="3"/>
  <c r="H343" i="3" s="1"/>
  <c r="I343" i="3" s="1"/>
  <c r="G344" i="3"/>
  <c r="H344" i="3" s="1"/>
  <c r="I344" i="3" s="1"/>
  <c r="G345" i="3"/>
  <c r="H345" i="3" s="1"/>
  <c r="I345" i="3" s="1"/>
  <c r="G346" i="3"/>
  <c r="H346" i="3" s="1"/>
  <c r="I346" i="3" s="1"/>
  <c r="G347" i="3"/>
  <c r="H347" i="3" s="1"/>
  <c r="G348" i="3"/>
  <c r="H348" i="3" s="1"/>
  <c r="G349" i="3"/>
  <c r="H349" i="3" s="1"/>
  <c r="I349" i="3" s="1"/>
  <c r="G350" i="3"/>
  <c r="H350" i="3" s="1"/>
  <c r="I350" i="3" s="1"/>
  <c r="G351" i="3"/>
  <c r="H351" i="3" s="1"/>
  <c r="I351" i="3" s="1"/>
  <c r="G352" i="3"/>
  <c r="H352" i="3" s="1"/>
  <c r="I352" i="3" s="1"/>
  <c r="G353" i="3"/>
  <c r="H353" i="3" s="1"/>
  <c r="I353" i="3" s="1"/>
  <c r="G354" i="3"/>
  <c r="H354" i="3" s="1"/>
  <c r="I354" i="3" s="1"/>
  <c r="G355" i="3"/>
  <c r="H355" i="3" s="1"/>
  <c r="I355" i="3" s="1"/>
  <c r="G356" i="3"/>
  <c r="H356" i="3" s="1"/>
  <c r="I356" i="3" s="1"/>
  <c r="G357" i="3"/>
  <c r="H357" i="3" s="1"/>
  <c r="I357" i="3" s="1"/>
  <c r="G358" i="3"/>
  <c r="H358" i="3" s="1"/>
  <c r="I358" i="3" s="1"/>
  <c r="G359" i="3"/>
  <c r="H359" i="3" s="1"/>
  <c r="I359" i="3" s="1"/>
  <c r="G360" i="3"/>
  <c r="H360" i="3" s="1"/>
  <c r="I360" i="3" s="1"/>
  <c r="G361" i="3"/>
  <c r="H361" i="3" s="1"/>
  <c r="I361" i="3" s="1"/>
  <c r="G362" i="3"/>
  <c r="H362" i="3" s="1"/>
  <c r="G363" i="3"/>
  <c r="H363" i="3" s="1"/>
  <c r="I363" i="3" s="1"/>
  <c r="G364" i="3"/>
  <c r="H364" i="3" s="1"/>
  <c r="G365" i="3"/>
  <c r="H365" i="3" s="1"/>
  <c r="I365" i="3" s="1"/>
  <c r="G366" i="3"/>
  <c r="H366" i="3" s="1"/>
  <c r="I366" i="3" s="1"/>
  <c r="G367" i="3"/>
  <c r="H367" i="3" s="1"/>
  <c r="I367" i="3" s="1"/>
  <c r="G368" i="3"/>
  <c r="H368" i="3" s="1"/>
  <c r="I368" i="3" s="1"/>
  <c r="G369" i="3"/>
  <c r="H369" i="3" s="1"/>
  <c r="I369" i="3" s="1"/>
  <c r="G370" i="3"/>
  <c r="H370" i="3" s="1"/>
  <c r="I370" i="3" s="1"/>
  <c r="G371" i="3"/>
  <c r="H371" i="3" s="1"/>
  <c r="I371" i="3" s="1"/>
  <c r="G372" i="3"/>
  <c r="H372" i="3" s="1"/>
  <c r="G373" i="3"/>
  <c r="H373" i="3" s="1"/>
  <c r="G374" i="3"/>
  <c r="H374" i="3" s="1"/>
  <c r="I374" i="3" s="1"/>
  <c r="G375" i="3"/>
  <c r="H375" i="3" s="1"/>
  <c r="I375" i="3" s="1"/>
  <c r="G376" i="3"/>
  <c r="H376" i="3" s="1"/>
  <c r="I376" i="3" s="1"/>
  <c r="G377" i="3"/>
  <c r="H377" i="3" s="1"/>
  <c r="I377" i="3" s="1"/>
  <c r="G378" i="3"/>
  <c r="H378" i="3" s="1"/>
  <c r="G379" i="3"/>
  <c r="H379" i="3" s="1"/>
  <c r="I379" i="3" s="1"/>
  <c r="G380" i="3"/>
  <c r="H380" i="3" s="1"/>
  <c r="I380" i="3" s="1"/>
  <c r="G381" i="3"/>
  <c r="H381" i="3" s="1"/>
  <c r="I381" i="3" s="1"/>
  <c r="G382" i="3"/>
  <c r="H382" i="3" s="1"/>
  <c r="I382" i="3" s="1"/>
  <c r="G383" i="3"/>
  <c r="H383" i="3" s="1"/>
  <c r="I383" i="3" s="1"/>
  <c r="G384" i="3"/>
  <c r="H384" i="3" s="1"/>
  <c r="I384" i="3" s="1"/>
  <c r="G385" i="3"/>
  <c r="H385" i="3" s="1"/>
  <c r="I385" i="3" s="1"/>
  <c r="G386" i="3"/>
  <c r="H386" i="3" s="1"/>
  <c r="G2" i="3"/>
  <c r="J68" i="3" l="1"/>
  <c r="I68" i="3"/>
  <c r="J256" i="3"/>
  <c r="I256" i="3"/>
  <c r="J224" i="3"/>
  <c r="I224" i="3"/>
  <c r="J56" i="3"/>
  <c r="I56" i="3"/>
  <c r="J206" i="3"/>
  <c r="I206" i="3"/>
  <c r="J142" i="3"/>
  <c r="I142" i="3"/>
  <c r="J102" i="3"/>
  <c r="I102" i="3"/>
  <c r="J54" i="3"/>
  <c r="I54" i="3"/>
  <c r="J89" i="3"/>
  <c r="I89" i="3"/>
  <c r="J88" i="3"/>
  <c r="I88" i="3"/>
  <c r="J87" i="3"/>
  <c r="I87" i="3"/>
  <c r="J373" i="3"/>
  <c r="I373" i="3"/>
  <c r="J333" i="3"/>
  <c r="I333" i="3"/>
  <c r="J325" i="3"/>
  <c r="I325" i="3"/>
  <c r="J309" i="3"/>
  <c r="I309" i="3"/>
  <c r="J285" i="3"/>
  <c r="I285" i="3"/>
  <c r="J153" i="3"/>
  <c r="I153" i="3"/>
  <c r="J272" i="3"/>
  <c r="I272" i="3"/>
  <c r="J112" i="3"/>
  <c r="I112" i="3"/>
  <c r="J80" i="3"/>
  <c r="I80" i="3"/>
  <c r="J48" i="3"/>
  <c r="I48" i="3"/>
  <c r="J372" i="3"/>
  <c r="I372" i="3"/>
  <c r="J364" i="3"/>
  <c r="I364" i="3"/>
  <c r="J348" i="3"/>
  <c r="I348" i="3"/>
  <c r="J308" i="3"/>
  <c r="I308" i="3"/>
  <c r="J300" i="3"/>
  <c r="I300" i="3"/>
  <c r="J244" i="3"/>
  <c r="I244" i="3"/>
  <c r="J172" i="3"/>
  <c r="I172" i="3"/>
  <c r="J108" i="3"/>
  <c r="I108" i="3"/>
  <c r="J28" i="3"/>
  <c r="I28" i="3"/>
  <c r="J4" i="3"/>
  <c r="I4" i="3"/>
  <c r="J208" i="3"/>
  <c r="I208" i="3"/>
  <c r="J160" i="3"/>
  <c r="I160" i="3"/>
  <c r="J120" i="3"/>
  <c r="I120" i="3"/>
  <c r="J347" i="3"/>
  <c r="I347" i="3"/>
  <c r="J339" i="3"/>
  <c r="I339" i="3"/>
  <c r="J323" i="3"/>
  <c r="I323" i="3"/>
  <c r="J193" i="3"/>
  <c r="I193" i="3"/>
  <c r="J96" i="3"/>
  <c r="I96" i="3"/>
  <c r="J64" i="3"/>
  <c r="I64" i="3"/>
  <c r="J386" i="3"/>
  <c r="I386" i="3"/>
  <c r="J378" i="3"/>
  <c r="I378" i="3"/>
  <c r="J362" i="3"/>
  <c r="I362" i="3"/>
  <c r="J322" i="3"/>
  <c r="I322" i="3"/>
  <c r="J314" i="3"/>
  <c r="I314" i="3"/>
  <c r="J298" i="3"/>
  <c r="I298" i="3"/>
  <c r="J282" i="3"/>
  <c r="I282" i="3"/>
  <c r="J266" i="3"/>
  <c r="I266" i="3"/>
  <c r="J226" i="3"/>
  <c r="I226" i="3"/>
  <c r="J186" i="3"/>
  <c r="I186" i="3"/>
  <c r="J138" i="3"/>
  <c r="I138" i="3"/>
  <c r="J122" i="3"/>
  <c r="I122" i="3"/>
  <c r="J74" i="3"/>
  <c r="I74" i="3"/>
  <c r="J34" i="3"/>
  <c r="I34" i="3"/>
  <c r="J125" i="4"/>
  <c r="H2" i="3"/>
  <c r="I2" i="3" s="1"/>
  <c r="G388" i="3"/>
  <c r="J35" i="3"/>
  <c r="J382" i="3"/>
  <c r="J366" i="3"/>
  <c r="J350" i="3"/>
  <c r="J326" i="3"/>
  <c r="J310" i="3"/>
  <c r="J294" i="3"/>
  <c r="J278" i="3"/>
  <c r="J262" i="3"/>
  <c r="J238" i="3"/>
  <c r="J385" i="3"/>
  <c r="J369" i="3"/>
  <c r="J361" i="3"/>
  <c r="J321" i="3"/>
  <c r="J305" i="3"/>
  <c r="J297" i="3"/>
  <c r="J257" i="3"/>
  <c r="J241" i="3"/>
  <c r="J233" i="3"/>
  <c r="J137" i="3"/>
  <c r="J105" i="3"/>
  <c r="J57" i="3"/>
  <c r="J334" i="3"/>
  <c r="J246" i="3"/>
  <c r="J374" i="3"/>
  <c r="J358" i="3"/>
  <c r="J342" i="3"/>
  <c r="J318" i="3"/>
  <c r="J302" i="3"/>
  <c r="J286" i="3"/>
  <c r="J270" i="3"/>
  <c r="J254" i="3"/>
  <c r="J383" i="3"/>
  <c r="J375" i="3"/>
  <c r="J367" i="3"/>
  <c r="J359" i="3"/>
  <c r="J351" i="3"/>
  <c r="J343" i="3"/>
  <c r="J335" i="3"/>
  <c r="J327" i="3"/>
  <c r="J319" i="3"/>
  <c r="J311" i="3"/>
  <c r="J303" i="3"/>
  <c r="J295" i="3"/>
  <c r="J287" i="3"/>
  <c r="J279" i="3"/>
  <c r="J271" i="3"/>
  <c r="J263" i="3"/>
  <c r="J255" i="3"/>
  <c r="J247" i="3"/>
  <c r="J239" i="3"/>
  <c r="J231" i="3"/>
  <c r="J215" i="3"/>
  <c r="J167" i="3"/>
  <c r="J380" i="3"/>
  <c r="J356" i="3"/>
  <c r="J340" i="3"/>
  <c r="J332" i="3"/>
  <c r="J324" i="3"/>
  <c r="J316" i="3"/>
  <c r="J292" i="3"/>
  <c r="J284" i="3"/>
  <c r="J276" i="3"/>
  <c r="J268" i="3"/>
  <c r="J260" i="3"/>
  <c r="J252" i="3"/>
  <c r="J236" i="3"/>
  <c r="J228" i="3"/>
  <c r="J196" i="3"/>
  <c r="J188" i="3"/>
  <c r="J164" i="3"/>
  <c r="J156" i="3"/>
  <c r="J132" i="3"/>
  <c r="J124" i="3"/>
  <c r="J100" i="3"/>
  <c r="J92" i="3"/>
  <c r="J84" i="3"/>
  <c r="J60" i="3"/>
  <c r="J44" i="3"/>
  <c r="J36" i="3"/>
  <c r="J20" i="3"/>
  <c r="J220" i="3"/>
  <c r="J192" i="3"/>
  <c r="J162" i="3"/>
  <c r="J37" i="3"/>
  <c r="J243" i="3"/>
  <c r="J223" i="3"/>
  <c r="J127" i="3"/>
  <c r="J222" i="3"/>
  <c r="J190" i="3"/>
  <c r="J158" i="3"/>
  <c r="J126" i="3"/>
  <c r="J78" i="3"/>
  <c r="J6" i="3"/>
  <c r="J119" i="3"/>
  <c r="J182" i="3"/>
  <c r="J150" i="3"/>
  <c r="J70" i="3"/>
  <c r="J38" i="3"/>
  <c r="J365" i="3"/>
  <c r="J349" i="3"/>
  <c r="J317" i="3"/>
  <c r="J301" i="3"/>
  <c r="J269" i="3"/>
  <c r="J253" i="3"/>
  <c r="J237" i="3"/>
  <c r="J213" i="3"/>
  <c r="J197" i="3"/>
  <c r="J173" i="3"/>
  <c r="J149" i="3"/>
  <c r="J141" i="3"/>
  <c r="J69" i="3"/>
  <c r="J53" i="3"/>
  <c r="J21" i="3"/>
  <c r="J265" i="3"/>
  <c r="J221" i="3"/>
  <c r="J76" i="3"/>
  <c r="J379" i="3"/>
  <c r="J363" i="3"/>
  <c r="J307" i="3"/>
  <c r="J291" i="3"/>
  <c r="J267" i="3"/>
  <c r="J227" i="3"/>
  <c r="J203" i="3"/>
  <c r="J187" i="3"/>
  <c r="J163" i="3"/>
  <c r="J155" i="3"/>
  <c r="J131" i="3"/>
  <c r="J99" i="3"/>
  <c r="J75" i="3"/>
  <c r="J11" i="3"/>
  <c r="J281" i="3"/>
  <c r="J101" i="3"/>
  <c r="J29" i="3"/>
  <c r="J205" i="3"/>
  <c r="J370" i="3"/>
  <c r="J346" i="3"/>
  <c r="J306" i="3"/>
  <c r="J274" i="3"/>
  <c r="J250" i="3"/>
  <c r="J218" i="3"/>
  <c r="J210" i="3"/>
  <c r="J178" i="3"/>
  <c r="J154" i="3"/>
  <c r="J146" i="3"/>
  <c r="J114" i="3"/>
  <c r="J106" i="3"/>
  <c r="J98" i="3"/>
  <c r="J58" i="3"/>
  <c r="J50" i="3"/>
  <c r="J42" i="3"/>
  <c r="J10" i="3"/>
  <c r="J212" i="3"/>
  <c r="J184" i="3"/>
  <c r="J157" i="3"/>
  <c r="J128" i="3"/>
  <c r="J93" i="3"/>
  <c r="J65" i="3"/>
  <c r="J27" i="3"/>
  <c r="J175" i="3"/>
  <c r="J191" i="3"/>
  <c r="J111" i="3"/>
  <c r="J214" i="3"/>
  <c r="J174" i="3"/>
  <c r="J110" i="3"/>
  <c r="J86" i="3"/>
  <c r="J22" i="3"/>
  <c r="J381" i="3"/>
  <c r="J357" i="3"/>
  <c r="J341" i="3"/>
  <c r="J293" i="3"/>
  <c r="J277" i="3"/>
  <c r="J261" i="3"/>
  <c r="J245" i="3"/>
  <c r="J181" i="3"/>
  <c r="J165" i="3"/>
  <c r="J133" i="3"/>
  <c r="J117" i="3"/>
  <c r="J85" i="3"/>
  <c r="J61" i="3"/>
  <c r="J45" i="3"/>
  <c r="J329" i="3"/>
  <c r="J194" i="3"/>
  <c r="J169" i="3"/>
  <c r="J107" i="3"/>
  <c r="J41" i="3"/>
  <c r="J5" i="3"/>
  <c r="J371" i="3"/>
  <c r="J355" i="3"/>
  <c r="J331" i="3"/>
  <c r="J315" i="3"/>
  <c r="J299" i="3"/>
  <c r="J283" i="3"/>
  <c r="J275" i="3"/>
  <c r="J259" i="3"/>
  <c r="J251" i="3"/>
  <c r="J235" i="3"/>
  <c r="J219" i="3"/>
  <c r="J195" i="3"/>
  <c r="J171" i="3"/>
  <c r="J123" i="3"/>
  <c r="J83" i="3"/>
  <c r="J67" i="3"/>
  <c r="J59" i="3"/>
  <c r="J19" i="3"/>
  <c r="J3" i="3"/>
  <c r="J345" i="3"/>
  <c r="J189" i="3"/>
  <c r="J130" i="3"/>
  <c r="J66" i="3"/>
  <c r="J354" i="3"/>
  <c r="J338" i="3"/>
  <c r="J330" i="3"/>
  <c r="J290" i="3"/>
  <c r="J258" i="3"/>
  <c r="J242" i="3"/>
  <c r="J234" i="3"/>
  <c r="J225" i="3"/>
  <c r="J217" i="3"/>
  <c r="J209" i="3"/>
  <c r="J185" i="3"/>
  <c r="J177" i="3"/>
  <c r="J161" i="3"/>
  <c r="J145" i="3"/>
  <c r="J129" i="3"/>
  <c r="J121" i="3"/>
  <c r="J113" i="3"/>
  <c r="J97" i="3"/>
  <c r="J81" i="3"/>
  <c r="J73" i="3"/>
  <c r="J49" i="3"/>
  <c r="J33" i="3"/>
  <c r="J25" i="3"/>
  <c r="J17" i="3"/>
  <c r="J9" i="3"/>
  <c r="J211" i="3"/>
  <c r="J180" i="3"/>
  <c r="J152" i="3"/>
  <c r="J125" i="3"/>
  <c r="J91" i="3"/>
  <c r="J26" i="3"/>
  <c r="J139" i="3"/>
  <c r="J207" i="3"/>
  <c r="J384" i="3"/>
  <c r="J376" i="3"/>
  <c r="J368" i="3"/>
  <c r="J360" i="3"/>
  <c r="J352" i="3"/>
  <c r="J344" i="3"/>
  <c r="J336" i="3"/>
  <c r="J328" i="3"/>
  <c r="J320" i="3"/>
  <c r="J312" i="3"/>
  <c r="J304" i="3"/>
  <c r="J296" i="3"/>
  <c r="J288" i="3"/>
  <c r="J280" i="3"/>
  <c r="J264" i="3"/>
  <c r="J248" i="3"/>
  <c r="J240" i="3"/>
  <c r="J232" i="3"/>
  <c r="J216" i="3"/>
  <c r="J200" i="3"/>
  <c r="J176" i="3"/>
  <c r="J168" i="3"/>
  <c r="J144" i="3"/>
  <c r="J136" i="3"/>
  <c r="J337" i="3"/>
  <c r="J273" i="3"/>
  <c r="J204" i="3"/>
  <c r="J179" i="3"/>
  <c r="J148" i="3"/>
  <c r="J90" i="3"/>
  <c r="J52" i="3"/>
  <c r="J18" i="3"/>
  <c r="J109" i="3"/>
  <c r="J199" i="3"/>
  <c r="J159" i="3"/>
  <c r="J151" i="3"/>
  <c r="J143" i="3"/>
  <c r="J103" i="3"/>
  <c r="J95" i="3"/>
  <c r="J79" i="3"/>
  <c r="J63" i="3"/>
  <c r="J55" i="3"/>
  <c r="J47" i="3"/>
  <c r="J39" i="3"/>
  <c r="J31" i="3"/>
  <c r="J23" i="3"/>
  <c r="J15" i="3"/>
  <c r="J7" i="3"/>
  <c r="J377" i="3"/>
  <c r="J313" i="3"/>
  <c r="J249" i="3"/>
  <c r="J229" i="3"/>
  <c r="J202" i="3"/>
  <c r="J147" i="3"/>
  <c r="J116" i="3"/>
  <c r="J82" i="3"/>
  <c r="J51" i="3"/>
  <c r="J13" i="3"/>
  <c r="J71" i="3"/>
  <c r="J183" i="3"/>
  <c r="J135" i="3"/>
  <c r="J230" i="3"/>
  <c r="J198" i="3"/>
  <c r="J166" i="3"/>
  <c r="J134" i="3"/>
  <c r="J118" i="3"/>
  <c r="J94" i="3"/>
  <c r="J62" i="3"/>
  <c r="J46" i="3"/>
  <c r="J30" i="3"/>
  <c r="J14" i="3"/>
  <c r="J353" i="3"/>
  <c r="J289" i="3"/>
  <c r="J201" i="3"/>
  <c r="J170" i="3"/>
  <c r="J140" i="3"/>
  <c r="J115" i="3"/>
  <c r="J77" i="3"/>
  <c r="J43" i="3"/>
  <c r="J12" i="3"/>
  <c r="J104" i="3"/>
  <c r="J72" i="3"/>
  <c r="J40" i="3"/>
  <c r="J32" i="3"/>
  <c r="J24" i="3"/>
  <c r="J16" i="3"/>
  <c r="J8" i="3"/>
  <c r="I388" i="3" l="1"/>
  <c r="C406" i="3" s="1"/>
  <c r="J2" i="3"/>
  <c r="J388" i="3" s="1"/>
  <c r="H388" i="3"/>
</calcChain>
</file>

<file path=xl/sharedStrings.xml><?xml version="1.0" encoding="utf-8"?>
<sst xmlns="http://schemas.openxmlformats.org/spreadsheetml/2006/main" count="8486" uniqueCount="818">
  <si>
    <t>Sale-wise Profit Report</t>
  </si>
  <si>
    <t>From: 01-May-2026</t>
  </si>
  <si>
    <t>To: 31-May-2026</t>
  </si>
  <si>
    <t>Generated: 6/1/2026</t>
  </si>
  <si>
    <t xml:space="preserve"> 3:01:09 PM</t>
  </si>
  <si>
    <t>sale date</t>
  </si>
  <si>
    <t>item name</t>
  </si>
  <si>
    <t>serial number</t>
  </si>
  <si>
    <t>serial comment</t>
  </si>
  <si>
    <t>sale price</t>
  </si>
  <si>
    <t>purchase price</t>
  </si>
  <si>
    <t>profit loss</t>
  </si>
  <si>
    <t>profit loss percent</t>
  </si>
  <si>
    <t>vendor name</t>
  </si>
  <si>
    <t>Row Highlight</t>
  </si>
  <si>
    <t>AIRPODS MAX</t>
  </si>
  <si>
    <t>SH2XX57WJQK</t>
  </si>
  <si>
    <t>Midgnight</t>
  </si>
  <si>
    <t>OWAIS HOUSTON</t>
  </si>
  <si>
    <t>AIRPODS MAX 2</t>
  </si>
  <si>
    <t>SK22D2W3NH3</t>
  </si>
  <si>
    <t>Blue</t>
  </si>
  <si>
    <t>SLQP7TVKVYF</t>
  </si>
  <si>
    <t>SMCPYNHW9P4</t>
  </si>
  <si>
    <t>BEATS POWERBEATS PRO BUDS</t>
  </si>
  <si>
    <t>SH2DN10B1LN3P</t>
  </si>
  <si>
    <t>Loss</t>
  </si>
  <si>
    <t>SH2JMX109LN3P</t>
  </si>
  <si>
    <t>GOOGLE PIXEL WATCH 4</t>
  </si>
  <si>
    <t>GOOGLE PIXEL WATCH 4 BLUE SATIN MOONSTONE 32 GB 45MM</t>
  </si>
  <si>
    <t>All Ok</t>
  </si>
  <si>
    <t>GOOGLE PIXEL WATCH 4 MATTE BLACK 32 GB 45MM</t>
  </si>
  <si>
    <t>IPHONE 17 PRO MAX 256 GB</t>
  </si>
  <si>
    <t>Cosmic Orange</t>
  </si>
  <si>
    <t>Silver</t>
  </si>
  <si>
    <t>Deep Blue</t>
  </si>
  <si>
    <t>MUDASSIR</t>
  </si>
  <si>
    <t>META HEADLINER GEN 2</t>
  </si>
  <si>
    <t>4V0ZH12HC002C0</t>
  </si>
  <si>
    <t>Matte Black, Clear</t>
  </si>
  <si>
    <t>META QUEST 3 512 GB</t>
  </si>
  <si>
    <t>2G97BMMH9G00SX</t>
  </si>
  <si>
    <t>2G97BMMHBG0089</t>
  </si>
  <si>
    <t>2G97BMMHCH037L</t>
  </si>
  <si>
    <t>2G97BMMHCH03CP</t>
  </si>
  <si>
    <t>2G97BMMHCH03JS</t>
  </si>
  <si>
    <t>2G97BMMHCL01QD</t>
  </si>
  <si>
    <t>2G97BMMHCL02R2</t>
  </si>
  <si>
    <t>2G97BMMHCL02TK</t>
  </si>
  <si>
    <t>2G97BMMHCL02VP</t>
  </si>
  <si>
    <t>2G97BMMHCL02W1</t>
  </si>
  <si>
    <t>2G97BMMHCL02X1</t>
  </si>
  <si>
    <t>2G97BMMHCS00CJ</t>
  </si>
  <si>
    <t>2G97BMMHCS00ZP</t>
  </si>
  <si>
    <t>2G97BMMHCS0110</t>
  </si>
  <si>
    <t>META WAYFARER GEN 2</t>
  </si>
  <si>
    <t>4V0ZH12HC404Y2</t>
  </si>
  <si>
    <t>4V0ZW04HBW05JY</t>
  </si>
  <si>
    <t>4V0ZW25J0H051X</t>
  </si>
  <si>
    <t>Matte Black, Grey</t>
  </si>
  <si>
    <t>4V0ZW25J0L05XN</t>
  </si>
  <si>
    <t>4V37W23H8G00H6</t>
  </si>
  <si>
    <t>Matte Black, Polar Graphite</t>
  </si>
  <si>
    <t>4V37W25HC200SS</t>
  </si>
  <si>
    <t>4V37W25J0X00SD</t>
  </si>
  <si>
    <t>4V37W25J1600VH</t>
  </si>
  <si>
    <t>SONOS ERA 100 SPEAKER BLACK</t>
  </si>
  <si>
    <t>E10G1US1BLK</t>
  </si>
  <si>
    <t>Low Sale Price</t>
  </si>
  <si>
    <t>SONY NOISE CANCELLING WIRELESS HEADPHONE</t>
  </si>
  <si>
    <t>S017712124A</t>
  </si>
  <si>
    <t>IPHONE 17 PRO 256 GB</t>
  </si>
  <si>
    <t>Cosmic Orange Active</t>
  </si>
  <si>
    <t>IPHONE 16 PRO MAX 256 GB</t>
  </si>
  <si>
    <t>Active Kit</t>
  </si>
  <si>
    <t>IPHONE 17 PRO MAX 512 GB</t>
  </si>
  <si>
    <t>GALAXY S26 ULTRA 256 GB</t>
  </si>
  <si>
    <t>Cobalt Violet</t>
  </si>
  <si>
    <t>Black</t>
  </si>
  <si>
    <t>IPHONE 17 AIR 256 GB</t>
  </si>
  <si>
    <t>Sky Blue</t>
  </si>
  <si>
    <t>IPHONE 17E BLACK 256 GB</t>
  </si>
  <si>
    <t>IPHONE 17 256 GB</t>
  </si>
  <si>
    <t>White</t>
  </si>
  <si>
    <t>Deep Blue Active Kit</t>
  </si>
  <si>
    <t>Silver Active Kit</t>
  </si>
  <si>
    <t>IPHONE 14 PRO MAX 256 GB</t>
  </si>
  <si>
    <t>IPHONE 16 128 GB</t>
  </si>
  <si>
    <t>Unlock</t>
  </si>
  <si>
    <t>Black Unlock</t>
  </si>
  <si>
    <t>IPHONE 16 PLUS 128 GB</t>
  </si>
  <si>
    <t>Cosmic Orange Unlock</t>
  </si>
  <si>
    <t>Cosmic Orange Unlock Active</t>
  </si>
  <si>
    <t>Deep Blue Unlock Active</t>
  </si>
  <si>
    <t>Blue Unlock</t>
  </si>
  <si>
    <t>IPHONE 17 PRO 512 GB</t>
  </si>
  <si>
    <t>Silver Unlock Active</t>
  </si>
  <si>
    <t>Silver Active</t>
  </si>
  <si>
    <t>Silver Unlock</t>
  </si>
  <si>
    <t>AIRPODS PRO 3</t>
  </si>
  <si>
    <t>SKW6JXF12HG</t>
  </si>
  <si>
    <t>CANON G7X MARK III</t>
  </si>
  <si>
    <t>NEW ZEALAND PURCHASING</t>
  </si>
  <si>
    <t>A21125082000969</t>
  </si>
  <si>
    <t>GALAXY S26 ULTRA BLACK 512 GB LOCK BOX</t>
  </si>
  <si>
    <t>GALAXY Z FOLD 7 256 GB</t>
  </si>
  <si>
    <t>Jet Black</t>
  </si>
  <si>
    <t>Deep Blue Active</t>
  </si>
  <si>
    <t>IPAD PRO M5 13 (W) 1 TB</t>
  </si>
  <si>
    <t>SH4MHGXYC2C</t>
  </si>
  <si>
    <t>Space Black</t>
  </si>
  <si>
    <t>AUSTRALIA PURCHASING</t>
  </si>
  <si>
    <t>MINELAB MONSTER 1000</t>
  </si>
  <si>
    <t>ABDUL MAJID BHAI</t>
  </si>
  <si>
    <t>AR WISE BANK USA</t>
  </si>
  <si>
    <t>MINELAB MONSTER 8000</t>
  </si>
  <si>
    <t>STARLINK V4</t>
  </si>
  <si>
    <t>KIT4049688058DX</t>
  </si>
  <si>
    <t>KIT405945467CTH</t>
  </si>
  <si>
    <t>KIT406182968BD9</t>
  </si>
  <si>
    <t>KIT406182972N9X</t>
  </si>
  <si>
    <t>KIT4061830025C8</t>
  </si>
  <si>
    <t>KIT406183460CB9</t>
  </si>
  <si>
    <t>KIT406183466Z99</t>
  </si>
  <si>
    <t>KIT406183473G85</t>
  </si>
  <si>
    <t>KIT406314731TH5</t>
  </si>
  <si>
    <t>KIT4063159119JG</t>
  </si>
  <si>
    <t>APPLE WATCH SE 3 44MM</t>
  </si>
  <si>
    <t>Midnight GPS+CELLULAR</t>
  </si>
  <si>
    <t>APPLE WATCH SERIES 11 46MM</t>
  </si>
  <si>
    <t>Jet Black GPS+CELLULAR</t>
  </si>
  <si>
    <t>APPLE WATCH ULTRA 3 49MM</t>
  </si>
  <si>
    <t>Black Ti, Ocean GPS + CELLULAR</t>
  </si>
  <si>
    <t>Black Ti, Alp</t>
  </si>
  <si>
    <t>Black Ti, Ocean</t>
  </si>
  <si>
    <t>Natural Ti, Trail</t>
  </si>
  <si>
    <t>A-357063607031736</t>
  </si>
  <si>
    <t>Sale and return after deducation</t>
  </si>
  <si>
    <t>ASHRAF 480</t>
  </si>
  <si>
    <t>2G0YBMTH0701Q0</t>
  </si>
  <si>
    <t>2G0YBMTH0701WW</t>
  </si>
  <si>
    <t>2G0YBMTH0702KR</t>
  </si>
  <si>
    <t>2G0YBMTH0702N1</t>
  </si>
  <si>
    <t>2G0YBMTH0702R7</t>
  </si>
  <si>
    <t>2G0YBMTH0702RB</t>
  </si>
  <si>
    <t>2G0YBMTH0702TD</t>
  </si>
  <si>
    <t>2G0YBMTH0702TG</t>
  </si>
  <si>
    <t>2G97BMMHB60039</t>
  </si>
  <si>
    <t>2G97BMMHB601MK</t>
  </si>
  <si>
    <t>2G97BMMHC0010P</t>
  </si>
  <si>
    <t>2G97BMMHCH04GG</t>
  </si>
  <si>
    <t>2G97BMMHCL01TL</t>
  </si>
  <si>
    <t>2G97BMMHCL02SL</t>
  </si>
  <si>
    <t>2G97BMMHCL02W7</t>
  </si>
  <si>
    <t>2G97BMMHCQ04DS</t>
  </si>
  <si>
    <t>2G97BMMHCS0126</t>
  </si>
  <si>
    <t>2G97BMMHCS012B</t>
  </si>
  <si>
    <t>4V0ZW04HB3041D</t>
  </si>
  <si>
    <t>4V0ZW04HBT0DZT</t>
  </si>
  <si>
    <t>4V37W25J0M011P</t>
  </si>
  <si>
    <t>4V37W32HBY01VG</t>
  </si>
  <si>
    <t>SHINY BLACK GRAPHITE GREEN</t>
  </si>
  <si>
    <t>4V37W32HC000BQ</t>
  </si>
  <si>
    <t>4V37W32HC202XR</t>
  </si>
  <si>
    <t>4V37W32HC300GG</t>
  </si>
  <si>
    <t>4V37W32HC401H6</t>
  </si>
  <si>
    <t>4V37W32HC401MJ</t>
  </si>
  <si>
    <t>KIT4030787628K8</t>
  </si>
  <si>
    <t>KIT403412149G57</t>
  </si>
  <si>
    <t>KIT403818152XPV</t>
  </si>
  <si>
    <t>KIT404722537WZM</t>
  </si>
  <si>
    <t>KIT404722547767</t>
  </si>
  <si>
    <t>KIT404722548WXW</t>
  </si>
  <si>
    <t>KIT404723250JDW</t>
  </si>
  <si>
    <t>KIT4048120517NW</t>
  </si>
  <si>
    <t>KIT404845971H6C</t>
  </si>
  <si>
    <t>KIT404845976H6H</t>
  </si>
  <si>
    <t>KIT404845980DRC</t>
  </si>
  <si>
    <t>KIT404968803K75</t>
  </si>
  <si>
    <t>KIT405035229RN4</t>
  </si>
  <si>
    <t>KIT405035257545</t>
  </si>
  <si>
    <t>KIT405035262GG8</t>
  </si>
  <si>
    <t>KIT405037478N8H</t>
  </si>
  <si>
    <t>KIT405743562XWM</t>
  </si>
  <si>
    <t>KIT405745035GKT</t>
  </si>
  <si>
    <t>KIT405944669DMT</t>
  </si>
  <si>
    <t>KIT405944881K9P</t>
  </si>
  <si>
    <t>KIT405944883H94</t>
  </si>
  <si>
    <t>KIT4059448988W9</t>
  </si>
  <si>
    <t>KIT405944921B4R</t>
  </si>
  <si>
    <t>KIT4059449247T4</t>
  </si>
  <si>
    <t>KIT405944926NVK</t>
  </si>
  <si>
    <t>KIT40594547428K</t>
  </si>
  <si>
    <t>KIT405945475C75</t>
  </si>
  <si>
    <t>KIT405945476HM9</t>
  </si>
  <si>
    <t>KIT405945477BST</t>
  </si>
  <si>
    <t>KIT406135596P6C</t>
  </si>
  <si>
    <t>KIT406182867THQ</t>
  </si>
  <si>
    <t>KIT4061828685BN</t>
  </si>
  <si>
    <t>KIT406182869T59</t>
  </si>
  <si>
    <t>KIT40618287054D</t>
  </si>
  <si>
    <t>KIT406182958GSV</t>
  </si>
  <si>
    <t>KIT406182959XMX</t>
  </si>
  <si>
    <t>KIT406182960H5M</t>
  </si>
  <si>
    <t>KIT406182962TJ7</t>
  </si>
  <si>
    <t>KIT4061829699ZG</t>
  </si>
  <si>
    <t>KIT4061829706VJ</t>
  </si>
  <si>
    <t>KIT4061829995CN</t>
  </si>
  <si>
    <t>KIT406183000FHS</t>
  </si>
  <si>
    <t>KIT4061830014FW</t>
  </si>
  <si>
    <t>KIT406183190K5Z</t>
  </si>
  <si>
    <t>KIT406183191747</t>
  </si>
  <si>
    <t>KIT40618319292B</t>
  </si>
  <si>
    <t>KIT4061831932DQ</t>
  </si>
  <si>
    <t>KIT4061834636JF</t>
  </si>
  <si>
    <t>KIT406183464Z84</t>
  </si>
  <si>
    <t>KIT406183465MKW</t>
  </si>
  <si>
    <t>KIT4061834679C8</t>
  </si>
  <si>
    <t>KIT406183472KPW</t>
  </si>
  <si>
    <t>KIT4061834747WQ</t>
  </si>
  <si>
    <t>KIT4061834758W9</t>
  </si>
  <si>
    <t>KIT406183869P2S</t>
  </si>
  <si>
    <t>KIT406184008DM5</t>
  </si>
  <si>
    <t>KIT406184009TW4</t>
  </si>
  <si>
    <t>KIT406184010FXQ</t>
  </si>
  <si>
    <t>KIT406298863M8Q</t>
  </si>
  <si>
    <t>KIT4062988957CB</t>
  </si>
  <si>
    <t>KIT406298896FJT</t>
  </si>
  <si>
    <t>KIT406298897K4P</t>
  </si>
  <si>
    <t>KIT406298898QZQ</t>
  </si>
  <si>
    <t>KIT4062989087RS</t>
  </si>
  <si>
    <t>KIT4062989092MB</t>
  </si>
  <si>
    <t>KIT40629891068X</t>
  </si>
  <si>
    <t>KIT406298911N4V</t>
  </si>
  <si>
    <t>KIT406298912HWB</t>
  </si>
  <si>
    <t>KIT406298913DG8</t>
  </si>
  <si>
    <t>KIT406298914FD2</t>
  </si>
  <si>
    <t>KIT406298915296</t>
  </si>
  <si>
    <t>KIT406298920CTN</t>
  </si>
  <si>
    <t>KIT406298921J4T</t>
  </si>
  <si>
    <t>KIT406298922Z4S</t>
  </si>
  <si>
    <t>KIT406298927J97</t>
  </si>
  <si>
    <t>KIT406298928JVZ</t>
  </si>
  <si>
    <t>KIT406298929NPS</t>
  </si>
  <si>
    <t>KIT4062989308BR</t>
  </si>
  <si>
    <t>KIT4062990386ZD</t>
  </si>
  <si>
    <t>KIT406299039BRQ</t>
  </si>
  <si>
    <t>KIT4062990658MS</t>
  </si>
  <si>
    <t>KIT40629906686D</t>
  </si>
  <si>
    <t>KIT406299067KVB</t>
  </si>
  <si>
    <t>KIT406299068WHK</t>
  </si>
  <si>
    <t>KIT406299069DPT</t>
  </si>
  <si>
    <t>KIT406299070ZN8</t>
  </si>
  <si>
    <t>KIT406299078GSP</t>
  </si>
  <si>
    <t>KIT406300368D4S</t>
  </si>
  <si>
    <t>KIT406301279GRH</t>
  </si>
  <si>
    <t>KIT4063012832JF</t>
  </si>
  <si>
    <t>KIT406307572BKP</t>
  </si>
  <si>
    <t>KIT4063075744M4</t>
  </si>
  <si>
    <t>KIT4063075778K4</t>
  </si>
  <si>
    <t>KIT406307595V4B</t>
  </si>
  <si>
    <t>KIT4063075966N6</t>
  </si>
  <si>
    <t>KIT4063075974SG</t>
  </si>
  <si>
    <t>KIT406307598GTR</t>
  </si>
  <si>
    <t>KIT406315658FTS</t>
  </si>
  <si>
    <t>KIT406315676S6D</t>
  </si>
  <si>
    <t>KIT406315893D2M</t>
  </si>
  <si>
    <t>KIT406316122MB5</t>
  </si>
  <si>
    <t>KIT406451822D5J</t>
  </si>
  <si>
    <t>KIT4064551447C2</t>
  </si>
  <si>
    <t>DJI MINI 4 PRO STANDARD</t>
  </si>
  <si>
    <t>1581F6Z9C2557003FN58</t>
  </si>
  <si>
    <t>WAHEED BHAI</t>
  </si>
  <si>
    <t>IPAD A16 (W) 128 GB</t>
  </si>
  <si>
    <t>SJ7J9XQF2MM</t>
  </si>
  <si>
    <t>IPAD A16 (W+C) 256 GB</t>
  </si>
  <si>
    <t>IPAD A16 (W+C)128 GB</t>
  </si>
  <si>
    <t>Blue Active</t>
  </si>
  <si>
    <t>Blue Lock</t>
  </si>
  <si>
    <t>IPAD AIR M3 13 (W) 128 GB</t>
  </si>
  <si>
    <t>SLXQY0KH3C0</t>
  </si>
  <si>
    <t>IPAD AIR M4 13 (W+C) 128 GB</t>
  </si>
  <si>
    <t>Space Gray Lock</t>
  </si>
  <si>
    <t>IPAD PRO M5 11 (W+C) 256 GB</t>
  </si>
  <si>
    <t>Silver Lock</t>
  </si>
  <si>
    <t>Space Black Lock</t>
  </si>
  <si>
    <t>IPAD PRO M5 13 (W) 256 GB</t>
  </si>
  <si>
    <t>SCP4413HNYH</t>
  </si>
  <si>
    <t>SFLW13Q6YL0</t>
  </si>
  <si>
    <t>SG33QFP000K</t>
  </si>
  <si>
    <t>SHCR7PV27HQ</t>
  </si>
  <si>
    <t>SHP4D52DWD9</t>
  </si>
  <si>
    <t>SJ7N9H7WJY3</t>
  </si>
  <si>
    <t>SJKMH4VGGYK</t>
  </si>
  <si>
    <t>SJR64XQW5DD</t>
  </si>
  <si>
    <t>SJTYY4PQ7VL</t>
  </si>
  <si>
    <t>SK6L34PR734</t>
  </si>
  <si>
    <t>SK6N7J6W1YH</t>
  </si>
  <si>
    <t>SLV191YXDT9</t>
  </si>
  <si>
    <t>SLV6GHCXM02</t>
  </si>
  <si>
    <t>SMXJLWQK7V4</t>
  </si>
  <si>
    <t>IPAD PRO M5 13 (W) 512 GB</t>
  </si>
  <si>
    <t>SHJ2VVHPKJP</t>
  </si>
  <si>
    <t>SLKQLW31JQ6</t>
  </si>
  <si>
    <t>IPAD PRO M5 13 (W+C) 256 GB</t>
  </si>
  <si>
    <t>Active, Minor Scratches</t>
  </si>
  <si>
    <t>Space Black Active</t>
  </si>
  <si>
    <t>Active, No Protector</t>
  </si>
  <si>
    <t>Active</t>
  </si>
  <si>
    <t>IPAD PRO M5 13 (W+C) 512 GB</t>
  </si>
  <si>
    <t>MACBOOK NEO 13 8 GB, 256 GB</t>
  </si>
  <si>
    <t>SC9Q3M7YY7L</t>
  </si>
  <si>
    <t>Indigo</t>
  </si>
  <si>
    <t>SCWYJ746XD2</t>
  </si>
  <si>
    <t>SDKJR2LRH4X</t>
  </si>
  <si>
    <t>Citrus</t>
  </si>
  <si>
    <t>SGRW4X6CL9L</t>
  </si>
  <si>
    <t>SHWQ0XNCWRR</t>
  </si>
  <si>
    <t>SJ30MWMD92R</t>
  </si>
  <si>
    <t>Blus</t>
  </si>
  <si>
    <t>PS5 PRO</t>
  </si>
  <si>
    <t>S01F14C01GH910960732</t>
  </si>
  <si>
    <t>S01K25801VJ910374308</t>
  </si>
  <si>
    <t>S01K25901VJ910463962</t>
  </si>
  <si>
    <t>SFJQC45JTW1</t>
  </si>
  <si>
    <t>IPAD 10TH GEN (W) 64 GB</t>
  </si>
  <si>
    <t>SH9V9G96V4T</t>
  </si>
  <si>
    <t>Yellow Active, Scratches on Screen Kit</t>
  </si>
  <si>
    <t>AIRPODS 4</t>
  </si>
  <si>
    <t>SHVJJJQWFQ1</t>
  </si>
  <si>
    <t>SDDQ29R3XTV</t>
  </si>
  <si>
    <t>IPAD PRO M3 13 (W+C) 256GB</t>
  </si>
  <si>
    <t>IPAD PRO M4 13 (W) 2 TB</t>
  </si>
  <si>
    <t>SJ2W4Y9KR67</t>
  </si>
  <si>
    <t>Space Black Nano Texture</t>
  </si>
  <si>
    <t>IPAD PRO M4 13 (W+C) 256 GB</t>
  </si>
  <si>
    <t>ID Lock</t>
  </si>
  <si>
    <t>HOLD</t>
  </si>
  <si>
    <t>Low Purchase Price</t>
  </si>
  <si>
    <t>GALAXY S26 ULTRA COBALT VIOLET 512 GB LOCK BOX</t>
  </si>
  <si>
    <t>GALAXY S26 ULTRA SKY BLUE 512 GB LOCK BOX</t>
  </si>
  <si>
    <t>MACBOOK PRO M5 14 16 GB, 512 GB</t>
  </si>
  <si>
    <t>SCK9C3YDTWC</t>
  </si>
  <si>
    <t>SD6JFVJXVX6</t>
  </si>
  <si>
    <t>SD99LMWTV1X</t>
  </si>
  <si>
    <t>SG6VCW0VWYK</t>
  </si>
  <si>
    <t>SG9PMG702X5</t>
  </si>
  <si>
    <t>SGNV7GPWV52</t>
  </si>
  <si>
    <t>SH2QT9PGJC0</t>
  </si>
  <si>
    <t>SJ6LR6M4N07</t>
  </si>
  <si>
    <t>SJDFP9RP77C</t>
  </si>
  <si>
    <t>SJGHJ4H0G9R</t>
  </si>
  <si>
    <t>SK34NVDW3HY</t>
  </si>
  <si>
    <t>SL7NLXFJ930</t>
  </si>
  <si>
    <t>SLFXQFJV670</t>
  </si>
  <si>
    <t>SLKPQJ6VVMQ</t>
  </si>
  <si>
    <t>SLX4YMW4H4Q</t>
  </si>
  <si>
    <t>KIT4041897025FC</t>
  </si>
  <si>
    <t>KIT405424008WR2</t>
  </si>
  <si>
    <t>KIT405741772HQG</t>
  </si>
  <si>
    <t>KIT405741777DN2</t>
  </si>
  <si>
    <t>KIT405743125BTN</t>
  </si>
  <si>
    <t>KIT4057431264ZH</t>
  </si>
  <si>
    <t>KIT4061847489V5</t>
  </si>
  <si>
    <t>KIT4063086838JH</t>
  </si>
  <si>
    <t>KIT406308685R5X</t>
  </si>
  <si>
    <t>KIT406308694F87</t>
  </si>
  <si>
    <t>KIT40631087958Q</t>
  </si>
  <si>
    <t>KIT40631092487V</t>
  </si>
  <si>
    <t>KIT406452256299</t>
  </si>
  <si>
    <t>KIT406452257WN9</t>
  </si>
  <si>
    <t>KIT406455581PPH</t>
  </si>
  <si>
    <t>KIT406455582M7J</t>
  </si>
  <si>
    <t>KIT406455586FPJ</t>
  </si>
  <si>
    <t>KIT406455590XHG</t>
  </si>
  <si>
    <t>KIT406455593K7G</t>
  </si>
  <si>
    <t>KIT406455595SNK</t>
  </si>
  <si>
    <t>APPLE WATCH SERIES 11 42MM</t>
  </si>
  <si>
    <t>BLACK OCEAN BAND Active Unlock</t>
  </si>
  <si>
    <t>BLACK OCEAN BAND Unlock</t>
  </si>
  <si>
    <t>SC9MFMKDP6H</t>
  </si>
  <si>
    <t>GREY Unlock</t>
  </si>
  <si>
    <t>BLACK Unlock</t>
  </si>
  <si>
    <t>SC02X0K2N25</t>
  </si>
  <si>
    <t>SC320MFD42W</t>
  </si>
  <si>
    <t>SILVER Unlock</t>
  </si>
  <si>
    <t>SC3G2QPFH2M</t>
  </si>
  <si>
    <t>SCJ2QDXK56Y</t>
  </si>
  <si>
    <t>SCQXV91YDVW</t>
  </si>
  <si>
    <t>SCXWGJ026VF</t>
  </si>
  <si>
    <t>SD0G6HJ430T</t>
  </si>
  <si>
    <t>SD4MK2WLF2R</t>
  </si>
  <si>
    <t>SDQT43VM232</t>
  </si>
  <si>
    <t>SDRWCTGWRMW</t>
  </si>
  <si>
    <t>SDWHJG3WLP6</t>
  </si>
  <si>
    <t>SDX7LW7RV9L</t>
  </si>
  <si>
    <t>SF9TCQ6HXNW</t>
  </si>
  <si>
    <t>SFGJX4CQQ6G</t>
  </si>
  <si>
    <t>SFJQMJ47LYG</t>
  </si>
  <si>
    <t>SFM21WGH71Y</t>
  </si>
  <si>
    <t>SFY3XW2G9P2</t>
  </si>
  <si>
    <t>SG3P91LF4KF</t>
  </si>
  <si>
    <t>SGDH7D0MQTF</t>
  </si>
  <si>
    <t>SGP4G00V2G3</t>
  </si>
  <si>
    <t>SHL2FQ3HJM4</t>
  </si>
  <si>
    <t>SHX5CCXT9L9</t>
  </si>
  <si>
    <t>SJ6N6R9XV55</t>
  </si>
  <si>
    <t>SJ7M6XVN231</t>
  </si>
  <si>
    <t>SJ9RQ4V3N2K</t>
  </si>
  <si>
    <t>SJLQRY4JWMH</t>
  </si>
  <si>
    <t>SJN7MX52P27</t>
  </si>
  <si>
    <t>SK0XYMQ656G</t>
  </si>
  <si>
    <t>SK2CVW4YCTX</t>
  </si>
  <si>
    <t>SK2D9VGP933</t>
  </si>
  <si>
    <t>SK3HRVGPN20</t>
  </si>
  <si>
    <t>SKD062GNW2Y</t>
  </si>
  <si>
    <t>SKJX9L6109Q</t>
  </si>
  <si>
    <t>SKKQ1J2Q32C</t>
  </si>
  <si>
    <t>SKKX5690K22</t>
  </si>
  <si>
    <t>SLQ207FNV9C</t>
  </si>
  <si>
    <t>SLRR24K2D5W</t>
  </si>
  <si>
    <t>SMX433F5C76</t>
  </si>
  <si>
    <t>STARLINK HP</t>
  </si>
  <si>
    <t>KITP00040152</t>
  </si>
  <si>
    <t>KIT4046455588CFK</t>
  </si>
  <si>
    <t>KIT405159233RG5</t>
  </si>
  <si>
    <t>KIT405741776D84</t>
  </si>
  <si>
    <t>KIT405741779F5S</t>
  </si>
  <si>
    <t>KIT405743127J77</t>
  </si>
  <si>
    <t>KIT405743128XVR</t>
  </si>
  <si>
    <t>KIT4061847497QK</t>
  </si>
  <si>
    <t>KIT4061847502XV</t>
  </si>
  <si>
    <t>KIT40630868282K</t>
  </si>
  <si>
    <t>KIT406308686NTJ</t>
  </si>
  <si>
    <t>KIT406308689G5N</t>
  </si>
  <si>
    <t>KIT406308692GZB</t>
  </si>
  <si>
    <t>KIT406309881CR7</t>
  </si>
  <si>
    <t>KIT406309883WT7</t>
  </si>
  <si>
    <t>KIT4064522544HD</t>
  </si>
  <si>
    <t>KIT406455580J99</t>
  </si>
  <si>
    <t>KIT4064555912VF</t>
  </si>
  <si>
    <t>KIT406455594TQV</t>
  </si>
  <si>
    <t>SC2W42NJ45Y</t>
  </si>
  <si>
    <t>SC4RNVDJX9K</t>
  </si>
  <si>
    <t>SCGYJXY7LL7</t>
  </si>
  <si>
    <t>SCPFVPQH091</t>
  </si>
  <si>
    <t>SDTYG4HCJ7J</t>
  </si>
  <si>
    <t>SDW4G332132</t>
  </si>
  <si>
    <t>SDWRQNWNM9J</t>
  </si>
  <si>
    <t>SFNV5XWP235</t>
  </si>
  <si>
    <t>SG560HF37KP</t>
  </si>
  <si>
    <t>SG5J4D6L7CF</t>
  </si>
  <si>
    <t>SG776JRX4HP</t>
  </si>
  <si>
    <t>SHT4PNQLQYG</t>
  </si>
  <si>
    <t>SHW4WY7L309</t>
  </si>
  <si>
    <t>SKTH7XD95H4</t>
  </si>
  <si>
    <t>SL4QNN6375T</t>
  </si>
  <si>
    <t>SL7Y4W3V6VT</t>
  </si>
  <si>
    <t>SLDH7T41W7R</t>
  </si>
  <si>
    <t>SM4C2Q9GGKX</t>
  </si>
  <si>
    <t>SMW62X0GJJ9</t>
  </si>
  <si>
    <t>AIRPODS 4 (ANC)</t>
  </si>
  <si>
    <t>SCFYQ7TH6H7</t>
  </si>
  <si>
    <t>SFNP6DHG2RG</t>
  </si>
  <si>
    <t>SFT9XW0X7R3</t>
  </si>
  <si>
    <t>SGVW7YF7MHQ</t>
  </si>
  <si>
    <t>SGYXVJ6FWFY</t>
  </si>
  <si>
    <t>SH7NWN2KHGV</t>
  </si>
  <si>
    <t>SJ99639XX47</t>
  </si>
  <si>
    <t>SJFR2DCW5P6</t>
  </si>
  <si>
    <t>SKFFQ2V6CM0</t>
  </si>
  <si>
    <t>SLK7PY9PDPF</t>
  </si>
  <si>
    <t>SHN4P0W2W3F</t>
  </si>
  <si>
    <t>WITH SMART CASE BLUE</t>
  </si>
  <si>
    <t>SLGC4RKF2LN</t>
  </si>
  <si>
    <t>WITH SMART CASE MIDNIGHT</t>
  </si>
  <si>
    <t>AIRPODS PRO 2</t>
  </si>
  <si>
    <t>SMPNXQWDXVR</t>
  </si>
  <si>
    <t>with Magsafe</t>
  </si>
  <si>
    <t>SD2VQND42G9</t>
  </si>
  <si>
    <t>SF4QL2GFV2V</t>
  </si>
  <si>
    <t>SFCF77MQQLT</t>
  </si>
  <si>
    <t>SG52HJXQ002</t>
  </si>
  <si>
    <t>SGYHC337P6C</t>
  </si>
  <si>
    <t>SH77G2PN4RN</t>
  </si>
  <si>
    <t>SJ009HD202W</t>
  </si>
  <si>
    <t>SJ7CYTGVCQ6</t>
  </si>
  <si>
    <t>SJM4JJ70MNF</t>
  </si>
  <si>
    <t>SJX7MTCX45V</t>
  </si>
  <si>
    <t>SK2YN64GX1J</t>
  </si>
  <si>
    <t>SKL73DGVXHD</t>
  </si>
  <si>
    <t>SKPWMNFJW27</t>
  </si>
  <si>
    <t>SLC91DHJFQ5</t>
  </si>
  <si>
    <t>SLP4JYYQM59</t>
  </si>
  <si>
    <t>SLPGLW9T6GM</t>
  </si>
  <si>
    <t>SM2QXF631JJ</t>
  </si>
  <si>
    <t>SM5FVRCJYJ3</t>
  </si>
  <si>
    <t>SMXRGQL29HM</t>
  </si>
  <si>
    <t>JBL CHARGE 6</t>
  </si>
  <si>
    <t>GG1363-AQ0481845</t>
  </si>
  <si>
    <t>BLACK</t>
  </si>
  <si>
    <t>GG1363-AQ0482113</t>
  </si>
  <si>
    <t>GG1363-AQ0484486</t>
  </si>
  <si>
    <t>GG1363-AQ0484488</t>
  </si>
  <si>
    <t>GG1363-AQ0484500</t>
  </si>
  <si>
    <t>GG1365-BQ0289572</t>
  </si>
  <si>
    <t>BLUE</t>
  </si>
  <si>
    <t>GG1365-BQ0289747</t>
  </si>
  <si>
    <t>GG1365-BQ0290107</t>
  </si>
  <si>
    <t>META QUEST 3 256 GB</t>
  </si>
  <si>
    <t>3487B0GGBD02KD</t>
  </si>
  <si>
    <t>3487B0GGBW01HW</t>
  </si>
  <si>
    <t>3487B0GGCG021G</t>
  </si>
  <si>
    <t>2G97BMMHCH03DH</t>
  </si>
  <si>
    <t>2G97BMMHCH04G2</t>
  </si>
  <si>
    <t>2G97BMMHCQ03J8</t>
  </si>
  <si>
    <t>2G97BMMHCQ04HG</t>
  </si>
  <si>
    <t>2G97BMMHCQ04K5</t>
  </si>
  <si>
    <t>META QUEST 3S COMPACT CHARGING DOCK</t>
  </si>
  <si>
    <t>397FB61GCX00DK</t>
  </si>
  <si>
    <t>META WAYFARER</t>
  </si>
  <si>
    <t>4V0ZW23H7001C5</t>
  </si>
  <si>
    <t>MATE BLACK L GRAPHITE GREEN</t>
  </si>
  <si>
    <t>4V0ZW29HBF04HY</t>
  </si>
  <si>
    <t>4V0ZW29J0F024D</t>
  </si>
  <si>
    <t>4V0ZW29J0V0166</t>
  </si>
  <si>
    <t>4V0ZW29J0W06GC</t>
  </si>
  <si>
    <t>4V0ZW29J0X005V</t>
  </si>
  <si>
    <t>4V37W23H8S02MQ</t>
  </si>
  <si>
    <t>4V37W23HB401NV</t>
  </si>
  <si>
    <t>4V37W23HB500DT</t>
  </si>
  <si>
    <t>4V37W23HB500W7</t>
  </si>
  <si>
    <t>4V37W29HCQ01WM</t>
  </si>
  <si>
    <t>4V37W32H9902BM</t>
  </si>
  <si>
    <t>SHINY BLACK</t>
  </si>
  <si>
    <t>4V37W32H9902C3</t>
  </si>
  <si>
    <t>4V37W32HC400Z2</t>
  </si>
  <si>
    <t>4V9GW23HCQ0BRP</t>
  </si>
  <si>
    <t>4V9GW23HCR05C4</t>
  </si>
  <si>
    <t>NINTENDO SWITCH 2</t>
  </si>
  <si>
    <t>HAW50079520923</t>
  </si>
  <si>
    <t>HAW50681746117</t>
  </si>
  <si>
    <t>HAW50723162615</t>
  </si>
  <si>
    <t>HAW50774197055</t>
  </si>
  <si>
    <t>HAW50916528105</t>
  </si>
  <si>
    <t>HAW80639499666</t>
  </si>
  <si>
    <t>NINTENDO SWITCH 2 PRO CONTROLLER</t>
  </si>
  <si>
    <t>NINTENDO SWITCH JOY-CON 2 (L-R)</t>
  </si>
  <si>
    <t>PASTEL PINK</t>
  </si>
  <si>
    <t>LIGHT BLUE</t>
  </si>
  <si>
    <t>S01F14A01GH910814953</t>
  </si>
  <si>
    <t>S01K25701VJ910344064</t>
  </si>
  <si>
    <t>S01K25701VJ910362006</t>
  </si>
  <si>
    <t>S01K25B01VJ910527267</t>
  </si>
  <si>
    <t>CANON SX 740 HS</t>
  </si>
  <si>
    <t>B21125082000969</t>
  </si>
  <si>
    <t>INSTAX MINI 13</t>
  </si>
  <si>
    <t>A002046</t>
  </si>
  <si>
    <t>A002047</t>
  </si>
  <si>
    <t>A002062</t>
  </si>
  <si>
    <t>A004352</t>
  </si>
  <si>
    <t>A012049</t>
  </si>
  <si>
    <t>A012050</t>
  </si>
  <si>
    <t>A012134</t>
  </si>
  <si>
    <t>A022843</t>
  </si>
  <si>
    <t>A022854</t>
  </si>
  <si>
    <t>A022859</t>
  </si>
  <si>
    <t>A022880</t>
  </si>
  <si>
    <t>A023615</t>
  </si>
  <si>
    <t>A023619</t>
  </si>
  <si>
    <t>A026751</t>
  </si>
  <si>
    <t>POWER PLAY</t>
  </si>
  <si>
    <t>A028370</t>
  </si>
  <si>
    <t>A028499</t>
  </si>
  <si>
    <t>A029344</t>
  </si>
  <si>
    <t>A030558</t>
  </si>
  <si>
    <t>A030561</t>
  </si>
  <si>
    <t>A038394</t>
  </si>
  <si>
    <t>A063521</t>
  </si>
  <si>
    <t>A063524</t>
  </si>
  <si>
    <t>A063590</t>
  </si>
  <si>
    <t>A063592</t>
  </si>
  <si>
    <t>L0000Z5</t>
  </si>
  <si>
    <t>L00029Y</t>
  </si>
  <si>
    <t>L0002A4</t>
  </si>
  <si>
    <t>L0002DB</t>
  </si>
  <si>
    <t>L0002DE</t>
  </si>
  <si>
    <t>L0002Q7</t>
  </si>
  <si>
    <t>L00031E</t>
  </si>
  <si>
    <t>L0003C1</t>
  </si>
  <si>
    <t>L0003ES</t>
  </si>
  <si>
    <t>L0003HA</t>
  </si>
  <si>
    <t>L000EML</t>
  </si>
  <si>
    <t>L000EP1</t>
  </si>
  <si>
    <t>L000ES3</t>
  </si>
  <si>
    <t>L000ESQ</t>
  </si>
  <si>
    <t>L000F7F</t>
  </si>
  <si>
    <t>L000GLS</t>
  </si>
  <si>
    <t>L000GNN</t>
  </si>
  <si>
    <t>L000GQ1</t>
  </si>
  <si>
    <t>L000GQ8</t>
  </si>
  <si>
    <t>L000GRL</t>
  </si>
  <si>
    <t>L000JSY</t>
  </si>
  <si>
    <t>L000JVU</t>
  </si>
  <si>
    <t>L000K06</t>
  </si>
  <si>
    <t>L000K0B</t>
  </si>
  <si>
    <t>L000K37</t>
  </si>
  <si>
    <t>L000K54</t>
  </si>
  <si>
    <t>L000K6K</t>
  </si>
  <si>
    <t>L000KEW</t>
  </si>
  <si>
    <t>L000KHU</t>
  </si>
  <si>
    <t>L000KHV</t>
  </si>
  <si>
    <t>L000QWA</t>
  </si>
  <si>
    <t>L000RYQ</t>
  </si>
  <si>
    <t>L000SA7</t>
  </si>
  <si>
    <t>L000SEF</t>
  </si>
  <si>
    <t>L000SEV</t>
  </si>
  <si>
    <t>L000SEW</t>
  </si>
  <si>
    <t>L000SNJ</t>
  </si>
  <si>
    <t>L000SVF</t>
  </si>
  <si>
    <t>L000T18</t>
  </si>
  <si>
    <t>L000T4B</t>
  </si>
  <si>
    <t>L000T8N</t>
  </si>
  <si>
    <t>L000TKY</t>
  </si>
  <si>
    <t>L000TQD</t>
  </si>
  <si>
    <t>L000TZR</t>
  </si>
  <si>
    <t>L000UE6</t>
  </si>
  <si>
    <t>L000WA9</t>
  </si>
  <si>
    <t>L000WBE</t>
  </si>
  <si>
    <t>L00116G</t>
  </si>
  <si>
    <t>L0011F5</t>
  </si>
  <si>
    <t>L0011K9</t>
  </si>
  <si>
    <t>L0011KA</t>
  </si>
  <si>
    <t>L0011RF</t>
  </si>
  <si>
    <t>L0011RQ</t>
  </si>
  <si>
    <t>L0011SC</t>
  </si>
  <si>
    <t>L00121X</t>
  </si>
  <si>
    <t>L00122Z</t>
  </si>
  <si>
    <t>L00135W</t>
  </si>
  <si>
    <t>L001N86</t>
  </si>
  <si>
    <t>L001NB8</t>
  </si>
  <si>
    <t>L001NB9</t>
  </si>
  <si>
    <t>L001NBF</t>
  </si>
  <si>
    <t>L001NBW</t>
  </si>
  <si>
    <t>L001NBY</t>
  </si>
  <si>
    <t>L001NC3</t>
  </si>
  <si>
    <t>L001NC9</t>
  </si>
  <si>
    <t>L001NDJ</t>
  </si>
  <si>
    <t>L001NDQ</t>
  </si>
  <si>
    <t>L0073ZK</t>
  </si>
  <si>
    <t>L007499</t>
  </si>
  <si>
    <t>L0074A0</t>
  </si>
  <si>
    <t>L0074A1</t>
  </si>
  <si>
    <t>L0074AB</t>
  </si>
  <si>
    <t>L0074BS</t>
  </si>
  <si>
    <t>L0075HQ</t>
  </si>
  <si>
    <t>L0075KW</t>
  </si>
  <si>
    <t>L0075QR</t>
  </si>
  <si>
    <t>L0075QS</t>
  </si>
  <si>
    <t>L0078TX</t>
  </si>
  <si>
    <t>L0079VE</t>
  </si>
  <si>
    <t>L007A0W</t>
  </si>
  <si>
    <t>L007A46</t>
  </si>
  <si>
    <t>L007ACR</t>
  </si>
  <si>
    <t>L007BJL</t>
  </si>
  <si>
    <t>L007BRZ</t>
  </si>
  <si>
    <t>L007EGZ</t>
  </si>
  <si>
    <t>L007EH7</t>
  </si>
  <si>
    <t>L007EHU</t>
  </si>
  <si>
    <t>L007EJ8</t>
  </si>
  <si>
    <t>L007EKR</t>
  </si>
  <si>
    <t>L007EKU</t>
  </si>
  <si>
    <t>L007EKV</t>
  </si>
  <si>
    <t>L007EKW</t>
  </si>
  <si>
    <t>L007F1S</t>
  </si>
  <si>
    <t>L007F1T</t>
  </si>
  <si>
    <t>L007F2%</t>
  </si>
  <si>
    <t>L007F23</t>
  </si>
  <si>
    <t>L007F5C</t>
  </si>
  <si>
    <t>IPHONE 16 256 GB</t>
  </si>
  <si>
    <t>Unlock Kit</t>
  </si>
  <si>
    <t>HAW50180684736</t>
  </si>
  <si>
    <t>HAW50193541811</t>
  </si>
  <si>
    <t>HAW50325936133</t>
  </si>
  <si>
    <t>HAW50361978708</t>
  </si>
  <si>
    <t>HAW50416422583</t>
  </si>
  <si>
    <t>HAW50651401848</t>
  </si>
  <si>
    <t>PS5 SLIM DISC</t>
  </si>
  <si>
    <t>S01E45601CE810573040</t>
  </si>
  <si>
    <t>KIT4062988792FR</t>
  </si>
  <si>
    <t>KIT4063086782QF</t>
  </si>
  <si>
    <t>KIT40630868425D</t>
  </si>
  <si>
    <t>KIT4063086878C6</t>
  </si>
  <si>
    <t>KIT406308688XHT</t>
  </si>
  <si>
    <t>KIT406308691KMX</t>
  </si>
  <si>
    <t>KIT406308693NVJ</t>
  </si>
  <si>
    <t>KIT4063086955CG</t>
  </si>
  <si>
    <t>KIT406308696GT8</t>
  </si>
  <si>
    <t>KIT4063098799TG</t>
  </si>
  <si>
    <t>KIT406309880XF4</t>
  </si>
  <si>
    <t>KIT406310676F7X</t>
  </si>
  <si>
    <t>KIT4063112958NV</t>
  </si>
  <si>
    <t>KIT406311299JJ4</t>
  </si>
  <si>
    <t>KIT406452255W7H</t>
  </si>
  <si>
    <t>KIT406455579FZJ</t>
  </si>
  <si>
    <t>KIT406455583QJV</t>
  </si>
  <si>
    <t>KIT406455587P4F</t>
  </si>
  <si>
    <t>KIT406455589GDK</t>
  </si>
  <si>
    <t>KIT406455596RK4</t>
  </si>
  <si>
    <t>KIT406786484FZB</t>
  </si>
  <si>
    <t>SILVER Unlock Active</t>
  </si>
  <si>
    <t>SILVER Unlock Non Active</t>
  </si>
  <si>
    <t>ACosmic Orange Unlock Non Active</t>
  </si>
  <si>
    <t>Deep Blue Unlock Non Active</t>
  </si>
  <si>
    <t>Cosmic Orange Active Unlock</t>
  </si>
  <si>
    <t>S01K25A01VJ910504298</t>
  </si>
  <si>
    <t>1581F6Z9C2519003AYFZ</t>
  </si>
  <si>
    <t>HAW50395523288</t>
  </si>
  <si>
    <t>HAW50825848127</t>
  </si>
  <si>
    <t>HAW50850008251</t>
  </si>
  <si>
    <t>HAW50902799427</t>
  </si>
  <si>
    <t>HAW50904120373</t>
  </si>
  <si>
    <t>PS5 CD DISCS</t>
  </si>
  <si>
    <t>cddragonage030</t>
  </si>
  <si>
    <t>GIFT ACCOUNT</t>
  </si>
  <si>
    <t>S01M45601K1W11165182</t>
  </si>
  <si>
    <t>KIT406184751GSR</t>
  </si>
  <si>
    <t>KIT40630869028J</t>
  </si>
  <si>
    <t>KIT4064555929RK</t>
  </si>
  <si>
    <t>WOJIN TECHNOLOGIES</t>
  </si>
  <si>
    <t>HAW50474391821</t>
  </si>
  <si>
    <t>HAW50543274703</t>
  </si>
  <si>
    <t>HAW50676341556</t>
  </si>
  <si>
    <t>HAW50809884530</t>
  </si>
  <si>
    <t>S01K25901VJ910420854</t>
  </si>
  <si>
    <t>S01K25901VJ910424406</t>
  </si>
  <si>
    <t>S01F55901DR210315410</t>
  </si>
  <si>
    <t>S01V55701Z1L10846630</t>
  </si>
  <si>
    <t>S01V55801Z1L11001841</t>
  </si>
  <si>
    <t>S01V55801Z1L11086045</t>
  </si>
  <si>
    <t>TOTAL</t>
  </si>
  <si>
    <t>SJPX6WC97QD</t>
  </si>
  <si>
    <t>with Case Purple</t>
  </si>
  <si>
    <t>SLCYH34KH90</t>
  </si>
  <si>
    <t>Starlight</t>
  </si>
  <si>
    <t>2G97BMMH5F04LM</t>
  </si>
  <si>
    <t>2G97BMMH9H022V</t>
  </si>
  <si>
    <t>2G97BMMHB600GG</t>
  </si>
  <si>
    <t>2Q9GS11H9Q079Z</t>
  </si>
  <si>
    <t>Matte Black, Graphite Green</t>
  </si>
  <si>
    <t>4V0ZW04HC30BNG</t>
  </si>
  <si>
    <t>4V37W22H8T03JX</t>
  </si>
  <si>
    <t>Shiny Black, G15 Green</t>
  </si>
  <si>
    <t>4V37W25HB101WQ</t>
  </si>
  <si>
    <t>PS5 DUAL SENSE CONTROLLER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</si>
  <si>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</si>
  <si>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</si>
  <si>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</si>
  <si>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</si>
  <si>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</si>
  <si>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Black Ti, Trail</t>
  </si>
  <si>
    <t>IPAD PRO M1 13" (W) 128 GB</t>
  </si>
  <si>
    <t>SQG9JJ2CJQK</t>
  </si>
  <si>
    <t>IPAD PRO M4 13 (W) 256 GB</t>
  </si>
  <si>
    <t>SJXKF950C3P</t>
  </si>
  <si>
    <t>Black Ti, Ocean 49mm</t>
  </si>
  <si>
    <t>Less Gst</t>
  </si>
  <si>
    <t>After Gst</t>
  </si>
  <si>
    <t>Total Sale</t>
  </si>
  <si>
    <t>Total Purchase</t>
  </si>
  <si>
    <t>Total Profit</t>
  </si>
  <si>
    <t>Average Percentage</t>
  </si>
  <si>
    <t>Total Puchase</t>
  </si>
  <si>
    <t>Total Gst</t>
  </si>
  <si>
    <t>Total Purchasing</t>
  </si>
  <si>
    <t xml:space="preserve"> Total profit loss</t>
  </si>
  <si>
    <t>Karachi</t>
  </si>
  <si>
    <t>Mel Company formation fee Basit 850 AU$ @2.6350</t>
  </si>
  <si>
    <t>Relocation Expense waleed 1000 AU$ @2.6215</t>
  </si>
  <si>
    <t>Perth collection commission 450 AU$ @2.6215</t>
  </si>
  <si>
    <t>Storage Charges Storage King Sydney 457 AU$ @2.5971</t>
  </si>
  <si>
    <t>4000 AU$ @2.5859 Aus office rent</t>
  </si>
  <si>
    <t>INV 00091386 2789.28 NZ$ @2.15 CTF Newzealand</t>
  </si>
  <si>
    <t>INV 00885566 8926.70 AU$ @2.6273 CTF Aus</t>
  </si>
  <si>
    <t>Perth Shipping Qoute Price 4800$ @2.5859</t>
  </si>
  <si>
    <t>Total Expanse</t>
  </si>
  <si>
    <t>Total Profit in Australia</t>
  </si>
  <si>
    <t>888879701928 517.46 US$ @3.57</t>
  </si>
  <si>
    <t>Air Cargo - CT Freight Invoice 17178 &amp; 17236 1952.73 US$ @3.57</t>
  </si>
  <si>
    <t>Air Cargo - CT Freight Invoice 17285 &amp; 17286 2237.5 US$ @3.57</t>
  </si>
  <si>
    <t>3000 US$ @3.57 usa exp may-2026 by AM</t>
  </si>
  <si>
    <t>300 US$ @3.57 Petrol exp may-2026 by AM</t>
  </si>
  <si>
    <t>Total Profit in Usa</t>
  </si>
  <si>
    <t>Collection Commision Abdul Khan 1370 NZ$ @2.15</t>
  </si>
  <si>
    <t>Total Profit in NewZealand</t>
  </si>
  <si>
    <t>Express &amp; Turbo Charges 20700/3</t>
  </si>
  <si>
    <t>Salary Exp AB,AM</t>
  </si>
  <si>
    <t>Dubai Office Exp</t>
  </si>
  <si>
    <t>Commission Charges</t>
  </si>
  <si>
    <t>Discount</t>
  </si>
  <si>
    <t>Karachi Office Exp</t>
  </si>
  <si>
    <t>Carry to Khi</t>
  </si>
  <si>
    <t>Total Profit in Dxb &amp; Khi</t>
  </si>
  <si>
    <t>OverAll Revenue</t>
  </si>
  <si>
    <t>Total Sale Value</t>
  </si>
  <si>
    <t>Australia</t>
  </si>
  <si>
    <t>NewZealand</t>
  </si>
  <si>
    <t>USA</t>
  </si>
  <si>
    <t>Dxb &amp; Khi</t>
  </si>
  <si>
    <t>Total Purchase Value</t>
  </si>
  <si>
    <t>408 shop</t>
  </si>
  <si>
    <t>408 Shop Profit</t>
  </si>
  <si>
    <t>Shop Rent</t>
  </si>
  <si>
    <t>Ali Salary</t>
  </si>
  <si>
    <t>Maintenance</t>
  </si>
  <si>
    <t>Food</t>
  </si>
  <si>
    <t>Total Profit after Exp</t>
  </si>
  <si>
    <t>5833.33 AU$ @2.5980 Car (Aus 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</si>
</sst>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sz val="11"/>
      <color rgb="FF1E293B"/>
      <name val="Arial"/>
      <family val="2"/>
    </font>
    <font>
      <sz val="10"/>
      <color rgb="FF1E293B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9875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/>
    <xf numFmtId="1" fontId="0" fillId="0" borderId="0" xfId="0" applyNumberFormat="1"/>
    <xf numFmtId="14" fontId="0" fillId="2" borderId="1" xfId="0" applyNumberFormat="1" applyFill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/>
    <xf numFmtId="2" fontId="0" fillId="0" borderId="0" xfId="0" applyNumberFormat="1"/>
    <xf numFmtId="10" fontId="0" fillId="0" borderId="0" xfId="0" applyNumberFormat="1"/>
    <xf numFmtId="0" fontId="0" fillId="3" borderId="1" xfId="0" applyFill="1" applyBorder="1"/>
    <xf numFmtId="10" fontId="0" fillId="3" borderId="1" xfId="0" applyNumberFormat="1" applyFill="1" applyBorder="1"/>
    <xf numFmtId="14" fontId="0" fillId="4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 applyAlignment="1">
      <alignment horizontal="center"/>
    </xf>
    <xf numFmtId="10" fontId="0" fillId="4" borderId="1" xfId="0" applyNumberFormat="1" applyFill="1" applyBorder="1"/>
    <xf numFmtId="1" fontId="0" fillId="4" borderId="1" xfId="0" applyNumberFormat="1" applyFill="1" applyBorder="1"/>
    <xf numFmtId="14" fontId="0" fillId="3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2" fillId="0" borderId="0" xfId="0" applyFont="1"/>
    <xf numFmtId="10" fontId="2" fillId="0" borderId="0" xfId="0" applyNumberFormat="1" applyFont="1"/>
    <xf numFmtId="0" fontId="3" fillId="5" borderId="2" xfId="0" applyFont="1" applyFill="1" applyBorder="1"/>
    <xf numFmtId="10" fontId="3" fillId="5" borderId="2" xfId="0" applyNumberFormat="1" applyFont="1" applyFill="1" applyBorder="1"/>
    <xf numFmtId="0" fontId="3" fillId="6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10" fontId="0" fillId="0" borderId="1" xfId="0" applyNumberFormat="1" applyBorder="1"/>
    <xf numFmtId="0" fontId="2" fillId="7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10" fontId="2" fillId="7" borderId="1" xfId="0" applyNumberFormat="1" applyFont="1" applyFill="1" applyBorder="1" applyAlignment="1">
      <alignment horizontal="center" vertical="center"/>
    </xf>
    <xf numFmtId="1" fontId="2" fillId="3" borderId="0" xfId="1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/>
    <xf numFmtId="0" fontId="6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8" fillId="0" borderId="1" xfId="0" applyFont="1" applyBorder="1"/>
    <xf numFmtId="0" fontId="9" fillId="8" borderId="1" xfId="0" applyFont="1" applyFill="1" applyBorder="1"/>
    <xf numFmtId="0" fontId="10" fillId="0" borderId="1" xfId="0" applyFont="1" applyBorder="1"/>
    <xf numFmtId="2" fontId="9" fillId="8" borderId="1" xfId="0" applyNumberFormat="1" applyFont="1" applyFill="1" applyBorder="1"/>
    <xf numFmtId="0" fontId="11" fillId="8" borderId="1" xfId="0" applyFont="1" applyFill="1" applyBorder="1"/>
    <xf numFmtId="0" fontId="11" fillId="0" borderId="1" xfId="0" applyFont="1" applyBorder="1"/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2" fontId="0" fillId="0" borderId="1" xfId="0" applyNumberFormat="1" applyFont="1" applyBorder="1" applyAlignment="1">
      <alignment horizontal="right"/>
    </xf>
    <xf numFmtId="2" fontId="4" fillId="3" borderId="1" xfId="1" applyNumberFormat="1" applyFont="1" applyFill="1" applyBorder="1" applyAlignment="1">
      <alignment horizontal="right" vertical="center" wrapText="1"/>
    </xf>
    <xf numFmtId="1" fontId="2" fillId="3" borderId="1" xfId="1" applyNumberFormat="1" applyFont="1" applyFill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/>
    <xf numFmtId="2" fontId="11" fillId="3" borderId="1" xfId="1" applyNumberFormat="1" applyFont="1" applyFill="1" applyBorder="1" applyAlignment="1">
      <alignment horizontal="right" vertical="center" wrapText="1"/>
    </xf>
    <xf numFmtId="0" fontId="11" fillId="8" borderId="1" xfId="0" applyFont="1" applyFill="1" applyBorder="1" applyAlignment="1"/>
    <xf numFmtId="2" fontId="11" fillId="8" borderId="1" xfId="0" applyNumberFormat="1" applyFont="1" applyFill="1" applyBorder="1" applyAlignment="1"/>
    <xf numFmtId="10" fontId="2" fillId="0" borderId="1" xfId="0" applyNumberFormat="1" applyFont="1" applyBorder="1"/>
    <xf numFmtId="0" fontId="3" fillId="5" borderId="1" xfId="0" applyFont="1" applyFill="1" applyBorder="1"/>
    <xf numFmtId="10" fontId="3" fillId="5" borderId="1" xfId="0" applyNumberFormat="1" applyFont="1" applyFill="1" applyBorder="1"/>
    <xf numFmtId="0" fontId="9" fillId="9" borderId="1" xfId="0" applyFont="1" applyFill="1" applyBorder="1"/>
    <xf numFmtId="2" fontId="9" fillId="9" borderId="1" xfId="0" applyNumberFormat="1" applyFont="1" applyFill="1" applyBorder="1"/>
    <xf numFmtId="2" fontId="11" fillId="8" borderId="1" xfId="0" applyNumberFormat="1" applyFont="1" applyFill="1" applyBorder="1"/>
    <xf numFmtId="0" fontId="2" fillId="10" borderId="1" xfId="0" applyFont="1" applyFill="1" applyBorder="1"/>
    <xf numFmtId="2" fontId="2" fillId="10" borderId="1" xfId="0" applyNumberFormat="1" applyFont="1" applyFill="1" applyBorder="1"/>
    <xf numFmtId="0" fontId="2" fillId="11" borderId="1" xfId="0" applyFont="1" applyFill="1" applyBorder="1"/>
    <xf numFmtId="2" fontId="2" fillId="11" borderId="1" xfId="0" applyNumberFormat="1" applyFont="1" applyFill="1" applyBorder="1"/>
  </cellXfs>
  <cellStyles count="2">
    <cellStyle name="Normal" xfId="0" builtinId="0"/>
    <cellStyle name="Normal 2" xfId="1" xr:uid="{29920F30-2585-4001-848A-E7226CC51E3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09AF-B4B9-4159-8545-147BFE5227B3}">
  <dimension ref="A1:N1180"/>
  <sheetViews>
    <sheetView topLeftCell="A10" workbookViewId="0">
      <selection activeCell="B29" sqref="B29"/>
    </sheetView>
  </sheetViews>
  <sheetFormatPr defaultRowHeight="15" x14ac:dyDescent="0.25"/>
  <cols>
    <col min="1" max="1" width="22.85546875" customWidth="1"/>
    <col min="2" max="2" width="36.42578125" customWidth="1"/>
    <col min="3" max="3" width="33.42578125" style="2" customWidth="1"/>
    <col min="4" max="4" width="29.7109375" customWidth="1"/>
    <col min="5" max="5" width="13" customWidth="1"/>
    <col min="6" max="6" width="18.7109375" customWidth="1"/>
    <col min="7" max="7" width="19" customWidth="1"/>
    <col min="8" max="8" width="17.7109375" customWidth="1"/>
    <col min="9" max="9" width="21.85546875" customWidth="1"/>
    <col min="10" max="10" width="18.285156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  <c r="B4" t="s">
        <v>4</v>
      </c>
    </row>
    <row r="6" spans="1:10" x14ac:dyDescent="0.25">
      <c r="A6" t="s">
        <v>5</v>
      </c>
      <c r="B6" t="s">
        <v>6</v>
      </c>
      <c r="C6" s="2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</row>
    <row r="7" spans="1:10" s="3" customFormat="1" x14ac:dyDescent="0.25">
      <c r="A7" s="5">
        <v>46135</v>
      </c>
      <c r="B7" s="6" t="s">
        <v>15</v>
      </c>
      <c r="C7" s="7" t="s">
        <v>741</v>
      </c>
      <c r="D7" s="6" t="s">
        <v>742</v>
      </c>
      <c r="E7" s="6">
        <v>1600</v>
      </c>
      <c r="F7" s="6">
        <v>1249.5</v>
      </c>
      <c r="G7" s="6">
        <v>-1248.5</v>
      </c>
      <c r="H7" s="8">
        <v>-0.9991996798719488</v>
      </c>
      <c r="I7" s="6" t="s">
        <v>18</v>
      </c>
    </row>
    <row r="8" spans="1:10" s="3" customFormat="1" x14ac:dyDescent="0.25">
      <c r="A8" s="5">
        <v>46135</v>
      </c>
      <c r="B8" s="6" t="s">
        <v>15</v>
      </c>
      <c r="C8" s="7" t="s">
        <v>743</v>
      </c>
      <c r="D8" s="6" t="s">
        <v>744</v>
      </c>
      <c r="E8" s="6">
        <v>1600</v>
      </c>
      <c r="F8" s="6">
        <v>1467.8</v>
      </c>
      <c r="G8" s="6">
        <v>-1466.8</v>
      </c>
      <c r="H8" s="8">
        <v>-0.99931870827088154</v>
      </c>
      <c r="I8" s="6" t="s">
        <v>18</v>
      </c>
    </row>
    <row r="9" spans="1:10" s="3" customFormat="1" x14ac:dyDescent="0.25">
      <c r="A9" s="5">
        <v>46135</v>
      </c>
      <c r="B9" s="6" t="s">
        <v>40</v>
      </c>
      <c r="C9" s="7" t="s">
        <v>745</v>
      </c>
      <c r="D9" s="6"/>
      <c r="E9" s="6">
        <v>1930</v>
      </c>
      <c r="F9" s="6">
        <v>1517.25</v>
      </c>
      <c r="G9" s="6">
        <v>-1516.25</v>
      </c>
      <c r="H9" s="8">
        <v>-0.99934091283572257</v>
      </c>
      <c r="I9" s="6" t="s">
        <v>18</v>
      </c>
    </row>
    <row r="10" spans="1:10" s="3" customFormat="1" x14ac:dyDescent="0.25">
      <c r="A10" s="5">
        <v>46135</v>
      </c>
      <c r="B10" s="6" t="s">
        <v>40</v>
      </c>
      <c r="C10" s="7" t="s">
        <v>746</v>
      </c>
      <c r="D10" s="6" t="s">
        <v>30</v>
      </c>
      <c r="E10" s="6">
        <v>1930</v>
      </c>
      <c r="F10" s="6">
        <v>1517.25</v>
      </c>
      <c r="G10" s="6">
        <v>-1516.25</v>
      </c>
      <c r="H10" s="8">
        <v>-0.99934091283572257</v>
      </c>
      <c r="I10" s="6" t="s">
        <v>18</v>
      </c>
    </row>
    <row r="11" spans="1:10" s="3" customFormat="1" x14ac:dyDescent="0.25">
      <c r="A11" s="5">
        <v>46135</v>
      </c>
      <c r="B11" s="6" t="s">
        <v>40</v>
      </c>
      <c r="C11" s="7" t="s">
        <v>747</v>
      </c>
      <c r="D11" s="6" t="s">
        <v>30</v>
      </c>
      <c r="E11" s="6">
        <v>1930</v>
      </c>
      <c r="F11" s="6">
        <v>1517.25</v>
      </c>
      <c r="G11" s="6">
        <v>-1516.25</v>
      </c>
      <c r="H11" s="8">
        <v>-0.99934091283572257</v>
      </c>
      <c r="I11" s="6" t="s">
        <v>18</v>
      </c>
    </row>
    <row r="12" spans="1:10" s="3" customFormat="1" x14ac:dyDescent="0.25">
      <c r="A12" s="5">
        <v>46135</v>
      </c>
      <c r="B12" s="6" t="s">
        <v>520</v>
      </c>
      <c r="C12" s="7" t="s">
        <v>748</v>
      </c>
      <c r="D12" s="6" t="s">
        <v>749</v>
      </c>
      <c r="E12" s="6">
        <v>1050</v>
      </c>
      <c r="F12" s="6">
        <v>624.75</v>
      </c>
      <c r="G12" s="6">
        <v>-623.75</v>
      </c>
      <c r="H12" s="8">
        <v>-0.9983993597438976</v>
      </c>
      <c r="I12" s="6" t="s">
        <v>18</v>
      </c>
    </row>
    <row r="13" spans="1:10" s="3" customFormat="1" x14ac:dyDescent="0.25">
      <c r="A13" s="5">
        <v>46135</v>
      </c>
      <c r="B13" s="6" t="s">
        <v>55</v>
      </c>
      <c r="C13" s="7" t="s">
        <v>750</v>
      </c>
      <c r="D13" s="6" t="s">
        <v>39</v>
      </c>
      <c r="E13" s="6">
        <v>1340</v>
      </c>
      <c r="F13" s="6">
        <v>1253</v>
      </c>
      <c r="G13" s="6">
        <v>-1252</v>
      </c>
      <c r="H13" s="8">
        <v>-0.99920191540303271</v>
      </c>
      <c r="I13" s="6" t="s">
        <v>18</v>
      </c>
    </row>
    <row r="14" spans="1:10" s="3" customFormat="1" x14ac:dyDescent="0.25">
      <c r="A14" s="5">
        <v>46135</v>
      </c>
      <c r="B14" s="6" t="s">
        <v>55</v>
      </c>
      <c r="C14" s="7" t="s">
        <v>751</v>
      </c>
      <c r="D14" s="6" t="s">
        <v>752</v>
      </c>
      <c r="E14" s="6">
        <v>1242</v>
      </c>
      <c r="F14" s="6">
        <v>1249.5</v>
      </c>
      <c r="G14" s="6">
        <v>-1248.5</v>
      </c>
      <c r="H14" s="8">
        <v>-0.9991996798719488</v>
      </c>
      <c r="I14" s="6" t="s">
        <v>18</v>
      </c>
    </row>
    <row r="15" spans="1:10" s="3" customFormat="1" x14ac:dyDescent="0.25">
      <c r="A15" s="5">
        <v>46135</v>
      </c>
      <c r="B15" s="6" t="s">
        <v>55</v>
      </c>
      <c r="C15" s="7" t="s">
        <v>753</v>
      </c>
      <c r="D15" s="6" t="s">
        <v>59</v>
      </c>
      <c r="E15" s="6">
        <v>1540</v>
      </c>
      <c r="F15" s="6">
        <v>1249.5</v>
      </c>
      <c r="G15" s="6">
        <v>-1248.5</v>
      </c>
      <c r="H15" s="8">
        <v>-0.9991996798719488</v>
      </c>
      <c r="I15" s="6" t="s">
        <v>18</v>
      </c>
    </row>
    <row r="16" spans="1:10" s="3" customFormat="1" x14ac:dyDescent="0.25">
      <c r="A16" s="5">
        <v>46135</v>
      </c>
      <c r="B16" s="6" t="s">
        <v>754</v>
      </c>
      <c r="C16" s="7" t="s">
        <v>755</v>
      </c>
      <c r="D16" s="6"/>
      <c r="E16" s="6">
        <v>194</v>
      </c>
      <c r="F16" s="6">
        <v>143.19999999999999</v>
      </c>
      <c r="G16" s="6">
        <v>-142.19999999999999</v>
      </c>
      <c r="H16" s="8">
        <v>-0.99301675977653636</v>
      </c>
      <c r="I16" s="6" t="s">
        <v>18</v>
      </c>
    </row>
    <row r="17" spans="1:10" s="3" customFormat="1" x14ac:dyDescent="0.25">
      <c r="A17" s="5">
        <v>46135</v>
      </c>
      <c r="B17" s="6" t="s">
        <v>754</v>
      </c>
      <c r="C17" s="7" t="s">
        <v>756</v>
      </c>
      <c r="D17" s="6"/>
      <c r="E17" s="6">
        <v>194</v>
      </c>
      <c r="F17" s="6">
        <v>143.19999999999999</v>
      </c>
      <c r="G17" s="6">
        <v>-142.19999999999999</v>
      </c>
      <c r="H17" s="8">
        <v>-0.99301675977653636</v>
      </c>
      <c r="I17" s="6" t="s">
        <v>18</v>
      </c>
    </row>
    <row r="18" spans="1:10" s="3" customFormat="1" x14ac:dyDescent="0.25">
      <c r="A18" s="5">
        <v>46135</v>
      </c>
      <c r="B18" s="6" t="s">
        <v>754</v>
      </c>
      <c r="C18" s="7" t="s">
        <v>757</v>
      </c>
      <c r="D18" s="6"/>
      <c r="E18" s="6">
        <v>194</v>
      </c>
      <c r="F18" s="6">
        <v>143.19999999999999</v>
      </c>
      <c r="G18" s="6">
        <v>-142.19999999999999</v>
      </c>
      <c r="H18" s="8">
        <v>-0.99301675977653636</v>
      </c>
      <c r="I18" s="6" t="s">
        <v>18</v>
      </c>
    </row>
    <row r="19" spans="1:10" s="3" customFormat="1" x14ac:dyDescent="0.25">
      <c r="A19" s="5">
        <v>46135</v>
      </c>
      <c r="B19" s="6" t="s">
        <v>754</v>
      </c>
      <c r="C19" s="7" t="s">
        <v>758</v>
      </c>
      <c r="D19" s="6"/>
      <c r="E19" s="6">
        <v>194</v>
      </c>
      <c r="F19" s="6">
        <v>143.19999999999999</v>
      </c>
      <c r="G19" s="6">
        <v>-142.19999999999999</v>
      </c>
      <c r="H19" s="8">
        <v>-0.99301675977653636</v>
      </c>
      <c r="I19" s="6" t="s">
        <v>18</v>
      </c>
    </row>
    <row r="20" spans="1:10" s="3" customFormat="1" x14ac:dyDescent="0.25">
      <c r="A20" s="5">
        <v>46135</v>
      </c>
      <c r="B20" s="6" t="s">
        <v>754</v>
      </c>
      <c r="C20" s="7" t="s">
        <v>759</v>
      </c>
      <c r="D20" s="6"/>
      <c r="E20" s="6">
        <v>194</v>
      </c>
      <c r="F20" s="6">
        <v>143.19999999999999</v>
      </c>
      <c r="G20" s="6">
        <v>-142.19999999999999</v>
      </c>
      <c r="H20" s="8">
        <v>-0.99301675977653636</v>
      </c>
      <c r="I20" s="6" t="s">
        <v>18</v>
      </c>
    </row>
    <row r="21" spans="1:10" s="3" customFormat="1" x14ac:dyDescent="0.25">
      <c r="A21" s="5">
        <v>46141</v>
      </c>
      <c r="B21" s="6" t="s">
        <v>131</v>
      </c>
      <c r="C21" s="7">
        <v>355827875276963</v>
      </c>
      <c r="D21" s="6" t="s">
        <v>765</v>
      </c>
      <c r="E21" s="6">
        <v>2460</v>
      </c>
      <c r="F21" s="6">
        <v>2338.35</v>
      </c>
      <c r="G21" s="6">
        <v>-2337.35</v>
      </c>
      <c r="H21" s="8">
        <v>-0.99957234802317874</v>
      </c>
      <c r="I21" s="6" t="s">
        <v>18</v>
      </c>
    </row>
    <row r="22" spans="1:10" s="3" customFormat="1" x14ac:dyDescent="0.25">
      <c r="A22" s="5">
        <v>46141</v>
      </c>
      <c r="B22" s="6" t="s">
        <v>131</v>
      </c>
      <c r="C22" s="7">
        <v>356187984081401</v>
      </c>
      <c r="D22" s="6" t="s">
        <v>760</v>
      </c>
      <c r="E22" s="6">
        <v>2460</v>
      </c>
      <c r="F22" s="6">
        <v>2338.35</v>
      </c>
      <c r="G22" s="6">
        <v>-2337.35</v>
      </c>
      <c r="H22" s="8">
        <v>-0.99957234802317874</v>
      </c>
      <c r="I22" s="6" t="s">
        <v>18</v>
      </c>
    </row>
    <row r="23" spans="1:10" s="3" customFormat="1" x14ac:dyDescent="0.25">
      <c r="A23" s="5">
        <v>46139</v>
      </c>
      <c r="B23" s="6" t="s">
        <v>761</v>
      </c>
      <c r="C23" s="7" t="s">
        <v>762</v>
      </c>
      <c r="D23" s="6"/>
      <c r="E23" s="6">
        <v>1470</v>
      </c>
      <c r="F23" s="6">
        <v>1436</v>
      </c>
      <c r="G23" s="6">
        <v>-1435</v>
      </c>
      <c r="H23" s="8">
        <v>-0.99930362116991645</v>
      </c>
      <c r="I23" s="6" t="s">
        <v>18</v>
      </c>
    </row>
    <row r="24" spans="1:10" s="3" customFormat="1" x14ac:dyDescent="0.25">
      <c r="A24" s="5">
        <v>46139</v>
      </c>
      <c r="B24" s="6" t="s">
        <v>763</v>
      </c>
      <c r="C24" s="7" t="s">
        <v>764</v>
      </c>
      <c r="D24" s="6" t="s">
        <v>308</v>
      </c>
      <c r="E24" s="6">
        <v>3250</v>
      </c>
      <c r="F24" s="6">
        <v>3595</v>
      </c>
      <c r="G24" s="6">
        <v>-3594</v>
      </c>
      <c r="H24" s="8">
        <v>-0.99972183588317109</v>
      </c>
      <c r="I24" s="6" t="s">
        <v>18</v>
      </c>
    </row>
    <row r="25" spans="1:10" x14ac:dyDescent="0.25">
      <c r="A25" s="1">
        <v>46143</v>
      </c>
      <c r="B25" t="s">
        <v>15</v>
      </c>
      <c r="C25" s="2" t="s">
        <v>16</v>
      </c>
      <c r="D25" t="s">
        <v>17</v>
      </c>
      <c r="E25">
        <v>1580</v>
      </c>
      <c r="F25">
        <v>1463.7</v>
      </c>
      <c r="G25">
        <v>116.3</v>
      </c>
      <c r="H25">
        <v>7.95</v>
      </c>
      <c r="I25" t="s">
        <v>18</v>
      </c>
    </row>
    <row r="26" spans="1:10" x14ac:dyDescent="0.25">
      <c r="A26" s="1">
        <v>46143</v>
      </c>
      <c r="B26" t="s">
        <v>19</v>
      </c>
      <c r="C26" s="2" t="s">
        <v>20</v>
      </c>
      <c r="D26" t="s">
        <v>21</v>
      </c>
      <c r="E26">
        <v>1580</v>
      </c>
      <c r="F26">
        <v>1481.55</v>
      </c>
      <c r="G26">
        <v>98.45</v>
      </c>
      <c r="H26">
        <v>6.65</v>
      </c>
      <c r="I26" t="s">
        <v>18</v>
      </c>
    </row>
    <row r="27" spans="1:10" x14ac:dyDescent="0.25">
      <c r="A27" s="1">
        <v>46143</v>
      </c>
      <c r="B27" t="s">
        <v>19</v>
      </c>
      <c r="C27" s="2" t="s">
        <v>22</v>
      </c>
      <c r="D27" t="s">
        <v>21</v>
      </c>
      <c r="E27">
        <v>1580</v>
      </c>
      <c r="F27">
        <v>1481.55</v>
      </c>
      <c r="G27">
        <v>98.45</v>
      </c>
      <c r="H27">
        <v>6.65</v>
      </c>
      <c r="I27" t="s">
        <v>18</v>
      </c>
    </row>
    <row r="28" spans="1:10" x14ac:dyDescent="0.25">
      <c r="A28" s="1">
        <v>46143</v>
      </c>
      <c r="B28" t="s">
        <v>19</v>
      </c>
      <c r="C28" s="2" t="s">
        <v>23</v>
      </c>
      <c r="D28" t="s">
        <v>21</v>
      </c>
      <c r="E28">
        <v>1580</v>
      </c>
      <c r="F28">
        <v>1481.55</v>
      </c>
      <c r="G28">
        <v>98.45</v>
      </c>
      <c r="H28">
        <v>6.65</v>
      </c>
      <c r="I28" t="s">
        <v>18</v>
      </c>
    </row>
    <row r="29" spans="1:10" x14ac:dyDescent="0.25">
      <c r="A29" s="1">
        <v>46143</v>
      </c>
      <c r="B29" t="s">
        <v>24</v>
      </c>
      <c r="C29" s="2" t="s">
        <v>25</v>
      </c>
      <c r="E29">
        <v>345</v>
      </c>
      <c r="F29">
        <v>503.5</v>
      </c>
      <c r="G29">
        <v>-158.5</v>
      </c>
      <c r="H29">
        <v>-31.48</v>
      </c>
      <c r="I29" t="s">
        <v>18</v>
      </c>
      <c r="J29" t="s">
        <v>26</v>
      </c>
    </row>
    <row r="30" spans="1:10" x14ac:dyDescent="0.25">
      <c r="A30" s="1">
        <v>46143</v>
      </c>
      <c r="B30" t="s">
        <v>24</v>
      </c>
      <c r="C30" s="2" t="s">
        <v>27</v>
      </c>
      <c r="E30">
        <v>345</v>
      </c>
      <c r="F30">
        <v>503.5</v>
      </c>
      <c r="G30">
        <v>-158.5</v>
      </c>
      <c r="H30">
        <v>-31.48</v>
      </c>
      <c r="I30" t="s">
        <v>18</v>
      </c>
      <c r="J30" t="s">
        <v>26</v>
      </c>
    </row>
    <row r="31" spans="1:10" x14ac:dyDescent="0.25">
      <c r="A31" s="1">
        <v>46143</v>
      </c>
      <c r="B31" t="s">
        <v>28</v>
      </c>
      <c r="C31" s="2">
        <v>359117430967728</v>
      </c>
      <c r="E31">
        <v>1050</v>
      </c>
      <c r="F31">
        <v>575</v>
      </c>
      <c r="G31">
        <v>475</v>
      </c>
      <c r="H31">
        <v>82.61</v>
      </c>
      <c r="I31" t="s">
        <v>18</v>
      </c>
    </row>
    <row r="32" spans="1:10" x14ac:dyDescent="0.25">
      <c r="A32" s="1">
        <v>46143</v>
      </c>
      <c r="B32" t="s">
        <v>29</v>
      </c>
      <c r="C32" s="2">
        <v>357079530476970</v>
      </c>
      <c r="D32" t="s">
        <v>30</v>
      </c>
      <c r="E32">
        <v>1190</v>
      </c>
      <c r="F32">
        <v>785.4</v>
      </c>
      <c r="G32">
        <v>404.6</v>
      </c>
      <c r="H32">
        <v>51.52</v>
      </c>
      <c r="I32" t="s">
        <v>18</v>
      </c>
    </row>
    <row r="33" spans="1:10" x14ac:dyDescent="0.25">
      <c r="A33" s="1">
        <v>46143</v>
      </c>
      <c r="B33" t="s">
        <v>31</v>
      </c>
      <c r="C33" s="2">
        <v>357079530535114</v>
      </c>
      <c r="D33" t="s">
        <v>30</v>
      </c>
      <c r="E33">
        <v>1190</v>
      </c>
      <c r="F33">
        <v>785.4</v>
      </c>
      <c r="G33">
        <v>404.6</v>
      </c>
      <c r="H33">
        <v>51.52</v>
      </c>
      <c r="I33" t="s">
        <v>18</v>
      </c>
    </row>
    <row r="34" spans="1:10" x14ac:dyDescent="0.25">
      <c r="A34" s="1">
        <v>46143</v>
      </c>
      <c r="B34" t="s">
        <v>32</v>
      </c>
      <c r="C34" s="2">
        <v>350035237211810</v>
      </c>
      <c r="D34" t="s">
        <v>33</v>
      </c>
      <c r="E34">
        <v>3230</v>
      </c>
      <c r="F34">
        <v>3034.5</v>
      </c>
      <c r="G34">
        <v>195.5</v>
      </c>
      <c r="H34">
        <v>6.44</v>
      </c>
      <c r="I34" t="s">
        <v>18</v>
      </c>
    </row>
    <row r="35" spans="1:10" x14ac:dyDescent="0.25">
      <c r="A35" s="1">
        <v>46143</v>
      </c>
      <c r="B35" t="s">
        <v>32</v>
      </c>
      <c r="C35" s="2">
        <v>350035238132544</v>
      </c>
      <c r="D35" t="s">
        <v>33</v>
      </c>
      <c r="E35">
        <v>3170</v>
      </c>
      <c r="F35">
        <v>3034.5</v>
      </c>
      <c r="G35">
        <v>135.5</v>
      </c>
      <c r="H35">
        <v>4.47</v>
      </c>
      <c r="I35" t="s">
        <v>18</v>
      </c>
    </row>
    <row r="36" spans="1:10" x14ac:dyDescent="0.25">
      <c r="A36" s="1">
        <v>46143</v>
      </c>
      <c r="B36" t="s">
        <v>32</v>
      </c>
      <c r="C36" s="2">
        <v>350035238871117</v>
      </c>
      <c r="D36" t="s">
        <v>34</v>
      </c>
      <c r="E36">
        <v>3450</v>
      </c>
      <c r="F36">
        <v>3284.4</v>
      </c>
      <c r="G36">
        <v>165.6</v>
      </c>
      <c r="H36">
        <v>5.04</v>
      </c>
      <c r="I36" t="s">
        <v>18</v>
      </c>
    </row>
    <row r="37" spans="1:10" x14ac:dyDescent="0.25">
      <c r="A37" s="1">
        <v>46143</v>
      </c>
      <c r="B37" t="s">
        <v>32</v>
      </c>
      <c r="C37" s="2">
        <v>350035239236724</v>
      </c>
      <c r="D37" t="s">
        <v>34</v>
      </c>
      <c r="E37">
        <v>3450</v>
      </c>
      <c r="F37">
        <v>3284.4</v>
      </c>
      <c r="G37">
        <v>165.6</v>
      </c>
      <c r="H37">
        <v>5.04</v>
      </c>
      <c r="I37" t="s">
        <v>18</v>
      </c>
    </row>
    <row r="38" spans="1:10" x14ac:dyDescent="0.25">
      <c r="A38" s="1">
        <v>46143</v>
      </c>
      <c r="B38" t="s">
        <v>32</v>
      </c>
      <c r="C38" s="2">
        <v>350552898717703</v>
      </c>
      <c r="D38" t="s">
        <v>33</v>
      </c>
      <c r="E38">
        <v>3170</v>
      </c>
      <c r="F38">
        <v>3034.5</v>
      </c>
      <c r="G38">
        <v>135.5</v>
      </c>
      <c r="H38">
        <v>4.47</v>
      </c>
      <c r="I38" t="s">
        <v>18</v>
      </c>
    </row>
    <row r="39" spans="1:10" x14ac:dyDescent="0.25">
      <c r="A39" s="1">
        <v>46143</v>
      </c>
      <c r="B39" t="s">
        <v>32</v>
      </c>
      <c r="C39" s="2">
        <v>350552899043935</v>
      </c>
      <c r="D39" t="s">
        <v>34</v>
      </c>
      <c r="E39">
        <v>3450</v>
      </c>
      <c r="F39">
        <v>3284.4</v>
      </c>
      <c r="G39">
        <v>165.6</v>
      </c>
      <c r="H39">
        <v>5.04</v>
      </c>
      <c r="I39" t="s">
        <v>18</v>
      </c>
    </row>
    <row r="40" spans="1:10" x14ac:dyDescent="0.25">
      <c r="A40" s="1">
        <v>46143</v>
      </c>
      <c r="B40" t="s">
        <v>32</v>
      </c>
      <c r="C40" s="2">
        <v>350599864945941</v>
      </c>
      <c r="D40" t="s">
        <v>35</v>
      </c>
      <c r="E40">
        <v>3080</v>
      </c>
      <c r="F40">
        <v>3200</v>
      </c>
      <c r="G40">
        <v>-120</v>
      </c>
      <c r="H40">
        <v>-3.75</v>
      </c>
      <c r="I40" t="s">
        <v>36</v>
      </c>
      <c r="J40" t="s">
        <v>26</v>
      </c>
    </row>
    <row r="41" spans="1:10" x14ac:dyDescent="0.25">
      <c r="A41" s="1">
        <v>46143</v>
      </c>
      <c r="B41" t="s">
        <v>32</v>
      </c>
      <c r="C41" s="2">
        <v>351668144778999</v>
      </c>
      <c r="D41" t="s">
        <v>34</v>
      </c>
      <c r="E41">
        <v>3450</v>
      </c>
      <c r="F41">
        <v>3284.4</v>
      </c>
      <c r="G41">
        <v>165.6</v>
      </c>
      <c r="H41">
        <v>5.04</v>
      </c>
      <c r="I41" t="s">
        <v>18</v>
      </c>
    </row>
    <row r="42" spans="1:10" x14ac:dyDescent="0.25">
      <c r="A42" s="1">
        <v>46143</v>
      </c>
      <c r="B42" t="s">
        <v>32</v>
      </c>
      <c r="C42" s="2">
        <v>355101474813224</v>
      </c>
      <c r="D42" t="s">
        <v>33</v>
      </c>
      <c r="E42">
        <v>3170</v>
      </c>
      <c r="F42">
        <v>3034.5</v>
      </c>
      <c r="G42">
        <v>135.5</v>
      </c>
      <c r="H42">
        <v>4.47</v>
      </c>
      <c r="I42" t="s">
        <v>18</v>
      </c>
    </row>
    <row r="43" spans="1:10" x14ac:dyDescent="0.25">
      <c r="A43" s="1">
        <v>46143</v>
      </c>
      <c r="B43" t="s">
        <v>32</v>
      </c>
      <c r="C43" s="2">
        <v>357247250003999</v>
      </c>
      <c r="D43" t="s">
        <v>34</v>
      </c>
      <c r="E43">
        <v>3450</v>
      </c>
      <c r="F43">
        <v>3284.4</v>
      </c>
      <c r="G43">
        <v>165.6</v>
      </c>
      <c r="H43">
        <v>5.04</v>
      </c>
      <c r="I43" t="s">
        <v>18</v>
      </c>
    </row>
    <row r="44" spans="1:10" x14ac:dyDescent="0.25">
      <c r="A44" s="1">
        <v>46143</v>
      </c>
      <c r="B44" t="s">
        <v>32</v>
      </c>
      <c r="C44" s="2">
        <v>358051329072392</v>
      </c>
      <c r="D44" t="s">
        <v>35</v>
      </c>
      <c r="E44">
        <v>3080</v>
      </c>
      <c r="F44">
        <v>3050</v>
      </c>
      <c r="G44">
        <v>30</v>
      </c>
      <c r="H44">
        <v>0.98</v>
      </c>
      <c r="I44" t="s">
        <v>36</v>
      </c>
    </row>
    <row r="45" spans="1:10" x14ac:dyDescent="0.25">
      <c r="A45" s="1">
        <v>46143</v>
      </c>
      <c r="B45" t="s">
        <v>32</v>
      </c>
      <c r="C45" s="2">
        <v>359814715589090</v>
      </c>
      <c r="D45" t="s">
        <v>33</v>
      </c>
      <c r="E45">
        <v>3170</v>
      </c>
      <c r="F45">
        <v>3034.5</v>
      </c>
      <c r="G45">
        <v>135.5</v>
      </c>
      <c r="H45">
        <v>4.47</v>
      </c>
      <c r="I45" t="s">
        <v>18</v>
      </c>
    </row>
    <row r="46" spans="1:10" x14ac:dyDescent="0.25">
      <c r="A46" s="1">
        <v>46143</v>
      </c>
      <c r="B46" t="s">
        <v>37</v>
      </c>
      <c r="C46" s="2" t="s">
        <v>38</v>
      </c>
      <c r="D46" t="s">
        <v>39</v>
      </c>
      <c r="E46">
        <v>1340</v>
      </c>
      <c r="F46">
        <v>1071</v>
      </c>
      <c r="G46">
        <v>269</v>
      </c>
      <c r="H46">
        <v>25.12</v>
      </c>
      <c r="I46" t="s">
        <v>18</v>
      </c>
    </row>
    <row r="47" spans="1:10" x14ac:dyDescent="0.25">
      <c r="A47" s="1">
        <v>46143</v>
      </c>
      <c r="B47" t="s">
        <v>40</v>
      </c>
      <c r="C47" s="2" t="s">
        <v>41</v>
      </c>
      <c r="D47" t="s">
        <v>30</v>
      </c>
      <c r="E47">
        <v>1910</v>
      </c>
      <c r="F47">
        <v>1677.9</v>
      </c>
      <c r="G47">
        <v>232.1</v>
      </c>
      <c r="H47">
        <v>13.83</v>
      </c>
      <c r="I47" t="s">
        <v>18</v>
      </c>
    </row>
    <row r="48" spans="1:10" x14ac:dyDescent="0.25">
      <c r="A48" s="1">
        <v>46143</v>
      </c>
      <c r="B48" t="s">
        <v>40</v>
      </c>
      <c r="C48" s="2" t="s">
        <v>42</v>
      </c>
      <c r="D48" t="s">
        <v>30</v>
      </c>
      <c r="E48">
        <v>1910</v>
      </c>
      <c r="F48">
        <v>1677.9</v>
      </c>
      <c r="G48">
        <v>232.1</v>
      </c>
      <c r="H48">
        <v>13.83</v>
      </c>
      <c r="I48" t="s">
        <v>18</v>
      </c>
    </row>
    <row r="49" spans="1:9" x14ac:dyDescent="0.25">
      <c r="A49" s="1">
        <v>46143</v>
      </c>
      <c r="B49" t="s">
        <v>40</v>
      </c>
      <c r="C49" s="2" t="s">
        <v>43</v>
      </c>
      <c r="D49" t="s">
        <v>30</v>
      </c>
      <c r="E49">
        <v>1910</v>
      </c>
      <c r="F49">
        <v>1677.9</v>
      </c>
      <c r="G49">
        <v>232.1</v>
      </c>
      <c r="H49">
        <v>13.83</v>
      </c>
      <c r="I49" t="s">
        <v>18</v>
      </c>
    </row>
    <row r="50" spans="1:9" x14ac:dyDescent="0.25">
      <c r="A50" s="1">
        <v>46143</v>
      </c>
      <c r="B50" t="s">
        <v>40</v>
      </c>
      <c r="C50" s="2" t="s">
        <v>44</v>
      </c>
      <c r="D50" t="s">
        <v>30</v>
      </c>
      <c r="E50">
        <v>1910</v>
      </c>
      <c r="F50">
        <v>1677.9</v>
      </c>
      <c r="G50">
        <v>232.1</v>
      </c>
      <c r="H50">
        <v>13.83</v>
      </c>
      <c r="I50" t="s">
        <v>18</v>
      </c>
    </row>
    <row r="51" spans="1:9" x14ac:dyDescent="0.25">
      <c r="A51" s="1">
        <v>46143</v>
      </c>
      <c r="B51" t="s">
        <v>40</v>
      </c>
      <c r="C51" s="2" t="s">
        <v>45</v>
      </c>
      <c r="D51" t="s">
        <v>30</v>
      </c>
      <c r="E51">
        <v>1910</v>
      </c>
      <c r="F51">
        <v>1677.9</v>
      </c>
      <c r="G51">
        <v>232.1</v>
      </c>
      <c r="H51">
        <v>13.83</v>
      </c>
      <c r="I51" t="s">
        <v>18</v>
      </c>
    </row>
    <row r="52" spans="1:9" x14ac:dyDescent="0.25">
      <c r="A52" s="1">
        <v>46143</v>
      </c>
      <c r="B52" t="s">
        <v>40</v>
      </c>
      <c r="C52" s="2" t="s">
        <v>46</v>
      </c>
      <c r="D52" t="s">
        <v>30</v>
      </c>
      <c r="E52">
        <v>1910</v>
      </c>
      <c r="F52">
        <v>1677.9</v>
      </c>
      <c r="G52">
        <v>232.1</v>
      </c>
      <c r="H52">
        <v>13.83</v>
      </c>
      <c r="I52" t="s">
        <v>18</v>
      </c>
    </row>
    <row r="53" spans="1:9" x14ac:dyDescent="0.25">
      <c r="A53" s="1">
        <v>46143</v>
      </c>
      <c r="B53" t="s">
        <v>40</v>
      </c>
      <c r="C53" s="2" t="s">
        <v>47</v>
      </c>
      <c r="D53" t="s">
        <v>30</v>
      </c>
      <c r="E53">
        <v>1910</v>
      </c>
      <c r="F53">
        <v>1677.9</v>
      </c>
      <c r="G53">
        <v>232.1</v>
      </c>
      <c r="H53">
        <v>13.83</v>
      </c>
      <c r="I53" t="s">
        <v>18</v>
      </c>
    </row>
    <row r="54" spans="1:9" x14ac:dyDescent="0.25">
      <c r="A54" s="1">
        <v>46143</v>
      </c>
      <c r="B54" t="s">
        <v>40</v>
      </c>
      <c r="C54" s="2" t="s">
        <v>48</v>
      </c>
      <c r="D54" t="s">
        <v>30</v>
      </c>
      <c r="E54">
        <v>1910</v>
      </c>
      <c r="F54">
        <v>1677.9</v>
      </c>
      <c r="G54">
        <v>232.1</v>
      </c>
      <c r="H54">
        <v>13.83</v>
      </c>
      <c r="I54" t="s">
        <v>18</v>
      </c>
    </row>
    <row r="55" spans="1:9" x14ac:dyDescent="0.25">
      <c r="A55" s="1">
        <v>46143</v>
      </c>
      <c r="B55" t="s">
        <v>40</v>
      </c>
      <c r="C55" s="2" t="s">
        <v>49</v>
      </c>
      <c r="D55" t="s">
        <v>30</v>
      </c>
      <c r="E55">
        <v>1910</v>
      </c>
      <c r="F55">
        <v>1677.9</v>
      </c>
      <c r="G55">
        <v>232.1</v>
      </c>
      <c r="H55">
        <v>13.83</v>
      </c>
      <c r="I55" t="s">
        <v>18</v>
      </c>
    </row>
    <row r="56" spans="1:9" x14ac:dyDescent="0.25">
      <c r="A56" s="1">
        <v>46143</v>
      </c>
      <c r="B56" t="s">
        <v>40</v>
      </c>
      <c r="C56" s="2" t="s">
        <v>50</v>
      </c>
      <c r="D56" t="s">
        <v>30</v>
      </c>
      <c r="E56">
        <v>1910</v>
      </c>
      <c r="F56">
        <v>1677.9</v>
      </c>
      <c r="G56">
        <v>232.1</v>
      </c>
      <c r="H56">
        <v>13.83</v>
      </c>
      <c r="I56" t="s">
        <v>18</v>
      </c>
    </row>
    <row r="57" spans="1:9" x14ac:dyDescent="0.25">
      <c r="A57" s="1">
        <v>46143</v>
      </c>
      <c r="B57" t="s">
        <v>40</v>
      </c>
      <c r="C57" s="2" t="s">
        <v>51</v>
      </c>
      <c r="D57" t="s">
        <v>30</v>
      </c>
      <c r="E57">
        <v>1910</v>
      </c>
      <c r="F57">
        <v>1677.9</v>
      </c>
      <c r="G57">
        <v>232.1</v>
      </c>
      <c r="H57">
        <v>13.83</v>
      </c>
      <c r="I57" t="s">
        <v>18</v>
      </c>
    </row>
    <row r="58" spans="1:9" x14ac:dyDescent="0.25">
      <c r="A58" s="1">
        <v>46143</v>
      </c>
      <c r="B58" t="s">
        <v>40</v>
      </c>
      <c r="C58" s="2" t="s">
        <v>52</v>
      </c>
      <c r="D58" t="s">
        <v>30</v>
      </c>
      <c r="E58">
        <v>1910</v>
      </c>
      <c r="F58">
        <v>1677.9</v>
      </c>
      <c r="G58">
        <v>232.1</v>
      </c>
      <c r="H58">
        <v>13.83</v>
      </c>
      <c r="I58" t="s">
        <v>18</v>
      </c>
    </row>
    <row r="59" spans="1:9" x14ac:dyDescent="0.25">
      <c r="A59" s="1">
        <v>46143</v>
      </c>
      <c r="B59" t="s">
        <v>40</v>
      </c>
      <c r="C59" s="2" t="s">
        <v>53</v>
      </c>
      <c r="D59" t="s">
        <v>30</v>
      </c>
      <c r="E59">
        <v>1910</v>
      </c>
      <c r="F59">
        <v>1677.9</v>
      </c>
      <c r="G59">
        <v>232.1</v>
      </c>
      <c r="H59">
        <v>13.83</v>
      </c>
      <c r="I59" t="s">
        <v>18</v>
      </c>
    </row>
    <row r="60" spans="1:9" x14ac:dyDescent="0.25">
      <c r="A60" s="1">
        <v>46143</v>
      </c>
      <c r="B60" t="s">
        <v>40</v>
      </c>
      <c r="C60" s="2" t="s">
        <v>54</v>
      </c>
      <c r="D60" t="s">
        <v>30</v>
      </c>
      <c r="E60">
        <v>1910</v>
      </c>
      <c r="F60">
        <v>1677.9</v>
      </c>
      <c r="G60">
        <v>232.1</v>
      </c>
      <c r="H60">
        <v>13.83</v>
      </c>
      <c r="I60" t="s">
        <v>18</v>
      </c>
    </row>
    <row r="61" spans="1:9" x14ac:dyDescent="0.25">
      <c r="A61" s="1">
        <v>46143</v>
      </c>
      <c r="B61" t="s">
        <v>55</v>
      </c>
      <c r="C61" s="2" t="s">
        <v>56</v>
      </c>
      <c r="D61" t="s">
        <v>39</v>
      </c>
      <c r="E61">
        <v>1340</v>
      </c>
      <c r="F61">
        <v>1071</v>
      </c>
      <c r="G61">
        <v>269</v>
      </c>
      <c r="H61">
        <v>25.12</v>
      </c>
      <c r="I61" t="s">
        <v>18</v>
      </c>
    </row>
    <row r="62" spans="1:9" x14ac:dyDescent="0.25">
      <c r="A62" s="1">
        <v>46143</v>
      </c>
      <c r="B62" t="s">
        <v>55</v>
      </c>
      <c r="C62" s="2" t="s">
        <v>57</v>
      </c>
      <c r="D62" t="s">
        <v>39</v>
      </c>
      <c r="E62">
        <v>1340</v>
      </c>
      <c r="F62">
        <v>1071</v>
      </c>
      <c r="G62">
        <v>269</v>
      </c>
      <c r="H62">
        <v>25.12</v>
      </c>
      <c r="I62" t="s">
        <v>18</v>
      </c>
    </row>
    <row r="63" spans="1:9" x14ac:dyDescent="0.25">
      <c r="A63" s="1">
        <v>46143</v>
      </c>
      <c r="B63" t="s">
        <v>55</v>
      </c>
      <c r="C63" s="2" t="s">
        <v>58</v>
      </c>
      <c r="D63" t="s">
        <v>59</v>
      </c>
      <c r="E63">
        <v>1520</v>
      </c>
      <c r="F63">
        <v>1071</v>
      </c>
      <c r="G63">
        <v>449</v>
      </c>
      <c r="H63">
        <v>41.92</v>
      </c>
      <c r="I63" t="s">
        <v>18</v>
      </c>
    </row>
    <row r="64" spans="1:9" x14ac:dyDescent="0.25">
      <c r="A64" s="1">
        <v>46143</v>
      </c>
      <c r="B64" t="s">
        <v>55</v>
      </c>
      <c r="C64" s="2" t="s">
        <v>60</v>
      </c>
      <c r="D64" t="s">
        <v>59</v>
      </c>
      <c r="E64">
        <v>1520</v>
      </c>
      <c r="F64">
        <v>1071</v>
      </c>
      <c r="G64">
        <v>449</v>
      </c>
      <c r="H64">
        <v>41.92</v>
      </c>
      <c r="I64" t="s">
        <v>18</v>
      </c>
    </row>
    <row r="65" spans="1:10" x14ac:dyDescent="0.25">
      <c r="A65" s="1">
        <v>46143</v>
      </c>
      <c r="B65" t="s">
        <v>55</v>
      </c>
      <c r="C65" s="2" t="s">
        <v>61</v>
      </c>
      <c r="D65" t="s">
        <v>62</v>
      </c>
      <c r="E65">
        <v>1360</v>
      </c>
      <c r="F65">
        <v>1071</v>
      </c>
      <c r="G65">
        <v>289</v>
      </c>
      <c r="H65">
        <v>26.98</v>
      </c>
      <c r="I65" t="s">
        <v>18</v>
      </c>
    </row>
    <row r="66" spans="1:10" x14ac:dyDescent="0.25">
      <c r="A66" s="1">
        <v>46143</v>
      </c>
      <c r="B66" t="s">
        <v>55</v>
      </c>
      <c r="C66" s="2" t="s">
        <v>63</v>
      </c>
      <c r="D66" t="s">
        <v>59</v>
      </c>
      <c r="E66">
        <v>1520</v>
      </c>
      <c r="F66">
        <v>1071</v>
      </c>
      <c r="G66">
        <v>449</v>
      </c>
      <c r="H66">
        <v>41.92</v>
      </c>
      <c r="I66" t="s">
        <v>18</v>
      </c>
    </row>
    <row r="67" spans="1:10" x14ac:dyDescent="0.25">
      <c r="A67" s="1">
        <v>46143</v>
      </c>
      <c r="B67" t="s">
        <v>55</v>
      </c>
      <c r="C67" s="2" t="s">
        <v>64</v>
      </c>
      <c r="D67" t="s">
        <v>59</v>
      </c>
      <c r="E67">
        <v>1520</v>
      </c>
      <c r="F67">
        <v>1071</v>
      </c>
      <c r="G67">
        <v>449</v>
      </c>
      <c r="H67">
        <v>41.92</v>
      </c>
      <c r="I67" t="s">
        <v>18</v>
      </c>
    </row>
    <row r="68" spans="1:10" x14ac:dyDescent="0.25">
      <c r="A68" s="1">
        <v>46143</v>
      </c>
      <c r="B68" t="s">
        <v>55</v>
      </c>
      <c r="C68" s="2" t="s">
        <v>65</v>
      </c>
      <c r="D68" t="s">
        <v>59</v>
      </c>
      <c r="E68">
        <v>1520</v>
      </c>
      <c r="F68">
        <v>1071</v>
      </c>
      <c r="G68">
        <v>449</v>
      </c>
      <c r="H68">
        <v>41.92</v>
      </c>
      <c r="I68" t="s">
        <v>18</v>
      </c>
    </row>
    <row r="69" spans="1:10" x14ac:dyDescent="0.25">
      <c r="A69" s="1">
        <v>46143</v>
      </c>
      <c r="B69" t="s">
        <v>66</v>
      </c>
      <c r="C69" s="2" t="s">
        <v>67</v>
      </c>
      <c r="E69">
        <v>1</v>
      </c>
      <c r="F69">
        <v>787.6</v>
      </c>
      <c r="G69">
        <v>-786.6</v>
      </c>
      <c r="H69">
        <v>-99.87</v>
      </c>
      <c r="I69" t="s">
        <v>18</v>
      </c>
      <c r="J69" t="s">
        <v>68</v>
      </c>
    </row>
    <row r="70" spans="1:10" x14ac:dyDescent="0.25">
      <c r="A70" s="1">
        <v>46143</v>
      </c>
      <c r="B70" t="s">
        <v>69</v>
      </c>
      <c r="C70" s="2" t="s">
        <v>70</v>
      </c>
      <c r="E70">
        <v>215</v>
      </c>
      <c r="F70">
        <v>268.5</v>
      </c>
      <c r="G70">
        <v>-53.5</v>
      </c>
      <c r="H70">
        <v>-19.93</v>
      </c>
      <c r="I70" t="s">
        <v>18</v>
      </c>
      <c r="J70" t="s">
        <v>26</v>
      </c>
    </row>
    <row r="71" spans="1:10" x14ac:dyDescent="0.25">
      <c r="A71" s="1">
        <v>46144</v>
      </c>
      <c r="B71" t="s">
        <v>71</v>
      </c>
      <c r="C71" s="2">
        <v>351317524281634</v>
      </c>
      <c r="D71" t="s">
        <v>72</v>
      </c>
      <c r="E71">
        <v>3202.53</v>
      </c>
      <c r="F71">
        <v>2891.7</v>
      </c>
      <c r="G71">
        <v>310.83</v>
      </c>
      <c r="H71">
        <v>10.75</v>
      </c>
      <c r="I71" t="s">
        <v>18</v>
      </c>
    </row>
    <row r="72" spans="1:10" x14ac:dyDescent="0.25">
      <c r="A72" s="1">
        <v>46144</v>
      </c>
      <c r="B72" t="s">
        <v>32</v>
      </c>
      <c r="C72" s="2">
        <v>350035239452586</v>
      </c>
      <c r="D72" t="s">
        <v>34</v>
      </c>
      <c r="E72">
        <v>3450</v>
      </c>
      <c r="F72">
        <v>3284.4</v>
      </c>
      <c r="G72">
        <v>165.6</v>
      </c>
      <c r="H72">
        <v>5.04</v>
      </c>
      <c r="I72" t="s">
        <v>18</v>
      </c>
    </row>
    <row r="73" spans="1:10" x14ac:dyDescent="0.25">
      <c r="A73" s="1">
        <v>46144</v>
      </c>
      <c r="B73" t="s">
        <v>32</v>
      </c>
      <c r="C73" s="2">
        <v>353497852912188</v>
      </c>
      <c r="D73" t="s">
        <v>35</v>
      </c>
      <c r="E73">
        <v>3080</v>
      </c>
      <c r="F73">
        <v>2856</v>
      </c>
      <c r="G73">
        <v>224</v>
      </c>
      <c r="H73">
        <v>7.84</v>
      </c>
      <c r="I73" t="s">
        <v>18</v>
      </c>
    </row>
    <row r="74" spans="1:10" x14ac:dyDescent="0.25">
      <c r="A74" s="1">
        <v>46144</v>
      </c>
      <c r="B74" t="s">
        <v>32</v>
      </c>
      <c r="C74" s="2">
        <v>355101470846418</v>
      </c>
      <c r="D74" t="s">
        <v>35</v>
      </c>
      <c r="E74">
        <v>3080</v>
      </c>
      <c r="F74">
        <v>2856</v>
      </c>
      <c r="G74">
        <v>224</v>
      </c>
      <c r="H74">
        <v>7.84</v>
      </c>
      <c r="I74" t="s">
        <v>18</v>
      </c>
    </row>
    <row r="75" spans="1:10" x14ac:dyDescent="0.25">
      <c r="A75" s="1">
        <v>46144</v>
      </c>
      <c r="B75" t="s">
        <v>32</v>
      </c>
      <c r="C75" s="2">
        <v>356392249592818</v>
      </c>
      <c r="D75" t="s">
        <v>35</v>
      </c>
      <c r="E75">
        <v>3080</v>
      </c>
      <c r="F75">
        <v>3050</v>
      </c>
      <c r="G75">
        <v>30</v>
      </c>
      <c r="H75">
        <v>0.98</v>
      </c>
      <c r="I75" t="s">
        <v>36</v>
      </c>
    </row>
    <row r="76" spans="1:10" x14ac:dyDescent="0.25">
      <c r="A76" s="1">
        <v>46144</v>
      </c>
      <c r="B76" t="s">
        <v>32</v>
      </c>
      <c r="C76" s="2">
        <v>357247250352495</v>
      </c>
      <c r="D76" t="s">
        <v>34</v>
      </c>
      <c r="E76">
        <v>3450</v>
      </c>
      <c r="F76">
        <v>3284.4</v>
      </c>
      <c r="G76">
        <v>165.6</v>
      </c>
      <c r="H76">
        <v>5.04</v>
      </c>
      <c r="I76" t="s">
        <v>18</v>
      </c>
    </row>
    <row r="77" spans="1:10" x14ac:dyDescent="0.25">
      <c r="A77" s="1">
        <v>46144</v>
      </c>
      <c r="B77" t="s">
        <v>32</v>
      </c>
      <c r="C77" s="2">
        <v>357247250488281</v>
      </c>
      <c r="D77" t="s">
        <v>34</v>
      </c>
      <c r="E77">
        <v>3450</v>
      </c>
      <c r="F77">
        <v>3284.4</v>
      </c>
      <c r="G77">
        <v>165.6</v>
      </c>
      <c r="H77">
        <v>5.04</v>
      </c>
      <c r="I77" t="s">
        <v>18</v>
      </c>
    </row>
    <row r="78" spans="1:10" x14ac:dyDescent="0.25">
      <c r="A78" s="1">
        <v>46144</v>
      </c>
      <c r="B78" t="s">
        <v>32</v>
      </c>
      <c r="C78" s="2">
        <v>357247253272591</v>
      </c>
      <c r="D78" t="s">
        <v>33</v>
      </c>
      <c r="E78">
        <v>3170</v>
      </c>
      <c r="F78">
        <v>3034.5</v>
      </c>
      <c r="G78">
        <v>135.5</v>
      </c>
      <c r="H78">
        <v>4.47</v>
      </c>
      <c r="I78" t="s">
        <v>18</v>
      </c>
    </row>
    <row r="79" spans="1:10" x14ac:dyDescent="0.25">
      <c r="A79" s="1">
        <v>46144</v>
      </c>
      <c r="B79" t="s">
        <v>32</v>
      </c>
      <c r="C79" s="2">
        <v>357329447192883</v>
      </c>
      <c r="D79" t="s">
        <v>33</v>
      </c>
      <c r="E79">
        <v>3170</v>
      </c>
      <c r="F79">
        <v>3034.5</v>
      </c>
      <c r="G79">
        <v>135.5</v>
      </c>
      <c r="H79">
        <v>4.47</v>
      </c>
      <c r="I79" t="s">
        <v>18</v>
      </c>
    </row>
    <row r="80" spans="1:10" x14ac:dyDescent="0.25">
      <c r="A80" s="1">
        <v>46144</v>
      </c>
      <c r="B80" t="s">
        <v>32</v>
      </c>
      <c r="C80" s="2">
        <v>358206138447512</v>
      </c>
      <c r="D80" t="s">
        <v>33</v>
      </c>
      <c r="E80">
        <v>3170</v>
      </c>
      <c r="F80">
        <v>3034.5</v>
      </c>
      <c r="G80">
        <v>135.5</v>
      </c>
      <c r="H80">
        <v>4.47</v>
      </c>
      <c r="I80" t="s">
        <v>18</v>
      </c>
    </row>
    <row r="81" spans="1:9" x14ac:dyDescent="0.25">
      <c r="A81" s="1">
        <v>46146</v>
      </c>
      <c r="B81" t="s">
        <v>73</v>
      </c>
      <c r="C81" s="2">
        <v>351614406649742</v>
      </c>
      <c r="D81" t="s">
        <v>74</v>
      </c>
      <c r="E81">
        <v>2405.06</v>
      </c>
      <c r="F81">
        <v>2154</v>
      </c>
      <c r="G81">
        <v>251.06</v>
      </c>
      <c r="H81">
        <v>11.66</v>
      </c>
      <c r="I81" t="s">
        <v>18</v>
      </c>
    </row>
    <row r="82" spans="1:9" x14ac:dyDescent="0.25">
      <c r="A82" s="1">
        <v>46147</v>
      </c>
      <c r="B82" t="s">
        <v>32</v>
      </c>
      <c r="C82" s="2">
        <v>355246657672010</v>
      </c>
      <c r="D82" t="s">
        <v>33</v>
      </c>
      <c r="E82">
        <v>3170</v>
      </c>
      <c r="F82">
        <v>3034.5</v>
      </c>
      <c r="G82">
        <v>135.5</v>
      </c>
      <c r="H82">
        <v>4.47</v>
      </c>
      <c r="I82" t="s">
        <v>18</v>
      </c>
    </row>
    <row r="83" spans="1:9" x14ac:dyDescent="0.25">
      <c r="A83" s="1">
        <v>46147</v>
      </c>
      <c r="B83" t="s">
        <v>32</v>
      </c>
      <c r="C83" s="2">
        <v>359814717786751</v>
      </c>
      <c r="D83" t="s">
        <v>33</v>
      </c>
      <c r="E83">
        <v>3487.34</v>
      </c>
      <c r="F83">
        <v>3248.7</v>
      </c>
      <c r="G83">
        <v>238.64</v>
      </c>
      <c r="H83">
        <v>7.35</v>
      </c>
      <c r="I83" t="s">
        <v>18</v>
      </c>
    </row>
    <row r="84" spans="1:9" x14ac:dyDescent="0.25">
      <c r="A84" s="1">
        <v>46147</v>
      </c>
      <c r="B84" t="s">
        <v>75</v>
      </c>
      <c r="C84" s="2">
        <v>351668143362647</v>
      </c>
      <c r="D84" t="s">
        <v>34</v>
      </c>
      <c r="E84">
        <v>3750</v>
      </c>
      <c r="F84">
        <v>3570</v>
      </c>
      <c r="G84">
        <v>180</v>
      </c>
      <c r="H84">
        <v>5.04</v>
      </c>
      <c r="I84" t="s">
        <v>18</v>
      </c>
    </row>
    <row r="85" spans="1:9" x14ac:dyDescent="0.25">
      <c r="A85" s="1">
        <v>46148</v>
      </c>
      <c r="B85" t="s">
        <v>76</v>
      </c>
      <c r="C85" s="2">
        <v>350520605493470</v>
      </c>
      <c r="D85" t="s">
        <v>77</v>
      </c>
      <c r="E85">
        <v>2570</v>
      </c>
      <c r="F85">
        <v>2450</v>
      </c>
      <c r="G85">
        <v>120</v>
      </c>
      <c r="H85">
        <v>4.9000000000000004</v>
      </c>
      <c r="I85" t="s">
        <v>36</v>
      </c>
    </row>
    <row r="86" spans="1:9" x14ac:dyDescent="0.25">
      <c r="A86" s="1">
        <v>46148</v>
      </c>
      <c r="B86" t="s">
        <v>76</v>
      </c>
      <c r="C86" s="2">
        <v>350687011125911</v>
      </c>
      <c r="D86" t="s">
        <v>77</v>
      </c>
      <c r="E86">
        <v>2570</v>
      </c>
      <c r="F86">
        <v>2450</v>
      </c>
      <c r="G86">
        <v>120</v>
      </c>
      <c r="H86">
        <v>4.9000000000000004</v>
      </c>
      <c r="I86" t="s">
        <v>36</v>
      </c>
    </row>
    <row r="87" spans="1:9" x14ac:dyDescent="0.25">
      <c r="A87" s="1">
        <v>46148</v>
      </c>
      <c r="B87" t="s">
        <v>76</v>
      </c>
      <c r="C87" s="2">
        <v>350687011150638</v>
      </c>
      <c r="D87" t="s">
        <v>78</v>
      </c>
      <c r="E87">
        <v>2570</v>
      </c>
      <c r="F87">
        <v>2450</v>
      </c>
      <c r="G87">
        <v>120</v>
      </c>
      <c r="H87">
        <v>4.9000000000000004</v>
      </c>
      <c r="I87" t="s">
        <v>36</v>
      </c>
    </row>
    <row r="88" spans="1:9" x14ac:dyDescent="0.25">
      <c r="A88" s="1">
        <v>46148</v>
      </c>
      <c r="B88" t="s">
        <v>76</v>
      </c>
      <c r="C88" s="2">
        <v>350687011189388</v>
      </c>
      <c r="D88" t="s">
        <v>78</v>
      </c>
      <c r="E88">
        <v>2570</v>
      </c>
      <c r="F88">
        <v>2450</v>
      </c>
      <c r="G88">
        <v>120</v>
      </c>
      <c r="H88">
        <v>4.9000000000000004</v>
      </c>
      <c r="I88" t="s">
        <v>36</v>
      </c>
    </row>
    <row r="89" spans="1:9" x14ac:dyDescent="0.25">
      <c r="A89" s="1">
        <v>46148</v>
      </c>
      <c r="B89" t="s">
        <v>76</v>
      </c>
      <c r="C89" s="2">
        <v>350687011306008</v>
      </c>
      <c r="D89" t="s">
        <v>78</v>
      </c>
      <c r="E89">
        <v>2570</v>
      </c>
      <c r="F89">
        <v>2450</v>
      </c>
      <c r="G89">
        <v>120</v>
      </c>
      <c r="H89">
        <v>4.9000000000000004</v>
      </c>
      <c r="I89" t="s">
        <v>36</v>
      </c>
    </row>
    <row r="90" spans="1:9" x14ac:dyDescent="0.25">
      <c r="A90" s="1">
        <v>46148</v>
      </c>
      <c r="B90" t="s">
        <v>76</v>
      </c>
      <c r="C90" s="2">
        <v>351235186266844</v>
      </c>
      <c r="D90" t="s">
        <v>30</v>
      </c>
      <c r="E90">
        <v>2570</v>
      </c>
      <c r="F90">
        <v>2450</v>
      </c>
      <c r="G90">
        <v>120</v>
      </c>
      <c r="H90">
        <v>4.9000000000000004</v>
      </c>
      <c r="I90" t="s">
        <v>36</v>
      </c>
    </row>
    <row r="91" spans="1:9" x14ac:dyDescent="0.25">
      <c r="A91" s="1">
        <v>46148</v>
      </c>
      <c r="B91" t="s">
        <v>76</v>
      </c>
      <c r="C91" s="2">
        <v>359090830872311</v>
      </c>
      <c r="D91" t="s">
        <v>77</v>
      </c>
      <c r="E91">
        <v>2570</v>
      </c>
      <c r="F91">
        <v>2450</v>
      </c>
      <c r="G91">
        <v>120</v>
      </c>
      <c r="H91">
        <v>4.9000000000000004</v>
      </c>
      <c r="I91" t="s">
        <v>36</v>
      </c>
    </row>
    <row r="92" spans="1:9" x14ac:dyDescent="0.25">
      <c r="A92" s="1">
        <v>46148</v>
      </c>
      <c r="B92" t="s">
        <v>76</v>
      </c>
      <c r="C92" s="2">
        <v>359090830925630</v>
      </c>
      <c r="D92" t="s">
        <v>78</v>
      </c>
      <c r="E92">
        <v>2570</v>
      </c>
      <c r="F92">
        <v>2450</v>
      </c>
      <c r="G92">
        <v>120</v>
      </c>
      <c r="H92">
        <v>4.9000000000000004</v>
      </c>
      <c r="I92" t="s">
        <v>36</v>
      </c>
    </row>
    <row r="93" spans="1:9" x14ac:dyDescent="0.25">
      <c r="A93" s="1">
        <v>46148</v>
      </c>
      <c r="B93" t="s">
        <v>76</v>
      </c>
      <c r="C93" s="2">
        <v>359090831240658</v>
      </c>
      <c r="D93" t="s">
        <v>78</v>
      </c>
      <c r="E93">
        <v>2570</v>
      </c>
      <c r="F93">
        <v>2450</v>
      </c>
      <c r="G93">
        <v>120</v>
      </c>
      <c r="H93">
        <v>4.9000000000000004</v>
      </c>
      <c r="I93" t="s">
        <v>36</v>
      </c>
    </row>
    <row r="94" spans="1:9" x14ac:dyDescent="0.25">
      <c r="A94" s="1">
        <v>46148</v>
      </c>
      <c r="B94" t="s">
        <v>76</v>
      </c>
      <c r="C94" s="2">
        <v>359090831282205</v>
      </c>
      <c r="D94" t="s">
        <v>78</v>
      </c>
      <c r="E94">
        <v>2570</v>
      </c>
      <c r="F94">
        <v>2450</v>
      </c>
      <c r="G94">
        <v>120</v>
      </c>
      <c r="H94">
        <v>4.9000000000000004</v>
      </c>
      <c r="I94" t="s">
        <v>36</v>
      </c>
    </row>
    <row r="95" spans="1:9" x14ac:dyDescent="0.25">
      <c r="A95" s="1">
        <v>46148</v>
      </c>
      <c r="B95" t="s">
        <v>76</v>
      </c>
      <c r="C95" s="2">
        <v>359090831421894</v>
      </c>
      <c r="D95" t="s">
        <v>30</v>
      </c>
      <c r="E95">
        <v>2570</v>
      </c>
      <c r="F95">
        <v>2450</v>
      </c>
      <c r="G95">
        <v>120</v>
      </c>
      <c r="H95">
        <v>4.9000000000000004</v>
      </c>
      <c r="I95" t="s">
        <v>36</v>
      </c>
    </row>
    <row r="96" spans="1:9" x14ac:dyDescent="0.25">
      <c r="A96" s="1">
        <v>46148</v>
      </c>
      <c r="B96" t="s">
        <v>79</v>
      </c>
      <c r="C96" s="2">
        <v>358271523802036</v>
      </c>
      <c r="D96" t="s">
        <v>80</v>
      </c>
      <c r="E96">
        <v>1850</v>
      </c>
      <c r="F96">
        <v>1749.3</v>
      </c>
      <c r="G96">
        <v>100.7</v>
      </c>
      <c r="H96">
        <v>5.76</v>
      </c>
      <c r="I96" t="s">
        <v>18</v>
      </c>
    </row>
    <row r="97" spans="1:10" x14ac:dyDescent="0.25">
      <c r="A97" s="1">
        <v>46148</v>
      </c>
      <c r="B97" t="s">
        <v>71</v>
      </c>
      <c r="C97" s="2">
        <v>355981559118304</v>
      </c>
      <c r="D97" t="s">
        <v>33</v>
      </c>
      <c r="E97">
        <v>3202.51</v>
      </c>
      <c r="F97">
        <v>2677.5</v>
      </c>
      <c r="G97">
        <v>525.01</v>
      </c>
      <c r="H97">
        <v>19.61</v>
      </c>
      <c r="I97" t="s">
        <v>18</v>
      </c>
    </row>
    <row r="98" spans="1:10" x14ac:dyDescent="0.25">
      <c r="A98" s="1">
        <v>46148</v>
      </c>
      <c r="B98" t="s">
        <v>32</v>
      </c>
      <c r="C98" s="2">
        <v>358434704706281</v>
      </c>
      <c r="D98" t="s">
        <v>33</v>
      </c>
      <c r="E98">
        <v>3120</v>
      </c>
      <c r="F98">
        <v>3034.5</v>
      </c>
      <c r="G98">
        <v>85.5</v>
      </c>
      <c r="H98">
        <v>2.82</v>
      </c>
      <c r="I98" t="s">
        <v>18</v>
      </c>
    </row>
    <row r="99" spans="1:10" x14ac:dyDescent="0.25">
      <c r="A99" s="1">
        <v>46148</v>
      </c>
      <c r="B99" t="s">
        <v>32</v>
      </c>
      <c r="C99" s="2">
        <v>359614542055715</v>
      </c>
      <c r="D99" t="s">
        <v>72</v>
      </c>
      <c r="E99">
        <v>3443.03</v>
      </c>
      <c r="F99">
        <v>3248.7</v>
      </c>
      <c r="G99">
        <v>194.33</v>
      </c>
      <c r="H99">
        <v>5.98</v>
      </c>
      <c r="I99" t="s">
        <v>18</v>
      </c>
    </row>
    <row r="100" spans="1:10" x14ac:dyDescent="0.25">
      <c r="A100" s="1">
        <v>46148</v>
      </c>
      <c r="B100" t="s">
        <v>32</v>
      </c>
      <c r="C100" s="2">
        <v>359814713965052</v>
      </c>
      <c r="D100" t="s">
        <v>34</v>
      </c>
      <c r="E100">
        <v>3721.51</v>
      </c>
      <c r="F100">
        <v>3284.4</v>
      </c>
      <c r="G100">
        <v>437.11</v>
      </c>
      <c r="H100">
        <v>13.31</v>
      </c>
      <c r="I100" t="s">
        <v>18</v>
      </c>
    </row>
    <row r="101" spans="1:10" x14ac:dyDescent="0.25">
      <c r="A101" s="1">
        <v>46148</v>
      </c>
      <c r="B101" t="s">
        <v>32</v>
      </c>
      <c r="C101" s="2">
        <v>359814714137933</v>
      </c>
      <c r="D101" t="s">
        <v>34</v>
      </c>
      <c r="E101">
        <v>3721.51</v>
      </c>
      <c r="F101">
        <v>3284.4</v>
      </c>
      <c r="G101">
        <v>437.11</v>
      </c>
      <c r="H101">
        <v>13.31</v>
      </c>
      <c r="I101" t="s">
        <v>18</v>
      </c>
    </row>
    <row r="102" spans="1:10" x14ac:dyDescent="0.25">
      <c r="A102" s="1">
        <v>46148</v>
      </c>
      <c r="B102" t="s">
        <v>81</v>
      </c>
      <c r="C102" s="2">
        <v>358835894417226</v>
      </c>
      <c r="D102" t="s">
        <v>30</v>
      </c>
      <c r="E102">
        <v>1950</v>
      </c>
      <c r="F102">
        <v>1142.4000000000001</v>
      </c>
      <c r="G102">
        <v>807.6</v>
      </c>
      <c r="H102">
        <v>70.69</v>
      </c>
      <c r="I102" t="s">
        <v>18</v>
      </c>
    </row>
    <row r="103" spans="1:10" x14ac:dyDescent="0.25">
      <c r="A103" s="1">
        <v>46149</v>
      </c>
      <c r="B103" t="s">
        <v>73</v>
      </c>
      <c r="C103" s="2">
        <v>356864569740201</v>
      </c>
      <c r="D103" t="s">
        <v>30</v>
      </c>
      <c r="E103">
        <v>2974.65</v>
      </c>
      <c r="F103">
        <v>3379.3</v>
      </c>
      <c r="G103">
        <v>-404.65</v>
      </c>
      <c r="H103">
        <v>-11.97</v>
      </c>
      <c r="I103" t="s">
        <v>18</v>
      </c>
      <c r="J103" t="s">
        <v>26</v>
      </c>
    </row>
    <row r="104" spans="1:10" x14ac:dyDescent="0.25">
      <c r="A104" s="1">
        <v>46149</v>
      </c>
      <c r="B104" t="s">
        <v>82</v>
      </c>
      <c r="C104" s="2">
        <v>353502588851301</v>
      </c>
      <c r="D104" t="s">
        <v>83</v>
      </c>
      <c r="E104">
        <v>1950</v>
      </c>
      <c r="F104">
        <v>2499</v>
      </c>
      <c r="G104">
        <v>-549</v>
      </c>
      <c r="H104">
        <v>-21.97</v>
      </c>
      <c r="I104" t="s">
        <v>18</v>
      </c>
      <c r="J104" t="s">
        <v>26</v>
      </c>
    </row>
    <row r="105" spans="1:10" x14ac:dyDescent="0.25">
      <c r="A105" s="1">
        <v>46149</v>
      </c>
      <c r="B105" t="s">
        <v>71</v>
      </c>
      <c r="C105" s="2">
        <v>355079367233165</v>
      </c>
      <c r="D105" t="s">
        <v>35</v>
      </c>
      <c r="E105">
        <v>2680</v>
      </c>
      <c r="F105">
        <v>2600</v>
      </c>
      <c r="G105">
        <v>80</v>
      </c>
      <c r="H105">
        <v>3.08</v>
      </c>
      <c r="I105" t="s">
        <v>36</v>
      </c>
    </row>
    <row r="106" spans="1:10" x14ac:dyDescent="0.25">
      <c r="A106" s="1">
        <v>46149</v>
      </c>
      <c r="B106" t="s">
        <v>71</v>
      </c>
      <c r="C106" s="2">
        <v>355820206737670</v>
      </c>
      <c r="D106" t="s">
        <v>34</v>
      </c>
      <c r="E106">
        <v>3341.77</v>
      </c>
      <c r="F106">
        <v>2850</v>
      </c>
      <c r="G106">
        <v>491.77</v>
      </c>
      <c r="H106">
        <v>17.260000000000002</v>
      </c>
      <c r="I106" t="s">
        <v>36</v>
      </c>
    </row>
    <row r="107" spans="1:10" x14ac:dyDescent="0.25">
      <c r="A107" s="1">
        <v>46149</v>
      </c>
      <c r="B107" t="s">
        <v>71</v>
      </c>
      <c r="C107" s="2">
        <v>355820209403627</v>
      </c>
      <c r="D107" t="s">
        <v>35</v>
      </c>
      <c r="E107">
        <v>2680</v>
      </c>
      <c r="F107">
        <v>2677.5</v>
      </c>
      <c r="G107">
        <v>2.5</v>
      </c>
      <c r="H107">
        <v>0.09</v>
      </c>
      <c r="I107" t="s">
        <v>18</v>
      </c>
    </row>
    <row r="108" spans="1:10" x14ac:dyDescent="0.25">
      <c r="A108" s="1">
        <v>46149</v>
      </c>
      <c r="B108" t="s">
        <v>71</v>
      </c>
      <c r="C108" s="2">
        <v>355981553878614</v>
      </c>
      <c r="D108" t="s">
        <v>35</v>
      </c>
      <c r="E108">
        <v>2680</v>
      </c>
      <c r="F108">
        <v>2600</v>
      </c>
      <c r="G108">
        <v>80</v>
      </c>
      <c r="H108">
        <v>3.08</v>
      </c>
      <c r="I108" t="s">
        <v>36</v>
      </c>
    </row>
    <row r="109" spans="1:10" x14ac:dyDescent="0.25">
      <c r="A109" s="1">
        <v>46149</v>
      </c>
      <c r="B109" t="s">
        <v>71</v>
      </c>
      <c r="C109" s="2">
        <v>355981558185114</v>
      </c>
      <c r="D109" t="s">
        <v>35</v>
      </c>
      <c r="E109">
        <v>2680</v>
      </c>
      <c r="F109">
        <v>2600</v>
      </c>
      <c r="G109">
        <v>80</v>
      </c>
      <c r="H109">
        <v>3.08</v>
      </c>
      <c r="I109" t="s">
        <v>36</v>
      </c>
    </row>
    <row r="110" spans="1:10" x14ac:dyDescent="0.25">
      <c r="A110" s="1">
        <v>46149</v>
      </c>
      <c r="B110" t="s">
        <v>71</v>
      </c>
      <c r="C110" s="2">
        <v>356245412630122</v>
      </c>
      <c r="D110" t="s">
        <v>35</v>
      </c>
      <c r="E110">
        <v>2680</v>
      </c>
      <c r="F110">
        <v>2600</v>
      </c>
      <c r="G110">
        <v>80</v>
      </c>
      <c r="H110">
        <v>3.08</v>
      </c>
      <c r="I110" t="s">
        <v>36</v>
      </c>
    </row>
    <row r="111" spans="1:10" x14ac:dyDescent="0.25">
      <c r="A111" s="1">
        <v>46149</v>
      </c>
      <c r="B111" t="s">
        <v>71</v>
      </c>
      <c r="C111" s="2">
        <v>356245416649979</v>
      </c>
      <c r="D111" t="s">
        <v>35</v>
      </c>
      <c r="E111">
        <v>2680</v>
      </c>
      <c r="F111">
        <v>2750</v>
      </c>
      <c r="G111">
        <v>-70</v>
      </c>
      <c r="H111">
        <v>-2.5499999999999998</v>
      </c>
      <c r="I111" t="s">
        <v>36</v>
      </c>
      <c r="J111" t="s">
        <v>26</v>
      </c>
    </row>
    <row r="112" spans="1:10" x14ac:dyDescent="0.25">
      <c r="A112" s="1">
        <v>46149</v>
      </c>
      <c r="B112" t="s">
        <v>71</v>
      </c>
      <c r="C112" s="2">
        <v>356245419857652</v>
      </c>
      <c r="D112" t="s">
        <v>35</v>
      </c>
      <c r="E112">
        <v>2680</v>
      </c>
      <c r="F112">
        <v>2677.5</v>
      </c>
      <c r="G112">
        <v>2.5</v>
      </c>
      <c r="H112">
        <v>0.09</v>
      </c>
      <c r="I112" t="s">
        <v>18</v>
      </c>
    </row>
    <row r="113" spans="1:10" x14ac:dyDescent="0.25">
      <c r="A113" s="1">
        <v>46149</v>
      </c>
      <c r="B113" t="s">
        <v>71</v>
      </c>
      <c r="C113" s="2">
        <v>359477637199115</v>
      </c>
      <c r="D113" t="s">
        <v>35</v>
      </c>
      <c r="E113">
        <v>2680</v>
      </c>
      <c r="F113">
        <v>2600</v>
      </c>
      <c r="G113">
        <v>80</v>
      </c>
      <c r="H113">
        <v>3.08</v>
      </c>
      <c r="I113" t="s">
        <v>36</v>
      </c>
    </row>
    <row r="114" spans="1:10" x14ac:dyDescent="0.25">
      <c r="A114" s="1">
        <v>46149</v>
      </c>
      <c r="B114" t="s">
        <v>71</v>
      </c>
      <c r="C114" s="2">
        <v>359477637575447</v>
      </c>
      <c r="D114" t="s">
        <v>35</v>
      </c>
      <c r="E114">
        <v>2680</v>
      </c>
      <c r="F114">
        <v>2677.5</v>
      </c>
      <c r="G114">
        <v>2.5</v>
      </c>
      <c r="H114">
        <v>0.09</v>
      </c>
      <c r="I114" t="s">
        <v>18</v>
      </c>
    </row>
    <row r="115" spans="1:10" x14ac:dyDescent="0.25">
      <c r="A115" s="1">
        <v>46149</v>
      </c>
      <c r="B115" t="s">
        <v>71</v>
      </c>
      <c r="C115" s="2">
        <v>359477639587267</v>
      </c>
      <c r="D115" t="s">
        <v>35</v>
      </c>
      <c r="E115">
        <v>2680</v>
      </c>
      <c r="F115">
        <v>2600</v>
      </c>
      <c r="G115">
        <v>80</v>
      </c>
      <c r="H115">
        <v>3.08</v>
      </c>
      <c r="I115" t="s">
        <v>36</v>
      </c>
    </row>
    <row r="116" spans="1:10" x14ac:dyDescent="0.25">
      <c r="A116" s="1">
        <v>46149</v>
      </c>
      <c r="B116" t="s">
        <v>32</v>
      </c>
      <c r="C116" s="2">
        <v>350035234381541</v>
      </c>
      <c r="D116" t="s">
        <v>35</v>
      </c>
      <c r="E116">
        <v>3030</v>
      </c>
      <c r="F116">
        <v>2856</v>
      </c>
      <c r="G116">
        <v>174</v>
      </c>
      <c r="H116">
        <v>6.09</v>
      </c>
      <c r="I116" t="s">
        <v>18</v>
      </c>
    </row>
    <row r="117" spans="1:10" x14ac:dyDescent="0.25">
      <c r="A117" s="1">
        <v>46149</v>
      </c>
      <c r="B117" t="s">
        <v>32</v>
      </c>
      <c r="C117" s="2">
        <v>350035237008760</v>
      </c>
      <c r="D117" t="s">
        <v>33</v>
      </c>
      <c r="E117">
        <v>3110</v>
      </c>
      <c r="F117">
        <v>3034.5</v>
      </c>
      <c r="G117">
        <v>75.5</v>
      </c>
      <c r="H117">
        <v>2.4900000000000002</v>
      </c>
      <c r="I117" t="s">
        <v>18</v>
      </c>
    </row>
    <row r="118" spans="1:10" x14ac:dyDescent="0.25">
      <c r="A118" s="1">
        <v>46149</v>
      </c>
      <c r="B118" t="s">
        <v>32</v>
      </c>
      <c r="C118" s="2">
        <v>350035237171329</v>
      </c>
      <c r="D118" t="s">
        <v>33</v>
      </c>
      <c r="E118">
        <v>3120</v>
      </c>
      <c r="F118">
        <v>3248.7</v>
      </c>
      <c r="G118">
        <v>-128.69999999999999</v>
      </c>
      <c r="H118">
        <v>-3.96</v>
      </c>
      <c r="I118" t="s">
        <v>18</v>
      </c>
      <c r="J118" t="s">
        <v>26</v>
      </c>
    </row>
    <row r="119" spans="1:10" x14ac:dyDescent="0.25">
      <c r="A119" s="1">
        <v>46149</v>
      </c>
      <c r="B119" t="s">
        <v>32</v>
      </c>
      <c r="C119" s="2">
        <v>350035237175346</v>
      </c>
      <c r="D119" t="s">
        <v>33</v>
      </c>
      <c r="E119">
        <v>3120</v>
      </c>
      <c r="F119">
        <v>3034.5</v>
      </c>
      <c r="G119">
        <v>85.5</v>
      </c>
      <c r="H119">
        <v>2.82</v>
      </c>
      <c r="I119" t="s">
        <v>18</v>
      </c>
    </row>
    <row r="120" spans="1:10" x14ac:dyDescent="0.25">
      <c r="A120" s="1">
        <v>46149</v>
      </c>
      <c r="B120" t="s">
        <v>32</v>
      </c>
      <c r="C120" s="2">
        <v>350035237214657</v>
      </c>
      <c r="D120" t="s">
        <v>33</v>
      </c>
      <c r="E120">
        <v>3100</v>
      </c>
      <c r="F120">
        <v>3034.5</v>
      </c>
      <c r="G120">
        <v>65.5</v>
      </c>
      <c r="H120">
        <v>2.16</v>
      </c>
      <c r="I120" t="s">
        <v>18</v>
      </c>
    </row>
    <row r="121" spans="1:10" x14ac:dyDescent="0.25">
      <c r="A121" s="1">
        <v>46149</v>
      </c>
      <c r="B121" t="s">
        <v>32</v>
      </c>
      <c r="C121" s="2">
        <v>350035238459939</v>
      </c>
      <c r="D121" t="s">
        <v>33</v>
      </c>
      <c r="E121">
        <v>3120</v>
      </c>
      <c r="F121">
        <v>3248.7</v>
      </c>
      <c r="G121">
        <v>-128.69999999999999</v>
      </c>
      <c r="H121">
        <v>-3.96</v>
      </c>
      <c r="I121" t="s">
        <v>18</v>
      </c>
      <c r="J121" t="s">
        <v>26</v>
      </c>
    </row>
    <row r="122" spans="1:10" x14ac:dyDescent="0.25">
      <c r="A122" s="1">
        <v>46149</v>
      </c>
      <c r="B122" t="s">
        <v>32</v>
      </c>
      <c r="C122" s="2">
        <v>350035239175179</v>
      </c>
      <c r="D122" t="s">
        <v>33</v>
      </c>
      <c r="E122">
        <v>3120</v>
      </c>
      <c r="F122">
        <v>3034.5</v>
      </c>
      <c r="G122">
        <v>85.5</v>
      </c>
      <c r="H122">
        <v>2.82</v>
      </c>
      <c r="I122" t="s">
        <v>18</v>
      </c>
    </row>
    <row r="123" spans="1:10" x14ac:dyDescent="0.25">
      <c r="A123" s="1">
        <v>46149</v>
      </c>
      <c r="B123" t="s">
        <v>32</v>
      </c>
      <c r="C123" s="2">
        <v>350552892486651</v>
      </c>
      <c r="D123" t="s">
        <v>33</v>
      </c>
      <c r="E123">
        <v>3110</v>
      </c>
      <c r="F123">
        <v>3034.5</v>
      </c>
      <c r="G123">
        <v>75.5</v>
      </c>
      <c r="H123">
        <v>2.4900000000000002</v>
      </c>
      <c r="I123" t="s">
        <v>18</v>
      </c>
    </row>
    <row r="124" spans="1:10" x14ac:dyDescent="0.25">
      <c r="A124" s="1">
        <v>46149</v>
      </c>
      <c r="B124" t="s">
        <v>32</v>
      </c>
      <c r="C124" s="2">
        <v>350552898043670</v>
      </c>
      <c r="D124" t="s">
        <v>33</v>
      </c>
      <c r="E124">
        <v>3110</v>
      </c>
      <c r="F124">
        <v>3034.5</v>
      </c>
      <c r="G124">
        <v>75.5</v>
      </c>
      <c r="H124">
        <v>2.4900000000000002</v>
      </c>
      <c r="I124" t="s">
        <v>18</v>
      </c>
    </row>
    <row r="125" spans="1:10" x14ac:dyDescent="0.25">
      <c r="A125" s="1">
        <v>46149</v>
      </c>
      <c r="B125" t="s">
        <v>32</v>
      </c>
      <c r="C125" s="2">
        <v>350552898189374</v>
      </c>
      <c r="D125" t="s">
        <v>35</v>
      </c>
      <c r="E125">
        <v>3000</v>
      </c>
      <c r="F125">
        <v>3177.3</v>
      </c>
      <c r="G125">
        <v>-177.3</v>
      </c>
      <c r="H125">
        <v>-5.58</v>
      </c>
      <c r="I125" t="s">
        <v>18</v>
      </c>
      <c r="J125" t="s">
        <v>26</v>
      </c>
    </row>
    <row r="126" spans="1:10" x14ac:dyDescent="0.25">
      <c r="A126" s="1">
        <v>46149</v>
      </c>
      <c r="B126" t="s">
        <v>32</v>
      </c>
      <c r="C126" s="2">
        <v>350552898446782</v>
      </c>
      <c r="D126" t="s">
        <v>33</v>
      </c>
      <c r="E126">
        <v>3100</v>
      </c>
      <c r="F126">
        <v>3248.7</v>
      </c>
      <c r="G126">
        <v>-148.69999999999999</v>
      </c>
      <c r="H126">
        <v>-4.58</v>
      </c>
      <c r="I126" t="s">
        <v>18</v>
      </c>
      <c r="J126" t="s">
        <v>26</v>
      </c>
    </row>
    <row r="127" spans="1:10" x14ac:dyDescent="0.25">
      <c r="A127" s="1">
        <v>46149</v>
      </c>
      <c r="B127" t="s">
        <v>32</v>
      </c>
      <c r="C127" s="2">
        <v>350552898592916</v>
      </c>
      <c r="D127" t="s">
        <v>33</v>
      </c>
      <c r="E127">
        <v>3100</v>
      </c>
      <c r="F127">
        <v>3248.7</v>
      </c>
      <c r="G127">
        <v>-148.69999999999999</v>
      </c>
      <c r="H127">
        <v>-4.58</v>
      </c>
      <c r="I127" t="s">
        <v>18</v>
      </c>
      <c r="J127" t="s">
        <v>26</v>
      </c>
    </row>
    <row r="128" spans="1:10" x14ac:dyDescent="0.25">
      <c r="A128" s="1">
        <v>46149</v>
      </c>
      <c r="B128" t="s">
        <v>32</v>
      </c>
      <c r="C128" s="2">
        <v>350552898687138</v>
      </c>
      <c r="D128" t="s">
        <v>33</v>
      </c>
      <c r="E128">
        <v>3120</v>
      </c>
      <c r="F128">
        <v>3034.5</v>
      </c>
      <c r="G128">
        <v>85.5</v>
      </c>
      <c r="H128">
        <v>2.82</v>
      </c>
      <c r="I128" t="s">
        <v>18</v>
      </c>
    </row>
    <row r="129" spans="1:10" x14ac:dyDescent="0.25">
      <c r="A129" s="1">
        <v>46149</v>
      </c>
      <c r="B129" t="s">
        <v>32</v>
      </c>
      <c r="C129" s="2">
        <v>350552898824673</v>
      </c>
      <c r="D129" t="s">
        <v>33</v>
      </c>
      <c r="E129">
        <v>3120</v>
      </c>
      <c r="F129">
        <v>3248.7</v>
      </c>
      <c r="G129">
        <v>-128.69999999999999</v>
      </c>
      <c r="H129">
        <v>-3.96</v>
      </c>
      <c r="I129" t="s">
        <v>18</v>
      </c>
      <c r="J129" t="s">
        <v>26</v>
      </c>
    </row>
    <row r="130" spans="1:10" x14ac:dyDescent="0.25">
      <c r="A130" s="1">
        <v>46149</v>
      </c>
      <c r="B130" t="s">
        <v>32</v>
      </c>
      <c r="C130" s="2">
        <v>350552899384362</v>
      </c>
      <c r="D130" t="s">
        <v>35</v>
      </c>
      <c r="E130">
        <v>3405.04</v>
      </c>
      <c r="F130">
        <v>2856</v>
      </c>
      <c r="G130">
        <v>549.04</v>
      </c>
      <c r="H130">
        <v>19.22</v>
      </c>
      <c r="I130" t="s">
        <v>18</v>
      </c>
    </row>
    <row r="131" spans="1:10" x14ac:dyDescent="0.25">
      <c r="A131" s="1">
        <v>46149</v>
      </c>
      <c r="B131" t="s">
        <v>32</v>
      </c>
      <c r="C131" s="2">
        <v>351668141101187</v>
      </c>
      <c r="D131" t="s">
        <v>33</v>
      </c>
      <c r="E131">
        <v>3100</v>
      </c>
      <c r="F131">
        <v>3034.5</v>
      </c>
      <c r="G131">
        <v>65.5</v>
      </c>
      <c r="H131">
        <v>2.16</v>
      </c>
      <c r="I131" t="s">
        <v>18</v>
      </c>
    </row>
    <row r="132" spans="1:10" x14ac:dyDescent="0.25">
      <c r="A132" s="1">
        <v>46149</v>
      </c>
      <c r="B132" t="s">
        <v>32</v>
      </c>
      <c r="C132" s="2">
        <v>351668142202596</v>
      </c>
      <c r="D132" t="s">
        <v>33</v>
      </c>
      <c r="E132">
        <v>3120</v>
      </c>
      <c r="F132">
        <v>3034.5</v>
      </c>
      <c r="G132">
        <v>85.5</v>
      </c>
      <c r="H132">
        <v>2.82</v>
      </c>
      <c r="I132" t="s">
        <v>18</v>
      </c>
    </row>
    <row r="133" spans="1:10" x14ac:dyDescent="0.25">
      <c r="A133" s="1">
        <v>46149</v>
      </c>
      <c r="B133" t="s">
        <v>32</v>
      </c>
      <c r="C133" s="2">
        <v>351668142676005</v>
      </c>
      <c r="D133" t="s">
        <v>33</v>
      </c>
      <c r="E133">
        <v>3100</v>
      </c>
      <c r="F133">
        <v>3034.5</v>
      </c>
      <c r="G133">
        <v>65.5</v>
      </c>
      <c r="H133">
        <v>2.16</v>
      </c>
      <c r="I133" t="s">
        <v>18</v>
      </c>
    </row>
    <row r="134" spans="1:10" x14ac:dyDescent="0.25">
      <c r="A134" s="1">
        <v>46149</v>
      </c>
      <c r="B134" t="s">
        <v>32</v>
      </c>
      <c r="C134" s="2">
        <v>353263426425341</v>
      </c>
      <c r="D134" t="s">
        <v>35</v>
      </c>
      <c r="E134">
        <v>3000</v>
      </c>
      <c r="F134">
        <v>3050</v>
      </c>
      <c r="G134">
        <v>-50</v>
      </c>
      <c r="H134">
        <v>-1.64</v>
      </c>
      <c r="I134" t="s">
        <v>36</v>
      </c>
      <c r="J134" t="s">
        <v>26</v>
      </c>
    </row>
    <row r="135" spans="1:10" x14ac:dyDescent="0.25">
      <c r="A135" s="1">
        <v>46149</v>
      </c>
      <c r="B135" t="s">
        <v>32</v>
      </c>
      <c r="C135" s="2">
        <v>353497851021437</v>
      </c>
      <c r="D135" t="s">
        <v>84</v>
      </c>
      <c r="E135">
        <v>2835</v>
      </c>
      <c r="F135">
        <v>2820.3</v>
      </c>
      <c r="G135">
        <v>14.7</v>
      </c>
      <c r="H135">
        <v>0.52</v>
      </c>
      <c r="I135" t="s">
        <v>18</v>
      </c>
    </row>
    <row r="136" spans="1:10" x14ac:dyDescent="0.25">
      <c r="A136" s="1">
        <v>46149</v>
      </c>
      <c r="B136" t="s">
        <v>32</v>
      </c>
      <c r="C136" s="2">
        <v>353497859674955</v>
      </c>
      <c r="D136" t="s">
        <v>33</v>
      </c>
      <c r="E136">
        <v>3120</v>
      </c>
      <c r="F136">
        <v>3320.1</v>
      </c>
      <c r="G136">
        <v>-200.1</v>
      </c>
      <c r="H136">
        <v>-6.03</v>
      </c>
      <c r="I136" t="s">
        <v>18</v>
      </c>
      <c r="J136" t="s">
        <v>26</v>
      </c>
    </row>
    <row r="137" spans="1:10" x14ac:dyDescent="0.25">
      <c r="A137" s="1">
        <v>46149</v>
      </c>
      <c r="B137" t="s">
        <v>32</v>
      </c>
      <c r="C137" s="2">
        <v>355246657443701</v>
      </c>
      <c r="D137" t="s">
        <v>85</v>
      </c>
      <c r="E137">
        <v>3150</v>
      </c>
      <c r="F137">
        <v>2963.1</v>
      </c>
      <c r="G137">
        <v>186.9</v>
      </c>
      <c r="H137">
        <v>6.31</v>
      </c>
      <c r="I137" t="s">
        <v>18</v>
      </c>
    </row>
    <row r="138" spans="1:10" x14ac:dyDescent="0.25">
      <c r="A138" s="1">
        <v>46149</v>
      </c>
      <c r="B138" t="s">
        <v>32</v>
      </c>
      <c r="C138" s="2">
        <v>356225420016183</v>
      </c>
      <c r="D138" t="s">
        <v>33</v>
      </c>
      <c r="E138">
        <v>3130</v>
      </c>
      <c r="F138">
        <v>3248.7</v>
      </c>
      <c r="G138">
        <v>-118.7</v>
      </c>
      <c r="H138">
        <v>-3.65</v>
      </c>
      <c r="I138" t="s">
        <v>18</v>
      </c>
      <c r="J138" t="s">
        <v>26</v>
      </c>
    </row>
    <row r="139" spans="1:10" x14ac:dyDescent="0.25">
      <c r="A139" s="1">
        <v>46149</v>
      </c>
      <c r="B139" t="s">
        <v>32</v>
      </c>
      <c r="C139" s="2">
        <v>356225420155569</v>
      </c>
      <c r="D139" t="s">
        <v>33</v>
      </c>
      <c r="E139">
        <v>3120</v>
      </c>
      <c r="F139">
        <v>3034.5</v>
      </c>
      <c r="G139">
        <v>85.5</v>
      </c>
      <c r="H139">
        <v>2.82</v>
      </c>
      <c r="I139" t="s">
        <v>18</v>
      </c>
    </row>
    <row r="140" spans="1:10" x14ac:dyDescent="0.25">
      <c r="A140" s="1">
        <v>46149</v>
      </c>
      <c r="B140" t="s">
        <v>32</v>
      </c>
      <c r="C140" s="2">
        <v>356225420168455</v>
      </c>
      <c r="D140" t="s">
        <v>33</v>
      </c>
      <c r="E140">
        <v>3120</v>
      </c>
      <c r="F140">
        <v>3248.7</v>
      </c>
      <c r="G140">
        <v>-128.69999999999999</v>
      </c>
      <c r="H140">
        <v>-3.96</v>
      </c>
      <c r="I140" t="s">
        <v>18</v>
      </c>
      <c r="J140" t="s">
        <v>26</v>
      </c>
    </row>
    <row r="141" spans="1:10" x14ac:dyDescent="0.25">
      <c r="A141" s="1">
        <v>46149</v>
      </c>
      <c r="B141" t="s">
        <v>32</v>
      </c>
      <c r="C141" s="2">
        <v>356225420378500</v>
      </c>
      <c r="D141" t="s">
        <v>33</v>
      </c>
      <c r="E141">
        <v>3100</v>
      </c>
      <c r="F141">
        <v>3034.5</v>
      </c>
      <c r="G141">
        <v>65.5</v>
      </c>
      <c r="H141">
        <v>2.16</v>
      </c>
      <c r="I141" t="s">
        <v>18</v>
      </c>
    </row>
    <row r="142" spans="1:10" x14ac:dyDescent="0.25">
      <c r="A142" s="1">
        <v>46149</v>
      </c>
      <c r="B142" t="s">
        <v>32</v>
      </c>
      <c r="C142" s="2">
        <v>356225420483342</v>
      </c>
      <c r="D142" t="s">
        <v>33</v>
      </c>
      <c r="E142">
        <v>3100</v>
      </c>
      <c r="F142">
        <v>3248.7</v>
      </c>
      <c r="G142">
        <v>-148.69999999999999</v>
      </c>
      <c r="H142">
        <v>-4.58</v>
      </c>
      <c r="I142" t="s">
        <v>18</v>
      </c>
      <c r="J142" t="s">
        <v>26</v>
      </c>
    </row>
    <row r="143" spans="1:10" x14ac:dyDescent="0.25">
      <c r="A143" s="1">
        <v>46149</v>
      </c>
      <c r="B143" t="s">
        <v>32</v>
      </c>
      <c r="C143" s="2">
        <v>356225420603311</v>
      </c>
      <c r="D143" t="s">
        <v>35</v>
      </c>
      <c r="E143">
        <v>3000.02</v>
      </c>
      <c r="F143">
        <v>2856</v>
      </c>
      <c r="G143">
        <v>144.02000000000001</v>
      </c>
      <c r="H143">
        <v>5.04</v>
      </c>
      <c r="I143" t="s">
        <v>18</v>
      </c>
    </row>
    <row r="144" spans="1:10" x14ac:dyDescent="0.25">
      <c r="A144" s="1">
        <v>46149</v>
      </c>
      <c r="B144" t="s">
        <v>32</v>
      </c>
      <c r="C144" s="2">
        <v>356225422846504</v>
      </c>
      <c r="D144" t="s">
        <v>33</v>
      </c>
      <c r="E144">
        <v>3110</v>
      </c>
      <c r="F144">
        <v>3248.7</v>
      </c>
      <c r="G144">
        <v>-138.69999999999999</v>
      </c>
      <c r="H144">
        <v>-4.2699999999999996</v>
      </c>
      <c r="I144" t="s">
        <v>18</v>
      </c>
      <c r="J144" t="s">
        <v>26</v>
      </c>
    </row>
    <row r="145" spans="1:10" x14ac:dyDescent="0.25">
      <c r="A145" s="1">
        <v>46149</v>
      </c>
      <c r="B145" t="s">
        <v>32</v>
      </c>
      <c r="C145" s="2">
        <v>356392248475684</v>
      </c>
      <c r="D145" t="s">
        <v>35</v>
      </c>
      <c r="E145">
        <v>3000.02</v>
      </c>
      <c r="F145">
        <v>3050</v>
      </c>
      <c r="G145">
        <v>-49.98</v>
      </c>
      <c r="H145">
        <v>-1.64</v>
      </c>
      <c r="I145" t="s">
        <v>36</v>
      </c>
      <c r="J145" t="s">
        <v>26</v>
      </c>
    </row>
    <row r="146" spans="1:10" x14ac:dyDescent="0.25">
      <c r="A146" s="1">
        <v>46149</v>
      </c>
      <c r="B146" t="s">
        <v>32</v>
      </c>
      <c r="C146" s="2">
        <v>357329445756028</v>
      </c>
      <c r="D146" t="s">
        <v>33</v>
      </c>
      <c r="E146">
        <v>3120</v>
      </c>
      <c r="F146">
        <v>3034.5</v>
      </c>
      <c r="G146">
        <v>85.5</v>
      </c>
      <c r="H146">
        <v>2.82</v>
      </c>
      <c r="I146" t="s">
        <v>18</v>
      </c>
    </row>
    <row r="147" spans="1:10" x14ac:dyDescent="0.25">
      <c r="A147" s="1">
        <v>46149</v>
      </c>
      <c r="B147" t="s">
        <v>32</v>
      </c>
      <c r="C147" s="2">
        <v>357329445885850</v>
      </c>
      <c r="D147" t="s">
        <v>33</v>
      </c>
      <c r="E147">
        <v>3487.31</v>
      </c>
      <c r="F147">
        <v>3034.5</v>
      </c>
      <c r="G147">
        <v>452.81</v>
      </c>
      <c r="H147">
        <v>14.92</v>
      </c>
      <c r="I147" t="s">
        <v>18</v>
      </c>
    </row>
    <row r="148" spans="1:10" x14ac:dyDescent="0.25">
      <c r="A148" s="1">
        <v>46149</v>
      </c>
      <c r="B148" t="s">
        <v>32</v>
      </c>
      <c r="C148" s="2">
        <v>357329448679995</v>
      </c>
      <c r="D148" t="s">
        <v>35</v>
      </c>
      <c r="E148">
        <v>3000.02</v>
      </c>
      <c r="F148">
        <v>3177.3</v>
      </c>
      <c r="G148">
        <v>-177.28</v>
      </c>
      <c r="H148">
        <v>-5.58</v>
      </c>
      <c r="I148" t="s">
        <v>18</v>
      </c>
      <c r="J148" t="s">
        <v>26</v>
      </c>
    </row>
    <row r="149" spans="1:10" x14ac:dyDescent="0.25">
      <c r="A149" s="1">
        <v>46149</v>
      </c>
      <c r="B149" t="s">
        <v>32</v>
      </c>
      <c r="C149" s="2">
        <v>357329449293614</v>
      </c>
      <c r="D149" t="s">
        <v>35</v>
      </c>
      <c r="E149">
        <v>3000.02</v>
      </c>
      <c r="F149">
        <v>3177.3</v>
      </c>
      <c r="G149">
        <v>-177.28</v>
      </c>
      <c r="H149">
        <v>-5.58</v>
      </c>
      <c r="I149" t="s">
        <v>18</v>
      </c>
      <c r="J149" t="s">
        <v>26</v>
      </c>
    </row>
    <row r="150" spans="1:10" x14ac:dyDescent="0.25">
      <c r="A150" s="1">
        <v>46149</v>
      </c>
      <c r="B150" t="s">
        <v>32</v>
      </c>
      <c r="C150" s="2">
        <v>357329449588914</v>
      </c>
      <c r="D150" t="s">
        <v>33</v>
      </c>
      <c r="E150">
        <v>3100</v>
      </c>
      <c r="F150">
        <v>3034.5</v>
      </c>
      <c r="G150">
        <v>65.5</v>
      </c>
      <c r="H150">
        <v>2.16</v>
      </c>
      <c r="I150" t="s">
        <v>18</v>
      </c>
    </row>
    <row r="151" spans="1:10" x14ac:dyDescent="0.25">
      <c r="A151" s="1">
        <v>46149</v>
      </c>
      <c r="B151" t="s">
        <v>32</v>
      </c>
      <c r="C151" s="2">
        <v>357329449856667</v>
      </c>
      <c r="D151" t="s">
        <v>33</v>
      </c>
      <c r="E151">
        <v>3110</v>
      </c>
      <c r="F151">
        <v>3170</v>
      </c>
      <c r="G151">
        <v>-60</v>
      </c>
      <c r="H151">
        <v>-1.89</v>
      </c>
      <c r="I151" t="s">
        <v>36</v>
      </c>
      <c r="J151" t="s">
        <v>26</v>
      </c>
    </row>
    <row r="152" spans="1:10" x14ac:dyDescent="0.25">
      <c r="A152" s="1">
        <v>46149</v>
      </c>
      <c r="B152" t="s">
        <v>32</v>
      </c>
      <c r="C152" s="2">
        <v>358051329919980</v>
      </c>
      <c r="D152" t="s">
        <v>35</v>
      </c>
      <c r="E152">
        <v>3000.02</v>
      </c>
      <c r="F152">
        <v>2856</v>
      </c>
      <c r="G152">
        <v>144.02000000000001</v>
      </c>
      <c r="H152">
        <v>5.04</v>
      </c>
      <c r="I152" t="s">
        <v>18</v>
      </c>
    </row>
    <row r="153" spans="1:10" x14ac:dyDescent="0.25">
      <c r="A153" s="1">
        <v>46149</v>
      </c>
      <c r="B153" t="s">
        <v>32</v>
      </c>
      <c r="C153" s="2">
        <v>358206138732582</v>
      </c>
      <c r="D153" t="s">
        <v>33</v>
      </c>
      <c r="E153">
        <v>3110</v>
      </c>
      <c r="F153">
        <v>3034.5</v>
      </c>
      <c r="G153">
        <v>75.5</v>
      </c>
      <c r="H153">
        <v>2.4900000000000002</v>
      </c>
      <c r="I153" t="s">
        <v>18</v>
      </c>
    </row>
    <row r="154" spans="1:10" x14ac:dyDescent="0.25">
      <c r="A154" s="1">
        <v>46149</v>
      </c>
      <c r="B154" t="s">
        <v>32</v>
      </c>
      <c r="C154" s="2">
        <v>358206138929733</v>
      </c>
      <c r="D154" t="s">
        <v>33</v>
      </c>
      <c r="E154">
        <v>3130</v>
      </c>
      <c r="F154">
        <v>3248.7</v>
      </c>
      <c r="G154">
        <v>-118.7</v>
      </c>
      <c r="H154">
        <v>-3.65</v>
      </c>
      <c r="I154" t="s">
        <v>18</v>
      </c>
      <c r="J154" t="s">
        <v>26</v>
      </c>
    </row>
    <row r="155" spans="1:10" x14ac:dyDescent="0.25">
      <c r="A155" s="1">
        <v>46149</v>
      </c>
      <c r="B155" t="s">
        <v>32</v>
      </c>
      <c r="C155" s="2">
        <v>358206139328836</v>
      </c>
      <c r="D155" t="s">
        <v>33</v>
      </c>
      <c r="E155">
        <v>3100</v>
      </c>
      <c r="F155">
        <v>3034.5</v>
      </c>
      <c r="G155">
        <v>65.5</v>
      </c>
      <c r="H155">
        <v>2.16</v>
      </c>
      <c r="I155" t="s">
        <v>18</v>
      </c>
    </row>
    <row r="156" spans="1:10" x14ac:dyDescent="0.25">
      <c r="A156" s="1">
        <v>46149</v>
      </c>
      <c r="B156" t="s">
        <v>32</v>
      </c>
      <c r="C156" s="2">
        <v>358434701361627</v>
      </c>
      <c r="D156" t="s">
        <v>35</v>
      </c>
      <c r="E156">
        <v>3000.02</v>
      </c>
      <c r="F156">
        <v>2856</v>
      </c>
      <c r="G156">
        <v>144.02000000000001</v>
      </c>
      <c r="H156">
        <v>5.04</v>
      </c>
      <c r="I156" t="s">
        <v>18</v>
      </c>
    </row>
    <row r="157" spans="1:10" x14ac:dyDescent="0.25">
      <c r="A157" s="1">
        <v>46149</v>
      </c>
      <c r="B157" t="s">
        <v>32</v>
      </c>
      <c r="C157" s="2">
        <v>358434709056823</v>
      </c>
      <c r="D157" t="s">
        <v>33</v>
      </c>
      <c r="E157">
        <v>3120</v>
      </c>
      <c r="F157">
        <v>3034.5</v>
      </c>
      <c r="G157">
        <v>85.5</v>
      </c>
      <c r="H157">
        <v>2.82</v>
      </c>
      <c r="I157" t="s">
        <v>18</v>
      </c>
    </row>
    <row r="158" spans="1:10" x14ac:dyDescent="0.25">
      <c r="A158" s="1">
        <v>46149</v>
      </c>
      <c r="B158" t="s">
        <v>32</v>
      </c>
      <c r="C158" s="2">
        <v>358434709168842</v>
      </c>
      <c r="D158" t="s">
        <v>35</v>
      </c>
      <c r="E158">
        <v>3000.02</v>
      </c>
      <c r="F158">
        <v>3177.3</v>
      </c>
      <c r="G158">
        <v>-177.28</v>
      </c>
      <c r="H158">
        <v>-5.58</v>
      </c>
      <c r="I158" t="s">
        <v>18</v>
      </c>
      <c r="J158" t="s">
        <v>26</v>
      </c>
    </row>
    <row r="159" spans="1:10" x14ac:dyDescent="0.25">
      <c r="A159" s="1">
        <v>46149</v>
      </c>
      <c r="B159" t="s">
        <v>32</v>
      </c>
      <c r="C159" s="2">
        <v>358434709475783</v>
      </c>
      <c r="D159" t="s">
        <v>35</v>
      </c>
      <c r="E159">
        <v>3000.02</v>
      </c>
      <c r="F159">
        <v>3177.3</v>
      </c>
      <c r="G159">
        <v>-177.28</v>
      </c>
      <c r="H159">
        <v>-5.58</v>
      </c>
      <c r="I159" t="s">
        <v>18</v>
      </c>
      <c r="J159" t="s">
        <v>26</v>
      </c>
    </row>
    <row r="160" spans="1:10" x14ac:dyDescent="0.25">
      <c r="A160" s="1">
        <v>46149</v>
      </c>
      <c r="B160" t="s">
        <v>32</v>
      </c>
      <c r="C160" s="2">
        <v>358434709902778</v>
      </c>
      <c r="D160" t="s">
        <v>35</v>
      </c>
      <c r="E160">
        <v>3030</v>
      </c>
      <c r="F160">
        <v>2856</v>
      </c>
      <c r="G160">
        <v>174</v>
      </c>
      <c r="H160">
        <v>6.09</v>
      </c>
      <c r="I160" t="s">
        <v>18</v>
      </c>
    </row>
    <row r="161" spans="1:10" x14ac:dyDescent="0.25">
      <c r="A161" s="1">
        <v>46149</v>
      </c>
      <c r="B161" t="s">
        <v>32</v>
      </c>
      <c r="C161" s="2">
        <v>358902516870768</v>
      </c>
      <c r="D161" t="s">
        <v>33</v>
      </c>
      <c r="E161">
        <v>3130</v>
      </c>
      <c r="F161">
        <v>3248.7</v>
      </c>
      <c r="G161">
        <v>-118.7</v>
      </c>
      <c r="H161">
        <v>-3.65</v>
      </c>
      <c r="I161" t="s">
        <v>18</v>
      </c>
      <c r="J161" t="s">
        <v>26</v>
      </c>
    </row>
    <row r="162" spans="1:10" x14ac:dyDescent="0.25">
      <c r="A162" s="1">
        <v>46149</v>
      </c>
      <c r="B162" t="s">
        <v>32</v>
      </c>
      <c r="C162" s="2">
        <v>358902517417577</v>
      </c>
      <c r="D162" t="s">
        <v>33</v>
      </c>
      <c r="E162">
        <v>3130</v>
      </c>
      <c r="F162">
        <v>3248.7</v>
      </c>
      <c r="G162">
        <v>-118.7</v>
      </c>
      <c r="H162">
        <v>-3.65</v>
      </c>
      <c r="I162" t="s">
        <v>18</v>
      </c>
      <c r="J162" t="s">
        <v>26</v>
      </c>
    </row>
    <row r="163" spans="1:10" x14ac:dyDescent="0.25">
      <c r="A163" s="1">
        <v>46149</v>
      </c>
      <c r="B163" t="s">
        <v>32</v>
      </c>
      <c r="C163" s="2">
        <v>359614549650955</v>
      </c>
      <c r="D163" t="s">
        <v>84</v>
      </c>
      <c r="E163">
        <v>2835</v>
      </c>
      <c r="F163">
        <v>2820.3</v>
      </c>
      <c r="G163">
        <v>14.7</v>
      </c>
      <c r="H163">
        <v>0.52</v>
      </c>
      <c r="I163" t="s">
        <v>18</v>
      </c>
    </row>
    <row r="164" spans="1:10" x14ac:dyDescent="0.25">
      <c r="A164" s="1">
        <v>46149</v>
      </c>
      <c r="B164" t="s">
        <v>32</v>
      </c>
      <c r="C164" s="2">
        <v>359814717308663</v>
      </c>
      <c r="D164" t="s">
        <v>33</v>
      </c>
      <c r="E164">
        <v>3100</v>
      </c>
      <c r="F164">
        <v>3034.5</v>
      </c>
      <c r="G164">
        <v>65.5</v>
      </c>
      <c r="H164">
        <v>2.16</v>
      </c>
      <c r="I164" t="s">
        <v>18</v>
      </c>
    </row>
    <row r="165" spans="1:10" x14ac:dyDescent="0.25">
      <c r="A165" s="1">
        <v>46149</v>
      </c>
      <c r="B165" t="s">
        <v>32</v>
      </c>
      <c r="C165" s="2">
        <v>359814718786685</v>
      </c>
      <c r="D165" t="s">
        <v>35</v>
      </c>
      <c r="E165">
        <v>3000.02</v>
      </c>
      <c r="F165">
        <v>3177.3</v>
      </c>
      <c r="G165">
        <v>-177.28</v>
      </c>
      <c r="H165">
        <v>-5.58</v>
      </c>
      <c r="I165" t="s">
        <v>18</v>
      </c>
      <c r="J165" t="s">
        <v>26</v>
      </c>
    </row>
    <row r="166" spans="1:10" x14ac:dyDescent="0.25">
      <c r="A166" s="1">
        <v>46149</v>
      </c>
      <c r="B166" t="s">
        <v>32</v>
      </c>
      <c r="C166" s="2">
        <v>359814719338767</v>
      </c>
      <c r="D166" t="s">
        <v>35</v>
      </c>
      <c r="E166">
        <v>3000.02</v>
      </c>
      <c r="F166">
        <v>3050</v>
      </c>
      <c r="G166">
        <v>-49.98</v>
      </c>
      <c r="H166">
        <v>-1.64</v>
      </c>
      <c r="I166" t="s">
        <v>36</v>
      </c>
      <c r="J166" t="s">
        <v>26</v>
      </c>
    </row>
    <row r="167" spans="1:10" x14ac:dyDescent="0.25">
      <c r="A167" s="1">
        <v>46150</v>
      </c>
      <c r="B167" t="s">
        <v>86</v>
      </c>
      <c r="C167" s="2">
        <v>357773241392274</v>
      </c>
      <c r="E167">
        <v>1835.44</v>
      </c>
      <c r="F167">
        <v>1512</v>
      </c>
      <c r="G167">
        <v>323.44</v>
      </c>
      <c r="H167">
        <v>21.39</v>
      </c>
      <c r="I167" t="s">
        <v>18</v>
      </c>
    </row>
    <row r="168" spans="1:10" x14ac:dyDescent="0.25">
      <c r="A168" s="1">
        <v>46150</v>
      </c>
      <c r="B168" t="s">
        <v>87</v>
      </c>
      <c r="C168" s="2">
        <v>351420495323870</v>
      </c>
      <c r="D168" t="s">
        <v>88</v>
      </c>
      <c r="E168">
        <v>1840</v>
      </c>
      <c r="F168">
        <v>1825.8</v>
      </c>
      <c r="G168">
        <v>14.2</v>
      </c>
      <c r="H168">
        <v>0.78</v>
      </c>
      <c r="I168" t="s">
        <v>18</v>
      </c>
    </row>
    <row r="169" spans="1:10" x14ac:dyDescent="0.25">
      <c r="A169" s="1">
        <v>46150</v>
      </c>
      <c r="B169" t="s">
        <v>87</v>
      </c>
      <c r="C169" s="2">
        <v>359493734612231</v>
      </c>
      <c r="D169" t="s">
        <v>89</v>
      </c>
      <c r="E169">
        <v>1840</v>
      </c>
      <c r="F169">
        <v>1820.7</v>
      </c>
      <c r="G169">
        <v>19.3</v>
      </c>
      <c r="H169">
        <v>1.06</v>
      </c>
      <c r="I169" t="s">
        <v>18</v>
      </c>
    </row>
    <row r="170" spans="1:10" x14ac:dyDescent="0.25">
      <c r="A170" s="1">
        <v>46150</v>
      </c>
      <c r="B170" t="s">
        <v>90</v>
      </c>
      <c r="C170" s="2">
        <v>359012142968009</v>
      </c>
      <c r="E170">
        <v>1911.39</v>
      </c>
      <c r="F170">
        <v>1579.6</v>
      </c>
      <c r="G170">
        <v>331.79</v>
      </c>
      <c r="H170">
        <v>21</v>
      </c>
      <c r="I170" t="s">
        <v>18</v>
      </c>
    </row>
    <row r="171" spans="1:10" x14ac:dyDescent="0.25">
      <c r="A171" s="1">
        <v>46150</v>
      </c>
      <c r="B171" t="s">
        <v>71</v>
      </c>
      <c r="C171" s="2">
        <v>351317527167566</v>
      </c>
      <c r="D171" t="s">
        <v>33</v>
      </c>
      <c r="E171">
        <v>2790</v>
      </c>
      <c r="F171">
        <v>2677.5</v>
      </c>
      <c r="G171">
        <v>112.5</v>
      </c>
      <c r="H171">
        <v>4.2</v>
      </c>
      <c r="I171" t="s">
        <v>18</v>
      </c>
    </row>
    <row r="172" spans="1:10" x14ac:dyDescent="0.25">
      <c r="A172" s="1">
        <v>46150</v>
      </c>
      <c r="B172" t="s">
        <v>71</v>
      </c>
      <c r="C172" s="2">
        <v>354289631982171</v>
      </c>
      <c r="D172" t="s">
        <v>91</v>
      </c>
      <c r="E172">
        <v>4000</v>
      </c>
      <c r="F172">
        <v>3927</v>
      </c>
      <c r="G172">
        <v>73</v>
      </c>
      <c r="H172">
        <v>1.86</v>
      </c>
      <c r="I172" t="s">
        <v>18</v>
      </c>
    </row>
    <row r="173" spans="1:10" x14ac:dyDescent="0.25">
      <c r="A173" s="1">
        <v>46150</v>
      </c>
      <c r="B173" t="s">
        <v>71</v>
      </c>
      <c r="C173" s="2">
        <v>354289632682978</v>
      </c>
      <c r="D173" t="s">
        <v>92</v>
      </c>
      <c r="E173">
        <v>3850</v>
      </c>
      <c r="F173">
        <v>3748.5</v>
      </c>
      <c r="G173">
        <v>101.5</v>
      </c>
      <c r="H173">
        <v>2.71</v>
      </c>
      <c r="I173" t="s">
        <v>18</v>
      </c>
    </row>
    <row r="174" spans="1:10" x14ac:dyDescent="0.25">
      <c r="A174" s="1">
        <v>46150</v>
      </c>
      <c r="B174" t="s">
        <v>71</v>
      </c>
      <c r="C174" s="2">
        <v>354289633060042</v>
      </c>
      <c r="D174" t="s">
        <v>92</v>
      </c>
      <c r="E174">
        <v>3850</v>
      </c>
      <c r="F174">
        <v>3748.5</v>
      </c>
      <c r="G174">
        <v>101.5</v>
      </c>
      <c r="H174">
        <v>2.71</v>
      </c>
      <c r="I174" t="s">
        <v>18</v>
      </c>
    </row>
    <row r="175" spans="1:10" x14ac:dyDescent="0.25">
      <c r="A175" s="1">
        <v>46150</v>
      </c>
      <c r="B175" t="s">
        <v>71</v>
      </c>
      <c r="C175" s="2">
        <v>354289636495526</v>
      </c>
      <c r="D175" t="s">
        <v>93</v>
      </c>
      <c r="E175">
        <v>3850</v>
      </c>
      <c r="F175">
        <v>3748.5</v>
      </c>
      <c r="G175">
        <v>101.5</v>
      </c>
      <c r="H175">
        <v>2.71</v>
      </c>
      <c r="I175" t="s">
        <v>18</v>
      </c>
    </row>
    <row r="176" spans="1:10" x14ac:dyDescent="0.25">
      <c r="A176" s="1">
        <v>46150</v>
      </c>
      <c r="B176" t="s">
        <v>71</v>
      </c>
      <c r="C176" s="2">
        <v>355079367342354</v>
      </c>
      <c r="D176" t="s">
        <v>91</v>
      </c>
      <c r="E176">
        <v>4000</v>
      </c>
      <c r="F176">
        <v>3927</v>
      </c>
      <c r="G176">
        <v>73</v>
      </c>
      <c r="H176">
        <v>1.86</v>
      </c>
      <c r="I176" t="s">
        <v>18</v>
      </c>
    </row>
    <row r="177" spans="1:9" x14ac:dyDescent="0.25">
      <c r="A177" s="1">
        <v>46150</v>
      </c>
      <c r="B177" t="s">
        <v>71</v>
      </c>
      <c r="C177" s="2">
        <v>355079368159773</v>
      </c>
      <c r="D177" t="s">
        <v>92</v>
      </c>
      <c r="E177">
        <v>3850</v>
      </c>
      <c r="F177">
        <v>3748.5</v>
      </c>
      <c r="G177">
        <v>101.5</v>
      </c>
      <c r="H177">
        <v>2.71</v>
      </c>
      <c r="I177" t="s">
        <v>18</v>
      </c>
    </row>
    <row r="178" spans="1:9" x14ac:dyDescent="0.25">
      <c r="A178" s="1">
        <v>46150</v>
      </c>
      <c r="B178" t="s">
        <v>71</v>
      </c>
      <c r="C178" s="2">
        <v>355079368421702</v>
      </c>
      <c r="D178" t="s">
        <v>91</v>
      </c>
      <c r="E178">
        <v>4000</v>
      </c>
      <c r="F178">
        <v>3927</v>
      </c>
      <c r="G178">
        <v>73</v>
      </c>
      <c r="H178">
        <v>1.86</v>
      </c>
      <c r="I178" t="s">
        <v>18</v>
      </c>
    </row>
    <row r="179" spans="1:9" x14ac:dyDescent="0.25">
      <c r="A179" s="1">
        <v>46150</v>
      </c>
      <c r="B179" t="s">
        <v>71</v>
      </c>
      <c r="C179" s="2">
        <v>355079368695065</v>
      </c>
      <c r="D179" t="s">
        <v>91</v>
      </c>
      <c r="E179">
        <v>4000</v>
      </c>
      <c r="F179">
        <v>3927</v>
      </c>
      <c r="G179">
        <v>73</v>
      </c>
      <c r="H179">
        <v>1.86</v>
      </c>
      <c r="I179" t="s">
        <v>18</v>
      </c>
    </row>
    <row r="180" spans="1:9" x14ac:dyDescent="0.25">
      <c r="A180" s="1">
        <v>46150</v>
      </c>
      <c r="B180" t="s">
        <v>71</v>
      </c>
      <c r="C180" s="2">
        <v>355079368754920</v>
      </c>
      <c r="D180" t="s">
        <v>91</v>
      </c>
      <c r="E180">
        <v>4000</v>
      </c>
      <c r="F180">
        <v>3927</v>
      </c>
      <c r="G180">
        <v>73</v>
      </c>
      <c r="H180">
        <v>1.86</v>
      </c>
      <c r="I180" t="s">
        <v>18</v>
      </c>
    </row>
    <row r="181" spans="1:9" x14ac:dyDescent="0.25">
      <c r="A181" s="1">
        <v>46150</v>
      </c>
      <c r="B181" t="s">
        <v>71</v>
      </c>
      <c r="C181" s="2">
        <v>355820207006000</v>
      </c>
      <c r="D181" t="s">
        <v>91</v>
      </c>
      <c r="E181">
        <v>4000</v>
      </c>
      <c r="F181">
        <v>3927</v>
      </c>
      <c r="G181">
        <v>73</v>
      </c>
      <c r="H181">
        <v>1.86</v>
      </c>
      <c r="I181" t="s">
        <v>18</v>
      </c>
    </row>
    <row r="182" spans="1:9" x14ac:dyDescent="0.25">
      <c r="A182" s="1">
        <v>46150</v>
      </c>
      <c r="B182" t="s">
        <v>71</v>
      </c>
      <c r="C182" s="2">
        <v>355820209823246</v>
      </c>
      <c r="D182" t="s">
        <v>93</v>
      </c>
      <c r="E182">
        <v>3850</v>
      </c>
      <c r="F182">
        <v>3748.5</v>
      </c>
      <c r="G182">
        <v>101.5</v>
      </c>
      <c r="H182">
        <v>2.71</v>
      </c>
      <c r="I182" t="s">
        <v>18</v>
      </c>
    </row>
    <row r="183" spans="1:9" x14ac:dyDescent="0.25">
      <c r="A183" s="1">
        <v>46150</v>
      </c>
      <c r="B183" t="s">
        <v>71</v>
      </c>
      <c r="C183" s="2">
        <v>355981558630705</v>
      </c>
      <c r="D183" t="s">
        <v>92</v>
      </c>
      <c r="E183">
        <v>3850</v>
      </c>
      <c r="F183">
        <v>3748.5</v>
      </c>
      <c r="G183">
        <v>101.5</v>
      </c>
      <c r="H183">
        <v>2.71</v>
      </c>
      <c r="I183" t="s">
        <v>18</v>
      </c>
    </row>
    <row r="184" spans="1:9" x14ac:dyDescent="0.25">
      <c r="A184" s="1">
        <v>46150</v>
      </c>
      <c r="B184" t="s">
        <v>71</v>
      </c>
      <c r="C184" s="2">
        <v>355981559424017</v>
      </c>
      <c r="D184" t="s">
        <v>93</v>
      </c>
      <c r="E184">
        <v>3850</v>
      </c>
      <c r="F184">
        <v>3748.5</v>
      </c>
      <c r="G184">
        <v>101.5</v>
      </c>
      <c r="H184">
        <v>2.71</v>
      </c>
      <c r="I184" t="s">
        <v>18</v>
      </c>
    </row>
    <row r="185" spans="1:9" x14ac:dyDescent="0.25">
      <c r="A185" s="1">
        <v>46150</v>
      </c>
      <c r="B185" t="s">
        <v>71</v>
      </c>
      <c r="C185" s="2">
        <v>356245419596904</v>
      </c>
      <c r="D185" t="s">
        <v>93</v>
      </c>
      <c r="E185">
        <v>3850</v>
      </c>
      <c r="F185">
        <v>3748.5</v>
      </c>
      <c r="G185">
        <v>101.5</v>
      </c>
      <c r="H185">
        <v>2.71</v>
      </c>
      <c r="I185" t="s">
        <v>18</v>
      </c>
    </row>
    <row r="186" spans="1:9" x14ac:dyDescent="0.25">
      <c r="A186" s="1">
        <v>46150</v>
      </c>
      <c r="B186" t="s">
        <v>71</v>
      </c>
      <c r="C186" s="2">
        <v>356245419713715</v>
      </c>
      <c r="D186" t="s">
        <v>94</v>
      </c>
      <c r="E186">
        <v>4000</v>
      </c>
      <c r="F186">
        <v>3927</v>
      </c>
      <c r="G186">
        <v>73</v>
      </c>
      <c r="H186">
        <v>1.86</v>
      </c>
      <c r="I186" t="s">
        <v>18</v>
      </c>
    </row>
    <row r="187" spans="1:9" x14ac:dyDescent="0.25">
      <c r="A187" s="1">
        <v>46150</v>
      </c>
      <c r="B187" t="s">
        <v>71</v>
      </c>
      <c r="C187" s="2">
        <v>357254479279517</v>
      </c>
      <c r="D187" t="s">
        <v>94</v>
      </c>
      <c r="E187">
        <v>4000</v>
      </c>
      <c r="F187">
        <v>3927</v>
      </c>
      <c r="G187">
        <v>73</v>
      </c>
      <c r="H187">
        <v>1.86</v>
      </c>
      <c r="I187" t="s">
        <v>18</v>
      </c>
    </row>
    <row r="188" spans="1:9" x14ac:dyDescent="0.25">
      <c r="A188" s="1">
        <v>46150</v>
      </c>
      <c r="B188" t="s">
        <v>71</v>
      </c>
      <c r="C188" s="2">
        <v>357254479534788</v>
      </c>
      <c r="D188" t="s">
        <v>91</v>
      </c>
      <c r="E188">
        <v>4000</v>
      </c>
      <c r="F188">
        <v>3927</v>
      </c>
      <c r="G188">
        <v>73</v>
      </c>
      <c r="H188">
        <v>1.86</v>
      </c>
      <c r="I188" t="s">
        <v>18</v>
      </c>
    </row>
    <row r="189" spans="1:9" x14ac:dyDescent="0.25">
      <c r="A189" s="1">
        <v>46150</v>
      </c>
      <c r="B189" t="s">
        <v>71</v>
      </c>
      <c r="C189" s="2">
        <v>359477636296441</v>
      </c>
      <c r="D189" t="s">
        <v>33</v>
      </c>
      <c r="E189">
        <v>2790</v>
      </c>
      <c r="F189">
        <v>2677.5</v>
      </c>
      <c r="G189">
        <v>112.5</v>
      </c>
      <c r="H189">
        <v>4.2</v>
      </c>
      <c r="I189" t="s">
        <v>18</v>
      </c>
    </row>
    <row r="190" spans="1:9" x14ac:dyDescent="0.25">
      <c r="A190" s="1">
        <v>46150</v>
      </c>
      <c r="B190" t="s">
        <v>95</v>
      </c>
      <c r="C190" s="2">
        <v>355079367360653</v>
      </c>
      <c r="D190" t="s">
        <v>96</v>
      </c>
      <c r="E190">
        <v>4560</v>
      </c>
      <c r="F190">
        <v>4105.5</v>
      </c>
      <c r="G190">
        <v>454.5</v>
      </c>
      <c r="H190">
        <v>11.07</v>
      </c>
      <c r="I190" t="s">
        <v>18</v>
      </c>
    </row>
    <row r="191" spans="1:9" x14ac:dyDescent="0.25">
      <c r="A191" s="1">
        <v>46150</v>
      </c>
      <c r="B191" t="s">
        <v>95</v>
      </c>
      <c r="C191" s="2">
        <v>355079367876526</v>
      </c>
      <c r="D191" t="s">
        <v>96</v>
      </c>
      <c r="E191">
        <v>4560</v>
      </c>
      <c r="F191">
        <v>4105.5</v>
      </c>
      <c r="G191">
        <v>454.5</v>
      </c>
      <c r="H191">
        <v>11.07</v>
      </c>
      <c r="I191" t="s">
        <v>18</v>
      </c>
    </row>
    <row r="192" spans="1:9" x14ac:dyDescent="0.25">
      <c r="A192" s="1">
        <v>46150</v>
      </c>
      <c r="B192" t="s">
        <v>32</v>
      </c>
      <c r="C192" s="2">
        <v>350035236205458</v>
      </c>
      <c r="D192" t="s">
        <v>93</v>
      </c>
      <c r="E192">
        <v>4260</v>
      </c>
      <c r="F192">
        <v>4105.5</v>
      </c>
      <c r="G192">
        <v>154.5</v>
      </c>
      <c r="H192">
        <v>3.76</v>
      </c>
      <c r="I192" t="s">
        <v>18</v>
      </c>
    </row>
    <row r="193" spans="1:10" x14ac:dyDescent="0.25">
      <c r="A193" s="1">
        <v>46150</v>
      </c>
      <c r="B193" t="s">
        <v>32</v>
      </c>
      <c r="C193" s="2">
        <v>350035236394138</v>
      </c>
      <c r="D193" t="s">
        <v>93</v>
      </c>
      <c r="E193">
        <v>4260</v>
      </c>
      <c r="F193">
        <v>4105.5</v>
      </c>
      <c r="G193">
        <v>154.5</v>
      </c>
      <c r="H193">
        <v>3.76</v>
      </c>
      <c r="I193" t="s">
        <v>18</v>
      </c>
    </row>
    <row r="194" spans="1:10" x14ac:dyDescent="0.25">
      <c r="A194" s="1">
        <v>46150</v>
      </c>
      <c r="B194" t="s">
        <v>32</v>
      </c>
      <c r="C194" s="2">
        <v>350035237281888</v>
      </c>
      <c r="D194" t="s">
        <v>33</v>
      </c>
      <c r="E194">
        <v>3120</v>
      </c>
      <c r="F194">
        <v>3248.7</v>
      </c>
      <c r="G194">
        <v>-128.69999999999999</v>
      </c>
      <c r="H194">
        <v>-3.96</v>
      </c>
      <c r="I194" t="s">
        <v>18</v>
      </c>
      <c r="J194" t="s">
        <v>26</v>
      </c>
    </row>
    <row r="195" spans="1:10" x14ac:dyDescent="0.25">
      <c r="A195" s="1">
        <v>46150</v>
      </c>
      <c r="B195" t="s">
        <v>32</v>
      </c>
      <c r="C195" s="2">
        <v>350035238098323</v>
      </c>
      <c r="D195" t="s">
        <v>34</v>
      </c>
      <c r="E195">
        <v>3708.88</v>
      </c>
      <c r="F195">
        <v>3284.4</v>
      </c>
      <c r="G195">
        <v>424.48</v>
      </c>
      <c r="H195">
        <v>12.92</v>
      </c>
      <c r="I195" t="s">
        <v>18</v>
      </c>
    </row>
    <row r="196" spans="1:10" x14ac:dyDescent="0.25">
      <c r="A196" s="1">
        <v>46150</v>
      </c>
      <c r="B196" t="s">
        <v>32</v>
      </c>
      <c r="C196" s="2">
        <v>350035239170766</v>
      </c>
      <c r="D196" t="s">
        <v>35</v>
      </c>
      <c r="E196">
        <v>3000</v>
      </c>
      <c r="F196">
        <v>2856</v>
      </c>
      <c r="G196">
        <v>144</v>
      </c>
      <c r="H196">
        <v>5.04</v>
      </c>
      <c r="I196" t="s">
        <v>18</v>
      </c>
    </row>
    <row r="197" spans="1:10" x14ac:dyDescent="0.25">
      <c r="A197" s="1">
        <v>46150</v>
      </c>
      <c r="B197" t="s">
        <v>32</v>
      </c>
      <c r="C197" s="2">
        <v>350035239268594</v>
      </c>
      <c r="D197" t="s">
        <v>33</v>
      </c>
      <c r="E197">
        <v>3120</v>
      </c>
      <c r="F197">
        <v>3070</v>
      </c>
      <c r="G197">
        <v>50</v>
      </c>
      <c r="H197">
        <v>1.63</v>
      </c>
      <c r="I197" t="s">
        <v>36</v>
      </c>
    </row>
    <row r="198" spans="1:10" x14ac:dyDescent="0.25">
      <c r="A198" s="1">
        <v>46150</v>
      </c>
      <c r="B198" t="s">
        <v>32</v>
      </c>
      <c r="C198" s="2">
        <v>350035239495486</v>
      </c>
      <c r="D198" t="s">
        <v>72</v>
      </c>
      <c r="E198">
        <v>3430.37</v>
      </c>
      <c r="F198">
        <v>3034.5</v>
      </c>
      <c r="G198">
        <v>395.87</v>
      </c>
      <c r="H198">
        <v>13.05</v>
      </c>
      <c r="I198" t="s">
        <v>18</v>
      </c>
    </row>
    <row r="199" spans="1:10" x14ac:dyDescent="0.25">
      <c r="A199" s="1">
        <v>46150</v>
      </c>
      <c r="B199" t="s">
        <v>32</v>
      </c>
      <c r="C199" s="2">
        <v>350552898197021</v>
      </c>
      <c r="D199" t="s">
        <v>92</v>
      </c>
      <c r="E199">
        <v>4260</v>
      </c>
      <c r="F199">
        <v>4105.5</v>
      </c>
      <c r="G199">
        <v>154.5</v>
      </c>
      <c r="H199">
        <v>3.76</v>
      </c>
      <c r="I199" t="s">
        <v>18</v>
      </c>
    </row>
    <row r="200" spans="1:10" x14ac:dyDescent="0.25">
      <c r="A200" s="1">
        <v>46150</v>
      </c>
      <c r="B200" t="s">
        <v>32</v>
      </c>
      <c r="C200" s="2">
        <v>350599860860169</v>
      </c>
      <c r="D200" t="s">
        <v>97</v>
      </c>
      <c r="E200">
        <v>3645.53</v>
      </c>
      <c r="F200">
        <v>3284.4</v>
      </c>
      <c r="G200">
        <v>361.13</v>
      </c>
      <c r="H200">
        <v>11</v>
      </c>
      <c r="I200" t="s">
        <v>18</v>
      </c>
    </row>
    <row r="201" spans="1:10" x14ac:dyDescent="0.25">
      <c r="A201" s="1">
        <v>46150</v>
      </c>
      <c r="B201" t="s">
        <v>32</v>
      </c>
      <c r="C201" s="2">
        <v>351668144233029</v>
      </c>
      <c r="D201" t="s">
        <v>35</v>
      </c>
      <c r="E201">
        <v>3392.4</v>
      </c>
      <c r="F201">
        <v>2856</v>
      </c>
      <c r="G201">
        <v>536.4</v>
      </c>
      <c r="H201">
        <v>18.78</v>
      </c>
      <c r="I201" t="s">
        <v>18</v>
      </c>
    </row>
    <row r="202" spans="1:10" x14ac:dyDescent="0.25">
      <c r="A202" s="1">
        <v>46150</v>
      </c>
      <c r="B202" t="s">
        <v>32</v>
      </c>
      <c r="C202" s="2">
        <v>351668144797411</v>
      </c>
      <c r="D202" t="s">
        <v>34</v>
      </c>
      <c r="E202">
        <v>3708.86</v>
      </c>
      <c r="F202">
        <v>3284.4</v>
      </c>
      <c r="G202">
        <v>424.46</v>
      </c>
      <c r="H202">
        <v>12.92</v>
      </c>
      <c r="I202" t="s">
        <v>18</v>
      </c>
    </row>
    <row r="203" spans="1:10" x14ac:dyDescent="0.25">
      <c r="A203" s="1">
        <v>46150</v>
      </c>
      <c r="B203" t="s">
        <v>32</v>
      </c>
      <c r="C203" s="2">
        <v>355101473713730</v>
      </c>
      <c r="D203" t="s">
        <v>98</v>
      </c>
      <c r="E203">
        <v>4580</v>
      </c>
      <c r="F203">
        <v>4284</v>
      </c>
      <c r="G203">
        <v>296</v>
      </c>
      <c r="H203">
        <v>6.91</v>
      </c>
      <c r="I203" t="s">
        <v>18</v>
      </c>
    </row>
    <row r="204" spans="1:10" x14ac:dyDescent="0.25">
      <c r="A204" s="1">
        <v>46150</v>
      </c>
      <c r="B204" t="s">
        <v>32</v>
      </c>
      <c r="C204" s="2">
        <v>355101473744206</v>
      </c>
      <c r="D204" t="s">
        <v>98</v>
      </c>
      <c r="E204">
        <v>4580</v>
      </c>
      <c r="F204">
        <v>4284</v>
      </c>
      <c r="G204">
        <v>296</v>
      </c>
      <c r="H204">
        <v>6.91</v>
      </c>
      <c r="I204" t="s">
        <v>18</v>
      </c>
    </row>
    <row r="205" spans="1:10" x14ac:dyDescent="0.25">
      <c r="A205" s="1">
        <v>46150</v>
      </c>
      <c r="B205" t="s">
        <v>32</v>
      </c>
      <c r="C205" s="2">
        <v>356392248888357</v>
      </c>
      <c r="D205" t="s">
        <v>35</v>
      </c>
      <c r="E205">
        <v>3000</v>
      </c>
      <c r="F205">
        <v>3050</v>
      </c>
      <c r="G205">
        <v>-50</v>
      </c>
      <c r="H205">
        <v>-1.64</v>
      </c>
      <c r="I205" t="s">
        <v>36</v>
      </c>
      <c r="J205" t="s">
        <v>26</v>
      </c>
    </row>
    <row r="206" spans="1:10" x14ac:dyDescent="0.25">
      <c r="A206" s="1">
        <v>46150</v>
      </c>
      <c r="B206" t="s">
        <v>32</v>
      </c>
      <c r="C206" s="2">
        <v>357329446447478</v>
      </c>
      <c r="D206" t="s">
        <v>33</v>
      </c>
      <c r="E206">
        <v>3120</v>
      </c>
      <c r="F206">
        <v>3248.7</v>
      </c>
      <c r="G206">
        <v>-128.69999999999999</v>
      </c>
      <c r="H206">
        <v>-3.96</v>
      </c>
      <c r="I206" t="s">
        <v>18</v>
      </c>
      <c r="J206" t="s">
        <v>26</v>
      </c>
    </row>
    <row r="207" spans="1:10" x14ac:dyDescent="0.25">
      <c r="A207" s="1">
        <v>46150</v>
      </c>
      <c r="B207" t="s">
        <v>32</v>
      </c>
      <c r="C207" s="2">
        <v>357329446642375</v>
      </c>
      <c r="D207" t="s">
        <v>92</v>
      </c>
      <c r="E207">
        <v>4260</v>
      </c>
      <c r="F207">
        <v>4105.5</v>
      </c>
      <c r="G207">
        <v>154.5</v>
      </c>
      <c r="H207">
        <v>3.76</v>
      </c>
      <c r="I207" t="s">
        <v>18</v>
      </c>
    </row>
    <row r="208" spans="1:10" x14ac:dyDescent="0.25">
      <c r="A208" s="1">
        <v>46150</v>
      </c>
      <c r="B208" t="s">
        <v>32</v>
      </c>
      <c r="C208" s="2">
        <v>357329446880454</v>
      </c>
      <c r="D208" t="s">
        <v>92</v>
      </c>
      <c r="E208">
        <v>4260</v>
      </c>
      <c r="F208">
        <v>4105.5</v>
      </c>
      <c r="G208">
        <v>154.5</v>
      </c>
      <c r="H208">
        <v>3.76</v>
      </c>
      <c r="I208" t="s">
        <v>18</v>
      </c>
    </row>
    <row r="209" spans="1:10" x14ac:dyDescent="0.25">
      <c r="A209" s="1">
        <v>46150</v>
      </c>
      <c r="B209" t="s">
        <v>32</v>
      </c>
      <c r="C209" s="2">
        <v>357329447043961</v>
      </c>
      <c r="D209" t="s">
        <v>92</v>
      </c>
      <c r="E209">
        <v>4260</v>
      </c>
      <c r="F209">
        <v>4105.5</v>
      </c>
      <c r="G209">
        <v>154.5</v>
      </c>
      <c r="H209">
        <v>3.76</v>
      </c>
      <c r="I209" t="s">
        <v>18</v>
      </c>
    </row>
    <row r="210" spans="1:10" x14ac:dyDescent="0.25">
      <c r="A210" s="1">
        <v>46150</v>
      </c>
      <c r="B210" t="s">
        <v>32</v>
      </c>
      <c r="C210" s="2">
        <v>358206139869052</v>
      </c>
      <c r="D210" t="s">
        <v>33</v>
      </c>
      <c r="E210">
        <v>3120</v>
      </c>
      <c r="F210">
        <v>3248.7</v>
      </c>
      <c r="G210">
        <v>-128.69999999999999</v>
      </c>
      <c r="H210">
        <v>-3.96</v>
      </c>
      <c r="I210" t="s">
        <v>18</v>
      </c>
      <c r="J210" t="s">
        <v>26</v>
      </c>
    </row>
    <row r="211" spans="1:10" x14ac:dyDescent="0.25">
      <c r="A211" s="1">
        <v>46150</v>
      </c>
      <c r="B211" t="s">
        <v>32</v>
      </c>
      <c r="C211" s="2">
        <v>358434708332373</v>
      </c>
      <c r="D211" t="s">
        <v>93</v>
      </c>
      <c r="E211">
        <v>4260</v>
      </c>
      <c r="F211">
        <v>4105.5</v>
      </c>
      <c r="G211">
        <v>154.5</v>
      </c>
      <c r="H211">
        <v>3.76</v>
      </c>
      <c r="I211" t="s">
        <v>18</v>
      </c>
    </row>
    <row r="212" spans="1:10" x14ac:dyDescent="0.25">
      <c r="A212" s="1">
        <v>46150</v>
      </c>
      <c r="B212" t="s">
        <v>32</v>
      </c>
      <c r="C212" s="2">
        <v>358434709351851</v>
      </c>
      <c r="D212" t="s">
        <v>33</v>
      </c>
      <c r="E212">
        <v>3481.02</v>
      </c>
      <c r="F212">
        <v>3034.5</v>
      </c>
      <c r="G212">
        <v>446.52</v>
      </c>
      <c r="H212">
        <v>14.71</v>
      </c>
      <c r="I212" t="s">
        <v>18</v>
      </c>
    </row>
    <row r="213" spans="1:10" x14ac:dyDescent="0.25">
      <c r="A213" s="1">
        <v>46150</v>
      </c>
      <c r="B213" t="s">
        <v>75</v>
      </c>
      <c r="C213" s="2">
        <v>359814715575735</v>
      </c>
      <c r="D213" t="s">
        <v>92</v>
      </c>
      <c r="E213">
        <v>4850</v>
      </c>
      <c r="F213">
        <v>4462.5</v>
      </c>
      <c r="G213">
        <v>387.5</v>
      </c>
      <c r="H213">
        <v>8.68</v>
      </c>
      <c r="I213" t="s">
        <v>18</v>
      </c>
    </row>
    <row r="214" spans="1:10" x14ac:dyDescent="0.25">
      <c r="A214" s="1">
        <v>46151</v>
      </c>
      <c r="B214" t="s">
        <v>99</v>
      </c>
      <c r="C214" s="2" t="s">
        <v>100</v>
      </c>
      <c r="E214">
        <v>721.5</v>
      </c>
      <c r="F214">
        <v>716</v>
      </c>
      <c r="G214">
        <v>5.5</v>
      </c>
      <c r="H214">
        <v>0.77</v>
      </c>
      <c r="I214" t="s">
        <v>18</v>
      </c>
    </row>
    <row r="215" spans="1:10" x14ac:dyDescent="0.25">
      <c r="A215" s="1">
        <v>46151</v>
      </c>
      <c r="B215" t="s">
        <v>101</v>
      </c>
      <c r="C215" s="2">
        <v>21105082002732</v>
      </c>
      <c r="D215" t="s">
        <v>78</v>
      </c>
      <c r="E215">
        <v>4050</v>
      </c>
      <c r="F215">
        <v>3394.85</v>
      </c>
      <c r="G215">
        <v>655.15</v>
      </c>
      <c r="H215">
        <v>19.3</v>
      </c>
      <c r="I215" t="s">
        <v>102</v>
      </c>
    </row>
    <row r="216" spans="1:10" x14ac:dyDescent="0.25">
      <c r="A216" s="1">
        <v>46151</v>
      </c>
      <c r="B216" t="s">
        <v>101</v>
      </c>
      <c r="C216" s="2">
        <v>21125082000631</v>
      </c>
      <c r="D216" t="s">
        <v>34</v>
      </c>
      <c r="E216">
        <v>3850</v>
      </c>
      <c r="F216">
        <v>3071.88</v>
      </c>
      <c r="G216">
        <v>778.12</v>
      </c>
      <c r="H216">
        <v>25.33</v>
      </c>
      <c r="I216" t="s">
        <v>102</v>
      </c>
    </row>
    <row r="217" spans="1:10" x14ac:dyDescent="0.25">
      <c r="A217" s="1">
        <v>46151</v>
      </c>
      <c r="B217" t="s">
        <v>101</v>
      </c>
      <c r="C217" s="2">
        <v>21125082000978</v>
      </c>
      <c r="D217" t="s">
        <v>34</v>
      </c>
      <c r="E217">
        <v>3850</v>
      </c>
      <c r="F217">
        <v>3201.35</v>
      </c>
      <c r="G217">
        <v>648.65</v>
      </c>
      <c r="H217">
        <v>20.260000000000002</v>
      </c>
      <c r="I217" t="s">
        <v>102</v>
      </c>
    </row>
    <row r="218" spans="1:10" x14ac:dyDescent="0.25">
      <c r="A218" s="1">
        <v>46151</v>
      </c>
      <c r="B218" t="s">
        <v>101</v>
      </c>
      <c r="C218" s="2">
        <v>21125082001038</v>
      </c>
      <c r="D218" t="s">
        <v>34</v>
      </c>
      <c r="E218">
        <v>3850</v>
      </c>
      <c r="F218">
        <v>3201.35</v>
      </c>
      <c r="G218">
        <v>648.65</v>
      </c>
      <c r="H218">
        <v>20.260000000000002</v>
      </c>
      <c r="I218" t="s">
        <v>102</v>
      </c>
    </row>
    <row r="219" spans="1:10" x14ac:dyDescent="0.25">
      <c r="A219" s="1">
        <v>46151</v>
      </c>
      <c r="B219" t="s">
        <v>101</v>
      </c>
      <c r="C219" s="2">
        <v>21125082001885</v>
      </c>
      <c r="D219" t="s">
        <v>78</v>
      </c>
      <c r="E219">
        <v>4050</v>
      </c>
      <c r="F219">
        <v>3394.85</v>
      </c>
      <c r="G219">
        <v>655.15</v>
      </c>
      <c r="H219">
        <v>19.3</v>
      </c>
      <c r="I219" t="s">
        <v>102</v>
      </c>
    </row>
    <row r="220" spans="1:10" x14ac:dyDescent="0.25">
      <c r="A220" s="1">
        <v>46151</v>
      </c>
      <c r="B220" t="s">
        <v>101</v>
      </c>
      <c r="C220" s="2">
        <v>21125082001984</v>
      </c>
      <c r="D220" t="s">
        <v>78</v>
      </c>
      <c r="E220">
        <v>4050</v>
      </c>
      <c r="F220">
        <v>3394.85</v>
      </c>
      <c r="G220">
        <v>655.15</v>
      </c>
      <c r="H220">
        <v>19.3</v>
      </c>
      <c r="I220" t="s">
        <v>102</v>
      </c>
    </row>
    <row r="221" spans="1:10" x14ac:dyDescent="0.25">
      <c r="A221" s="1">
        <v>46151</v>
      </c>
      <c r="B221" t="s">
        <v>101</v>
      </c>
      <c r="C221" s="2">
        <v>21125082001985</v>
      </c>
      <c r="D221" t="s">
        <v>78</v>
      </c>
      <c r="E221">
        <v>4050</v>
      </c>
      <c r="F221">
        <v>3394.85</v>
      </c>
      <c r="G221">
        <v>655.15</v>
      </c>
      <c r="H221">
        <v>19.3</v>
      </c>
      <c r="I221" t="s">
        <v>102</v>
      </c>
    </row>
    <row r="222" spans="1:10" x14ac:dyDescent="0.25">
      <c r="A222" s="1">
        <v>46151</v>
      </c>
      <c r="B222" t="s">
        <v>101</v>
      </c>
      <c r="C222" s="2">
        <v>21125082001986</v>
      </c>
      <c r="D222" t="s">
        <v>78</v>
      </c>
      <c r="E222">
        <v>4050</v>
      </c>
      <c r="F222">
        <v>3394.85</v>
      </c>
      <c r="G222">
        <v>655.15</v>
      </c>
      <c r="H222">
        <v>19.3</v>
      </c>
      <c r="I222" t="s">
        <v>102</v>
      </c>
    </row>
    <row r="223" spans="1:10" x14ac:dyDescent="0.25">
      <c r="A223" s="1">
        <v>46151</v>
      </c>
      <c r="B223" t="s">
        <v>101</v>
      </c>
      <c r="C223" s="2">
        <v>21125082001987</v>
      </c>
      <c r="D223" t="s">
        <v>78</v>
      </c>
      <c r="E223">
        <v>4050</v>
      </c>
      <c r="F223">
        <v>3394.85</v>
      </c>
      <c r="G223">
        <v>655.15</v>
      </c>
      <c r="H223">
        <v>19.3</v>
      </c>
      <c r="I223" t="s">
        <v>102</v>
      </c>
    </row>
    <row r="224" spans="1:10" x14ac:dyDescent="0.25">
      <c r="A224" s="1">
        <v>46151</v>
      </c>
      <c r="B224" t="s">
        <v>101</v>
      </c>
      <c r="C224" s="2">
        <v>21125082001988</v>
      </c>
      <c r="D224" t="s">
        <v>78</v>
      </c>
      <c r="E224">
        <v>4050</v>
      </c>
      <c r="F224">
        <v>3394.85</v>
      </c>
      <c r="G224">
        <v>655.15</v>
      </c>
      <c r="H224">
        <v>19.3</v>
      </c>
      <c r="I224" t="s">
        <v>102</v>
      </c>
    </row>
    <row r="225" spans="1:9" x14ac:dyDescent="0.25">
      <c r="A225" s="1">
        <v>46151</v>
      </c>
      <c r="B225" t="s">
        <v>101</v>
      </c>
      <c r="C225" s="2">
        <v>21125082001989</v>
      </c>
      <c r="D225" t="s">
        <v>78</v>
      </c>
      <c r="E225">
        <v>4050</v>
      </c>
      <c r="F225">
        <v>3394.85</v>
      </c>
      <c r="G225">
        <v>655.15</v>
      </c>
      <c r="H225">
        <v>19.3</v>
      </c>
      <c r="I225" t="s">
        <v>102</v>
      </c>
    </row>
    <row r="226" spans="1:9" x14ac:dyDescent="0.25">
      <c r="A226" s="1">
        <v>46151</v>
      </c>
      <c r="B226" t="s">
        <v>101</v>
      </c>
      <c r="C226" s="2">
        <v>21125082001990</v>
      </c>
      <c r="D226" t="s">
        <v>78</v>
      </c>
      <c r="E226">
        <v>4050</v>
      </c>
      <c r="F226">
        <v>3394.85</v>
      </c>
      <c r="G226">
        <v>655.15</v>
      </c>
      <c r="H226">
        <v>19.3</v>
      </c>
      <c r="I226" t="s">
        <v>102</v>
      </c>
    </row>
    <row r="227" spans="1:9" x14ac:dyDescent="0.25">
      <c r="A227" s="1">
        <v>46151</v>
      </c>
      <c r="B227" t="s">
        <v>101</v>
      </c>
      <c r="C227" s="2">
        <v>21125082001991</v>
      </c>
      <c r="D227" t="s">
        <v>78</v>
      </c>
      <c r="E227">
        <v>4050</v>
      </c>
      <c r="F227">
        <v>3394.85</v>
      </c>
      <c r="G227">
        <v>655.15</v>
      </c>
      <c r="H227">
        <v>19.3</v>
      </c>
      <c r="I227" t="s">
        <v>102</v>
      </c>
    </row>
    <row r="228" spans="1:9" x14ac:dyDescent="0.25">
      <c r="A228" s="1">
        <v>46151</v>
      </c>
      <c r="B228" t="s">
        <v>101</v>
      </c>
      <c r="C228" s="2">
        <v>21125082001992</v>
      </c>
      <c r="D228" t="s">
        <v>78</v>
      </c>
      <c r="E228">
        <v>4100</v>
      </c>
      <c r="F228">
        <v>3394.85</v>
      </c>
      <c r="G228">
        <v>705.15</v>
      </c>
      <c r="H228">
        <v>20.77</v>
      </c>
      <c r="I228" t="s">
        <v>102</v>
      </c>
    </row>
    <row r="229" spans="1:9" x14ac:dyDescent="0.25">
      <c r="A229" s="1">
        <v>46151</v>
      </c>
      <c r="B229" t="s">
        <v>101</v>
      </c>
      <c r="C229" s="2">
        <v>21125082001993</v>
      </c>
      <c r="D229" t="s">
        <v>78</v>
      </c>
      <c r="E229">
        <v>4100</v>
      </c>
      <c r="F229">
        <v>3394.85</v>
      </c>
      <c r="G229">
        <v>705.15</v>
      </c>
      <c r="H229">
        <v>20.77</v>
      </c>
      <c r="I229" t="s">
        <v>102</v>
      </c>
    </row>
    <row r="230" spans="1:9" x14ac:dyDescent="0.25">
      <c r="A230" s="1">
        <v>46151</v>
      </c>
      <c r="B230" t="s">
        <v>101</v>
      </c>
      <c r="C230" s="2">
        <v>21215082000351</v>
      </c>
      <c r="D230" t="s">
        <v>78</v>
      </c>
      <c r="E230">
        <v>4050</v>
      </c>
      <c r="F230">
        <v>3071.88</v>
      </c>
      <c r="G230">
        <v>978.12</v>
      </c>
      <c r="H230">
        <v>31.84</v>
      </c>
      <c r="I230" t="s">
        <v>102</v>
      </c>
    </row>
    <row r="231" spans="1:9" x14ac:dyDescent="0.25">
      <c r="A231" s="1">
        <v>46151</v>
      </c>
      <c r="B231" t="s">
        <v>101</v>
      </c>
      <c r="C231" s="2">
        <v>21215082000352</v>
      </c>
      <c r="D231" t="s">
        <v>78</v>
      </c>
      <c r="E231">
        <v>4050</v>
      </c>
      <c r="F231">
        <v>3394.85</v>
      </c>
      <c r="G231">
        <v>655.15</v>
      </c>
      <c r="H231">
        <v>19.3</v>
      </c>
      <c r="I231" t="s">
        <v>102</v>
      </c>
    </row>
    <row r="232" spans="1:9" x14ac:dyDescent="0.25">
      <c r="A232" s="1">
        <v>46151</v>
      </c>
      <c r="B232" t="s">
        <v>101</v>
      </c>
      <c r="C232" s="2">
        <v>21215082000354</v>
      </c>
      <c r="D232" t="s">
        <v>78</v>
      </c>
      <c r="E232">
        <v>4050</v>
      </c>
      <c r="F232">
        <v>3394.85</v>
      </c>
      <c r="G232">
        <v>655.15</v>
      </c>
      <c r="H232">
        <v>19.3</v>
      </c>
      <c r="I232" t="s">
        <v>102</v>
      </c>
    </row>
    <row r="233" spans="1:9" x14ac:dyDescent="0.25">
      <c r="A233" s="1">
        <v>46151</v>
      </c>
      <c r="B233" t="s">
        <v>101</v>
      </c>
      <c r="C233" s="2">
        <v>21215082000355</v>
      </c>
      <c r="D233" t="s">
        <v>78</v>
      </c>
      <c r="E233">
        <v>4050</v>
      </c>
      <c r="F233">
        <v>3394.85</v>
      </c>
      <c r="G233">
        <v>655.15</v>
      </c>
      <c r="H233">
        <v>19.3</v>
      </c>
      <c r="I233" t="s">
        <v>102</v>
      </c>
    </row>
    <row r="234" spans="1:9" x14ac:dyDescent="0.25">
      <c r="A234" s="1">
        <v>46151</v>
      </c>
      <c r="B234" t="s">
        <v>101</v>
      </c>
      <c r="C234" s="2">
        <v>21215082000356</v>
      </c>
      <c r="D234" t="s">
        <v>78</v>
      </c>
      <c r="E234">
        <v>4050</v>
      </c>
      <c r="F234">
        <v>3394.85</v>
      </c>
      <c r="G234">
        <v>655.15</v>
      </c>
      <c r="H234">
        <v>19.3</v>
      </c>
      <c r="I234" t="s">
        <v>102</v>
      </c>
    </row>
    <row r="235" spans="1:9" x14ac:dyDescent="0.25">
      <c r="A235" s="1">
        <v>46151</v>
      </c>
      <c r="B235" t="s">
        <v>101</v>
      </c>
      <c r="C235" s="2">
        <v>21215082000357</v>
      </c>
      <c r="D235" t="s">
        <v>78</v>
      </c>
      <c r="E235">
        <v>4050</v>
      </c>
      <c r="F235">
        <v>3394.85</v>
      </c>
      <c r="G235">
        <v>655.15</v>
      </c>
      <c r="H235">
        <v>19.3</v>
      </c>
      <c r="I235" t="s">
        <v>102</v>
      </c>
    </row>
    <row r="236" spans="1:9" x14ac:dyDescent="0.25">
      <c r="A236" s="1">
        <v>46151</v>
      </c>
      <c r="B236" t="s">
        <v>101</v>
      </c>
      <c r="C236" s="2">
        <v>21215082000358</v>
      </c>
      <c r="D236" t="s">
        <v>78</v>
      </c>
      <c r="E236">
        <v>4050</v>
      </c>
      <c r="F236">
        <v>3086.37</v>
      </c>
      <c r="G236">
        <v>963.63</v>
      </c>
      <c r="H236">
        <v>31.22</v>
      </c>
      <c r="I236" t="s">
        <v>102</v>
      </c>
    </row>
    <row r="237" spans="1:9" x14ac:dyDescent="0.25">
      <c r="A237" s="1">
        <v>46151</v>
      </c>
      <c r="B237" t="s">
        <v>101</v>
      </c>
      <c r="C237" s="2">
        <v>21215082000359</v>
      </c>
      <c r="D237" t="s">
        <v>78</v>
      </c>
      <c r="E237">
        <v>4050</v>
      </c>
      <c r="F237">
        <v>3086.37</v>
      </c>
      <c r="G237">
        <v>963.63</v>
      </c>
      <c r="H237">
        <v>31.22</v>
      </c>
      <c r="I237" t="s">
        <v>102</v>
      </c>
    </row>
    <row r="238" spans="1:9" x14ac:dyDescent="0.25">
      <c r="A238" s="1">
        <v>46151</v>
      </c>
      <c r="B238" t="s">
        <v>101</v>
      </c>
      <c r="C238" s="2">
        <v>21215082000360</v>
      </c>
      <c r="D238" t="s">
        <v>78</v>
      </c>
      <c r="E238">
        <v>4050</v>
      </c>
      <c r="F238">
        <v>3071.88</v>
      </c>
      <c r="G238">
        <v>978.12</v>
      </c>
      <c r="H238">
        <v>31.84</v>
      </c>
      <c r="I238" t="s">
        <v>102</v>
      </c>
    </row>
    <row r="239" spans="1:9" x14ac:dyDescent="0.25">
      <c r="A239" s="1">
        <v>46151</v>
      </c>
      <c r="B239" t="s">
        <v>101</v>
      </c>
      <c r="C239" s="2">
        <v>21215082000464</v>
      </c>
      <c r="D239" t="s">
        <v>78</v>
      </c>
      <c r="E239">
        <v>4050</v>
      </c>
      <c r="F239">
        <v>3201.35</v>
      </c>
      <c r="G239">
        <v>848.65</v>
      </c>
      <c r="H239">
        <v>26.51</v>
      </c>
      <c r="I239" t="s">
        <v>102</v>
      </c>
    </row>
    <row r="240" spans="1:9" x14ac:dyDescent="0.25">
      <c r="A240" s="1">
        <v>46151</v>
      </c>
      <c r="B240" t="s">
        <v>101</v>
      </c>
      <c r="C240" s="2">
        <v>21215082000465</v>
      </c>
      <c r="D240" t="s">
        <v>78</v>
      </c>
      <c r="E240">
        <v>4050</v>
      </c>
      <c r="F240">
        <v>3201.35</v>
      </c>
      <c r="G240">
        <v>848.65</v>
      </c>
      <c r="H240">
        <v>26.51</v>
      </c>
      <c r="I240" t="s">
        <v>102</v>
      </c>
    </row>
    <row r="241" spans="1:9" x14ac:dyDescent="0.25">
      <c r="A241" s="1">
        <v>46151</v>
      </c>
      <c r="B241" t="s">
        <v>101</v>
      </c>
      <c r="C241" s="2">
        <v>21215082000470</v>
      </c>
      <c r="D241" t="s">
        <v>78</v>
      </c>
      <c r="E241">
        <v>4050</v>
      </c>
      <c r="F241">
        <v>3201.35</v>
      </c>
      <c r="G241">
        <v>848.65</v>
      </c>
      <c r="H241">
        <v>26.51</v>
      </c>
      <c r="I241" t="s">
        <v>102</v>
      </c>
    </row>
    <row r="242" spans="1:9" x14ac:dyDescent="0.25">
      <c r="A242" s="1">
        <v>46151</v>
      </c>
      <c r="B242" t="s">
        <v>101</v>
      </c>
      <c r="C242" s="2">
        <v>21215082000478</v>
      </c>
      <c r="D242" t="s">
        <v>78</v>
      </c>
      <c r="E242">
        <v>4050</v>
      </c>
      <c r="F242">
        <v>3394.85</v>
      </c>
      <c r="G242">
        <v>655.15</v>
      </c>
      <c r="H242">
        <v>19.3</v>
      </c>
      <c r="I242" t="s">
        <v>102</v>
      </c>
    </row>
    <row r="243" spans="1:9" x14ac:dyDescent="0.25">
      <c r="A243" s="1">
        <v>46151</v>
      </c>
      <c r="B243" t="s">
        <v>101</v>
      </c>
      <c r="C243" s="2">
        <v>21215082000479</v>
      </c>
      <c r="D243" t="s">
        <v>78</v>
      </c>
      <c r="E243">
        <v>4050</v>
      </c>
      <c r="F243">
        <v>3394.85</v>
      </c>
      <c r="G243">
        <v>655.15</v>
      </c>
      <c r="H243">
        <v>19.3</v>
      </c>
      <c r="I243" t="s">
        <v>102</v>
      </c>
    </row>
    <row r="244" spans="1:9" x14ac:dyDescent="0.25">
      <c r="A244" s="1">
        <v>46151</v>
      </c>
      <c r="B244" t="s">
        <v>101</v>
      </c>
      <c r="C244" s="2">
        <v>21215082000526</v>
      </c>
      <c r="D244" t="s">
        <v>78</v>
      </c>
      <c r="E244">
        <v>4050</v>
      </c>
      <c r="F244">
        <v>3394.85</v>
      </c>
      <c r="G244">
        <v>655.15</v>
      </c>
      <c r="H244">
        <v>19.3</v>
      </c>
      <c r="I244" t="s">
        <v>102</v>
      </c>
    </row>
    <row r="245" spans="1:9" x14ac:dyDescent="0.25">
      <c r="A245" s="1">
        <v>46151</v>
      </c>
      <c r="B245" t="s">
        <v>101</v>
      </c>
      <c r="C245" s="2">
        <v>21215082000527</v>
      </c>
      <c r="D245" t="s">
        <v>78</v>
      </c>
      <c r="E245">
        <v>4050</v>
      </c>
      <c r="F245">
        <v>3394.85</v>
      </c>
      <c r="G245">
        <v>655.15</v>
      </c>
      <c r="H245">
        <v>19.3</v>
      </c>
      <c r="I245" t="s">
        <v>102</v>
      </c>
    </row>
    <row r="246" spans="1:9" x14ac:dyDescent="0.25">
      <c r="A246" s="1">
        <v>46151</v>
      </c>
      <c r="B246" t="s">
        <v>101</v>
      </c>
      <c r="C246" s="2">
        <v>21215082000933</v>
      </c>
      <c r="D246" t="s">
        <v>34</v>
      </c>
      <c r="E246">
        <v>3850</v>
      </c>
      <c r="F246">
        <v>3394.85</v>
      </c>
      <c r="G246">
        <v>455.15</v>
      </c>
      <c r="H246">
        <v>13.41</v>
      </c>
      <c r="I246" t="s">
        <v>102</v>
      </c>
    </row>
    <row r="247" spans="1:9" x14ac:dyDescent="0.25">
      <c r="A247" s="1">
        <v>46151</v>
      </c>
      <c r="B247" t="s">
        <v>101</v>
      </c>
      <c r="C247" s="2">
        <v>21215082000935</v>
      </c>
      <c r="D247" t="s">
        <v>34</v>
      </c>
      <c r="E247">
        <v>3850</v>
      </c>
      <c r="F247">
        <v>3394.85</v>
      </c>
      <c r="G247">
        <v>455.15</v>
      </c>
      <c r="H247">
        <v>13.41</v>
      </c>
      <c r="I247" t="s">
        <v>102</v>
      </c>
    </row>
    <row r="248" spans="1:9" x14ac:dyDescent="0.25">
      <c r="A248" s="1">
        <v>46151</v>
      </c>
      <c r="B248" t="s">
        <v>101</v>
      </c>
      <c r="C248" s="2">
        <v>21215082000939</v>
      </c>
      <c r="D248" t="s">
        <v>34</v>
      </c>
      <c r="E248">
        <v>3850</v>
      </c>
      <c r="F248">
        <v>3394.85</v>
      </c>
      <c r="G248">
        <v>455.15</v>
      </c>
      <c r="H248">
        <v>13.41</v>
      </c>
      <c r="I248" t="s">
        <v>102</v>
      </c>
    </row>
    <row r="249" spans="1:9" x14ac:dyDescent="0.25">
      <c r="A249" s="1">
        <v>46151</v>
      </c>
      <c r="B249" t="s">
        <v>101</v>
      </c>
      <c r="C249" s="2">
        <v>21215082000940</v>
      </c>
      <c r="D249" t="s">
        <v>34</v>
      </c>
      <c r="E249">
        <v>3850</v>
      </c>
      <c r="F249">
        <v>3394.85</v>
      </c>
      <c r="G249">
        <v>455.15</v>
      </c>
      <c r="H249">
        <v>13.41</v>
      </c>
      <c r="I249" t="s">
        <v>102</v>
      </c>
    </row>
    <row r="250" spans="1:9" x14ac:dyDescent="0.25">
      <c r="A250" s="1">
        <v>46151</v>
      </c>
      <c r="B250" t="s">
        <v>101</v>
      </c>
      <c r="C250" s="2">
        <v>21215082000941</v>
      </c>
      <c r="D250" t="s">
        <v>34</v>
      </c>
      <c r="E250">
        <v>3850</v>
      </c>
      <c r="F250">
        <v>3201.35</v>
      </c>
      <c r="G250">
        <v>648.65</v>
      </c>
      <c r="H250">
        <v>20.260000000000002</v>
      </c>
      <c r="I250" t="s">
        <v>102</v>
      </c>
    </row>
    <row r="251" spans="1:9" x14ac:dyDescent="0.25">
      <c r="A251" s="1">
        <v>46151</v>
      </c>
      <c r="B251" t="s">
        <v>101</v>
      </c>
      <c r="C251" s="2">
        <v>21215082000942</v>
      </c>
      <c r="D251" t="s">
        <v>34</v>
      </c>
      <c r="E251">
        <v>3850</v>
      </c>
      <c r="F251">
        <v>3201.35</v>
      </c>
      <c r="G251">
        <v>648.65</v>
      </c>
      <c r="H251">
        <v>20.260000000000002</v>
      </c>
      <c r="I251" t="s">
        <v>102</v>
      </c>
    </row>
    <row r="252" spans="1:9" x14ac:dyDescent="0.25">
      <c r="A252" s="1">
        <v>46151</v>
      </c>
      <c r="B252" t="s">
        <v>101</v>
      </c>
      <c r="C252" s="2">
        <v>21225082000102</v>
      </c>
      <c r="D252" t="s">
        <v>78</v>
      </c>
      <c r="E252">
        <v>4050</v>
      </c>
      <c r="F252">
        <v>3394.85</v>
      </c>
      <c r="G252">
        <v>655.15</v>
      </c>
      <c r="H252">
        <v>19.3</v>
      </c>
      <c r="I252" t="s">
        <v>102</v>
      </c>
    </row>
    <row r="253" spans="1:9" x14ac:dyDescent="0.25">
      <c r="A253" s="1">
        <v>46151</v>
      </c>
      <c r="B253" t="s">
        <v>101</v>
      </c>
      <c r="C253" s="2">
        <v>21225082000222</v>
      </c>
      <c r="D253" t="s">
        <v>78</v>
      </c>
      <c r="E253">
        <v>4050</v>
      </c>
      <c r="F253">
        <v>3394.85</v>
      </c>
      <c r="G253">
        <v>655.15</v>
      </c>
      <c r="H253">
        <v>19.3</v>
      </c>
      <c r="I253" t="s">
        <v>102</v>
      </c>
    </row>
    <row r="254" spans="1:9" x14ac:dyDescent="0.25">
      <c r="A254" s="1">
        <v>46151</v>
      </c>
      <c r="B254" t="s">
        <v>101</v>
      </c>
      <c r="C254" s="2">
        <v>21225082000226</v>
      </c>
      <c r="D254" t="s">
        <v>78</v>
      </c>
      <c r="E254">
        <v>4050</v>
      </c>
      <c r="F254">
        <v>3394.85</v>
      </c>
      <c r="G254">
        <v>655.15</v>
      </c>
      <c r="H254">
        <v>19.3</v>
      </c>
      <c r="I254" t="s">
        <v>102</v>
      </c>
    </row>
    <row r="255" spans="1:9" x14ac:dyDescent="0.25">
      <c r="A255" s="1">
        <v>46151</v>
      </c>
      <c r="B255" t="s">
        <v>101</v>
      </c>
      <c r="C255" s="2">
        <v>21225082000260</v>
      </c>
      <c r="D255" t="s">
        <v>78</v>
      </c>
      <c r="E255">
        <v>4050</v>
      </c>
      <c r="F255">
        <v>3394.85</v>
      </c>
      <c r="G255">
        <v>655.15</v>
      </c>
      <c r="H255">
        <v>19.3</v>
      </c>
      <c r="I255" t="s">
        <v>102</v>
      </c>
    </row>
    <row r="256" spans="1:9" x14ac:dyDescent="0.25">
      <c r="A256" s="1">
        <v>46151</v>
      </c>
      <c r="B256" t="s">
        <v>101</v>
      </c>
      <c r="C256" s="2">
        <v>21225082000610</v>
      </c>
      <c r="D256" t="s">
        <v>78</v>
      </c>
      <c r="E256">
        <v>4050</v>
      </c>
      <c r="F256">
        <v>3201.35</v>
      </c>
      <c r="G256">
        <v>848.65</v>
      </c>
      <c r="H256">
        <v>26.51</v>
      </c>
      <c r="I256" t="s">
        <v>102</v>
      </c>
    </row>
    <row r="257" spans="1:9" x14ac:dyDescent="0.25">
      <c r="A257" s="1">
        <v>46151</v>
      </c>
      <c r="B257" t="s">
        <v>101</v>
      </c>
      <c r="C257" s="2">
        <v>21225082000611</v>
      </c>
      <c r="D257" t="s">
        <v>78</v>
      </c>
      <c r="E257">
        <v>4050</v>
      </c>
      <c r="F257">
        <v>3201.35</v>
      </c>
      <c r="G257">
        <v>848.65</v>
      </c>
      <c r="H257">
        <v>26.51</v>
      </c>
      <c r="I257" t="s">
        <v>102</v>
      </c>
    </row>
    <row r="258" spans="1:9" x14ac:dyDescent="0.25">
      <c r="A258" s="1">
        <v>46151</v>
      </c>
      <c r="B258" t="s">
        <v>101</v>
      </c>
      <c r="C258" s="2">
        <v>21225082000971</v>
      </c>
      <c r="D258" t="s">
        <v>78</v>
      </c>
      <c r="E258">
        <v>4050</v>
      </c>
      <c r="F258">
        <v>3394.85</v>
      </c>
      <c r="G258">
        <v>655.15</v>
      </c>
      <c r="H258">
        <v>19.3</v>
      </c>
      <c r="I258" t="s">
        <v>102</v>
      </c>
    </row>
    <row r="259" spans="1:9" x14ac:dyDescent="0.25">
      <c r="A259" s="1">
        <v>46151</v>
      </c>
      <c r="B259" t="s">
        <v>101</v>
      </c>
      <c r="C259" s="2">
        <v>21225082000974</v>
      </c>
      <c r="D259" t="s">
        <v>78</v>
      </c>
      <c r="E259">
        <v>4050</v>
      </c>
      <c r="F259">
        <v>3394.85</v>
      </c>
      <c r="G259">
        <v>655.15</v>
      </c>
      <c r="H259">
        <v>19.3</v>
      </c>
      <c r="I259" t="s">
        <v>102</v>
      </c>
    </row>
    <row r="260" spans="1:9" x14ac:dyDescent="0.25">
      <c r="A260" s="1">
        <v>46151</v>
      </c>
      <c r="B260" t="s">
        <v>101</v>
      </c>
      <c r="C260" s="2">
        <v>21235082000174</v>
      </c>
      <c r="D260" t="s">
        <v>34</v>
      </c>
      <c r="E260">
        <v>3850</v>
      </c>
      <c r="F260">
        <v>3071.88</v>
      </c>
      <c r="G260">
        <v>778.12</v>
      </c>
      <c r="H260">
        <v>25.33</v>
      </c>
      <c r="I260" t="s">
        <v>102</v>
      </c>
    </row>
    <row r="261" spans="1:9" x14ac:dyDescent="0.25">
      <c r="A261" s="1">
        <v>46151</v>
      </c>
      <c r="B261" t="s">
        <v>101</v>
      </c>
      <c r="C261" s="2">
        <v>4549292137767</v>
      </c>
      <c r="D261" t="s">
        <v>78</v>
      </c>
      <c r="E261">
        <v>4050</v>
      </c>
      <c r="F261">
        <v>3201.35</v>
      </c>
      <c r="G261">
        <v>848.65</v>
      </c>
      <c r="H261">
        <v>26.51</v>
      </c>
      <c r="I261" t="s">
        <v>102</v>
      </c>
    </row>
    <row r="262" spans="1:9" x14ac:dyDescent="0.25">
      <c r="A262" s="1">
        <v>46151</v>
      </c>
      <c r="B262" t="s">
        <v>101</v>
      </c>
      <c r="C262" s="2" t="s">
        <v>103</v>
      </c>
      <c r="D262" t="s">
        <v>34</v>
      </c>
      <c r="E262">
        <v>3850</v>
      </c>
      <c r="F262">
        <v>3394.85</v>
      </c>
      <c r="G262">
        <v>455.15</v>
      </c>
      <c r="H262">
        <v>13.41</v>
      </c>
      <c r="I262" t="s">
        <v>102</v>
      </c>
    </row>
    <row r="263" spans="1:9" x14ac:dyDescent="0.25">
      <c r="A263" s="1">
        <v>46151</v>
      </c>
      <c r="B263" t="s">
        <v>76</v>
      </c>
      <c r="C263" s="2">
        <v>350520601070009</v>
      </c>
      <c r="D263" t="s">
        <v>78</v>
      </c>
      <c r="E263">
        <v>2580</v>
      </c>
      <c r="F263">
        <v>2450</v>
      </c>
      <c r="G263">
        <v>130</v>
      </c>
      <c r="H263">
        <v>5.31</v>
      </c>
      <c r="I263" t="s">
        <v>36</v>
      </c>
    </row>
    <row r="264" spans="1:9" x14ac:dyDescent="0.25">
      <c r="A264" s="1">
        <v>46151</v>
      </c>
      <c r="B264" t="s">
        <v>76</v>
      </c>
      <c r="C264" s="2">
        <v>350687011164522</v>
      </c>
      <c r="D264" t="s">
        <v>78</v>
      </c>
      <c r="E264">
        <v>2570</v>
      </c>
      <c r="F264">
        <v>2450</v>
      </c>
      <c r="G264">
        <v>120</v>
      </c>
      <c r="H264">
        <v>4.9000000000000004</v>
      </c>
      <c r="I264" t="s">
        <v>36</v>
      </c>
    </row>
    <row r="265" spans="1:9" x14ac:dyDescent="0.25">
      <c r="A265" s="1">
        <v>46151</v>
      </c>
      <c r="B265" t="s">
        <v>76</v>
      </c>
      <c r="C265" s="2">
        <v>350687011164522</v>
      </c>
      <c r="D265" t="s">
        <v>78</v>
      </c>
      <c r="E265">
        <v>2580</v>
      </c>
      <c r="F265">
        <v>2450</v>
      </c>
      <c r="G265">
        <v>130</v>
      </c>
      <c r="H265">
        <v>5.31</v>
      </c>
      <c r="I265" t="s">
        <v>36</v>
      </c>
    </row>
    <row r="266" spans="1:9" x14ac:dyDescent="0.25">
      <c r="A266" s="1">
        <v>46151</v>
      </c>
      <c r="B266" t="s">
        <v>76</v>
      </c>
      <c r="C266" s="2">
        <v>350687011234044</v>
      </c>
      <c r="D266" t="s">
        <v>78</v>
      </c>
      <c r="E266">
        <v>2580</v>
      </c>
      <c r="F266">
        <v>2450</v>
      </c>
      <c r="G266">
        <v>130</v>
      </c>
      <c r="H266">
        <v>5.31</v>
      </c>
      <c r="I266" t="s">
        <v>36</v>
      </c>
    </row>
    <row r="267" spans="1:9" x14ac:dyDescent="0.25">
      <c r="A267" s="1">
        <v>46151</v>
      </c>
      <c r="B267" t="s">
        <v>76</v>
      </c>
      <c r="C267" s="2">
        <v>350687013222047</v>
      </c>
      <c r="D267" t="s">
        <v>80</v>
      </c>
      <c r="E267">
        <v>2570</v>
      </c>
      <c r="F267">
        <v>2450</v>
      </c>
      <c r="G267">
        <v>120</v>
      </c>
      <c r="H267">
        <v>4.9000000000000004</v>
      </c>
      <c r="I267" t="s">
        <v>36</v>
      </c>
    </row>
    <row r="268" spans="1:9" x14ac:dyDescent="0.25">
      <c r="A268" s="1">
        <v>46151</v>
      </c>
      <c r="B268" t="s">
        <v>76</v>
      </c>
      <c r="C268" s="2">
        <v>350687013324181</v>
      </c>
      <c r="D268" t="s">
        <v>80</v>
      </c>
      <c r="E268">
        <v>2570</v>
      </c>
      <c r="F268">
        <v>2450</v>
      </c>
      <c r="G268">
        <v>120</v>
      </c>
      <c r="H268">
        <v>4.9000000000000004</v>
      </c>
      <c r="I268" t="s">
        <v>36</v>
      </c>
    </row>
    <row r="269" spans="1:9" x14ac:dyDescent="0.25">
      <c r="A269" s="1">
        <v>46151</v>
      </c>
      <c r="B269" t="s">
        <v>76</v>
      </c>
      <c r="C269" s="2">
        <v>350687013324181</v>
      </c>
      <c r="D269" t="s">
        <v>80</v>
      </c>
      <c r="E269">
        <v>2580</v>
      </c>
      <c r="F269">
        <v>2450</v>
      </c>
      <c r="G269">
        <v>130</v>
      </c>
      <c r="H269">
        <v>5.31</v>
      </c>
      <c r="I269" t="s">
        <v>36</v>
      </c>
    </row>
    <row r="270" spans="1:9" x14ac:dyDescent="0.25">
      <c r="A270" s="1">
        <v>46151</v>
      </c>
      <c r="B270" t="s">
        <v>76</v>
      </c>
      <c r="C270" s="2">
        <v>351235181592970</v>
      </c>
      <c r="D270" t="s">
        <v>78</v>
      </c>
      <c r="E270">
        <v>2580</v>
      </c>
      <c r="F270">
        <v>2450</v>
      </c>
      <c r="G270">
        <v>130</v>
      </c>
      <c r="H270">
        <v>5.31</v>
      </c>
      <c r="I270" t="s">
        <v>36</v>
      </c>
    </row>
    <row r="271" spans="1:9" x14ac:dyDescent="0.25">
      <c r="A271" s="1">
        <v>46151</v>
      </c>
      <c r="B271" t="s">
        <v>76</v>
      </c>
      <c r="C271" s="2">
        <v>357731110185799</v>
      </c>
      <c r="D271" t="s">
        <v>77</v>
      </c>
      <c r="E271">
        <v>2570</v>
      </c>
      <c r="F271">
        <v>2450</v>
      </c>
      <c r="G271">
        <v>120</v>
      </c>
      <c r="H271">
        <v>4.9000000000000004</v>
      </c>
      <c r="I271" t="s">
        <v>36</v>
      </c>
    </row>
    <row r="272" spans="1:9" x14ac:dyDescent="0.25">
      <c r="A272" s="1">
        <v>46151</v>
      </c>
      <c r="B272" t="s">
        <v>76</v>
      </c>
      <c r="C272" s="2">
        <v>357731110185799</v>
      </c>
      <c r="D272" t="s">
        <v>77</v>
      </c>
      <c r="E272">
        <v>2580</v>
      </c>
      <c r="F272">
        <v>2450</v>
      </c>
      <c r="G272">
        <v>130</v>
      </c>
      <c r="H272">
        <v>5.31</v>
      </c>
      <c r="I272" t="s">
        <v>36</v>
      </c>
    </row>
    <row r="273" spans="1:10" x14ac:dyDescent="0.25">
      <c r="A273" s="1">
        <v>46151</v>
      </c>
      <c r="B273" t="s">
        <v>76</v>
      </c>
      <c r="C273" s="2">
        <v>359090830883607</v>
      </c>
      <c r="D273" t="s">
        <v>78</v>
      </c>
      <c r="E273">
        <v>2570</v>
      </c>
      <c r="F273">
        <v>2450</v>
      </c>
      <c r="G273">
        <v>120</v>
      </c>
      <c r="H273">
        <v>4.9000000000000004</v>
      </c>
      <c r="I273" t="s">
        <v>36</v>
      </c>
    </row>
    <row r="274" spans="1:10" x14ac:dyDescent="0.25">
      <c r="A274" s="1">
        <v>46151</v>
      </c>
      <c r="B274" t="s">
        <v>76</v>
      </c>
      <c r="C274" s="2">
        <v>359090830883607</v>
      </c>
      <c r="D274" t="s">
        <v>78</v>
      </c>
      <c r="E274">
        <v>2580</v>
      </c>
      <c r="F274">
        <v>2450</v>
      </c>
      <c r="G274">
        <v>130</v>
      </c>
      <c r="H274">
        <v>5.31</v>
      </c>
      <c r="I274" t="s">
        <v>36</v>
      </c>
    </row>
    <row r="275" spans="1:10" x14ac:dyDescent="0.25">
      <c r="A275" s="1">
        <v>46151</v>
      </c>
      <c r="B275" t="s">
        <v>104</v>
      </c>
      <c r="C275" s="2">
        <v>351042460081299</v>
      </c>
      <c r="D275" t="s">
        <v>30</v>
      </c>
      <c r="E275">
        <v>2700</v>
      </c>
      <c r="F275">
        <v>2550</v>
      </c>
      <c r="G275">
        <v>150</v>
      </c>
      <c r="H275">
        <v>5.88</v>
      </c>
      <c r="I275" t="s">
        <v>36</v>
      </c>
    </row>
    <row r="276" spans="1:10" x14ac:dyDescent="0.25">
      <c r="A276" s="1">
        <v>46151</v>
      </c>
      <c r="B276" t="s">
        <v>104</v>
      </c>
      <c r="C276" s="2">
        <v>358161900631613</v>
      </c>
      <c r="D276" t="s">
        <v>30</v>
      </c>
      <c r="E276">
        <v>2700</v>
      </c>
      <c r="F276">
        <v>2550</v>
      </c>
      <c r="G276">
        <v>150</v>
      </c>
      <c r="H276">
        <v>5.88</v>
      </c>
      <c r="I276" t="s">
        <v>36</v>
      </c>
    </row>
    <row r="277" spans="1:10" x14ac:dyDescent="0.25">
      <c r="A277" s="1">
        <v>46151</v>
      </c>
      <c r="B277" t="s">
        <v>105</v>
      </c>
      <c r="C277" s="2">
        <v>358415310112253</v>
      </c>
      <c r="D277" t="s">
        <v>106</v>
      </c>
      <c r="E277">
        <v>2970</v>
      </c>
      <c r="F277">
        <v>3000</v>
      </c>
      <c r="G277">
        <v>-30</v>
      </c>
      <c r="H277">
        <v>-1</v>
      </c>
      <c r="I277" t="s">
        <v>36</v>
      </c>
      <c r="J277" t="s">
        <v>26</v>
      </c>
    </row>
    <row r="278" spans="1:10" x14ac:dyDescent="0.25">
      <c r="A278" s="1">
        <v>46151</v>
      </c>
      <c r="B278" t="s">
        <v>71</v>
      </c>
      <c r="C278" s="2">
        <v>355981559639101</v>
      </c>
      <c r="D278" t="s">
        <v>33</v>
      </c>
      <c r="E278">
        <v>2780</v>
      </c>
      <c r="F278">
        <v>2677.5</v>
      </c>
      <c r="G278">
        <v>102.5</v>
      </c>
      <c r="H278">
        <v>3.83</v>
      </c>
      <c r="I278" t="s">
        <v>18</v>
      </c>
    </row>
    <row r="279" spans="1:10" x14ac:dyDescent="0.25">
      <c r="A279" s="1">
        <v>46151</v>
      </c>
      <c r="B279" t="s">
        <v>71</v>
      </c>
      <c r="C279" s="2">
        <v>359477635863308</v>
      </c>
      <c r="D279" t="s">
        <v>33</v>
      </c>
      <c r="E279">
        <v>2780</v>
      </c>
      <c r="F279">
        <v>2677.5</v>
      </c>
      <c r="G279">
        <v>102.5</v>
      </c>
      <c r="H279">
        <v>3.83</v>
      </c>
      <c r="I279" t="s">
        <v>18</v>
      </c>
    </row>
    <row r="280" spans="1:10" x14ac:dyDescent="0.25">
      <c r="A280" s="1">
        <v>46151</v>
      </c>
      <c r="B280" t="s">
        <v>71</v>
      </c>
      <c r="C280" s="2">
        <v>359477638023728</v>
      </c>
      <c r="D280" t="s">
        <v>33</v>
      </c>
      <c r="E280">
        <v>2780</v>
      </c>
      <c r="F280">
        <v>2677.5</v>
      </c>
      <c r="G280">
        <v>102.5</v>
      </c>
      <c r="H280">
        <v>3.83</v>
      </c>
      <c r="I280" t="s">
        <v>18</v>
      </c>
    </row>
    <row r="281" spans="1:10" x14ac:dyDescent="0.25">
      <c r="A281" s="1">
        <v>46151</v>
      </c>
      <c r="B281" t="s">
        <v>32</v>
      </c>
      <c r="C281" s="2">
        <v>358434703956861</v>
      </c>
      <c r="D281" t="s">
        <v>34</v>
      </c>
      <c r="E281">
        <v>3708.86</v>
      </c>
      <c r="F281">
        <v>3284.4</v>
      </c>
      <c r="G281">
        <v>424.46</v>
      </c>
      <c r="H281">
        <v>12.92</v>
      </c>
      <c r="I281" t="s">
        <v>18</v>
      </c>
    </row>
    <row r="282" spans="1:10" x14ac:dyDescent="0.25">
      <c r="A282" s="1">
        <v>46151</v>
      </c>
      <c r="B282" t="s">
        <v>32</v>
      </c>
      <c r="C282" s="2">
        <v>359814718709844</v>
      </c>
      <c r="D282" t="s">
        <v>33</v>
      </c>
      <c r="E282">
        <v>3481.01</v>
      </c>
      <c r="F282">
        <v>3034.5</v>
      </c>
      <c r="G282">
        <v>446.51</v>
      </c>
      <c r="H282">
        <v>14.71</v>
      </c>
      <c r="I282" t="s">
        <v>18</v>
      </c>
    </row>
    <row r="283" spans="1:10" x14ac:dyDescent="0.25">
      <c r="A283" s="1">
        <v>46152</v>
      </c>
      <c r="B283" t="s">
        <v>71</v>
      </c>
      <c r="C283" s="2">
        <v>351030795758160</v>
      </c>
      <c r="D283" t="s">
        <v>72</v>
      </c>
      <c r="E283">
        <v>2750</v>
      </c>
      <c r="F283">
        <v>2677.5</v>
      </c>
      <c r="G283">
        <v>72.5</v>
      </c>
      <c r="H283">
        <v>2.71</v>
      </c>
      <c r="I283" t="s">
        <v>18</v>
      </c>
    </row>
    <row r="284" spans="1:10" x14ac:dyDescent="0.25">
      <c r="A284" s="1">
        <v>46152</v>
      </c>
      <c r="B284" t="s">
        <v>71</v>
      </c>
      <c r="C284" s="2">
        <v>352176456359761</v>
      </c>
      <c r="D284" t="s">
        <v>72</v>
      </c>
      <c r="E284">
        <v>2750</v>
      </c>
      <c r="F284">
        <v>2677.5</v>
      </c>
      <c r="G284">
        <v>72.5</v>
      </c>
      <c r="H284">
        <v>2.71</v>
      </c>
      <c r="I284" t="s">
        <v>18</v>
      </c>
    </row>
    <row r="285" spans="1:10" x14ac:dyDescent="0.25">
      <c r="A285" s="1">
        <v>46152</v>
      </c>
      <c r="B285" t="s">
        <v>71</v>
      </c>
      <c r="C285" s="2">
        <v>352176456423948</v>
      </c>
      <c r="D285" t="s">
        <v>72</v>
      </c>
      <c r="E285">
        <v>2780</v>
      </c>
      <c r="F285">
        <v>2677.5</v>
      </c>
      <c r="G285">
        <v>102.5</v>
      </c>
      <c r="H285">
        <v>3.83</v>
      </c>
      <c r="I285" t="s">
        <v>18</v>
      </c>
    </row>
    <row r="286" spans="1:10" x14ac:dyDescent="0.25">
      <c r="A286" s="1">
        <v>46152</v>
      </c>
      <c r="B286" t="s">
        <v>71</v>
      </c>
      <c r="C286" s="2">
        <v>352190320767356</v>
      </c>
      <c r="D286" t="s">
        <v>33</v>
      </c>
      <c r="E286">
        <v>2780</v>
      </c>
      <c r="F286">
        <v>2677.5</v>
      </c>
      <c r="G286">
        <v>102.5</v>
      </c>
      <c r="H286">
        <v>3.83</v>
      </c>
      <c r="I286" t="s">
        <v>18</v>
      </c>
    </row>
    <row r="287" spans="1:10" x14ac:dyDescent="0.25">
      <c r="A287" s="1">
        <v>46152</v>
      </c>
      <c r="B287" t="s">
        <v>71</v>
      </c>
      <c r="C287" s="2">
        <v>354289636906399</v>
      </c>
      <c r="D287" t="s">
        <v>35</v>
      </c>
      <c r="E287">
        <v>2680</v>
      </c>
      <c r="F287">
        <v>2600</v>
      </c>
      <c r="G287">
        <v>80</v>
      </c>
      <c r="H287">
        <v>3.08</v>
      </c>
      <c r="I287" t="s">
        <v>36</v>
      </c>
    </row>
    <row r="288" spans="1:10" x14ac:dyDescent="0.25">
      <c r="A288" s="1">
        <v>46152</v>
      </c>
      <c r="B288" t="s">
        <v>71</v>
      </c>
      <c r="C288" s="2">
        <v>354289637004392</v>
      </c>
      <c r="D288" t="s">
        <v>35</v>
      </c>
      <c r="E288">
        <v>2680</v>
      </c>
      <c r="F288">
        <v>2600</v>
      </c>
      <c r="G288">
        <v>80</v>
      </c>
      <c r="H288">
        <v>3.08</v>
      </c>
      <c r="I288" t="s">
        <v>36</v>
      </c>
    </row>
    <row r="289" spans="1:10" x14ac:dyDescent="0.25">
      <c r="A289" s="1">
        <v>46152</v>
      </c>
      <c r="B289" t="s">
        <v>71</v>
      </c>
      <c r="C289" s="2">
        <v>354289637357378</v>
      </c>
      <c r="D289" t="s">
        <v>35</v>
      </c>
      <c r="E289">
        <v>2680</v>
      </c>
      <c r="F289">
        <v>2600</v>
      </c>
      <c r="G289">
        <v>80</v>
      </c>
      <c r="H289">
        <v>3.08</v>
      </c>
      <c r="I289" t="s">
        <v>36</v>
      </c>
    </row>
    <row r="290" spans="1:10" x14ac:dyDescent="0.25">
      <c r="A290" s="1">
        <v>46152</v>
      </c>
      <c r="B290" t="s">
        <v>71</v>
      </c>
      <c r="C290" s="2">
        <v>355079369331785</v>
      </c>
      <c r="D290" t="s">
        <v>33</v>
      </c>
      <c r="E290">
        <v>2750</v>
      </c>
      <c r="F290">
        <v>2891.7</v>
      </c>
      <c r="G290">
        <v>-141.69999999999999</v>
      </c>
      <c r="H290">
        <v>-4.9000000000000004</v>
      </c>
      <c r="I290" t="s">
        <v>18</v>
      </c>
      <c r="J290" t="s">
        <v>26</v>
      </c>
    </row>
    <row r="291" spans="1:10" x14ac:dyDescent="0.25">
      <c r="A291" s="1">
        <v>46152</v>
      </c>
      <c r="B291" t="s">
        <v>71</v>
      </c>
      <c r="C291" s="2">
        <v>355820205659842</v>
      </c>
      <c r="D291" t="s">
        <v>35</v>
      </c>
      <c r="E291">
        <v>2680</v>
      </c>
      <c r="F291">
        <v>2600</v>
      </c>
      <c r="G291">
        <v>80</v>
      </c>
      <c r="H291">
        <v>3.08</v>
      </c>
      <c r="I291" t="s">
        <v>36</v>
      </c>
    </row>
    <row r="292" spans="1:10" x14ac:dyDescent="0.25">
      <c r="A292" s="1">
        <v>46152</v>
      </c>
      <c r="B292" t="s">
        <v>71</v>
      </c>
      <c r="C292" s="2">
        <v>355981558893428</v>
      </c>
      <c r="D292" t="s">
        <v>33</v>
      </c>
      <c r="E292">
        <v>2780</v>
      </c>
      <c r="F292">
        <v>2700</v>
      </c>
      <c r="G292">
        <v>80</v>
      </c>
      <c r="H292">
        <v>2.96</v>
      </c>
      <c r="I292" t="s">
        <v>36</v>
      </c>
    </row>
    <row r="293" spans="1:10" x14ac:dyDescent="0.25">
      <c r="A293" s="1">
        <v>46152</v>
      </c>
      <c r="B293" t="s">
        <v>71</v>
      </c>
      <c r="C293" s="2">
        <v>356245412743255</v>
      </c>
      <c r="D293" t="s">
        <v>35</v>
      </c>
      <c r="E293">
        <v>2680</v>
      </c>
      <c r="F293">
        <v>2600</v>
      </c>
      <c r="G293">
        <v>80</v>
      </c>
      <c r="H293">
        <v>3.08</v>
      </c>
      <c r="I293" t="s">
        <v>36</v>
      </c>
    </row>
    <row r="294" spans="1:10" x14ac:dyDescent="0.25">
      <c r="A294" s="1">
        <v>46152</v>
      </c>
      <c r="B294" t="s">
        <v>71</v>
      </c>
      <c r="C294" s="2">
        <v>356245419193280</v>
      </c>
      <c r="D294" t="s">
        <v>35</v>
      </c>
      <c r="E294">
        <v>2680</v>
      </c>
      <c r="F294">
        <v>2600</v>
      </c>
      <c r="G294">
        <v>80</v>
      </c>
      <c r="H294">
        <v>3.08</v>
      </c>
      <c r="I294" t="s">
        <v>36</v>
      </c>
    </row>
    <row r="295" spans="1:10" x14ac:dyDescent="0.25">
      <c r="A295" s="1">
        <v>46152</v>
      </c>
      <c r="B295" t="s">
        <v>71</v>
      </c>
      <c r="C295" s="2">
        <v>356250544941595</v>
      </c>
      <c r="D295" t="s">
        <v>33</v>
      </c>
      <c r="E295">
        <v>2750</v>
      </c>
      <c r="F295">
        <v>2700</v>
      </c>
      <c r="G295">
        <v>50</v>
      </c>
      <c r="H295">
        <v>1.85</v>
      </c>
      <c r="I295" t="s">
        <v>36</v>
      </c>
    </row>
    <row r="296" spans="1:10" x14ac:dyDescent="0.25">
      <c r="A296" s="1">
        <v>46152</v>
      </c>
      <c r="B296" t="s">
        <v>71</v>
      </c>
      <c r="C296" s="2">
        <v>357254472517798</v>
      </c>
      <c r="D296" t="s">
        <v>35</v>
      </c>
      <c r="E296">
        <v>2680</v>
      </c>
      <c r="F296">
        <v>2600</v>
      </c>
      <c r="G296">
        <v>80</v>
      </c>
      <c r="H296">
        <v>3.08</v>
      </c>
      <c r="I296" t="s">
        <v>36</v>
      </c>
    </row>
    <row r="297" spans="1:10" x14ac:dyDescent="0.25">
      <c r="A297" s="1">
        <v>46152</v>
      </c>
      <c r="B297" t="s">
        <v>71</v>
      </c>
      <c r="C297" s="2">
        <v>357254472581661</v>
      </c>
      <c r="D297" t="s">
        <v>35</v>
      </c>
      <c r="E297">
        <v>2680</v>
      </c>
      <c r="F297">
        <v>2600</v>
      </c>
      <c r="G297">
        <v>80</v>
      </c>
      <c r="H297">
        <v>3.08</v>
      </c>
      <c r="I297" t="s">
        <v>36</v>
      </c>
    </row>
    <row r="298" spans="1:10" x14ac:dyDescent="0.25">
      <c r="A298" s="1">
        <v>46152</v>
      </c>
      <c r="B298" t="s">
        <v>71</v>
      </c>
      <c r="C298" s="2">
        <v>357254473978460</v>
      </c>
      <c r="D298" t="s">
        <v>35</v>
      </c>
      <c r="E298">
        <v>2680</v>
      </c>
      <c r="F298">
        <v>2600</v>
      </c>
      <c r="G298">
        <v>80</v>
      </c>
      <c r="H298">
        <v>3.08</v>
      </c>
      <c r="I298" t="s">
        <v>36</v>
      </c>
    </row>
    <row r="299" spans="1:10" x14ac:dyDescent="0.25">
      <c r="A299" s="1">
        <v>46152</v>
      </c>
      <c r="B299" t="s">
        <v>71</v>
      </c>
      <c r="C299" s="2">
        <v>357633132789246</v>
      </c>
      <c r="D299" t="s">
        <v>72</v>
      </c>
      <c r="E299">
        <v>2780</v>
      </c>
      <c r="F299">
        <v>2677.5</v>
      </c>
      <c r="G299">
        <v>102.5</v>
      </c>
      <c r="H299">
        <v>3.83</v>
      </c>
      <c r="I299" t="s">
        <v>18</v>
      </c>
    </row>
    <row r="300" spans="1:10" x14ac:dyDescent="0.25">
      <c r="A300" s="1">
        <v>46152</v>
      </c>
      <c r="B300" t="s">
        <v>71</v>
      </c>
      <c r="C300" s="2">
        <v>359477637299931</v>
      </c>
      <c r="D300" t="s">
        <v>107</v>
      </c>
      <c r="E300">
        <v>2680</v>
      </c>
      <c r="F300">
        <v>2600</v>
      </c>
      <c r="G300">
        <v>80</v>
      </c>
      <c r="H300">
        <v>3.08</v>
      </c>
      <c r="I300" t="s">
        <v>36</v>
      </c>
    </row>
    <row r="301" spans="1:10" x14ac:dyDescent="0.25">
      <c r="A301" s="1">
        <v>46152</v>
      </c>
      <c r="B301" t="s">
        <v>71</v>
      </c>
      <c r="C301" s="2">
        <v>359477637351161</v>
      </c>
      <c r="D301" t="s">
        <v>35</v>
      </c>
      <c r="E301">
        <v>2680</v>
      </c>
      <c r="F301">
        <v>2600</v>
      </c>
      <c r="G301">
        <v>80</v>
      </c>
      <c r="H301">
        <v>3.08</v>
      </c>
      <c r="I301" t="s">
        <v>36</v>
      </c>
    </row>
    <row r="302" spans="1:10" x14ac:dyDescent="0.25">
      <c r="A302" s="1">
        <v>46152</v>
      </c>
      <c r="B302" t="s">
        <v>32</v>
      </c>
      <c r="C302" s="2">
        <v>356392246825849</v>
      </c>
      <c r="D302" t="s">
        <v>72</v>
      </c>
      <c r="E302">
        <v>3417.71</v>
      </c>
      <c r="F302">
        <v>3034.5</v>
      </c>
      <c r="G302">
        <v>383.21</v>
      </c>
      <c r="H302">
        <v>12.63</v>
      </c>
      <c r="I302" t="s">
        <v>18</v>
      </c>
    </row>
    <row r="303" spans="1:10" x14ac:dyDescent="0.25">
      <c r="A303" s="1">
        <v>46152</v>
      </c>
      <c r="B303" t="s">
        <v>75</v>
      </c>
      <c r="C303" s="2">
        <v>355101472027660</v>
      </c>
      <c r="D303" t="s">
        <v>35</v>
      </c>
      <c r="E303">
        <v>3420</v>
      </c>
      <c r="F303">
        <v>3060</v>
      </c>
      <c r="G303">
        <v>360</v>
      </c>
      <c r="H303">
        <v>11.76</v>
      </c>
      <c r="I303" t="s">
        <v>36</v>
      </c>
    </row>
    <row r="304" spans="1:10" x14ac:dyDescent="0.25">
      <c r="A304" s="1">
        <v>46153</v>
      </c>
      <c r="B304" t="s">
        <v>108</v>
      </c>
      <c r="C304" s="2" t="s">
        <v>109</v>
      </c>
      <c r="D304" t="s">
        <v>110</v>
      </c>
      <c r="E304">
        <v>5530</v>
      </c>
      <c r="F304">
        <v>5122.95</v>
      </c>
      <c r="G304">
        <v>407.05</v>
      </c>
      <c r="H304">
        <v>7.95</v>
      </c>
      <c r="I304" t="s">
        <v>18</v>
      </c>
    </row>
    <row r="305" spans="1:10" x14ac:dyDescent="0.25">
      <c r="A305" s="1">
        <v>46153</v>
      </c>
      <c r="B305" t="s">
        <v>32</v>
      </c>
      <c r="C305" s="2">
        <v>350035236152296</v>
      </c>
      <c r="D305" t="s">
        <v>35</v>
      </c>
      <c r="E305">
        <v>3379.74</v>
      </c>
      <c r="F305">
        <v>2856</v>
      </c>
      <c r="G305">
        <v>523.74</v>
      </c>
      <c r="H305">
        <v>18.34</v>
      </c>
      <c r="I305" t="s">
        <v>18</v>
      </c>
    </row>
    <row r="306" spans="1:10" x14ac:dyDescent="0.25">
      <c r="A306" s="1">
        <v>46153</v>
      </c>
      <c r="B306" t="s">
        <v>32</v>
      </c>
      <c r="C306" s="2">
        <v>350651441777295</v>
      </c>
      <c r="D306" t="s">
        <v>98</v>
      </c>
      <c r="E306">
        <v>5040</v>
      </c>
      <c r="F306">
        <v>5063.53</v>
      </c>
      <c r="G306">
        <v>-23.53</v>
      </c>
      <c r="H306">
        <v>-0.46</v>
      </c>
      <c r="I306" t="s">
        <v>111</v>
      </c>
      <c r="J306" t="s">
        <v>26</v>
      </c>
    </row>
    <row r="307" spans="1:10" x14ac:dyDescent="0.25">
      <c r="A307" s="1">
        <v>46153</v>
      </c>
      <c r="B307" t="s">
        <v>32</v>
      </c>
      <c r="C307" s="2">
        <v>350651441799307</v>
      </c>
      <c r="D307" t="s">
        <v>98</v>
      </c>
      <c r="E307">
        <v>5040</v>
      </c>
      <c r="F307">
        <v>5063.53</v>
      </c>
      <c r="G307">
        <v>-23.53</v>
      </c>
      <c r="H307">
        <v>-0.46</v>
      </c>
      <c r="I307" t="s">
        <v>111</v>
      </c>
      <c r="J307" t="s">
        <v>26</v>
      </c>
    </row>
    <row r="308" spans="1:10" x14ac:dyDescent="0.25">
      <c r="A308" s="1">
        <v>46153</v>
      </c>
      <c r="B308" t="s">
        <v>32</v>
      </c>
      <c r="C308" s="2">
        <v>350651446183887</v>
      </c>
      <c r="D308" t="s">
        <v>98</v>
      </c>
      <c r="E308">
        <v>5040</v>
      </c>
      <c r="F308">
        <v>5063.53</v>
      </c>
      <c r="G308">
        <v>-23.53</v>
      </c>
      <c r="H308">
        <v>-0.46</v>
      </c>
      <c r="I308" t="s">
        <v>111</v>
      </c>
      <c r="J308" t="s">
        <v>26</v>
      </c>
    </row>
    <row r="309" spans="1:10" x14ac:dyDescent="0.25">
      <c r="A309" s="1">
        <v>46153</v>
      </c>
      <c r="B309" t="s">
        <v>32</v>
      </c>
      <c r="C309" s="2">
        <v>351459299037351</v>
      </c>
      <c r="D309" t="s">
        <v>98</v>
      </c>
      <c r="E309">
        <v>5040</v>
      </c>
      <c r="F309">
        <v>5063.53</v>
      </c>
      <c r="G309">
        <v>-23.53</v>
      </c>
      <c r="H309">
        <v>-0.46</v>
      </c>
      <c r="I309" t="s">
        <v>111</v>
      </c>
      <c r="J309" t="s">
        <v>26</v>
      </c>
    </row>
    <row r="310" spans="1:10" x14ac:dyDescent="0.25">
      <c r="A310" s="1">
        <v>46153</v>
      </c>
      <c r="B310" t="s">
        <v>32</v>
      </c>
      <c r="C310" s="2">
        <v>351459299583297</v>
      </c>
      <c r="D310" t="s">
        <v>98</v>
      </c>
      <c r="E310">
        <v>5040</v>
      </c>
      <c r="F310">
        <v>5063.53</v>
      </c>
      <c r="G310">
        <v>-23.53</v>
      </c>
      <c r="H310">
        <v>-0.46</v>
      </c>
      <c r="I310" t="s">
        <v>111</v>
      </c>
      <c r="J310" t="s">
        <v>26</v>
      </c>
    </row>
    <row r="311" spans="1:10" x14ac:dyDescent="0.25">
      <c r="A311" s="1">
        <v>46153</v>
      </c>
      <c r="B311" t="s">
        <v>32</v>
      </c>
      <c r="C311" s="2">
        <v>351500505142178</v>
      </c>
      <c r="D311" t="s">
        <v>91</v>
      </c>
      <c r="E311">
        <v>4880</v>
      </c>
      <c r="F311">
        <v>5063.53</v>
      </c>
      <c r="G311">
        <v>-183.53</v>
      </c>
      <c r="H311">
        <v>-3.62</v>
      </c>
      <c r="I311" t="s">
        <v>111</v>
      </c>
      <c r="J311" t="s">
        <v>26</v>
      </c>
    </row>
    <row r="312" spans="1:10" x14ac:dyDescent="0.25">
      <c r="A312" s="1">
        <v>46153</v>
      </c>
      <c r="B312" t="s">
        <v>32</v>
      </c>
      <c r="C312" s="2">
        <v>351500506092604</v>
      </c>
      <c r="D312" t="s">
        <v>91</v>
      </c>
      <c r="E312">
        <v>4880</v>
      </c>
      <c r="F312">
        <v>5063.53</v>
      </c>
      <c r="G312">
        <v>-183.53</v>
      </c>
      <c r="H312">
        <v>-3.62</v>
      </c>
      <c r="I312" t="s">
        <v>111</v>
      </c>
      <c r="J312" t="s">
        <v>26</v>
      </c>
    </row>
    <row r="313" spans="1:10" x14ac:dyDescent="0.25">
      <c r="A313" s="1">
        <v>46153</v>
      </c>
      <c r="B313" t="s">
        <v>32</v>
      </c>
      <c r="C313" s="2">
        <v>351500506899735</v>
      </c>
      <c r="D313" t="s">
        <v>98</v>
      </c>
      <c r="E313">
        <v>5040</v>
      </c>
      <c r="F313">
        <v>5063.53</v>
      </c>
      <c r="G313">
        <v>-23.53</v>
      </c>
      <c r="H313">
        <v>-0.46</v>
      </c>
      <c r="I313" t="s">
        <v>111</v>
      </c>
      <c r="J313" t="s">
        <v>26</v>
      </c>
    </row>
    <row r="314" spans="1:10" x14ac:dyDescent="0.25">
      <c r="A314" s="1">
        <v>46153</v>
      </c>
      <c r="B314" t="s">
        <v>32</v>
      </c>
      <c r="C314" s="2">
        <v>351500506983497</v>
      </c>
      <c r="D314" t="s">
        <v>98</v>
      </c>
      <c r="E314">
        <v>5040</v>
      </c>
      <c r="F314">
        <v>5063.53</v>
      </c>
      <c r="G314">
        <v>-23.53</v>
      </c>
      <c r="H314">
        <v>-0.46</v>
      </c>
      <c r="I314" t="s">
        <v>111</v>
      </c>
      <c r="J314" t="s">
        <v>26</v>
      </c>
    </row>
    <row r="315" spans="1:10" x14ac:dyDescent="0.25">
      <c r="A315" s="1">
        <v>46153</v>
      </c>
      <c r="B315" t="s">
        <v>32</v>
      </c>
      <c r="C315" s="2">
        <v>351500507075293</v>
      </c>
      <c r="D315" t="s">
        <v>98</v>
      </c>
      <c r="E315">
        <v>5040</v>
      </c>
      <c r="F315">
        <v>5063.53</v>
      </c>
      <c r="G315">
        <v>-23.53</v>
      </c>
      <c r="H315">
        <v>-0.46</v>
      </c>
      <c r="I315" t="s">
        <v>111</v>
      </c>
      <c r="J315" t="s">
        <v>26</v>
      </c>
    </row>
    <row r="316" spans="1:10" x14ac:dyDescent="0.25">
      <c r="A316" s="1">
        <v>46153</v>
      </c>
      <c r="B316" t="s">
        <v>32</v>
      </c>
      <c r="C316" s="2">
        <v>351500507428450</v>
      </c>
      <c r="D316" t="s">
        <v>98</v>
      </c>
      <c r="E316">
        <v>5040</v>
      </c>
      <c r="F316">
        <v>5063.53</v>
      </c>
      <c r="G316">
        <v>-23.53</v>
      </c>
      <c r="H316">
        <v>-0.46</v>
      </c>
      <c r="I316" t="s">
        <v>111</v>
      </c>
      <c r="J316" t="s">
        <v>26</v>
      </c>
    </row>
    <row r="317" spans="1:10" x14ac:dyDescent="0.25">
      <c r="A317" s="1">
        <v>46153</v>
      </c>
      <c r="B317" t="s">
        <v>32</v>
      </c>
      <c r="C317" s="2">
        <v>351500509025577</v>
      </c>
      <c r="D317" t="s">
        <v>98</v>
      </c>
      <c r="E317">
        <v>5040</v>
      </c>
      <c r="F317">
        <v>5063.53</v>
      </c>
      <c r="G317">
        <v>-23.53</v>
      </c>
      <c r="H317">
        <v>-0.46</v>
      </c>
      <c r="I317" t="s">
        <v>111</v>
      </c>
      <c r="J317" t="s">
        <v>26</v>
      </c>
    </row>
    <row r="318" spans="1:10" x14ac:dyDescent="0.25">
      <c r="A318" s="1">
        <v>46153</v>
      </c>
      <c r="B318" t="s">
        <v>32</v>
      </c>
      <c r="C318" s="2">
        <v>351500509432260</v>
      </c>
      <c r="D318" t="s">
        <v>98</v>
      </c>
      <c r="E318">
        <v>5040</v>
      </c>
      <c r="F318">
        <v>5063.53</v>
      </c>
      <c r="G318">
        <v>-23.53</v>
      </c>
      <c r="H318">
        <v>-0.46</v>
      </c>
      <c r="I318" t="s">
        <v>111</v>
      </c>
      <c r="J318" t="s">
        <v>26</v>
      </c>
    </row>
    <row r="319" spans="1:10" x14ac:dyDescent="0.25">
      <c r="A319" s="1">
        <v>46153</v>
      </c>
      <c r="B319" t="s">
        <v>32</v>
      </c>
      <c r="C319" s="2">
        <v>351500509499541</v>
      </c>
      <c r="D319" t="s">
        <v>98</v>
      </c>
      <c r="E319">
        <v>5040</v>
      </c>
      <c r="F319">
        <v>5063.53</v>
      </c>
      <c r="G319">
        <v>-23.53</v>
      </c>
      <c r="H319">
        <v>-0.46</v>
      </c>
      <c r="I319" t="s">
        <v>111</v>
      </c>
      <c r="J319" t="s">
        <v>26</v>
      </c>
    </row>
    <row r="320" spans="1:10" x14ac:dyDescent="0.25">
      <c r="A320" s="1">
        <v>46153</v>
      </c>
      <c r="B320" t="s">
        <v>32</v>
      </c>
      <c r="C320" s="2">
        <v>351500509565424</v>
      </c>
      <c r="D320" t="s">
        <v>98</v>
      </c>
      <c r="E320">
        <v>5040</v>
      </c>
      <c r="F320">
        <v>5063.53</v>
      </c>
      <c r="G320">
        <v>-23.53</v>
      </c>
      <c r="H320">
        <v>-0.46</v>
      </c>
      <c r="I320" t="s">
        <v>111</v>
      </c>
      <c r="J320" t="s">
        <v>26</v>
      </c>
    </row>
    <row r="321" spans="1:10" x14ac:dyDescent="0.25">
      <c r="A321" s="1">
        <v>46153</v>
      </c>
      <c r="B321" t="s">
        <v>32</v>
      </c>
      <c r="C321" s="2">
        <v>351500509841361</v>
      </c>
      <c r="D321" t="s">
        <v>98</v>
      </c>
      <c r="E321">
        <v>5040</v>
      </c>
      <c r="F321">
        <v>5063.53</v>
      </c>
      <c r="G321">
        <v>-23.53</v>
      </c>
      <c r="H321">
        <v>-0.46</v>
      </c>
      <c r="I321" t="s">
        <v>111</v>
      </c>
      <c r="J321" t="s">
        <v>26</v>
      </c>
    </row>
    <row r="322" spans="1:10" x14ac:dyDescent="0.25">
      <c r="A322" s="1">
        <v>46153</v>
      </c>
      <c r="B322" t="s">
        <v>32</v>
      </c>
      <c r="C322" s="2">
        <v>351500509970004</v>
      </c>
      <c r="D322" t="s">
        <v>98</v>
      </c>
      <c r="E322">
        <v>5040</v>
      </c>
      <c r="F322">
        <v>5063.53</v>
      </c>
      <c r="G322">
        <v>-23.53</v>
      </c>
      <c r="H322">
        <v>-0.46</v>
      </c>
      <c r="I322" t="s">
        <v>111</v>
      </c>
      <c r="J322" t="s">
        <v>26</v>
      </c>
    </row>
    <row r="323" spans="1:10" x14ac:dyDescent="0.25">
      <c r="A323" s="1">
        <v>46153</v>
      </c>
      <c r="B323" t="s">
        <v>32</v>
      </c>
      <c r="C323" s="2">
        <v>353008933841252</v>
      </c>
      <c r="D323" t="s">
        <v>91</v>
      </c>
      <c r="E323">
        <v>4880</v>
      </c>
      <c r="F323">
        <v>5063.53</v>
      </c>
      <c r="G323">
        <v>-183.53</v>
      </c>
      <c r="H323">
        <v>-3.62</v>
      </c>
      <c r="I323" t="s">
        <v>111</v>
      </c>
      <c r="J323" t="s">
        <v>26</v>
      </c>
    </row>
    <row r="324" spans="1:10" x14ac:dyDescent="0.25">
      <c r="A324" s="1">
        <v>46153</v>
      </c>
      <c r="B324" t="s">
        <v>32</v>
      </c>
      <c r="C324" s="2">
        <v>353008934001781</v>
      </c>
      <c r="D324" t="s">
        <v>91</v>
      </c>
      <c r="E324">
        <v>4880</v>
      </c>
      <c r="F324">
        <v>5063.53</v>
      </c>
      <c r="G324">
        <v>-183.53</v>
      </c>
      <c r="H324">
        <v>-3.62</v>
      </c>
      <c r="I324" t="s">
        <v>111</v>
      </c>
      <c r="J324" t="s">
        <v>26</v>
      </c>
    </row>
    <row r="325" spans="1:10" x14ac:dyDescent="0.25">
      <c r="A325" s="1">
        <v>46153</v>
      </c>
      <c r="B325" t="s">
        <v>32</v>
      </c>
      <c r="C325" s="2">
        <v>353008934436664</v>
      </c>
      <c r="D325" t="s">
        <v>98</v>
      </c>
      <c r="E325">
        <v>5040</v>
      </c>
      <c r="F325">
        <v>5063.53</v>
      </c>
      <c r="G325">
        <v>-23.53</v>
      </c>
      <c r="H325">
        <v>-0.46</v>
      </c>
      <c r="I325" t="s">
        <v>111</v>
      </c>
      <c r="J325" t="s">
        <v>26</v>
      </c>
    </row>
    <row r="326" spans="1:10" x14ac:dyDescent="0.25">
      <c r="A326" s="1">
        <v>46153</v>
      </c>
      <c r="B326" t="s">
        <v>32</v>
      </c>
      <c r="C326" s="2">
        <v>353008934707064</v>
      </c>
      <c r="D326" t="s">
        <v>98</v>
      </c>
      <c r="E326">
        <v>5040</v>
      </c>
      <c r="F326">
        <v>5063.53</v>
      </c>
      <c r="G326">
        <v>-23.53</v>
      </c>
      <c r="H326">
        <v>-0.46</v>
      </c>
      <c r="I326" t="s">
        <v>111</v>
      </c>
      <c r="J326" t="s">
        <v>26</v>
      </c>
    </row>
    <row r="327" spans="1:10" x14ac:dyDescent="0.25">
      <c r="A327" s="1">
        <v>46153</v>
      </c>
      <c r="B327" t="s">
        <v>32</v>
      </c>
      <c r="C327" s="2">
        <v>353806442026962</v>
      </c>
      <c r="D327" t="s">
        <v>98</v>
      </c>
      <c r="E327">
        <v>5040</v>
      </c>
      <c r="F327">
        <v>5063.53</v>
      </c>
      <c r="G327">
        <v>-23.53</v>
      </c>
      <c r="H327">
        <v>-0.46</v>
      </c>
      <c r="I327" t="s">
        <v>111</v>
      </c>
      <c r="J327" t="s">
        <v>26</v>
      </c>
    </row>
    <row r="328" spans="1:10" x14ac:dyDescent="0.25">
      <c r="A328" s="1">
        <v>46153</v>
      </c>
      <c r="B328" t="s">
        <v>32</v>
      </c>
      <c r="C328" s="2">
        <v>353806443885044</v>
      </c>
      <c r="D328" t="s">
        <v>98</v>
      </c>
      <c r="E328">
        <v>5040</v>
      </c>
      <c r="F328">
        <v>5063.53</v>
      </c>
      <c r="G328">
        <v>-23.53</v>
      </c>
      <c r="H328">
        <v>-0.46</v>
      </c>
      <c r="I328" t="s">
        <v>111</v>
      </c>
      <c r="J328" t="s">
        <v>26</v>
      </c>
    </row>
    <row r="329" spans="1:10" x14ac:dyDescent="0.25">
      <c r="A329" s="1">
        <v>46153</v>
      </c>
      <c r="B329" t="s">
        <v>32</v>
      </c>
      <c r="C329" s="2">
        <v>353806448919053</v>
      </c>
      <c r="D329" t="s">
        <v>98</v>
      </c>
      <c r="E329">
        <v>5040</v>
      </c>
      <c r="F329">
        <v>5063.53</v>
      </c>
      <c r="G329">
        <v>-23.53</v>
      </c>
      <c r="H329">
        <v>-0.46</v>
      </c>
      <c r="I329" t="s">
        <v>111</v>
      </c>
      <c r="J329" t="s">
        <v>26</v>
      </c>
    </row>
    <row r="330" spans="1:10" x14ac:dyDescent="0.25">
      <c r="A330" s="1">
        <v>46153</v>
      </c>
      <c r="B330" t="s">
        <v>32</v>
      </c>
      <c r="C330" s="2">
        <v>356392241855841</v>
      </c>
      <c r="D330" t="s">
        <v>107</v>
      </c>
      <c r="E330">
        <v>3316.45</v>
      </c>
      <c r="F330">
        <v>2856</v>
      </c>
      <c r="G330">
        <v>460.45</v>
      </c>
      <c r="H330">
        <v>16.12</v>
      </c>
      <c r="I330" t="s">
        <v>18</v>
      </c>
    </row>
    <row r="331" spans="1:10" x14ac:dyDescent="0.25">
      <c r="A331" s="1">
        <v>46153</v>
      </c>
      <c r="B331" t="s">
        <v>32</v>
      </c>
      <c r="C331" s="2">
        <v>356605222677607</v>
      </c>
      <c r="D331" t="s">
        <v>72</v>
      </c>
      <c r="E331">
        <v>3040</v>
      </c>
      <c r="F331">
        <v>3034.5</v>
      </c>
      <c r="G331">
        <v>5.5</v>
      </c>
      <c r="H331">
        <v>0.18</v>
      </c>
      <c r="I331" t="s">
        <v>18</v>
      </c>
    </row>
    <row r="332" spans="1:10" x14ac:dyDescent="0.25">
      <c r="A332" s="1">
        <v>46153</v>
      </c>
      <c r="B332" t="s">
        <v>32</v>
      </c>
      <c r="C332" s="2">
        <v>359814713176981</v>
      </c>
      <c r="D332" t="s">
        <v>107</v>
      </c>
      <c r="E332">
        <v>3341.77</v>
      </c>
      <c r="F332">
        <v>2856</v>
      </c>
      <c r="G332">
        <v>485.77</v>
      </c>
      <c r="H332">
        <v>17.010000000000002</v>
      </c>
      <c r="I332" t="s">
        <v>18</v>
      </c>
    </row>
    <row r="333" spans="1:10" x14ac:dyDescent="0.25">
      <c r="A333" s="1">
        <v>46153</v>
      </c>
      <c r="B333" t="s">
        <v>112</v>
      </c>
      <c r="C333" s="2">
        <v>19003055359</v>
      </c>
      <c r="D333" t="s">
        <v>30</v>
      </c>
      <c r="E333">
        <v>4400</v>
      </c>
      <c r="F333">
        <v>1918.88</v>
      </c>
      <c r="G333">
        <v>2481.12</v>
      </c>
      <c r="H333">
        <v>129.30000000000001</v>
      </c>
      <c r="I333" t="s">
        <v>111</v>
      </c>
    </row>
    <row r="334" spans="1:10" x14ac:dyDescent="0.25">
      <c r="A334" s="1">
        <v>46153</v>
      </c>
      <c r="B334" t="s">
        <v>112</v>
      </c>
      <c r="C334" s="2">
        <v>39166957753</v>
      </c>
      <c r="D334" t="s">
        <v>30</v>
      </c>
      <c r="E334">
        <v>4400</v>
      </c>
      <c r="F334">
        <v>3067.64</v>
      </c>
      <c r="G334">
        <v>1332.36</v>
      </c>
      <c r="H334">
        <v>43.43</v>
      </c>
      <c r="I334" t="s">
        <v>111</v>
      </c>
    </row>
    <row r="335" spans="1:10" x14ac:dyDescent="0.25">
      <c r="A335" s="1">
        <v>46153</v>
      </c>
      <c r="B335" t="s">
        <v>112</v>
      </c>
      <c r="C335" s="2">
        <v>39863759168</v>
      </c>
      <c r="D335" t="s">
        <v>30</v>
      </c>
      <c r="E335">
        <v>4400</v>
      </c>
      <c r="F335">
        <v>3067.64</v>
      </c>
      <c r="G335">
        <v>1332.36</v>
      </c>
      <c r="H335">
        <v>43.43</v>
      </c>
      <c r="I335" t="s">
        <v>111</v>
      </c>
    </row>
    <row r="336" spans="1:10" x14ac:dyDescent="0.25">
      <c r="A336" s="1">
        <v>46153</v>
      </c>
      <c r="B336" t="s">
        <v>112</v>
      </c>
      <c r="C336" s="2">
        <v>41516050123</v>
      </c>
      <c r="D336" t="s">
        <v>30</v>
      </c>
      <c r="E336">
        <v>4400</v>
      </c>
      <c r="F336">
        <v>3287.97</v>
      </c>
      <c r="G336">
        <v>1112.03</v>
      </c>
      <c r="H336">
        <v>33.82</v>
      </c>
      <c r="I336" t="s">
        <v>113</v>
      </c>
    </row>
    <row r="337" spans="1:9" x14ac:dyDescent="0.25">
      <c r="A337" s="1">
        <v>46153</v>
      </c>
      <c r="B337" t="s">
        <v>112</v>
      </c>
      <c r="C337" s="2">
        <v>49446855957</v>
      </c>
      <c r="D337" t="s">
        <v>30</v>
      </c>
      <c r="E337">
        <v>4400</v>
      </c>
      <c r="F337">
        <v>3209.43</v>
      </c>
      <c r="G337">
        <v>1190.57</v>
      </c>
      <c r="H337">
        <v>37.1</v>
      </c>
      <c r="I337" t="s">
        <v>114</v>
      </c>
    </row>
    <row r="338" spans="1:9" x14ac:dyDescent="0.25">
      <c r="A338" s="1">
        <v>46153</v>
      </c>
      <c r="B338" t="s">
        <v>112</v>
      </c>
      <c r="C338" s="2">
        <v>51413097336</v>
      </c>
      <c r="D338" t="s">
        <v>30</v>
      </c>
      <c r="E338">
        <v>4400</v>
      </c>
      <c r="F338">
        <v>3545.35</v>
      </c>
      <c r="G338">
        <v>854.65</v>
      </c>
      <c r="H338">
        <v>24.11</v>
      </c>
      <c r="I338" t="s">
        <v>102</v>
      </c>
    </row>
    <row r="339" spans="1:9" x14ac:dyDescent="0.25">
      <c r="A339" s="1">
        <v>46153</v>
      </c>
      <c r="B339" t="s">
        <v>112</v>
      </c>
      <c r="C339" s="2">
        <v>51476081252</v>
      </c>
      <c r="D339" t="s">
        <v>30</v>
      </c>
      <c r="E339">
        <v>4400</v>
      </c>
      <c r="F339">
        <v>3287.97</v>
      </c>
      <c r="G339">
        <v>1112.03</v>
      </c>
      <c r="H339">
        <v>33.82</v>
      </c>
      <c r="I339" t="s">
        <v>113</v>
      </c>
    </row>
    <row r="340" spans="1:9" x14ac:dyDescent="0.25">
      <c r="A340" s="1">
        <v>46153</v>
      </c>
      <c r="B340" t="s">
        <v>112</v>
      </c>
      <c r="C340" s="2">
        <v>51558015406</v>
      </c>
      <c r="D340" t="s">
        <v>30</v>
      </c>
      <c r="E340">
        <v>4400</v>
      </c>
      <c r="F340">
        <v>3287.97</v>
      </c>
      <c r="G340">
        <v>1112.03</v>
      </c>
      <c r="H340">
        <v>33.82</v>
      </c>
      <c r="I340" t="s">
        <v>113</v>
      </c>
    </row>
    <row r="341" spans="1:9" x14ac:dyDescent="0.25">
      <c r="A341" s="1">
        <v>46153</v>
      </c>
      <c r="B341" t="s">
        <v>112</v>
      </c>
      <c r="C341" s="2">
        <v>51668090339</v>
      </c>
      <c r="D341" t="s">
        <v>30</v>
      </c>
      <c r="E341">
        <v>4400</v>
      </c>
      <c r="F341">
        <v>3287.97</v>
      </c>
      <c r="G341">
        <v>1112.03</v>
      </c>
      <c r="H341">
        <v>33.82</v>
      </c>
      <c r="I341" t="s">
        <v>113</v>
      </c>
    </row>
    <row r="342" spans="1:9" x14ac:dyDescent="0.25">
      <c r="A342" s="1">
        <v>46153</v>
      </c>
      <c r="B342" t="s">
        <v>112</v>
      </c>
      <c r="C342" s="2">
        <v>51685057331</v>
      </c>
      <c r="D342" t="s">
        <v>30</v>
      </c>
      <c r="E342">
        <v>4400</v>
      </c>
      <c r="F342">
        <v>3287.97</v>
      </c>
      <c r="G342">
        <v>1112.03</v>
      </c>
      <c r="H342">
        <v>33.82</v>
      </c>
      <c r="I342" t="s">
        <v>113</v>
      </c>
    </row>
    <row r="343" spans="1:9" x14ac:dyDescent="0.25">
      <c r="A343" s="1">
        <v>46153</v>
      </c>
      <c r="B343" t="s">
        <v>112</v>
      </c>
      <c r="C343" s="2">
        <v>59759167161</v>
      </c>
      <c r="D343" t="s">
        <v>30</v>
      </c>
      <c r="E343">
        <v>4400</v>
      </c>
      <c r="F343">
        <v>3067.64</v>
      </c>
      <c r="G343">
        <v>1332.36</v>
      </c>
      <c r="H343">
        <v>43.43</v>
      </c>
      <c r="I343" t="s">
        <v>111</v>
      </c>
    </row>
    <row r="344" spans="1:9" x14ac:dyDescent="0.25">
      <c r="A344" s="1">
        <v>46153</v>
      </c>
      <c r="B344" t="s">
        <v>112</v>
      </c>
      <c r="C344" s="2">
        <v>59861255545</v>
      </c>
      <c r="D344" t="s">
        <v>30</v>
      </c>
      <c r="E344">
        <v>4400</v>
      </c>
      <c r="F344">
        <v>3287.97</v>
      </c>
      <c r="G344">
        <v>1112.03</v>
      </c>
      <c r="H344">
        <v>33.82</v>
      </c>
      <c r="I344" t="s">
        <v>113</v>
      </c>
    </row>
    <row r="345" spans="1:9" x14ac:dyDescent="0.25">
      <c r="A345" s="1">
        <v>46153</v>
      </c>
      <c r="B345" t="s">
        <v>112</v>
      </c>
      <c r="C345" s="2">
        <v>69589169650</v>
      </c>
      <c r="D345" t="s">
        <v>30</v>
      </c>
      <c r="E345">
        <v>4400</v>
      </c>
      <c r="F345">
        <v>3067.64</v>
      </c>
      <c r="G345">
        <v>1332.36</v>
      </c>
      <c r="H345">
        <v>43.43</v>
      </c>
      <c r="I345" t="s">
        <v>111</v>
      </c>
    </row>
    <row r="346" spans="1:9" x14ac:dyDescent="0.25">
      <c r="A346" s="1">
        <v>46153</v>
      </c>
      <c r="B346" t="s">
        <v>112</v>
      </c>
      <c r="C346" s="2">
        <v>69802359549</v>
      </c>
      <c r="D346" t="s">
        <v>30</v>
      </c>
      <c r="E346">
        <v>4400</v>
      </c>
      <c r="F346">
        <v>3067.64</v>
      </c>
      <c r="G346">
        <v>1332.36</v>
      </c>
      <c r="H346">
        <v>43.43</v>
      </c>
      <c r="I346" t="s">
        <v>111</v>
      </c>
    </row>
    <row r="347" spans="1:9" x14ac:dyDescent="0.25">
      <c r="A347" s="1">
        <v>46153</v>
      </c>
      <c r="B347" t="s">
        <v>112</v>
      </c>
      <c r="C347" s="2">
        <v>79560964264</v>
      </c>
      <c r="D347" t="s">
        <v>30</v>
      </c>
      <c r="E347">
        <v>4400</v>
      </c>
      <c r="F347">
        <v>3287.97</v>
      </c>
      <c r="G347">
        <v>1112.03</v>
      </c>
      <c r="H347">
        <v>33.82</v>
      </c>
      <c r="I347" t="s">
        <v>113</v>
      </c>
    </row>
    <row r="348" spans="1:9" x14ac:dyDescent="0.25">
      <c r="A348" s="1">
        <v>46153</v>
      </c>
      <c r="B348" t="s">
        <v>112</v>
      </c>
      <c r="C348" s="2">
        <v>89675163062</v>
      </c>
      <c r="D348" t="s">
        <v>30</v>
      </c>
      <c r="E348">
        <v>4400</v>
      </c>
      <c r="F348">
        <v>3067.64</v>
      </c>
      <c r="G348">
        <v>1332.36</v>
      </c>
      <c r="H348">
        <v>43.43</v>
      </c>
      <c r="I348" t="s">
        <v>111</v>
      </c>
    </row>
    <row r="349" spans="1:9" x14ac:dyDescent="0.25">
      <c r="A349" s="1">
        <v>46153</v>
      </c>
      <c r="B349" t="s">
        <v>112</v>
      </c>
      <c r="C349" s="2">
        <v>99861168468</v>
      </c>
      <c r="D349" t="s">
        <v>30</v>
      </c>
      <c r="E349">
        <v>4400</v>
      </c>
      <c r="F349">
        <v>3067.64</v>
      </c>
      <c r="G349">
        <v>1332.36</v>
      </c>
      <c r="H349">
        <v>43.43</v>
      </c>
      <c r="I349" t="s">
        <v>111</v>
      </c>
    </row>
    <row r="350" spans="1:9" x14ac:dyDescent="0.25">
      <c r="A350" s="1">
        <v>46153</v>
      </c>
      <c r="B350" t="s">
        <v>115</v>
      </c>
      <c r="C350" s="2">
        <v>51557039433</v>
      </c>
      <c r="D350" t="s">
        <v>30</v>
      </c>
      <c r="E350">
        <v>82500</v>
      </c>
      <c r="F350">
        <v>38697.85</v>
      </c>
      <c r="G350">
        <v>43802.15</v>
      </c>
      <c r="H350">
        <v>113.19</v>
      </c>
      <c r="I350" t="s">
        <v>102</v>
      </c>
    </row>
    <row r="351" spans="1:9" x14ac:dyDescent="0.25">
      <c r="A351" s="1">
        <v>46153</v>
      </c>
      <c r="B351" t="s">
        <v>116</v>
      </c>
      <c r="C351" s="2" t="s">
        <v>117</v>
      </c>
      <c r="D351" t="s">
        <v>30</v>
      </c>
      <c r="E351">
        <v>1250</v>
      </c>
      <c r="F351">
        <v>916.45</v>
      </c>
      <c r="G351">
        <v>333.55</v>
      </c>
      <c r="H351">
        <v>36.4</v>
      </c>
      <c r="I351" t="s">
        <v>111</v>
      </c>
    </row>
    <row r="352" spans="1:9" x14ac:dyDescent="0.25">
      <c r="A352" s="1">
        <v>46153</v>
      </c>
      <c r="B352" t="s">
        <v>116</v>
      </c>
      <c r="C352" s="2" t="s">
        <v>118</v>
      </c>
      <c r="D352" t="s">
        <v>30</v>
      </c>
      <c r="E352">
        <v>1250</v>
      </c>
      <c r="F352">
        <v>916.45</v>
      </c>
      <c r="G352">
        <v>333.55</v>
      </c>
      <c r="H352">
        <v>36.4</v>
      </c>
      <c r="I352" t="s">
        <v>111</v>
      </c>
    </row>
    <row r="353" spans="1:9" x14ac:dyDescent="0.25">
      <c r="A353" s="1">
        <v>46153</v>
      </c>
      <c r="B353" t="s">
        <v>116</v>
      </c>
      <c r="C353" s="2" t="s">
        <v>119</v>
      </c>
      <c r="D353" t="s">
        <v>30</v>
      </c>
      <c r="E353">
        <v>1250</v>
      </c>
      <c r="F353">
        <v>916.45</v>
      </c>
      <c r="G353">
        <v>333.55</v>
      </c>
      <c r="H353">
        <v>36.4</v>
      </c>
      <c r="I353" t="s">
        <v>111</v>
      </c>
    </row>
    <row r="354" spans="1:9" x14ac:dyDescent="0.25">
      <c r="A354" s="1">
        <v>46153</v>
      </c>
      <c r="B354" t="s">
        <v>116</v>
      </c>
      <c r="C354" s="2" t="s">
        <v>120</v>
      </c>
      <c r="D354" t="s">
        <v>30</v>
      </c>
      <c r="E354">
        <v>1250</v>
      </c>
      <c r="F354">
        <v>916.45</v>
      </c>
      <c r="G354">
        <v>333.55</v>
      </c>
      <c r="H354">
        <v>36.4</v>
      </c>
      <c r="I354" t="s">
        <v>111</v>
      </c>
    </row>
    <row r="355" spans="1:9" x14ac:dyDescent="0.25">
      <c r="A355" s="1">
        <v>46153</v>
      </c>
      <c r="B355" t="s">
        <v>116</v>
      </c>
      <c r="C355" s="2" t="s">
        <v>121</v>
      </c>
      <c r="D355" t="s">
        <v>30</v>
      </c>
      <c r="E355">
        <v>1250</v>
      </c>
      <c r="F355">
        <v>916.45</v>
      </c>
      <c r="G355">
        <v>333.55</v>
      </c>
      <c r="H355">
        <v>36.4</v>
      </c>
      <c r="I355" t="s">
        <v>111</v>
      </c>
    </row>
    <row r="356" spans="1:9" x14ac:dyDescent="0.25">
      <c r="A356" s="1">
        <v>46153</v>
      </c>
      <c r="B356" t="s">
        <v>116</v>
      </c>
      <c r="C356" s="2" t="s">
        <v>122</v>
      </c>
      <c r="D356" t="s">
        <v>30</v>
      </c>
      <c r="E356">
        <v>1250</v>
      </c>
      <c r="F356">
        <v>916.45</v>
      </c>
      <c r="G356">
        <v>333.55</v>
      </c>
      <c r="H356">
        <v>36.4</v>
      </c>
      <c r="I356" t="s">
        <v>111</v>
      </c>
    </row>
    <row r="357" spans="1:9" x14ac:dyDescent="0.25">
      <c r="A357" s="1">
        <v>46153</v>
      </c>
      <c r="B357" t="s">
        <v>116</v>
      </c>
      <c r="C357" s="2" t="s">
        <v>123</v>
      </c>
      <c r="D357" t="s">
        <v>30</v>
      </c>
      <c r="E357">
        <v>1250</v>
      </c>
      <c r="F357">
        <v>916.45</v>
      </c>
      <c r="G357">
        <v>333.55</v>
      </c>
      <c r="H357">
        <v>36.4</v>
      </c>
      <c r="I357" t="s">
        <v>111</v>
      </c>
    </row>
    <row r="358" spans="1:9" x14ac:dyDescent="0.25">
      <c r="A358" s="1">
        <v>46153</v>
      </c>
      <c r="B358" t="s">
        <v>116</v>
      </c>
      <c r="C358" s="2" t="s">
        <v>124</v>
      </c>
      <c r="D358" t="s">
        <v>30</v>
      </c>
      <c r="E358">
        <v>1250</v>
      </c>
      <c r="F358">
        <v>916.45</v>
      </c>
      <c r="G358">
        <v>333.55</v>
      </c>
      <c r="H358">
        <v>36.4</v>
      </c>
      <c r="I358" t="s">
        <v>111</v>
      </c>
    </row>
    <row r="359" spans="1:9" x14ac:dyDescent="0.25">
      <c r="A359" s="1">
        <v>46153</v>
      </c>
      <c r="B359" t="s">
        <v>116</v>
      </c>
      <c r="C359" s="2" t="s">
        <v>125</v>
      </c>
      <c r="D359" t="s">
        <v>30</v>
      </c>
      <c r="E359">
        <v>1250</v>
      </c>
      <c r="F359">
        <v>916.45</v>
      </c>
      <c r="G359">
        <v>333.55</v>
      </c>
      <c r="H359">
        <v>36.4</v>
      </c>
      <c r="I359" t="s">
        <v>111</v>
      </c>
    </row>
    <row r="360" spans="1:9" x14ac:dyDescent="0.25">
      <c r="A360" s="1">
        <v>46153</v>
      </c>
      <c r="B360" t="s">
        <v>116</v>
      </c>
      <c r="C360" s="2" t="s">
        <v>126</v>
      </c>
      <c r="D360" t="s">
        <v>30</v>
      </c>
      <c r="E360">
        <v>1250</v>
      </c>
      <c r="F360">
        <v>916.45</v>
      </c>
      <c r="G360">
        <v>333.55</v>
      </c>
      <c r="H360">
        <v>36.4</v>
      </c>
      <c r="I360" t="s">
        <v>111</v>
      </c>
    </row>
    <row r="361" spans="1:9" x14ac:dyDescent="0.25">
      <c r="A361" s="1">
        <v>46154</v>
      </c>
      <c r="B361" t="s">
        <v>127</v>
      </c>
      <c r="C361" s="2">
        <v>353660340609191</v>
      </c>
      <c r="D361" t="s">
        <v>128</v>
      </c>
      <c r="E361">
        <v>865</v>
      </c>
      <c r="F361">
        <v>803.25</v>
      </c>
      <c r="G361">
        <v>61.75</v>
      </c>
      <c r="H361">
        <v>7.69</v>
      </c>
      <c r="I361" t="s">
        <v>18</v>
      </c>
    </row>
    <row r="362" spans="1:9" x14ac:dyDescent="0.25">
      <c r="A362" s="1">
        <v>46154</v>
      </c>
      <c r="B362" t="s">
        <v>129</v>
      </c>
      <c r="C362" s="2">
        <v>351737751661317</v>
      </c>
      <c r="D362" t="s">
        <v>130</v>
      </c>
      <c r="E362">
        <v>1320</v>
      </c>
      <c r="F362">
        <v>1124.55</v>
      </c>
      <c r="G362">
        <v>195.45</v>
      </c>
      <c r="H362">
        <v>17.38</v>
      </c>
      <c r="I362" t="s">
        <v>18</v>
      </c>
    </row>
    <row r="363" spans="1:9" x14ac:dyDescent="0.25">
      <c r="A363" s="1">
        <v>46154</v>
      </c>
      <c r="B363" t="s">
        <v>129</v>
      </c>
      <c r="C363" s="2">
        <v>351737751743255</v>
      </c>
      <c r="D363" t="s">
        <v>130</v>
      </c>
      <c r="E363">
        <v>1320</v>
      </c>
      <c r="F363">
        <v>1124.55</v>
      </c>
      <c r="G363">
        <v>195.45</v>
      </c>
      <c r="H363">
        <v>17.38</v>
      </c>
      <c r="I363" t="s">
        <v>18</v>
      </c>
    </row>
    <row r="364" spans="1:9" x14ac:dyDescent="0.25">
      <c r="A364" s="1">
        <v>46154</v>
      </c>
      <c r="B364" t="s">
        <v>129</v>
      </c>
      <c r="C364" s="2">
        <v>355202682220184</v>
      </c>
      <c r="D364" t="s">
        <v>106</v>
      </c>
      <c r="E364">
        <v>1320</v>
      </c>
      <c r="F364">
        <v>1100</v>
      </c>
      <c r="G364">
        <v>220</v>
      </c>
      <c r="H364">
        <v>20</v>
      </c>
      <c r="I364" t="s">
        <v>36</v>
      </c>
    </row>
    <row r="365" spans="1:9" x14ac:dyDescent="0.25">
      <c r="A365" s="1">
        <v>46154</v>
      </c>
      <c r="B365" t="s">
        <v>129</v>
      </c>
      <c r="C365" s="2">
        <v>359606752151358</v>
      </c>
      <c r="D365" t="s">
        <v>106</v>
      </c>
      <c r="E365">
        <v>1220</v>
      </c>
      <c r="F365">
        <v>1100</v>
      </c>
      <c r="G365">
        <v>120</v>
      </c>
      <c r="H365">
        <v>10.91</v>
      </c>
      <c r="I365" t="s">
        <v>36</v>
      </c>
    </row>
    <row r="366" spans="1:9" x14ac:dyDescent="0.25">
      <c r="A366" s="1">
        <v>46154</v>
      </c>
      <c r="B366" t="s">
        <v>131</v>
      </c>
      <c r="C366" s="2">
        <v>355827875039627</v>
      </c>
      <c r="D366" t="s">
        <v>132</v>
      </c>
      <c r="E366">
        <v>2470</v>
      </c>
      <c r="F366">
        <v>2338.35</v>
      </c>
      <c r="G366">
        <v>131.65</v>
      </c>
      <c r="H366">
        <v>5.63</v>
      </c>
      <c r="I366" t="s">
        <v>18</v>
      </c>
    </row>
    <row r="367" spans="1:9" x14ac:dyDescent="0.25">
      <c r="A367" s="1">
        <v>46154</v>
      </c>
      <c r="B367" t="s">
        <v>131</v>
      </c>
      <c r="C367" s="2">
        <v>356187983726766</v>
      </c>
      <c r="D367" t="s">
        <v>133</v>
      </c>
      <c r="E367">
        <v>2470</v>
      </c>
      <c r="F367">
        <v>2380</v>
      </c>
      <c r="G367">
        <v>90</v>
      </c>
      <c r="H367">
        <v>3.78</v>
      </c>
      <c r="I367" t="s">
        <v>36</v>
      </c>
    </row>
    <row r="368" spans="1:9" x14ac:dyDescent="0.25">
      <c r="A368" s="1">
        <v>46154</v>
      </c>
      <c r="B368" t="s">
        <v>131</v>
      </c>
      <c r="C368" s="2">
        <v>356187984030218</v>
      </c>
      <c r="D368" t="s">
        <v>134</v>
      </c>
      <c r="E368">
        <v>2470</v>
      </c>
      <c r="F368">
        <v>2380</v>
      </c>
      <c r="G368">
        <v>90</v>
      </c>
      <c r="H368">
        <v>3.78</v>
      </c>
      <c r="I368" t="s">
        <v>36</v>
      </c>
    </row>
    <row r="369" spans="1:10" x14ac:dyDescent="0.25">
      <c r="A369" s="1">
        <v>46154</v>
      </c>
      <c r="B369" t="s">
        <v>131</v>
      </c>
      <c r="C369" s="2">
        <v>356187984383492</v>
      </c>
      <c r="D369" t="s">
        <v>133</v>
      </c>
      <c r="E369">
        <v>2470</v>
      </c>
      <c r="F369">
        <v>2380</v>
      </c>
      <c r="G369">
        <v>90</v>
      </c>
      <c r="H369">
        <v>3.78</v>
      </c>
      <c r="I369" t="s">
        <v>36</v>
      </c>
    </row>
    <row r="370" spans="1:10" x14ac:dyDescent="0.25">
      <c r="A370" s="1">
        <v>46154</v>
      </c>
      <c r="B370" t="s">
        <v>131</v>
      </c>
      <c r="C370" s="2">
        <v>356187984749726</v>
      </c>
      <c r="D370" t="s">
        <v>134</v>
      </c>
      <c r="E370">
        <v>2470</v>
      </c>
      <c r="F370">
        <v>2380</v>
      </c>
      <c r="G370">
        <v>90</v>
      </c>
      <c r="H370">
        <v>3.78</v>
      </c>
      <c r="I370" t="s">
        <v>36</v>
      </c>
    </row>
    <row r="371" spans="1:10" x14ac:dyDescent="0.25">
      <c r="A371" s="1">
        <v>46154</v>
      </c>
      <c r="B371" t="s">
        <v>131</v>
      </c>
      <c r="C371" s="2">
        <v>356187984983135</v>
      </c>
      <c r="D371" t="s">
        <v>135</v>
      </c>
      <c r="E371">
        <v>1</v>
      </c>
      <c r="F371">
        <v>2380</v>
      </c>
      <c r="G371">
        <v>-2379</v>
      </c>
      <c r="H371">
        <v>-99.96</v>
      </c>
      <c r="I371" t="s">
        <v>36</v>
      </c>
      <c r="J371" t="s">
        <v>68</v>
      </c>
    </row>
    <row r="372" spans="1:10" x14ac:dyDescent="0.25">
      <c r="A372" s="1">
        <v>46154</v>
      </c>
      <c r="B372" t="s">
        <v>131</v>
      </c>
      <c r="C372" s="2">
        <v>356187985118889</v>
      </c>
      <c r="D372" t="s">
        <v>133</v>
      </c>
      <c r="E372">
        <v>1</v>
      </c>
      <c r="F372">
        <v>2380</v>
      </c>
      <c r="G372">
        <v>-2379</v>
      </c>
      <c r="H372">
        <v>-99.96</v>
      </c>
      <c r="I372" t="s">
        <v>36</v>
      </c>
      <c r="J372" t="s">
        <v>68</v>
      </c>
    </row>
    <row r="373" spans="1:10" x14ac:dyDescent="0.25">
      <c r="A373" s="1">
        <v>46154</v>
      </c>
      <c r="B373" t="s">
        <v>131</v>
      </c>
      <c r="C373" s="2">
        <v>356187985385017</v>
      </c>
      <c r="D373" t="s">
        <v>133</v>
      </c>
      <c r="E373">
        <v>2470</v>
      </c>
      <c r="F373">
        <v>2380</v>
      </c>
      <c r="G373">
        <v>90</v>
      </c>
      <c r="H373">
        <v>3.78</v>
      </c>
      <c r="I373" t="s">
        <v>36</v>
      </c>
    </row>
    <row r="374" spans="1:10" x14ac:dyDescent="0.25">
      <c r="A374" s="1">
        <v>46154</v>
      </c>
      <c r="B374" t="s">
        <v>131</v>
      </c>
      <c r="C374" s="2">
        <v>358135795542424</v>
      </c>
      <c r="D374" t="s">
        <v>134</v>
      </c>
      <c r="E374">
        <v>2470</v>
      </c>
      <c r="F374">
        <v>2380</v>
      </c>
      <c r="G374">
        <v>90</v>
      </c>
      <c r="H374">
        <v>3.78</v>
      </c>
      <c r="I374" t="s">
        <v>36</v>
      </c>
    </row>
    <row r="375" spans="1:10" x14ac:dyDescent="0.25">
      <c r="A375" s="1">
        <v>46154</v>
      </c>
      <c r="B375" t="s">
        <v>101</v>
      </c>
      <c r="C375" s="2">
        <v>21125082001277</v>
      </c>
      <c r="D375" t="s">
        <v>78</v>
      </c>
      <c r="E375">
        <v>4150</v>
      </c>
      <c r="F375">
        <v>3201.35</v>
      </c>
      <c r="G375">
        <v>948.65</v>
      </c>
      <c r="H375">
        <v>29.63</v>
      </c>
      <c r="I375" t="s">
        <v>102</v>
      </c>
    </row>
    <row r="376" spans="1:10" x14ac:dyDescent="0.25">
      <c r="A376" s="1">
        <v>46154</v>
      </c>
      <c r="B376" t="s">
        <v>101</v>
      </c>
      <c r="C376" s="2">
        <v>21125082001968</v>
      </c>
      <c r="D376" t="s">
        <v>78</v>
      </c>
      <c r="E376">
        <v>4150</v>
      </c>
      <c r="F376">
        <v>3201.35</v>
      </c>
      <c r="G376">
        <v>948.65</v>
      </c>
      <c r="H376">
        <v>29.63</v>
      </c>
      <c r="I376" t="s">
        <v>102</v>
      </c>
    </row>
    <row r="377" spans="1:10" x14ac:dyDescent="0.25">
      <c r="A377" s="1">
        <v>46154</v>
      </c>
      <c r="B377" t="s">
        <v>101</v>
      </c>
      <c r="C377" s="2">
        <v>21215082000353</v>
      </c>
      <c r="D377" t="s">
        <v>78</v>
      </c>
      <c r="E377">
        <v>4100</v>
      </c>
      <c r="F377">
        <v>3086.37</v>
      </c>
      <c r="G377">
        <v>1013.63</v>
      </c>
      <c r="H377">
        <v>32.840000000000003</v>
      </c>
      <c r="I377" t="s">
        <v>102</v>
      </c>
    </row>
    <row r="378" spans="1:10" x14ac:dyDescent="0.25">
      <c r="A378" s="1">
        <v>46154</v>
      </c>
      <c r="B378" t="s">
        <v>101</v>
      </c>
      <c r="C378" s="2">
        <v>21215082000466</v>
      </c>
      <c r="D378" t="s">
        <v>78</v>
      </c>
      <c r="E378">
        <v>4100</v>
      </c>
      <c r="F378">
        <v>3201.35</v>
      </c>
      <c r="G378">
        <v>898.65</v>
      </c>
      <c r="H378">
        <v>28.07</v>
      </c>
      <c r="I378" t="s">
        <v>102</v>
      </c>
    </row>
    <row r="379" spans="1:10" x14ac:dyDescent="0.25">
      <c r="A379" s="1">
        <v>46154</v>
      </c>
      <c r="B379" t="s">
        <v>101</v>
      </c>
      <c r="C379" s="2">
        <v>21215082000468</v>
      </c>
      <c r="D379" t="s">
        <v>78</v>
      </c>
      <c r="E379">
        <v>4100</v>
      </c>
      <c r="F379">
        <v>3201.35</v>
      </c>
      <c r="G379">
        <v>898.65</v>
      </c>
      <c r="H379">
        <v>28.07</v>
      </c>
      <c r="I379" t="s">
        <v>102</v>
      </c>
    </row>
    <row r="380" spans="1:10" x14ac:dyDescent="0.25">
      <c r="A380" s="1">
        <v>46154</v>
      </c>
      <c r="B380" t="s">
        <v>101</v>
      </c>
      <c r="C380" s="2">
        <v>21215082000480</v>
      </c>
      <c r="D380" t="s">
        <v>78</v>
      </c>
      <c r="E380">
        <v>4150</v>
      </c>
      <c r="F380">
        <v>3201.35</v>
      </c>
      <c r="G380">
        <v>948.65</v>
      </c>
      <c r="H380">
        <v>29.63</v>
      </c>
      <c r="I380" t="s">
        <v>102</v>
      </c>
    </row>
    <row r="381" spans="1:10" x14ac:dyDescent="0.25">
      <c r="A381" s="1">
        <v>46154</v>
      </c>
      <c r="B381" t="s">
        <v>101</v>
      </c>
      <c r="C381" s="2">
        <v>21215082000525</v>
      </c>
      <c r="D381" t="s">
        <v>78</v>
      </c>
      <c r="E381">
        <v>4100</v>
      </c>
      <c r="F381">
        <v>3394.85</v>
      </c>
      <c r="G381">
        <v>705.15</v>
      </c>
      <c r="H381">
        <v>20.77</v>
      </c>
      <c r="I381" t="s">
        <v>102</v>
      </c>
    </row>
    <row r="382" spans="1:10" x14ac:dyDescent="0.25">
      <c r="A382" s="1">
        <v>46154</v>
      </c>
      <c r="B382" t="s">
        <v>101</v>
      </c>
      <c r="C382" s="2">
        <v>21225082000223</v>
      </c>
      <c r="D382" t="s">
        <v>78</v>
      </c>
      <c r="E382">
        <v>4150</v>
      </c>
      <c r="F382">
        <v>3071.88</v>
      </c>
      <c r="G382">
        <v>1078.1199999999999</v>
      </c>
      <c r="H382">
        <v>35.1</v>
      </c>
      <c r="I382" t="s">
        <v>102</v>
      </c>
    </row>
    <row r="383" spans="1:10" x14ac:dyDescent="0.25">
      <c r="A383" s="1">
        <v>46154</v>
      </c>
      <c r="B383" t="s">
        <v>101</v>
      </c>
      <c r="C383" s="2">
        <v>21225082000227</v>
      </c>
      <c r="D383" t="s">
        <v>78</v>
      </c>
      <c r="E383">
        <v>4100</v>
      </c>
      <c r="F383">
        <v>3201.35</v>
      </c>
      <c r="G383">
        <v>898.65</v>
      </c>
      <c r="H383">
        <v>28.07</v>
      </c>
      <c r="I383" t="s">
        <v>102</v>
      </c>
    </row>
    <row r="384" spans="1:10" x14ac:dyDescent="0.25">
      <c r="A384" s="1">
        <v>46154</v>
      </c>
      <c r="B384" t="s">
        <v>71</v>
      </c>
      <c r="C384" s="2">
        <v>356245416551316</v>
      </c>
      <c r="D384" t="s">
        <v>34</v>
      </c>
      <c r="E384">
        <v>3267.08</v>
      </c>
      <c r="F384">
        <v>3000</v>
      </c>
      <c r="G384">
        <v>267.08</v>
      </c>
      <c r="H384">
        <v>8.9</v>
      </c>
      <c r="I384" t="s">
        <v>36</v>
      </c>
    </row>
    <row r="385" spans="1:10" x14ac:dyDescent="0.25">
      <c r="A385" s="1">
        <v>46154</v>
      </c>
      <c r="B385" t="s">
        <v>32</v>
      </c>
      <c r="C385" s="2">
        <v>351500505321947</v>
      </c>
      <c r="D385" t="s">
        <v>91</v>
      </c>
      <c r="E385">
        <v>4870</v>
      </c>
      <c r="F385">
        <v>5063.53</v>
      </c>
      <c r="G385">
        <v>-193.53</v>
      </c>
      <c r="H385">
        <v>-3.82</v>
      </c>
      <c r="I385" t="s">
        <v>111</v>
      </c>
      <c r="J385" t="s">
        <v>26</v>
      </c>
    </row>
    <row r="386" spans="1:10" x14ac:dyDescent="0.25">
      <c r="A386" s="1">
        <v>46154</v>
      </c>
      <c r="B386" t="s">
        <v>32</v>
      </c>
      <c r="C386" s="2">
        <v>351500505662241</v>
      </c>
      <c r="D386" t="s">
        <v>91</v>
      </c>
      <c r="E386">
        <v>4870</v>
      </c>
      <c r="F386">
        <v>5063.53</v>
      </c>
      <c r="G386">
        <v>-193.53</v>
      </c>
      <c r="H386">
        <v>-3.82</v>
      </c>
      <c r="I386" t="s">
        <v>111</v>
      </c>
      <c r="J386" t="s">
        <v>26</v>
      </c>
    </row>
    <row r="387" spans="1:10" x14ac:dyDescent="0.25">
      <c r="A387" s="1">
        <v>46154</v>
      </c>
      <c r="B387" t="s">
        <v>32</v>
      </c>
      <c r="C387" s="2">
        <v>353008934657137</v>
      </c>
      <c r="D387" t="s">
        <v>91</v>
      </c>
      <c r="E387">
        <v>4870</v>
      </c>
      <c r="F387">
        <v>5063.53</v>
      </c>
      <c r="G387">
        <v>-193.53</v>
      </c>
      <c r="H387">
        <v>-3.82</v>
      </c>
      <c r="I387" t="s">
        <v>111</v>
      </c>
      <c r="J387" t="s">
        <v>26</v>
      </c>
    </row>
    <row r="388" spans="1:10" x14ac:dyDescent="0.25">
      <c r="A388" s="1">
        <v>46154</v>
      </c>
      <c r="B388" t="s">
        <v>32</v>
      </c>
      <c r="C388" s="2">
        <v>357352405113493</v>
      </c>
      <c r="D388" t="s">
        <v>91</v>
      </c>
      <c r="E388">
        <v>4870</v>
      </c>
      <c r="F388">
        <v>5063.53</v>
      </c>
      <c r="G388">
        <v>-193.53</v>
      </c>
      <c r="H388">
        <v>-3.82</v>
      </c>
      <c r="I388" t="s">
        <v>111</v>
      </c>
      <c r="J388" t="s">
        <v>26</v>
      </c>
    </row>
    <row r="389" spans="1:10" x14ac:dyDescent="0.25">
      <c r="A389" s="1">
        <v>46154</v>
      </c>
      <c r="B389" t="s">
        <v>32</v>
      </c>
      <c r="C389" s="2">
        <v>359144419613602</v>
      </c>
      <c r="D389" t="s">
        <v>91</v>
      </c>
      <c r="E389">
        <v>4870</v>
      </c>
      <c r="F389">
        <v>5063.53</v>
      </c>
      <c r="G389">
        <v>-193.53</v>
      </c>
      <c r="H389">
        <v>-3.82</v>
      </c>
      <c r="I389" t="s">
        <v>111</v>
      </c>
      <c r="J389" t="s">
        <v>26</v>
      </c>
    </row>
    <row r="390" spans="1:10" x14ac:dyDescent="0.25">
      <c r="A390" s="1">
        <v>46154</v>
      </c>
      <c r="B390" t="s">
        <v>32</v>
      </c>
      <c r="C390" s="2" t="s">
        <v>136</v>
      </c>
      <c r="D390" t="s">
        <v>137</v>
      </c>
      <c r="E390">
        <v>3405.05</v>
      </c>
      <c r="F390">
        <v>3696.2</v>
      </c>
      <c r="G390">
        <v>-291.14999999999998</v>
      </c>
      <c r="H390">
        <v>-7.88</v>
      </c>
      <c r="I390" t="s">
        <v>138</v>
      </c>
      <c r="J390" t="s">
        <v>26</v>
      </c>
    </row>
    <row r="391" spans="1:10" x14ac:dyDescent="0.25">
      <c r="A391" s="1">
        <v>46154</v>
      </c>
      <c r="B391" t="s">
        <v>40</v>
      </c>
      <c r="C391" s="2" t="s">
        <v>139</v>
      </c>
      <c r="D391" t="s">
        <v>30</v>
      </c>
      <c r="E391">
        <v>1908.89</v>
      </c>
      <c r="F391">
        <v>1677.9</v>
      </c>
      <c r="G391">
        <v>230.99</v>
      </c>
      <c r="H391">
        <v>13.77</v>
      </c>
      <c r="I391" t="s">
        <v>18</v>
      </c>
    </row>
    <row r="392" spans="1:10" x14ac:dyDescent="0.25">
      <c r="A392" s="1">
        <v>46154</v>
      </c>
      <c r="B392" t="s">
        <v>40</v>
      </c>
      <c r="C392" s="2" t="s">
        <v>140</v>
      </c>
      <c r="D392" t="s">
        <v>30</v>
      </c>
      <c r="E392">
        <v>1908.89</v>
      </c>
      <c r="F392">
        <v>1677.9</v>
      </c>
      <c r="G392">
        <v>230.99</v>
      </c>
      <c r="H392">
        <v>13.77</v>
      </c>
      <c r="I392" t="s">
        <v>18</v>
      </c>
    </row>
    <row r="393" spans="1:10" x14ac:dyDescent="0.25">
      <c r="A393" s="1">
        <v>46154</v>
      </c>
      <c r="B393" t="s">
        <v>40</v>
      </c>
      <c r="C393" s="2" t="s">
        <v>141</v>
      </c>
      <c r="D393" t="s">
        <v>30</v>
      </c>
      <c r="E393">
        <v>1908.89</v>
      </c>
      <c r="F393">
        <v>1677.9</v>
      </c>
      <c r="G393">
        <v>230.99</v>
      </c>
      <c r="H393">
        <v>13.77</v>
      </c>
      <c r="I393" t="s">
        <v>18</v>
      </c>
    </row>
    <row r="394" spans="1:10" x14ac:dyDescent="0.25">
      <c r="A394" s="1">
        <v>46154</v>
      </c>
      <c r="B394" t="s">
        <v>40</v>
      </c>
      <c r="C394" s="2" t="s">
        <v>142</v>
      </c>
      <c r="D394" t="s">
        <v>30</v>
      </c>
      <c r="E394">
        <v>1908.89</v>
      </c>
      <c r="F394">
        <v>1677.9</v>
      </c>
      <c r="G394">
        <v>230.99</v>
      </c>
      <c r="H394">
        <v>13.77</v>
      </c>
      <c r="I394" t="s">
        <v>18</v>
      </c>
    </row>
    <row r="395" spans="1:10" x14ac:dyDescent="0.25">
      <c r="A395" s="1">
        <v>46154</v>
      </c>
      <c r="B395" t="s">
        <v>40</v>
      </c>
      <c r="C395" s="2" t="s">
        <v>143</v>
      </c>
      <c r="D395" t="s">
        <v>30</v>
      </c>
      <c r="E395">
        <v>1908.89</v>
      </c>
      <c r="F395">
        <v>1677.9</v>
      </c>
      <c r="G395">
        <v>230.99</v>
      </c>
      <c r="H395">
        <v>13.77</v>
      </c>
      <c r="I395" t="s">
        <v>18</v>
      </c>
    </row>
    <row r="396" spans="1:10" x14ac:dyDescent="0.25">
      <c r="A396" s="1">
        <v>46154</v>
      </c>
      <c r="B396" t="s">
        <v>40</v>
      </c>
      <c r="C396" s="2" t="s">
        <v>144</v>
      </c>
      <c r="D396" t="s">
        <v>30</v>
      </c>
      <c r="E396">
        <v>1908.89</v>
      </c>
      <c r="F396">
        <v>1677.9</v>
      </c>
      <c r="G396">
        <v>230.99</v>
      </c>
      <c r="H396">
        <v>13.77</v>
      </c>
      <c r="I396" t="s">
        <v>18</v>
      </c>
    </row>
    <row r="397" spans="1:10" x14ac:dyDescent="0.25">
      <c r="A397" s="1">
        <v>46154</v>
      </c>
      <c r="B397" t="s">
        <v>40</v>
      </c>
      <c r="C397" s="2" t="s">
        <v>145</v>
      </c>
      <c r="D397" t="s">
        <v>30</v>
      </c>
      <c r="E397">
        <v>1908.89</v>
      </c>
      <c r="F397">
        <v>1677.9</v>
      </c>
      <c r="G397">
        <v>230.99</v>
      </c>
      <c r="H397">
        <v>13.77</v>
      </c>
      <c r="I397" t="s">
        <v>18</v>
      </c>
    </row>
    <row r="398" spans="1:10" x14ac:dyDescent="0.25">
      <c r="A398" s="1">
        <v>46154</v>
      </c>
      <c r="B398" t="s">
        <v>40</v>
      </c>
      <c r="C398" s="2" t="s">
        <v>146</v>
      </c>
      <c r="D398" t="s">
        <v>30</v>
      </c>
      <c r="E398">
        <v>1908.89</v>
      </c>
      <c r="F398">
        <v>1677.9</v>
      </c>
      <c r="G398">
        <v>230.99</v>
      </c>
      <c r="H398">
        <v>13.77</v>
      </c>
      <c r="I398" t="s">
        <v>18</v>
      </c>
    </row>
    <row r="399" spans="1:10" x14ac:dyDescent="0.25">
      <c r="A399" s="1">
        <v>46154</v>
      </c>
      <c r="B399" t="s">
        <v>40</v>
      </c>
      <c r="C399" s="2" t="s">
        <v>147</v>
      </c>
      <c r="D399" t="s">
        <v>30</v>
      </c>
      <c r="E399">
        <v>1908.89</v>
      </c>
      <c r="F399">
        <v>1677.9</v>
      </c>
      <c r="G399">
        <v>230.99</v>
      </c>
      <c r="H399">
        <v>13.77</v>
      </c>
      <c r="I399" t="s">
        <v>18</v>
      </c>
    </row>
    <row r="400" spans="1:10" x14ac:dyDescent="0.25">
      <c r="A400" s="1">
        <v>46154</v>
      </c>
      <c r="B400" t="s">
        <v>40</v>
      </c>
      <c r="C400" s="2" t="s">
        <v>148</v>
      </c>
      <c r="D400" t="s">
        <v>30</v>
      </c>
      <c r="E400">
        <v>1908.89</v>
      </c>
      <c r="F400">
        <v>1677.9</v>
      </c>
      <c r="G400">
        <v>230.99</v>
      </c>
      <c r="H400">
        <v>13.77</v>
      </c>
      <c r="I400" t="s">
        <v>18</v>
      </c>
    </row>
    <row r="401" spans="1:10" x14ac:dyDescent="0.25">
      <c r="A401" s="1">
        <v>46154</v>
      </c>
      <c r="B401" t="s">
        <v>40</v>
      </c>
      <c r="C401" s="2" t="s">
        <v>149</v>
      </c>
      <c r="D401" t="s">
        <v>30</v>
      </c>
      <c r="E401">
        <v>1908.89</v>
      </c>
      <c r="F401">
        <v>1677.9</v>
      </c>
      <c r="G401">
        <v>230.99</v>
      </c>
      <c r="H401">
        <v>13.77</v>
      </c>
      <c r="I401" t="s">
        <v>18</v>
      </c>
    </row>
    <row r="402" spans="1:10" x14ac:dyDescent="0.25">
      <c r="A402" s="1">
        <v>46154</v>
      </c>
      <c r="B402" t="s">
        <v>40</v>
      </c>
      <c r="C402" s="2" t="s">
        <v>150</v>
      </c>
      <c r="D402" t="s">
        <v>30</v>
      </c>
      <c r="E402">
        <v>1908.89</v>
      </c>
      <c r="F402">
        <v>1677.9</v>
      </c>
      <c r="G402">
        <v>230.99</v>
      </c>
      <c r="H402">
        <v>13.77</v>
      </c>
      <c r="I402" t="s">
        <v>18</v>
      </c>
    </row>
    <row r="403" spans="1:10" x14ac:dyDescent="0.25">
      <c r="A403" s="1">
        <v>46154</v>
      </c>
      <c r="B403" t="s">
        <v>40</v>
      </c>
      <c r="C403" s="2" t="s">
        <v>151</v>
      </c>
      <c r="D403" t="s">
        <v>30</v>
      </c>
      <c r="E403">
        <v>1908.89</v>
      </c>
      <c r="F403">
        <v>1677.9</v>
      </c>
      <c r="G403">
        <v>230.99</v>
      </c>
      <c r="H403">
        <v>13.77</v>
      </c>
      <c r="I403" t="s">
        <v>18</v>
      </c>
    </row>
    <row r="404" spans="1:10" x14ac:dyDescent="0.25">
      <c r="A404" s="1">
        <v>46154</v>
      </c>
      <c r="B404" t="s">
        <v>40</v>
      </c>
      <c r="C404" s="2" t="s">
        <v>152</v>
      </c>
      <c r="D404" t="s">
        <v>30</v>
      </c>
      <c r="E404">
        <v>1908.89</v>
      </c>
      <c r="F404">
        <v>1677.9</v>
      </c>
      <c r="G404">
        <v>230.99</v>
      </c>
      <c r="H404">
        <v>13.77</v>
      </c>
      <c r="I404" t="s">
        <v>18</v>
      </c>
    </row>
    <row r="405" spans="1:10" x14ac:dyDescent="0.25">
      <c r="A405" s="1">
        <v>46154</v>
      </c>
      <c r="B405" t="s">
        <v>40</v>
      </c>
      <c r="C405" s="2" t="s">
        <v>153</v>
      </c>
      <c r="D405" t="s">
        <v>30</v>
      </c>
      <c r="E405">
        <v>1908.89</v>
      </c>
      <c r="F405">
        <v>1677.9</v>
      </c>
      <c r="G405">
        <v>230.99</v>
      </c>
      <c r="H405">
        <v>13.77</v>
      </c>
      <c r="I405" t="s">
        <v>18</v>
      </c>
    </row>
    <row r="406" spans="1:10" x14ac:dyDescent="0.25">
      <c r="A406" s="1">
        <v>46154</v>
      </c>
      <c r="B406" t="s">
        <v>40</v>
      </c>
      <c r="C406" s="2" t="s">
        <v>154</v>
      </c>
      <c r="D406" t="s">
        <v>30</v>
      </c>
      <c r="E406">
        <v>1908.89</v>
      </c>
      <c r="F406">
        <v>1677.9</v>
      </c>
      <c r="G406">
        <v>230.99</v>
      </c>
      <c r="H406">
        <v>13.77</v>
      </c>
      <c r="I406" t="s">
        <v>18</v>
      </c>
    </row>
    <row r="407" spans="1:10" x14ac:dyDescent="0.25">
      <c r="A407" s="1">
        <v>46154</v>
      </c>
      <c r="B407" t="s">
        <v>40</v>
      </c>
      <c r="C407" s="2" t="s">
        <v>155</v>
      </c>
      <c r="D407" t="s">
        <v>30</v>
      </c>
      <c r="E407">
        <v>1908.89</v>
      </c>
      <c r="F407">
        <v>1677.9</v>
      </c>
      <c r="G407">
        <v>230.99</v>
      </c>
      <c r="H407">
        <v>13.77</v>
      </c>
      <c r="I407" t="s">
        <v>18</v>
      </c>
    </row>
    <row r="408" spans="1:10" x14ac:dyDescent="0.25">
      <c r="A408" s="1">
        <v>46154</v>
      </c>
      <c r="B408" t="s">
        <v>40</v>
      </c>
      <c r="C408" s="2" t="s">
        <v>156</v>
      </c>
      <c r="D408" t="s">
        <v>30</v>
      </c>
      <c r="E408">
        <v>1908.89</v>
      </c>
      <c r="F408">
        <v>1677.9</v>
      </c>
      <c r="G408">
        <v>230.99</v>
      </c>
      <c r="H408">
        <v>13.77</v>
      </c>
      <c r="I408" t="s">
        <v>18</v>
      </c>
    </row>
    <row r="409" spans="1:10" x14ac:dyDescent="0.25">
      <c r="A409" s="1">
        <v>46154</v>
      </c>
      <c r="B409" t="s">
        <v>55</v>
      </c>
      <c r="C409" s="2" t="s">
        <v>157</v>
      </c>
      <c r="D409" t="s">
        <v>30</v>
      </c>
      <c r="E409">
        <v>1493.33</v>
      </c>
      <c r="F409">
        <v>1249.5</v>
      </c>
      <c r="G409">
        <v>243.83</v>
      </c>
      <c r="H409">
        <v>19.510000000000002</v>
      </c>
      <c r="I409" t="s">
        <v>18</v>
      </c>
    </row>
    <row r="410" spans="1:10" x14ac:dyDescent="0.25">
      <c r="A410" s="1">
        <v>46154</v>
      </c>
      <c r="B410" t="s">
        <v>55</v>
      </c>
      <c r="C410" s="2" t="s">
        <v>158</v>
      </c>
      <c r="D410" t="s">
        <v>30</v>
      </c>
      <c r="E410">
        <v>1493.33</v>
      </c>
      <c r="F410">
        <v>1249.5</v>
      </c>
      <c r="G410">
        <v>243.83</v>
      </c>
      <c r="H410">
        <v>19.510000000000002</v>
      </c>
      <c r="I410" t="s">
        <v>18</v>
      </c>
    </row>
    <row r="411" spans="1:10" x14ac:dyDescent="0.25">
      <c r="A411" s="1">
        <v>46154</v>
      </c>
      <c r="B411" t="s">
        <v>55</v>
      </c>
      <c r="C411" s="2" t="s">
        <v>159</v>
      </c>
      <c r="D411" t="s">
        <v>30</v>
      </c>
      <c r="E411">
        <v>1493.33</v>
      </c>
      <c r="F411">
        <v>1249.5</v>
      </c>
      <c r="G411">
        <v>243.83</v>
      </c>
      <c r="H411">
        <v>19.510000000000002</v>
      </c>
      <c r="I411" t="s">
        <v>18</v>
      </c>
    </row>
    <row r="412" spans="1:10" x14ac:dyDescent="0.25">
      <c r="A412" s="1">
        <v>46154</v>
      </c>
      <c r="B412" t="s">
        <v>55</v>
      </c>
      <c r="C412" s="2" t="s">
        <v>160</v>
      </c>
      <c r="D412" t="s">
        <v>161</v>
      </c>
      <c r="E412">
        <v>1493.33</v>
      </c>
      <c r="F412">
        <v>1586.53</v>
      </c>
      <c r="G412">
        <v>-93.2</v>
      </c>
      <c r="H412">
        <v>-5.87</v>
      </c>
      <c r="I412" t="s">
        <v>111</v>
      </c>
      <c r="J412" t="s">
        <v>26</v>
      </c>
    </row>
    <row r="413" spans="1:10" x14ac:dyDescent="0.25">
      <c r="A413" s="1">
        <v>46154</v>
      </c>
      <c r="B413" t="s">
        <v>55</v>
      </c>
      <c r="C413" s="2" t="s">
        <v>162</v>
      </c>
      <c r="D413" t="s">
        <v>161</v>
      </c>
      <c r="E413">
        <v>1493.33</v>
      </c>
      <c r="F413">
        <v>1586.53</v>
      </c>
      <c r="G413">
        <v>-93.2</v>
      </c>
      <c r="H413">
        <v>-5.87</v>
      </c>
      <c r="I413" t="s">
        <v>111</v>
      </c>
      <c r="J413" t="s">
        <v>26</v>
      </c>
    </row>
    <row r="414" spans="1:10" x14ac:dyDescent="0.25">
      <c r="A414" s="1">
        <v>46154</v>
      </c>
      <c r="B414" t="s">
        <v>55</v>
      </c>
      <c r="C414" s="2" t="s">
        <v>163</v>
      </c>
      <c r="D414" t="s">
        <v>161</v>
      </c>
      <c r="E414">
        <v>1493.33</v>
      </c>
      <c r="F414">
        <v>1586.53</v>
      </c>
      <c r="G414">
        <v>-93.2</v>
      </c>
      <c r="H414">
        <v>-5.87</v>
      </c>
      <c r="I414" t="s">
        <v>111</v>
      </c>
      <c r="J414" t="s">
        <v>26</v>
      </c>
    </row>
    <row r="415" spans="1:10" x14ac:dyDescent="0.25">
      <c r="A415" s="1">
        <v>46154</v>
      </c>
      <c r="B415" t="s">
        <v>55</v>
      </c>
      <c r="C415" s="2" t="s">
        <v>164</v>
      </c>
      <c r="D415" t="s">
        <v>161</v>
      </c>
      <c r="E415">
        <v>1493.33</v>
      </c>
      <c r="F415">
        <v>1586.53</v>
      </c>
      <c r="G415">
        <v>-93.2</v>
      </c>
      <c r="H415">
        <v>-5.87</v>
      </c>
      <c r="I415" t="s">
        <v>111</v>
      </c>
      <c r="J415" t="s">
        <v>26</v>
      </c>
    </row>
    <row r="416" spans="1:10" x14ac:dyDescent="0.25">
      <c r="A416" s="1">
        <v>46154</v>
      </c>
      <c r="B416" t="s">
        <v>55</v>
      </c>
      <c r="C416" s="2" t="s">
        <v>165</v>
      </c>
      <c r="D416" t="s">
        <v>161</v>
      </c>
      <c r="E416">
        <v>1493.33</v>
      </c>
      <c r="F416">
        <v>1586.53</v>
      </c>
      <c r="G416">
        <v>-93.2</v>
      </c>
      <c r="H416">
        <v>-5.87</v>
      </c>
      <c r="I416" t="s">
        <v>111</v>
      </c>
      <c r="J416" t="s">
        <v>26</v>
      </c>
    </row>
    <row r="417" spans="1:10" x14ac:dyDescent="0.25">
      <c r="A417" s="1">
        <v>46154</v>
      </c>
      <c r="B417" t="s">
        <v>55</v>
      </c>
      <c r="C417" s="2" t="s">
        <v>166</v>
      </c>
      <c r="D417" t="s">
        <v>161</v>
      </c>
      <c r="E417">
        <v>1493.33</v>
      </c>
      <c r="F417">
        <v>1586.53</v>
      </c>
      <c r="G417">
        <v>-93.2</v>
      </c>
      <c r="H417">
        <v>-5.87</v>
      </c>
      <c r="I417" t="s">
        <v>111</v>
      </c>
      <c r="J417" t="s">
        <v>26</v>
      </c>
    </row>
    <row r="418" spans="1:10" x14ac:dyDescent="0.25">
      <c r="A418" s="1">
        <v>46154</v>
      </c>
      <c r="B418" t="s">
        <v>116</v>
      </c>
      <c r="C418" s="2" t="s">
        <v>167</v>
      </c>
      <c r="D418" t="s">
        <v>30</v>
      </c>
      <c r="E418">
        <v>1243</v>
      </c>
      <c r="F418">
        <v>1013.35</v>
      </c>
      <c r="G418">
        <v>229.65</v>
      </c>
      <c r="H418">
        <v>22.66</v>
      </c>
      <c r="I418" t="s">
        <v>111</v>
      </c>
    </row>
    <row r="419" spans="1:10" x14ac:dyDescent="0.25">
      <c r="A419" s="1">
        <v>46154</v>
      </c>
      <c r="B419" t="s">
        <v>116</v>
      </c>
      <c r="C419" s="2" t="s">
        <v>168</v>
      </c>
      <c r="D419" t="s">
        <v>30</v>
      </c>
      <c r="E419">
        <v>1243</v>
      </c>
      <c r="F419">
        <v>1145.75</v>
      </c>
      <c r="G419">
        <v>97.25</v>
      </c>
      <c r="H419">
        <v>8.49</v>
      </c>
      <c r="I419" t="s">
        <v>111</v>
      </c>
    </row>
    <row r="420" spans="1:10" x14ac:dyDescent="0.25">
      <c r="A420" s="1">
        <v>46154</v>
      </c>
      <c r="B420" t="s">
        <v>116</v>
      </c>
      <c r="C420" s="2" t="s">
        <v>169</v>
      </c>
      <c r="D420" t="s">
        <v>30</v>
      </c>
      <c r="E420">
        <v>1243</v>
      </c>
      <c r="F420">
        <v>916.45</v>
      </c>
      <c r="G420">
        <v>326.55</v>
      </c>
      <c r="H420">
        <v>35.630000000000003</v>
      </c>
      <c r="I420" t="s">
        <v>111</v>
      </c>
    </row>
    <row r="421" spans="1:10" x14ac:dyDescent="0.25">
      <c r="A421" s="1">
        <v>46154</v>
      </c>
      <c r="B421" t="s">
        <v>116</v>
      </c>
      <c r="C421" s="2" t="s">
        <v>170</v>
      </c>
      <c r="D421" t="s">
        <v>30</v>
      </c>
      <c r="E421">
        <v>1243</v>
      </c>
      <c r="F421">
        <v>1155.93</v>
      </c>
      <c r="G421">
        <v>87.07</v>
      </c>
      <c r="H421">
        <v>7.53</v>
      </c>
      <c r="I421" t="s">
        <v>111</v>
      </c>
    </row>
    <row r="422" spans="1:10" x14ac:dyDescent="0.25">
      <c r="A422" s="1">
        <v>46154</v>
      </c>
      <c r="B422" t="s">
        <v>116</v>
      </c>
      <c r="C422" s="2" t="s">
        <v>171</v>
      </c>
      <c r="D422" t="s">
        <v>30</v>
      </c>
      <c r="E422">
        <v>1250</v>
      </c>
      <c r="F422">
        <v>916.45</v>
      </c>
      <c r="G422">
        <v>333.55</v>
      </c>
      <c r="H422">
        <v>36.4</v>
      </c>
      <c r="I422" t="s">
        <v>111</v>
      </c>
    </row>
    <row r="423" spans="1:10" x14ac:dyDescent="0.25">
      <c r="A423" s="1">
        <v>46154</v>
      </c>
      <c r="B423" t="s">
        <v>116</v>
      </c>
      <c r="C423" s="2" t="s">
        <v>172</v>
      </c>
      <c r="D423" t="s">
        <v>30</v>
      </c>
      <c r="E423">
        <v>1243</v>
      </c>
      <c r="F423">
        <v>916.45</v>
      </c>
      <c r="G423">
        <v>326.55</v>
      </c>
      <c r="H423">
        <v>35.630000000000003</v>
      </c>
      <c r="I423" t="s">
        <v>111</v>
      </c>
    </row>
    <row r="424" spans="1:10" x14ac:dyDescent="0.25">
      <c r="A424" s="1">
        <v>46154</v>
      </c>
      <c r="B424" t="s">
        <v>116</v>
      </c>
      <c r="C424" s="2" t="s">
        <v>173</v>
      </c>
      <c r="D424" t="s">
        <v>30</v>
      </c>
      <c r="E424">
        <v>1243</v>
      </c>
      <c r="F424">
        <v>916.45</v>
      </c>
      <c r="G424">
        <v>326.55</v>
      </c>
      <c r="H424">
        <v>35.630000000000003</v>
      </c>
      <c r="I424" t="s">
        <v>111</v>
      </c>
    </row>
    <row r="425" spans="1:10" x14ac:dyDescent="0.25">
      <c r="A425" s="1">
        <v>46154</v>
      </c>
      <c r="B425" t="s">
        <v>116</v>
      </c>
      <c r="C425" s="2" t="s">
        <v>174</v>
      </c>
      <c r="D425" t="s">
        <v>30</v>
      </c>
      <c r="E425">
        <v>1243</v>
      </c>
      <c r="F425">
        <v>1010.5</v>
      </c>
      <c r="G425">
        <v>232.5</v>
      </c>
      <c r="H425">
        <v>23.01</v>
      </c>
      <c r="I425" t="s">
        <v>102</v>
      </c>
    </row>
    <row r="426" spans="1:10" x14ac:dyDescent="0.25">
      <c r="A426" s="1">
        <v>46154</v>
      </c>
      <c r="B426" t="s">
        <v>116</v>
      </c>
      <c r="C426" s="2" t="s">
        <v>175</v>
      </c>
      <c r="D426" t="s">
        <v>30</v>
      </c>
      <c r="E426">
        <v>1243</v>
      </c>
      <c r="F426">
        <v>1145.75</v>
      </c>
      <c r="G426">
        <v>97.25</v>
      </c>
      <c r="H426">
        <v>8.49</v>
      </c>
      <c r="I426" t="s">
        <v>111</v>
      </c>
    </row>
    <row r="427" spans="1:10" x14ac:dyDescent="0.25">
      <c r="A427" s="1">
        <v>46154</v>
      </c>
      <c r="B427" t="s">
        <v>116</v>
      </c>
      <c r="C427" s="2" t="s">
        <v>176</v>
      </c>
      <c r="D427" t="s">
        <v>30</v>
      </c>
      <c r="E427">
        <v>1243</v>
      </c>
      <c r="F427">
        <v>916.45</v>
      </c>
      <c r="G427">
        <v>326.55</v>
      </c>
      <c r="H427">
        <v>35.630000000000003</v>
      </c>
      <c r="I427" t="s">
        <v>111</v>
      </c>
    </row>
    <row r="428" spans="1:10" x14ac:dyDescent="0.25">
      <c r="A428" s="1">
        <v>46154</v>
      </c>
      <c r="B428" t="s">
        <v>116</v>
      </c>
      <c r="C428" s="2" t="s">
        <v>177</v>
      </c>
      <c r="D428" t="s">
        <v>30</v>
      </c>
      <c r="E428">
        <v>1243</v>
      </c>
      <c r="F428">
        <v>916.45</v>
      </c>
      <c r="G428">
        <v>326.55</v>
      </c>
      <c r="H428">
        <v>35.630000000000003</v>
      </c>
      <c r="I428" t="s">
        <v>111</v>
      </c>
    </row>
    <row r="429" spans="1:10" x14ac:dyDescent="0.25">
      <c r="A429" s="1">
        <v>46154</v>
      </c>
      <c r="B429" t="s">
        <v>116</v>
      </c>
      <c r="C429" s="2" t="s">
        <v>178</v>
      </c>
      <c r="D429" t="s">
        <v>30</v>
      </c>
      <c r="E429">
        <v>1243</v>
      </c>
      <c r="F429">
        <v>916.45</v>
      </c>
      <c r="G429">
        <v>326.55</v>
      </c>
      <c r="H429">
        <v>35.630000000000003</v>
      </c>
      <c r="I429" t="s">
        <v>111</v>
      </c>
    </row>
    <row r="430" spans="1:10" x14ac:dyDescent="0.25">
      <c r="A430" s="1">
        <v>46154</v>
      </c>
      <c r="B430" t="s">
        <v>116</v>
      </c>
      <c r="C430" s="2" t="s">
        <v>179</v>
      </c>
      <c r="D430" t="s">
        <v>30</v>
      </c>
      <c r="E430">
        <v>1243</v>
      </c>
      <c r="F430">
        <v>916.45</v>
      </c>
      <c r="G430">
        <v>326.55</v>
      </c>
      <c r="H430">
        <v>35.630000000000003</v>
      </c>
      <c r="I430" t="s">
        <v>111</v>
      </c>
    </row>
    <row r="431" spans="1:10" x14ac:dyDescent="0.25">
      <c r="A431" s="1">
        <v>46154</v>
      </c>
      <c r="B431" t="s">
        <v>116</v>
      </c>
      <c r="C431" s="2" t="s">
        <v>180</v>
      </c>
      <c r="D431" t="s">
        <v>30</v>
      </c>
      <c r="E431">
        <v>1243</v>
      </c>
      <c r="F431">
        <v>1013.35</v>
      </c>
      <c r="G431">
        <v>229.65</v>
      </c>
      <c r="H431">
        <v>22.66</v>
      </c>
      <c r="I431" t="s">
        <v>111</v>
      </c>
    </row>
    <row r="432" spans="1:10" x14ac:dyDescent="0.25">
      <c r="A432" s="1">
        <v>46154</v>
      </c>
      <c r="B432" t="s">
        <v>116</v>
      </c>
      <c r="C432" s="2" t="s">
        <v>181</v>
      </c>
      <c r="D432" t="s">
        <v>30</v>
      </c>
      <c r="E432">
        <v>1243</v>
      </c>
      <c r="F432">
        <v>916.45</v>
      </c>
      <c r="G432">
        <v>326.55</v>
      </c>
      <c r="H432">
        <v>35.630000000000003</v>
      </c>
      <c r="I432" t="s">
        <v>111</v>
      </c>
    </row>
    <row r="433" spans="1:9" x14ac:dyDescent="0.25">
      <c r="A433" s="1">
        <v>46154</v>
      </c>
      <c r="B433" t="s">
        <v>116</v>
      </c>
      <c r="C433" s="2" t="s">
        <v>182</v>
      </c>
      <c r="D433" t="s">
        <v>30</v>
      </c>
      <c r="E433">
        <v>1243</v>
      </c>
      <c r="F433">
        <v>1008.35</v>
      </c>
      <c r="G433">
        <v>234.65</v>
      </c>
      <c r="H433">
        <v>23.27</v>
      </c>
      <c r="I433" t="s">
        <v>102</v>
      </c>
    </row>
    <row r="434" spans="1:9" x14ac:dyDescent="0.25">
      <c r="A434" s="1">
        <v>46154</v>
      </c>
      <c r="B434" t="s">
        <v>116</v>
      </c>
      <c r="C434" s="2" t="s">
        <v>183</v>
      </c>
      <c r="D434" t="s">
        <v>30</v>
      </c>
      <c r="E434">
        <v>1243</v>
      </c>
      <c r="F434">
        <v>916.45</v>
      </c>
      <c r="G434">
        <v>326.55</v>
      </c>
      <c r="H434">
        <v>35.630000000000003</v>
      </c>
      <c r="I434" t="s">
        <v>111</v>
      </c>
    </row>
    <row r="435" spans="1:9" x14ac:dyDescent="0.25">
      <c r="A435" s="1">
        <v>46154</v>
      </c>
      <c r="B435" t="s">
        <v>116</v>
      </c>
      <c r="C435" s="2" t="s">
        <v>184</v>
      </c>
      <c r="D435" t="s">
        <v>30</v>
      </c>
      <c r="E435">
        <v>1243</v>
      </c>
      <c r="F435">
        <v>1010.5</v>
      </c>
      <c r="G435">
        <v>232.5</v>
      </c>
      <c r="H435">
        <v>23.01</v>
      </c>
      <c r="I435" t="s">
        <v>102</v>
      </c>
    </row>
    <row r="436" spans="1:9" x14ac:dyDescent="0.25">
      <c r="A436" s="1">
        <v>46154</v>
      </c>
      <c r="B436" t="s">
        <v>116</v>
      </c>
      <c r="C436" s="2" t="s">
        <v>185</v>
      </c>
      <c r="D436" t="s">
        <v>30</v>
      </c>
      <c r="E436">
        <v>1243</v>
      </c>
      <c r="F436">
        <v>1008.35</v>
      </c>
      <c r="G436">
        <v>234.65</v>
      </c>
      <c r="H436">
        <v>23.27</v>
      </c>
      <c r="I436" t="s">
        <v>102</v>
      </c>
    </row>
    <row r="437" spans="1:9" x14ac:dyDescent="0.25">
      <c r="A437" s="1">
        <v>46154</v>
      </c>
      <c r="B437" t="s">
        <v>116</v>
      </c>
      <c r="C437" s="2" t="s">
        <v>186</v>
      </c>
      <c r="D437" t="s">
        <v>30</v>
      </c>
      <c r="E437">
        <v>1243</v>
      </c>
      <c r="F437">
        <v>1008.35</v>
      </c>
      <c r="G437">
        <v>234.65</v>
      </c>
      <c r="H437">
        <v>23.27</v>
      </c>
      <c r="I437" t="s">
        <v>102</v>
      </c>
    </row>
    <row r="438" spans="1:9" x14ac:dyDescent="0.25">
      <c r="A438" s="1">
        <v>46154</v>
      </c>
      <c r="B438" t="s">
        <v>116</v>
      </c>
      <c r="C438" s="2" t="s">
        <v>187</v>
      </c>
      <c r="D438" t="s">
        <v>30</v>
      </c>
      <c r="E438">
        <v>1243</v>
      </c>
      <c r="F438">
        <v>1008.35</v>
      </c>
      <c r="G438">
        <v>234.65</v>
      </c>
      <c r="H438">
        <v>23.27</v>
      </c>
      <c r="I438" t="s">
        <v>102</v>
      </c>
    </row>
    <row r="439" spans="1:9" x14ac:dyDescent="0.25">
      <c r="A439" s="1">
        <v>46154</v>
      </c>
      <c r="B439" t="s">
        <v>116</v>
      </c>
      <c r="C439" s="2" t="s">
        <v>188</v>
      </c>
      <c r="D439" t="s">
        <v>30</v>
      </c>
      <c r="E439">
        <v>1243</v>
      </c>
      <c r="F439">
        <v>1008.35</v>
      </c>
      <c r="G439">
        <v>234.65</v>
      </c>
      <c r="H439">
        <v>23.27</v>
      </c>
      <c r="I439" t="s">
        <v>102</v>
      </c>
    </row>
    <row r="440" spans="1:9" x14ac:dyDescent="0.25">
      <c r="A440" s="1">
        <v>46154</v>
      </c>
      <c r="B440" t="s">
        <v>116</v>
      </c>
      <c r="C440" s="2" t="s">
        <v>189</v>
      </c>
      <c r="D440" t="s">
        <v>30</v>
      </c>
      <c r="E440">
        <v>1243</v>
      </c>
      <c r="F440">
        <v>1010.5</v>
      </c>
      <c r="G440">
        <v>232.5</v>
      </c>
      <c r="H440">
        <v>23.01</v>
      </c>
      <c r="I440" t="s">
        <v>102</v>
      </c>
    </row>
    <row r="441" spans="1:9" x14ac:dyDescent="0.25">
      <c r="A441" s="1">
        <v>46154</v>
      </c>
      <c r="B441" t="s">
        <v>116</v>
      </c>
      <c r="C441" s="2" t="s">
        <v>190</v>
      </c>
      <c r="D441" t="s">
        <v>30</v>
      </c>
      <c r="E441">
        <v>1243</v>
      </c>
      <c r="F441">
        <v>1010.5</v>
      </c>
      <c r="G441">
        <v>232.5</v>
      </c>
      <c r="H441">
        <v>23.01</v>
      </c>
      <c r="I441" t="s">
        <v>102</v>
      </c>
    </row>
    <row r="442" spans="1:9" x14ac:dyDescent="0.25">
      <c r="A442" s="1">
        <v>46154</v>
      </c>
      <c r="B442" t="s">
        <v>116</v>
      </c>
      <c r="C442" s="2" t="s">
        <v>191</v>
      </c>
      <c r="D442" t="s">
        <v>30</v>
      </c>
      <c r="E442">
        <v>1243</v>
      </c>
      <c r="F442">
        <v>1010.5</v>
      </c>
      <c r="G442">
        <v>232.5</v>
      </c>
      <c r="H442">
        <v>23.01</v>
      </c>
      <c r="I442" t="s">
        <v>102</v>
      </c>
    </row>
    <row r="443" spans="1:9" x14ac:dyDescent="0.25">
      <c r="A443" s="1">
        <v>46154</v>
      </c>
      <c r="B443" t="s">
        <v>116</v>
      </c>
      <c r="C443" s="2" t="s">
        <v>192</v>
      </c>
      <c r="D443" t="s">
        <v>30</v>
      </c>
      <c r="E443">
        <v>1243</v>
      </c>
      <c r="F443">
        <v>1145.75</v>
      </c>
      <c r="G443">
        <v>97.25</v>
      </c>
      <c r="H443">
        <v>8.49</v>
      </c>
      <c r="I443" t="s">
        <v>111</v>
      </c>
    </row>
    <row r="444" spans="1:9" x14ac:dyDescent="0.25">
      <c r="A444" s="1">
        <v>46154</v>
      </c>
      <c r="B444" t="s">
        <v>116</v>
      </c>
      <c r="C444" s="2" t="s">
        <v>193</v>
      </c>
      <c r="D444" t="s">
        <v>30</v>
      </c>
      <c r="E444">
        <v>1243</v>
      </c>
      <c r="F444">
        <v>916.45</v>
      </c>
      <c r="G444">
        <v>326.55</v>
      </c>
      <c r="H444">
        <v>35.630000000000003</v>
      </c>
      <c r="I444" t="s">
        <v>111</v>
      </c>
    </row>
    <row r="445" spans="1:9" x14ac:dyDescent="0.25">
      <c r="A445" s="1">
        <v>46154</v>
      </c>
      <c r="B445" t="s">
        <v>116</v>
      </c>
      <c r="C445" s="2" t="s">
        <v>194</v>
      </c>
      <c r="D445" t="s">
        <v>30</v>
      </c>
      <c r="E445">
        <v>1243</v>
      </c>
      <c r="F445">
        <v>916.45</v>
      </c>
      <c r="G445">
        <v>326.55</v>
      </c>
      <c r="H445">
        <v>35.630000000000003</v>
      </c>
      <c r="I445" t="s">
        <v>111</v>
      </c>
    </row>
    <row r="446" spans="1:9" x14ac:dyDescent="0.25">
      <c r="A446" s="1">
        <v>46154</v>
      </c>
      <c r="B446" t="s">
        <v>116</v>
      </c>
      <c r="C446" s="2" t="s">
        <v>195</v>
      </c>
      <c r="D446" t="s">
        <v>30</v>
      </c>
      <c r="E446">
        <v>1243</v>
      </c>
      <c r="F446">
        <v>1145.75</v>
      </c>
      <c r="G446">
        <v>97.25</v>
      </c>
      <c r="H446">
        <v>8.49</v>
      </c>
      <c r="I446" t="s">
        <v>111</v>
      </c>
    </row>
    <row r="447" spans="1:9" x14ac:dyDescent="0.25">
      <c r="A447" s="1">
        <v>46154</v>
      </c>
      <c r="B447" t="s">
        <v>116</v>
      </c>
      <c r="C447" s="2" t="s">
        <v>196</v>
      </c>
      <c r="D447" t="s">
        <v>30</v>
      </c>
      <c r="E447">
        <v>1243</v>
      </c>
      <c r="F447">
        <v>916.45</v>
      </c>
      <c r="G447">
        <v>326.55</v>
      </c>
      <c r="H447">
        <v>35.630000000000003</v>
      </c>
      <c r="I447" t="s">
        <v>111</v>
      </c>
    </row>
    <row r="448" spans="1:9" x14ac:dyDescent="0.25">
      <c r="A448" s="1">
        <v>46154</v>
      </c>
      <c r="B448" t="s">
        <v>116</v>
      </c>
      <c r="C448" s="2" t="s">
        <v>197</v>
      </c>
      <c r="D448" t="s">
        <v>30</v>
      </c>
      <c r="E448">
        <v>1243</v>
      </c>
      <c r="F448">
        <v>1145.75</v>
      </c>
      <c r="G448">
        <v>97.25</v>
      </c>
      <c r="H448">
        <v>8.49</v>
      </c>
      <c r="I448" t="s">
        <v>111</v>
      </c>
    </row>
    <row r="449" spans="1:9" x14ac:dyDescent="0.25">
      <c r="A449" s="1">
        <v>46154</v>
      </c>
      <c r="B449" t="s">
        <v>116</v>
      </c>
      <c r="C449" s="2" t="s">
        <v>198</v>
      </c>
      <c r="D449" t="s">
        <v>30</v>
      </c>
      <c r="E449">
        <v>1243</v>
      </c>
      <c r="F449">
        <v>916.45</v>
      </c>
      <c r="G449">
        <v>326.55</v>
      </c>
      <c r="H449">
        <v>35.630000000000003</v>
      </c>
      <c r="I449" t="s">
        <v>111</v>
      </c>
    </row>
    <row r="450" spans="1:9" x14ac:dyDescent="0.25">
      <c r="A450" s="1">
        <v>46154</v>
      </c>
      <c r="B450" t="s">
        <v>116</v>
      </c>
      <c r="C450" s="2" t="s">
        <v>199</v>
      </c>
      <c r="D450" t="s">
        <v>30</v>
      </c>
      <c r="E450">
        <v>1243</v>
      </c>
      <c r="F450">
        <v>916.45</v>
      </c>
      <c r="G450">
        <v>326.55</v>
      </c>
      <c r="H450">
        <v>35.630000000000003</v>
      </c>
      <c r="I450" t="s">
        <v>111</v>
      </c>
    </row>
    <row r="451" spans="1:9" x14ac:dyDescent="0.25">
      <c r="A451" s="1">
        <v>46154</v>
      </c>
      <c r="B451" t="s">
        <v>116</v>
      </c>
      <c r="C451" s="2" t="s">
        <v>200</v>
      </c>
      <c r="D451" t="s">
        <v>30</v>
      </c>
      <c r="E451">
        <v>1243</v>
      </c>
      <c r="F451">
        <v>916.45</v>
      </c>
      <c r="G451">
        <v>326.55</v>
      </c>
      <c r="H451">
        <v>35.630000000000003</v>
      </c>
      <c r="I451" t="s">
        <v>111</v>
      </c>
    </row>
    <row r="452" spans="1:9" x14ac:dyDescent="0.25">
      <c r="A452" s="1">
        <v>46154</v>
      </c>
      <c r="B452" t="s">
        <v>116</v>
      </c>
      <c r="C452" s="2" t="s">
        <v>201</v>
      </c>
      <c r="D452" t="s">
        <v>30</v>
      </c>
      <c r="E452">
        <v>1243</v>
      </c>
      <c r="F452">
        <v>1145.75</v>
      </c>
      <c r="G452">
        <v>97.25</v>
      </c>
      <c r="H452">
        <v>8.49</v>
      </c>
      <c r="I452" t="s">
        <v>111</v>
      </c>
    </row>
    <row r="453" spans="1:9" x14ac:dyDescent="0.25">
      <c r="A453" s="1">
        <v>46154</v>
      </c>
      <c r="B453" t="s">
        <v>116</v>
      </c>
      <c r="C453" s="2" t="s">
        <v>202</v>
      </c>
      <c r="D453" t="s">
        <v>30</v>
      </c>
      <c r="E453">
        <v>1243</v>
      </c>
      <c r="F453">
        <v>1145.75</v>
      </c>
      <c r="G453">
        <v>97.25</v>
      </c>
      <c r="H453">
        <v>8.49</v>
      </c>
      <c r="I453" t="s">
        <v>111</v>
      </c>
    </row>
    <row r="454" spans="1:9" x14ac:dyDescent="0.25">
      <c r="A454" s="1">
        <v>46154</v>
      </c>
      <c r="B454" t="s">
        <v>116</v>
      </c>
      <c r="C454" s="2" t="s">
        <v>203</v>
      </c>
      <c r="D454" t="s">
        <v>30</v>
      </c>
      <c r="E454">
        <v>1243</v>
      </c>
      <c r="F454">
        <v>916.45</v>
      </c>
      <c r="G454">
        <v>326.55</v>
      </c>
      <c r="H454">
        <v>35.630000000000003</v>
      </c>
      <c r="I454" t="s">
        <v>111</v>
      </c>
    </row>
    <row r="455" spans="1:9" x14ac:dyDescent="0.25">
      <c r="A455" s="1">
        <v>46154</v>
      </c>
      <c r="B455" t="s">
        <v>116</v>
      </c>
      <c r="C455" s="2" t="s">
        <v>204</v>
      </c>
      <c r="D455" t="s">
        <v>30</v>
      </c>
      <c r="E455">
        <v>1243</v>
      </c>
      <c r="F455">
        <v>916.45</v>
      </c>
      <c r="G455">
        <v>326.55</v>
      </c>
      <c r="H455">
        <v>35.630000000000003</v>
      </c>
      <c r="I455" t="s">
        <v>111</v>
      </c>
    </row>
    <row r="456" spans="1:9" x14ac:dyDescent="0.25">
      <c r="A456" s="1">
        <v>46154</v>
      </c>
      <c r="B456" t="s">
        <v>116</v>
      </c>
      <c r="C456" s="2" t="s">
        <v>205</v>
      </c>
      <c r="D456" t="s">
        <v>30</v>
      </c>
      <c r="E456">
        <v>1243</v>
      </c>
      <c r="F456">
        <v>916.45</v>
      </c>
      <c r="G456">
        <v>326.55</v>
      </c>
      <c r="H456">
        <v>35.630000000000003</v>
      </c>
      <c r="I456" t="s">
        <v>111</v>
      </c>
    </row>
    <row r="457" spans="1:9" x14ac:dyDescent="0.25">
      <c r="A457" s="1">
        <v>46154</v>
      </c>
      <c r="B457" t="s">
        <v>116</v>
      </c>
      <c r="C457" s="2" t="s">
        <v>206</v>
      </c>
      <c r="D457" t="s">
        <v>30</v>
      </c>
      <c r="E457">
        <v>1243</v>
      </c>
      <c r="F457">
        <v>1145.75</v>
      </c>
      <c r="G457">
        <v>97.25</v>
      </c>
      <c r="H457">
        <v>8.49</v>
      </c>
      <c r="I457" t="s">
        <v>111</v>
      </c>
    </row>
    <row r="458" spans="1:9" x14ac:dyDescent="0.25">
      <c r="A458" s="1">
        <v>46154</v>
      </c>
      <c r="B458" t="s">
        <v>116</v>
      </c>
      <c r="C458" s="2" t="s">
        <v>207</v>
      </c>
      <c r="D458" t="s">
        <v>30</v>
      </c>
      <c r="E458">
        <v>1243</v>
      </c>
      <c r="F458">
        <v>916.45</v>
      </c>
      <c r="G458">
        <v>326.55</v>
      </c>
      <c r="H458">
        <v>35.630000000000003</v>
      </c>
      <c r="I458" t="s">
        <v>111</v>
      </c>
    </row>
    <row r="459" spans="1:9" x14ac:dyDescent="0.25">
      <c r="A459" s="1">
        <v>46154</v>
      </c>
      <c r="B459" t="s">
        <v>116</v>
      </c>
      <c r="C459" s="2" t="s">
        <v>208</v>
      </c>
      <c r="D459" t="s">
        <v>30</v>
      </c>
      <c r="E459">
        <v>1243</v>
      </c>
      <c r="F459">
        <v>916.45</v>
      </c>
      <c r="G459">
        <v>326.55</v>
      </c>
      <c r="H459">
        <v>35.630000000000003</v>
      </c>
      <c r="I459" t="s">
        <v>111</v>
      </c>
    </row>
    <row r="460" spans="1:9" x14ac:dyDescent="0.25">
      <c r="A460" s="1">
        <v>46154</v>
      </c>
      <c r="B460" t="s">
        <v>116</v>
      </c>
      <c r="C460" s="2" t="s">
        <v>209</v>
      </c>
      <c r="D460" t="s">
        <v>30</v>
      </c>
      <c r="E460">
        <v>1243</v>
      </c>
      <c r="F460">
        <v>916.45</v>
      </c>
      <c r="G460">
        <v>326.55</v>
      </c>
      <c r="H460">
        <v>35.630000000000003</v>
      </c>
      <c r="I460" t="s">
        <v>111</v>
      </c>
    </row>
    <row r="461" spans="1:9" x14ac:dyDescent="0.25">
      <c r="A461" s="1">
        <v>46154</v>
      </c>
      <c r="B461" t="s">
        <v>116</v>
      </c>
      <c r="C461" s="2" t="s">
        <v>210</v>
      </c>
      <c r="D461" t="s">
        <v>30</v>
      </c>
      <c r="E461">
        <v>1243</v>
      </c>
      <c r="F461">
        <v>1013.35</v>
      </c>
      <c r="G461">
        <v>229.65</v>
      </c>
      <c r="H461">
        <v>22.66</v>
      </c>
      <c r="I461" t="s">
        <v>111</v>
      </c>
    </row>
    <row r="462" spans="1:9" x14ac:dyDescent="0.25">
      <c r="A462" s="1">
        <v>46154</v>
      </c>
      <c r="B462" t="s">
        <v>116</v>
      </c>
      <c r="C462" s="2" t="s">
        <v>211</v>
      </c>
      <c r="D462" t="s">
        <v>30</v>
      </c>
      <c r="E462">
        <v>1250</v>
      </c>
      <c r="F462">
        <v>916.45</v>
      </c>
      <c r="G462">
        <v>333.55</v>
      </c>
      <c r="H462">
        <v>36.4</v>
      </c>
      <c r="I462" t="s">
        <v>111</v>
      </c>
    </row>
    <row r="463" spans="1:9" x14ac:dyDescent="0.25">
      <c r="A463" s="1">
        <v>46154</v>
      </c>
      <c r="B463" t="s">
        <v>116</v>
      </c>
      <c r="C463" s="2" t="s">
        <v>212</v>
      </c>
      <c r="D463" t="s">
        <v>30</v>
      </c>
      <c r="E463">
        <v>1243</v>
      </c>
      <c r="F463">
        <v>1013.35</v>
      </c>
      <c r="G463">
        <v>229.65</v>
      </c>
      <c r="H463">
        <v>22.66</v>
      </c>
      <c r="I463" t="s">
        <v>111</v>
      </c>
    </row>
    <row r="464" spans="1:9" x14ac:dyDescent="0.25">
      <c r="A464" s="1">
        <v>46154</v>
      </c>
      <c r="B464" t="s">
        <v>116</v>
      </c>
      <c r="C464" s="2" t="s">
        <v>213</v>
      </c>
      <c r="D464" t="s">
        <v>30</v>
      </c>
      <c r="E464">
        <v>1243</v>
      </c>
      <c r="F464">
        <v>916.45</v>
      </c>
      <c r="G464">
        <v>326.55</v>
      </c>
      <c r="H464">
        <v>35.630000000000003</v>
      </c>
      <c r="I464" t="s">
        <v>111</v>
      </c>
    </row>
    <row r="465" spans="1:9" x14ac:dyDescent="0.25">
      <c r="A465" s="1">
        <v>46154</v>
      </c>
      <c r="B465" t="s">
        <v>116</v>
      </c>
      <c r="C465" s="2" t="s">
        <v>214</v>
      </c>
      <c r="D465" t="s">
        <v>30</v>
      </c>
      <c r="E465">
        <v>1243</v>
      </c>
      <c r="F465">
        <v>916.45</v>
      </c>
      <c r="G465">
        <v>326.55</v>
      </c>
      <c r="H465">
        <v>35.630000000000003</v>
      </c>
      <c r="I465" t="s">
        <v>111</v>
      </c>
    </row>
    <row r="466" spans="1:9" x14ac:dyDescent="0.25">
      <c r="A466" s="1">
        <v>46154</v>
      </c>
      <c r="B466" t="s">
        <v>116</v>
      </c>
      <c r="C466" s="2" t="s">
        <v>215</v>
      </c>
      <c r="D466" t="s">
        <v>30</v>
      </c>
      <c r="E466">
        <v>1243</v>
      </c>
      <c r="F466">
        <v>1145.75</v>
      </c>
      <c r="G466">
        <v>97.25</v>
      </c>
      <c r="H466">
        <v>8.49</v>
      </c>
      <c r="I466" t="s">
        <v>111</v>
      </c>
    </row>
    <row r="467" spans="1:9" x14ac:dyDescent="0.25">
      <c r="A467" s="1">
        <v>46154</v>
      </c>
      <c r="B467" t="s">
        <v>116</v>
      </c>
      <c r="C467" s="2" t="s">
        <v>216</v>
      </c>
      <c r="D467" t="s">
        <v>30</v>
      </c>
      <c r="E467">
        <v>1243</v>
      </c>
      <c r="F467">
        <v>1013.35</v>
      </c>
      <c r="G467">
        <v>229.65</v>
      </c>
      <c r="H467">
        <v>22.66</v>
      </c>
      <c r="I467" t="s">
        <v>111</v>
      </c>
    </row>
    <row r="468" spans="1:9" x14ac:dyDescent="0.25">
      <c r="A468" s="1">
        <v>46154</v>
      </c>
      <c r="B468" t="s">
        <v>116</v>
      </c>
      <c r="C468" s="2" t="s">
        <v>217</v>
      </c>
      <c r="D468" t="s">
        <v>30</v>
      </c>
      <c r="E468">
        <v>1243</v>
      </c>
      <c r="F468">
        <v>916.45</v>
      </c>
      <c r="G468">
        <v>326.55</v>
      </c>
      <c r="H468">
        <v>35.630000000000003</v>
      </c>
      <c r="I468" t="s">
        <v>111</v>
      </c>
    </row>
    <row r="469" spans="1:9" x14ac:dyDescent="0.25">
      <c r="A469" s="1">
        <v>46154</v>
      </c>
      <c r="B469" t="s">
        <v>116</v>
      </c>
      <c r="C469" s="2" t="s">
        <v>218</v>
      </c>
      <c r="D469" t="s">
        <v>30</v>
      </c>
      <c r="E469">
        <v>1243</v>
      </c>
      <c r="F469">
        <v>1145.75</v>
      </c>
      <c r="G469">
        <v>97.25</v>
      </c>
      <c r="H469">
        <v>8.49</v>
      </c>
      <c r="I469" t="s">
        <v>111</v>
      </c>
    </row>
    <row r="470" spans="1:9" x14ac:dyDescent="0.25">
      <c r="A470" s="1">
        <v>46154</v>
      </c>
      <c r="B470" t="s">
        <v>116</v>
      </c>
      <c r="C470" s="2" t="s">
        <v>219</v>
      </c>
      <c r="D470" t="s">
        <v>30</v>
      </c>
      <c r="E470">
        <v>1243</v>
      </c>
      <c r="F470">
        <v>916.45</v>
      </c>
      <c r="G470">
        <v>326.55</v>
      </c>
      <c r="H470">
        <v>35.630000000000003</v>
      </c>
      <c r="I470" t="s">
        <v>111</v>
      </c>
    </row>
    <row r="471" spans="1:9" x14ac:dyDescent="0.25">
      <c r="A471" s="1">
        <v>46154</v>
      </c>
      <c r="B471" t="s">
        <v>116</v>
      </c>
      <c r="C471" s="2" t="s">
        <v>220</v>
      </c>
      <c r="D471" t="s">
        <v>30</v>
      </c>
      <c r="E471">
        <v>1243</v>
      </c>
      <c r="F471">
        <v>916.45</v>
      </c>
      <c r="G471">
        <v>326.55</v>
      </c>
      <c r="H471">
        <v>35.630000000000003</v>
      </c>
      <c r="I471" t="s">
        <v>111</v>
      </c>
    </row>
    <row r="472" spans="1:9" x14ac:dyDescent="0.25">
      <c r="A472" s="1">
        <v>46154</v>
      </c>
      <c r="B472" t="s">
        <v>116</v>
      </c>
      <c r="C472" s="2" t="s">
        <v>221</v>
      </c>
      <c r="D472" t="s">
        <v>30</v>
      </c>
      <c r="E472">
        <v>1250</v>
      </c>
      <c r="F472">
        <v>916.45</v>
      </c>
      <c r="G472">
        <v>333.55</v>
      </c>
      <c r="H472">
        <v>36.4</v>
      </c>
      <c r="I472" t="s">
        <v>111</v>
      </c>
    </row>
    <row r="473" spans="1:9" x14ac:dyDescent="0.25">
      <c r="A473" s="1">
        <v>46154</v>
      </c>
      <c r="B473" t="s">
        <v>116</v>
      </c>
      <c r="C473" s="2" t="s">
        <v>222</v>
      </c>
      <c r="D473" t="s">
        <v>30</v>
      </c>
      <c r="E473">
        <v>1243</v>
      </c>
      <c r="F473">
        <v>916.45</v>
      </c>
      <c r="G473">
        <v>326.55</v>
      </c>
      <c r="H473">
        <v>35.630000000000003</v>
      </c>
      <c r="I473" t="s">
        <v>111</v>
      </c>
    </row>
    <row r="474" spans="1:9" x14ac:dyDescent="0.25">
      <c r="A474" s="1">
        <v>46154</v>
      </c>
      <c r="B474" t="s">
        <v>116</v>
      </c>
      <c r="C474" s="2" t="s">
        <v>223</v>
      </c>
      <c r="D474" t="s">
        <v>30</v>
      </c>
      <c r="E474">
        <v>1243</v>
      </c>
      <c r="F474">
        <v>916.45</v>
      </c>
      <c r="G474">
        <v>326.55</v>
      </c>
      <c r="H474">
        <v>35.630000000000003</v>
      </c>
      <c r="I474" t="s">
        <v>111</v>
      </c>
    </row>
    <row r="475" spans="1:9" x14ac:dyDescent="0.25">
      <c r="A475" s="1">
        <v>46154</v>
      </c>
      <c r="B475" t="s">
        <v>116</v>
      </c>
      <c r="C475" s="2" t="s">
        <v>224</v>
      </c>
      <c r="D475" t="s">
        <v>30</v>
      </c>
      <c r="E475">
        <v>1243</v>
      </c>
      <c r="F475">
        <v>916.45</v>
      </c>
      <c r="G475">
        <v>326.55</v>
      </c>
      <c r="H475">
        <v>35.630000000000003</v>
      </c>
      <c r="I475" t="s">
        <v>111</v>
      </c>
    </row>
    <row r="476" spans="1:9" x14ac:dyDescent="0.25">
      <c r="A476" s="1">
        <v>46154</v>
      </c>
      <c r="B476" t="s">
        <v>116</v>
      </c>
      <c r="C476" s="2" t="s">
        <v>225</v>
      </c>
      <c r="D476" t="s">
        <v>30</v>
      </c>
      <c r="E476">
        <v>1243</v>
      </c>
      <c r="F476">
        <v>916.45</v>
      </c>
      <c r="G476">
        <v>326.55</v>
      </c>
      <c r="H476">
        <v>35.630000000000003</v>
      </c>
      <c r="I476" t="s">
        <v>111</v>
      </c>
    </row>
    <row r="477" spans="1:9" x14ac:dyDescent="0.25">
      <c r="A477" s="1">
        <v>46154</v>
      </c>
      <c r="B477" t="s">
        <v>116</v>
      </c>
      <c r="C477" s="2" t="s">
        <v>226</v>
      </c>
      <c r="D477" t="s">
        <v>30</v>
      </c>
      <c r="E477">
        <v>1250</v>
      </c>
      <c r="F477">
        <v>916.45</v>
      </c>
      <c r="G477">
        <v>333.55</v>
      </c>
      <c r="H477">
        <v>36.4</v>
      </c>
      <c r="I477" t="s">
        <v>111</v>
      </c>
    </row>
    <row r="478" spans="1:9" x14ac:dyDescent="0.25">
      <c r="A478" s="1">
        <v>46154</v>
      </c>
      <c r="B478" t="s">
        <v>116</v>
      </c>
      <c r="C478" s="2" t="s">
        <v>227</v>
      </c>
      <c r="D478" t="s">
        <v>30</v>
      </c>
      <c r="E478">
        <v>1243</v>
      </c>
      <c r="F478">
        <v>1145.75</v>
      </c>
      <c r="G478">
        <v>97.25</v>
      </c>
      <c r="H478">
        <v>8.49</v>
      </c>
      <c r="I478" t="s">
        <v>111</v>
      </c>
    </row>
    <row r="479" spans="1:9" x14ac:dyDescent="0.25">
      <c r="A479" s="1">
        <v>46154</v>
      </c>
      <c r="B479" t="s">
        <v>116</v>
      </c>
      <c r="C479" s="2" t="s">
        <v>228</v>
      </c>
      <c r="D479" t="s">
        <v>30</v>
      </c>
      <c r="E479">
        <v>1243</v>
      </c>
      <c r="F479">
        <v>916.45</v>
      </c>
      <c r="G479">
        <v>326.55</v>
      </c>
      <c r="H479">
        <v>35.630000000000003</v>
      </c>
      <c r="I479" t="s">
        <v>111</v>
      </c>
    </row>
    <row r="480" spans="1:9" x14ac:dyDescent="0.25">
      <c r="A480" s="1">
        <v>46154</v>
      </c>
      <c r="B480" t="s">
        <v>116</v>
      </c>
      <c r="C480" s="2" t="s">
        <v>229</v>
      </c>
      <c r="D480" t="s">
        <v>30</v>
      </c>
      <c r="E480">
        <v>1243</v>
      </c>
      <c r="F480">
        <v>1013.35</v>
      </c>
      <c r="G480">
        <v>229.65</v>
      </c>
      <c r="H480">
        <v>22.66</v>
      </c>
      <c r="I480" t="s">
        <v>111</v>
      </c>
    </row>
    <row r="481" spans="1:9" x14ac:dyDescent="0.25">
      <c r="A481" s="1">
        <v>46154</v>
      </c>
      <c r="B481" t="s">
        <v>116</v>
      </c>
      <c r="C481" s="2" t="s">
        <v>230</v>
      </c>
      <c r="D481" t="s">
        <v>30</v>
      </c>
      <c r="E481">
        <v>1243</v>
      </c>
      <c r="F481">
        <v>1013.35</v>
      </c>
      <c r="G481">
        <v>229.65</v>
      </c>
      <c r="H481">
        <v>22.66</v>
      </c>
      <c r="I481" t="s">
        <v>111</v>
      </c>
    </row>
    <row r="482" spans="1:9" x14ac:dyDescent="0.25">
      <c r="A482" s="1">
        <v>46154</v>
      </c>
      <c r="B482" t="s">
        <v>116</v>
      </c>
      <c r="C482" s="2" t="s">
        <v>231</v>
      </c>
      <c r="D482" t="s">
        <v>30</v>
      </c>
      <c r="E482">
        <v>1243</v>
      </c>
      <c r="F482">
        <v>1155.93</v>
      </c>
      <c r="G482">
        <v>87.07</v>
      </c>
      <c r="H482">
        <v>7.53</v>
      </c>
      <c r="I482" t="s">
        <v>111</v>
      </c>
    </row>
    <row r="483" spans="1:9" x14ac:dyDescent="0.25">
      <c r="A483" s="1">
        <v>46154</v>
      </c>
      <c r="B483" t="s">
        <v>116</v>
      </c>
      <c r="C483" s="2" t="s">
        <v>232</v>
      </c>
      <c r="D483" t="s">
        <v>30</v>
      </c>
      <c r="E483">
        <v>1243</v>
      </c>
      <c r="F483">
        <v>1145.75</v>
      </c>
      <c r="G483">
        <v>97.25</v>
      </c>
      <c r="H483">
        <v>8.49</v>
      </c>
      <c r="I483" t="s">
        <v>111</v>
      </c>
    </row>
    <row r="484" spans="1:9" x14ac:dyDescent="0.25">
      <c r="A484" s="1">
        <v>46154</v>
      </c>
      <c r="B484" t="s">
        <v>116</v>
      </c>
      <c r="C484" s="2" t="s">
        <v>233</v>
      </c>
      <c r="D484" t="s">
        <v>30</v>
      </c>
      <c r="E484">
        <v>1243</v>
      </c>
      <c r="F484">
        <v>916.45</v>
      </c>
      <c r="G484">
        <v>326.55</v>
      </c>
      <c r="H484">
        <v>35.630000000000003</v>
      </c>
      <c r="I484" t="s">
        <v>111</v>
      </c>
    </row>
    <row r="485" spans="1:9" x14ac:dyDescent="0.25">
      <c r="A485" s="1">
        <v>46154</v>
      </c>
      <c r="B485" t="s">
        <v>116</v>
      </c>
      <c r="C485" s="2" t="s">
        <v>234</v>
      </c>
      <c r="D485" t="s">
        <v>30</v>
      </c>
      <c r="E485">
        <v>1250</v>
      </c>
      <c r="F485">
        <v>916.45</v>
      </c>
      <c r="G485">
        <v>333.55</v>
      </c>
      <c r="H485">
        <v>36.4</v>
      </c>
      <c r="I485" t="s">
        <v>111</v>
      </c>
    </row>
    <row r="486" spans="1:9" x14ac:dyDescent="0.25">
      <c r="A486" s="1">
        <v>46154</v>
      </c>
      <c r="B486" t="s">
        <v>116</v>
      </c>
      <c r="C486" s="2" t="s">
        <v>235</v>
      </c>
      <c r="D486" t="s">
        <v>30</v>
      </c>
      <c r="E486">
        <v>1243</v>
      </c>
      <c r="F486">
        <v>916.45</v>
      </c>
      <c r="G486">
        <v>326.55</v>
      </c>
      <c r="H486">
        <v>35.630000000000003</v>
      </c>
      <c r="I486" t="s">
        <v>111</v>
      </c>
    </row>
    <row r="487" spans="1:9" x14ac:dyDescent="0.25">
      <c r="A487" s="1">
        <v>46154</v>
      </c>
      <c r="B487" t="s">
        <v>116</v>
      </c>
      <c r="C487" s="2" t="s">
        <v>236</v>
      </c>
      <c r="D487" t="s">
        <v>30</v>
      </c>
      <c r="E487">
        <v>1243</v>
      </c>
      <c r="F487">
        <v>916.45</v>
      </c>
      <c r="G487">
        <v>326.55</v>
      </c>
      <c r="H487">
        <v>35.630000000000003</v>
      </c>
      <c r="I487" t="s">
        <v>111</v>
      </c>
    </row>
    <row r="488" spans="1:9" x14ac:dyDescent="0.25">
      <c r="A488" s="1">
        <v>46154</v>
      </c>
      <c r="B488" t="s">
        <v>116</v>
      </c>
      <c r="C488" s="2" t="s">
        <v>237</v>
      </c>
      <c r="D488" t="s">
        <v>30</v>
      </c>
      <c r="E488">
        <v>1250</v>
      </c>
      <c r="F488">
        <v>916.45</v>
      </c>
      <c r="G488">
        <v>333.55</v>
      </c>
      <c r="H488">
        <v>36.4</v>
      </c>
      <c r="I488" t="s">
        <v>111</v>
      </c>
    </row>
    <row r="489" spans="1:9" x14ac:dyDescent="0.25">
      <c r="A489" s="1">
        <v>46154</v>
      </c>
      <c r="B489" t="s">
        <v>116</v>
      </c>
      <c r="C489" s="2" t="s">
        <v>238</v>
      </c>
      <c r="D489" t="s">
        <v>30</v>
      </c>
      <c r="E489">
        <v>1243</v>
      </c>
      <c r="F489">
        <v>916.45</v>
      </c>
      <c r="G489">
        <v>326.55</v>
      </c>
      <c r="H489">
        <v>35.630000000000003</v>
      </c>
      <c r="I489" t="s">
        <v>111</v>
      </c>
    </row>
    <row r="490" spans="1:9" x14ac:dyDescent="0.25">
      <c r="A490" s="1">
        <v>46154</v>
      </c>
      <c r="B490" t="s">
        <v>116</v>
      </c>
      <c r="C490" s="2" t="s">
        <v>239</v>
      </c>
      <c r="D490" t="s">
        <v>30</v>
      </c>
      <c r="E490">
        <v>1243</v>
      </c>
      <c r="F490">
        <v>916.45</v>
      </c>
      <c r="G490">
        <v>326.55</v>
      </c>
      <c r="H490">
        <v>35.630000000000003</v>
      </c>
      <c r="I490" t="s">
        <v>111</v>
      </c>
    </row>
    <row r="491" spans="1:9" x14ac:dyDescent="0.25">
      <c r="A491" s="1">
        <v>46154</v>
      </c>
      <c r="B491" t="s">
        <v>116</v>
      </c>
      <c r="C491" s="2" t="s">
        <v>240</v>
      </c>
      <c r="D491" t="s">
        <v>30</v>
      </c>
      <c r="E491">
        <v>1243</v>
      </c>
      <c r="F491">
        <v>916.45</v>
      </c>
      <c r="G491">
        <v>326.55</v>
      </c>
      <c r="H491">
        <v>35.630000000000003</v>
      </c>
      <c r="I491" t="s">
        <v>111</v>
      </c>
    </row>
    <row r="492" spans="1:9" x14ac:dyDescent="0.25">
      <c r="A492" s="1">
        <v>46154</v>
      </c>
      <c r="B492" t="s">
        <v>116</v>
      </c>
      <c r="C492" s="2" t="s">
        <v>241</v>
      </c>
      <c r="D492" t="s">
        <v>30</v>
      </c>
      <c r="E492">
        <v>1250</v>
      </c>
      <c r="F492">
        <v>916.45</v>
      </c>
      <c r="G492">
        <v>333.55</v>
      </c>
      <c r="H492">
        <v>36.4</v>
      </c>
      <c r="I492" t="s">
        <v>111</v>
      </c>
    </row>
    <row r="493" spans="1:9" x14ac:dyDescent="0.25">
      <c r="A493" s="1">
        <v>46154</v>
      </c>
      <c r="B493" t="s">
        <v>116</v>
      </c>
      <c r="C493" s="2" t="s">
        <v>242</v>
      </c>
      <c r="D493" t="s">
        <v>30</v>
      </c>
      <c r="E493">
        <v>1243</v>
      </c>
      <c r="F493">
        <v>916.45</v>
      </c>
      <c r="G493">
        <v>326.55</v>
      </c>
      <c r="H493">
        <v>35.630000000000003</v>
      </c>
      <c r="I493" t="s">
        <v>111</v>
      </c>
    </row>
    <row r="494" spans="1:9" x14ac:dyDescent="0.25">
      <c r="A494" s="1">
        <v>46154</v>
      </c>
      <c r="B494" t="s">
        <v>116</v>
      </c>
      <c r="C494" s="2" t="s">
        <v>243</v>
      </c>
      <c r="D494" t="s">
        <v>30</v>
      </c>
      <c r="E494">
        <v>1243</v>
      </c>
      <c r="F494">
        <v>1155.93</v>
      </c>
      <c r="G494">
        <v>87.07</v>
      </c>
      <c r="H494">
        <v>7.53</v>
      </c>
      <c r="I494" t="s">
        <v>111</v>
      </c>
    </row>
    <row r="495" spans="1:9" x14ac:dyDescent="0.25">
      <c r="A495" s="1">
        <v>46154</v>
      </c>
      <c r="B495" t="s">
        <v>116</v>
      </c>
      <c r="C495" s="2" t="s">
        <v>244</v>
      </c>
      <c r="D495" t="s">
        <v>30</v>
      </c>
      <c r="E495">
        <v>1243</v>
      </c>
      <c r="F495">
        <v>916.45</v>
      </c>
      <c r="G495">
        <v>326.55</v>
      </c>
      <c r="H495">
        <v>35.630000000000003</v>
      </c>
      <c r="I495" t="s">
        <v>111</v>
      </c>
    </row>
    <row r="496" spans="1:9" x14ac:dyDescent="0.25">
      <c r="A496" s="1">
        <v>46154</v>
      </c>
      <c r="B496" t="s">
        <v>116</v>
      </c>
      <c r="C496" s="2" t="s">
        <v>245</v>
      </c>
      <c r="D496" t="s">
        <v>30</v>
      </c>
      <c r="E496">
        <v>1243</v>
      </c>
      <c r="F496">
        <v>916.45</v>
      </c>
      <c r="G496">
        <v>326.55</v>
      </c>
      <c r="H496">
        <v>35.630000000000003</v>
      </c>
      <c r="I496" t="s">
        <v>111</v>
      </c>
    </row>
    <row r="497" spans="1:9" x14ac:dyDescent="0.25">
      <c r="A497" s="1">
        <v>46154</v>
      </c>
      <c r="B497" t="s">
        <v>116</v>
      </c>
      <c r="C497" s="2" t="s">
        <v>246</v>
      </c>
      <c r="D497" t="s">
        <v>30</v>
      </c>
      <c r="E497">
        <v>1250</v>
      </c>
      <c r="F497">
        <v>916.45</v>
      </c>
      <c r="G497">
        <v>333.55</v>
      </c>
      <c r="H497">
        <v>36.4</v>
      </c>
      <c r="I497" t="s">
        <v>111</v>
      </c>
    </row>
    <row r="498" spans="1:9" x14ac:dyDescent="0.25">
      <c r="A498" s="1">
        <v>46154</v>
      </c>
      <c r="B498" t="s">
        <v>116</v>
      </c>
      <c r="C498" s="2" t="s">
        <v>247</v>
      </c>
      <c r="D498" t="s">
        <v>30</v>
      </c>
      <c r="E498">
        <v>1250</v>
      </c>
      <c r="F498">
        <v>916.45</v>
      </c>
      <c r="G498">
        <v>333.55</v>
      </c>
      <c r="H498">
        <v>36.4</v>
      </c>
      <c r="I498" t="s">
        <v>111</v>
      </c>
    </row>
    <row r="499" spans="1:9" x14ac:dyDescent="0.25">
      <c r="A499" s="1">
        <v>46154</v>
      </c>
      <c r="B499" t="s">
        <v>116</v>
      </c>
      <c r="C499" s="2" t="s">
        <v>248</v>
      </c>
      <c r="D499" t="s">
        <v>30</v>
      </c>
      <c r="E499">
        <v>1243</v>
      </c>
      <c r="F499">
        <v>916.45</v>
      </c>
      <c r="G499">
        <v>326.55</v>
      </c>
      <c r="H499">
        <v>35.630000000000003</v>
      </c>
      <c r="I499" t="s">
        <v>111</v>
      </c>
    </row>
    <row r="500" spans="1:9" x14ac:dyDescent="0.25">
      <c r="A500" s="1">
        <v>46154</v>
      </c>
      <c r="B500" t="s">
        <v>116</v>
      </c>
      <c r="C500" s="2" t="s">
        <v>249</v>
      </c>
      <c r="D500" t="s">
        <v>30</v>
      </c>
      <c r="E500">
        <v>1243</v>
      </c>
      <c r="F500">
        <v>916.45</v>
      </c>
      <c r="G500">
        <v>326.55</v>
      </c>
      <c r="H500">
        <v>35.630000000000003</v>
      </c>
      <c r="I500" t="s">
        <v>111</v>
      </c>
    </row>
    <row r="501" spans="1:9" x14ac:dyDescent="0.25">
      <c r="A501" s="1">
        <v>46154</v>
      </c>
      <c r="B501" t="s">
        <v>116</v>
      </c>
      <c r="C501" s="2" t="s">
        <v>250</v>
      </c>
      <c r="D501" t="s">
        <v>30</v>
      </c>
      <c r="E501">
        <v>1243</v>
      </c>
      <c r="F501">
        <v>1145.75</v>
      </c>
      <c r="G501">
        <v>97.25</v>
      </c>
      <c r="H501">
        <v>8.49</v>
      </c>
      <c r="I501" t="s">
        <v>111</v>
      </c>
    </row>
    <row r="502" spans="1:9" x14ac:dyDescent="0.25">
      <c r="A502" s="1">
        <v>46154</v>
      </c>
      <c r="B502" t="s">
        <v>116</v>
      </c>
      <c r="C502" s="2" t="s">
        <v>251</v>
      </c>
      <c r="D502" t="s">
        <v>30</v>
      </c>
      <c r="E502">
        <v>1243</v>
      </c>
      <c r="F502">
        <v>916.45</v>
      </c>
      <c r="G502">
        <v>326.55</v>
      </c>
      <c r="H502">
        <v>35.630000000000003</v>
      </c>
      <c r="I502" t="s">
        <v>111</v>
      </c>
    </row>
    <row r="503" spans="1:9" x14ac:dyDescent="0.25">
      <c r="A503" s="1">
        <v>46154</v>
      </c>
      <c r="B503" t="s">
        <v>116</v>
      </c>
      <c r="C503" s="2" t="s">
        <v>252</v>
      </c>
      <c r="D503" t="s">
        <v>30</v>
      </c>
      <c r="E503">
        <v>1243</v>
      </c>
      <c r="F503">
        <v>916.45</v>
      </c>
      <c r="G503">
        <v>326.55</v>
      </c>
      <c r="H503">
        <v>35.630000000000003</v>
      </c>
      <c r="I503" t="s">
        <v>111</v>
      </c>
    </row>
    <row r="504" spans="1:9" x14ac:dyDescent="0.25">
      <c r="A504" s="1">
        <v>46154</v>
      </c>
      <c r="B504" t="s">
        <v>116</v>
      </c>
      <c r="C504" s="2" t="s">
        <v>253</v>
      </c>
      <c r="D504" t="s">
        <v>30</v>
      </c>
      <c r="E504">
        <v>1250</v>
      </c>
      <c r="F504">
        <v>916.45</v>
      </c>
      <c r="G504">
        <v>333.55</v>
      </c>
      <c r="H504">
        <v>36.4</v>
      </c>
      <c r="I504" t="s">
        <v>111</v>
      </c>
    </row>
    <row r="505" spans="1:9" x14ac:dyDescent="0.25">
      <c r="A505" s="1">
        <v>46154</v>
      </c>
      <c r="B505" t="s">
        <v>116</v>
      </c>
      <c r="C505" s="2" t="s">
        <v>254</v>
      </c>
      <c r="D505" t="s">
        <v>30</v>
      </c>
      <c r="E505">
        <v>1243</v>
      </c>
      <c r="F505">
        <v>1008.35</v>
      </c>
      <c r="G505">
        <v>234.65</v>
      </c>
      <c r="H505">
        <v>23.27</v>
      </c>
      <c r="I505" t="s">
        <v>102</v>
      </c>
    </row>
    <row r="506" spans="1:9" x14ac:dyDescent="0.25">
      <c r="A506" s="1">
        <v>46154</v>
      </c>
      <c r="B506" t="s">
        <v>116</v>
      </c>
      <c r="C506" s="2" t="s">
        <v>255</v>
      </c>
      <c r="D506" t="s">
        <v>30</v>
      </c>
      <c r="E506">
        <v>1243</v>
      </c>
      <c r="F506">
        <v>1008.35</v>
      </c>
      <c r="G506">
        <v>234.65</v>
      </c>
      <c r="H506">
        <v>23.27</v>
      </c>
      <c r="I506" t="s">
        <v>102</v>
      </c>
    </row>
    <row r="507" spans="1:9" x14ac:dyDescent="0.25">
      <c r="A507" s="1">
        <v>46154</v>
      </c>
      <c r="B507" t="s">
        <v>116</v>
      </c>
      <c r="C507" s="2" t="s">
        <v>256</v>
      </c>
      <c r="D507" t="s">
        <v>30</v>
      </c>
      <c r="E507">
        <v>1243</v>
      </c>
      <c r="F507">
        <v>1008.35</v>
      </c>
      <c r="G507">
        <v>234.65</v>
      </c>
      <c r="H507">
        <v>23.27</v>
      </c>
      <c r="I507" t="s">
        <v>102</v>
      </c>
    </row>
    <row r="508" spans="1:9" x14ac:dyDescent="0.25">
      <c r="A508" s="1">
        <v>46154</v>
      </c>
      <c r="B508" t="s">
        <v>116</v>
      </c>
      <c r="C508" s="2" t="s">
        <v>257</v>
      </c>
      <c r="D508" t="s">
        <v>30</v>
      </c>
      <c r="E508">
        <v>1243</v>
      </c>
      <c r="F508">
        <v>1008.35</v>
      </c>
      <c r="G508">
        <v>234.65</v>
      </c>
      <c r="H508">
        <v>23.27</v>
      </c>
      <c r="I508" t="s">
        <v>102</v>
      </c>
    </row>
    <row r="509" spans="1:9" x14ac:dyDescent="0.25">
      <c r="A509" s="1">
        <v>46154</v>
      </c>
      <c r="B509" t="s">
        <v>116</v>
      </c>
      <c r="C509" s="2" t="s">
        <v>258</v>
      </c>
      <c r="D509" t="s">
        <v>30</v>
      </c>
      <c r="E509">
        <v>1243</v>
      </c>
      <c r="F509">
        <v>1010.5</v>
      </c>
      <c r="G509">
        <v>232.5</v>
      </c>
      <c r="H509">
        <v>23.01</v>
      </c>
      <c r="I509" t="s">
        <v>102</v>
      </c>
    </row>
    <row r="510" spans="1:9" x14ac:dyDescent="0.25">
      <c r="A510" s="1">
        <v>46154</v>
      </c>
      <c r="B510" t="s">
        <v>116</v>
      </c>
      <c r="C510" s="2" t="s">
        <v>259</v>
      </c>
      <c r="D510" t="s">
        <v>30</v>
      </c>
      <c r="E510">
        <v>1243</v>
      </c>
      <c r="F510">
        <v>1008.35</v>
      </c>
      <c r="G510">
        <v>234.65</v>
      </c>
      <c r="H510">
        <v>23.27</v>
      </c>
      <c r="I510" t="s">
        <v>102</v>
      </c>
    </row>
    <row r="511" spans="1:9" x14ac:dyDescent="0.25">
      <c r="A511" s="1">
        <v>46154</v>
      </c>
      <c r="B511" t="s">
        <v>116</v>
      </c>
      <c r="C511" s="2" t="s">
        <v>260</v>
      </c>
      <c r="D511" t="s">
        <v>30</v>
      </c>
      <c r="E511">
        <v>1243</v>
      </c>
      <c r="F511">
        <v>1010.5</v>
      </c>
      <c r="G511">
        <v>232.5</v>
      </c>
      <c r="H511">
        <v>23.01</v>
      </c>
      <c r="I511" t="s">
        <v>102</v>
      </c>
    </row>
    <row r="512" spans="1:9" x14ac:dyDescent="0.25">
      <c r="A512" s="1">
        <v>46154</v>
      </c>
      <c r="B512" t="s">
        <v>116</v>
      </c>
      <c r="C512" s="2" t="s">
        <v>261</v>
      </c>
      <c r="D512" t="s">
        <v>30</v>
      </c>
      <c r="E512">
        <v>1243</v>
      </c>
      <c r="F512">
        <v>1010.5</v>
      </c>
      <c r="G512">
        <v>232.5</v>
      </c>
      <c r="H512">
        <v>23.01</v>
      </c>
      <c r="I512" t="s">
        <v>102</v>
      </c>
    </row>
    <row r="513" spans="1:9" x14ac:dyDescent="0.25">
      <c r="A513" s="1">
        <v>46154</v>
      </c>
      <c r="B513" t="s">
        <v>116</v>
      </c>
      <c r="C513" s="2" t="s">
        <v>262</v>
      </c>
      <c r="D513" t="s">
        <v>30</v>
      </c>
      <c r="E513">
        <v>1243</v>
      </c>
      <c r="F513">
        <v>1010.5</v>
      </c>
      <c r="G513">
        <v>232.5</v>
      </c>
      <c r="H513">
        <v>23.01</v>
      </c>
      <c r="I513" t="s">
        <v>102</v>
      </c>
    </row>
    <row r="514" spans="1:9" x14ac:dyDescent="0.25">
      <c r="A514" s="1">
        <v>46154</v>
      </c>
      <c r="B514" t="s">
        <v>116</v>
      </c>
      <c r="C514" s="2" t="s">
        <v>263</v>
      </c>
      <c r="D514" t="s">
        <v>30</v>
      </c>
      <c r="E514">
        <v>1243</v>
      </c>
      <c r="F514">
        <v>1010.5</v>
      </c>
      <c r="G514">
        <v>232.5</v>
      </c>
      <c r="H514">
        <v>23.01</v>
      </c>
      <c r="I514" t="s">
        <v>102</v>
      </c>
    </row>
    <row r="515" spans="1:9" x14ac:dyDescent="0.25">
      <c r="A515" s="1">
        <v>46154</v>
      </c>
      <c r="B515" t="s">
        <v>116</v>
      </c>
      <c r="C515" s="2" t="s">
        <v>264</v>
      </c>
      <c r="D515" t="s">
        <v>30</v>
      </c>
      <c r="E515">
        <v>1243</v>
      </c>
      <c r="F515">
        <v>916.45</v>
      </c>
      <c r="G515">
        <v>326.55</v>
      </c>
      <c r="H515">
        <v>35.630000000000003</v>
      </c>
      <c r="I515" t="s">
        <v>111</v>
      </c>
    </row>
    <row r="516" spans="1:9" x14ac:dyDescent="0.25">
      <c r="A516" s="1">
        <v>46154</v>
      </c>
      <c r="B516" t="s">
        <v>116</v>
      </c>
      <c r="C516" s="2" t="s">
        <v>265</v>
      </c>
      <c r="D516" t="s">
        <v>30</v>
      </c>
      <c r="E516">
        <v>1243</v>
      </c>
      <c r="F516">
        <v>1155.93</v>
      </c>
      <c r="G516">
        <v>87.07</v>
      </c>
      <c r="H516">
        <v>7.53</v>
      </c>
      <c r="I516" t="s">
        <v>111</v>
      </c>
    </row>
    <row r="517" spans="1:9" x14ac:dyDescent="0.25">
      <c r="A517" s="1">
        <v>46154</v>
      </c>
      <c r="B517" t="s">
        <v>116</v>
      </c>
      <c r="C517" s="2" t="s">
        <v>266</v>
      </c>
      <c r="D517" t="s">
        <v>30</v>
      </c>
      <c r="E517">
        <v>1243</v>
      </c>
      <c r="F517">
        <v>1145.75</v>
      </c>
      <c r="G517">
        <v>97.25</v>
      </c>
      <c r="H517">
        <v>8.49</v>
      </c>
      <c r="I517" t="s">
        <v>111</v>
      </c>
    </row>
    <row r="518" spans="1:9" x14ac:dyDescent="0.25">
      <c r="A518" s="1">
        <v>46154</v>
      </c>
      <c r="B518" t="s">
        <v>116</v>
      </c>
      <c r="C518" s="2" t="s">
        <v>267</v>
      </c>
      <c r="D518" t="s">
        <v>30</v>
      </c>
      <c r="E518">
        <v>1243</v>
      </c>
      <c r="F518">
        <v>916.45</v>
      </c>
      <c r="G518">
        <v>326.55</v>
      </c>
      <c r="H518">
        <v>35.630000000000003</v>
      </c>
      <c r="I518" t="s">
        <v>111</v>
      </c>
    </row>
    <row r="519" spans="1:9" x14ac:dyDescent="0.25">
      <c r="A519" s="1">
        <v>46154</v>
      </c>
      <c r="B519" t="s">
        <v>116</v>
      </c>
      <c r="C519" s="2" t="s">
        <v>268</v>
      </c>
      <c r="D519" t="s">
        <v>30</v>
      </c>
      <c r="E519">
        <v>1243</v>
      </c>
      <c r="F519">
        <v>916.45</v>
      </c>
      <c r="G519">
        <v>326.55</v>
      </c>
      <c r="H519">
        <v>35.630000000000003</v>
      </c>
      <c r="I519" t="s">
        <v>111</v>
      </c>
    </row>
    <row r="520" spans="1:9" x14ac:dyDescent="0.25">
      <c r="A520" s="1">
        <v>46154</v>
      </c>
      <c r="B520" t="s">
        <v>116</v>
      </c>
      <c r="C520" s="2" t="s">
        <v>269</v>
      </c>
      <c r="D520" t="s">
        <v>30</v>
      </c>
      <c r="E520">
        <v>1243</v>
      </c>
      <c r="F520">
        <v>1145.75</v>
      </c>
      <c r="G520">
        <v>97.25</v>
      </c>
      <c r="H520">
        <v>8.49</v>
      </c>
      <c r="I520" t="s">
        <v>111</v>
      </c>
    </row>
    <row r="521" spans="1:9" x14ac:dyDescent="0.25">
      <c r="A521" s="1">
        <v>46155</v>
      </c>
      <c r="B521" t="s">
        <v>270</v>
      </c>
      <c r="C521" s="2" t="s">
        <v>271</v>
      </c>
      <c r="E521">
        <v>2500</v>
      </c>
      <c r="F521">
        <v>2492.75</v>
      </c>
      <c r="G521">
        <v>7.25</v>
      </c>
      <c r="H521">
        <v>0.28999999999999998</v>
      </c>
      <c r="I521" t="s">
        <v>272</v>
      </c>
    </row>
    <row r="522" spans="1:9" x14ac:dyDescent="0.25">
      <c r="A522" s="1">
        <v>46155</v>
      </c>
      <c r="B522" t="s">
        <v>273</v>
      </c>
      <c r="C522" s="2" t="s">
        <v>274</v>
      </c>
      <c r="D522" t="s">
        <v>34</v>
      </c>
      <c r="E522">
        <v>1120</v>
      </c>
      <c r="F522">
        <v>1017.45</v>
      </c>
      <c r="G522">
        <v>102.55</v>
      </c>
      <c r="H522">
        <v>10.08</v>
      </c>
      <c r="I522" t="s">
        <v>18</v>
      </c>
    </row>
    <row r="523" spans="1:9" x14ac:dyDescent="0.25">
      <c r="A523" s="1">
        <v>46155</v>
      </c>
      <c r="B523" t="s">
        <v>275</v>
      </c>
      <c r="C523" s="2">
        <v>357879853765416</v>
      </c>
      <c r="D523" t="s">
        <v>30</v>
      </c>
      <c r="E523">
        <v>2000</v>
      </c>
      <c r="F523">
        <v>1713.6</v>
      </c>
      <c r="G523">
        <v>286.39999999999998</v>
      </c>
      <c r="H523">
        <v>16.71</v>
      </c>
      <c r="I523" t="s">
        <v>18</v>
      </c>
    </row>
    <row r="524" spans="1:9" x14ac:dyDescent="0.25">
      <c r="A524" s="1">
        <v>46155</v>
      </c>
      <c r="B524" t="s">
        <v>275</v>
      </c>
      <c r="C524" s="2">
        <v>357879853903678</v>
      </c>
      <c r="D524" t="s">
        <v>30</v>
      </c>
      <c r="E524">
        <v>2000</v>
      </c>
      <c r="F524">
        <v>1713.6</v>
      </c>
      <c r="G524">
        <v>286.39999999999998</v>
      </c>
      <c r="H524">
        <v>16.71</v>
      </c>
      <c r="I524" t="s">
        <v>18</v>
      </c>
    </row>
    <row r="525" spans="1:9" x14ac:dyDescent="0.25">
      <c r="A525" s="1">
        <v>46155</v>
      </c>
      <c r="B525" t="s">
        <v>276</v>
      </c>
      <c r="C525" s="2">
        <v>350094263789470</v>
      </c>
      <c r="D525" t="s">
        <v>277</v>
      </c>
      <c r="E525">
        <v>1280</v>
      </c>
      <c r="F525">
        <v>1017.45</v>
      </c>
      <c r="G525">
        <v>262.55</v>
      </c>
      <c r="H525">
        <v>25.8</v>
      </c>
      <c r="I525" t="s">
        <v>18</v>
      </c>
    </row>
    <row r="526" spans="1:9" x14ac:dyDescent="0.25">
      <c r="A526" s="1">
        <v>46155</v>
      </c>
      <c r="B526" t="s">
        <v>276</v>
      </c>
      <c r="C526" s="2">
        <v>357585652192856</v>
      </c>
      <c r="D526" t="s">
        <v>277</v>
      </c>
      <c r="E526">
        <v>1280</v>
      </c>
      <c r="F526">
        <v>1017.45</v>
      </c>
      <c r="G526">
        <v>262.55</v>
      </c>
      <c r="H526">
        <v>25.8</v>
      </c>
      <c r="I526" t="s">
        <v>18</v>
      </c>
    </row>
    <row r="527" spans="1:9" x14ac:dyDescent="0.25">
      <c r="A527" s="1">
        <v>46155</v>
      </c>
      <c r="B527" t="s">
        <v>276</v>
      </c>
      <c r="C527" s="2">
        <v>357585655786662</v>
      </c>
      <c r="D527" t="s">
        <v>278</v>
      </c>
      <c r="E527">
        <v>1100</v>
      </c>
      <c r="F527">
        <v>930</v>
      </c>
      <c r="G527">
        <v>170</v>
      </c>
      <c r="H527">
        <v>18.28</v>
      </c>
      <c r="I527" t="s">
        <v>36</v>
      </c>
    </row>
    <row r="528" spans="1:9" x14ac:dyDescent="0.25">
      <c r="A528" s="1">
        <v>46155</v>
      </c>
      <c r="B528" t="s">
        <v>279</v>
      </c>
      <c r="C528" s="2" t="s">
        <v>280</v>
      </c>
      <c r="D528" t="s">
        <v>21</v>
      </c>
      <c r="E528">
        <v>2350</v>
      </c>
      <c r="F528">
        <v>2142</v>
      </c>
      <c r="G528">
        <v>208</v>
      </c>
      <c r="H528">
        <v>9.7100000000000009</v>
      </c>
      <c r="I528" t="s">
        <v>18</v>
      </c>
    </row>
    <row r="529" spans="1:10" x14ac:dyDescent="0.25">
      <c r="A529" s="1">
        <v>46155</v>
      </c>
      <c r="B529" t="s">
        <v>281</v>
      </c>
      <c r="C529" s="2">
        <v>352255850784186</v>
      </c>
      <c r="D529" t="s">
        <v>21</v>
      </c>
      <c r="E529">
        <v>2850</v>
      </c>
      <c r="F529">
        <v>2570.4</v>
      </c>
      <c r="G529">
        <v>279.60000000000002</v>
      </c>
      <c r="H529">
        <v>10.88</v>
      </c>
      <c r="I529" t="s">
        <v>18</v>
      </c>
    </row>
    <row r="530" spans="1:10" x14ac:dyDescent="0.25">
      <c r="A530" s="1">
        <v>46155</v>
      </c>
      <c r="B530" t="s">
        <v>281</v>
      </c>
      <c r="C530" s="2">
        <v>352255851601140</v>
      </c>
      <c r="D530" t="s">
        <v>278</v>
      </c>
      <c r="E530">
        <v>2450</v>
      </c>
      <c r="F530">
        <v>2320.5</v>
      </c>
      <c r="G530">
        <v>129.5</v>
      </c>
      <c r="H530">
        <v>5.58</v>
      </c>
      <c r="I530" t="s">
        <v>18</v>
      </c>
    </row>
    <row r="531" spans="1:10" x14ac:dyDescent="0.25">
      <c r="A531" s="1">
        <v>46155</v>
      </c>
      <c r="B531" t="s">
        <v>281</v>
      </c>
      <c r="C531" s="2">
        <v>352255852418742</v>
      </c>
      <c r="D531" t="s">
        <v>282</v>
      </c>
      <c r="E531">
        <v>2450</v>
      </c>
      <c r="F531">
        <v>2320.5</v>
      </c>
      <c r="G531">
        <v>129.5</v>
      </c>
      <c r="H531">
        <v>5.58</v>
      </c>
      <c r="I531" t="s">
        <v>18</v>
      </c>
    </row>
    <row r="532" spans="1:10" x14ac:dyDescent="0.25">
      <c r="A532" s="1">
        <v>46155</v>
      </c>
      <c r="B532" t="s">
        <v>283</v>
      </c>
      <c r="C532" s="2">
        <v>358112933029903</v>
      </c>
      <c r="D532" t="s">
        <v>284</v>
      </c>
      <c r="E532">
        <v>3120</v>
      </c>
      <c r="F532">
        <v>3165</v>
      </c>
      <c r="G532">
        <v>-45</v>
      </c>
      <c r="H532">
        <v>-1.42</v>
      </c>
      <c r="I532" t="s">
        <v>36</v>
      </c>
      <c r="J532" t="s">
        <v>26</v>
      </c>
    </row>
    <row r="533" spans="1:10" x14ac:dyDescent="0.25">
      <c r="A533" s="1">
        <v>46155</v>
      </c>
      <c r="B533" t="s">
        <v>283</v>
      </c>
      <c r="C533" s="2">
        <v>358112933195803</v>
      </c>
      <c r="D533" t="s">
        <v>110</v>
      </c>
      <c r="E533">
        <v>3550</v>
      </c>
      <c r="F533">
        <v>3355.8</v>
      </c>
      <c r="G533">
        <v>194.2</v>
      </c>
      <c r="H533">
        <v>5.79</v>
      </c>
      <c r="I533" t="s">
        <v>18</v>
      </c>
    </row>
    <row r="534" spans="1:10" x14ac:dyDescent="0.25">
      <c r="A534" s="1">
        <v>46155</v>
      </c>
      <c r="B534" t="s">
        <v>283</v>
      </c>
      <c r="C534" s="2">
        <v>358112933315757</v>
      </c>
      <c r="D534" t="s">
        <v>285</v>
      </c>
      <c r="E534">
        <v>3120</v>
      </c>
      <c r="F534">
        <v>2927.4</v>
      </c>
      <c r="G534">
        <v>192.6</v>
      </c>
      <c r="H534">
        <v>6.58</v>
      </c>
      <c r="I534" t="s">
        <v>18</v>
      </c>
    </row>
    <row r="535" spans="1:10" x14ac:dyDescent="0.25">
      <c r="A535" s="1">
        <v>46155</v>
      </c>
      <c r="B535" t="s">
        <v>283</v>
      </c>
      <c r="C535" s="2">
        <v>358112933674385</v>
      </c>
      <c r="D535" t="s">
        <v>285</v>
      </c>
      <c r="E535">
        <v>3120</v>
      </c>
      <c r="F535">
        <v>2927.4</v>
      </c>
      <c r="G535">
        <v>192.6</v>
      </c>
      <c r="H535">
        <v>6.58</v>
      </c>
      <c r="I535" t="s">
        <v>18</v>
      </c>
    </row>
    <row r="536" spans="1:10" x14ac:dyDescent="0.25">
      <c r="A536" s="1">
        <v>46155</v>
      </c>
      <c r="B536" t="s">
        <v>283</v>
      </c>
      <c r="C536" s="2">
        <v>358112934612863</v>
      </c>
      <c r="D536" t="s">
        <v>110</v>
      </c>
      <c r="E536">
        <v>3550</v>
      </c>
      <c r="F536">
        <v>3355.8</v>
      </c>
      <c r="G536">
        <v>194.2</v>
      </c>
      <c r="H536">
        <v>5.79</v>
      </c>
      <c r="I536" t="s">
        <v>18</v>
      </c>
    </row>
    <row r="537" spans="1:10" x14ac:dyDescent="0.25">
      <c r="A537" s="1">
        <v>46155</v>
      </c>
      <c r="B537" t="s">
        <v>286</v>
      </c>
      <c r="C537" s="2">
        <v>352355706556117</v>
      </c>
      <c r="D537" t="s">
        <v>110</v>
      </c>
      <c r="E537">
        <v>3900</v>
      </c>
      <c r="F537">
        <v>3677.1</v>
      </c>
      <c r="G537">
        <v>222.9</v>
      </c>
      <c r="H537">
        <v>6.06</v>
      </c>
      <c r="I537" t="s">
        <v>18</v>
      </c>
    </row>
    <row r="538" spans="1:10" x14ac:dyDescent="0.25">
      <c r="A538" s="1">
        <v>46155</v>
      </c>
      <c r="B538" t="s">
        <v>286</v>
      </c>
      <c r="C538" s="2" t="s">
        <v>287</v>
      </c>
      <c r="D538" t="s">
        <v>110</v>
      </c>
      <c r="E538">
        <v>3690</v>
      </c>
      <c r="F538">
        <v>3570</v>
      </c>
      <c r="G538">
        <v>120</v>
      </c>
      <c r="H538">
        <v>3.36</v>
      </c>
      <c r="I538" t="s">
        <v>18</v>
      </c>
    </row>
    <row r="539" spans="1:10" x14ac:dyDescent="0.25">
      <c r="A539" s="1">
        <v>46155</v>
      </c>
      <c r="B539" t="s">
        <v>286</v>
      </c>
      <c r="C539" s="2" t="s">
        <v>288</v>
      </c>
      <c r="D539" t="s">
        <v>110</v>
      </c>
      <c r="E539">
        <v>3690</v>
      </c>
      <c r="F539">
        <v>3570</v>
      </c>
      <c r="G539">
        <v>120</v>
      </c>
      <c r="H539">
        <v>3.36</v>
      </c>
      <c r="I539" t="s">
        <v>18</v>
      </c>
    </row>
    <row r="540" spans="1:10" x14ac:dyDescent="0.25">
      <c r="A540" s="1">
        <v>46155</v>
      </c>
      <c r="B540" t="s">
        <v>286</v>
      </c>
      <c r="C540" s="2" t="s">
        <v>289</v>
      </c>
      <c r="D540" t="s">
        <v>110</v>
      </c>
      <c r="E540">
        <v>3690</v>
      </c>
      <c r="F540">
        <v>3570</v>
      </c>
      <c r="G540">
        <v>120</v>
      </c>
      <c r="H540">
        <v>3.36</v>
      </c>
      <c r="I540" t="s">
        <v>18</v>
      </c>
    </row>
    <row r="541" spans="1:10" x14ac:dyDescent="0.25">
      <c r="A541" s="1">
        <v>46155</v>
      </c>
      <c r="B541" t="s">
        <v>286</v>
      </c>
      <c r="C541" s="2" t="s">
        <v>290</v>
      </c>
      <c r="D541" t="s">
        <v>110</v>
      </c>
      <c r="E541">
        <v>3690</v>
      </c>
      <c r="F541">
        <v>3570</v>
      </c>
      <c r="G541">
        <v>120</v>
      </c>
      <c r="H541">
        <v>3.36</v>
      </c>
      <c r="I541" t="s">
        <v>18</v>
      </c>
    </row>
    <row r="542" spans="1:10" x14ac:dyDescent="0.25">
      <c r="A542" s="1">
        <v>46155</v>
      </c>
      <c r="B542" t="s">
        <v>286</v>
      </c>
      <c r="C542" s="2" t="s">
        <v>291</v>
      </c>
      <c r="D542" t="s">
        <v>110</v>
      </c>
      <c r="E542">
        <v>3690</v>
      </c>
      <c r="F542">
        <v>3570</v>
      </c>
      <c r="G542">
        <v>120</v>
      </c>
      <c r="H542">
        <v>3.36</v>
      </c>
      <c r="I542" t="s">
        <v>18</v>
      </c>
    </row>
    <row r="543" spans="1:10" x14ac:dyDescent="0.25">
      <c r="A543" s="1">
        <v>46155</v>
      </c>
      <c r="B543" t="s">
        <v>286</v>
      </c>
      <c r="C543" s="2" t="s">
        <v>292</v>
      </c>
      <c r="D543" t="s">
        <v>110</v>
      </c>
      <c r="E543">
        <v>3690</v>
      </c>
      <c r="F543">
        <v>3570</v>
      </c>
      <c r="G543">
        <v>120</v>
      </c>
      <c r="H543">
        <v>3.36</v>
      </c>
      <c r="I543" t="s">
        <v>18</v>
      </c>
    </row>
    <row r="544" spans="1:10" x14ac:dyDescent="0.25">
      <c r="A544" s="1">
        <v>46155</v>
      </c>
      <c r="B544" t="s">
        <v>286</v>
      </c>
      <c r="C544" s="2" t="s">
        <v>293</v>
      </c>
      <c r="D544" t="s">
        <v>34</v>
      </c>
      <c r="E544">
        <v>3690</v>
      </c>
      <c r="F544">
        <v>3570</v>
      </c>
      <c r="G544">
        <v>120</v>
      </c>
      <c r="H544">
        <v>3.36</v>
      </c>
      <c r="I544" t="s">
        <v>18</v>
      </c>
    </row>
    <row r="545" spans="1:10" x14ac:dyDescent="0.25">
      <c r="A545" s="1">
        <v>46155</v>
      </c>
      <c r="B545" t="s">
        <v>286</v>
      </c>
      <c r="C545" s="2" t="s">
        <v>294</v>
      </c>
      <c r="D545" t="s">
        <v>110</v>
      </c>
      <c r="E545">
        <v>3690</v>
      </c>
      <c r="F545">
        <v>3570</v>
      </c>
      <c r="G545">
        <v>120</v>
      </c>
      <c r="H545">
        <v>3.36</v>
      </c>
      <c r="I545" t="s">
        <v>18</v>
      </c>
    </row>
    <row r="546" spans="1:10" x14ac:dyDescent="0.25">
      <c r="A546" s="1">
        <v>46155</v>
      </c>
      <c r="B546" t="s">
        <v>286</v>
      </c>
      <c r="C546" s="2" t="s">
        <v>295</v>
      </c>
      <c r="D546" t="s">
        <v>110</v>
      </c>
      <c r="E546">
        <v>3690</v>
      </c>
      <c r="F546">
        <v>3570</v>
      </c>
      <c r="G546">
        <v>120</v>
      </c>
      <c r="H546">
        <v>3.36</v>
      </c>
      <c r="I546" t="s">
        <v>18</v>
      </c>
    </row>
    <row r="547" spans="1:10" x14ac:dyDescent="0.25">
      <c r="A547" s="1">
        <v>46155</v>
      </c>
      <c r="B547" t="s">
        <v>286</v>
      </c>
      <c r="C547" s="2" t="s">
        <v>296</v>
      </c>
      <c r="D547" t="s">
        <v>110</v>
      </c>
      <c r="E547">
        <v>3690</v>
      </c>
      <c r="F547">
        <v>3570</v>
      </c>
      <c r="G547">
        <v>120</v>
      </c>
      <c r="H547">
        <v>3.36</v>
      </c>
      <c r="I547" t="s">
        <v>18</v>
      </c>
    </row>
    <row r="548" spans="1:10" x14ac:dyDescent="0.25">
      <c r="A548" s="1">
        <v>46155</v>
      </c>
      <c r="B548" t="s">
        <v>286</v>
      </c>
      <c r="C548" s="2" t="s">
        <v>297</v>
      </c>
      <c r="D548" t="s">
        <v>34</v>
      </c>
      <c r="E548">
        <v>3690</v>
      </c>
      <c r="F548">
        <v>3570</v>
      </c>
      <c r="G548">
        <v>120</v>
      </c>
      <c r="H548">
        <v>3.36</v>
      </c>
      <c r="I548" t="s">
        <v>18</v>
      </c>
    </row>
    <row r="549" spans="1:10" x14ac:dyDescent="0.25">
      <c r="A549" s="1">
        <v>46155</v>
      </c>
      <c r="B549" t="s">
        <v>286</v>
      </c>
      <c r="C549" s="2" t="s">
        <v>298</v>
      </c>
      <c r="D549" t="s">
        <v>110</v>
      </c>
      <c r="E549">
        <v>3690</v>
      </c>
      <c r="F549">
        <v>3570</v>
      </c>
      <c r="G549">
        <v>120</v>
      </c>
      <c r="H549">
        <v>3.36</v>
      </c>
      <c r="I549" t="s">
        <v>18</v>
      </c>
    </row>
    <row r="550" spans="1:10" x14ac:dyDescent="0.25">
      <c r="A550" s="1">
        <v>46155</v>
      </c>
      <c r="B550" t="s">
        <v>286</v>
      </c>
      <c r="C550" s="2" t="s">
        <v>299</v>
      </c>
      <c r="D550" t="s">
        <v>110</v>
      </c>
      <c r="E550">
        <v>3690</v>
      </c>
      <c r="F550">
        <v>3570</v>
      </c>
      <c r="G550">
        <v>120</v>
      </c>
      <c r="H550">
        <v>3.36</v>
      </c>
      <c r="I550" t="s">
        <v>18</v>
      </c>
    </row>
    <row r="551" spans="1:10" x14ac:dyDescent="0.25">
      <c r="A551" s="1">
        <v>46155</v>
      </c>
      <c r="B551" t="s">
        <v>286</v>
      </c>
      <c r="C551" s="2" t="s">
        <v>300</v>
      </c>
      <c r="D551" t="s">
        <v>34</v>
      </c>
      <c r="E551">
        <v>3690</v>
      </c>
      <c r="F551">
        <v>3570</v>
      </c>
      <c r="G551">
        <v>120</v>
      </c>
      <c r="H551">
        <v>3.36</v>
      </c>
      <c r="I551" t="s">
        <v>18</v>
      </c>
    </row>
    <row r="552" spans="1:10" x14ac:dyDescent="0.25">
      <c r="A552" s="1">
        <v>46155</v>
      </c>
      <c r="B552" t="s">
        <v>301</v>
      </c>
      <c r="C552" s="2" t="s">
        <v>302</v>
      </c>
      <c r="D552" t="s">
        <v>34</v>
      </c>
      <c r="E552">
        <v>4680</v>
      </c>
      <c r="F552">
        <v>4426.8</v>
      </c>
      <c r="G552">
        <v>253.2</v>
      </c>
      <c r="H552">
        <v>5.72</v>
      </c>
      <c r="I552" t="s">
        <v>18</v>
      </c>
    </row>
    <row r="553" spans="1:10" x14ac:dyDescent="0.25">
      <c r="A553" s="1">
        <v>46155</v>
      </c>
      <c r="B553" t="s">
        <v>301</v>
      </c>
      <c r="C553" s="2" t="s">
        <v>303</v>
      </c>
      <c r="D553" t="s">
        <v>34</v>
      </c>
      <c r="E553">
        <v>4680</v>
      </c>
      <c r="F553">
        <v>4426.8</v>
      </c>
      <c r="G553">
        <v>253.2</v>
      </c>
      <c r="H553">
        <v>5.72</v>
      </c>
      <c r="I553" t="s">
        <v>18</v>
      </c>
    </row>
    <row r="554" spans="1:10" x14ac:dyDescent="0.25">
      <c r="A554" s="1">
        <v>46155</v>
      </c>
      <c r="B554" t="s">
        <v>304</v>
      </c>
      <c r="C554" s="2">
        <v>352355700129150</v>
      </c>
      <c r="E554">
        <v>3800</v>
      </c>
      <c r="F554">
        <v>3800</v>
      </c>
      <c r="G554">
        <v>0</v>
      </c>
      <c r="H554">
        <v>0</v>
      </c>
      <c r="I554" t="s">
        <v>36</v>
      </c>
    </row>
    <row r="555" spans="1:10" x14ac:dyDescent="0.25">
      <c r="A555" s="1">
        <v>46155</v>
      </c>
      <c r="B555" t="s">
        <v>304</v>
      </c>
      <c r="C555" s="2">
        <v>352355700624697</v>
      </c>
      <c r="D555" t="s">
        <v>110</v>
      </c>
      <c r="E555">
        <v>3900</v>
      </c>
      <c r="F555">
        <v>3677.1</v>
      </c>
      <c r="G555">
        <v>222.9</v>
      </c>
      <c r="H555">
        <v>6.06</v>
      </c>
      <c r="I555" t="s">
        <v>18</v>
      </c>
    </row>
    <row r="556" spans="1:10" x14ac:dyDescent="0.25">
      <c r="A556" s="1">
        <v>46155</v>
      </c>
      <c r="B556" t="s">
        <v>304</v>
      </c>
      <c r="C556" s="2">
        <v>352355701064042</v>
      </c>
      <c r="D556" t="s">
        <v>110</v>
      </c>
      <c r="E556">
        <v>3900</v>
      </c>
      <c r="F556">
        <v>3677.09</v>
      </c>
      <c r="G556">
        <v>222.91</v>
      </c>
      <c r="H556">
        <v>6.06</v>
      </c>
      <c r="I556" t="s">
        <v>18</v>
      </c>
    </row>
    <row r="557" spans="1:10" x14ac:dyDescent="0.25">
      <c r="A557" s="1">
        <v>46155</v>
      </c>
      <c r="B557" t="s">
        <v>304</v>
      </c>
      <c r="C557" s="2">
        <v>352355702341779</v>
      </c>
      <c r="D557" t="s">
        <v>285</v>
      </c>
      <c r="E557">
        <v>3600</v>
      </c>
      <c r="F557">
        <v>3391.5</v>
      </c>
      <c r="G557">
        <v>208.5</v>
      </c>
      <c r="H557">
        <v>6.15</v>
      </c>
      <c r="I557" t="s">
        <v>18</v>
      </c>
    </row>
    <row r="558" spans="1:10" x14ac:dyDescent="0.25">
      <c r="A558" s="1">
        <v>46155</v>
      </c>
      <c r="B558" t="s">
        <v>304</v>
      </c>
      <c r="C558" s="2">
        <v>352355702450729</v>
      </c>
      <c r="D558" t="s">
        <v>110</v>
      </c>
      <c r="E558">
        <v>3900</v>
      </c>
      <c r="F558">
        <v>3677.1</v>
      </c>
      <c r="G558">
        <v>222.9</v>
      </c>
      <c r="H558">
        <v>6.06</v>
      </c>
      <c r="I558" t="s">
        <v>18</v>
      </c>
    </row>
    <row r="559" spans="1:10" x14ac:dyDescent="0.25">
      <c r="A559" s="1">
        <v>46155</v>
      </c>
      <c r="B559" t="s">
        <v>304</v>
      </c>
      <c r="C559" s="2">
        <v>352355702872138</v>
      </c>
      <c r="D559" t="s">
        <v>305</v>
      </c>
      <c r="E559">
        <v>3800</v>
      </c>
      <c r="F559">
        <v>3850</v>
      </c>
      <c r="G559">
        <v>-50</v>
      </c>
      <c r="H559">
        <v>-1.3</v>
      </c>
      <c r="I559" t="s">
        <v>36</v>
      </c>
      <c r="J559" t="s">
        <v>26</v>
      </c>
    </row>
    <row r="560" spans="1:10" x14ac:dyDescent="0.25">
      <c r="A560" s="1">
        <v>46155</v>
      </c>
      <c r="B560" t="s">
        <v>304</v>
      </c>
      <c r="C560" s="2">
        <v>352355703561342</v>
      </c>
      <c r="D560" t="s">
        <v>285</v>
      </c>
      <c r="E560">
        <v>3600</v>
      </c>
      <c r="F560">
        <v>3498.6</v>
      </c>
      <c r="G560">
        <v>101.4</v>
      </c>
      <c r="H560">
        <v>2.9</v>
      </c>
      <c r="I560" t="s">
        <v>18</v>
      </c>
    </row>
    <row r="561" spans="1:10" x14ac:dyDescent="0.25">
      <c r="A561" s="1">
        <v>46155</v>
      </c>
      <c r="B561" t="s">
        <v>304</v>
      </c>
      <c r="C561" s="2">
        <v>352355705295931</v>
      </c>
      <c r="D561" t="s">
        <v>110</v>
      </c>
      <c r="E561">
        <v>3900</v>
      </c>
      <c r="F561">
        <v>3677.1</v>
      </c>
      <c r="G561">
        <v>222.9</v>
      </c>
      <c r="H561">
        <v>6.06</v>
      </c>
      <c r="I561" t="s">
        <v>18</v>
      </c>
    </row>
    <row r="562" spans="1:10" x14ac:dyDescent="0.25">
      <c r="A562" s="1">
        <v>46155</v>
      </c>
      <c r="B562" t="s">
        <v>304</v>
      </c>
      <c r="C562" s="2">
        <v>352355705337196</v>
      </c>
      <c r="D562" t="s">
        <v>110</v>
      </c>
      <c r="E562">
        <v>3600</v>
      </c>
      <c r="F562">
        <v>3677.1</v>
      </c>
      <c r="G562">
        <v>-77.099999999999994</v>
      </c>
      <c r="H562">
        <v>-2.1</v>
      </c>
      <c r="I562" t="s">
        <v>18</v>
      </c>
      <c r="J562" t="s">
        <v>26</v>
      </c>
    </row>
    <row r="563" spans="1:10" x14ac:dyDescent="0.25">
      <c r="A563" s="1">
        <v>46155</v>
      </c>
      <c r="B563" t="s">
        <v>304</v>
      </c>
      <c r="C563" s="2">
        <v>352355705514554</v>
      </c>
      <c r="D563" t="s">
        <v>285</v>
      </c>
      <c r="E563">
        <v>3600</v>
      </c>
      <c r="F563">
        <v>3498.6</v>
      </c>
      <c r="G563">
        <v>101.4</v>
      </c>
      <c r="H563">
        <v>2.9</v>
      </c>
      <c r="I563" t="s">
        <v>18</v>
      </c>
    </row>
    <row r="564" spans="1:10" x14ac:dyDescent="0.25">
      <c r="A564" s="1">
        <v>46155</v>
      </c>
      <c r="B564" t="s">
        <v>304</v>
      </c>
      <c r="C564" s="2">
        <v>352355706086990</v>
      </c>
      <c r="D564" t="s">
        <v>34</v>
      </c>
      <c r="E564">
        <v>3900</v>
      </c>
      <c r="F564">
        <v>3677.09</v>
      </c>
      <c r="G564">
        <v>222.91</v>
      </c>
      <c r="H564">
        <v>6.06</v>
      </c>
      <c r="I564" t="s">
        <v>18</v>
      </c>
    </row>
    <row r="565" spans="1:10" x14ac:dyDescent="0.25">
      <c r="A565" s="1">
        <v>46155</v>
      </c>
      <c r="B565" t="s">
        <v>304</v>
      </c>
      <c r="C565" s="2">
        <v>352355706300888</v>
      </c>
      <c r="E565">
        <v>3800</v>
      </c>
      <c r="F565">
        <v>3800</v>
      </c>
      <c r="G565">
        <v>0</v>
      </c>
      <c r="H565">
        <v>0</v>
      </c>
      <c r="I565" t="s">
        <v>36</v>
      </c>
    </row>
    <row r="566" spans="1:10" x14ac:dyDescent="0.25">
      <c r="A566" s="1">
        <v>46155</v>
      </c>
      <c r="B566" t="s">
        <v>304</v>
      </c>
      <c r="C566" s="2">
        <v>352355707110757</v>
      </c>
      <c r="D566" t="s">
        <v>306</v>
      </c>
      <c r="E566">
        <v>3800</v>
      </c>
      <c r="F566">
        <v>3498.6</v>
      </c>
      <c r="G566">
        <v>301.39999999999998</v>
      </c>
      <c r="H566">
        <v>8.61</v>
      </c>
      <c r="I566" t="s">
        <v>18</v>
      </c>
    </row>
    <row r="567" spans="1:10" x14ac:dyDescent="0.25">
      <c r="A567" s="1">
        <v>46155</v>
      </c>
      <c r="B567" t="s">
        <v>304</v>
      </c>
      <c r="C567" s="2">
        <v>352355707695203</v>
      </c>
      <c r="D567" t="s">
        <v>307</v>
      </c>
      <c r="E567">
        <v>3800</v>
      </c>
      <c r="F567">
        <v>3850</v>
      </c>
      <c r="G567">
        <v>-50</v>
      </c>
      <c r="H567">
        <v>-1.3</v>
      </c>
      <c r="I567" t="s">
        <v>36</v>
      </c>
      <c r="J567" t="s">
        <v>26</v>
      </c>
    </row>
    <row r="568" spans="1:10" x14ac:dyDescent="0.25">
      <c r="A568" s="1">
        <v>46155</v>
      </c>
      <c r="B568" t="s">
        <v>304</v>
      </c>
      <c r="C568" s="2">
        <v>352355707751782</v>
      </c>
      <c r="D568" t="s">
        <v>110</v>
      </c>
      <c r="E568">
        <v>3900</v>
      </c>
      <c r="F568">
        <v>3800</v>
      </c>
      <c r="G568">
        <v>100</v>
      </c>
      <c r="H568">
        <v>2.63</v>
      </c>
      <c r="I568" t="s">
        <v>36</v>
      </c>
    </row>
    <row r="569" spans="1:10" x14ac:dyDescent="0.25">
      <c r="A569" s="1">
        <v>46155</v>
      </c>
      <c r="B569" t="s">
        <v>304</v>
      </c>
      <c r="C569" s="2">
        <v>352355708798048</v>
      </c>
      <c r="D569" t="s">
        <v>110</v>
      </c>
      <c r="E569">
        <v>3900</v>
      </c>
      <c r="F569">
        <v>3677.09</v>
      </c>
      <c r="G569">
        <v>222.91</v>
      </c>
      <c r="H569">
        <v>6.06</v>
      </c>
      <c r="I569" t="s">
        <v>18</v>
      </c>
    </row>
    <row r="570" spans="1:10" x14ac:dyDescent="0.25">
      <c r="A570" s="1">
        <v>46155</v>
      </c>
      <c r="B570" t="s">
        <v>304</v>
      </c>
      <c r="C570" s="2">
        <v>352355709551396</v>
      </c>
      <c r="D570" t="s">
        <v>284</v>
      </c>
      <c r="E570">
        <v>3900</v>
      </c>
      <c r="F570">
        <v>3500</v>
      </c>
      <c r="G570">
        <v>400</v>
      </c>
      <c r="H570">
        <v>11.43</v>
      </c>
      <c r="I570" t="s">
        <v>36</v>
      </c>
    </row>
    <row r="571" spans="1:10" x14ac:dyDescent="0.25">
      <c r="A571" s="1">
        <v>46155</v>
      </c>
      <c r="B571" t="s">
        <v>304</v>
      </c>
      <c r="C571" s="2">
        <v>352355709858593</v>
      </c>
      <c r="D571" t="s">
        <v>308</v>
      </c>
      <c r="E571">
        <v>3800</v>
      </c>
      <c r="F571">
        <v>3900</v>
      </c>
      <c r="G571">
        <v>-100</v>
      </c>
      <c r="H571">
        <v>-2.56</v>
      </c>
      <c r="I571" t="s">
        <v>36</v>
      </c>
      <c r="J571" t="s">
        <v>26</v>
      </c>
    </row>
    <row r="572" spans="1:10" x14ac:dyDescent="0.25">
      <c r="A572" s="1">
        <v>46155</v>
      </c>
      <c r="B572" t="s">
        <v>304</v>
      </c>
      <c r="C572" s="2">
        <v>352355709883484</v>
      </c>
      <c r="D572" t="s">
        <v>110</v>
      </c>
      <c r="E572">
        <v>3900</v>
      </c>
      <c r="F572">
        <v>3677.1</v>
      </c>
      <c r="G572">
        <v>222.9</v>
      </c>
      <c r="H572">
        <v>6.06</v>
      </c>
      <c r="I572" t="s">
        <v>18</v>
      </c>
    </row>
    <row r="573" spans="1:10" x14ac:dyDescent="0.25">
      <c r="A573" s="1">
        <v>46155</v>
      </c>
      <c r="B573" t="s">
        <v>309</v>
      </c>
      <c r="C573" s="2">
        <v>352355702253099</v>
      </c>
      <c r="D573" t="s">
        <v>110</v>
      </c>
      <c r="E573">
        <v>4850</v>
      </c>
      <c r="F573">
        <v>4641</v>
      </c>
      <c r="G573">
        <v>209</v>
      </c>
      <c r="H573">
        <v>4.5</v>
      </c>
      <c r="I573" t="s">
        <v>18</v>
      </c>
    </row>
    <row r="574" spans="1:10" x14ac:dyDescent="0.25">
      <c r="A574" s="1">
        <v>46155</v>
      </c>
      <c r="B574" t="s">
        <v>309</v>
      </c>
      <c r="C574" s="2">
        <v>352355704745696</v>
      </c>
      <c r="D574" t="s">
        <v>110</v>
      </c>
      <c r="E574">
        <v>4850</v>
      </c>
      <c r="F574">
        <v>4641</v>
      </c>
      <c r="G574">
        <v>209</v>
      </c>
      <c r="H574">
        <v>4.5</v>
      </c>
      <c r="I574" t="s">
        <v>18</v>
      </c>
    </row>
    <row r="575" spans="1:10" x14ac:dyDescent="0.25">
      <c r="A575" s="1">
        <v>46155</v>
      </c>
      <c r="B575" t="s">
        <v>32</v>
      </c>
      <c r="C575" s="2">
        <v>350035238858098</v>
      </c>
      <c r="D575" t="s">
        <v>34</v>
      </c>
      <c r="E575">
        <v>3708.86</v>
      </c>
      <c r="F575">
        <v>3284.4</v>
      </c>
      <c r="G575">
        <v>424.46</v>
      </c>
      <c r="H575">
        <v>12.92</v>
      </c>
      <c r="I575" t="s">
        <v>18</v>
      </c>
    </row>
    <row r="576" spans="1:10" x14ac:dyDescent="0.25">
      <c r="A576" s="1">
        <v>46155</v>
      </c>
      <c r="B576" t="s">
        <v>32</v>
      </c>
      <c r="C576" s="2">
        <v>356225420186861</v>
      </c>
      <c r="D576" t="s">
        <v>34</v>
      </c>
      <c r="E576">
        <v>3683.54</v>
      </c>
      <c r="F576">
        <v>3284.4</v>
      </c>
      <c r="G576">
        <v>399.14</v>
      </c>
      <c r="H576">
        <v>12.15</v>
      </c>
      <c r="I576" t="s">
        <v>18</v>
      </c>
    </row>
    <row r="577" spans="1:10" x14ac:dyDescent="0.25">
      <c r="A577" s="1">
        <v>46155</v>
      </c>
      <c r="B577" t="s">
        <v>75</v>
      </c>
      <c r="C577" s="2">
        <v>359814719579154</v>
      </c>
      <c r="D577" t="s">
        <v>97</v>
      </c>
      <c r="E577">
        <v>4050.63</v>
      </c>
      <c r="F577">
        <v>3712.8</v>
      </c>
      <c r="G577">
        <v>337.83</v>
      </c>
      <c r="H577">
        <v>9.1</v>
      </c>
      <c r="I577" t="s">
        <v>18</v>
      </c>
    </row>
    <row r="578" spans="1:10" x14ac:dyDescent="0.25">
      <c r="A578" s="1">
        <v>46155</v>
      </c>
      <c r="B578" t="s">
        <v>310</v>
      </c>
      <c r="C578" s="2" t="s">
        <v>311</v>
      </c>
      <c r="D578" t="s">
        <v>312</v>
      </c>
      <c r="E578">
        <v>2065</v>
      </c>
      <c r="F578">
        <v>2052.75</v>
      </c>
      <c r="G578">
        <v>12.25</v>
      </c>
      <c r="H578">
        <v>0.6</v>
      </c>
      <c r="I578" t="s">
        <v>18</v>
      </c>
    </row>
    <row r="579" spans="1:10" x14ac:dyDescent="0.25">
      <c r="A579" s="1">
        <v>46155</v>
      </c>
      <c r="B579" t="s">
        <v>310</v>
      </c>
      <c r="C579" s="2" t="s">
        <v>313</v>
      </c>
      <c r="D579" t="s">
        <v>30</v>
      </c>
      <c r="E579">
        <v>2065</v>
      </c>
      <c r="F579">
        <v>2052.75</v>
      </c>
      <c r="G579">
        <v>12.25</v>
      </c>
      <c r="H579">
        <v>0.6</v>
      </c>
      <c r="I579" t="s">
        <v>18</v>
      </c>
    </row>
    <row r="580" spans="1:10" x14ac:dyDescent="0.25">
      <c r="A580" s="1">
        <v>46155</v>
      </c>
      <c r="B580" t="s">
        <v>310</v>
      </c>
      <c r="C580" s="2" t="s">
        <v>314</v>
      </c>
      <c r="D580" t="s">
        <v>315</v>
      </c>
      <c r="E580">
        <v>2065</v>
      </c>
      <c r="F580">
        <v>2052.75</v>
      </c>
      <c r="G580">
        <v>12.25</v>
      </c>
      <c r="H580">
        <v>0.6</v>
      </c>
      <c r="I580" t="s">
        <v>18</v>
      </c>
    </row>
    <row r="581" spans="1:10" x14ac:dyDescent="0.25">
      <c r="A581" s="1">
        <v>46155</v>
      </c>
      <c r="B581" t="s">
        <v>310</v>
      </c>
      <c r="C581" s="2" t="s">
        <v>316</v>
      </c>
      <c r="D581" t="s">
        <v>30</v>
      </c>
      <c r="E581">
        <v>2065</v>
      </c>
      <c r="F581">
        <v>2052.75</v>
      </c>
      <c r="G581">
        <v>12.25</v>
      </c>
      <c r="H581">
        <v>0.6</v>
      </c>
      <c r="I581" t="s">
        <v>18</v>
      </c>
    </row>
    <row r="582" spans="1:10" x14ac:dyDescent="0.25">
      <c r="A582" s="1">
        <v>46155</v>
      </c>
      <c r="B582" t="s">
        <v>310</v>
      </c>
      <c r="C582" s="2" t="s">
        <v>317</v>
      </c>
      <c r="D582" t="s">
        <v>312</v>
      </c>
      <c r="E582">
        <v>2065</v>
      </c>
      <c r="F582">
        <v>2052.75</v>
      </c>
      <c r="G582">
        <v>12.25</v>
      </c>
      <c r="H582">
        <v>0.6</v>
      </c>
      <c r="I582" t="s">
        <v>18</v>
      </c>
    </row>
    <row r="583" spans="1:10" x14ac:dyDescent="0.25">
      <c r="A583" s="1">
        <v>46155</v>
      </c>
      <c r="B583" t="s">
        <v>310</v>
      </c>
      <c r="C583" s="2" t="s">
        <v>318</v>
      </c>
      <c r="D583" t="s">
        <v>319</v>
      </c>
      <c r="E583">
        <v>2065</v>
      </c>
      <c r="F583">
        <v>2052.75</v>
      </c>
      <c r="G583">
        <v>12.25</v>
      </c>
      <c r="H583">
        <v>0.6</v>
      </c>
      <c r="I583" t="s">
        <v>18</v>
      </c>
    </row>
    <row r="584" spans="1:10" x14ac:dyDescent="0.25">
      <c r="A584" s="1">
        <v>46155</v>
      </c>
      <c r="B584" t="s">
        <v>320</v>
      </c>
      <c r="C584" s="2" t="s">
        <v>321</v>
      </c>
      <c r="E584">
        <v>3000</v>
      </c>
      <c r="F584">
        <v>2112.1999999999998</v>
      </c>
      <c r="G584">
        <v>887.8</v>
      </c>
      <c r="H584">
        <v>42.03</v>
      </c>
      <c r="I584" t="s">
        <v>18</v>
      </c>
    </row>
    <row r="585" spans="1:10" x14ac:dyDescent="0.25">
      <c r="A585" s="1">
        <v>46155</v>
      </c>
      <c r="B585" t="s">
        <v>320</v>
      </c>
      <c r="C585" s="2" t="s">
        <v>322</v>
      </c>
      <c r="E585">
        <v>3000</v>
      </c>
      <c r="F585">
        <v>2112.1999999999998</v>
      </c>
      <c r="G585">
        <v>887.8</v>
      </c>
      <c r="H585">
        <v>42.03</v>
      </c>
      <c r="I585" t="s">
        <v>18</v>
      </c>
    </row>
    <row r="586" spans="1:10" x14ac:dyDescent="0.25">
      <c r="A586" s="1">
        <v>46155</v>
      </c>
      <c r="B586" t="s">
        <v>320</v>
      </c>
      <c r="C586" s="2" t="s">
        <v>323</v>
      </c>
      <c r="E586">
        <v>3000</v>
      </c>
      <c r="F586">
        <v>2112.1999999999998</v>
      </c>
      <c r="G586">
        <v>887.8</v>
      </c>
      <c r="H586">
        <v>42.03</v>
      </c>
      <c r="I586" t="s">
        <v>18</v>
      </c>
    </row>
    <row r="587" spans="1:10" x14ac:dyDescent="0.25">
      <c r="A587" s="1">
        <v>46156</v>
      </c>
      <c r="B587" t="s">
        <v>99</v>
      </c>
      <c r="C587" s="2" t="s">
        <v>324</v>
      </c>
      <c r="D587" t="s">
        <v>30</v>
      </c>
      <c r="E587">
        <v>720</v>
      </c>
      <c r="F587">
        <v>714</v>
      </c>
      <c r="G587">
        <v>6</v>
      </c>
      <c r="H587">
        <v>0.84</v>
      </c>
      <c r="I587" t="s">
        <v>18</v>
      </c>
    </row>
    <row r="588" spans="1:10" x14ac:dyDescent="0.25">
      <c r="A588" s="1">
        <v>46156</v>
      </c>
      <c r="B588" t="s">
        <v>325</v>
      </c>
      <c r="C588" s="2" t="s">
        <v>326</v>
      </c>
      <c r="D588" t="s">
        <v>327</v>
      </c>
      <c r="E588">
        <v>1</v>
      </c>
      <c r="F588">
        <v>535.5</v>
      </c>
      <c r="G588">
        <v>-534.5</v>
      </c>
      <c r="H588">
        <v>-99.81</v>
      </c>
      <c r="I588" t="s">
        <v>18</v>
      </c>
      <c r="J588" t="s">
        <v>68</v>
      </c>
    </row>
    <row r="589" spans="1:10" x14ac:dyDescent="0.25">
      <c r="A589" s="1">
        <v>46156</v>
      </c>
      <c r="B589" t="s">
        <v>71</v>
      </c>
      <c r="C589" s="2">
        <v>355820209152414</v>
      </c>
      <c r="D589" t="s">
        <v>35</v>
      </c>
      <c r="E589">
        <v>3101.26</v>
      </c>
      <c r="F589">
        <v>2600</v>
      </c>
      <c r="G589">
        <v>501.26</v>
      </c>
      <c r="H589">
        <v>19.28</v>
      </c>
      <c r="I589" t="s">
        <v>36</v>
      </c>
    </row>
    <row r="590" spans="1:10" x14ac:dyDescent="0.25">
      <c r="A590" s="1">
        <v>46156</v>
      </c>
      <c r="B590" t="s">
        <v>32</v>
      </c>
      <c r="C590" s="2">
        <v>350035232798399</v>
      </c>
      <c r="D590" t="s">
        <v>35</v>
      </c>
      <c r="E590">
        <v>2970</v>
      </c>
      <c r="F590">
        <v>2960</v>
      </c>
      <c r="G590">
        <v>10</v>
      </c>
      <c r="H590">
        <v>0.34</v>
      </c>
      <c r="I590" t="s">
        <v>36</v>
      </c>
    </row>
    <row r="591" spans="1:10" x14ac:dyDescent="0.25">
      <c r="A591" s="1">
        <v>46156</v>
      </c>
      <c r="B591" t="s">
        <v>32</v>
      </c>
      <c r="C591" s="2">
        <v>350035235535947</v>
      </c>
      <c r="D591" t="s">
        <v>35</v>
      </c>
      <c r="E591">
        <v>2970</v>
      </c>
      <c r="F591">
        <v>3050</v>
      </c>
      <c r="G591">
        <v>-80</v>
      </c>
      <c r="H591">
        <v>-2.62</v>
      </c>
      <c r="I591" t="s">
        <v>36</v>
      </c>
      <c r="J591" t="s">
        <v>26</v>
      </c>
    </row>
    <row r="592" spans="1:10" x14ac:dyDescent="0.25">
      <c r="A592" s="1">
        <v>46156</v>
      </c>
      <c r="B592" t="s">
        <v>32</v>
      </c>
      <c r="C592" s="2">
        <v>350035237395332</v>
      </c>
      <c r="D592" t="s">
        <v>35</v>
      </c>
      <c r="E592">
        <v>2970</v>
      </c>
      <c r="F592">
        <v>3050</v>
      </c>
      <c r="G592">
        <v>-80</v>
      </c>
      <c r="H592">
        <v>-2.62</v>
      </c>
      <c r="I592" t="s">
        <v>36</v>
      </c>
      <c r="J592" t="s">
        <v>26</v>
      </c>
    </row>
    <row r="593" spans="1:10" x14ac:dyDescent="0.25">
      <c r="A593" s="1">
        <v>46156</v>
      </c>
      <c r="B593" t="s">
        <v>32</v>
      </c>
      <c r="C593" s="2">
        <v>350035238975231</v>
      </c>
      <c r="D593" t="s">
        <v>35</v>
      </c>
      <c r="E593">
        <v>3000</v>
      </c>
      <c r="F593">
        <v>3050</v>
      </c>
      <c r="G593">
        <v>-50</v>
      </c>
      <c r="H593">
        <v>-1.64</v>
      </c>
      <c r="I593" t="s">
        <v>36</v>
      </c>
      <c r="J593" t="s">
        <v>26</v>
      </c>
    </row>
    <row r="594" spans="1:10" x14ac:dyDescent="0.25">
      <c r="A594" s="1">
        <v>46156</v>
      </c>
      <c r="B594" t="s">
        <v>32</v>
      </c>
      <c r="C594" s="2">
        <v>350552890444942</v>
      </c>
      <c r="D594" t="s">
        <v>35</v>
      </c>
      <c r="E594">
        <v>2970</v>
      </c>
      <c r="F594">
        <v>2960</v>
      </c>
      <c r="G594">
        <v>10</v>
      </c>
      <c r="H594">
        <v>0.34</v>
      </c>
      <c r="I594" t="s">
        <v>36</v>
      </c>
    </row>
    <row r="595" spans="1:10" x14ac:dyDescent="0.25">
      <c r="A595" s="1">
        <v>46156</v>
      </c>
      <c r="B595" t="s">
        <v>32</v>
      </c>
      <c r="C595" s="2">
        <v>350552896011067</v>
      </c>
      <c r="D595" t="s">
        <v>35</v>
      </c>
      <c r="E595">
        <v>2970</v>
      </c>
      <c r="F595">
        <v>2960</v>
      </c>
      <c r="G595">
        <v>10</v>
      </c>
      <c r="H595">
        <v>0.34</v>
      </c>
      <c r="I595" t="s">
        <v>36</v>
      </c>
    </row>
    <row r="596" spans="1:10" x14ac:dyDescent="0.25">
      <c r="A596" s="1">
        <v>46156</v>
      </c>
      <c r="B596" t="s">
        <v>32</v>
      </c>
      <c r="C596" s="2">
        <v>350552899011031</v>
      </c>
      <c r="D596" t="s">
        <v>35</v>
      </c>
      <c r="E596">
        <v>2970</v>
      </c>
      <c r="F596">
        <v>2960</v>
      </c>
      <c r="G596">
        <v>10</v>
      </c>
      <c r="H596">
        <v>0.34</v>
      </c>
      <c r="I596" t="s">
        <v>36</v>
      </c>
    </row>
    <row r="597" spans="1:10" x14ac:dyDescent="0.25">
      <c r="A597" s="1">
        <v>46156</v>
      </c>
      <c r="B597" t="s">
        <v>32</v>
      </c>
      <c r="C597" s="2">
        <v>351668141347491</v>
      </c>
      <c r="D597" t="s">
        <v>34</v>
      </c>
      <c r="E597">
        <v>3734.14</v>
      </c>
      <c r="F597">
        <v>3200</v>
      </c>
      <c r="G597">
        <v>534.14</v>
      </c>
      <c r="H597">
        <v>16.690000000000001</v>
      </c>
      <c r="I597" t="s">
        <v>36</v>
      </c>
    </row>
    <row r="598" spans="1:10" x14ac:dyDescent="0.25">
      <c r="A598" s="1">
        <v>46156</v>
      </c>
      <c r="B598" t="s">
        <v>32</v>
      </c>
      <c r="C598" s="2">
        <v>351668143770229</v>
      </c>
      <c r="D598" t="s">
        <v>35</v>
      </c>
      <c r="E598">
        <v>3020</v>
      </c>
      <c r="F598">
        <v>2960</v>
      </c>
      <c r="G598">
        <v>60</v>
      </c>
      <c r="H598">
        <v>2.0299999999999998</v>
      </c>
      <c r="I598" t="s">
        <v>36</v>
      </c>
    </row>
    <row r="599" spans="1:10" x14ac:dyDescent="0.25">
      <c r="A599" s="1">
        <v>46156</v>
      </c>
      <c r="B599" t="s">
        <v>32</v>
      </c>
      <c r="C599" s="2">
        <v>356225420135272</v>
      </c>
      <c r="D599" t="s">
        <v>35</v>
      </c>
      <c r="E599">
        <v>3000</v>
      </c>
      <c r="F599">
        <v>3050</v>
      </c>
      <c r="G599">
        <v>-50</v>
      </c>
      <c r="H599">
        <v>-1.64</v>
      </c>
      <c r="I599" t="s">
        <v>36</v>
      </c>
      <c r="J599" t="s">
        <v>26</v>
      </c>
    </row>
    <row r="600" spans="1:10" x14ac:dyDescent="0.25">
      <c r="A600" s="1">
        <v>46156</v>
      </c>
      <c r="B600" t="s">
        <v>32</v>
      </c>
      <c r="C600" s="2">
        <v>356225420378641</v>
      </c>
      <c r="D600" t="s">
        <v>35</v>
      </c>
      <c r="E600">
        <v>2970</v>
      </c>
      <c r="F600">
        <v>2960</v>
      </c>
      <c r="G600">
        <v>10</v>
      </c>
      <c r="H600">
        <v>0.34</v>
      </c>
      <c r="I600" t="s">
        <v>36</v>
      </c>
    </row>
    <row r="601" spans="1:10" x14ac:dyDescent="0.25">
      <c r="A601" s="1">
        <v>46156</v>
      </c>
      <c r="B601" t="s">
        <v>32</v>
      </c>
      <c r="C601" s="2">
        <v>356225420706502</v>
      </c>
      <c r="D601" t="s">
        <v>35</v>
      </c>
      <c r="E601">
        <v>2970</v>
      </c>
      <c r="F601">
        <v>2960</v>
      </c>
      <c r="G601">
        <v>10</v>
      </c>
      <c r="H601">
        <v>0.34</v>
      </c>
      <c r="I601" t="s">
        <v>36</v>
      </c>
    </row>
    <row r="602" spans="1:10" x14ac:dyDescent="0.25">
      <c r="A602" s="1">
        <v>46156</v>
      </c>
      <c r="B602" t="s">
        <v>32</v>
      </c>
      <c r="C602" s="2">
        <v>356225421782528</v>
      </c>
      <c r="D602" t="s">
        <v>35</v>
      </c>
      <c r="E602">
        <v>2970</v>
      </c>
      <c r="F602">
        <v>2960</v>
      </c>
      <c r="G602">
        <v>10</v>
      </c>
      <c r="H602">
        <v>0.34</v>
      </c>
      <c r="I602" t="s">
        <v>36</v>
      </c>
    </row>
    <row r="603" spans="1:10" x14ac:dyDescent="0.25">
      <c r="A603" s="1">
        <v>46156</v>
      </c>
      <c r="B603" t="s">
        <v>32</v>
      </c>
      <c r="C603" s="2">
        <v>356392243271609</v>
      </c>
      <c r="D603" t="s">
        <v>35</v>
      </c>
      <c r="E603">
        <v>2970</v>
      </c>
      <c r="F603">
        <v>3050</v>
      </c>
      <c r="G603">
        <v>-80</v>
      </c>
      <c r="H603">
        <v>-2.62</v>
      </c>
      <c r="I603" t="s">
        <v>36</v>
      </c>
      <c r="J603" t="s">
        <v>26</v>
      </c>
    </row>
    <row r="604" spans="1:10" x14ac:dyDescent="0.25">
      <c r="A604" s="1">
        <v>46156</v>
      </c>
      <c r="B604" t="s">
        <v>32</v>
      </c>
      <c r="C604" s="2">
        <v>356392248432180</v>
      </c>
      <c r="D604" t="s">
        <v>35</v>
      </c>
      <c r="E604">
        <v>2970</v>
      </c>
      <c r="F604">
        <v>3050</v>
      </c>
      <c r="G604">
        <v>-80</v>
      </c>
      <c r="H604">
        <v>-2.62</v>
      </c>
      <c r="I604" t="s">
        <v>36</v>
      </c>
      <c r="J604" t="s">
        <v>26</v>
      </c>
    </row>
    <row r="605" spans="1:10" x14ac:dyDescent="0.25">
      <c r="A605" s="1">
        <v>46156</v>
      </c>
      <c r="B605" t="s">
        <v>32</v>
      </c>
      <c r="C605" s="2">
        <v>357329442133734</v>
      </c>
      <c r="D605" t="s">
        <v>35</v>
      </c>
      <c r="E605">
        <v>2970</v>
      </c>
      <c r="F605">
        <v>3050</v>
      </c>
      <c r="G605">
        <v>-80</v>
      </c>
      <c r="H605">
        <v>-2.62</v>
      </c>
      <c r="I605" t="s">
        <v>36</v>
      </c>
      <c r="J605" t="s">
        <v>26</v>
      </c>
    </row>
    <row r="606" spans="1:10" x14ac:dyDescent="0.25">
      <c r="A606" s="1">
        <v>46157</v>
      </c>
      <c r="B606" t="s">
        <v>328</v>
      </c>
      <c r="C606" s="2" t="s">
        <v>329</v>
      </c>
      <c r="E606">
        <v>329.11</v>
      </c>
      <c r="F606">
        <v>287.66000000000003</v>
      </c>
      <c r="G606">
        <v>41.45</v>
      </c>
      <c r="H606">
        <v>14.41</v>
      </c>
      <c r="I606" t="s">
        <v>18</v>
      </c>
    </row>
    <row r="607" spans="1:10" x14ac:dyDescent="0.25">
      <c r="A607" s="1">
        <v>46157</v>
      </c>
      <c r="B607" t="s">
        <v>99</v>
      </c>
      <c r="C607" s="2" t="s">
        <v>330</v>
      </c>
      <c r="D607" t="s">
        <v>30</v>
      </c>
      <c r="E607">
        <v>797.49</v>
      </c>
      <c r="F607">
        <v>714</v>
      </c>
      <c r="G607">
        <v>83.49</v>
      </c>
      <c r="H607">
        <v>11.69</v>
      </c>
      <c r="I607" t="s">
        <v>18</v>
      </c>
    </row>
    <row r="608" spans="1:10" x14ac:dyDescent="0.25">
      <c r="A608" s="1">
        <v>46157</v>
      </c>
      <c r="B608" t="s">
        <v>99</v>
      </c>
      <c r="C608" s="2" t="s">
        <v>100</v>
      </c>
      <c r="E608">
        <v>721.51</v>
      </c>
      <c r="F608">
        <v>716</v>
      </c>
      <c r="G608">
        <v>5.51</v>
      </c>
      <c r="H608">
        <v>0.77</v>
      </c>
      <c r="I608" t="s">
        <v>18</v>
      </c>
    </row>
    <row r="609" spans="1:9" x14ac:dyDescent="0.25">
      <c r="A609" s="1">
        <v>46157</v>
      </c>
      <c r="B609" t="s">
        <v>101</v>
      </c>
      <c r="C609" s="2">
        <v>21225082000604</v>
      </c>
      <c r="D609" t="s">
        <v>78</v>
      </c>
      <c r="E609">
        <v>4150</v>
      </c>
      <c r="F609">
        <v>3394.85</v>
      </c>
      <c r="G609">
        <v>755.15</v>
      </c>
      <c r="H609">
        <v>22.24</v>
      </c>
      <c r="I609" t="s">
        <v>102</v>
      </c>
    </row>
    <row r="610" spans="1:9" x14ac:dyDescent="0.25">
      <c r="A610" s="1">
        <v>46157</v>
      </c>
      <c r="B610" t="s">
        <v>331</v>
      </c>
      <c r="C610" s="2">
        <v>358713097596353</v>
      </c>
      <c r="E610">
        <v>1000</v>
      </c>
      <c r="F610">
        <v>1000</v>
      </c>
      <c r="G610">
        <v>0</v>
      </c>
      <c r="H610">
        <v>0</v>
      </c>
      <c r="I610" t="s">
        <v>36</v>
      </c>
    </row>
    <row r="611" spans="1:9" x14ac:dyDescent="0.25">
      <c r="A611" s="1">
        <v>46157</v>
      </c>
      <c r="B611" t="s">
        <v>71</v>
      </c>
      <c r="C611" s="2">
        <v>354289634595970</v>
      </c>
      <c r="D611" t="s">
        <v>33</v>
      </c>
      <c r="E611">
        <v>3139.24</v>
      </c>
      <c r="F611">
        <v>2677.5</v>
      </c>
      <c r="G611">
        <v>461.74</v>
      </c>
      <c r="H611">
        <v>17.25</v>
      </c>
      <c r="I611" t="s">
        <v>18</v>
      </c>
    </row>
    <row r="612" spans="1:9" x14ac:dyDescent="0.25">
      <c r="A612" s="1">
        <v>46158</v>
      </c>
      <c r="B612" t="s">
        <v>101</v>
      </c>
      <c r="C612" s="2">
        <v>21215082000336</v>
      </c>
      <c r="D612" t="s">
        <v>78</v>
      </c>
      <c r="E612">
        <v>4200</v>
      </c>
      <c r="F612">
        <v>3201.35</v>
      </c>
      <c r="G612">
        <v>998.65</v>
      </c>
      <c r="H612">
        <v>31.19</v>
      </c>
      <c r="I612" t="s">
        <v>102</v>
      </c>
    </row>
    <row r="613" spans="1:9" x14ac:dyDescent="0.25">
      <c r="A613" s="1">
        <v>46158</v>
      </c>
      <c r="B613" t="s">
        <v>101</v>
      </c>
      <c r="C613" s="2">
        <v>21215082000461</v>
      </c>
      <c r="D613" t="s">
        <v>78</v>
      </c>
      <c r="E613">
        <v>4200</v>
      </c>
      <c r="F613">
        <v>3201.35</v>
      </c>
      <c r="G613">
        <v>998.65</v>
      </c>
      <c r="H613">
        <v>31.19</v>
      </c>
      <c r="I613" t="s">
        <v>102</v>
      </c>
    </row>
    <row r="614" spans="1:9" x14ac:dyDescent="0.25">
      <c r="A614" s="1">
        <v>46158</v>
      </c>
      <c r="B614" t="s">
        <v>101</v>
      </c>
      <c r="C614" s="2">
        <v>21215082000462</v>
      </c>
      <c r="D614" t="s">
        <v>78</v>
      </c>
      <c r="E614">
        <v>4200</v>
      </c>
      <c r="F614">
        <v>3201.35</v>
      </c>
      <c r="G614">
        <v>998.65</v>
      </c>
      <c r="H614">
        <v>31.19</v>
      </c>
      <c r="I614" t="s">
        <v>102</v>
      </c>
    </row>
    <row r="615" spans="1:9" x14ac:dyDescent="0.25">
      <c r="A615" s="1">
        <v>46158</v>
      </c>
      <c r="B615" t="s">
        <v>101</v>
      </c>
      <c r="C615" s="2">
        <v>21215082000463</v>
      </c>
      <c r="D615" t="s">
        <v>78</v>
      </c>
      <c r="E615">
        <v>4200</v>
      </c>
      <c r="F615">
        <v>3201.35</v>
      </c>
      <c r="G615">
        <v>998.65</v>
      </c>
      <c r="H615">
        <v>31.19</v>
      </c>
      <c r="I615" t="s">
        <v>102</v>
      </c>
    </row>
    <row r="616" spans="1:9" x14ac:dyDescent="0.25">
      <c r="A616" s="1">
        <v>46158</v>
      </c>
      <c r="B616" t="s">
        <v>101</v>
      </c>
      <c r="C616" s="2">
        <v>21225082000561</v>
      </c>
      <c r="D616" t="s">
        <v>78</v>
      </c>
      <c r="E616">
        <v>4200</v>
      </c>
      <c r="F616">
        <v>3394.85</v>
      </c>
      <c r="G616">
        <v>805.15</v>
      </c>
      <c r="H616">
        <v>23.72</v>
      </c>
      <c r="I616" t="s">
        <v>102</v>
      </c>
    </row>
    <row r="617" spans="1:9" x14ac:dyDescent="0.25">
      <c r="A617" s="1">
        <v>46158</v>
      </c>
      <c r="B617" t="s">
        <v>101</v>
      </c>
      <c r="C617" s="2">
        <v>21225082000574</v>
      </c>
      <c r="D617" t="s">
        <v>78</v>
      </c>
      <c r="E617">
        <v>4200</v>
      </c>
      <c r="F617">
        <v>3394.85</v>
      </c>
      <c r="G617">
        <v>805.15</v>
      </c>
      <c r="H617">
        <v>23.72</v>
      </c>
      <c r="I617" t="s">
        <v>102</v>
      </c>
    </row>
    <row r="618" spans="1:9" x14ac:dyDescent="0.25">
      <c r="A618" s="1">
        <v>46158</v>
      </c>
      <c r="B618" t="s">
        <v>101</v>
      </c>
      <c r="C618" s="2">
        <v>21225082000580</v>
      </c>
      <c r="D618" t="s">
        <v>78</v>
      </c>
      <c r="E618">
        <v>4200</v>
      </c>
      <c r="F618">
        <v>3394.85</v>
      </c>
      <c r="G618">
        <v>805.15</v>
      </c>
      <c r="H618">
        <v>23.72</v>
      </c>
      <c r="I618" t="s">
        <v>102</v>
      </c>
    </row>
    <row r="619" spans="1:9" x14ac:dyDescent="0.25">
      <c r="A619" s="1">
        <v>46158</v>
      </c>
      <c r="B619" t="s">
        <v>101</v>
      </c>
      <c r="C619" s="2">
        <v>21225082000605</v>
      </c>
      <c r="D619" t="s">
        <v>78</v>
      </c>
      <c r="E619">
        <v>4200</v>
      </c>
      <c r="F619">
        <v>3394.85</v>
      </c>
      <c r="G619">
        <v>805.15</v>
      </c>
      <c r="H619">
        <v>23.72</v>
      </c>
      <c r="I619" t="s">
        <v>102</v>
      </c>
    </row>
    <row r="620" spans="1:9" x14ac:dyDescent="0.25">
      <c r="A620" s="1">
        <v>46158</v>
      </c>
      <c r="B620" t="s">
        <v>101</v>
      </c>
      <c r="C620" s="2">
        <v>21225082000972</v>
      </c>
      <c r="D620" t="s">
        <v>78</v>
      </c>
      <c r="E620">
        <v>4200</v>
      </c>
      <c r="F620">
        <v>3394.85</v>
      </c>
      <c r="G620">
        <v>805.15</v>
      </c>
      <c r="H620">
        <v>23.72</v>
      </c>
      <c r="I620" t="s">
        <v>102</v>
      </c>
    </row>
    <row r="621" spans="1:9" x14ac:dyDescent="0.25">
      <c r="A621" s="1">
        <v>46158</v>
      </c>
      <c r="B621" t="s">
        <v>76</v>
      </c>
      <c r="C621" s="2">
        <v>350520601070009</v>
      </c>
      <c r="D621" t="s">
        <v>78</v>
      </c>
      <c r="E621">
        <v>2570</v>
      </c>
      <c r="F621">
        <v>2450</v>
      </c>
      <c r="G621">
        <v>120</v>
      </c>
      <c r="H621">
        <v>4.9000000000000004</v>
      </c>
      <c r="I621" t="s">
        <v>36</v>
      </c>
    </row>
    <row r="622" spans="1:9" x14ac:dyDescent="0.25">
      <c r="A622" s="1">
        <v>46158</v>
      </c>
      <c r="B622" t="s">
        <v>76</v>
      </c>
      <c r="C622" s="2">
        <v>350687011215787</v>
      </c>
      <c r="D622" t="s">
        <v>78</v>
      </c>
      <c r="E622">
        <v>2570</v>
      </c>
      <c r="F622">
        <v>2450</v>
      </c>
      <c r="G622">
        <v>120</v>
      </c>
      <c r="H622">
        <v>4.9000000000000004</v>
      </c>
      <c r="I622" t="s">
        <v>36</v>
      </c>
    </row>
    <row r="623" spans="1:9" x14ac:dyDescent="0.25">
      <c r="A623" s="1">
        <v>46158</v>
      </c>
      <c r="B623" t="s">
        <v>76</v>
      </c>
      <c r="C623" s="2">
        <v>350687011234044</v>
      </c>
      <c r="D623" t="s">
        <v>78</v>
      </c>
      <c r="E623">
        <v>2570</v>
      </c>
      <c r="F623">
        <v>2450</v>
      </c>
      <c r="G623">
        <v>120</v>
      </c>
      <c r="H623">
        <v>4.9000000000000004</v>
      </c>
      <c r="I623" t="s">
        <v>36</v>
      </c>
    </row>
    <row r="624" spans="1:9" x14ac:dyDescent="0.25">
      <c r="A624" s="1">
        <v>46158</v>
      </c>
      <c r="B624" t="s">
        <v>76</v>
      </c>
      <c r="C624" s="2">
        <v>351235181592970</v>
      </c>
      <c r="D624" t="s">
        <v>78</v>
      </c>
      <c r="E624">
        <v>2570</v>
      </c>
      <c r="F624">
        <v>2450</v>
      </c>
      <c r="G624">
        <v>120</v>
      </c>
      <c r="H624">
        <v>4.9000000000000004</v>
      </c>
      <c r="I624" t="s">
        <v>36</v>
      </c>
    </row>
    <row r="625" spans="1:10" x14ac:dyDescent="0.25">
      <c r="A625" s="1">
        <v>46158</v>
      </c>
      <c r="B625" t="s">
        <v>76</v>
      </c>
      <c r="C625" s="2">
        <v>357731110241774</v>
      </c>
      <c r="D625" t="s">
        <v>77</v>
      </c>
      <c r="E625">
        <v>2570</v>
      </c>
      <c r="F625">
        <v>2450</v>
      </c>
      <c r="G625">
        <v>120</v>
      </c>
      <c r="H625">
        <v>4.9000000000000004</v>
      </c>
      <c r="I625" t="s">
        <v>36</v>
      </c>
    </row>
    <row r="626" spans="1:10" x14ac:dyDescent="0.25">
      <c r="A626" s="1">
        <v>46158</v>
      </c>
      <c r="B626" t="s">
        <v>332</v>
      </c>
      <c r="C626" s="2" t="s">
        <v>333</v>
      </c>
      <c r="D626" t="s">
        <v>334</v>
      </c>
      <c r="E626">
        <v>1</v>
      </c>
      <c r="F626">
        <v>5444.25</v>
      </c>
      <c r="G626">
        <v>-5443.25</v>
      </c>
      <c r="H626">
        <v>-99.98</v>
      </c>
      <c r="I626" t="s">
        <v>18</v>
      </c>
      <c r="J626" t="s">
        <v>68</v>
      </c>
    </row>
    <row r="627" spans="1:10" x14ac:dyDescent="0.25">
      <c r="A627" s="1">
        <v>46158</v>
      </c>
      <c r="B627" t="s">
        <v>335</v>
      </c>
      <c r="C627" s="2">
        <v>352066342028508</v>
      </c>
      <c r="D627" t="s">
        <v>336</v>
      </c>
      <c r="E627">
        <v>3150</v>
      </c>
      <c r="F627">
        <v>3450</v>
      </c>
      <c r="G627">
        <v>-300</v>
      </c>
      <c r="H627">
        <v>-8.6999999999999993</v>
      </c>
      <c r="I627" t="s">
        <v>36</v>
      </c>
      <c r="J627" t="s">
        <v>26</v>
      </c>
    </row>
    <row r="628" spans="1:10" x14ac:dyDescent="0.25">
      <c r="A628" s="1">
        <v>46158</v>
      </c>
      <c r="B628" t="s">
        <v>335</v>
      </c>
      <c r="C628" s="2">
        <v>356334540191734</v>
      </c>
      <c r="D628" t="s">
        <v>336</v>
      </c>
      <c r="E628">
        <v>3150</v>
      </c>
      <c r="F628">
        <v>4</v>
      </c>
      <c r="G628">
        <v>3146</v>
      </c>
      <c r="H628">
        <v>78650</v>
      </c>
      <c r="I628" t="s">
        <v>337</v>
      </c>
      <c r="J628" t="s">
        <v>338</v>
      </c>
    </row>
    <row r="629" spans="1:10" x14ac:dyDescent="0.25">
      <c r="A629" s="1">
        <v>46158</v>
      </c>
      <c r="B629" t="s">
        <v>32</v>
      </c>
      <c r="C629" s="2">
        <v>350035233820630</v>
      </c>
      <c r="D629" t="s">
        <v>35</v>
      </c>
      <c r="E629">
        <v>3379.73</v>
      </c>
      <c r="F629">
        <v>3177.3</v>
      </c>
      <c r="G629">
        <v>202.43</v>
      </c>
      <c r="H629">
        <v>6.37</v>
      </c>
      <c r="I629" t="s">
        <v>18</v>
      </c>
    </row>
    <row r="630" spans="1:10" x14ac:dyDescent="0.25">
      <c r="A630" s="1">
        <v>46158</v>
      </c>
      <c r="B630" t="s">
        <v>32</v>
      </c>
      <c r="C630" s="2">
        <v>358902516895807</v>
      </c>
      <c r="D630" t="s">
        <v>97</v>
      </c>
      <c r="E630">
        <v>3670.88</v>
      </c>
      <c r="F630">
        <v>3420</v>
      </c>
      <c r="G630">
        <v>250.88</v>
      </c>
      <c r="H630">
        <v>7.34</v>
      </c>
      <c r="I630" t="s">
        <v>36</v>
      </c>
    </row>
    <row r="631" spans="1:10" x14ac:dyDescent="0.25">
      <c r="A631" s="1">
        <v>46160</v>
      </c>
      <c r="B631" t="s">
        <v>76</v>
      </c>
      <c r="C631" s="2">
        <v>350520600313491</v>
      </c>
      <c r="D631" t="s">
        <v>78</v>
      </c>
      <c r="E631">
        <v>2570</v>
      </c>
      <c r="F631">
        <v>2450</v>
      </c>
      <c r="G631">
        <v>120</v>
      </c>
      <c r="H631">
        <v>4.9000000000000004</v>
      </c>
      <c r="I631" t="s">
        <v>36</v>
      </c>
    </row>
    <row r="632" spans="1:10" x14ac:dyDescent="0.25">
      <c r="A632" s="1">
        <v>46160</v>
      </c>
      <c r="B632" t="s">
        <v>76</v>
      </c>
      <c r="C632" s="2">
        <v>350520600682614</v>
      </c>
      <c r="D632" t="s">
        <v>78</v>
      </c>
      <c r="E632">
        <v>2570</v>
      </c>
      <c r="F632">
        <v>2450</v>
      </c>
      <c r="G632">
        <v>120</v>
      </c>
      <c r="H632">
        <v>4.9000000000000004</v>
      </c>
      <c r="I632" t="s">
        <v>36</v>
      </c>
    </row>
    <row r="633" spans="1:10" x14ac:dyDescent="0.25">
      <c r="A633" s="1">
        <v>46160</v>
      </c>
      <c r="B633" t="s">
        <v>76</v>
      </c>
      <c r="C633" s="2">
        <v>350520600764388</v>
      </c>
      <c r="D633" t="s">
        <v>78</v>
      </c>
      <c r="E633">
        <v>2570</v>
      </c>
      <c r="F633">
        <v>2450</v>
      </c>
      <c r="G633">
        <v>120</v>
      </c>
      <c r="H633">
        <v>4.9000000000000004</v>
      </c>
      <c r="I633" t="s">
        <v>36</v>
      </c>
    </row>
    <row r="634" spans="1:10" x14ac:dyDescent="0.25">
      <c r="A634" s="1">
        <v>46160</v>
      </c>
      <c r="B634" t="s">
        <v>76</v>
      </c>
      <c r="C634" s="2">
        <v>350687013324116</v>
      </c>
      <c r="D634" t="s">
        <v>21</v>
      </c>
      <c r="E634">
        <v>2570</v>
      </c>
      <c r="F634">
        <v>2450</v>
      </c>
      <c r="G634">
        <v>120</v>
      </c>
      <c r="H634">
        <v>4.9000000000000004</v>
      </c>
      <c r="I634" t="s">
        <v>36</v>
      </c>
    </row>
    <row r="635" spans="1:10" x14ac:dyDescent="0.25">
      <c r="A635" s="1">
        <v>46160</v>
      </c>
      <c r="B635" t="s">
        <v>339</v>
      </c>
      <c r="C635" s="2">
        <v>350308855224492</v>
      </c>
      <c r="D635" t="s">
        <v>30</v>
      </c>
      <c r="E635">
        <v>2690</v>
      </c>
      <c r="F635">
        <v>2550</v>
      </c>
      <c r="G635">
        <v>140</v>
      </c>
      <c r="H635">
        <v>5.49</v>
      </c>
      <c r="I635" t="s">
        <v>36</v>
      </c>
    </row>
    <row r="636" spans="1:10" x14ac:dyDescent="0.25">
      <c r="A636" s="1">
        <v>46160</v>
      </c>
      <c r="B636" t="s">
        <v>340</v>
      </c>
      <c r="C636" s="2">
        <v>351042462534725</v>
      </c>
      <c r="D636" t="s">
        <v>30</v>
      </c>
      <c r="E636">
        <v>2690</v>
      </c>
      <c r="F636">
        <v>2550</v>
      </c>
      <c r="G636">
        <v>140</v>
      </c>
      <c r="H636">
        <v>5.49</v>
      </c>
      <c r="I636" t="s">
        <v>36</v>
      </c>
    </row>
    <row r="637" spans="1:10" x14ac:dyDescent="0.25">
      <c r="A637" s="1">
        <v>46160</v>
      </c>
      <c r="B637" t="s">
        <v>340</v>
      </c>
      <c r="C637" s="2">
        <v>351042462578128</v>
      </c>
      <c r="D637" t="s">
        <v>30</v>
      </c>
      <c r="E637">
        <v>2690</v>
      </c>
      <c r="F637">
        <v>2550</v>
      </c>
      <c r="G637">
        <v>140</v>
      </c>
      <c r="H637">
        <v>5.49</v>
      </c>
      <c r="I637" t="s">
        <v>36</v>
      </c>
    </row>
    <row r="638" spans="1:10" x14ac:dyDescent="0.25">
      <c r="A638" s="1">
        <v>46160</v>
      </c>
      <c r="B638" t="s">
        <v>341</v>
      </c>
      <c r="C638" s="2" t="s">
        <v>342</v>
      </c>
      <c r="D638" t="s">
        <v>30</v>
      </c>
      <c r="E638">
        <v>5550</v>
      </c>
      <c r="F638">
        <v>4982.8500000000004</v>
      </c>
      <c r="G638">
        <v>567.15</v>
      </c>
      <c r="H638">
        <v>11.38</v>
      </c>
      <c r="I638" t="s">
        <v>111</v>
      </c>
    </row>
    <row r="639" spans="1:10" x14ac:dyDescent="0.25">
      <c r="A639" s="1">
        <v>46160</v>
      </c>
      <c r="B639" t="s">
        <v>341</v>
      </c>
      <c r="C639" s="2" t="s">
        <v>343</v>
      </c>
      <c r="D639" t="s">
        <v>30</v>
      </c>
      <c r="E639">
        <v>5550</v>
      </c>
      <c r="F639">
        <v>4982.8500000000004</v>
      </c>
      <c r="G639">
        <v>567.15</v>
      </c>
      <c r="H639">
        <v>11.38</v>
      </c>
      <c r="I639" t="s">
        <v>111</v>
      </c>
    </row>
    <row r="640" spans="1:10" x14ac:dyDescent="0.25">
      <c r="A640" s="1">
        <v>46160</v>
      </c>
      <c r="B640" t="s">
        <v>341</v>
      </c>
      <c r="C640" s="2" t="s">
        <v>344</v>
      </c>
      <c r="D640" t="s">
        <v>30</v>
      </c>
      <c r="E640">
        <v>5550</v>
      </c>
      <c r="F640">
        <v>4982.8500000000004</v>
      </c>
      <c r="G640">
        <v>567.15</v>
      </c>
      <c r="H640">
        <v>11.38</v>
      </c>
      <c r="I640" t="s">
        <v>111</v>
      </c>
    </row>
    <row r="641" spans="1:9" x14ac:dyDescent="0.25">
      <c r="A641" s="1">
        <v>46160</v>
      </c>
      <c r="B641" t="s">
        <v>341</v>
      </c>
      <c r="C641" s="2" t="s">
        <v>345</v>
      </c>
      <c r="D641" t="s">
        <v>30</v>
      </c>
      <c r="E641">
        <v>5550</v>
      </c>
      <c r="F641">
        <v>4982.8500000000004</v>
      </c>
      <c r="G641">
        <v>567.15</v>
      </c>
      <c r="H641">
        <v>11.38</v>
      </c>
      <c r="I641" t="s">
        <v>111</v>
      </c>
    </row>
    <row r="642" spans="1:9" x14ac:dyDescent="0.25">
      <c r="A642" s="1">
        <v>46160</v>
      </c>
      <c r="B642" t="s">
        <v>341</v>
      </c>
      <c r="C642" s="2" t="s">
        <v>346</v>
      </c>
      <c r="D642" t="s">
        <v>30</v>
      </c>
      <c r="E642">
        <v>5550</v>
      </c>
      <c r="F642">
        <v>5086.1899999999996</v>
      </c>
      <c r="G642">
        <v>463.81</v>
      </c>
      <c r="H642">
        <v>9.1199999999999992</v>
      </c>
      <c r="I642" t="s">
        <v>111</v>
      </c>
    </row>
    <row r="643" spans="1:9" x14ac:dyDescent="0.25">
      <c r="A643" s="1">
        <v>46160</v>
      </c>
      <c r="B643" t="s">
        <v>341</v>
      </c>
      <c r="C643" s="2" t="s">
        <v>347</v>
      </c>
      <c r="D643" t="s">
        <v>30</v>
      </c>
      <c r="E643">
        <v>5550</v>
      </c>
      <c r="F643">
        <v>5086.1899999999996</v>
      </c>
      <c r="G643">
        <v>463.81</v>
      </c>
      <c r="H643">
        <v>9.1199999999999992</v>
      </c>
      <c r="I643" t="s">
        <v>111</v>
      </c>
    </row>
    <row r="644" spans="1:9" x14ac:dyDescent="0.25">
      <c r="A644" s="1">
        <v>46160</v>
      </c>
      <c r="B644" t="s">
        <v>341</v>
      </c>
      <c r="C644" s="2" t="s">
        <v>348</v>
      </c>
      <c r="D644" t="s">
        <v>30</v>
      </c>
      <c r="E644">
        <v>5550</v>
      </c>
      <c r="F644">
        <v>5086.1899999999996</v>
      </c>
      <c r="G644">
        <v>463.81</v>
      </c>
      <c r="H644">
        <v>9.1199999999999992</v>
      </c>
      <c r="I644" t="s">
        <v>111</v>
      </c>
    </row>
    <row r="645" spans="1:9" x14ac:dyDescent="0.25">
      <c r="A645" s="1">
        <v>46160</v>
      </c>
      <c r="B645" t="s">
        <v>341</v>
      </c>
      <c r="C645" s="2" t="s">
        <v>349</v>
      </c>
      <c r="D645" t="s">
        <v>30</v>
      </c>
      <c r="E645">
        <v>5550</v>
      </c>
      <c r="F645">
        <v>4982.8500000000004</v>
      </c>
      <c r="G645">
        <v>567.15</v>
      </c>
      <c r="H645">
        <v>11.38</v>
      </c>
      <c r="I645" t="s">
        <v>111</v>
      </c>
    </row>
    <row r="646" spans="1:9" x14ac:dyDescent="0.25">
      <c r="A646" s="1">
        <v>46160</v>
      </c>
      <c r="B646" t="s">
        <v>341</v>
      </c>
      <c r="C646" s="2" t="s">
        <v>350</v>
      </c>
      <c r="D646" t="s">
        <v>30</v>
      </c>
      <c r="E646">
        <v>5550</v>
      </c>
      <c r="F646">
        <v>5086.1899999999996</v>
      </c>
      <c r="G646">
        <v>463.81</v>
      </c>
      <c r="H646">
        <v>9.1199999999999992</v>
      </c>
      <c r="I646" t="s">
        <v>111</v>
      </c>
    </row>
    <row r="647" spans="1:9" x14ac:dyDescent="0.25">
      <c r="A647" s="1">
        <v>46160</v>
      </c>
      <c r="B647" t="s">
        <v>341</v>
      </c>
      <c r="C647" s="2" t="s">
        <v>351</v>
      </c>
      <c r="D647" t="s">
        <v>30</v>
      </c>
      <c r="E647">
        <v>5550</v>
      </c>
      <c r="F647">
        <v>5086.1899999999996</v>
      </c>
      <c r="G647">
        <v>463.81</v>
      </c>
      <c r="H647">
        <v>9.1199999999999992</v>
      </c>
      <c r="I647" t="s">
        <v>111</v>
      </c>
    </row>
    <row r="648" spans="1:9" x14ac:dyDescent="0.25">
      <c r="A648" s="1">
        <v>46160</v>
      </c>
      <c r="B648" t="s">
        <v>341</v>
      </c>
      <c r="C648" s="2" t="s">
        <v>352</v>
      </c>
      <c r="D648" t="s">
        <v>30</v>
      </c>
      <c r="E648">
        <v>5550</v>
      </c>
      <c r="F648">
        <v>5213.99</v>
      </c>
      <c r="G648">
        <v>336.01</v>
      </c>
      <c r="H648">
        <v>6.44</v>
      </c>
      <c r="I648" t="s">
        <v>111</v>
      </c>
    </row>
    <row r="649" spans="1:9" x14ac:dyDescent="0.25">
      <c r="A649" s="1">
        <v>46160</v>
      </c>
      <c r="B649" t="s">
        <v>341</v>
      </c>
      <c r="C649" s="2" t="s">
        <v>353</v>
      </c>
      <c r="D649" t="s">
        <v>30</v>
      </c>
      <c r="E649">
        <v>5550</v>
      </c>
      <c r="F649">
        <v>4982.8500000000004</v>
      </c>
      <c r="G649">
        <v>567.15</v>
      </c>
      <c r="H649">
        <v>11.38</v>
      </c>
      <c r="I649" t="s">
        <v>111</v>
      </c>
    </row>
    <row r="650" spans="1:9" x14ac:dyDescent="0.25">
      <c r="A650" s="1">
        <v>46160</v>
      </c>
      <c r="B650" t="s">
        <v>341</v>
      </c>
      <c r="C650" s="2" t="s">
        <v>354</v>
      </c>
      <c r="D650" t="s">
        <v>30</v>
      </c>
      <c r="E650">
        <v>5550</v>
      </c>
      <c r="F650">
        <v>5086.1899999999996</v>
      </c>
      <c r="G650">
        <v>463.81</v>
      </c>
      <c r="H650">
        <v>9.1199999999999992</v>
      </c>
      <c r="I650" t="s">
        <v>111</v>
      </c>
    </row>
    <row r="651" spans="1:9" x14ac:dyDescent="0.25">
      <c r="A651" s="1">
        <v>46160</v>
      </c>
      <c r="B651" t="s">
        <v>341</v>
      </c>
      <c r="C651" s="2" t="s">
        <v>355</v>
      </c>
      <c r="D651" t="s">
        <v>30</v>
      </c>
      <c r="E651">
        <v>5550</v>
      </c>
      <c r="F651">
        <v>5086.1899999999996</v>
      </c>
      <c r="G651">
        <v>463.81</v>
      </c>
      <c r="H651">
        <v>9.1199999999999992</v>
      </c>
      <c r="I651" t="s">
        <v>111</v>
      </c>
    </row>
    <row r="652" spans="1:9" x14ac:dyDescent="0.25">
      <c r="A652" s="1">
        <v>46160</v>
      </c>
      <c r="B652" t="s">
        <v>341</v>
      </c>
      <c r="C652" s="2" t="s">
        <v>356</v>
      </c>
      <c r="D652" t="s">
        <v>30</v>
      </c>
      <c r="E652">
        <v>5550</v>
      </c>
      <c r="F652">
        <v>5086.1899999999996</v>
      </c>
      <c r="G652">
        <v>463.81</v>
      </c>
      <c r="H652">
        <v>9.1199999999999992</v>
      </c>
      <c r="I652" t="s">
        <v>111</v>
      </c>
    </row>
    <row r="653" spans="1:9" x14ac:dyDescent="0.25">
      <c r="A653" s="1">
        <v>46160</v>
      </c>
      <c r="B653" t="s">
        <v>116</v>
      </c>
      <c r="C653" s="2" t="s">
        <v>357</v>
      </c>
      <c r="D653" t="s">
        <v>30</v>
      </c>
      <c r="E653">
        <v>1220</v>
      </c>
      <c r="F653">
        <v>1013.35</v>
      </c>
      <c r="G653">
        <v>206.65</v>
      </c>
      <c r="H653">
        <v>20.39</v>
      </c>
      <c r="I653" t="s">
        <v>111</v>
      </c>
    </row>
    <row r="654" spans="1:9" x14ac:dyDescent="0.25">
      <c r="A654" s="1">
        <v>46160</v>
      </c>
      <c r="B654" t="s">
        <v>116</v>
      </c>
      <c r="C654" s="2" t="s">
        <v>358</v>
      </c>
      <c r="D654" t="s">
        <v>30</v>
      </c>
      <c r="E654">
        <v>1220</v>
      </c>
      <c r="F654">
        <v>1034.56</v>
      </c>
      <c r="G654">
        <v>185.44</v>
      </c>
      <c r="H654">
        <v>17.920000000000002</v>
      </c>
      <c r="I654" t="s">
        <v>111</v>
      </c>
    </row>
    <row r="655" spans="1:9" x14ac:dyDescent="0.25">
      <c r="A655" s="1">
        <v>46160</v>
      </c>
      <c r="B655" t="s">
        <v>116</v>
      </c>
      <c r="C655" s="2" t="s">
        <v>359</v>
      </c>
      <c r="D655" t="s">
        <v>30</v>
      </c>
      <c r="E655">
        <v>1220</v>
      </c>
      <c r="F655">
        <v>1034.56</v>
      </c>
      <c r="G655">
        <v>185.44</v>
      </c>
      <c r="H655">
        <v>17.920000000000002</v>
      </c>
      <c r="I655" t="s">
        <v>111</v>
      </c>
    </row>
    <row r="656" spans="1:9" x14ac:dyDescent="0.25">
      <c r="A656" s="1">
        <v>46160</v>
      </c>
      <c r="B656" t="s">
        <v>116</v>
      </c>
      <c r="C656" s="2" t="s">
        <v>360</v>
      </c>
      <c r="D656" t="s">
        <v>30</v>
      </c>
      <c r="E656">
        <v>1220</v>
      </c>
      <c r="F656">
        <v>1034.56</v>
      </c>
      <c r="G656">
        <v>185.44</v>
      </c>
      <c r="H656">
        <v>17.920000000000002</v>
      </c>
      <c r="I656" t="s">
        <v>111</v>
      </c>
    </row>
    <row r="657" spans="1:9" x14ac:dyDescent="0.25">
      <c r="A657" s="1">
        <v>46160</v>
      </c>
      <c r="B657" t="s">
        <v>116</v>
      </c>
      <c r="C657" s="2" t="s">
        <v>361</v>
      </c>
      <c r="D657" t="s">
        <v>30</v>
      </c>
      <c r="E657">
        <v>1220</v>
      </c>
      <c r="F657">
        <v>1034.56</v>
      </c>
      <c r="G657">
        <v>185.44</v>
      </c>
      <c r="H657">
        <v>17.920000000000002</v>
      </c>
      <c r="I657" t="s">
        <v>111</v>
      </c>
    </row>
    <row r="658" spans="1:9" x14ac:dyDescent="0.25">
      <c r="A658" s="1">
        <v>46160</v>
      </c>
      <c r="B658" t="s">
        <v>116</v>
      </c>
      <c r="C658" s="2" t="s">
        <v>362</v>
      </c>
      <c r="D658" t="s">
        <v>30</v>
      </c>
      <c r="E658">
        <v>1220</v>
      </c>
      <c r="F658">
        <v>1034.56</v>
      </c>
      <c r="G658">
        <v>185.44</v>
      </c>
      <c r="H658">
        <v>17.920000000000002</v>
      </c>
      <c r="I658" t="s">
        <v>111</v>
      </c>
    </row>
    <row r="659" spans="1:9" x14ac:dyDescent="0.25">
      <c r="A659" s="1">
        <v>46160</v>
      </c>
      <c r="B659" t="s">
        <v>116</v>
      </c>
      <c r="C659" s="2" t="s">
        <v>363</v>
      </c>
      <c r="D659" t="s">
        <v>30</v>
      </c>
      <c r="E659">
        <v>1220</v>
      </c>
      <c r="F659">
        <v>1034.56</v>
      </c>
      <c r="G659">
        <v>185.44</v>
      </c>
      <c r="H659">
        <v>17.920000000000002</v>
      </c>
      <c r="I659" t="s">
        <v>111</v>
      </c>
    </row>
    <row r="660" spans="1:9" x14ac:dyDescent="0.25">
      <c r="A660" s="1">
        <v>46160</v>
      </c>
      <c r="B660" t="s">
        <v>116</v>
      </c>
      <c r="C660" s="2" t="s">
        <v>364</v>
      </c>
      <c r="D660" t="s">
        <v>30</v>
      </c>
      <c r="E660">
        <v>1220</v>
      </c>
      <c r="F660">
        <v>1037.1600000000001</v>
      </c>
      <c r="G660">
        <v>182.84</v>
      </c>
      <c r="H660">
        <v>17.63</v>
      </c>
      <c r="I660" t="s">
        <v>111</v>
      </c>
    </row>
    <row r="661" spans="1:9" x14ac:dyDescent="0.25">
      <c r="A661" s="1">
        <v>46160</v>
      </c>
      <c r="B661" t="s">
        <v>116</v>
      </c>
      <c r="C661" s="2" t="s">
        <v>365</v>
      </c>
      <c r="D661" t="s">
        <v>30</v>
      </c>
      <c r="E661">
        <v>1220</v>
      </c>
      <c r="F661">
        <v>1034.92</v>
      </c>
      <c r="G661">
        <v>185.08</v>
      </c>
      <c r="H661">
        <v>17.88</v>
      </c>
      <c r="I661" t="s">
        <v>111</v>
      </c>
    </row>
    <row r="662" spans="1:9" x14ac:dyDescent="0.25">
      <c r="A662" s="1">
        <v>46160</v>
      </c>
      <c r="B662" t="s">
        <v>116</v>
      </c>
      <c r="C662" s="2" t="s">
        <v>366</v>
      </c>
      <c r="D662" t="s">
        <v>30</v>
      </c>
      <c r="E662">
        <v>1220</v>
      </c>
      <c r="F662">
        <v>1034.56</v>
      </c>
      <c r="G662">
        <v>185.44</v>
      </c>
      <c r="H662">
        <v>17.920000000000002</v>
      </c>
      <c r="I662" t="s">
        <v>111</v>
      </c>
    </row>
    <row r="663" spans="1:9" x14ac:dyDescent="0.25">
      <c r="A663" s="1">
        <v>46160</v>
      </c>
      <c r="B663" t="s">
        <v>116</v>
      </c>
      <c r="C663" s="2" t="s">
        <v>367</v>
      </c>
      <c r="D663" t="s">
        <v>30</v>
      </c>
      <c r="E663">
        <v>1220</v>
      </c>
      <c r="F663">
        <v>1037.1600000000001</v>
      </c>
      <c r="G663">
        <v>182.84</v>
      </c>
      <c r="H663">
        <v>17.63</v>
      </c>
      <c r="I663" t="s">
        <v>111</v>
      </c>
    </row>
    <row r="664" spans="1:9" x14ac:dyDescent="0.25">
      <c r="A664" s="1">
        <v>46160</v>
      </c>
      <c r="B664" t="s">
        <v>116</v>
      </c>
      <c r="C664" s="2" t="s">
        <v>368</v>
      </c>
      <c r="D664" t="s">
        <v>30</v>
      </c>
      <c r="E664">
        <v>1220</v>
      </c>
      <c r="F664">
        <v>1037.1600000000001</v>
      </c>
      <c r="G664">
        <v>182.84</v>
      </c>
      <c r="H664">
        <v>17.63</v>
      </c>
      <c r="I664" t="s">
        <v>111</v>
      </c>
    </row>
    <row r="665" spans="1:9" x14ac:dyDescent="0.25">
      <c r="A665" s="1">
        <v>46160</v>
      </c>
      <c r="B665" t="s">
        <v>116</v>
      </c>
      <c r="C665" s="2" t="s">
        <v>369</v>
      </c>
      <c r="D665" t="s">
        <v>30</v>
      </c>
      <c r="E665">
        <v>1220</v>
      </c>
      <c r="F665">
        <v>1034.56</v>
      </c>
      <c r="G665">
        <v>185.44</v>
      </c>
      <c r="H665">
        <v>17.920000000000002</v>
      </c>
      <c r="I665" t="s">
        <v>111</v>
      </c>
    </row>
    <row r="666" spans="1:9" x14ac:dyDescent="0.25">
      <c r="A666" s="1">
        <v>46160</v>
      </c>
      <c r="B666" t="s">
        <v>116</v>
      </c>
      <c r="C666" s="2" t="s">
        <v>370</v>
      </c>
      <c r="D666" t="s">
        <v>30</v>
      </c>
      <c r="E666">
        <v>1220</v>
      </c>
      <c r="F666">
        <v>1034.56</v>
      </c>
      <c r="G666">
        <v>185.44</v>
      </c>
      <c r="H666">
        <v>17.920000000000002</v>
      </c>
      <c r="I666" t="s">
        <v>111</v>
      </c>
    </row>
    <row r="667" spans="1:9" x14ac:dyDescent="0.25">
      <c r="A667" s="1">
        <v>46160</v>
      </c>
      <c r="B667" t="s">
        <v>116</v>
      </c>
      <c r="C667" s="2" t="s">
        <v>371</v>
      </c>
      <c r="D667" t="s">
        <v>30</v>
      </c>
      <c r="E667">
        <v>1220</v>
      </c>
      <c r="F667">
        <v>1034.56</v>
      </c>
      <c r="G667">
        <v>185.44</v>
      </c>
      <c r="H667">
        <v>17.920000000000002</v>
      </c>
      <c r="I667" t="s">
        <v>111</v>
      </c>
    </row>
    <row r="668" spans="1:9" x14ac:dyDescent="0.25">
      <c r="A668" s="1">
        <v>46160</v>
      </c>
      <c r="B668" t="s">
        <v>116</v>
      </c>
      <c r="C668" s="2" t="s">
        <v>372</v>
      </c>
      <c r="D668" t="s">
        <v>30</v>
      </c>
      <c r="E668">
        <v>1220</v>
      </c>
      <c r="F668">
        <v>1034.56</v>
      </c>
      <c r="G668">
        <v>185.44</v>
      </c>
      <c r="H668">
        <v>17.920000000000002</v>
      </c>
      <c r="I668" t="s">
        <v>111</v>
      </c>
    </row>
    <row r="669" spans="1:9" x14ac:dyDescent="0.25">
      <c r="A669" s="1">
        <v>46160</v>
      </c>
      <c r="B669" t="s">
        <v>116</v>
      </c>
      <c r="C669" s="2" t="s">
        <v>373</v>
      </c>
      <c r="D669" t="s">
        <v>30</v>
      </c>
      <c r="E669">
        <v>1220</v>
      </c>
      <c r="F669">
        <v>1037.1600000000001</v>
      </c>
      <c r="G669">
        <v>182.84</v>
      </c>
      <c r="H669">
        <v>17.63</v>
      </c>
      <c r="I669" t="s">
        <v>111</v>
      </c>
    </row>
    <row r="670" spans="1:9" x14ac:dyDescent="0.25">
      <c r="A670" s="1">
        <v>46160</v>
      </c>
      <c r="B670" t="s">
        <v>116</v>
      </c>
      <c r="C670" s="2" t="s">
        <v>374</v>
      </c>
      <c r="D670" t="s">
        <v>30</v>
      </c>
      <c r="E670">
        <v>1220</v>
      </c>
      <c r="F670">
        <v>1034.56</v>
      </c>
      <c r="G670">
        <v>185.44</v>
      </c>
      <c r="H670">
        <v>17.920000000000002</v>
      </c>
      <c r="I670" t="s">
        <v>111</v>
      </c>
    </row>
    <row r="671" spans="1:9" x14ac:dyDescent="0.25">
      <c r="A671" s="1">
        <v>46160</v>
      </c>
      <c r="B671" t="s">
        <v>116</v>
      </c>
      <c r="C671" s="2" t="s">
        <v>375</v>
      </c>
      <c r="D671" t="s">
        <v>30</v>
      </c>
      <c r="E671">
        <v>1220</v>
      </c>
      <c r="F671">
        <v>1034.56</v>
      </c>
      <c r="G671">
        <v>185.44</v>
      </c>
      <c r="H671">
        <v>17.920000000000002</v>
      </c>
      <c r="I671" t="s">
        <v>111</v>
      </c>
    </row>
    <row r="672" spans="1:9" x14ac:dyDescent="0.25">
      <c r="A672" s="1">
        <v>46160</v>
      </c>
      <c r="B672" t="s">
        <v>116</v>
      </c>
      <c r="C672" s="2" t="s">
        <v>376</v>
      </c>
      <c r="D672" t="s">
        <v>30</v>
      </c>
      <c r="E672">
        <v>1220</v>
      </c>
      <c r="F672">
        <v>1034.56</v>
      </c>
      <c r="G672">
        <v>185.44</v>
      </c>
      <c r="H672">
        <v>17.920000000000002</v>
      </c>
      <c r="I672" t="s">
        <v>111</v>
      </c>
    </row>
    <row r="673" spans="1:10" x14ac:dyDescent="0.25">
      <c r="A673" s="1">
        <v>46161</v>
      </c>
      <c r="B673" t="s">
        <v>377</v>
      </c>
      <c r="C673" s="2">
        <v>358911632167553</v>
      </c>
      <c r="D673" t="s">
        <v>30</v>
      </c>
      <c r="E673">
        <v>1189.8699999999999</v>
      </c>
      <c r="F673">
        <v>130</v>
      </c>
      <c r="G673">
        <v>1059.8699999999999</v>
      </c>
      <c r="H673">
        <v>815.28</v>
      </c>
      <c r="I673" t="s">
        <v>36</v>
      </c>
    </row>
    <row r="674" spans="1:10" x14ac:dyDescent="0.25">
      <c r="A674" s="1">
        <v>46161</v>
      </c>
      <c r="B674" t="s">
        <v>131</v>
      </c>
      <c r="C674" s="2">
        <v>355827875625839</v>
      </c>
      <c r="D674" t="s">
        <v>378</v>
      </c>
      <c r="E674">
        <v>2220</v>
      </c>
      <c r="F674">
        <v>2374.0500000000002</v>
      </c>
      <c r="G674">
        <v>-154.05000000000001</v>
      </c>
      <c r="H674">
        <v>-6.49</v>
      </c>
      <c r="I674" t="s">
        <v>18</v>
      </c>
      <c r="J674" t="s">
        <v>26</v>
      </c>
    </row>
    <row r="675" spans="1:10" x14ac:dyDescent="0.25">
      <c r="A675" s="1">
        <v>46161</v>
      </c>
      <c r="B675" t="s">
        <v>131</v>
      </c>
      <c r="C675" s="2">
        <v>358135795306820</v>
      </c>
      <c r="D675" t="s">
        <v>379</v>
      </c>
      <c r="E675">
        <v>2480</v>
      </c>
      <c r="F675">
        <v>2374.0500000000002</v>
      </c>
      <c r="G675">
        <v>105.95</v>
      </c>
      <c r="H675">
        <v>4.46</v>
      </c>
      <c r="I675" t="s">
        <v>18</v>
      </c>
    </row>
    <row r="676" spans="1:10" x14ac:dyDescent="0.25">
      <c r="A676" s="1">
        <v>46161</v>
      </c>
      <c r="B676" t="s">
        <v>279</v>
      </c>
      <c r="C676" s="2" t="s">
        <v>380</v>
      </c>
      <c r="D676" t="s">
        <v>381</v>
      </c>
      <c r="E676">
        <v>2230</v>
      </c>
      <c r="F676">
        <v>2070.6</v>
      </c>
      <c r="G676">
        <v>159.4</v>
      </c>
      <c r="H676">
        <v>7.7</v>
      </c>
      <c r="I676" t="s">
        <v>18</v>
      </c>
    </row>
    <row r="677" spans="1:10" x14ac:dyDescent="0.25">
      <c r="A677" s="1">
        <v>46161</v>
      </c>
      <c r="B677" t="s">
        <v>283</v>
      </c>
      <c r="C677" s="2">
        <v>358112936200980</v>
      </c>
      <c r="D677" t="s">
        <v>382</v>
      </c>
      <c r="E677">
        <v>3510</v>
      </c>
      <c r="F677">
        <v>3284.4</v>
      </c>
      <c r="G677">
        <v>225.6</v>
      </c>
      <c r="H677">
        <v>6.87</v>
      </c>
      <c r="I677" t="s">
        <v>18</v>
      </c>
    </row>
    <row r="678" spans="1:10" x14ac:dyDescent="0.25">
      <c r="A678" s="1">
        <v>46161</v>
      </c>
      <c r="B678" t="s">
        <v>286</v>
      </c>
      <c r="C678" s="2" t="s">
        <v>383</v>
      </c>
      <c r="D678" t="s">
        <v>382</v>
      </c>
      <c r="E678">
        <v>3700</v>
      </c>
      <c r="F678">
        <v>3677.1</v>
      </c>
      <c r="G678">
        <v>22.9</v>
      </c>
      <c r="H678">
        <v>0.62</v>
      </c>
      <c r="I678" t="s">
        <v>18</v>
      </c>
    </row>
    <row r="679" spans="1:10" x14ac:dyDescent="0.25">
      <c r="A679" s="1">
        <v>46161</v>
      </c>
      <c r="B679" t="s">
        <v>286</v>
      </c>
      <c r="C679" s="2" t="s">
        <v>384</v>
      </c>
      <c r="D679" t="s">
        <v>385</v>
      </c>
      <c r="E679">
        <v>3700</v>
      </c>
      <c r="F679">
        <v>3677.1</v>
      </c>
      <c r="G679">
        <v>22.9</v>
      </c>
      <c r="H679">
        <v>0.62</v>
      </c>
      <c r="I679" t="s">
        <v>18</v>
      </c>
    </row>
    <row r="680" spans="1:10" x14ac:dyDescent="0.25">
      <c r="A680" s="1">
        <v>46161</v>
      </c>
      <c r="B680" t="s">
        <v>304</v>
      </c>
      <c r="C680" s="2">
        <v>352355701407886</v>
      </c>
      <c r="D680" t="s">
        <v>382</v>
      </c>
      <c r="E680">
        <v>3850</v>
      </c>
      <c r="F680">
        <v>3677.1</v>
      </c>
      <c r="G680">
        <v>172.9</v>
      </c>
      <c r="H680">
        <v>4.7</v>
      </c>
      <c r="I680" t="s">
        <v>18</v>
      </c>
    </row>
    <row r="681" spans="1:10" x14ac:dyDescent="0.25">
      <c r="A681" s="1">
        <v>46161</v>
      </c>
      <c r="B681" t="s">
        <v>304</v>
      </c>
      <c r="C681" s="2">
        <v>352355702222268</v>
      </c>
      <c r="D681" t="s">
        <v>382</v>
      </c>
      <c r="E681">
        <v>3850</v>
      </c>
      <c r="F681">
        <v>3677.1</v>
      </c>
      <c r="G681">
        <v>172.9</v>
      </c>
      <c r="H681">
        <v>4.7</v>
      </c>
      <c r="I681" t="s">
        <v>18</v>
      </c>
    </row>
    <row r="682" spans="1:10" x14ac:dyDescent="0.25">
      <c r="A682" s="1">
        <v>46161</v>
      </c>
      <c r="B682" t="s">
        <v>304</v>
      </c>
      <c r="C682" s="2">
        <v>352355703294001</v>
      </c>
      <c r="D682" t="s">
        <v>382</v>
      </c>
      <c r="E682">
        <v>3850</v>
      </c>
      <c r="F682">
        <v>3677.1</v>
      </c>
      <c r="G682">
        <v>172.9</v>
      </c>
      <c r="H682">
        <v>4.7</v>
      </c>
      <c r="I682" t="s">
        <v>18</v>
      </c>
    </row>
    <row r="683" spans="1:10" x14ac:dyDescent="0.25">
      <c r="A683" s="1">
        <v>46161</v>
      </c>
      <c r="B683" t="s">
        <v>304</v>
      </c>
      <c r="C683" s="2">
        <v>352355704514183</v>
      </c>
      <c r="D683" t="s">
        <v>382</v>
      </c>
      <c r="E683">
        <v>3850</v>
      </c>
      <c r="F683">
        <v>3677.1</v>
      </c>
      <c r="G683">
        <v>172.9</v>
      </c>
      <c r="H683">
        <v>4.7</v>
      </c>
      <c r="I683" t="s">
        <v>18</v>
      </c>
    </row>
    <row r="684" spans="1:10" x14ac:dyDescent="0.25">
      <c r="A684" s="1">
        <v>46161</v>
      </c>
      <c r="B684" t="s">
        <v>304</v>
      </c>
      <c r="C684" s="2">
        <v>352355707399269</v>
      </c>
      <c r="D684" t="s">
        <v>382</v>
      </c>
      <c r="E684">
        <v>3850</v>
      </c>
      <c r="F684">
        <v>3677.1</v>
      </c>
      <c r="G684">
        <v>172.9</v>
      </c>
      <c r="H684">
        <v>4.7</v>
      </c>
      <c r="I684" t="s">
        <v>18</v>
      </c>
    </row>
    <row r="685" spans="1:10" x14ac:dyDescent="0.25">
      <c r="A685" s="1">
        <v>46161</v>
      </c>
      <c r="B685" t="s">
        <v>304</v>
      </c>
      <c r="C685" s="2">
        <v>352355707872844</v>
      </c>
      <c r="D685" t="s">
        <v>382</v>
      </c>
      <c r="E685">
        <v>3850</v>
      </c>
      <c r="F685">
        <v>3677.1</v>
      </c>
      <c r="G685">
        <v>172.9</v>
      </c>
      <c r="H685">
        <v>4.7</v>
      </c>
      <c r="I685" t="s">
        <v>18</v>
      </c>
    </row>
    <row r="686" spans="1:10" x14ac:dyDescent="0.25">
      <c r="A686" s="1">
        <v>46161</v>
      </c>
      <c r="B686" t="s">
        <v>304</v>
      </c>
      <c r="C686" s="2">
        <v>352355707925519</v>
      </c>
      <c r="D686" t="s">
        <v>382</v>
      </c>
      <c r="E686">
        <v>3850</v>
      </c>
      <c r="F686">
        <v>3677.1</v>
      </c>
      <c r="G686">
        <v>172.9</v>
      </c>
      <c r="H686">
        <v>4.7</v>
      </c>
      <c r="I686" t="s">
        <v>18</v>
      </c>
    </row>
    <row r="687" spans="1:10" x14ac:dyDescent="0.25">
      <c r="A687" s="1">
        <v>46161</v>
      </c>
      <c r="B687" t="s">
        <v>304</v>
      </c>
      <c r="C687" s="2">
        <v>352355708437159</v>
      </c>
      <c r="D687" t="s">
        <v>382</v>
      </c>
      <c r="E687">
        <v>3850</v>
      </c>
      <c r="F687">
        <v>3677.1</v>
      </c>
      <c r="G687">
        <v>172.9</v>
      </c>
      <c r="H687">
        <v>4.7</v>
      </c>
      <c r="I687" t="s">
        <v>18</v>
      </c>
    </row>
    <row r="688" spans="1:10" x14ac:dyDescent="0.25">
      <c r="A688" s="1">
        <v>46161</v>
      </c>
      <c r="B688" t="s">
        <v>32</v>
      </c>
      <c r="C688" s="2">
        <v>350552898933284</v>
      </c>
      <c r="D688" t="s">
        <v>35</v>
      </c>
      <c r="E688">
        <v>2960</v>
      </c>
      <c r="F688">
        <v>2960</v>
      </c>
      <c r="G688">
        <v>0</v>
      </c>
      <c r="H688">
        <v>0</v>
      </c>
      <c r="I688" t="s">
        <v>36</v>
      </c>
    </row>
    <row r="689" spans="1:10" x14ac:dyDescent="0.25">
      <c r="A689" s="1">
        <v>46161</v>
      </c>
      <c r="B689" t="s">
        <v>32</v>
      </c>
      <c r="C689" s="2">
        <v>359144419895092</v>
      </c>
      <c r="D689" t="s">
        <v>91</v>
      </c>
      <c r="E689">
        <v>4850</v>
      </c>
      <c r="F689">
        <v>5063.53</v>
      </c>
      <c r="G689">
        <v>-213.53</v>
      </c>
      <c r="H689">
        <v>-4.22</v>
      </c>
      <c r="I689" t="s">
        <v>111</v>
      </c>
      <c r="J689" t="s">
        <v>26</v>
      </c>
    </row>
    <row r="690" spans="1:10" x14ac:dyDescent="0.25">
      <c r="A690" s="1">
        <v>46161</v>
      </c>
      <c r="B690" t="s">
        <v>341</v>
      </c>
      <c r="C690" s="2" t="s">
        <v>386</v>
      </c>
      <c r="D690" t="s">
        <v>30</v>
      </c>
      <c r="E690">
        <v>5570</v>
      </c>
      <c r="F690">
        <v>5213.99</v>
      </c>
      <c r="G690">
        <v>356.01</v>
      </c>
      <c r="H690">
        <v>6.83</v>
      </c>
      <c r="I690" t="s">
        <v>111</v>
      </c>
    </row>
    <row r="691" spans="1:10" x14ac:dyDescent="0.25">
      <c r="A691" s="1">
        <v>46161</v>
      </c>
      <c r="B691" t="s">
        <v>341</v>
      </c>
      <c r="C691" s="2" t="s">
        <v>387</v>
      </c>
      <c r="D691" t="s">
        <v>30</v>
      </c>
      <c r="E691">
        <v>5570</v>
      </c>
      <c r="F691">
        <v>4982.8500000000004</v>
      </c>
      <c r="G691">
        <v>587.15</v>
      </c>
      <c r="H691">
        <v>11.78</v>
      </c>
      <c r="I691" t="s">
        <v>111</v>
      </c>
    </row>
    <row r="692" spans="1:10" x14ac:dyDescent="0.25">
      <c r="A692" s="1">
        <v>46161</v>
      </c>
      <c r="B692" t="s">
        <v>341</v>
      </c>
      <c r="C692" s="2" t="s">
        <v>388</v>
      </c>
      <c r="D692" t="s">
        <v>30</v>
      </c>
      <c r="E692">
        <v>5570</v>
      </c>
      <c r="F692">
        <v>5213.99</v>
      </c>
      <c r="G692">
        <v>356.01</v>
      </c>
      <c r="H692">
        <v>6.83</v>
      </c>
      <c r="I692" t="s">
        <v>111</v>
      </c>
    </row>
    <row r="693" spans="1:10" x14ac:dyDescent="0.25">
      <c r="A693" s="1">
        <v>46161</v>
      </c>
      <c r="B693" t="s">
        <v>341</v>
      </c>
      <c r="C693" s="2" t="s">
        <v>389</v>
      </c>
      <c r="D693" t="s">
        <v>30</v>
      </c>
      <c r="E693">
        <v>5550</v>
      </c>
      <c r="F693">
        <v>5213.99</v>
      </c>
      <c r="G693">
        <v>336.01</v>
      </c>
      <c r="H693">
        <v>6.44</v>
      </c>
      <c r="I693" t="s">
        <v>111</v>
      </c>
    </row>
    <row r="694" spans="1:10" x14ac:dyDescent="0.25">
      <c r="A694" s="1">
        <v>46161</v>
      </c>
      <c r="B694" t="s">
        <v>341</v>
      </c>
      <c r="C694" s="2" t="s">
        <v>390</v>
      </c>
      <c r="D694" t="s">
        <v>30</v>
      </c>
      <c r="E694">
        <v>5570</v>
      </c>
      <c r="F694">
        <v>5213.99</v>
      </c>
      <c r="G694">
        <v>356.01</v>
      </c>
      <c r="H694">
        <v>6.83</v>
      </c>
      <c r="I694" t="s">
        <v>111</v>
      </c>
    </row>
    <row r="695" spans="1:10" x14ac:dyDescent="0.25">
      <c r="A695" s="1">
        <v>46161</v>
      </c>
      <c r="B695" t="s">
        <v>341</v>
      </c>
      <c r="C695" s="2" t="s">
        <v>391</v>
      </c>
      <c r="D695" t="s">
        <v>30</v>
      </c>
      <c r="E695">
        <v>5570</v>
      </c>
      <c r="F695">
        <v>5213.99</v>
      </c>
      <c r="G695">
        <v>356.01</v>
      </c>
      <c r="H695">
        <v>6.83</v>
      </c>
      <c r="I695" t="s">
        <v>111</v>
      </c>
    </row>
    <row r="696" spans="1:10" x14ac:dyDescent="0.25">
      <c r="A696" s="1">
        <v>46161</v>
      </c>
      <c r="B696" t="s">
        <v>341</v>
      </c>
      <c r="C696" s="2" t="s">
        <v>392</v>
      </c>
      <c r="D696" t="s">
        <v>30</v>
      </c>
      <c r="E696">
        <v>5570</v>
      </c>
      <c r="F696">
        <v>5169.6499999999996</v>
      </c>
      <c r="G696">
        <v>400.35</v>
      </c>
      <c r="H696">
        <v>7.74</v>
      </c>
      <c r="I696" t="s">
        <v>111</v>
      </c>
    </row>
    <row r="697" spans="1:10" x14ac:dyDescent="0.25">
      <c r="A697" s="1">
        <v>46161</v>
      </c>
      <c r="B697" t="s">
        <v>341</v>
      </c>
      <c r="C697" s="2" t="s">
        <v>393</v>
      </c>
      <c r="D697" t="s">
        <v>30</v>
      </c>
      <c r="E697">
        <v>5570</v>
      </c>
      <c r="F697">
        <v>5213.99</v>
      </c>
      <c r="G697">
        <v>356.01</v>
      </c>
      <c r="H697">
        <v>6.83</v>
      </c>
      <c r="I697" t="s">
        <v>111</v>
      </c>
    </row>
    <row r="698" spans="1:10" x14ac:dyDescent="0.25">
      <c r="A698" s="1">
        <v>46161</v>
      </c>
      <c r="B698" t="s">
        <v>341</v>
      </c>
      <c r="C698" s="2" t="s">
        <v>394</v>
      </c>
      <c r="D698" t="s">
        <v>30</v>
      </c>
      <c r="E698">
        <v>5570</v>
      </c>
      <c r="F698">
        <v>5169.6499999999996</v>
      </c>
      <c r="G698">
        <v>400.35</v>
      </c>
      <c r="H698">
        <v>7.74</v>
      </c>
      <c r="I698" t="s">
        <v>111</v>
      </c>
    </row>
    <row r="699" spans="1:10" x14ac:dyDescent="0.25">
      <c r="A699" s="1">
        <v>46161</v>
      </c>
      <c r="B699" t="s">
        <v>341</v>
      </c>
      <c r="C699" s="2" t="s">
        <v>395</v>
      </c>
      <c r="D699" t="s">
        <v>30</v>
      </c>
      <c r="E699">
        <v>5570</v>
      </c>
      <c r="F699">
        <v>4982.8500000000004</v>
      </c>
      <c r="G699">
        <v>587.15</v>
      </c>
      <c r="H699">
        <v>11.78</v>
      </c>
      <c r="I699" t="s">
        <v>111</v>
      </c>
    </row>
    <row r="700" spans="1:10" x14ac:dyDescent="0.25">
      <c r="A700" s="1">
        <v>46161</v>
      </c>
      <c r="B700" t="s">
        <v>341</v>
      </c>
      <c r="C700" s="2" t="s">
        <v>396</v>
      </c>
      <c r="D700" t="s">
        <v>30</v>
      </c>
      <c r="E700">
        <v>5570</v>
      </c>
      <c r="F700">
        <v>4982.8500000000004</v>
      </c>
      <c r="G700">
        <v>587.15</v>
      </c>
      <c r="H700">
        <v>11.78</v>
      </c>
      <c r="I700" t="s">
        <v>111</v>
      </c>
    </row>
    <row r="701" spans="1:10" x14ac:dyDescent="0.25">
      <c r="A701" s="1">
        <v>46161</v>
      </c>
      <c r="B701" t="s">
        <v>341</v>
      </c>
      <c r="C701" s="2" t="s">
        <v>397</v>
      </c>
      <c r="D701" t="s">
        <v>30</v>
      </c>
      <c r="E701">
        <v>5570</v>
      </c>
      <c r="F701">
        <v>5169.6499999999996</v>
      </c>
      <c r="G701">
        <v>400.35</v>
      </c>
      <c r="H701">
        <v>7.74</v>
      </c>
      <c r="I701" t="s">
        <v>111</v>
      </c>
    </row>
    <row r="702" spans="1:10" x14ac:dyDescent="0.25">
      <c r="A702" s="1">
        <v>46161</v>
      </c>
      <c r="B702" t="s">
        <v>341</v>
      </c>
      <c r="C702" s="2" t="s">
        <v>398</v>
      </c>
      <c r="D702" t="s">
        <v>30</v>
      </c>
      <c r="E702">
        <v>5570</v>
      </c>
      <c r="F702">
        <v>5213.99</v>
      </c>
      <c r="G702">
        <v>356.01</v>
      </c>
      <c r="H702">
        <v>6.83</v>
      </c>
      <c r="I702" t="s">
        <v>111</v>
      </c>
    </row>
    <row r="703" spans="1:10" x14ac:dyDescent="0.25">
      <c r="A703" s="1">
        <v>46161</v>
      </c>
      <c r="B703" t="s">
        <v>341</v>
      </c>
      <c r="C703" s="2" t="s">
        <v>399</v>
      </c>
      <c r="D703" t="s">
        <v>30</v>
      </c>
      <c r="E703">
        <v>5550</v>
      </c>
      <c r="F703">
        <v>5213.99</v>
      </c>
      <c r="G703">
        <v>336.01</v>
      </c>
      <c r="H703">
        <v>6.44</v>
      </c>
      <c r="I703" t="s">
        <v>111</v>
      </c>
    </row>
    <row r="704" spans="1:10" x14ac:dyDescent="0.25">
      <c r="A704" s="1">
        <v>46161</v>
      </c>
      <c r="B704" t="s">
        <v>341</v>
      </c>
      <c r="C704" s="2" t="s">
        <v>400</v>
      </c>
      <c r="D704" t="s">
        <v>30</v>
      </c>
      <c r="E704">
        <v>5570</v>
      </c>
      <c r="F704">
        <v>4982.8500000000004</v>
      </c>
      <c r="G704">
        <v>587.15</v>
      </c>
      <c r="H704">
        <v>11.78</v>
      </c>
      <c r="I704" t="s">
        <v>111</v>
      </c>
    </row>
    <row r="705" spans="1:9" x14ac:dyDescent="0.25">
      <c r="A705" s="1">
        <v>46161</v>
      </c>
      <c r="B705" t="s">
        <v>341</v>
      </c>
      <c r="C705" s="2" t="s">
        <v>401</v>
      </c>
      <c r="D705" t="s">
        <v>30</v>
      </c>
      <c r="E705">
        <v>5550</v>
      </c>
      <c r="F705">
        <v>5213.99</v>
      </c>
      <c r="G705">
        <v>336.01</v>
      </c>
      <c r="H705">
        <v>6.44</v>
      </c>
      <c r="I705" t="s">
        <v>111</v>
      </c>
    </row>
    <row r="706" spans="1:9" x14ac:dyDescent="0.25">
      <c r="A706" s="1">
        <v>46161</v>
      </c>
      <c r="B706" t="s">
        <v>341</v>
      </c>
      <c r="C706" s="2" t="s">
        <v>402</v>
      </c>
      <c r="D706" t="s">
        <v>30</v>
      </c>
      <c r="E706">
        <v>5550</v>
      </c>
      <c r="F706">
        <v>5213.99</v>
      </c>
      <c r="G706">
        <v>336.01</v>
      </c>
      <c r="H706">
        <v>6.44</v>
      </c>
      <c r="I706" t="s">
        <v>111</v>
      </c>
    </row>
    <row r="707" spans="1:9" x14ac:dyDescent="0.25">
      <c r="A707" s="1">
        <v>46161</v>
      </c>
      <c r="B707" t="s">
        <v>341</v>
      </c>
      <c r="C707" s="2" t="s">
        <v>403</v>
      </c>
      <c r="D707" t="s">
        <v>30</v>
      </c>
      <c r="E707">
        <v>5570</v>
      </c>
      <c r="F707">
        <v>5169.6499999999996</v>
      </c>
      <c r="G707">
        <v>400.35</v>
      </c>
      <c r="H707">
        <v>7.74</v>
      </c>
      <c r="I707" t="s">
        <v>111</v>
      </c>
    </row>
    <row r="708" spans="1:9" x14ac:dyDescent="0.25">
      <c r="A708" s="1">
        <v>46161</v>
      </c>
      <c r="B708" t="s">
        <v>341</v>
      </c>
      <c r="C708" s="2" t="s">
        <v>404</v>
      </c>
      <c r="D708" t="s">
        <v>30</v>
      </c>
      <c r="E708">
        <v>5570</v>
      </c>
      <c r="F708">
        <v>4982.8500000000004</v>
      </c>
      <c r="G708">
        <v>587.15</v>
      </c>
      <c r="H708">
        <v>11.78</v>
      </c>
      <c r="I708" t="s">
        <v>111</v>
      </c>
    </row>
    <row r="709" spans="1:9" x14ac:dyDescent="0.25">
      <c r="A709" s="1">
        <v>46161</v>
      </c>
      <c r="B709" t="s">
        <v>341</v>
      </c>
      <c r="C709" s="2" t="s">
        <v>405</v>
      </c>
      <c r="D709" t="s">
        <v>30</v>
      </c>
      <c r="E709">
        <v>5570</v>
      </c>
      <c r="F709">
        <v>4982.8500000000004</v>
      </c>
      <c r="G709">
        <v>587.15</v>
      </c>
      <c r="H709">
        <v>11.78</v>
      </c>
      <c r="I709" t="s">
        <v>111</v>
      </c>
    </row>
    <row r="710" spans="1:9" x14ac:dyDescent="0.25">
      <c r="A710" s="1">
        <v>46161</v>
      </c>
      <c r="B710" t="s">
        <v>341</v>
      </c>
      <c r="C710" s="2" t="s">
        <v>406</v>
      </c>
      <c r="D710" t="s">
        <v>30</v>
      </c>
      <c r="E710">
        <v>5570</v>
      </c>
      <c r="F710">
        <v>4982.8500000000004</v>
      </c>
      <c r="G710">
        <v>587.15</v>
      </c>
      <c r="H710">
        <v>11.78</v>
      </c>
      <c r="I710" t="s">
        <v>111</v>
      </c>
    </row>
    <row r="711" spans="1:9" x14ac:dyDescent="0.25">
      <c r="A711" s="1">
        <v>46161</v>
      </c>
      <c r="B711" t="s">
        <v>341</v>
      </c>
      <c r="C711" s="2" t="s">
        <v>407</v>
      </c>
      <c r="D711" t="s">
        <v>30</v>
      </c>
      <c r="E711">
        <v>5550</v>
      </c>
      <c r="F711">
        <v>5213.99</v>
      </c>
      <c r="G711">
        <v>336.01</v>
      </c>
      <c r="H711">
        <v>6.44</v>
      </c>
      <c r="I711" t="s">
        <v>111</v>
      </c>
    </row>
    <row r="712" spans="1:9" x14ac:dyDescent="0.25">
      <c r="A712" s="1">
        <v>46161</v>
      </c>
      <c r="B712" t="s">
        <v>341</v>
      </c>
      <c r="C712" s="2" t="s">
        <v>408</v>
      </c>
      <c r="D712" t="s">
        <v>30</v>
      </c>
      <c r="E712">
        <v>5570</v>
      </c>
      <c r="F712">
        <v>5169.6499999999996</v>
      </c>
      <c r="G712">
        <v>400.35</v>
      </c>
      <c r="H712">
        <v>7.74</v>
      </c>
      <c r="I712" t="s">
        <v>111</v>
      </c>
    </row>
    <row r="713" spans="1:9" x14ac:dyDescent="0.25">
      <c r="A713" s="1">
        <v>46161</v>
      </c>
      <c r="B713" t="s">
        <v>341</v>
      </c>
      <c r="C713" s="2" t="s">
        <v>409</v>
      </c>
      <c r="D713" t="s">
        <v>30</v>
      </c>
      <c r="E713">
        <v>5570</v>
      </c>
      <c r="F713">
        <v>5213.99</v>
      </c>
      <c r="G713">
        <v>356.01</v>
      </c>
      <c r="H713">
        <v>6.83</v>
      </c>
      <c r="I713" t="s">
        <v>111</v>
      </c>
    </row>
    <row r="714" spans="1:9" x14ac:dyDescent="0.25">
      <c r="A714" s="1">
        <v>46161</v>
      </c>
      <c r="B714" t="s">
        <v>341</v>
      </c>
      <c r="C714" s="2" t="s">
        <v>410</v>
      </c>
      <c r="D714" t="s">
        <v>30</v>
      </c>
      <c r="E714">
        <v>5550</v>
      </c>
      <c r="F714">
        <v>5213.99</v>
      </c>
      <c r="G714">
        <v>336.01</v>
      </c>
      <c r="H714">
        <v>6.44</v>
      </c>
      <c r="I714" t="s">
        <v>111</v>
      </c>
    </row>
    <row r="715" spans="1:9" x14ac:dyDescent="0.25">
      <c r="A715" s="1">
        <v>46161</v>
      </c>
      <c r="B715" t="s">
        <v>341</v>
      </c>
      <c r="C715" s="2" t="s">
        <v>411</v>
      </c>
      <c r="D715" t="s">
        <v>30</v>
      </c>
      <c r="E715">
        <v>5570</v>
      </c>
      <c r="F715">
        <v>5213.99</v>
      </c>
      <c r="G715">
        <v>356.01</v>
      </c>
      <c r="H715">
        <v>6.83</v>
      </c>
      <c r="I715" t="s">
        <v>111</v>
      </c>
    </row>
    <row r="716" spans="1:9" x14ac:dyDescent="0.25">
      <c r="A716" s="1">
        <v>46161</v>
      </c>
      <c r="B716" t="s">
        <v>341</v>
      </c>
      <c r="C716" s="2" t="s">
        <v>412</v>
      </c>
      <c r="D716" t="s">
        <v>30</v>
      </c>
      <c r="E716">
        <v>5570</v>
      </c>
      <c r="F716">
        <v>4982.8500000000004</v>
      </c>
      <c r="G716">
        <v>587.15</v>
      </c>
      <c r="H716">
        <v>11.78</v>
      </c>
      <c r="I716" t="s">
        <v>111</v>
      </c>
    </row>
    <row r="717" spans="1:9" x14ac:dyDescent="0.25">
      <c r="A717" s="1">
        <v>46161</v>
      </c>
      <c r="B717" t="s">
        <v>341</v>
      </c>
      <c r="C717" s="2" t="s">
        <v>413</v>
      </c>
      <c r="D717" t="s">
        <v>30</v>
      </c>
      <c r="E717">
        <v>5570</v>
      </c>
      <c r="F717">
        <v>4982.8500000000004</v>
      </c>
      <c r="G717">
        <v>587.15</v>
      </c>
      <c r="H717">
        <v>11.78</v>
      </c>
      <c r="I717" t="s">
        <v>111</v>
      </c>
    </row>
    <row r="718" spans="1:9" x14ac:dyDescent="0.25">
      <c r="A718" s="1">
        <v>46161</v>
      </c>
      <c r="B718" t="s">
        <v>341</v>
      </c>
      <c r="C718" s="2" t="s">
        <v>414</v>
      </c>
      <c r="D718" t="s">
        <v>30</v>
      </c>
      <c r="E718">
        <v>5570</v>
      </c>
      <c r="F718">
        <v>5169.6499999999996</v>
      </c>
      <c r="G718">
        <v>400.35</v>
      </c>
      <c r="H718">
        <v>7.74</v>
      </c>
      <c r="I718" t="s">
        <v>111</v>
      </c>
    </row>
    <row r="719" spans="1:9" x14ac:dyDescent="0.25">
      <c r="A719" s="1">
        <v>46161</v>
      </c>
      <c r="B719" t="s">
        <v>341</v>
      </c>
      <c r="C719" s="2" t="s">
        <v>415</v>
      </c>
      <c r="D719" t="s">
        <v>30</v>
      </c>
      <c r="E719">
        <v>5570</v>
      </c>
      <c r="F719">
        <v>4982.8500000000004</v>
      </c>
      <c r="G719">
        <v>587.15</v>
      </c>
      <c r="H719">
        <v>11.78</v>
      </c>
      <c r="I719" t="s">
        <v>111</v>
      </c>
    </row>
    <row r="720" spans="1:9" x14ac:dyDescent="0.25">
      <c r="A720" s="1">
        <v>46161</v>
      </c>
      <c r="B720" t="s">
        <v>341</v>
      </c>
      <c r="C720" s="2" t="s">
        <v>416</v>
      </c>
      <c r="D720" t="s">
        <v>30</v>
      </c>
      <c r="E720">
        <v>5550</v>
      </c>
      <c r="F720">
        <v>5213.99</v>
      </c>
      <c r="G720">
        <v>336.01</v>
      </c>
      <c r="H720">
        <v>6.44</v>
      </c>
      <c r="I720" t="s">
        <v>111</v>
      </c>
    </row>
    <row r="721" spans="1:9" x14ac:dyDescent="0.25">
      <c r="A721" s="1">
        <v>46161</v>
      </c>
      <c r="B721" t="s">
        <v>341</v>
      </c>
      <c r="C721" s="2" t="s">
        <v>417</v>
      </c>
      <c r="D721" t="s">
        <v>30</v>
      </c>
      <c r="E721">
        <v>5570</v>
      </c>
      <c r="F721">
        <v>4982.8500000000004</v>
      </c>
      <c r="G721">
        <v>587.15</v>
      </c>
      <c r="H721">
        <v>11.78</v>
      </c>
      <c r="I721" t="s">
        <v>111</v>
      </c>
    </row>
    <row r="722" spans="1:9" x14ac:dyDescent="0.25">
      <c r="A722" s="1">
        <v>46161</v>
      </c>
      <c r="B722" t="s">
        <v>341</v>
      </c>
      <c r="C722" s="2" t="s">
        <v>418</v>
      </c>
      <c r="D722" t="s">
        <v>30</v>
      </c>
      <c r="E722">
        <v>5570</v>
      </c>
      <c r="F722">
        <v>5169.6499999999996</v>
      </c>
      <c r="G722">
        <v>400.35</v>
      </c>
      <c r="H722">
        <v>7.74</v>
      </c>
      <c r="I722" t="s">
        <v>111</v>
      </c>
    </row>
    <row r="723" spans="1:9" x14ac:dyDescent="0.25">
      <c r="A723" s="1">
        <v>46161</v>
      </c>
      <c r="B723" t="s">
        <v>341</v>
      </c>
      <c r="C723" s="2" t="s">
        <v>419</v>
      </c>
      <c r="D723" t="s">
        <v>30</v>
      </c>
      <c r="E723">
        <v>5570</v>
      </c>
      <c r="F723">
        <v>5213.99</v>
      </c>
      <c r="G723">
        <v>356.01</v>
      </c>
      <c r="H723">
        <v>6.83</v>
      </c>
      <c r="I723" t="s">
        <v>111</v>
      </c>
    </row>
    <row r="724" spans="1:9" x14ac:dyDescent="0.25">
      <c r="A724" s="1">
        <v>46161</v>
      </c>
      <c r="B724" t="s">
        <v>341</v>
      </c>
      <c r="C724" s="2" t="s">
        <v>420</v>
      </c>
      <c r="D724" t="s">
        <v>30</v>
      </c>
      <c r="E724">
        <v>5570</v>
      </c>
      <c r="F724">
        <v>5213.99</v>
      </c>
      <c r="G724">
        <v>356.01</v>
      </c>
      <c r="H724">
        <v>6.83</v>
      </c>
      <c r="I724" t="s">
        <v>111</v>
      </c>
    </row>
    <row r="725" spans="1:9" x14ac:dyDescent="0.25">
      <c r="A725" s="1">
        <v>46161</v>
      </c>
      <c r="B725" t="s">
        <v>341</v>
      </c>
      <c r="C725" s="2" t="s">
        <v>421</v>
      </c>
      <c r="D725" t="s">
        <v>30</v>
      </c>
      <c r="E725">
        <v>5550</v>
      </c>
      <c r="F725">
        <v>5213.99</v>
      </c>
      <c r="G725">
        <v>336.01</v>
      </c>
      <c r="H725">
        <v>6.44</v>
      </c>
      <c r="I725" t="s">
        <v>111</v>
      </c>
    </row>
    <row r="726" spans="1:9" x14ac:dyDescent="0.25">
      <c r="A726" s="1">
        <v>46161</v>
      </c>
      <c r="B726" t="s">
        <v>422</v>
      </c>
      <c r="C726" s="2" t="s">
        <v>423</v>
      </c>
      <c r="D726" t="s">
        <v>30</v>
      </c>
      <c r="E726">
        <v>7400</v>
      </c>
      <c r="F726">
        <v>2605.69</v>
      </c>
      <c r="G726">
        <v>4794.3100000000004</v>
      </c>
      <c r="H726">
        <v>183.99</v>
      </c>
      <c r="I726" t="s">
        <v>111</v>
      </c>
    </row>
    <row r="727" spans="1:9" x14ac:dyDescent="0.25">
      <c r="A727" s="1">
        <v>46161</v>
      </c>
      <c r="B727" t="s">
        <v>116</v>
      </c>
      <c r="C727" s="2" t="s">
        <v>424</v>
      </c>
      <c r="D727" t="s">
        <v>30</v>
      </c>
      <c r="E727">
        <v>1220</v>
      </c>
      <c r="F727">
        <v>1013.35</v>
      </c>
      <c r="G727">
        <v>206.65</v>
      </c>
      <c r="H727">
        <v>20.39</v>
      </c>
      <c r="I727" t="s">
        <v>111</v>
      </c>
    </row>
    <row r="728" spans="1:9" x14ac:dyDescent="0.25">
      <c r="A728" s="1">
        <v>46161</v>
      </c>
      <c r="B728" t="s">
        <v>116</v>
      </c>
      <c r="C728" s="2" t="s">
        <v>425</v>
      </c>
      <c r="D728" t="s">
        <v>30</v>
      </c>
      <c r="E728">
        <v>1220</v>
      </c>
      <c r="F728">
        <v>1034.56</v>
      </c>
      <c r="G728">
        <v>185.44</v>
      </c>
      <c r="H728">
        <v>17.920000000000002</v>
      </c>
      <c r="I728" t="s">
        <v>111</v>
      </c>
    </row>
    <row r="729" spans="1:9" x14ac:dyDescent="0.25">
      <c r="A729" s="1">
        <v>46161</v>
      </c>
      <c r="B729" t="s">
        <v>116</v>
      </c>
      <c r="C729" s="2" t="s">
        <v>426</v>
      </c>
      <c r="D729" t="s">
        <v>30</v>
      </c>
      <c r="E729">
        <v>1220</v>
      </c>
      <c r="F729">
        <v>1034.56</v>
      </c>
      <c r="G729">
        <v>185.44</v>
      </c>
      <c r="H729">
        <v>17.920000000000002</v>
      </c>
      <c r="I729" t="s">
        <v>111</v>
      </c>
    </row>
    <row r="730" spans="1:9" x14ac:dyDescent="0.25">
      <c r="A730" s="1">
        <v>46161</v>
      </c>
      <c r="B730" t="s">
        <v>116</v>
      </c>
      <c r="C730" s="2" t="s">
        <v>427</v>
      </c>
      <c r="D730" t="s">
        <v>30</v>
      </c>
      <c r="E730">
        <v>1220</v>
      </c>
      <c r="F730">
        <v>1034.56</v>
      </c>
      <c r="G730">
        <v>185.44</v>
      </c>
      <c r="H730">
        <v>17.920000000000002</v>
      </c>
      <c r="I730" t="s">
        <v>111</v>
      </c>
    </row>
    <row r="731" spans="1:9" x14ac:dyDescent="0.25">
      <c r="A731" s="1">
        <v>46161</v>
      </c>
      <c r="B731" t="s">
        <v>116</v>
      </c>
      <c r="C731" s="2" t="s">
        <v>428</v>
      </c>
      <c r="D731" t="s">
        <v>30</v>
      </c>
      <c r="E731">
        <v>1220</v>
      </c>
      <c r="F731">
        <v>1034.56</v>
      </c>
      <c r="G731">
        <v>185.44</v>
      </c>
      <c r="H731">
        <v>17.920000000000002</v>
      </c>
      <c r="I731" t="s">
        <v>111</v>
      </c>
    </row>
    <row r="732" spans="1:9" x14ac:dyDescent="0.25">
      <c r="A732" s="1">
        <v>46161</v>
      </c>
      <c r="B732" t="s">
        <v>116</v>
      </c>
      <c r="C732" s="2" t="s">
        <v>429</v>
      </c>
      <c r="D732" t="s">
        <v>30</v>
      </c>
      <c r="E732">
        <v>1220</v>
      </c>
      <c r="F732">
        <v>1034.56</v>
      </c>
      <c r="G732">
        <v>185.44</v>
      </c>
      <c r="H732">
        <v>17.920000000000002</v>
      </c>
      <c r="I732" t="s">
        <v>111</v>
      </c>
    </row>
    <row r="733" spans="1:9" x14ac:dyDescent="0.25">
      <c r="A733" s="1">
        <v>46161</v>
      </c>
      <c r="B733" t="s">
        <v>116</v>
      </c>
      <c r="C733" s="2" t="s">
        <v>430</v>
      </c>
      <c r="D733" t="s">
        <v>30</v>
      </c>
      <c r="E733">
        <v>1220</v>
      </c>
      <c r="F733">
        <v>1034.56</v>
      </c>
      <c r="G733">
        <v>185.44</v>
      </c>
      <c r="H733">
        <v>17.920000000000002</v>
      </c>
      <c r="I733" t="s">
        <v>111</v>
      </c>
    </row>
    <row r="734" spans="1:9" x14ac:dyDescent="0.25">
      <c r="A734" s="1">
        <v>46161</v>
      </c>
      <c r="B734" t="s">
        <v>116</v>
      </c>
      <c r="C734" s="2" t="s">
        <v>431</v>
      </c>
      <c r="D734" t="s">
        <v>30</v>
      </c>
      <c r="E734">
        <v>1220</v>
      </c>
      <c r="F734">
        <v>1034.56</v>
      </c>
      <c r="G734">
        <v>185.44</v>
      </c>
      <c r="H734">
        <v>17.920000000000002</v>
      </c>
      <c r="I734" t="s">
        <v>111</v>
      </c>
    </row>
    <row r="735" spans="1:9" x14ac:dyDescent="0.25">
      <c r="A735" s="1">
        <v>46161</v>
      </c>
      <c r="B735" t="s">
        <v>116</v>
      </c>
      <c r="C735" s="2" t="s">
        <v>432</v>
      </c>
      <c r="D735" t="s">
        <v>30</v>
      </c>
      <c r="E735">
        <v>1230</v>
      </c>
      <c r="F735">
        <v>1034.56</v>
      </c>
      <c r="G735">
        <v>195.44</v>
      </c>
      <c r="H735">
        <v>18.89</v>
      </c>
      <c r="I735" t="s">
        <v>111</v>
      </c>
    </row>
    <row r="736" spans="1:9" x14ac:dyDescent="0.25">
      <c r="A736" s="1">
        <v>46161</v>
      </c>
      <c r="B736" t="s">
        <v>116</v>
      </c>
      <c r="C736" s="2" t="s">
        <v>433</v>
      </c>
      <c r="D736" t="s">
        <v>30</v>
      </c>
      <c r="E736">
        <v>1220</v>
      </c>
      <c r="F736">
        <v>1034.56</v>
      </c>
      <c r="G736">
        <v>185.44</v>
      </c>
      <c r="H736">
        <v>17.920000000000002</v>
      </c>
      <c r="I736" t="s">
        <v>111</v>
      </c>
    </row>
    <row r="737" spans="1:9" x14ac:dyDescent="0.25">
      <c r="A737" s="1">
        <v>46161</v>
      </c>
      <c r="B737" t="s">
        <v>116</v>
      </c>
      <c r="C737" s="2" t="s">
        <v>434</v>
      </c>
      <c r="D737" t="s">
        <v>30</v>
      </c>
      <c r="E737">
        <v>1230</v>
      </c>
      <c r="F737">
        <v>1034.56</v>
      </c>
      <c r="G737">
        <v>195.44</v>
      </c>
      <c r="H737">
        <v>18.89</v>
      </c>
      <c r="I737" t="s">
        <v>111</v>
      </c>
    </row>
    <row r="738" spans="1:9" x14ac:dyDescent="0.25">
      <c r="A738" s="1">
        <v>46161</v>
      </c>
      <c r="B738" t="s">
        <v>116</v>
      </c>
      <c r="C738" s="2" t="s">
        <v>435</v>
      </c>
      <c r="D738" t="s">
        <v>30</v>
      </c>
      <c r="E738">
        <v>1230</v>
      </c>
      <c r="F738">
        <v>1034.56</v>
      </c>
      <c r="G738">
        <v>195.44</v>
      </c>
      <c r="H738">
        <v>18.89</v>
      </c>
      <c r="I738" t="s">
        <v>111</v>
      </c>
    </row>
    <row r="739" spans="1:9" x14ac:dyDescent="0.25">
      <c r="A739" s="1">
        <v>46161</v>
      </c>
      <c r="B739" t="s">
        <v>116</v>
      </c>
      <c r="C739" s="2" t="s">
        <v>436</v>
      </c>
      <c r="D739" t="s">
        <v>30</v>
      </c>
      <c r="E739">
        <v>1220</v>
      </c>
      <c r="F739">
        <v>1034.56</v>
      </c>
      <c r="G739">
        <v>185.44</v>
      </c>
      <c r="H739">
        <v>17.920000000000002</v>
      </c>
      <c r="I739" t="s">
        <v>111</v>
      </c>
    </row>
    <row r="740" spans="1:9" x14ac:dyDescent="0.25">
      <c r="A740" s="1">
        <v>46161</v>
      </c>
      <c r="B740" t="s">
        <v>116</v>
      </c>
      <c r="C740" s="2" t="s">
        <v>437</v>
      </c>
      <c r="D740" t="s">
        <v>30</v>
      </c>
      <c r="E740">
        <v>1220</v>
      </c>
      <c r="F740">
        <v>1034.56</v>
      </c>
      <c r="G740">
        <v>185.44</v>
      </c>
      <c r="H740">
        <v>17.920000000000002</v>
      </c>
      <c r="I740" t="s">
        <v>111</v>
      </c>
    </row>
    <row r="741" spans="1:9" x14ac:dyDescent="0.25">
      <c r="A741" s="1">
        <v>46161</v>
      </c>
      <c r="B741" t="s">
        <v>116</v>
      </c>
      <c r="C741" s="2" t="s">
        <v>438</v>
      </c>
      <c r="D741" t="s">
        <v>30</v>
      </c>
      <c r="E741">
        <v>1220</v>
      </c>
      <c r="F741">
        <v>1034.56</v>
      </c>
      <c r="G741">
        <v>185.44</v>
      </c>
      <c r="H741">
        <v>17.920000000000002</v>
      </c>
      <c r="I741" t="s">
        <v>111</v>
      </c>
    </row>
    <row r="742" spans="1:9" x14ac:dyDescent="0.25">
      <c r="A742" s="1">
        <v>46161</v>
      </c>
      <c r="B742" t="s">
        <v>116</v>
      </c>
      <c r="C742" s="2" t="s">
        <v>439</v>
      </c>
      <c r="D742" t="s">
        <v>30</v>
      </c>
      <c r="E742">
        <v>1220</v>
      </c>
      <c r="F742">
        <v>1034.56</v>
      </c>
      <c r="G742">
        <v>185.44</v>
      </c>
      <c r="H742">
        <v>17.920000000000002</v>
      </c>
      <c r="I742" t="s">
        <v>111</v>
      </c>
    </row>
    <row r="743" spans="1:9" x14ac:dyDescent="0.25">
      <c r="A743" s="1">
        <v>46161</v>
      </c>
      <c r="B743" t="s">
        <v>116</v>
      </c>
      <c r="C743" s="2" t="s">
        <v>440</v>
      </c>
      <c r="D743" t="s">
        <v>30</v>
      </c>
      <c r="E743">
        <v>1220</v>
      </c>
      <c r="F743">
        <v>1034.56</v>
      </c>
      <c r="G743">
        <v>185.44</v>
      </c>
      <c r="H743">
        <v>17.920000000000002</v>
      </c>
      <c r="I743" t="s">
        <v>111</v>
      </c>
    </row>
    <row r="744" spans="1:9" x14ac:dyDescent="0.25">
      <c r="A744" s="1">
        <v>46161</v>
      </c>
      <c r="B744" t="s">
        <v>116</v>
      </c>
      <c r="C744" s="2" t="s">
        <v>441</v>
      </c>
      <c r="D744" t="s">
        <v>30</v>
      </c>
      <c r="E744">
        <v>1220</v>
      </c>
      <c r="F744">
        <v>1034.56</v>
      </c>
      <c r="G744">
        <v>185.44</v>
      </c>
      <c r="H744">
        <v>17.920000000000002</v>
      </c>
      <c r="I744" t="s">
        <v>111</v>
      </c>
    </row>
    <row r="745" spans="1:9" x14ac:dyDescent="0.25">
      <c r="A745" s="1">
        <v>46162</v>
      </c>
      <c r="B745" t="s">
        <v>328</v>
      </c>
      <c r="C745" s="2" t="s">
        <v>442</v>
      </c>
      <c r="D745" t="s">
        <v>30</v>
      </c>
      <c r="E745">
        <v>355</v>
      </c>
      <c r="F745">
        <v>285.60000000000002</v>
      </c>
      <c r="G745">
        <v>69.400000000000006</v>
      </c>
      <c r="H745">
        <v>24.3</v>
      </c>
      <c r="I745" t="s">
        <v>18</v>
      </c>
    </row>
    <row r="746" spans="1:9" x14ac:dyDescent="0.25">
      <c r="A746" s="1">
        <v>46162</v>
      </c>
      <c r="B746" t="s">
        <v>328</v>
      </c>
      <c r="C746" s="2" t="s">
        <v>443</v>
      </c>
      <c r="D746" t="s">
        <v>30</v>
      </c>
      <c r="E746">
        <v>355</v>
      </c>
      <c r="F746">
        <v>303.45</v>
      </c>
      <c r="G746">
        <v>51.55</v>
      </c>
      <c r="H746">
        <v>16.989999999999998</v>
      </c>
      <c r="I746" t="s">
        <v>18</v>
      </c>
    </row>
    <row r="747" spans="1:9" x14ac:dyDescent="0.25">
      <c r="A747" s="1">
        <v>46162</v>
      </c>
      <c r="B747" t="s">
        <v>328</v>
      </c>
      <c r="C747" s="2" t="s">
        <v>444</v>
      </c>
      <c r="D747" t="s">
        <v>30</v>
      </c>
      <c r="E747">
        <v>355</v>
      </c>
      <c r="F747">
        <v>303.45</v>
      </c>
      <c r="G747">
        <v>51.55</v>
      </c>
      <c r="H747">
        <v>16.989999999999998</v>
      </c>
      <c r="I747" t="s">
        <v>18</v>
      </c>
    </row>
    <row r="748" spans="1:9" x14ac:dyDescent="0.25">
      <c r="A748" s="1">
        <v>46162</v>
      </c>
      <c r="B748" t="s">
        <v>328</v>
      </c>
      <c r="C748" s="2" t="s">
        <v>445</v>
      </c>
      <c r="D748" t="s">
        <v>30</v>
      </c>
      <c r="E748">
        <v>355</v>
      </c>
      <c r="F748">
        <v>303.45</v>
      </c>
      <c r="G748">
        <v>51.55</v>
      </c>
      <c r="H748">
        <v>16.989999999999998</v>
      </c>
      <c r="I748" t="s">
        <v>18</v>
      </c>
    </row>
    <row r="749" spans="1:9" x14ac:dyDescent="0.25">
      <c r="A749" s="1">
        <v>46162</v>
      </c>
      <c r="B749" t="s">
        <v>328</v>
      </c>
      <c r="C749" s="2" t="s">
        <v>446</v>
      </c>
      <c r="D749" t="s">
        <v>30</v>
      </c>
      <c r="E749">
        <v>355</v>
      </c>
      <c r="F749">
        <v>285.60000000000002</v>
      </c>
      <c r="G749">
        <v>69.400000000000006</v>
      </c>
      <c r="H749">
        <v>24.3</v>
      </c>
      <c r="I749" t="s">
        <v>18</v>
      </c>
    </row>
    <row r="750" spans="1:9" x14ac:dyDescent="0.25">
      <c r="A750" s="1">
        <v>46162</v>
      </c>
      <c r="B750" t="s">
        <v>328</v>
      </c>
      <c r="C750" s="2" t="s">
        <v>447</v>
      </c>
      <c r="D750" t="s">
        <v>30</v>
      </c>
      <c r="E750">
        <v>355</v>
      </c>
      <c r="F750">
        <v>303.45</v>
      </c>
      <c r="G750">
        <v>51.55</v>
      </c>
      <c r="H750">
        <v>16.989999999999998</v>
      </c>
      <c r="I750" t="s">
        <v>18</v>
      </c>
    </row>
    <row r="751" spans="1:9" x14ac:dyDescent="0.25">
      <c r="A751" s="1">
        <v>46162</v>
      </c>
      <c r="B751" t="s">
        <v>328</v>
      </c>
      <c r="C751" s="2" t="s">
        <v>448</v>
      </c>
      <c r="D751" t="s">
        <v>30</v>
      </c>
      <c r="E751">
        <v>355</v>
      </c>
      <c r="F751">
        <v>285.60000000000002</v>
      </c>
      <c r="G751">
        <v>69.400000000000006</v>
      </c>
      <c r="H751">
        <v>24.3</v>
      </c>
      <c r="I751" t="s">
        <v>18</v>
      </c>
    </row>
    <row r="752" spans="1:9" x14ac:dyDescent="0.25">
      <c r="A752" s="1">
        <v>46162</v>
      </c>
      <c r="B752" t="s">
        <v>328</v>
      </c>
      <c r="C752" s="2" t="s">
        <v>449</v>
      </c>
      <c r="E752">
        <v>355</v>
      </c>
      <c r="F752">
        <v>304.3</v>
      </c>
      <c r="G752">
        <v>50.7</v>
      </c>
      <c r="H752">
        <v>16.66</v>
      </c>
      <c r="I752" t="s">
        <v>18</v>
      </c>
    </row>
    <row r="753" spans="1:9" x14ac:dyDescent="0.25">
      <c r="A753" s="1">
        <v>46162</v>
      </c>
      <c r="B753" t="s">
        <v>328</v>
      </c>
      <c r="C753" s="2" t="s">
        <v>450</v>
      </c>
      <c r="D753" t="s">
        <v>30</v>
      </c>
      <c r="E753">
        <v>355</v>
      </c>
      <c r="F753">
        <v>285.60000000000002</v>
      </c>
      <c r="G753">
        <v>69.400000000000006</v>
      </c>
      <c r="H753">
        <v>24.3</v>
      </c>
      <c r="I753" t="s">
        <v>18</v>
      </c>
    </row>
    <row r="754" spans="1:9" x14ac:dyDescent="0.25">
      <c r="A754" s="1">
        <v>46162</v>
      </c>
      <c r="B754" t="s">
        <v>328</v>
      </c>
      <c r="C754" s="2" t="s">
        <v>451</v>
      </c>
      <c r="E754">
        <v>355</v>
      </c>
      <c r="F754">
        <v>304.3</v>
      </c>
      <c r="G754">
        <v>50.7</v>
      </c>
      <c r="H754">
        <v>16.66</v>
      </c>
      <c r="I754" t="s">
        <v>18</v>
      </c>
    </row>
    <row r="755" spans="1:9" x14ac:dyDescent="0.25">
      <c r="A755" s="1">
        <v>46162</v>
      </c>
      <c r="B755" t="s">
        <v>328</v>
      </c>
      <c r="C755" s="2" t="s">
        <v>452</v>
      </c>
      <c r="D755" t="s">
        <v>30</v>
      </c>
      <c r="E755">
        <v>355</v>
      </c>
      <c r="F755">
        <v>285.60000000000002</v>
      </c>
      <c r="G755">
        <v>69.400000000000006</v>
      </c>
      <c r="H755">
        <v>24.3</v>
      </c>
      <c r="I755" t="s">
        <v>18</v>
      </c>
    </row>
    <row r="756" spans="1:9" x14ac:dyDescent="0.25">
      <c r="A756" s="1">
        <v>46162</v>
      </c>
      <c r="B756" t="s">
        <v>328</v>
      </c>
      <c r="C756" s="2" t="s">
        <v>453</v>
      </c>
      <c r="D756" t="s">
        <v>30</v>
      </c>
      <c r="E756">
        <v>355</v>
      </c>
      <c r="F756">
        <v>285.60000000000002</v>
      </c>
      <c r="G756">
        <v>69.400000000000006</v>
      </c>
      <c r="H756">
        <v>24.3</v>
      </c>
      <c r="I756" t="s">
        <v>18</v>
      </c>
    </row>
    <row r="757" spans="1:9" x14ac:dyDescent="0.25">
      <c r="A757" s="1">
        <v>46162</v>
      </c>
      <c r="B757" t="s">
        <v>328</v>
      </c>
      <c r="C757" s="2" t="s">
        <v>454</v>
      </c>
      <c r="D757" t="s">
        <v>30</v>
      </c>
      <c r="E757">
        <v>355</v>
      </c>
      <c r="F757">
        <v>303.45</v>
      </c>
      <c r="G757">
        <v>51.55</v>
      </c>
      <c r="H757">
        <v>16.989999999999998</v>
      </c>
      <c r="I757" t="s">
        <v>18</v>
      </c>
    </row>
    <row r="758" spans="1:9" x14ac:dyDescent="0.25">
      <c r="A758" s="1">
        <v>46162</v>
      </c>
      <c r="B758" t="s">
        <v>328</v>
      </c>
      <c r="C758" s="2" t="s">
        <v>455</v>
      </c>
      <c r="E758">
        <v>355</v>
      </c>
      <c r="F758">
        <v>295</v>
      </c>
      <c r="G758">
        <v>60</v>
      </c>
      <c r="H758">
        <v>20.34</v>
      </c>
      <c r="I758" t="s">
        <v>18</v>
      </c>
    </row>
    <row r="759" spans="1:9" x14ac:dyDescent="0.25">
      <c r="A759" s="1">
        <v>46162</v>
      </c>
      <c r="B759" t="s">
        <v>328</v>
      </c>
      <c r="C759" s="2" t="s">
        <v>456</v>
      </c>
      <c r="D759" t="s">
        <v>30</v>
      </c>
      <c r="E759">
        <v>355</v>
      </c>
      <c r="F759">
        <v>303.45</v>
      </c>
      <c r="G759">
        <v>51.55</v>
      </c>
      <c r="H759">
        <v>16.989999999999998</v>
      </c>
      <c r="I759" t="s">
        <v>18</v>
      </c>
    </row>
    <row r="760" spans="1:9" x14ac:dyDescent="0.25">
      <c r="A760" s="1">
        <v>46162</v>
      </c>
      <c r="B760" t="s">
        <v>328</v>
      </c>
      <c r="C760" s="2" t="s">
        <v>457</v>
      </c>
      <c r="E760">
        <v>355</v>
      </c>
      <c r="F760">
        <v>304.3</v>
      </c>
      <c r="G760">
        <v>50.7</v>
      </c>
      <c r="H760">
        <v>16.66</v>
      </c>
      <c r="I760" t="s">
        <v>18</v>
      </c>
    </row>
    <row r="761" spans="1:9" x14ac:dyDescent="0.25">
      <c r="A761" s="1">
        <v>46162</v>
      </c>
      <c r="B761" t="s">
        <v>328</v>
      </c>
      <c r="C761" s="2" t="s">
        <v>458</v>
      </c>
      <c r="D761" t="s">
        <v>30</v>
      </c>
      <c r="E761">
        <v>355</v>
      </c>
      <c r="F761">
        <v>285.60000000000002</v>
      </c>
      <c r="G761">
        <v>69.400000000000006</v>
      </c>
      <c r="H761">
        <v>24.3</v>
      </c>
      <c r="I761" t="s">
        <v>18</v>
      </c>
    </row>
    <row r="762" spans="1:9" x14ac:dyDescent="0.25">
      <c r="A762" s="1">
        <v>46162</v>
      </c>
      <c r="B762" t="s">
        <v>328</v>
      </c>
      <c r="C762" s="2" t="s">
        <v>459</v>
      </c>
      <c r="D762" t="s">
        <v>30</v>
      </c>
      <c r="E762">
        <v>355</v>
      </c>
      <c r="F762">
        <v>303.45</v>
      </c>
      <c r="G762">
        <v>51.55</v>
      </c>
      <c r="H762">
        <v>16.989999999999998</v>
      </c>
      <c r="I762" t="s">
        <v>18</v>
      </c>
    </row>
    <row r="763" spans="1:9" x14ac:dyDescent="0.25">
      <c r="A763" s="1">
        <v>46162</v>
      </c>
      <c r="B763" t="s">
        <v>328</v>
      </c>
      <c r="C763" s="2" t="s">
        <v>460</v>
      </c>
      <c r="D763" t="s">
        <v>30</v>
      </c>
      <c r="E763">
        <v>355</v>
      </c>
      <c r="F763">
        <v>303.45</v>
      </c>
      <c r="G763">
        <v>51.55</v>
      </c>
      <c r="H763">
        <v>16.989999999999998</v>
      </c>
      <c r="I763" t="s">
        <v>18</v>
      </c>
    </row>
    <row r="764" spans="1:9" x14ac:dyDescent="0.25">
      <c r="A764" s="1">
        <v>46162</v>
      </c>
      <c r="B764" t="s">
        <v>461</v>
      </c>
      <c r="C764" s="2" t="s">
        <v>462</v>
      </c>
      <c r="E764">
        <v>480</v>
      </c>
      <c r="F764">
        <v>429.6</v>
      </c>
      <c r="G764">
        <v>50.4</v>
      </c>
      <c r="H764">
        <v>11.73</v>
      </c>
      <c r="I764" t="s">
        <v>18</v>
      </c>
    </row>
    <row r="765" spans="1:9" x14ac:dyDescent="0.25">
      <c r="A765" s="1">
        <v>46162</v>
      </c>
      <c r="B765" t="s">
        <v>461</v>
      </c>
      <c r="C765" s="2" t="s">
        <v>463</v>
      </c>
      <c r="E765">
        <v>480</v>
      </c>
      <c r="F765">
        <v>429.6</v>
      </c>
      <c r="G765">
        <v>50.4</v>
      </c>
      <c r="H765">
        <v>11.73</v>
      </c>
      <c r="I765" t="s">
        <v>18</v>
      </c>
    </row>
    <row r="766" spans="1:9" x14ac:dyDescent="0.25">
      <c r="A766" s="1">
        <v>46162</v>
      </c>
      <c r="B766" t="s">
        <v>461</v>
      </c>
      <c r="C766" s="2" t="s">
        <v>464</v>
      </c>
      <c r="D766" t="s">
        <v>30</v>
      </c>
      <c r="E766">
        <v>480</v>
      </c>
      <c r="F766">
        <v>428.4</v>
      </c>
      <c r="G766">
        <v>51.6</v>
      </c>
      <c r="H766">
        <v>12.04</v>
      </c>
      <c r="I766" t="s">
        <v>18</v>
      </c>
    </row>
    <row r="767" spans="1:9" x14ac:dyDescent="0.25">
      <c r="A767" s="1">
        <v>46162</v>
      </c>
      <c r="B767" t="s">
        <v>461</v>
      </c>
      <c r="C767" s="2" t="s">
        <v>465</v>
      </c>
      <c r="D767" t="s">
        <v>30</v>
      </c>
      <c r="E767">
        <v>480</v>
      </c>
      <c r="F767">
        <v>428.4</v>
      </c>
      <c r="G767">
        <v>51.6</v>
      </c>
      <c r="H767">
        <v>12.04</v>
      </c>
      <c r="I767" t="s">
        <v>18</v>
      </c>
    </row>
    <row r="768" spans="1:9" x14ac:dyDescent="0.25">
      <c r="A768" s="1">
        <v>46162</v>
      </c>
      <c r="B768" t="s">
        <v>461</v>
      </c>
      <c r="C768" s="2" t="s">
        <v>466</v>
      </c>
      <c r="E768">
        <v>480</v>
      </c>
      <c r="F768">
        <v>429.6</v>
      </c>
      <c r="G768">
        <v>50.4</v>
      </c>
      <c r="H768">
        <v>11.73</v>
      </c>
      <c r="I768" t="s">
        <v>18</v>
      </c>
    </row>
    <row r="769" spans="1:10" x14ac:dyDescent="0.25">
      <c r="A769" s="1">
        <v>46162</v>
      </c>
      <c r="B769" t="s">
        <v>461</v>
      </c>
      <c r="C769" s="2" t="s">
        <v>467</v>
      </c>
      <c r="D769" t="s">
        <v>30</v>
      </c>
      <c r="E769">
        <v>480</v>
      </c>
      <c r="F769">
        <v>428.4</v>
      </c>
      <c r="G769">
        <v>51.6</v>
      </c>
      <c r="H769">
        <v>12.04</v>
      </c>
      <c r="I769" t="s">
        <v>18</v>
      </c>
    </row>
    <row r="770" spans="1:10" x14ac:dyDescent="0.25">
      <c r="A770" s="1">
        <v>46162</v>
      </c>
      <c r="B770" t="s">
        <v>461</v>
      </c>
      <c r="C770" s="2" t="s">
        <v>468</v>
      </c>
      <c r="D770" t="s">
        <v>30</v>
      </c>
      <c r="E770">
        <v>480</v>
      </c>
      <c r="F770">
        <v>428.4</v>
      </c>
      <c r="G770">
        <v>51.6</v>
      </c>
      <c r="H770">
        <v>12.04</v>
      </c>
      <c r="I770" t="s">
        <v>18</v>
      </c>
    </row>
    <row r="771" spans="1:10" x14ac:dyDescent="0.25">
      <c r="A771" s="1">
        <v>46162</v>
      </c>
      <c r="B771" t="s">
        <v>461</v>
      </c>
      <c r="C771" s="2" t="s">
        <v>469</v>
      </c>
      <c r="E771">
        <v>480</v>
      </c>
      <c r="F771">
        <v>429.6</v>
      </c>
      <c r="G771">
        <v>50.4</v>
      </c>
      <c r="H771">
        <v>11.73</v>
      </c>
      <c r="I771" t="s">
        <v>18</v>
      </c>
    </row>
    <row r="772" spans="1:10" x14ac:dyDescent="0.25">
      <c r="A772" s="1">
        <v>46162</v>
      </c>
      <c r="B772" t="s">
        <v>461</v>
      </c>
      <c r="C772" s="2" t="s">
        <v>470</v>
      </c>
      <c r="D772" t="s">
        <v>30</v>
      </c>
      <c r="E772">
        <v>480</v>
      </c>
      <c r="F772">
        <v>428.4</v>
      </c>
      <c r="G772">
        <v>51.6</v>
      </c>
      <c r="H772">
        <v>12.04</v>
      </c>
      <c r="I772" t="s">
        <v>18</v>
      </c>
    </row>
    <row r="773" spans="1:10" x14ac:dyDescent="0.25">
      <c r="A773" s="1">
        <v>46162</v>
      </c>
      <c r="B773" t="s">
        <v>461</v>
      </c>
      <c r="C773" s="2" t="s">
        <v>471</v>
      </c>
      <c r="D773" t="s">
        <v>30</v>
      </c>
      <c r="E773">
        <v>480</v>
      </c>
      <c r="F773">
        <v>428.4</v>
      </c>
      <c r="G773">
        <v>51.6</v>
      </c>
      <c r="H773">
        <v>12.04</v>
      </c>
      <c r="I773" t="s">
        <v>18</v>
      </c>
    </row>
    <row r="774" spans="1:10" x14ac:dyDescent="0.25">
      <c r="A774" s="1">
        <v>46162</v>
      </c>
      <c r="B774" t="s">
        <v>15</v>
      </c>
      <c r="C774" s="2" t="s">
        <v>472</v>
      </c>
      <c r="D774" t="s">
        <v>473</v>
      </c>
      <c r="E774">
        <v>1550</v>
      </c>
      <c r="F774">
        <v>1481.55</v>
      </c>
      <c r="G774">
        <v>68.45</v>
      </c>
      <c r="H774">
        <v>4.62</v>
      </c>
      <c r="I774" t="s">
        <v>18</v>
      </c>
    </row>
    <row r="775" spans="1:10" x14ac:dyDescent="0.25">
      <c r="A775" s="1">
        <v>46162</v>
      </c>
      <c r="B775" t="s">
        <v>15</v>
      </c>
      <c r="C775" s="2" t="s">
        <v>474</v>
      </c>
      <c r="D775" t="s">
        <v>475</v>
      </c>
      <c r="E775">
        <v>1550</v>
      </c>
      <c r="F775">
        <v>1481.55</v>
      </c>
      <c r="G775">
        <v>68.45</v>
      </c>
      <c r="H775">
        <v>4.62</v>
      </c>
      <c r="I775" t="s">
        <v>18</v>
      </c>
    </row>
    <row r="776" spans="1:10" x14ac:dyDescent="0.25">
      <c r="A776" s="1">
        <v>46162</v>
      </c>
      <c r="B776" t="s">
        <v>476</v>
      </c>
      <c r="C776" s="2" t="s">
        <v>477</v>
      </c>
      <c r="D776" t="s">
        <v>478</v>
      </c>
      <c r="E776">
        <v>580</v>
      </c>
      <c r="F776">
        <v>714</v>
      </c>
      <c r="G776">
        <v>-134</v>
      </c>
      <c r="H776">
        <v>-18.77</v>
      </c>
      <c r="I776" t="s">
        <v>18</v>
      </c>
      <c r="J776" t="s">
        <v>26</v>
      </c>
    </row>
    <row r="777" spans="1:10" x14ac:dyDescent="0.25">
      <c r="A777" s="1">
        <v>46162</v>
      </c>
      <c r="B777" t="s">
        <v>99</v>
      </c>
      <c r="C777" s="2" t="s">
        <v>479</v>
      </c>
      <c r="D777" t="s">
        <v>30</v>
      </c>
      <c r="E777">
        <v>705</v>
      </c>
      <c r="F777">
        <v>714</v>
      </c>
      <c r="G777">
        <v>-9</v>
      </c>
      <c r="H777">
        <v>-1.26</v>
      </c>
      <c r="I777" t="s">
        <v>18</v>
      </c>
      <c r="J777" t="s">
        <v>26</v>
      </c>
    </row>
    <row r="778" spans="1:10" x14ac:dyDescent="0.25">
      <c r="A778" s="1">
        <v>46162</v>
      </c>
      <c r="B778" t="s">
        <v>99</v>
      </c>
      <c r="C778" s="2" t="s">
        <v>480</v>
      </c>
      <c r="D778" t="s">
        <v>30</v>
      </c>
      <c r="E778">
        <v>705</v>
      </c>
      <c r="F778">
        <v>714</v>
      </c>
      <c r="G778">
        <v>-9</v>
      </c>
      <c r="H778">
        <v>-1.26</v>
      </c>
      <c r="I778" t="s">
        <v>18</v>
      </c>
      <c r="J778" t="s">
        <v>26</v>
      </c>
    </row>
    <row r="779" spans="1:10" x14ac:dyDescent="0.25">
      <c r="A779" s="1">
        <v>46162</v>
      </c>
      <c r="B779" t="s">
        <v>99</v>
      </c>
      <c r="C779" s="2" t="s">
        <v>481</v>
      </c>
      <c r="D779" t="s">
        <v>30</v>
      </c>
      <c r="E779">
        <v>705</v>
      </c>
      <c r="F779">
        <v>714</v>
      </c>
      <c r="G779">
        <v>-9</v>
      </c>
      <c r="H779">
        <v>-1.26</v>
      </c>
      <c r="I779" t="s">
        <v>18</v>
      </c>
      <c r="J779" t="s">
        <v>26</v>
      </c>
    </row>
    <row r="780" spans="1:10" x14ac:dyDescent="0.25">
      <c r="A780" s="1">
        <v>46162</v>
      </c>
      <c r="B780" t="s">
        <v>99</v>
      </c>
      <c r="C780" s="2" t="s">
        <v>482</v>
      </c>
      <c r="D780" t="s">
        <v>30</v>
      </c>
      <c r="E780">
        <v>705</v>
      </c>
      <c r="F780">
        <v>714</v>
      </c>
      <c r="G780">
        <v>-9</v>
      </c>
      <c r="H780">
        <v>-1.26</v>
      </c>
      <c r="I780" t="s">
        <v>18</v>
      </c>
      <c r="J780" t="s">
        <v>26</v>
      </c>
    </row>
    <row r="781" spans="1:10" x14ac:dyDescent="0.25">
      <c r="A781" s="1">
        <v>46162</v>
      </c>
      <c r="B781" t="s">
        <v>99</v>
      </c>
      <c r="C781" s="2" t="s">
        <v>483</v>
      </c>
      <c r="D781" t="s">
        <v>30</v>
      </c>
      <c r="E781">
        <v>705</v>
      </c>
      <c r="F781">
        <v>714</v>
      </c>
      <c r="G781">
        <v>-9</v>
      </c>
      <c r="H781">
        <v>-1.26</v>
      </c>
      <c r="I781" t="s">
        <v>18</v>
      </c>
      <c r="J781" t="s">
        <v>26</v>
      </c>
    </row>
    <row r="782" spans="1:10" x14ac:dyDescent="0.25">
      <c r="A782" s="1">
        <v>46162</v>
      </c>
      <c r="B782" t="s">
        <v>99</v>
      </c>
      <c r="C782" s="2" t="s">
        <v>484</v>
      </c>
      <c r="D782" t="s">
        <v>30</v>
      </c>
      <c r="E782">
        <v>705</v>
      </c>
      <c r="F782">
        <v>714</v>
      </c>
      <c r="G782">
        <v>-9</v>
      </c>
      <c r="H782">
        <v>-1.26</v>
      </c>
      <c r="I782" t="s">
        <v>18</v>
      </c>
      <c r="J782" t="s">
        <v>26</v>
      </c>
    </row>
    <row r="783" spans="1:10" x14ac:dyDescent="0.25">
      <c r="A783" s="1">
        <v>46162</v>
      </c>
      <c r="B783" t="s">
        <v>99</v>
      </c>
      <c r="C783" s="2" t="s">
        <v>485</v>
      </c>
      <c r="D783" t="s">
        <v>30</v>
      </c>
      <c r="E783">
        <v>705</v>
      </c>
      <c r="F783">
        <v>714</v>
      </c>
      <c r="G783">
        <v>-9</v>
      </c>
      <c r="H783">
        <v>-1.26</v>
      </c>
      <c r="I783" t="s">
        <v>18</v>
      </c>
      <c r="J783" t="s">
        <v>26</v>
      </c>
    </row>
    <row r="784" spans="1:10" x14ac:dyDescent="0.25">
      <c r="A784" s="1">
        <v>46162</v>
      </c>
      <c r="B784" t="s">
        <v>99</v>
      </c>
      <c r="C784" s="2" t="s">
        <v>486</v>
      </c>
      <c r="D784" t="s">
        <v>30</v>
      </c>
      <c r="E784">
        <v>705</v>
      </c>
      <c r="F784">
        <v>714</v>
      </c>
      <c r="G784">
        <v>-9</v>
      </c>
      <c r="H784">
        <v>-1.26</v>
      </c>
      <c r="I784" t="s">
        <v>18</v>
      </c>
      <c r="J784" t="s">
        <v>26</v>
      </c>
    </row>
    <row r="785" spans="1:10" x14ac:dyDescent="0.25">
      <c r="A785" s="1">
        <v>46162</v>
      </c>
      <c r="B785" t="s">
        <v>99</v>
      </c>
      <c r="C785" s="2" t="s">
        <v>487</v>
      </c>
      <c r="D785" t="s">
        <v>30</v>
      </c>
      <c r="E785">
        <v>705</v>
      </c>
      <c r="F785">
        <v>714</v>
      </c>
      <c r="G785">
        <v>-9</v>
      </c>
      <c r="H785">
        <v>-1.26</v>
      </c>
      <c r="I785" t="s">
        <v>18</v>
      </c>
      <c r="J785" t="s">
        <v>26</v>
      </c>
    </row>
    <row r="786" spans="1:10" x14ac:dyDescent="0.25">
      <c r="A786" s="1">
        <v>46162</v>
      </c>
      <c r="B786" t="s">
        <v>99</v>
      </c>
      <c r="C786" s="2" t="s">
        <v>488</v>
      </c>
      <c r="D786" t="s">
        <v>30</v>
      </c>
      <c r="E786">
        <v>705</v>
      </c>
      <c r="F786">
        <v>714</v>
      </c>
      <c r="G786">
        <v>-9</v>
      </c>
      <c r="H786">
        <v>-1.26</v>
      </c>
      <c r="I786" t="s">
        <v>18</v>
      </c>
      <c r="J786" t="s">
        <v>26</v>
      </c>
    </row>
    <row r="787" spans="1:10" x14ac:dyDescent="0.25">
      <c r="A787" s="1">
        <v>46162</v>
      </c>
      <c r="B787" t="s">
        <v>99</v>
      </c>
      <c r="C787" s="2" t="s">
        <v>489</v>
      </c>
      <c r="D787" t="s">
        <v>30</v>
      </c>
      <c r="E787">
        <v>705</v>
      </c>
      <c r="F787">
        <v>714</v>
      </c>
      <c r="G787">
        <v>-9</v>
      </c>
      <c r="H787">
        <v>-1.26</v>
      </c>
      <c r="I787" t="s">
        <v>18</v>
      </c>
      <c r="J787" t="s">
        <v>26</v>
      </c>
    </row>
    <row r="788" spans="1:10" x14ac:dyDescent="0.25">
      <c r="A788" s="1">
        <v>46162</v>
      </c>
      <c r="B788" t="s">
        <v>99</v>
      </c>
      <c r="C788" s="2" t="s">
        <v>490</v>
      </c>
      <c r="D788" t="s">
        <v>30</v>
      </c>
      <c r="E788">
        <v>705</v>
      </c>
      <c r="F788">
        <v>714</v>
      </c>
      <c r="G788">
        <v>-9</v>
      </c>
      <c r="H788">
        <v>-1.26</v>
      </c>
      <c r="I788" t="s">
        <v>18</v>
      </c>
      <c r="J788" t="s">
        <v>26</v>
      </c>
    </row>
    <row r="789" spans="1:10" x14ac:dyDescent="0.25">
      <c r="A789" s="1">
        <v>46162</v>
      </c>
      <c r="B789" t="s">
        <v>99</v>
      </c>
      <c r="C789" s="2" t="s">
        <v>491</v>
      </c>
      <c r="D789" t="s">
        <v>30</v>
      </c>
      <c r="E789">
        <v>705</v>
      </c>
      <c r="F789">
        <v>714</v>
      </c>
      <c r="G789">
        <v>-9</v>
      </c>
      <c r="H789">
        <v>-1.26</v>
      </c>
      <c r="I789" t="s">
        <v>18</v>
      </c>
      <c r="J789" t="s">
        <v>26</v>
      </c>
    </row>
    <row r="790" spans="1:10" x14ac:dyDescent="0.25">
      <c r="A790" s="1">
        <v>46162</v>
      </c>
      <c r="B790" t="s">
        <v>99</v>
      </c>
      <c r="C790" s="2" t="s">
        <v>492</v>
      </c>
      <c r="D790" t="s">
        <v>30</v>
      </c>
      <c r="E790">
        <v>705</v>
      </c>
      <c r="F790">
        <v>714</v>
      </c>
      <c r="G790">
        <v>-9</v>
      </c>
      <c r="H790">
        <v>-1.26</v>
      </c>
      <c r="I790" t="s">
        <v>18</v>
      </c>
      <c r="J790" t="s">
        <v>26</v>
      </c>
    </row>
    <row r="791" spans="1:10" x14ac:dyDescent="0.25">
      <c r="A791" s="1">
        <v>46162</v>
      </c>
      <c r="B791" t="s">
        <v>99</v>
      </c>
      <c r="C791" s="2" t="s">
        <v>493</v>
      </c>
      <c r="D791" t="s">
        <v>30</v>
      </c>
      <c r="E791">
        <v>705</v>
      </c>
      <c r="F791">
        <v>714</v>
      </c>
      <c r="G791">
        <v>-9</v>
      </c>
      <c r="H791">
        <v>-1.26</v>
      </c>
      <c r="I791" t="s">
        <v>18</v>
      </c>
      <c r="J791" t="s">
        <v>26</v>
      </c>
    </row>
    <row r="792" spans="1:10" x14ac:dyDescent="0.25">
      <c r="A792" s="1">
        <v>46162</v>
      </c>
      <c r="B792" t="s">
        <v>99</v>
      </c>
      <c r="C792" s="2" t="s">
        <v>494</v>
      </c>
      <c r="D792" t="s">
        <v>30</v>
      </c>
      <c r="E792">
        <v>705</v>
      </c>
      <c r="F792">
        <v>714</v>
      </c>
      <c r="G792">
        <v>-9</v>
      </c>
      <c r="H792">
        <v>-1.26</v>
      </c>
      <c r="I792" t="s">
        <v>18</v>
      </c>
      <c r="J792" t="s">
        <v>26</v>
      </c>
    </row>
    <row r="793" spans="1:10" x14ac:dyDescent="0.25">
      <c r="A793" s="1">
        <v>46162</v>
      </c>
      <c r="B793" t="s">
        <v>99</v>
      </c>
      <c r="C793" s="2" t="s">
        <v>495</v>
      </c>
      <c r="D793" t="s">
        <v>30</v>
      </c>
      <c r="E793">
        <v>705</v>
      </c>
      <c r="F793">
        <v>714</v>
      </c>
      <c r="G793">
        <v>-9</v>
      </c>
      <c r="H793">
        <v>-1.26</v>
      </c>
      <c r="I793" t="s">
        <v>18</v>
      </c>
      <c r="J793" t="s">
        <v>26</v>
      </c>
    </row>
    <row r="794" spans="1:10" x14ac:dyDescent="0.25">
      <c r="A794" s="1">
        <v>46162</v>
      </c>
      <c r="B794" t="s">
        <v>99</v>
      </c>
      <c r="C794" s="2" t="s">
        <v>496</v>
      </c>
      <c r="D794" t="s">
        <v>30</v>
      </c>
      <c r="E794">
        <v>705</v>
      </c>
      <c r="F794">
        <v>714</v>
      </c>
      <c r="G794">
        <v>-9</v>
      </c>
      <c r="H794">
        <v>-1.26</v>
      </c>
      <c r="I794" t="s">
        <v>18</v>
      </c>
      <c r="J794" t="s">
        <v>26</v>
      </c>
    </row>
    <row r="795" spans="1:10" x14ac:dyDescent="0.25">
      <c r="A795" s="1">
        <v>46162</v>
      </c>
      <c r="B795" t="s">
        <v>99</v>
      </c>
      <c r="C795" s="2" t="s">
        <v>497</v>
      </c>
      <c r="D795" t="s">
        <v>30</v>
      </c>
      <c r="E795">
        <v>705</v>
      </c>
      <c r="F795">
        <v>714</v>
      </c>
      <c r="G795">
        <v>-9</v>
      </c>
      <c r="H795">
        <v>-1.26</v>
      </c>
      <c r="I795" t="s">
        <v>18</v>
      </c>
      <c r="J795" t="s">
        <v>26</v>
      </c>
    </row>
    <row r="796" spans="1:10" x14ac:dyDescent="0.25">
      <c r="A796" s="1">
        <v>46162</v>
      </c>
      <c r="B796" t="s">
        <v>129</v>
      </c>
      <c r="C796" s="2">
        <v>354123755217074</v>
      </c>
      <c r="D796" t="s">
        <v>30</v>
      </c>
      <c r="E796">
        <v>1329.11</v>
      </c>
      <c r="F796">
        <v>1350</v>
      </c>
      <c r="G796">
        <v>-20.89</v>
      </c>
      <c r="H796">
        <v>-1.55</v>
      </c>
      <c r="I796" t="s">
        <v>36</v>
      </c>
      <c r="J796" t="s">
        <v>26</v>
      </c>
    </row>
    <row r="797" spans="1:10" x14ac:dyDescent="0.25">
      <c r="A797" s="1">
        <v>46162</v>
      </c>
      <c r="B797" t="s">
        <v>32</v>
      </c>
      <c r="C797" s="2">
        <v>350651441532732</v>
      </c>
      <c r="D797" t="s">
        <v>385</v>
      </c>
      <c r="E797">
        <v>4790</v>
      </c>
      <c r="F797">
        <v>5144.47</v>
      </c>
      <c r="G797">
        <v>-354.47</v>
      </c>
      <c r="H797">
        <v>-6.89</v>
      </c>
      <c r="I797" t="s">
        <v>111</v>
      </c>
      <c r="J797" t="s">
        <v>26</v>
      </c>
    </row>
    <row r="798" spans="1:10" x14ac:dyDescent="0.25">
      <c r="A798" s="1">
        <v>46162</v>
      </c>
      <c r="B798" t="s">
        <v>32</v>
      </c>
      <c r="C798" s="2">
        <v>350651441751316</v>
      </c>
      <c r="D798" t="s">
        <v>385</v>
      </c>
      <c r="E798">
        <v>4790</v>
      </c>
      <c r="F798">
        <v>5144.47</v>
      </c>
      <c r="G798">
        <v>-354.47</v>
      </c>
      <c r="H798">
        <v>-6.89</v>
      </c>
      <c r="I798" t="s">
        <v>111</v>
      </c>
      <c r="J798" t="s">
        <v>26</v>
      </c>
    </row>
    <row r="799" spans="1:10" x14ac:dyDescent="0.25">
      <c r="A799" s="1">
        <v>46162</v>
      </c>
      <c r="B799" t="s">
        <v>32</v>
      </c>
      <c r="C799" s="2">
        <v>350651445173095</v>
      </c>
      <c r="D799" t="s">
        <v>385</v>
      </c>
      <c r="E799">
        <v>4790</v>
      </c>
      <c r="F799">
        <v>5144.47</v>
      </c>
      <c r="G799">
        <v>-354.47</v>
      </c>
      <c r="H799">
        <v>-6.89</v>
      </c>
      <c r="I799" t="s">
        <v>111</v>
      </c>
      <c r="J799" t="s">
        <v>26</v>
      </c>
    </row>
    <row r="800" spans="1:10" x14ac:dyDescent="0.25">
      <c r="A800" s="1">
        <v>46162</v>
      </c>
      <c r="B800" t="s">
        <v>32</v>
      </c>
      <c r="C800" s="2">
        <v>350651445329689</v>
      </c>
      <c r="D800" t="s">
        <v>385</v>
      </c>
      <c r="E800">
        <v>4790</v>
      </c>
      <c r="F800">
        <v>5144.47</v>
      </c>
      <c r="G800">
        <v>-354.47</v>
      </c>
      <c r="H800">
        <v>-6.89</v>
      </c>
      <c r="I800" t="s">
        <v>111</v>
      </c>
      <c r="J800" t="s">
        <v>26</v>
      </c>
    </row>
    <row r="801" spans="1:10" x14ac:dyDescent="0.25">
      <c r="A801" s="1">
        <v>46162</v>
      </c>
      <c r="B801" t="s">
        <v>32</v>
      </c>
      <c r="C801" s="2">
        <v>350651445500792</v>
      </c>
      <c r="D801" t="s">
        <v>385</v>
      </c>
      <c r="E801">
        <v>4790</v>
      </c>
      <c r="F801">
        <v>5144.47</v>
      </c>
      <c r="G801">
        <v>-354.47</v>
      </c>
      <c r="H801">
        <v>-6.89</v>
      </c>
      <c r="I801" t="s">
        <v>111</v>
      </c>
      <c r="J801" t="s">
        <v>26</v>
      </c>
    </row>
    <row r="802" spans="1:10" x14ac:dyDescent="0.25">
      <c r="A802" s="1">
        <v>46162</v>
      </c>
      <c r="B802" t="s">
        <v>32</v>
      </c>
      <c r="C802" s="2">
        <v>350651446800068</v>
      </c>
      <c r="D802" t="s">
        <v>91</v>
      </c>
      <c r="E802">
        <v>4740</v>
      </c>
      <c r="F802">
        <v>5144.47</v>
      </c>
      <c r="G802">
        <v>-404.47</v>
      </c>
      <c r="H802">
        <v>-7.86</v>
      </c>
      <c r="I802" t="s">
        <v>111</v>
      </c>
      <c r="J802" t="s">
        <v>26</v>
      </c>
    </row>
    <row r="803" spans="1:10" x14ac:dyDescent="0.25">
      <c r="A803" s="1">
        <v>46162</v>
      </c>
      <c r="B803" t="s">
        <v>32</v>
      </c>
      <c r="C803" s="2">
        <v>350651448001061</v>
      </c>
      <c r="D803" t="s">
        <v>385</v>
      </c>
      <c r="E803">
        <v>4790</v>
      </c>
      <c r="F803">
        <v>5144.47</v>
      </c>
      <c r="G803">
        <v>-354.47</v>
      </c>
      <c r="H803">
        <v>-6.89</v>
      </c>
      <c r="I803" t="s">
        <v>111</v>
      </c>
      <c r="J803" t="s">
        <v>26</v>
      </c>
    </row>
    <row r="804" spans="1:10" x14ac:dyDescent="0.25">
      <c r="A804" s="1">
        <v>46162</v>
      </c>
      <c r="B804" t="s">
        <v>32</v>
      </c>
      <c r="C804" s="2">
        <v>350651448034294</v>
      </c>
      <c r="D804" t="s">
        <v>385</v>
      </c>
      <c r="E804">
        <v>4790</v>
      </c>
      <c r="F804">
        <v>5144.47</v>
      </c>
      <c r="G804">
        <v>-354.47</v>
      </c>
      <c r="H804">
        <v>-6.89</v>
      </c>
      <c r="I804" t="s">
        <v>111</v>
      </c>
      <c r="J804" t="s">
        <v>26</v>
      </c>
    </row>
    <row r="805" spans="1:10" x14ac:dyDescent="0.25">
      <c r="A805" s="1">
        <v>46162</v>
      </c>
      <c r="B805" t="s">
        <v>32</v>
      </c>
      <c r="C805" s="2">
        <v>350651448279931</v>
      </c>
      <c r="D805" t="s">
        <v>385</v>
      </c>
      <c r="E805">
        <v>4790</v>
      </c>
      <c r="F805">
        <v>5144.47</v>
      </c>
      <c r="G805">
        <v>-354.47</v>
      </c>
      <c r="H805">
        <v>-6.89</v>
      </c>
      <c r="I805" t="s">
        <v>111</v>
      </c>
      <c r="J805" t="s">
        <v>26</v>
      </c>
    </row>
    <row r="806" spans="1:10" x14ac:dyDescent="0.25">
      <c r="A806" s="1">
        <v>46162</v>
      </c>
      <c r="B806" t="s">
        <v>32</v>
      </c>
      <c r="C806" s="2">
        <v>350651448444667</v>
      </c>
      <c r="D806" t="s">
        <v>385</v>
      </c>
      <c r="E806">
        <v>4790</v>
      </c>
      <c r="F806">
        <v>5144.47</v>
      </c>
      <c r="G806">
        <v>-354.47</v>
      </c>
      <c r="H806">
        <v>-6.89</v>
      </c>
      <c r="I806" t="s">
        <v>111</v>
      </c>
      <c r="J806" t="s">
        <v>26</v>
      </c>
    </row>
    <row r="807" spans="1:10" x14ac:dyDescent="0.25">
      <c r="A807" s="1">
        <v>46162</v>
      </c>
      <c r="B807" t="s">
        <v>32</v>
      </c>
      <c r="C807" s="2">
        <v>350651449914080</v>
      </c>
      <c r="D807" t="s">
        <v>91</v>
      </c>
      <c r="E807">
        <v>4740</v>
      </c>
      <c r="F807">
        <v>5188.21</v>
      </c>
      <c r="G807">
        <v>-448.21</v>
      </c>
      <c r="H807">
        <v>-8.64</v>
      </c>
      <c r="I807" t="s">
        <v>111</v>
      </c>
      <c r="J807" t="s">
        <v>26</v>
      </c>
    </row>
    <row r="808" spans="1:10" x14ac:dyDescent="0.25">
      <c r="A808" s="1">
        <v>46162</v>
      </c>
      <c r="B808" t="s">
        <v>32</v>
      </c>
      <c r="C808" s="2">
        <v>351459299335334</v>
      </c>
      <c r="D808" t="s">
        <v>98</v>
      </c>
      <c r="E808">
        <v>4790</v>
      </c>
      <c r="F808">
        <v>5063.53</v>
      </c>
      <c r="G808">
        <v>-273.52999999999997</v>
      </c>
      <c r="H808">
        <v>-5.4</v>
      </c>
      <c r="I808" t="s">
        <v>111</v>
      </c>
      <c r="J808" t="s">
        <v>26</v>
      </c>
    </row>
    <row r="809" spans="1:10" x14ac:dyDescent="0.25">
      <c r="A809" s="1">
        <v>46162</v>
      </c>
      <c r="B809" t="s">
        <v>32</v>
      </c>
      <c r="C809" s="2">
        <v>351459299435050</v>
      </c>
      <c r="D809" t="s">
        <v>98</v>
      </c>
      <c r="E809">
        <v>4790</v>
      </c>
      <c r="F809">
        <v>5063.53</v>
      </c>
      <c r="G809">
        <v>-273.52999999999997</v>
      </c>
      <c r="H809">
        <v>-5.4</v>
      </c>
      <c r="I809" t="s">
        <v>111</v>
      </c>
      <c r="J809" t="s">
        <v>26</v>
      </c>
    </row>
    <row r="810" spans="1:10" x14ac:dyDescent="0.25">
      <c r="A810" s="1">
        <v>46162</v>
      </c>
      <c r="B810" t="s">
        <v>32</v>
      </c>
      <c r="C810" s="2">
        <v>351459299690183</v>
      </c>
      <c r="D810" t="s">
        <v>91</v>
      </c>
      <c r="E810">
        <v>4740</v>
      </c>
      <c r="F810">
        <v>5144.47</v>
      </c>
      <c r="G810">
        <v>-404.47</v>
      </c>
      <c r="H810">
        <v>-7.86</v>
      </c>
      <c r="I810" t="s">
        <v>111</v>
      </c>
      <c r="J810" t="s">
        <v>26</v>
      </c>
    </row>
    <row r="811" spans="1:10" x14ac:dyDescent="0.25">
      <c r="A811" s="1">
        <v>46162</v>
      </c>
      <c r="B811" t="s">
        <v>32</v>
      </c>
      <c r="C811" s="2">
        <v>351459299743594</v>
      </c>
      <c r="D811" t="s">
        <v>91</v>
      </c>
      <c r="E811">
        <v>4740</v>
      </c>
      <c r="F811">
        <v>5144.47</v>
      </c>
      <c r="G811">
        <v>-404.47</v>
      </c>
      <c r="H811">
        <v>-7.86</v>
      </c>
      <c r="I811" t="s">
        <v>111</v>
      </c>
      <c r="J811" t="s">
        <v>26</v>
      </c>
    </row>
    <row r="812" spans="1:10" x14ac:dyDescent="0.25">
      <c r="A812" s="1">
        <v>46162</v>
      </c>
      <c r="B812" t="s">
        <v>32</v>
      </c>
      <c r="C812" s="2">
        <v>351500505793988</v>
      </c>
      <c r="D812" t="s">
        <v>91</v>
      </c>
      <c r="E812">
        <v>4740</v>
      </c>
      <c r="F812">
        <v>5063.53</v>
      </c>
      <c r="G812">
        <v>-323.52999999999997</v>
      </c>
      <c r="H812">
        <v>-6.39</v>
      </c>
      <c r="I812" t="s">
        <v>111</v>
      </c>
      <c r="J812" t="s">
        <v>26</v>
      </c>
    </row>
    <row r="813" spans="1:10" x14ac:dyDescent="0.25">
      <c r="A813" s="1">
        <v>46162</v>
      </c>
      <c r="B813" t="s">
        <v>32</v>
      </c>
      <c r="C813" s="2">
        <v>351500506945157</v>
      </c>
      <c r="D813" t="s">
        <v>98</v>
      </c>
      <c r="E813">
        <v>4790</v>
      </c>
      <c r="F813">
        <v>5063.53</v>
      </c>
      <c r="G813">
        <v>-273.52999999999997</v>
      </c>
      <c r="H813">
        <v>-5.4</v>
      </c>
      <c r="I813" t="s">
        <v>111</v>
      </c>
      <c r="J813" t="s">
        <v>26</v>
      </c>
    </row>
    <row r="814" spans="1:10" x14ac:dyDescent="0.25">
      <c r="A814" s="1">
        <v>46162</v>
      </c>
      <c r="B814" t="s">
        <v>32</v>
      </c>
      <c r="C814" s="2">
        <v>351500507584658</v>
      </c>
      <c r="D814" t="s">
        <v>385</v>
      </c>
      <c r="E814">
        <v>4790</v>
      </c>
      <c r="F814">
        <v>5144.47</v>
      </c>
      <c r="G814">
        <v>-354.47</v>
      </c>
      <c r="H814">
        <v>-6.89</v>
      </c>
      <c r="I814" t="s">
        <v>111</v>
      </c>
      <c r="J814" t="s">
        <v>26</v>
      </c>
    </row>
    <row r="815" spans="1:10" x14ac:dyDescent="0.25">
      <c r="A815" s="1">
        <v>46162</v>
      </c>
      <c r="B815" t="s">
        <v>32</v>
      </c>
      <c r="C815" s="2">
        <v>351500509327320</v>
      </c>
      <c r="D815" t="s">
        <v>385</v>
      </c>
      <c r="E815">
        <v>4790</v>
      </c>
      <c r="F815">
        <v>5063.5200000000004</v>
      </c>
      <c r="G815">
        <v>-273.52</v>
      </c>
      <c r="H815">
        <v>-5.4</v>
      </c>
      <c r="I815" t="s">
        <v>111</v>
      </c>
      <c r="J815" t="s">
        <v>26</v>
      </c>
    </row>
    <row r="816" spans="1:10" x14ac:dyDescent="0.25">
      <c r="A816" s="1">
        <v>46162</v>
      </c>
      <c r="B816" t="s">
        <v>32</v>
      </c>
      <c r="C816" s="2">
        <v>353008930580481</v>
      </c>
      <c r="D816" t="s">
        <v>385</v>
      </c>
      <c r="E816">
        <v>4790</v>
      </c>
      <c r="F816">
        <v>5063.5200000000004</v>
      </c>
      <c r="G816">
        <v>-273.52</v>
      </c>
      <c r="H816">
        <v>-5.4</v>
      </c>
      <c r="I816" t="s">
        <v>111</v>
      </c>
      <c r="J816" t="s">
        <v>26</v>
      </c>
    </row>
    <row r="817" spans="1:10" x14ac:dyDescent="0.25">
      <c r="A817" s="1">
        <v>46162</v>
      </c>
      <c r="B817" t="s">
        <v>32</v>
      </c>
      <c r="C817" s="2">
        <v>353008933154961</v>
      </c>
      <c r="D817" t="s">
        <v>91</v>
      </c>
      <c r="E817">
        <v>4740</v>
      </c>
      <c r="F817">
        <v>5063.53</v>
      </c>
      <c r="G817">
        <v>-323.52999999999997</v>
      </c>
      <c r="H817">
        <v>-6.39</v>
      </c>
      <c r="I817" t="s">
        <v>111</v>
      </c>
      <c r="J817" t="s">
        <v>26</v>
      </c>
    </row>
    <row r="818" spans="1:10" x14ac:dyDescent="0.25">
      <c r="A818" s="1">
        <v>46162</v>
      </c>
      <c r="B818" t="s">
        <v>32</v>
      </c>
      <c r="C818" s="2">
        <v>353008933889673</v>
      </c>
      <c r="D818" t="s">
        <v>91</v>
      </c>
      <c r="E818">
        <v>4740</v>
      </c>
      <c r="F818">
        <v>5063.53</v>
      </c>
      <c r="G818">
        <v>-323.52999999999997</v>
      </c>
      <c r="H818">
        <v>-6.39</v>
      </c>
      <c r="I818" t="s">
        <v>111</v>
      </c>
      <c r="J818" t="s">
        <v>26</v>
      </c>
    </row>
    <row r="819" spans="1:10" x14ac:dyDescent="0.25">
      <c r="A819" s="1">
        <v>46162</v>
      </c>
      <c r="B819" t="s">
        <v>32</v>
      </c>
      <c r="C819" s="2">
        <v>353008934774619</v>
      </c>
      <c r="D819" t="s">
        <v>98</v>
      </c>
      <c r="E819">
        <v>4790</v>
      </c>
      <c r="F819">
        <v>5063.53</v>
      </c>
      <c r="G819">
        <v>-273.52999999999997</v>
      </c>
      <c r="H819">
        <v>-5.4</v>
      </c>
      <c r="I819" t="s">
        <v>111</v>
      </c>
      <c r="J819" t="s">
        <v>26</v>
      </c>
    </row>
    <row r="820" spans="1:10" x14ac:dyDescent="0.25">
      <c r="A820" s="1">
        <v>46162</v>
      </c>
      <c r="B820" t="s">
        <v>32</v>
      </c>
      <c r="C820" s="2">
        <v>353008938205511</v>
      </c>
      <c r="D820" t="s">
        <v>385</v>
      </c>
      <c r="E820">
        <v>4790</v>
      </c>
      <c r="F820">
        <v>5144.47</v>
      </c>
      <c r="G820">
        <v>-354.47</v>
      </c>
      <c r="H820">
        <v>-6.89</v>
      </c>
      <c r="I820" t="s">
        <v>111</v>
      </c>
      <c r="J820" t="s">
        <v>26</v>
      </c>
    </row>
    <row r="821" spans="1:10" x14ac:dyDescent="0.25">
      <c r="A821" s="1">
        <v>46162</v>
      </c>
      <c r="B821" t="s">
        <v>32</v>
      </c>
      <c r="C821" s="2">
        <v>353806445738852</v>
      </c>
      <c r="D821" t="s">
        <v>91</v>
      </c>
      <c r="E821">
        <v>4740</v>
      </c>
      <c r="F821">
        <v>5063.53</v>
      </c>
      <c r="G821">
        <v>-323.52999999999997</v>
      </c>
      <c r="H821">
        <v>-6.39</v>
      </c>
      <c r="I821" t="s">
        <v>111</v>
      </c>
      <c r="J821" t="s">
        <v>26</v>
      </c>
    </row>
    <row r="822" spans="1:10" x14ac:dyDescent="0.25">
      <c r="A822" s="1">
        <v>46162</v>
      </c>
      <c r="B822" t="s">
        <v>32</v>
      </c>
      <c r="C822" s="2">
        <v>353806448848484</v>
      </c>
      <c r="D822" t="s">
        <v>385</v>
      </c>
      <c r="E822">
        <v>4790</v>
      </c>
      <c r="F822">
        <v>5144.47</v>
      </c>
      <c r="G822">
        <v>-354.47</v>
      </c>
      <c r="H822">
        <v>-6.89</v>
      </c>
      <c r="I822" t="s">
        <v>111</v>
      </c>
      <c r="J822" t="s">
        <v>26</v>
      </c>
    </row>
    <row r="823" spans="1:10" x14ac:dyDescent="0.25">
      <c r="A823" s="1">
        <v>46162</v>
      </c>
      <c r="B823" t="s">
        <v>32</v>
      </c>
      <c r="C823" s="2">
        <v>357352405374418</v>
      </c>
      <c r="D823" t="s">
        <v>91</v>
      </c>
      <c r="E823">
        <v>4740</v>
      </c>
      <c r="F823">
        <v>5063.53</v>
      </c>
      <c r="G823">
        <v>-323.52999999999997</v>
      </c>
      <c r="H823">
        <v>-6.39</v>
      </c>
      <c r="I823" t="s">
        <v>111</v>
      </c>
      <c r="J823" t="s">
        <v>26</v>
      </c>
    </row>
    <row r="824" spans="1:10" x14ac:dyDescent="0.25">
      <c r="A824" s="1">
        <v>46162</v>
      </c>
      <c r="B824" t="s">
        <v>32</v>
      </c>
      <c r="C824" s="2">
        <v>358361780008037</v>
      </c>
      <c r="D824" t="s">
        <v>91</v>
      </c>
      <c r="E824">
        <v>4740</v>
      </c>
      <c r="F824">
        <v>5188.21</v>
      </c>
      <c r="G824">
        <v>-448.21</v>
      </c>
      <c r="H824">
        <v>-8.64</v>
      </c>
      <c r="I824" t="s">
        <v>111</v>
      </c>
      <c r="J824" t="s">
        <v>26</v>
      </c>
    </row>
    <row r="825" spans="1:10" x14ac:dyDescent="0.25">
      <c r="A825" s="1">
        <v>46162</v>
      </c>
      <c r="B825" t="s">
        <v>32</v>
      </c>
      <c r="C825" s="2">
        <v>358361780035410</v>
      </c>
      <c r="D825" t="s">
        <v>91</v>
      </c>
      <c r="E825">
        <v>4740</v>
      </c>
      <c r="F825">
        <v>5144.47</v>
      </c>
      <c r="G825">
        <v>-404.47</v>
      </c>
      <c r="H825">
        <v>-7.86</v>
      </c>
      <c r="I825" t="s">
        <v>111</v>
      </c>
      <c r="J825" t="s">
        <v>26</v>
      </c>
    </row>
    <row r="826" spans="1:10" x14ac:dyDescent="0.25">
      <c r="A826" s="1">
        <v>46162</v>
      </c>
      <c r="B826" t="s">
        <v>32</v>
      </c>
      <c r="C826" s="2">
        <v>359144419580157</v>
      </c>
      <c r="D826" t="s">
        <v>91</v>
      </c>
      <c r="E826">
        <v>4740</v>
      </c>
      <c r="F826">
        <v>5063.53</v>
      </c>
      <c r="G826">
        <v>-323.52999999999997</v>
      </c>
      <c r="H826">
        <v>-6.39</v>
      </c>
      <c r="I826" t="s">
        <v>111</v>
      </c>
      <c r="J826" t="s">
        <v>26</v>
      </c>
    </row>
    <row r="827" spans="1:10" x14ac:dyDescent="0.25">
      <c r="A827" s="1">
        <v>46162</v>
      </c>
      <c r="B827" t="s">
        <v>32</v>
      </c>
      <c r="C827" s="2">
        <v>359144419613339</v>
      </c>
      <c r="D827" t="s">
        <v>91</v>
      </c>
      <c r="E827">
        <v>4740</v>
      </c>
      <c r="F827">
        <v>5063.53</v>
      </c>
      <c r="G827">
        <v>-323.52999999999997</v>
      </c>
      <c r="H827">
        <v>-6.39</v>
      </c>
      <c r="I827" t="s">
        <v>111</v>
      </c>
      <c r="J827" t="s">
        <v>26</v>
      </c>
    </row>
    <row r="828" spans="1:10" x14ac:dyDescent="0.25">
      <c r="A828" s="1">
        <v>46162</v>
      </c>
      <c r="B828" t="s">
        <v>32</v>
      </c>
      <c r="C828" s="2">
        <v>359144419649648</v>
      </c>
      <c r="D828" t="s">
        <v>91</v>
      </c>
      <c r="E828">
        <v>4740</v>
      </c>
      <c r="F828">
        <v>5063.53</v>
      </c>
      <c r="G828">
        <v>-323.52999999999997</v>
      </c>
      <c r="H828">
        <v>-6.39</v>
      </c>
      <c r="I828" t="s">
        <v>111</v>
      </c>
      <c r="J828" t="s">
        <v>26</v>
      </c>
    </row>
    <row r="829" spans="1:10" x14ac:dyDescent="0.25">
      <c r="A829" s="1">
        <v>46162</v>
      </c>
      <c r="B829" t="s">
        <v>75</v>
      </c>
      <c r="C829" s="2">
        <v>350035239807607</v>
      </c>
      <c r="D829" t="s">
        <v>35</v>
      </c>
      <c r="E829">
        <v>3759.47</v>
      </c>
      <c r="F829">
        <v>3200</v>
      </c>
      <c r="G829">
        <v>559.47</v>
      </c>
      <c r="H829">
        <v>17.48</v>
      </c>
      <c r="I829" t="s">
        <v>36</v>
      </c>
    </row>
    <row r="830" spans="1:10" x14ac:dyDescent="0.25">
      <c r="A830" s="1">
        <v>46162</v>
      </c>
      <c r="B830" t="s">
        <v>498</v>
      </c>
      <c r="C830" s="2" t="s">
        <v>499</v>
      </c>
      <c r="D830" t="s">
        <v>500</v>
      </c>
      <c r="E830">
        <v>350</v>
      </c>
      <c r="F830">
        <v>292.43</v>
      </c>
      <c r="G830">
        <v>57.57</v>
      </c>
      <c r="H830">
        <v>19.690000000000001</v>
      </c>
      <c r="I830" t="s">
        <v>111</v>
      </c>
    </row>
    <row r="831" spans="1:10" x14ac:dyDescent="0.25">
      <c r="A831" s="1">
        <v>46162</v>
      </c>
      <c r="B831" t="s">
        <v>498</v>
      </c>
      <c r="C831" s="2" t="s">
        <v>501</v>
      </c>
      <c r="D831" t="s">
        <v>500</v>
      </c>
      <c r="E831">
        <v>350</v>
      </c>
      <c r="F831">
        <v>292.43</v>
      </c>
      <c r="G831">
        <v>57.57</v>
      </c>
      <c r="H831">
        <v>19.690000000000001</v>
      </c>
      <c r="I831" t="s">
        <v>111</v>
      </c>
    </row>
    <row r="832" spans="1:10" x14ac:dyDescent="0.25">
      <c r="A832" s="1">
        <v>46162</v>
      </c>
      <c r="B832" t="s">
        <v>498</v>
      </c>
      <c r="C832" s="2" t="s">
        <v>502</v>
      </c>
      <c r="D832" t="s">
        <v>500</v>
      </c>
      <c r="E832">
        <v>350</v>
      </c>
      <c r="F832">
        <v>292.43</v>
      </c>
      <c r="G832">
        <v>57.57</v>
      </c>
      <c r="H832">
        <v>19.690000000000001</v>
      </c>
      <c r="I832" t="s">
        <v>111</v>
      </c>
    </row>
    <row r="833" spans="1:10" x14ac:dyDescent="0.25">
      <c r="A833" s="1">
        <v>46162</v>
      </c>
      <c r="B833" t="s">
        <v>498</v>
      </c>
      <c r="C833" s="2" t="s">
        <v>503</v>
      </c>
      <c r="D833" t="s">
        <v>500</v>
      </c>
      <c r="E833">
        <v>350</v>
      </c>
      <c r="F833">
        <v>292.43</v>
      </c>
      <c r="G833">
        <v>57.57</v>
      </c>
      <c r="H833">
        <v>19.690000000000001</v>
      </c>
      <c r="I833" t="s">
        <v>111</v>
      </c>
    </row>
    <row r="834" spans="1:10" x14ac:dyDescent="0.25">
      <c r="A834" s="1">
        <v>46162</v>
      </c>
      <c r="B834" t="s">
        <v>498</v>
      </c>
      <c r="C834" s="2" t="s">
        <v>504</v>
      </c>
      <c r="D834" t="s">
        <v>500</v>
      </c>
      <c r="E834">
        <v>350</v>
      </c>
      <c r="F834">
        <v>292.43</v>
      </c>
      <c r="G834">
        <v>57.57</v>
      </c>
      <c r="H834">
        <v>19.690000000000001</v>
      </c>
      <c r="I834" t="s">
        <v>111</v>
      </c>
    </row>
    <row r="835" spans="1:10" x14ac:dyDescent="0.25">
      <c r="A835" s="1">
        <v>46162</v>
      </c>
      <c r="B835" t="s">
        <v>498</v>
      </c>
      <c r="C835" s="2" t="s">
        <v>505</v>
      </c>
      <c r="D835" t="s">
        <v>506</v>
      </c>
      <c r="E835">
        <v>350</v>
      </c>
      <c r="F835">
        <v>292.43</v>
      </c>
      <c r="G835">
        <v>57.57</v>
      </c>
      <c r="H835">
        <v>19.690000000000001</v>
      </c>
      <c r="I835" t="s">
        <v>111</v>
      </c>
    </row>
    <row r="836" spans="1:10" x14ac:dyDescent="0.25">
      <c r="A836" s="1">
        <v>46162</v>
      </c>
      <c r="B836" t="s">
        <v>498</v>
      </c>
      <c r="C836" s="2" t="s">
        <v>507</v>
      </c>
      <c r="D836" t="s">
        <v>506</v>
      </c>
      <c r="E836">
        <v>350</v>
      </c>
      <c r="F836">
        <v>292.43</v>
      </c>
      <c r="G836">
        <v>57.57</v>
      </c>
      <c r="H836">
        <v>19.690000000000001</v>
      </c>
      <c r="I836" t="s">
        <v>111</v>
      </c>
    </row>
    <row r="837" spans="1:10" x14ac:dyDescent="0.25">
      <c r="A837" s="1">
        <v>46162</v>
      </c>
      <c r="B837" t="s">
        <v>498</v>
      </c>
      <c r="C837" s="2" t="s">
        <v>508</v>
      </c>
      <c r="D837" t="s">
        <v>506</v>
      </c>
      <c r="E837">
        <v>350</v>
      </c>
      <c r="F837">
        <v>292.43</v>
      </c>
      <c r="G837">
        <v>57.57</v>
      </c>
      <c r="H837">
        <v>19.690000000000001</v>
      </c>
      <c r="I837" t="s">
        <v>111</v>
      </c>
    </row>
    <row r="838" spans="1:10" x14ac:dyDescent="0.25">
      <c r="A838" s="1">
        <v>46162</v>
      </c>
      <c r="B838" t="s">
        <v>509</v>
      </c>
      <c r="C838" s="2" t="s">
        <v>510</v>
      </c>
      <c r="D838" t="s">
        <v>30</v>
      </c>
      <c r="E838">
        <v>1520</v>
      </c>
      <c r="F838">
        <v>1249.5</v>
      </c>
      <c r="G838">
        <v>270.5</v>
      </c>
      <c r="H838">
        <v>21.65</v>
      </c>
      <c r="I838" t="s">
        <v>18</v>
      </c>
    </row>
    <row r="839" spans="1:10" x14ac:dyDescent="0.25">
      <c r="A839" s="1">
        <v>46162</v>
      </c>
      <c r="B839" t="s">
        <v>509</v>
      </c>
      <c r="C839" s="2" t="s">
        <v>511</v>
      </c>
      <c r="D839" t="s">
        <v>30</v>
      </c>
      <c r="E839">
        <v>1520</v>
      </c>
      <c r="F839">
        <v>1249.5</v>
      </c>
      <c r="G839">
        <v>270.5</v>
      </c>
      <c r="H839">
        <v>21.65</v>
      </c>
      <c r="I839" t="s">
        <v>18</v>
      </c>
    </row>
    <row r="840" spans="1:10" x14ac:dyDescent="0.25">
      <c r="A840" s="1">
        <v>46162</v>
      </c>
      <c r="B840" t="s">
        <v>509</v>
      </c>
      <c r="C840" s="2" t="s">
        <v>512</v>
      </c>
      <c r="D840" t="s">
        <v>30</v>
      </c>
      <c r="E840">
        <v>1520</v>
      </c>
      <c r="F840">
        <v>1249.5</v>
      </c>
      <c r="G840">
        <v>270.5</v>
      </c>
      <c r="H840">
        <v>21.65</v>
      </c>
      <c r="I840" t="s">
        <v>18</v>
      </c>
    </row>
    <row r="841" spans="1:10" x14ac:dyDescent="0.25">
      <c r="A841" s="1">
        <v>46162</v>
      </c>
      <c r="B841" t="s">
        <v>40</v>
      </c>
      <c r="C841" s="2" t="s">
        <v>513</v>
      </c>
      <c r="D841" t="s">
        <v>30</v>
      </c>
      <c r="E841">
        <v>1870</v>
      </c>
      <c r="F841">
        <v>1677.9</v>
      </c>
      <c r="G841">
        <v>192.1</v>
      </c>
      <c r="H841">
        <v>11.45</v>
      </c>
      <c r="I841" t="s">
        <v>18</v>
      </c>
    </row>
    <row r="842" spans="1:10" x14ac:dyDescent="0.25">
      <c r="A842" s="1">
        <v>46162</v>
      </c>
      <c r="B842" t="s">
        <v>40</v>
      </c>
      <c r="C842" s="2" t="s">
        <v>514</v>
      </c>
      <c r="D842" t="s">
        <v>30</v>
      </c>
      <c r="E842">
        <v>1870</v>
      </c>
      <c r="F842">
        <v>1677.9</v>
      </c>
      <c r="G842">
        <v>192.1</v>
      </c>
      <c r="H842">
        <v>11.45</v>
      </c>
      <c r="I842" t="s">
        <v>18</v>
      </c>
    </row>
    <row r="843" spans="1:10" x14ac:dyDescent="0.25">
      <c r="A843" s="1">
        <v>46162</v>
      </c>
      <c r="B843" t="s">
        <v>40</v>
      </c>
      <c r="C843" s="2" t="s">
        <v>515</v>
      </c>
      <c r="D843" t="s">
        <v>30</v>
      </c>
      <c r="E843">
        <v>1870</v>
      </c>
      <c r="F843">
        <v>1677.9</v>
      </c>
      <c r="G843">
        <v>192.1</v>
      </c>
      <c r="H843">
        <v>11.45</v>
      </c>
      <c r="I843" t="s">
        <v>18</v>
      </c>
    </row>
    <row r="844" spans="1:10" x14ac:dyDescent="0.25">
      <c r="A844" s="1">
        <v>46162</v>
      </c>
      <c r="B844" t="s">
        <v>40</v>
      </c>
      <c r="C844" s="2" t="s">
        <v>516</v>
      </c>
      <c r="D844" t="s">
        <v>30</v>
      </c>
      <c r="E844">
        <v>1870</v>
      </c>
      <c r="F844">
        <v>1677.9</v>
      </c>
      <c r="G844">
        <v>192.1</v>
      </c>
      <c r="H844">
        <v>11.45</v>
      </c>
      <c r="I844" t="s">
        <v>18</v>
      </c>
    </row>
    <row r="845" spans="1:10" x14ac:dyDescent="0.25">
      <c r="A845" s="1">
        <v>46162</v>
      </c>
      <c r="B845" t="s">
        <v>40</v>
      </c>
      <c r="C845" s="2" t="s">
        <v>517</v>
      </c>
      <c r="D845" t="s">
        <v>30</v>
      </c>
      <c r="E845">
        <v>1870</v>
      </c>
      <c r="F845">
        <v>1677.9</v>
      </c>
      <c r="G845">
        <v>192.1</v>
      </c>
      <c r="H845">
        <v>11.45</v>
      </c>
      <c r="I845" t="s">
        <v>18</v>
      </c>
    </row>
    <row r="846" spans="1:10" x14ac:dyDescent="0.25">
      <c r="A846" s="1">
        <v>46162</v>
      </c>
      <c r="B846" t="s">
        <v>518</v>
      </c>
      <c r="C846" s="2" t="s">
        <v>519</v>
      </c>
      <c r="D846" t="s">
        <v>30</v>
      </c>
      <c r="E846">
        <v>1</v>
      </c>
      <c r="F846">
        <v>214.2</v>
      </c>
      <c r="G846">
        <v>-213.2</v>
      </c>
      <c r="H846">
        <v>-99.53</v>
      </c>
      <c r="I846" t="s">
        <v>18</v>
      </c>
      <c r="J846" t="s">
        <v>68</v>
      </c>
    </row>
    <row r="847" spans="1:10" x14ac:dyDescent="0.25">
      <c r="A847" s="1">
        <v>46162</v>
      </c>
      <c r="B847" t="s">
        <v>520</v>
      </c>
      <c r="C847" s="2" t="s">
        <v>521</v>
      </c>
      <c r="D847" t="s">
        <v>522</v>
      </c>
      <c r="E847">
        <v>1520</v>
      </c>
      <c r="F847">
        <v>1249.5</v>
      </c>
      <c r="G847">
        <v>270.5</v>
      </c>
      <c r="H847">
        <v>21.65</v>
      </c>
      <c r="I847" t="s">
        <v>18</v>
      </c>
    </row>
    <row r="848" spans="1:10" x14ac:dyDescent="0.25">
      <c r="A848" s="1">
        <v>46162</v>
      </c>
      <c r="B848" t="s">
        <v>55</v>
      </c>
      <c r="C848" s="2" t="s">
        <v>523</v>
      </c>
      <c r="D848" t="s">
        <v>522</v>
      </c>
      <c r="E848">
        <v>1320</v>
      </c>
      <c r="F848">
        <v>1249.5</v>
      </c>
      <c r="G848">
        <v>70.5</v>
      </c>
      <c r="H848">
        <v>5.64</v>
      </c>
      <c r="I848" t="s">
        <v>18</v>
      </c>
    </row>
    <row r="849" spans="1:10" x14ac:dyDescent="0.25">
      <c r="A849" s="1">
        <v>46162</v>
      </c>
      <c r="B849" t="s">
        <v>55</v>
      </c>
      <c r="C849" s="2" t="s">
        <v>524</v>
      </c>
      <c r="D849" t="s">
        <v>522</v>
      </c>
      <c r="E849">
        <v>1320</v>
      </c>
      <c r="F849">
        <v>1249.5</v>
      </c>
      <c r="G849">
        <v>70.5</v>
      </c>
      <c r="H849">
        <v>5.64</v>
      </c>
      <c r="I849" t="s">
        <v>18</v>
      </c>
    </row>
    <row r="850" spans="1:10" x14ac:dyDescent="0.25">
      <c r="A850" s="1">
        <v>46162</v>
      </c>
      <c r="B850" t="s">
        <v>55</v>
      </c>
      <c r="C850" s="2" t="s">
        <v>525</v>
      </c>
      <c r="D850" t="s">
        <v>522</v>
      </c>
      <c r="E850">
        <v>1320</v>
      </c>
      <c r="F850">
        <v>1249.5</v>
      </c>
      <c r="G850">
        <v>70.5</v>
      </c>
      <c r="H850">
        <v>5.64</v>
      </c>
      <c r="I850" t="s">
        <v>18</v>
      </c>
    </row>
    <row r="851" spans="1:10" x14ac:dyDescent="0.25">
      <c r="A851" s="1">
        <v>46162</v>
      </c>
      <c r="B851" t="s">
        <v>55</v>
      </c>
      <c r="C851" s="2" t="s">
        <v>526</v>
      </c>
      <c r="D851" t="s">
        <v>522</v>
      </c>
      <c r="E851">
        <v>1320</v>
      </c>
      <c r="F851">
        <v>1249.5</v>
      </c>
      <c r="G851">
        <v>70.5</v>
      </c>
      <c r="H851">
        <v>5.64</v>
      </c>
      <c r="I851" t="s">
        <v>18</v>
      </c>
    </row>
    <row r="852" spans="1:10" x14ac:dyDescent="0.25">
      <c r="A852" s="1">
        <v>46162</v>
      </c>
      <c r="B852" t="s">
        <v>55</v>
      </c>
      <c r="C852" s="2" t="s">
        <v>527</v>
      </c>
      <c r="D852" t="s">
        <v>522</v>
      </c>
      <c r="E852">
        <v>1320</v>
      </c>
      <c r="F852">
        <v>1249.5</v>
      </c>
      <c r="G852">
        <v>70.5</v>
      </c>
      <c r="H852">
        <v>5.64</v>
      </c>
      <c r="I852" t="s">
        <v>18</v>
      </c>
    </row>
    <row r="853" spans="1:10" x14ac:dyDescent="0.25">
      <c r="A853" s="1">
        <v>46162</v>
      </c>
      <c r="B853" t="s">
        <v>55</v>
      </c>
      <c r="C853" s="2" t="s">
        <v>528</v>
      </c>
      <c r="D853" t="s">
        <v>522</v>
      </c>
      <c r="E853">
        <v>1320</v>
      </c>
      <c r="F853">
        <v>1249.5</v>
      </c>
      <c r="G853">
        <v>70.5</v>
      </c>
      <c r="H853">
        <v>5.64</v>
      </c>
      <c r="I853" t="s">
        <v>18</v>
      </c>
    </row>
    <row r="854" spans="1:10" x14ac:dyDescent="0.25">
      <c r="A854" s="1">
        <v>46162</v>
      </c>
      <c r="B854" t="s">
        <v>55</v>
      </c>
      <c r="C854" s="2" t="s">
        <v>529</v>
      </c>
      <c r="D854" t="s">
        <v>522</v>
      </c>
      <c r="E854">
        <v>1320</v>
      </c>
      <c r="F854">
        <v>1249.5</v>
      </c>
      <c r="G854">
        <v>70.5</v>
      </c>
      <c r="H854">
        <v>5.64</v>
      </c>
      <c r="I854" t="s">
        <v>18</v>
      </c>
    </row>
    <row r="855" spans="1:10" x14ac:dyDescent="0.25">
      <c r="A855" s="1">
        <v>46162</v>
      </c>
      <c r="B855" t="s">
        <v>55</v>
      </c>
      <c r="C855" s="2" t="s">
        <v>530</v>
      </c>
      <c r="D855" t="s">
        <v>522</v>
      </c>
      <c r="E855">
        <v>1320</v>
      </c>
      <c r="F855">
        <v>1249.5</v>
      </c>
      <c r="G855">
        <v>70.5</v>
      </c>
      <c r="H855">
        <v>5.64</v>
      </c>
      <c r="I855" t="s">
        <v>18</v>
      </c>
    </row>
    <row r="856" spans="1:10" x14ac:dyDescent="0.25">
      <c r="A856" s="1">
        <v>46162</v>
      </c>
      <c r="B856" t="s">
        <v>55</v>
      </c>
      <c r="C856" s="2" t="s">
        <v>531</v>
      </c>
      <c r="D856" t="s">
        <v>522</v>
      </c>
      <c r="E856">
        <v>1320</v>
      </c>
      <c r="F856">
        <v>1249.5</v>
      </c>
      <c r="G856">
        <v>70.5</v>
      </c>
      <c r="H856">
        <v>5.64</v>
      </c>
      <c r="I856" t="s">
        <v>18</v>
      </c>
    </row>
    <row r="857" spans="1:10" x14ac:dyDescent="0.25">
      <c r="A857" s="1">
        <v>46162</v>
      </c>
      <c r="B857" t="s">
        <v>55</v>
      </c>
      <c r="C857" s="2" t="s">
        <v>532</v>
      </c>
      <c r="D857" t="s">
        <v>522</v>
      </c>
      <c r="E857">
        <v>1320</v>
      </c>
      <c r="F857">
        <v>1249.5</v>
      </c>
      <c r="G857">
        <v>70.5</v>
      </c>
      <c r="H857">
        <v>5.64</v>
      </c>
      <c r="I857" t="s">
        <v>18</v>
      </c>
    </row>
    <row r="858" spans="1:10" x14ac:dyDescent="0.25">
      <c r="A858" s="1">
        <v>46162</v>
      </c>
      <c r="B858" t="s">
        <v>55</v>
      </c>
      <c r="C858" s="2" t="s">
        <v>533</v>
      </c>
      <c r="D858" t="s">
        <v>534</v>
      </c>
      <c r="E858">
        <v>1320</v>
      </c>
      <c r="F858">
        <v>1611.89</v>
      </c>
      <c r="G858">
        <v>-291.89</v>
      </c>
      <c r="H858">
        <v>-18.11</v>
      </c>
      <c r="I858" t="s">
        <v>111</v>
      </c>
      <c r="J858" t="s">
        <v>26</v>
      </c>
    </row>
    <row r="859" spans="1:10" x14ac:dyDescent="0.25">
      <c r="A859" s="1">
        <v>46162</v>
      </c>
      <c r="B859" t="s">
        <v>55</v>
      </c>
      <c r="C859" s="2" t="s">
        <v>535</v>
      </c>
      <c r="D859" t="s">
        <v>534</v>
      </c>
      <c r="E859">
        <v>1520</v>
      </c>
      <c r="F859">
        <v>1580.98</v>
      </c>
      <c r="G859">
        <v>-60.98</v>
      </c>
      <c r="H859">
        <v>-3.86</v>
      </c>
      <c r="I859" t="s">
        <v>111</v>
      </c>
      <c r="J859" t="s">
        <v>26</v>
      </c>
    </row>
    <row r="860" spans="1:10" x14ac:dyDescent="0.25">
      <c r="A860" s="1">
        <v>46162</v>
      </c>
      <c r="B860" t="s">
        <v>55</v>
      </c>
      <c r="C860" s="2" t="s">
        <v>536</v>
      </c>
      <c r="D860" t="s">
        <v>534</v>
      </c>
      <c r="E860">
        <v>1520</v>
      </c>
      <c r="F860">
        <v>1611.89</v>
      </c>
      <c r="G860">
        <v>-91.89</v>
      </c>
      <c r="H860">
        <v>-5.7</v>
      </c>
      <c r="I860" t="s">
        <v>111</v>
      </c>
      <c r="J860" t="s">
        <v>26</v>
      </c>
    </row>
    <row r="861" spans="1:10" x14ac:dyDescent="0.25">
      <c r="A861" s="1">
        <v>46162</v>
      </c>
      <c r="B861" t="s">
        <v>55</v>
      </c>
      <c r="C861" s="2" t="s">
        <v>537</v>
      </c>
      <c r="D861" t="s">
        <v>522</v>
      </c>
      <c r="E861">
        <v>1320</v>
      </c>
      <c r="F861">
        <v>1249.5</v>
      </c>
      <c r="G861">
        <v>70.5</v>
      </c>
      <c r="H861">
        <v>5.64</v>
      </c>
      <c r="I861" t="s">
        <v>18</v>
      </c>
    </row>
    <row r="862" spans="1:10" x14ac:dyDescent="0.25">
      <c r="A862" s="1">
        <v>46162</v>
      </c>
      <c r="B862" t="s">
        <v>55</v>
      </c>
      <c r="C862" s="2" t="s">
        <v>538</v>
      </c>
      <c r="D862" t="s">
        <v>522</v>
      </c>
      <c r="E862">
        <v>1320</v>
      </c>
      <c r="F862">
        <v>1249.5</v>
      </c>
      <c r="G862">
        <v>70.5</v>
      </c>
      <c r="H862">
        <v>5.64</v>
      </c>
      <c r="I862" t="s">
        <v>18</v>
      </c>
    </row>
    <row r="863" spans="1:10" x14ac:dyDescent="0.25">
      <c r="A863" s="1">
        <v>46162</v>
      </c>
      <c r="B863" t="s">
        <v>539</v>
      </c>
      <c r="C863" s="2" t="s">
        <v>540</v>
      </c>
      <c r="D863" t="s">
        <v>30</v>
      </c>
      <c r="E863">
        <v>1630</v>
      </c>
      <c r="F863">
        <v>1320.9</v>
      </c>
      <c r="G863">
        <v>309.10000000000002</v>
      </c>
      <c r="H863">
        <v>23.4</v>
      </c>
      <c r="I863" t="s">
        <v>18</v>
      </c>
    </row>
    <row r="864" spans="1:10" x14ac:dyDescent="0.25">
      <c r="A864" s="1">
        <v>46162</v>
      </c>
      <c r="B864" t="s">
        <v>539</v>
      </c>
      <c r="C864" s="2" t="s">
        <v>541</v>
      </c>
      <c r="D864" t="s">
        <v>30</v>
      </c>
      <c r="E864">
        <v>1630</v>
      </c>
      <c r="F864">
        <v>1320.9</v>
      </c>
      <c r="G864">
        <v>309.10000000000002</v>
      </c>
      <c r="H864">
        <v>23.4</v>
      </c>
      <c r="I864" t="s">
        <v>18</v>
      </c>
    </row>
    <row r="865" spans="1:10" x14ac:dyDescent="0.25">
      <c r="A865" s="1">
        <v>46162</v>
      </c>
      <c r="B865" t="s">
        <v>539</v>
      </c>
      <c r="C865" s="2" t="s">
        <v>542</v>
      </c>
      <c r="D865" t="s">
        <v>30</v>
      </c>
      <c r="E865">
        <v>1630</v>
      </c>
      <c r="F865">
        <v>1320.9</v>
      </c>
      <c r="G865">
        <v>309.10000000000002</v>
      </c>
      <c r="H865">
        <v>23.4</v>
      </c>
      <c r="I865" t="s">
        <v>18</v>
      </c>
    </row>
    <row r="866" spans="1:10" x14ac:dyDescent="0.25">
      <c r="A866" s="1">
        <v>46162</v>
      </c>
      <c r="B866" t="s">
        <v>539</v>
      </c>
      <c r="C866" s="2" t="s">
        <v>543</v>
      </c>
      <c r="D866" t="s">
        <v>30</v>
      </c>
      <c r="E866">
        <v>1630</v>
      </c>
      <c r="F866">
        <v>1320.9</v>
      </c>
      <c r="G866">
        <v>309.10000000000002</v>
      </c>
      <c r="H866">
        <v>23.4</v>
      </c>
      <c r="I866" t="s">
        <v>18</v>
      </c>
    </row>
    <row r="867" spans="1:10" x14ac:dyDescent="0.25">
      <c r="A867" s="1">
        <v>46162</v>
      </c>
      <c r="B867" t="s">
        <v>539</v>
      </c>
      <c r="C867" s="2" t="s">
        <v>544</v>
      </c>
      <c r="D867" t="s">
        <v>30</v>
      </c>
      <c r="E867">
        <v>1630</v>
      </c>
      <c r="F867">
        <v>1320.9</v>
      </c>
      <c r="G867">
        <v>309.10000000000002</v>
      </c>
      <c r="H867">
        <v>23.4</v>
      </c>
      <c r="I867" t="s">
        <v>18</v>
      </c>
    </row>
    <row r="868" spans="1:10" x14ac:dyDescent="0.25">
      <c r="A868" s="1">
        <v>46162</v>
      </c>
      <c r="B868" t="s">
        <v>539</v>
      </c>
      <c r="C868" s="2" t="s">
        <v>545</v>
      </c>
      <c r="D868" t="s">
        <v>30</v>
      </c>
      <c r="E868">
        <v>1630</v>
      </c>
      <c r="F868">
        <v>1320.9</v>
      </c>
      <c r="G868">
        <v>309.10000000000002</v>
      </c>
      <c r="H868">
        <v>23.4</v>
      </c>
      <c r="I868" t="s">
        <v>18</v>
      </c>
    </row>
    <row r="869" spans="1:10" x14ac:dyDescent="0.25">
      <c r="A869" s="1">
        <v>46162</v>
      </c>
      <c r="B869" t="s">
        <v>546</v>
      </c>
      <c r="C869" s="2">
        <v>45496885861</v>
      </c>
      <c r="D869" t="s">
        <v>30</v>
      </c>
      <c r="E869">
        <v>1</v>
      </c>
      <c r="F869">
        <v>267.75</v>
      </c>
      <c r="G869">
        <v>-266.75</v>
      </c>
      <c r="H869">
        <v>-99.63</v>
      </c>
      <c r="I869" t="s">
        <v>18</v>
      </c>
      <c r="J869" t="s">
        <v>68</v>
      </c>
    </row>
    <row r="870" spans="1:10" x14ac:dyDescent="0.25">
      <c r="A870" s="1">
        <v>46162</v>
      </c>
      <c r="B870" t="s">
        <v>547</v>
      </c>
      <c r="C870" s="2">
        <v>45496884727</v>
      </c>
      <c r="D870" t="s">
        <v>548</v>
      </c>
      <c r="E870">
        <v>1</v>
      </c>
      <c r="F870">
        <v>178.5</v>
      </c>
      <c r="G870">
        <v>-177.5</v>
      </c>
      <c r="H870">
        <v>-99.44</v>
      </c>
      <c r="I870" t="s">
        <v>18</v>
      </c>
      <c r="J870" t="s">
        <v>68</v>
      </c>
    </row>
    <row r="871" spans="1:10" x14ac:dyDescent="0.25">
      <c r="A871" s="1">
        <v>46162</v>
      </c>
      <c r="B871" t="s">
        <v>547</v>
      </c>
      <c r="C871" s="2">
        <v>45496885892</v>
      </c>
      <c r="D871" t="s">
        <v>549</v>
      </c>
      <c r="E871">
        <v>1</v>
      </c>
      <c r="F871">
        <v>178.5</v>
      </c>
      <c r="G871">
        <v>-177.5</v>
      </c>
      <c r="H871">
        <v>-99.44</v>
      </c>
      <c r="I871" t="s">
        <v>18</v>
      </c>
      <c r="J871" t="s">
        <v>68</v>
      </c>
    </row>
    <row r="872" spans="1:10" x14ac:dyDescent="0.25">
      <c r="A872" s="1">
        <v>46162</v>
      </c>
      <c r="B872" t="s">
        <v>320</v>
      </c>
      <c r="C872" s="2" t="s">
        <v>550</v>
      </c>
      <c r="E872">
        <v>3075</v>
      </c>
      <c r="F872">
        <v>2112.1999999999998</v>
      </c>
      <c r="G872">
        <v>962.8</v>
      </c>
      <c r="H872">
        <v>45.58</v>
      </c>
      <c r="I872" t="s">
        <v>18</v>
      </c>
    </row>
    <row r="873" spans="1:10" x14ac:dyDescent="0.25">
      <c r="A873" s="1">
        <v>46162</v>
      </c>
      <c r="B873" t="s">
        <v>320</v>
      </c>
      <c r="C873" s="2" t="s">
        <v>551</v>
      </c>
      <c r="E873">
        <v>3075</v>
      </c>
      <c r="F873">
        <v>2112.1999999999998</v>
      </c>
      <c r="G873">
        <v>962.8</v>
      </c>
      <c r="H873">
        <v>45.58</v>
      </c>
      <c r="I873" t="s">
        <v>18</v>
      </c>
    </row>
    <row r="874" spans="1:10" x14ac:dyDescent="0.25">
      <c r="A874" s="1">
        <v>46162</v>
      </c>
      <c r="B874" t="s">
        <v>320</v>
      </c>
      <c r="C874" s="2" t="s">
        <v>552</v>
      </c>
      <c r="E874">
        <v>3075</v>
      </c>
      <c r="F874">
        <v>2112.1999999999998</v>
      </c>
      <c r="G874">
        <v>962.8</v>
      </c>
      <c r="H874">
        <v>45.58</v>
      </c>
      <c r="I874" t="s">
        <v>18</v>
      </c>
    </row>
    <row r="875" spans="1:10" x14ac:dyDescent="0.25">
      <c r="A875" s="1">
        <v>46162</v>
      </c>
      <c r="B875" t="s">
        <v>320</v>
      </c>
      <c r="C875" s="2" t="s">
        <v>553</v>
      </c>
      <c r="D875" t="s">
        <v>30</v>
      </c>
      <c r="E875">
        <v>3000</v>
      </c>
      <c r="F875">
        <v>2534.6999999999998</v>
      </c>
      <c r="G875">
        <v>465.3</v>
      </c>
      <c r="H875">
        <v>18.36</v>
      </c>
      <c r="I875" t="s">
        <v>18</v>
      </c>
    </row>
    <row r="876" spans="1:10" x14ac:dyDescent="0.25">
      <c r="A876" s="1">
        <v>46163</v>
      </c>
      <c r="B876" t="s">
        <v>554</v>
      </c>
      <c r="C876" s="2">
        <v>21125082000966</v>
      </c>
      <c r="D876" t="s">
        <v>78</v>
      </c>
      <c r="E876">
        <v>2100</v>
      </c>
      <c r="F876">
        <v>1674.85</v>
      </c>
      <c r="G876">
        <v>425.15</v>
      </c>
      <c r="H876">
        <v>25.38</v>
      </c>
      <c r="I876" t="s">
        <v>102</v>
      </c>
    </row>
    <row r="877" spans="1:10" x14ac:dyDescent="0.25">
      <c r="A877" s="1">
        <v>46163</v>
      </c>
      <c r="B877" t="s">
        <v>554</v>
      </c>
      <c r="C877" s="2">
        <v>21215082001175</v>
      </c>
      <c r="D877" t="s">
        <v>78</v>
      </c>
      <c r="E877">
        <v>2100</v>
      </c>
      <c r="F877">
        <v>1825.35</v>
      </c>
      <c r="G877">
        <v>274.64999999999998</v>
      </c>
      <c r="H877">
        <v>15.05</v>
      </c>
      <c r="I877" t="s">
        <v>102</v>
      </c>
    </row>
    <row r="878" spans="1:10" x14ac:dyDescent="0.25">
      <c r="A878" s="1">
        <v>46163</v>
      </c>
      <c r="B878" t="s">
        <v>554</v>
      </c>
      <c r="C878" s="2">
        <v>21215082001176</v>
      </c>
      <c r="D878" t="s">
        <v>78</v>
      </c>
      <c r="E878">
        <v>2100</v>
      </c>
      <c r="F878">
        <v>1689.9</v>
      </c>
      <c r="G878">
        <v>410.1</v>
      </c>
      <c r="H878">
        <v>24.27</v>
      </c>
      <c r="I878" t="s">
        <v>102</v>
      </c>
    </row>
    <row r="879" spans="1:10" x14ac:dyDescent="0.25">
      <c r="A879" s="1">
        <v>46163</v>
      </c>
      <c r="B879" t="s">
        <v>554</v>
      </c>
      <c r="C879" s="2">
        <v>21215082001178</v>
      </c>
      <c r="D879" t="s">
        <v>78</v>
      </c>
      <c r="E879">
        <v>2100</v>
      </c>
      <c r="F879">
        <v>1689.9</v>
      </c>
      <c r="G879">
        <v>410.1</v>
      </c>
      <c r="H879">
        <v>24.27</v>
      </c>
      <c r="I879" t="s">
        <v>102</v>
      </c>
    </row>
    <row r="880" spans="1:10" x14ac:dyDescent="0.25">
      <c r="A880" s="1">
        <v>46163</v>
      </c>
      <c r="B880" t="s">
        <v>554</v>
      </c>
      <c r="C880" s="2">
        <v>21215082001179</v>
      </c>
      <c r="D880" t="s">
        <v>78</v>
      </c>
      <c r="E880">
        <v>2100</v>
      </c>
      <c r="F880">
        <v>1689.9</v>
      </c>
      <c r="G880">
        <v>410.1</v>
      </c>
      <c r="H880">
        <v>24.27</v>
      </c>
      <c r="I880" t="s">
        <v>102</v>
      </c>
    </row>
    <row r="881" spans="1:9" x14ac:dyDescent="0.25">
      <c r="A881" s="1">
        <v>46163</v>
      </c>
      <c r="B881" t="s">
        <v>554</v>
      </c>
      <c r="C881" s="2">
        <v>21215082001189</v>
      </c>
      <c r="D881" t="s">
        <v>78</v>
      </c>
      <c r="E881">
        <v>2100</v>
      </c>
      <c r="F881">
        <v>1689.9</v>
      </c>
      <c r="G881">
        <v>410.1</v>
      </c>
      <c r="H881">
        <v>24.27</v>
      </c>
      <c r="I881" t="s">
        <v>102</v>
      </c>
    </row>
    <row r="882" spans="1:9" x14ac:dyDescent="0.25">
      <c r="A882" s="1">
        <v>46163</v>
      </c>
      <c r="B882" t="s">
        <v>554</v>
      </c>
      <c r="C882" s="2">
        <v>21215082001308</v>
      </c>
      <c r="D882" t="s">
        <v>78</v>
      </c>
      <c r="E882">
        <v>2100</v>
      </c>
      <c r="F882">
        <v>1689.9</v>
      </c>
      <c r="G882">
        <v>410.1</v>
      </c>
      <c r="H882">
        <v>24.27</v>
      </c>
      <c r="I882" t="s">
        <v>102</v>
      </c>
    </row>
    <row r="883" spans="1:9" x14ac:dyDescent="0.25">
      <c r="A883" s="1">
        <v>46163</v>
      </c>
      <c r="B883" t="s">
        <v>554</v>
      </c>
      <c r="C883" s="2">
        <v>21235082000724</v>
      </c>
      <c r="D883" t="s">
        <v>78</v>
      </c>
      <c r="E883">
        <v>2100</v>
      </c>
      <c r="F883">
        <v>1825.35</v>
      </c>
      <c r="G883">
        <v>274.64999999999998</v>
      </c>
      <c r="H883">
        <v>15.05</v>
      </c>
      <c r="I883" t="s">
        <v>102</v>
      </c>
    </row>
    <row r="884" spans="1:9" x14ac:dyDescent="0.25">
      <c r="A884" s="1">
        <v>46163</v>
      </c>
      <c r="B884" t="s">
        <v>554</v>
      </c>
      <c r="C884" s="2">
        <v>21235082000725</v>
      </c>
      <c r="D884" t="s">
        <v>78</v>
      </c>
      <c r="E884">
        <v>2100</v>
      </c>
      <c r="F884">
        <v>1674.85</v>
      </c>
      <c r="G884">
        <v>425.15</v>
      </c>
      <c r="H884">
        <v>25.38</v>
      </c>
      <c r="I884" t="s">
        <v>102</v>
      </c>
    </row>
    <row r="885" spans="1:9" x14ac:dyDescent="0.25">
      <c r="A885" s="1">
        <v>46163</v>
      </c>
      <c r="B885" t="s">
        <v>554</v>
      </c>
      <c r="C885" s="2">
        <v>21235082000808</v>
      </c>
      <c r="D885" t="s">
        <v>78</v>
      </c>
      <c r="E885">
        <v>2100</v>
      </c>
      <c r="F885">
        <v>1825.35</v>
      </c>
      <c r="G885">
        <v>274.64999999999998</v>
      </c>
      <c r="H885">
        <v>15.05</v>
      </c>
      <c r="I885" t="s">
        <v>102</v>
      </c>
    </row>
    <row r="886" spans="1:9" x14ac:dyDescent="0.25">
      <c r="A886" s="1">
        <v>46163</v>
      </c>
      <c r="B886" t="s">
        <v>554</v>
      </c>
      <c r="C886" s="2">
        <v>21235082000892</v>
      </c>
      <c r="D886" t="s">
        <v>78</v>
      </c>
      <c r="E886">
        <v>2100</v>
      </c>
      <c r="F886">
        <v>1674.85</v>
      </c>
      <c r="G886">
        <v>425.15</v>
      </c>
      <c r="H886">
        <v>25.38</v>
      </c>
      <c r="I886" t="s">
        <v>102</v>
      </c>
    </row>
    <row r="887" spans="1:9" x14ac:dyDescent="0.25">
      <c r="A887" s="1">
        <v>46163</v>
      </c>
      <c r="B887" t="s">
        <v>554</v>
      </c>
      <c r="C887" s="2" t="s">
        <v>555</v>
      </c>
      <c r="D887" t="s">
        <v>78</v>
      </c>
      <c r="E887">
        <v>2100</v>
      </c>
      <c r="F887">
        <v>1674.85</v>
      </c>
      <c r="G887">
        <v>425.15</v>
      </c>
      <c r="H887">
        <v>25.38</v>
      </c>
      <c r="I887" t="s">
        <v>102</v>
      </c>
    </row>
    <row r="888" spans="1:9" x14ac:dyDescent="0.25">
      <c r="A888" s="1">
        <v>46163</v>
      </c>
      <c r="B888" t="s">
        <v>556</v>
      </c>
      <c r="C888" s="2" t="s">
        <v>557</v>
      </c>
      <c r="D888" t="s">
        <v>30</v>
      </c>
      <c r="E888">
        <v>365</v>
      </c>
      <c r="F888">
        <v>307.45</v>
      </c>
      <c r="G888">
        <v>57.55</v>
      </c>
      <c r="H888">
        <v>18.72</v>
      </c>
      <c r="I888" t="s">
        <v>102</v>
      </c>
    </row>
    <row r="889" spans="1:9" x14ac:dyDescent="0.25">
      <c r="A889" s="1">
        <v>46163</v>
      </c>
      <c r="B889" t="s">
        <v>556</v>
      </c>
      <c r="C889" s="2" t="s">
        <v>558</v>
      </c>
      <c r="D889" t="s">
        <v>30</v>
      </c>
      <c r="E889">
        <v>365</v>
      </c>
      <c r="F889">
        <v>307.45</v>
      </c>
      <c r="G889">
        <v>57.55</v>
      </c>
      <c r="H889">
        <v>18.72</v>
      </c>
      <c r="I889" t="s">
        <v>102</v>
      </c>
    </row>
    <row r="890" spans="1:9" x14ac:dyDescent="0.25">
      <c r="A890" s="1">
        <v>46163</v>
      </c>
      <c r="B890" t="s">
        <v>556</v>
      </c>
      <c r="C890" s="2" t="s">
        <v>559</v>
      </c>
      <c r="D890" t="s">
        <v>30</v>
      </c>
      <c r="E890">
        <v>365</v>
      </c>
      <c r="F890">
        <v>307.45</v>
      </c>
      <c r="G890">
        <v>57.55</v>
      </c>
      <c r="H890">
        <v>18.72</v>
      </c>
      <c r="I890" t="s">
        <v>102</v>
      </c>
    </row>
    <row r="891" spans="1:9" x14ac:dyDescent="0.25">
      <c r="A891" s="1">
        <v>46163</v>
      </c>
      <c r="B891" t="s">
        <v>556</v>
      </c>
      <c r="C891" s="2" t="s">
        <v>560</v>
      </c>
      <c r="D891" t="s">
        <v>30</v>
      </c>
      <c r="E891">
        <v>365</v>
      </c>
      <c r="F891">
        <v>307.45</v>
      </c>
      <c r="G891">
        <v>57.55</v>
      </c>
      <c r="H891">
        <v>18.72</v>
      </c>
      <c r="I891" t="s">
        <v>102</v>
      </c>
    </row>
    <row r="892" spans="1:9" x14ac:dyDescent="0.25">
      <c r="A892" s="1">
        <v>46163</v>
      </c>
      <c r="B892" t="s">
        <v>556</v>
      </c>
      <c r="C892" s="2" t="s">
        <v>561</v>
      </c>
      <c r="D892" t="s">
        <v>30</v>
      </c>
      <c r="E892">
        <v>365</v>
      </c>
      <c r="F892">
        <v>307.45</v>
      </c>
      <c r="G892">
        <v>57.55</v>
      </c>
      <c r="H892">
        <v>18.72</v>
      </c>
      <c r="I892" t="s">
        <v>102</v>
      </c>
    </row>
    <row r="893" spans="1:9" x14ac:dyDescent="0.25">
      <c r="A893" s="1">
        <v>46163</v>
      </c>
      <c r="B893" t="s">
        <v>556</v>
      </c>
      <c r="C893" s="2" t="s">
        <v>562</v>
      </c>
      <c r="D893" t="s">
        <v>30</v>
      </c>
      <c r="E893">
        <v>365</v>
      </c>
      <c r="F893">
        <v>307.45</v>
      </c>
      <c r="G893">
        <v>57.55</v>
      </c>
      <c r="H893">
        <v>18.72</v>
      </c>
      <c r="I893" t="s">
        <v>102</v>
      </c>
    </row>
    <row r="894" spans="1:9" x14ac:dyDescent="0.25">
      <c r="A894" s="1">
        <v>46163</v>
      </c>
      <c r="B894" t="s">
        <v>556</v>
      </c>
      <c r="C894" s="2" t="s">
        <v>563</v>
      </c>
      <c r="D894" t="s">
        <v>30</v>
      </c>
      <c r="E894">
        <v>365</v>
      </c>
      <c r="F894">
        <v>307.45</v>
      </c>
      <c r="G894">
        <v>57.55</v>
      </c>
      <c r="H894">
        <v>18.72</v>
      </c>
      <c r="I894" t="s">
        <v>102</v>
      </c>
    </row>
    <row r="895" spans="1:9" x14ac:dyDescent="0.25">
      <c r="A895" s="1">
        <v>46163</v>
      </c>
      <c r="B895" t="s">
        <v>556</v>
      </c>
      <c r="C895" s="2" t="s">
        <v>564</v>
      </c>
      <c r="D895" t="s">
        <v>30</v>
      </c>
      <c r="E895">
        <v>365</v>
      </c>
      <c r="F895">
        <v>307.45</v>
      </c>
      <c r="G895">
        <v>57.55</v>
      </c>
      <c r="H895">
        <v>18.72</v>
      </c>
      <c r="I895" t="s">
        <v>102</v>
      </c>
    </row>
    <row r="896" spans="1:9" x14ac:dyDescent="0.25">
      <c r="A896" s="1">
        <v>46163</v>
      </c>
      <c r="B896" t="s">
        <v>556</v>
      </c>
      <c r="C896" s="2" t="s">
        <v>565</v>
      </c>
      <c r="D896" t="s">
        <v>30</v>
      </c>
      <c r="E896">
        <v>365</v>
      </c>
      <c r="F896">
        <v>307.45</v>
      </c>
      <c r="G896">
        <v>57.55</v>
      </c>
      <c r="H896">
        <v>18.72</v>
      </c>
      <c r="I896" t="s">
        <v>102</v>
      </c>
    </row>
    <row r="897" spans="1:9" x14ac:dyDescent="0.25">
      <c r="A897" s="1">
        <v>46163</v>
      </c>
      <c r="B897" t="s">
        <v>556</v>
      </c>
      <c r="C897" s="2" t="s">
        <v>566</v>
      </c>
      <c r="D897" t="s">
        <v>30</v>
      </c>
      <c r="E897">
        <v>365</v>
      </c>
      <c r="F897">
        <v>307.45</v>
      </c>
      <c r="G897">
        <v>57.55</v>
      </c>
      <c r="H897">
        <v>18.72</v>
      </c>
      <c r="I897" t="s">
        <v>102</v>
      </c>
    </row>
    <row r="898" spans="1:9" x14ac:dyDescent="0.25">
      <c r="A898" s="1">
        <v>46163</v>
      </c>
      <c r="B898" t="s">
        <v>556</v>
      </c>
      <c r="C898" s="2" t="s">
        <v>567</v>
      </c>
      <c r="D898" t="s">
        <v>30</v>
      </c>
      <c r="E898">
        <v>365</v>
      </c>
      <c r="F898">
        <v>307.45</v>
      </c>
      <c r="G898">
        <v>57.55</v>
      </c>
      <c r="H898">
        <v>18.72</v>
      </c>
      <c r="I898" t="s">
        <v>102</v>
      </c>
    </row>
    <row r="899" spans="1:9" x14ac:dyDescent="0.25">
      <c r="A899" s="1">
        <v>46163</v>
      </c>
      <c r="B899" t="s">
        <v>556</v>
      </c>
      <c r="C899" s="2" t="s">
        <v>568</v>
      </c>
      <c r="D899" t="s">
        <v>30</v>
      </c>
      <c r="E899">
        <v>365</v>
      </c>
      <c r="F899">
        <v>307.45</v>
      </c>
      <c r="G899">
        <v>57.55</v>
      </c>
      <c r="H899">
        <v>18.72</v>
      </c>
      <c r="I899" t="s">
        <v>102</v>
      </c>
    </row>
    <row r="900" spans="1:9" x14ac:dyDescent="0.25">
      <c r="A900" s="1">
        <v>46163</v>
      </c>
      <c r="B900" t="s">
        <v>556</v>
      </c>
      <c r="C900" s="2" t="s">
        <v>569</v>
      </c>
      <c r="D900" t="s">
        <v>30</v>
      </c>
      <c r="E900">
        <v>365</v>
      </c>
      <c r="F900">
        <v>307.45</v>
      </c>
      <c r="G900">
        <v>57.55</v>
      </c>
      <c r="H900">
        <v>18.72</v>
      </c>
      <c r="I900" t="s">
        <v>102</v>
      </c>
    </row>
    <row r="901" spans="1:9" x14ac:dyDescent="0.25">
      <c r="A901" s="1">
        <v>46163</v>
      </c>
      <c r="B901" t="s">
        <v>556</v>
      </c>
      <c r="C901" s="2" t="s">
        <v>570</v>
      </c>
      <c r="D901" t="s">
        <v>30</v>
      </c>
      <c r="E901">
        <v>365</v>
      </c>
      <c r="F901">
        <v>365</v>
      </c>
      <c r="G901">
        <v>0</v>
      </c>
      <c r="H901">
        <v>0</v>
      </c>
      <c r="I901" t="s">
        <v>571</v>
      </c>
    </row>
    <row r="902" spans="1:9" x14ac:dyDescent="0.25">
      <c r="A902" s="1">
        <v>46163</v>
      </c>
      <c r="B902" t="s">
        <v>556</v>
      </c>
      <c r="C902" s="2" t="s">
        <v>572</v>
      </c>
      <c r="D902" t="s">
        <v>30</v>
      </c>
      <c r="E902">
        <v>365</v>
      </c>
      <c r="F902">
        <v>365</v>
      </c>
      <c r="G902">
        <v>0</v>
      </c>
      <c r="H902">
        <v>0</v>
      </c>
      <c r="I902" t="s">
        <v>571</v>
      </c>
    </row>
    <row r="903" spans="1:9" x14ac:dyDescent="0.25">
      <c r="A903" s="1">
        <v>46163</v>
      </c>
      <c r="B903" t="s">
        <v>556</v>
      </c>
      <c r="C903" s="2" t="s">
        <v>573</v>
      </c>
      <c r="D903" t="s">
        <v>30</v>
      </c>
      <c r="E903">
        <v>365</v>
      </c>
      <c r="F903">
        <v>365</v>
      </c>
      <c r="G903">
        <v>0</v>
      </c>
      <c r="H903">
        <v>0</v>
      </c>
      <c r="I903" t="s">
        <v>571</v>
      </c>
    </row>
    <row r="904" spans="1:9" x14ac:dyDescent="0.25">
      <c r="A904" s="1">
        <v>46163</v>
      </c>
      <c r="B904" t="s">
        <v>556</v>
      </c>
      <c r="C904" s="2" t="s">
        <v>574</v>
      </c>
      <c r="D904" t="s">
        <v>30</v>
      </c>
      <c r="E904">
        <v>365</v>
      </c>
      <c r="F904">
        <v>307.45</v>
      </c>
      <c r="G904">
        <v>57.55</v>
      </c>
      <c r="H904">
        <v>18.72</v>
      </c>
      <c r="I904" t="s">
        <v>102</v>
      </c>
    </row>
    <row r="905" spans="1:9" x14ac:dyDescent="0.25">
      <c r="A905" s="1">
        <v>46163</v>
      </c>
      <c r="B905" t="s">
        <v>556</v>
      </c>
      <c r="C905" s="2" t="s">
        <v>575</v>
      </c>
      <c r="D905" t="s">
        <v>30</v>
      </c>
      <c r="E905">
        <v>365</v>
      </c>
      <c r="F905">
        <v>307.45</v>
      </c>
      <c r="G905">
        <v>57.55</v>
      </c>
      <c r="H905">
        <v>18.72</v>
      </c>
      <c r="I905" t="s">
        <v>102</v>
      </c>
    </row>
    <row r="906" spans="1:9" x14ac:dyDescent="0.25">
      <c r="A906" s="1">
        <v>46163</v>
      </c>
      <c r="B906" t="s">
        <v>556</v>
      </c>
      <c r="C906" s="2" t="s">
        <v>576</v>
      </c>
      <c r="D906" t="s">
        <v>30</v>
      </c>
      <c r="E906">
        <v>365</v>
      </c>
      <c r="F906">
        <v>307.45</v>
      </c>
      <c r="G906">
        <v>57.55</v>
      </c>
      <c r="H906">
        <v>18.72</v>
      </c>
      <c r="I906" t="s">
        <v>102</v>
      </c>
    </row>
    <row r="907" spans="1:9" x14ac:dyDescent="0.25">
      <c r="A907" s="1">
        <v>46163</v>
      </c>
      <c r="B907" t="s">
        <v>556</v>
      </c>
      <c r="C907" s="2" t="s">
        <v>577</v>
      </c>
      <c r="D907" t="s">
        <v>30</v>
      </c>
      <c r="E907">
        <v>365</v>
      </c>
      <c r="F907">
        <v>307.45</v>
      </c>
      <c r="G907">
        <v>57.55</v>
      </c>
      <c r="H907">
        <v>18.72</v>
      </c>
      <c r="I907" t="s">
        <v>102</v>
      </c>
    </row>
    <row r="908" spans="1:9" x14ac:dyDescent="0.25">
      <c r="A908" s="1">
        <v>46163</v>
      </c>
      <c r="B908" t="s">
        <v>556</v>
      </c>
      <c r="C908" s="2" t="s">
        <v>578</v>
      </c>
      <c r="D908" t="s">
        <v>30</v>
      </c>
      <c r="E908">
        <v>365</v>
      </c>
      <c r="F908">
        <v>307.45</v>
      </c>
      <c r="G908">
        <v>57.55</v>
      </c>
      <c r="H908">
        <v>18.72</v>
      </c>
      <c r="I908" t="s">
        <v>102</v>
      </c>
    </row>
    <row r="909" spans="1:9" x14ac:dyDescent="0.25">
      <c r="A909" s="1">
        <v>46163</v>
      </c>
      <c r="B909" t="s">
        <v>556</v>
      </c>
      <c r="C909" s="2" t="s">
        <v>579</v>
      </c>
      <c r="D909" t="s">
        <v>30</v>
      </c>
      <c r="E909">
        <v>365</v>
      </c>
      <c r="F909">
        <v>307.45</v>
      </c>
      <c r="G909">
        <v>57.55</v>
      </c>
      <c r="H909">
        <v>18.72</v>
      </c>
      <c r="I909" t="s">
        <v>102</v>
      </c>
    </row>
    <row r="910" spans="1:9" x14ac:dyDescent="0.25">
      <c r="A910" s="1">
        <v>46163</v>
      </c>
      <c r="B910" t="s">
        <v>556</v>
      </c>
      <c r="C910" s="2" t="s">
        <v>580</v>
      </c>
      <c r="D910" t="s">
        <v>30</v>
      </c>
      <c r="E910">
        <v>365</v>
      </c>
      <c r="F910">
        <v>307.45</v>
      </c>
      <c r="G910">
        <v>57.55</v>
      </c>
      <c r="H910">
        <v>18.72</v>
      </c>
      <c r="I910" t="s">
        <v>102</v>
      </c>
    </row>
    <row r="911" spans="1:9" x14ac:dyDescent="0.25">
      <c r="A911" s="1">
        <v>46163</v>
      </c>
      <c r="B911" t="s">
        <v>556</v>
      </c>
      <c r="C911" s="2" t="s">
        <v>581</v>
      </c>
      <c r="D911" t="s">
        <v>30</v>
      </c>
      <c r="E911">
        <v>365</v>
      </c>
      <c r="F911">
        <v>307.45</v>
      </c>
      <c r="G911">
        <v>57.55</v>
      </c>
      <c r="H911">
        <v>18.72</v>
      </c>
      <c r="I911" t="s">
        <v>102</v>
      </c>
    </row>
    <row r="912" spans="1:9" x14ac:dyDescent="0.25">
      <c r="A912" s="1">
        <v>46163</v>
      </c>
      <c r="B912" t="s">
        <v>556</v>
      </c>
      <c r="C912" s="2" t="s">
        <v>582</v>
      </c>
      <c r="D912" t="s">
        <v>30</v>
      </c>
      <c r="E912">
        <v>365</v>
      </c>
      <c r="F912">
        <v>365</v>
      </c>
      <c r="G912">
        <v>0</v>
      </c>
      <c r="H912">
        <v>0</v>
      </c>
      <c r="I912" t="s">
        <v>571</v>
      </c>
    </row>
    <row r="913" spans="1:9" x14ac:dyDescent="0.25">
      <c r="A913" s="1">
        <v>46163</v>
      </c>
      <c r="B913" t="s">
        <v>556</v>
      </c>
      <c r="C913" s="2" t="s">
        <v>583</v>
      </c>
      <c r="D913" t="s">
        <v>30</v>
      </c>
      <c r="E913">
        <v>365</v>
      </c>
      <c r="F913">
        <v>365</v>
      </c>
      <c r="G913">
        <v>0</v>
      </c>
      <c r="H913">
        <v>0</v>
      </c>
      <c r="I913" t="s">
        <v>571</v>
      </c>
    </row>
    <row r="914" spans="1:9" x14ac:dyDescent="0.25">
      <c r="A914" s="1">
        <v>46163</v>
      </c>
      <c r="B914" t="s">
        <v>556</v>
      </c>
      <c r="C914" s="2" t="s">
        <v>584</v>
      </c>
      <c r="D914" t="s">
        <v>30</v>
      </c>
      <c r="E914">
        <v>365</v>
      </c>
      <c r="F914">
        <v>365</v>
      </c>
      <c r="G914">
        <v>0</v>
      </c>
      <c r="H914">
        <v>0</v>
      </c>
      <c r="I914" t="s">
        <v>571</v>
      </c>
    </row>
    <row r="915" spans="1:9" x14ac:dyDescent="0.25">
      <c r="A915" s="1">
        <v>46163</v>
      </c>
      <c r="B915" t="s">
        <v>556</v>
      </c>
      <c r="C915" s="2" t="s">
        <v>585</v>
      </c>
      <c r="D915" t="s">
        <v>30</v>
      </c>
      <c r="E915">
        <v>365</v>
      </c>
      <c r="F915">
        <v>365</v>
      </c>
      <c r="G915">
        <v>0</v>
      </c>
      <c r="H915">
        <v>0</v>
      </c>
      <c r="I915" t="s">
        <v>571</v>
      </c>
    </row>
    <row r="916" spans="1:9" x14ac:dyDescent="0.25">
      <c r="A916" s="1">
        <v>46163</v>
      </c>
      <c r="B916" t="s">
        <v>556</v>
      </c>
      <c r="C916" s="2" t="s">
        <v>586</v>
      </c>
      <c r="D916" t="s">
        <v>30</v>
      </c>
      <c r="E916">
        <v>365</v>
      </c>
      <c r="F916">
        <v>365</v>
      </c>
      <c r="G916">
        <v>0</v>
      </c>
      <c r="H916">
        <v>0</v>
      </c>
      <c r="I916" t="s">
        <v>571</v>
      </c>
    </row>
    <row r="917" spans="1:9" x14ac:dyDescent="0.25">
      <c r="A917" s="1">
        <v>46163</v>
      </c>
      <c r="B917" t="s">
        <v>556</v>
      </c>
      <c r="C917" s="2" t="s">
        <v>587</v>
      </c>
      <c r="D917" t="s">
        <v>30</v>
      </c>
      <c r="E917">
        <v>365</v>
      </c>
      <c r="F917">
        <v>365</v>
      </c>
      <c r="G917">
        <v>0</v>
      </c>
      <c r="H917">
        <v>0</v>
      </c>
      <c r="I917" t="s">
        <v>571</v>
      </c>
    </row>
    <row r="918" spans="1:9" x14ac:dyDescent="0.25">
      <c r="A918" s="1">
        <v>46163</v>
      </c>
      <c r="B918" t="s">
        <v>556</v>
      </c>
      <c r="C918" s="2" t="s">
        <v>588</v>
      </c>
      <c r="D918" t="s">
        <v>30</v>
      </c>
      <c r="E918">
        <v>365</v>
      </c>
      <c r="F918">
        <v>365</v>
      </c>
      <c r="G918">
        <v>0</v>
      </c>
      <c r="H918">
        <v>0</v>
      </c>
      <c r="I918" t="s">
        <v>571</v>
      </c>
    </row>
    <row r="919" spans="1:9" x14ac:dyDescent="0.25">
      <c r="A919" s="1">
        <v>46163</v>
      </c>
      <c r="B919" t="s">
        <v>556</v>
      </c>
      <c r="C919" s="2" t="s">
        <v>589</v>
      </c>
      <c r="D919" t="s">
        <v>30</v>
      </c>
      <c r="E919">
        <v>365</v>
      </c>
      <c r="F919">
        <v>365</v>
      </c>
      <c r="G919">
        <v>0</v>
      </c>
      <c r="H919">
        <v>0</v>
      </c>
      <c r="I919" t="s">
        <v>571</v>
      </c>
    </row>
    <row r="920" spans="1:9" x14ac:dyDescent="0.25">
      <c r="A920" s="1">
        <v>46163</v>
      </c>
      <c r="B920" t="s">
        <v>556</v>
      </c>
      <c r="C920" s="2" t="s">
        <v>590</v>
      </c>
      <c r="D920" t="s">
        <v>30</v>
      </c>
      <c r="E920">
        <v>365</v>
      </c>
      <c r="F920">
        <v>365</v>
      </c>
      <c r="G920">
        <v>0</v>
      </c>
      <c r="H920">
        <v>0</v>
      </c>
      <c r="I920" t="s">
        <v>571</v>
      </c>
    </row>
    <row r="921" spans="1:9" x14ac:dyDescent="0.25">
      <c r="A921" s="1">
        <v>46163</v>
      </c>
      <c r="B921" t="s">
        <v>556</v>
      </c>
      <c r="C921" s="2" t="s">
        <v>591</v>
      </c>
      <c r="D921" t="s">
        <v>30</v>
      </c>
      <c r="E921">
        <v>365</v>
      </c>
      <c r="F921">
        <v>365</v>
      </c>
      <c r="G921">
        <v>0</v>
      </c>
      <c r="H921">
        <v>0</v>
      </c>
      <c r="I921" t="s">
        <v>571</v>
      </c>
    </row>
    <row r="922" spans="1:9" x14ac:dyDescent="0.25">
      <c r="A922" s="1">
        <v>46163</v>
      </c>
      <c r="B922" t="s">
        <v>556</v>
      </c>
      <c r="C922" s="2" t="s">
        <v>592</v>
      </c>
      <c r="D922" t="s">
        <v>30</v>
      </c>
      <c r="E922">
        <v>365</v>
      </c>
      <c r="F922">
        <v>365</v>
      </c>
      <c r="G922">
        <v>0</v>
      </c>
      <c r="H922">
        <v>0</v>
      </c>
      <c r="I922" t="s">
        <v>571</v>
      </c>
    </row>
    <row r="923" spans="1:9" x14ac:dyDescent="0.25">
      <c r="A923" s="1">
        <v>46163</v>
      </c>
      <c r="B923" t="s">
        <v>556</v>
      </c>
      <c r="C923" s="2" t="s">
        <v>593</v>
      </c>
      <c r="D923" t="s">
        <v>30</v>
      </c>
      <c r="E923">
        <v>365</v>
      </c>
      <c r="F923">
        <v>365</v>
      </c>
      <c r="G923">
        <v>0</v>
      </c>
      <c r="H923">
        <v>0</v>
      </c>
      <c r="I923" t="s">
        <v>571</v>
      </c>
    </row>
    <row r="924" spans="1:9" x14ac:dyDescent="0.25">
      <c r="A924" s="1">
        <v>46163</v>
      </c>
      <c r="B924" t="s">
        <v>556</v>
      </c>
      <c r="C924" s="2" t="s">
        <v>594</v>
      </c>
      <c r="D924" t="s">
        <v>30</v>
      </c>
      <c r="E924">
        <v>365</v>
      </c>
      <c r="F924">
        <v>365</v>
      </c>
      <c r="G924">
        <v>0</v>
      </c>
      <c r="H924">
        <v>0</v>
      </c>
      <c r="I924" t="s">
        <v>571</v>
      </c>
    </row>
    <row r="925" spans="1:9" x14ac:dyDescent="0.25">
      <c r="A925" s="1">
        <v>46163</v>
      </c>
      <c r="B925" t="s">
        <v>556</v>
      </c>
      <c r="C925" s="2" t="s">
        <v>595</v>
      </c>
      <c r="D925" t="s">
        <v>30</v>
      </c>
      <c r="E925">
        <v>365</v>
      </c>
      <c r="F925">
        <v>365</v>
      </c>
      <c r="G925">
        <v>0</v>
      </c>
      <c r="H925">
        <v>0</v>
      </c>
      <c r="I925" t="s">
        <v>571</v>
      </c>
    </row>
    <row r="926" spans="1:9" x14ac:dyDescent="0.25">
      <c r="A926" s="1">
        <v>46163</v>
      </c>
      <c r="B926" t="s">
        <v>556</v>
      </c>
      <c r="C926" s="2" t="s">
        <v>596</v>
      </c>
      <c r="D926" t="s">
        <v>30</v>
      </c>
      <c r="E926">
        <v>365</v>
      </c>
      <c r="F926">
        <v>365</v>
      </c>
      <c r="G926">
        <v>0</v>
      </c>
      <c r="H926">
        <v>0</v>
      </c>
      <c r="I926" t="s">
        <v>571</v>
      </c>
    </row>
    <row r="927" spans="1:9" x14ac:dyDescent="0.25">
      <c r="A927" s="1">
        <v>46163</v>
      </c>
      <c r="B927" t="s">
        <v>556</v>
      </c>
      <c r="C927" s="2" t="s">
        <v>597</v>
      </c>
      <c r="D927" t="s">
        <v>30</v>
      </c>
      <c r="E927">
        <v>365</v>
      </c>
      <c r="F927">
        <v>365</v>
      </c>
      <c r="G927">
        <v>0</v>
      </c>
      <c r="H927">
        <v>0</v>
      </c>
      <c r="I927" t="s">
        <v>571</v>
      </c>
    </row>
    <row r="928" spans="1:9" x14ac:dyDescent="0.25">
      <c r="A928" s="1">
        <v>46163</v>
      </c>
      <c r="B928" t="s">
        <v>556</v>
      </c>
      <c r="C928" s="2" t="s">
        <v>598</v>
      </c>
      <c r="D928" t="s">
        <v>30</v>
      </c>
      <c r="E928">
        <v>365</v>
      </c>
      <c r="F928">
        <v>365</v>
      </c>
      <c r="G928">
        <v>0</v>
      </c>
      <c r="H928">
        <v>0</v>
      </c>
      <c r="I928" t="s">
        <v>571</v>
      </c>
    </row>
    <row r="929" spans="1:9" x14ac:dyDescent="0.25">
      <c r="A929" s="1">
        <v>46163</v>
      </c>
      <c r="B929" t="s">
        <v>556</v>
      </c>
      <c r="C929" s="2" t="s">
        <v>599</v>
      </c>
      <c r="D929" t="s">
        <v>30</v>
      </c>
      <c r="E929">
        <v>365</v>
      </c>
      <c r="F929">
        <v>365</v>
      </c>
      <c r="G929">
        <v>0</v>
      </c>
      <c r="H929">
        <v>0</v>
      </c>
      <c r="I929" t="s">
        <v>571</v>
      </c>
    </row>
    <row r="930" spans="1:9" x14ac:dyDescent="0.25">
      <c r="A930" s="1">
        <v>46163</v>
      </c>
      <c r="B930" t="s">
        <v>556</v>
      </c>
      <c r="C930" s="2" t="s">
        <v>600</v>
      </c>
      <c r="D930" t="s">
        <v>30</v>
      </c>
      <c r="E930">
        <v>365</v>
      </c>
      <c r="F930">
        <v>365</v>
      </c>
      <c r="G930">
        <v>0</v>
      </c>
      <c r="H930">
        <v>0</v>
      </c>
      <c r="I930" t="s">
        <v>571</v>
      </c>
    </row>
    <row r="931" spans="1:9" x14ac:dyDescent="0.25">
      <c r="A931" s="1">
        <v>46163</v>
      </c>
      <c r="B931" t="s">
        <v>556</v>
      </c>
      <c r="C931" s="2" t="s">
        <v>601</v>
      </c>
      <c r="D931" t="s">
        <v>30</v>
      </c>
      <c r="E931">
        <v>365</v>
      </c>
      <c r="F931">
        <v>365</v>
      </c>
      <c r="G931">
        <v>0</v>
      </c>
      <c r="H931">
        <v>0</v>
      </c>
      <c r="I931" t="s">
        <v>571</v>
      </c>
    </row>
    <row r="932" spans="1:9" x14ac:dyDescent="0.25">
      <c r="A932" s="1">
        <v>46163</v>
      </c>
      <c r="B932" t="s">
        <v>556</v>
      </c>
      <c r="C932" s="2" t="s">
        <v>602</v>
      </c>
      <c r="D932" t="s">
        <v>30</v>
      </c>
      <c r="E932">
        <v>365</v>
      </c>
      <c r="F932">
        <v>365</v>
      </c>
      <c r="G932">
        <v>0</v>
      </c>
      <c r="H932">
        <v>0</v>
      </c>
      <c r="I932" t="s">
        <v>571</v>
      </c>
    </row>
    <row r="933" spans="1:9" x14ac:dyDescent="0.25">
      <c r="A933" s="1">
        <v>46163</v>
      </c>
      <c r="B933" t="s">
        <v>556</v>
      </c>
      <c r="C933" s="2" t="s">
        <v>603</v>
      </c>
      <c r="D933" t="s">
        <v>30</v>
      </c>
      <c r="E933">
        <v>365</v>
      </c>
      <c r="F933">
        <v>365</v>
      </c>
      <c r="G933">
        <v>0</v>
      </c>
      <c r="H933">
        <v>0</v>
      </c>
      <c r="I933" t="s">
        <v>571</v>
      </c>
    </row>
    <row r="934" spans="1:9" x14ac:dyDescent="0.25">
      <c r="A934" s="1">
        <v>46163</v>
      </c>
      <c r="B934" t="s">
        <v>556</v>
      </c>
      <c r="C934" s="2" t="s">
        <v>604</v>
      </c>
      <c r="D934" t="s">
        <v>30</v>
      </c>
      <c r="E934">
        <v>365</v>
      </c>
      <c r="F934">
        <v>365</v>
      </c>
      <c r="G934">
        <v>0</v>
      </c>
      <c r="H934">
        <v>0</v>
      </c>
      <c r="I934" t="s">
        <v>571</v>
      </c>
    </row>
    <row r="935" spans="1:9" x14ac:dyDescent="0.25">
      <c r="A935" s="1">
        <v>46163</v>
      </c>
      <c r="B935" t="s">
        <v>556</v>
      </c>
      <c r="C935" s="2" t="s">
        <v>605</v>
      </c>
      <c r="D935" t="s">
        <v>30</v>
      </c>
      <c r="E935">
        <v>365</v>
      </c>
      <c r="F935">
        <v>365</v>
      </c>
      <c r="G935">
        <v>0</v>
      </c>
      <c r="H935">
        <v>0</v>
      </c>
      <c r="I935" t="s">
        <v>571</v>
      </c>
    </row>
    <row r="936" spans="1:9" x14ac:dyDescent="0.25">
      <c r="A936" s="1">
        <v>46163</v>
      </c>
      <c r="B936" t="s">
        <v>556</v>
      </c>
      <c r="C936" s="2" t="s">
        <v>606</v>
      </c>
      <c r="D936" t="s">
        <v>30</v>
      </c>
      <c r="E936">
        <v>365</v>
      </c>
      <c r="F936">
        <v>365</v>
      </c>
      <c r="G936">
        <v>0</v>
      </c>
      <c r="H936">
        <v>0</v>
      </c>
      <c r="I936" t="s">
        <v>571</v>
      </c>
    </row>
    <row r="937" spans="1:9" x14ac:dyDescent="0.25">
      <c r="A937" s="1">
        <v>46163</v>
      </c>
      <c r="B937" t="s">
        <v>556</v>
      </c>
      <c r="C937" s="2" t="s">
        <v>607</v>
      </c>
      <c r="D937" t="s">
        <v>30</v>
      </c>
      <c r="E937">
        <v>365</v>
      </c>
      <c r="F937">
        <v>365</v>
      </c>
      <c r="G937">
        <v>0</v>
      </c>
      <c r="H937">
        <v>0</v>
      </c>
      <c r="I937" t="s">
        <v>571</v>
      </c>
    </row>
    <row r="938" spans="1:9" x14ac:dyDescent="0.25">
      <c r="A938" s="1">
        <v>46163</v>
      </c>
      <c r="B938" t="s">
        <v>556</v>
      </c>
      <c r="C938" s="2" t="s">
        <v>608</v>
      </c>
      <c r="D938" t="s">
        <v>30</v>
      </c>
      <c r="E938">
        <v>365</v>
      </c>
      <c r="F938">
        <v>365</v>
      </c>
      <c r="G938">
        <v>0</v>
      </c>
      <c r="H938">
        <v>0</v>
      </c>
      <c r="I938" t="s">
        <v>571</v>
      </c>
    </row>
    <row r="939" spans="1:9" x14ac:dyDescent="0.25">
      <c r="A939" s="1">
        <v>46163</v>
      </c>
      <c r="B939" t="s">
        <v>556</v>
      </c>
      <c r="C939" s="2" t="s">
        <v>609</v>
      </c>
      <c r="D939" t="s">
        <v>30</v>
      </c>
      <c r="E939">
        <v>365</v>
      </c>
      <c r="F939">
        <v>365</v>
      </c>
      <c r="G939">
        <v>0</v>
      </c>
      <c r="H939">
        <v>0</v>
      </c>
      <c r="I939" t="s">
        <v>571</v>
      </c>
    </row>
    <row r="940" spans="1:9" x14ac:dyDescent="0.25">
      <c r="A940" s="1">
        <v>46163</v>
      </c>
      <c r="B940" t="s">
        <v>556</v>
      </c>
      <c r="C940" s="2" t="s">
        <v>610</v>
      </c>
      <c r="D940" t="s">
        <v>30</v>
      </c>
      <c r="E940">
        <v>365</v>
      </c>
      <c r="F940">
        <v>365</v>
      </c>
      <c r="G940">
        <v>0</v>
      </c>
      <c r="H940">
        <v>0</v>
      </c>
      <c r="I940" t="s">
        <v>571</v>
      </c>
    </row>
    <row r="941" spans="1:9" x14ac:dyDescent="0.25">
      <c r="A941" s="1">
        <v>46163</v>
      </c>
      <c r="B941" t="s">
        <v>556</v>
      </c>
      <c r="C941" s="2" t="s">
        <v>611</v>
      </c>
      <c r="D941" t="s">
        <v>30</v>
      </c>
      <c r="E941">
        <v>365</v>
      </c>
      <c r="F941">
        <v>365</v>
      </c>
      <c r="G941">
        <v>0</v>
      </c>
      <c r="H941">
        <v>0</v>
      </c>
      <c r="I941" t="s">
        <v>571</v>
      </c>
    </row>
    <row r="942" spans="1:9" x14ac:dyDescent="0.25">
      <c r="A942" s="1">
        <v>46163</v>
      </c>
      <c r="B942" t="s">
        <v>556</v>
      </c>
      <c r="C942" s="2" t="s">
        <v>612</v>
      </c>
      <c r="D942" t="s">
        <v>30</v>
      </c>
      <c r="E942">
        <v>365</v>
      </c>
      <c r="F942">
        <v>365</v>
      </c>
      <c r="G942">
        <v>0</v>
      </c>
      <c r="H942">
        <v>0</v>
      </c>
      <c r="I942" t="s">
        <v>571</v>
      </c>
    </row>
    <row r="943" spans="1:9" x14ac:dyDescent="0.25">
      <c r="A943" s="1">
        <v>46163</v>
      </c>
      <c r="B943" t="s">
        <v>556</v>
      </c>
      <c r="C943" s="2" t="s">
        <v>613</v>
      </c>
      <c r="D943" t="s">
        <v>30</v>
      </c>
      <c r="E943">
        <v>365</v>
      </c>
      <c r="F943">
        <v>365</v>
      </c>
      <c r="G943">
        <v>0</v>
      </c>
      <c r="H943">
        <v>0</v>
      </c>
      <c r="I943" t="s">
        <v>571</v>
      </c>
    </row>
    <row r="944" spans="1:9" x14ac:dyDescent="0.25">
      <c r="A944" s="1">
        <v>46163</v>
      </c>
      <c r="B944" t="s">
        <v>556</v>
      </c>
      <c r="C944" s="2" t="s">
        <v>614</v>
      </c>
      <c r="D944" t="s">
        <v>30</v>
      </c>
      <c r="E944">
        <v>365</v>
      </c>
      <c r="F944">
        <v>365</v>
      </c>
      <c r="G944">
        <v>0</v>
      </c>
      <c r="H944">
        <v>0</v>
      </c>
      <c r="I944" t="s">
        <v>571</v>
      </c>
    </row>
    <row r="945" spans="1:9" x14ac:dyDescent="0.25">
      <c r="A945" s="1">
        <v>46163</v>
      </c>
      <c r="B945" t="s">
        <v>556</v>
      </c>
      <c r="C945" s="2" t="s">
        <v>615</v>
      </c>
      <c r="D945" t="s">
        <v>30</v>
      </c>
      <c r="E945">
        <v>365</v>
      </c>
      <c r="F945">
        <v>365</v>
      </c>
      <c r="G945">
        <v>0</v>
      </c>
      <c r="H945">
        <v>0</v>
      </c>
      <c r="I945" t="s">
        <v>571</v>
      </c>
    </row>
    <row r="946" spans="1:9" x14ac:dyDescent="0.25">
      <c r="A946" s="1">
        <v>46163</v>
      </c>
      <c r="B946" t="s">
        <v>556</v>
      </c>
      <c r="C946" s="2" t="s">
        <v>616</v>
      </c>
      <c r="D946" t="s">
        <v>30</v>
      </c>
      <c r="E946">
        <v>365</v>
      </c>
      <c r="F946">
        <v>365</v>
      </c>
      <c r="G946">
        <v>0</v>
      </c>
      <c r="H946">
        <v>0</v>
      </c>
      <c r="I946" t="s">
        <v>571</v>
      </c>
    </row>
    <row r="947" spans="1:9" x14ac:dyDescent="0.25">
      <c r="A947" s="1">
        <v>46163</v>
      </c>
      <c r="B947" t="s">
        <v>556</v>
      </c>
      <c r="C947" s="2" t="s">
        <v>617</v>
      </c>
      <c r="D947" t="s">
        <v>30</v>
      </c>
      <c r="E947">
        <v>365</v>
      </c>
      <c r="F947">
        <v>365</v>
      </c>
      <c r="G947">
        <v>0</v>
      </c>
      <c r="H947">
        <v>0</v>
      </c>
      <c r="I947" t="s">
        <v>571</v>
      </c>
    </row>
    <row r="948" spans="1:9" x14ac:dyDescent="0.25">
      <c r="A948" s="1">
        <v>46163</v>
      </c>
      <c r="B948" t="s">
        <v>556</v>
      </c>
      <c r="C948" s="2" t="s">
        <v>618</v>
      </c>
      <c r="D948" t="s">
        <v>30</v>
      </c>
      <c r="E948">
        <v>365</v>
      </c>
      <c r="F948">
        <v>365</v>
      </c>
      <c r="G948">
        <v>0</v>
      </c>
      <c r="H948">
        <v>0</v>
      </c>
      <c r="I948" t="s">
        <v>571</v>
      </c>
    </row>
    <row r="949" spans="1:9" x14ac:dyDescent="0.25">
      <c r="A949" s="1">
        <v>46163</v>
      </c>
      <c r="B949" t="s">
        <v>556</v>
      </c>
      <c r="C949" s="2" t="s">
        <v>619</v>
      </c>
      <c r="D949" t="s">
        <v>30</v>
      </c>
      <c r="E949">
        <v>365</v>
      </c>
      <c r="F949">
        <v>365</v>
      </c>
      <c r="G949">
        <v>0</v>
      </c>
      <c r="H949">
        <v>0</v>
      </c>
      <c r="I949" t="s">
        <v>571</v>
      </c>
    </row>
    <row r="950" spans="1:9" x14ac:dyDescent="0.25">
      <c r="A950" s="1">
        <v>46163</v>
      </c>
      <c r="B950" t="s">
        <v>556</v>
      </c>
      <c r="C950" s="2" t="s">
        <v>620</v>
      </c>
      <c r="D950" t="s">
        <v>30</v>
      </c>
      <c r="E950">
        <v>365</v>
      </c>
      <c r="F950">
        <v>365</v>
      </c>
      <c r="G950">
        <v>0</v>
      </c>
      <c r="H950">
        <v>0</v>
      </c>
      <c r="I950" t="s">
        <v>571</v>
      </c>
    </row>
    <row r="951" spans="1:9" x14ac:dyDescent="0.25">
      <c r="A951" s="1">
        <v>46163</v>
      </c>
      <c r="B951" t="s">
        <v>556</v>
      </c>
      <c r="C951" s="2" t="s">
        <v>621</v>
      </c>
      <c r="D951" t="s">
        <v>30</v>
      </c>
      <c r="E951">
        <v>365</v>
      </c>
      <c r="F951">
        <v>365</v>
      </c>
      <c r="G951">
        <v>0</v>
      </c>
      <c r="H951">
        <v>0</v>
      </c>
      <c r="I951" t="s">
        <v>571</v>
      </c>
    </row>
    <row r="952" spans="1:9" x14ac:dyDescent="0.25">
      <c r="A952" s="1">
        <v>46163</v>
      </c>
      <c r="B952" t="s">
        <v>556</v>
      </c>
      <c r="C952" s="2" t="s">
        <v>622</v>
      </c>
      <c r="D952" t="s">
        <v>30</v>
      </c>
      <c r="E952">
        <v>365</v>
      </c>
      <c r="F952">
        <v>365</v>
      </c>
      <c r="G952">
        <v>0</v>
      </c>
      <c r="H952">
        <v>0</v>
      </c>
      <c r="I952" t="s">
        <v>571</v>
      </c>
    </row>
    <row r="953" spans="1:9" x14ac:dyDescent="0.25">
      <c r="A953" s="1">
        <v>46163</v>
      </c>
      <c r="B953" t="s">
        <v>556</v>
      </c>
      <c r="C953" s="2" t="s">
        <v>623</v>
      </c>
      <c r="D953" t="s">
        <v>30</v>
      </c>
      <c r="E953">
        <v>365</v>
      </c>
      <c r="F953">
        <v>365</v>
      </c>
      <c r="G953">
        <v>0</v>
      </c>
      <c r="H953">
        <v>0</v>
      </c>
      <c r="I953" t="s">
        <v>571</v>
      </c>
    </row>
    <row r="954" spans="1:9" x14ac:dyDescent="0.25">
      <c r="A954" s="1">
        <v>46163</v>
      </c>
      <c r="B954" t="s">
        <v>556</v>
      </c>
      <c r="C954" s="2" t="s">
        <v>624</v>
      </c>
      <c r="D954" t="s">
        <v>30</v>
      </c>
      <c r="E954">
        <v>365</v>
      </c>
      <c r="F954">
        <v>365</v>
      </c>
      <c r="G954">
        <v>0</v>
      </c>
      <c r="H954">
        <v>0</v>
      </c>
      <c r="I954" t="s">
        <v>571</v>
      </c>
    </row>
    <row r="955" spans="1:9" x14ac:dyDescent="0.25">
      <c r="A955" s="1">
        <v>46163</v>
      </c>
      <c r="B955" t="s">
        <v>556</v>
      </c>
      <c r="C955" s="2" t="s">
        <v>625</v>
      </c>
      <c r="D955" t="s">
        <v>30</v>
      </c>
      <c r="E955">
        <v>365</v>
      </c>
      <c r="F955">
        <v>365</v>
      </c>
      <c r="G955">
        <v>0</v>
      </c>
      <c r="H955">
        <v>0</v>
      </c>
      <c r="I955" t="s">
        <v>571</v>
      </c>
    </row>
    <row r="956" spans="1:9" x14ac:dyDescent="0.25">
      <c r="A956" s="1">
        <v>46163</v>
      </c>
      <c r="B956" t="s">
        <v>556</v>
      </c>
      <c r="C956" s="2" t="s">
        <v>626</v>
      </c>
      <c r="D956" t="s">
        <v>30</v>
      </c>
      <c r="E956">
        <v>365</v>
      </c>
      <c r="F956">
        <v>365</v>
      </c>
      <c r="G956">
        <v>0</v>
      </c>
      <c r="H956">
        <v>0</v>
      </c>
      <c r="I956" t="s">
        <v>571</v>
      </c>
    </row>
    <row r="957" spans="1:9" x14ac:dyDescent="0.25">
      <c r="A957" s="1">
        <v>46163</v>
      </c>
      <c r="B957" t="s">
        <v>556</v>
      </c>
      <c r="C957" s="2" t="s">
        <v>627</v>
      </c>
      <c r="D957" t="s">
        <v>30</v>
      </c>
      <c r="E957">
        <v>365</v>
      </c>
      <c r="F957">
        <v>365</v>
      </c>
      <c r="G957">
        <v>0</v>
      </c>
      <c r="H957">
        <v>0</v>
      </c>
      <c r="I957" t="s">
        <v>571</v>
      </c>
    </row>
    <row r="958" spans="1:9" x14ac:dyDescent="0.25">
      <c r="A958" s="1">
        <v>46163</v>
      </c>
      <c r="B958" t="s">
        <v>556</v>
      </c>
      <c r="C958" s="2" t="s">
        <v>628</v>
      </c>
      <c r="D958" t="s">
        <v>30</v>
      </c>
      <c r="E958">
        <v>365</v>
      </c>
      <c r="F958">
        <v>365</v>
      </c>
      <c r="G958">
        <v>0</v>
      </c>
      <c r="H958">
        <v>0</v>
      </c>
      <c r="I958" t="s">
        <v>571</v>
      </c>
    </row>
    <row r="959" spans="1:9" x14ac:dyDescent="0.25">
      <c r="A959" s="1">
        <v>46163</v>
      </c>
      <c r="B959" t="s">
        <v>556</v>
      </c>
      <c r="C959" s="2" t="s">
        <v>629</v>
      </c>
      <c r="D959" t="s">
        <v>30</v>
      </c>
      <c r="E959">
        <v>365</v>
      </c>
      <c r="F959">
        <v>365</v>
      </c>
      <c r="G959">
        <v>0</v>
      </c>
      <c r="H959">
        <v>0</v>
      </c>
      <c r="I959" t="s">
        <v>571</v>
      </c>
    </row>
    <row r="960" spans="1:9" x14ac:dyDescent="0.25">
      <c r="A960" s="1">
        <v>46163</v>
      </c>
      <c r="B960" t="s">
        <v>556</v>
      </c>
      <c r="C960" s="2" t="s">
        <v>630</v>
      </c>
      <c r="D960" t="s">
        <v>30</v>
      </c>
      <c r="E960">
        <v>365</v>
      </c>
      <c r="F960">
        <v>365</v>
      </c>
      <c r="G960">
        <v>0</v>
      </c>
      <c r="H960">
        <v>0</v>
      </c>
      <c r="I960" t="s">
        <v>571</v>
      </c>
    </row>
    <row r="961" spans="1:9" x14ac:dyDescent="0.25">
      <c r="A961" s="1">
        <v>46163</v>
      </c>
      <c r="B961" t="s">
        <v>556</v>
      </c>
      <c r="C961" s="2" t="s">
        <v>631</v>
      </c>
      <c r="D961" t="s">
        <v>30</v>
      </c>
      <c r="E961">
        <v>365</v>
      </c>
      <c r="F961">
        <v>365</v>
      </c>
      <c r="G961">
        <v>0</v>
      </c>
      <c r="H961">
        <v>0</v>
      </c>
      <c r="I961" t="s">
        <v>571</v>
      </c>
    </row>
    <row r="962" spans="1:9" x14ac:dyDescent="0.25">
      <c r="A962" s="1">
        <v>46163</v>
      </c>
      <c r="B962" t="s">
        <v>556</v>
      </c>
      <c r="C962" s="2" t="s">
        <v>632</v>
      </c>
      <c r="D962" t="s">
        <v>30</v>
      </c>
      <c r="E962">
        <v>365</v>
      </c>
      <c r="F962">
        <v>365</v>
      </c>
      <c r="G962">
        <v>0</v>
      </c>
      <c r="H962">
        <v>0</v>
      </c>
      <c r="I962" t="s">
        <v>571</v>
      </c>
    </row>
    <row r="963" spans="1:9" x14ac:dyDescent="0.25">
      <c r="A963" s="1">
        <v>46163</v>
      </c>
      <c r="B963" t="s">
        <v>556</v>
      </c>
      <c r="C963" s="2" t="s">
        <v>633</v>
      </c>
      <c r="D963" t="s">
        <v>30</v>
      </c>
      <c r="E963">
        <v>365</v>
      </c>
      <c r="F963">
        <v>365</v>
      </c>
      <c r="G963">
        <v>0</v>
      </c>
      <c r="H963">
        <v>0</v>
      </c>
      <c r="I963" t="s">
        <v>571</v>
      </c>
    </row>
    <row r="964" spans="1:9" x14ac:dyDescent="0.25">
      <c r="A964" s="1">
        <v>46163</v>
      </c>
      <c r="B964" t="s">
        <v>556</v>
      </c>
      <c r="C964" s="2" t="s">
        <v>634</v>
      </c>
      <c r="D964" t="s">
        <v>30</v>
      </c>
      <c r="E964">
        <v>365</v>
      </c>
      <c r="F964">
        <v>365</v>
      </c>
      <c r="G964">
        <v>0</v>
      </c>
      <c r="H964">
        <v>0</v>
      </c>
      <c r="I964" t="s">
        <v>571</v>
      </c>
    </row>
    <row r="965" spans="1:9" x14ac:dyDescent="0.25">
      <c r="A965" s="1">
        <v>46163</v>
      </c>
      <c r="B965" t="s">
        <v>556</v>
      </c>
      <c r="C965" s="2" t="s">
        <v>635</v>
      </c>
      <c r="D965" t="s">
        <v>30</v>
      </c>
      <c r="E965">
        <v>365</v>
      </c>
      <c r="F965">
        <v>365</v>
      </c>
      <c r="G965">
        <v>0</v>
      </c>
      <c r="H965">
        <v>0</v>
      </c>
      <c r="I965" t="s">
        <v>571</v>
      </c>
    </row>
    <row r="966" spans="1:9" x14ac:dyDescent="0.25">
      <c r="A966" s="1">
        <v>46163</v>
      </c>
      <c r="B966" t="s">
        <v>556</v>
      </c>
      <c r="C966" s="2" t="s">
        <v>636</v>
      </c>
      <c r="D966" t="s">
        <v>30</v>
      </c>
      <c r="E966">
        <v>365</v>
      </c>
      <c r="F966">
        <v>365</v>
      </c>
      <c r="G966">
        <v>0</v>
      </c>
      <c r="H966">
        <v>0</v>
      </c>
      <c r="I966" t="s">
        <v>571</v>
      </c>
    </row>
    <row r="967" spans="1:9" x14ac:dyDescent="0.25">
      <c r="A967" s="1">
        <v>46163</v>
      </c>
      <c r="B967" t="s">
        <v>556</v>
      </c>
      <c r="C967" s="2" t="s">
        <v>637</v>
      </c>
      <c r="D967" t="s">
        <v>30</v>
      </c>
      <c r="E967">
        <v>365</v>
      </c>
      <c r="F967">
        <v>365</v>
      </c>
      <c r="G967">
        <v>0</v>
      </c>
      <c r="H967">
        <v>0</v>
      </c>
      <c r="I967" t="s">
        <v>571</v>
      </c>
    </row>
    <row r="968" spans="1:9" x14ac:dyDescent="0.25">
      <c r="A968" s="1">
        <v>46163</v>
      </c>
      <c r="B968" t="s">
        <v>556</v>
      </c>
      <c r="C968" s="2" t="s">
        <v>638</v>
      </c>
      <c r="D968" t="s">
        <v>30</v>
      </c>
      <c r="E968">
        <v>365</v>
      </c>
      <c r="F968">
        <v>365</v>
      </c>
      <c r="G968">
        <v>0</v>
      </c>
      <c r="H968">
        <v>0</v>
      </c>
      <c r="I968" t="s">
        <v>571</v>
      </c>
    </row>
    <row r="969" spans="1:9" x14ac:dyDescent="0.25">
      <c r="A969" s="1">
        <v>46163</v>
      </c>
      <c r="B969" t="s">
        <v>556</v>
      </c>
      <c r="C969" s="2" t="s">
        <v>639</v>
      </c>
      <c r="D969" t="s">
        <v>30</v>
      </c>
      <c r="E969">
        <v>365</v>
      </c>
      <c r="F969">
        <v>365</v>
      </c>
      <c r="G969">
        <v>0</v>
      </c>
      <c r="H969">
        <v>0</v>
      </c>
      <c r="I969" t="s">
        <v>571</v>
      </c>
    </row>
    <row r="970" spans="1:9" x14ac:dyDescent="0.25">
      <c r="A970" s="1">
        <v>46163</v>
      </c>
      <c r="B970" t="s">
        <v>556</v>
      </c>
      <c r="C970" s="2" t="s">
        <v>640</v>
      </c>
      <c r="D970" t="s">
        <v>30</v>
      </c>
      <c r="E970">
        <v>365</v>
      </c>
      <c r="F970">
        <v>365</v>
      </c>
      <c r="G970">
        <v>0</v>
      </c>
      <c r="H970">
        <v>0</v>
      </c>
      <c r="I970" t="s">
        <v>571</v>
      </c>
    </row>
    <row r="971" spans="1:9" x14ac:dyDescent="0.25">
      <c r="A971" s="1">
        <v>46163</v>
      </c>
      <c r="B971" t="s">
        <v>556</v>
      </c>
      <c r="C971" s="2" t="s">
        <v>641</v>
      </c>
      <c r="D971" t="s">
        <v>30</v>
      </c>
      <c r="E971">
        <v>365</v>
      </c>
      <c r="F971">
        <v>365</v>
      </c>
      <c r="G971">
        <v>0</v>
      </c>
      <c r="H971">
        <v>0</v>
      </c>
      <c r="I971" t="s">
        <v>571</v>
      </c>
    </row>
    <row r="972" spans="1:9" x14ac:dyDescent="0.25">
      <c r="A972" s="1">
        <v>46163</v>
      </c>
      <c r="B972" t="s">
        <v>556</v>
      </c>
      <c r="C972" s="2" t="s">
        <v>642</v>
      </c>
      <c r="D972" t="s">
        <v>30</v>
      </c>
      <c r="E972">
        <v>365</v>
      </c>
      <c r="F972">
        <v>365</v>
      </c>
      <c r="G972">
        <v>0</v>
      </c>
      <c r="H972">
        <v>0</v>
      </c>
      <c r="I972" t="s">
        <v>571</v>
      </c>
    </row>
    <row r="973" spans="1:9" x14ac:dyDescent="0.25">
      <c r="A973" s="1">
        <v>46163</v>
      </c>
      <c r="B973" t="s">
        <v>556</v>
      </c>
      <c r="C973" s="2" t="s">
        <v>643</v>
      </c>
      <c r="D973" t="s">
        <v>30</v>
      </c>
      <c r="E973">
        <v>365</v>
      </c>
      <c r="F973">
        <v>365</v>
      </c>
      <c r="G973">
        <v>0</v>
      </c>
      <c r="H973">
        <v>0</v>
      </c>
      <c r="I973" t="s">
        <v>571</v>
      </c>
    </row>
    <row r="974" spans="1:9" x14ac:dyDescent="0.25">
      <c r="A974" s="1">
        <v>46163</v>
      </c>
      <c r="B974" t="s">
        <v>556</v>
      </c>
      <c r="C974" s="2" t="s">
        <v>644</v>
      </c>
      <c r="D974" t="s">
        <v>30</v>
      </c>
      <c r="E974">
        <v>365</v>
      </c>
      <c r="F974">
        <v>365</v>
      </c>
      <c r="G974">
        <v>0</v>
      </c>
      <c r="H974">
        <v>0</v>
      </c>
      <c r="I974" t="s">
        <v>571</v>
      </c>
    </row>
    <row r="975" spans="1:9" x14ac:dyDescent="0.25">
      <c r="A975" s="1">
        <v>46163</v>
      </c>
      <c r="B975" t="s">
        <v>556</v>
      </c>
      <c r="C975" s="2" t="s">
        <v>645</v>
      </c>
      <c r="D975" t="s">
        <v>30</v>
      </c>
      <c r="E975">
        <v>365</v>
      </c>
      <c r="F975">
        <v>365</v>
      </c>
      <c r="G975">
        <v>0</v>
      </c>
      <c r="H975">
        <v>0</v>
      </c>
      <c r="I975" t="s">
        <v>571</v>
      </c>
    </row>
    <row r="976" spans="1:9" x14ac:dyDescent="0.25">
      <c r="A976" s="1">
        <v>46163</v>
      </c>
      <c r="B976" t="s">
        <v>556</v>
      </c>
      <c r="C976" s="2" t="s">
        <v>646</v>
      </c>
      <c r="D976" t="s">
        <v>30</v>
      </c>
      <c r="E976">
        <v>365</v>
      </c>
      <c r="F976">
        <v>365</v>
      </c>
      <c r="G976">
        <v>0</v>
      </c>
      <c r="H976">
        <v>0</v>
      </c>
      <c r="I976" t="s">
        <v>571</v>
      </c>
    </row>
    <row r="977" spans="1:9" x14ac:dyDescent="0.25">
      <c r="A977" s="1">
        <v>46163</v>
      </c>
      <c r="B977" t="s">
        <v>556</v>
      </c>
      <c r="C977" s="2" t="s">
        <v>647</v>
      </c>
      <c r="D977" t="s">
        <v>30</v>
      </c>
      <c r="E977">
        <v>365</v>
      </c>
      <c r="F977">
        <v>365</v>
      </c>
      <c r="G977">
        <v>0</v>
      </c>
      <c r="H977">
        <v>0</v>
      </c>
      <c r="I977" t="s">
        <v>571</v>
      </c>
    </row>
    <row r="978" spans="1:9" x14ac:dyDescent="0.25">
      <c r="A978" s="1">
        <v>46163</v>
      </c>
      <c r="B978" t="s">
        <v>556</v>
      </c>
      <c r="C978" s="2" t="s">
        <v>648</v>
      </c>
      <c r="D978" t="s">
        <v>30</v>
      </c>
      <c r="E978">
        <v>365</v>
      </c>
      <c r="F978">
        <v>365</v>
      </c>
      <c r="G978">
        <v>0</v>
      </c>
      <c r="H978">
        <v>0</v>
      </c>
      <c r="I978" t="s">
        <v>571</v>
      </c>
    </row>
    <row r="979" spans="1:9" x14ac:dyDescent="0.25">
      <c r="A979" s="1">
        <v>46163</v>
      </c>
      <c r="B979" t="s">
        <v>556</v>
      </c>
      <c r="C979" s="2" t="s">
        <v>649</v>
      </c>
      <c r="D979" t="s">
        <v>30</v>
      </c>
      <c r="E979">
        <v>365</v>
      </c>
      <c r="F979">
        <v>365</v>
      </c>
      <c r="G979">
        <v>0</v>
      </c>
      <c r="H979">
        <v>0</v>
      </c>
      <c r="I979" t="s">
        <v>571</v>
      </c>
    </row>
    <row r="980" spans="1:9" x14ac:dyDescent="0.25">
      <c r="A980" s="1">
        <v>46163</v>
      </c>
      <c r="B980" t="s">
        <v>556</v>
      </c>
      <c r="C980" s="2" t="s">
        <v>650</v>
      </c>
      <c r="D980" t="s">
        <v>30</v>
      </c>
      <c r="E980">
        <v>365</v>
      </c>
      <c r="F980">
        <v>365</v>
      </c>
      <c r="G980">
        <v>0</v>
      </c>
      <c r="H980">
        <v>0</v>
      </c>
      <c r="I980" t="s">
        <v>571</v>
      </c>
    </row>
    <row r="981" spans="1:9" x14ac:dyDescent="0.25">
      <c r="A981" s="1">
        <v>46163</v>
      </c>
      <c r="B981" t="s">
        <v>556</v>
      </c>
      <c r="C981" s="2" t="s">
        <v>651</v>
      </c>
      <c r="D981" t="s">
        <v>30</v>
      </c>
      <c r="E981">
        <v>365</v>
      </c>
      <c r="F981">
        <v>365</v>
      </c>
      <c r="G981">
        <v>0</v>
      </c>
      <c r="H981">
        <v>0</v>
      </c>
      <c r="I981" t="s">
        <v>571</v>
      </c>
    </row>
    <row r="982" spans="1:9" x14ac:dyDescent="0.25">
      <c r="A982" s="1">
        <v>46163</v>
      </c>
      <c r="B982" t="s">
        <v>556</v>
      </c>
      <c r="C982" s="2" t="s">
        <v>652</v>
      </c>
      <c r="D982" t="s">
        <v>30</v>
      </c>
      <c r="E982">
        <v>365</v>
      </c>
      <c r="F982">
        <v>365</v>
      </c>
      <c r="G982">
        <v>0</v>
      </c>
      <c r="H982">
        <v>0</v>
      </c>
      <c r="I982" t="s">
        <v>571</v>
      </c>
    </row>
    <row r="983" spans="1:9" x14ac:dyDescent="0.25">
      <c r="A983" s="1">
        <v>46163</v>
      </c>
      <c r="B983" t="s">
        <v>556</v>
      </c>
      <c r="C983" s="2" t="s">
        <v>653</v>
      </c>
      <c r="D983" t="s">
        <v>30</v>
      </c>
      <c r="E983">
        <v>365</v>
      </c>
      <c r="F983">
        <v>365</v>
      </c>
      <c r="G983">
        <v>0</v>
      </c>
      <c r="H983">
        <v>0</v>
      </c>
      <c r="I983" t="s">
        <v>571</v>
      </c>
    </row>
    <row r="984" spans="1:9" x14ac:dyDescent="0.25">
      <c r="A984" s="1">
        <v>46163</v>
      </c>
      <c r="B984" t="s">
        <v>556</v>
      </c>
      <c r="C984" s="2" t="s">
        <v>654</v>
      </c>
      <c r="D984" t="s">
        <v>30</v>
      </c>
      <c r="E984">
        <v>365</v>
      </c>
      <c r="F984">
        <v>365</v>
      </c>
      <c r="G984">
        <v>0</v>
      </c>
      <c r="H984">
        <v>0</v>
      </c>
      <c r="I984" t="s">
        <v>571</v>
      </c>
    </row>
    <row r="985" spans="1:9" x14ac:dyDescent="0.25">
      <c r="A985" s="1">
        <v>46163</v>
      </c>
      <c r="B985" t="s">
        <v>556</v>
      </c>
      <c r="C985" s="2" t="s">
        <v>655</v>
      </c>
      <c r="D985" t="s">
        <v>30</v>
      </c>
      <c r="E985">
        <v>365</v>
      </c>
      <c r="F985">
        <v>365</v>
      </c>
      <c r="G985">
        <v>0</v>
      </c>
      <c r="H985">
        <v>0</v>
      </c>
      <c r="I985" t="s">
        <v>571</v>
      </c>
    </row>
    <row r="986" spans="1:9" x14ac:dyDescent="0.25">
      <c r="A986" s="1">
        <v>46163</v>
      </c>
      <c r="B986" t="s">
        <v>556</v>
      </c>
      <c r="C986" s="2" t="s">
        <v>656</v>
      </c>
      <c r="D986" t="s">
        <v>30</v>
      </c>
      <c r="E986">
        <v>365</v>
      </c>
      <c r="F986">
        <v>365</v>
      </c>
      <c r="G986">
        <v>0</v>
      </c>
      <c r="H986">
        <v>0</v>
      </c>
      <c r="I986" t="s">
        <v>571</v>
      </c>
    </row>
    <row r="987" spans="1:9" x14ac:dyDescent="0.25">
      <c r="A987" s="1">
        <v>46163</v>
      </c>
      <c r="B987" t="s">
        <v>556</v>
      </c>
      <c r="C987" s="2" t="s">
        <v>657</v>
      </c>
      <c r="D987" t="s">
        <v>30</v>
      </c>
      <c r="E987">
        <v>365</v>
      </c>
      <c r="F987">
        <v>365</v>
      </c>
      <c r="G987">
        <v>0</v>
      </c>
      <c r="H987">
        <v>0</v>
      </c>
      <c r="I987" t="s">
        <v>571</v>
      </c>
    </row>
    <row r="988" spans="1:9" x14ac:dyDescent="0.25">
      <c r="A988" s="1">
        <v>46163</v>
      </c>
      <c r="B988" t="s">
        <v>556</v>
      </c>
      <c r="C988" s="2" t="s">
        <v>658</v>
      </c>
      <c r="D988" t="s">
        <v>30</v>
      </c>
      <c r="E988">
        <v>365</v>
      </c>
      <c r="F988">
        <v>365</v>
      </c>
      <c r="G988">
        <v>0</v>
      </c>
      <c r="H988">
        <v>0</v>
      </c>
      <c r="I988" t="s">
        <v>571</v>
      </c>
    </row>
    <row r="989" spans="1:9" x14ac:dyDescent="0.25">
      <c r="A989" s="1">
        <v>46163</v>
      </c>
      <c r="B989" t="s">
        <v>556</v>
      </c>
      <c r="C989" s="2" t="s">
        <v>659</v>
      </c>
      <c r="D989" t="s">
        <v>30</v>
      </c>
      <c r="E989">
        <v>365</v>
      </c>
      <c r="F989">
        <v>365</v>
      </c>
      <c r="G989">
        <v>0</v>
      </c>
      <c r="H989">
        <v>0</v>
      </c>
      <c r="I989" t="s">
        <v>571</v>
      </c>
    </row>
    <row r="990" spans="1:9" x14ac:dyDescent="0.25">
      <c r="A990" s="1">
        <v>46163</v>
      </c>
      <c r="B990" t="s">
        <v>556</v>
      </c>
      <c r="C990" s="2" t="s">
        <v>660</v>
      </c>
      <c r="D990" t="s">
        <v>30</v>
      </c>
      <c r="E990">
        <v>365</v>
      </c>
      <c r="F990">
        <v>365</v>
      </c>
      <c r="G990">
        <v>0</v>
      </c>
      <c r="H990">
        <v>0</v>
      </c>
      <c r="I990" t="s">
        <v>571</v>
      </c>
    </row>
    <row r="991" spans="1:9" x14ac:dyDescent="0.25">
      <c r="A991" s="1">
        <v>46163</v>
      </c>
      <c r="B991" t="s">
        <v>556</v>
      </c>
      <c r="C991" s="2" t="s">
        <v>661</v>
      </c>
      <c r="D991" t="s">
        <v>30</v>
      </c>
      <c r="E991">
        <v>365</v>
      </c>
      <c r="F991">
        <v>365</v>
      </c>
      <c r="G991">
        <v>0</v>
      </c>
      <c r="H991">
        <v>0</v>
      </c>
      <c r="I991" t="s">
        <v>571</v>
      </c>
    </row>
    <row r="992" spans="1:9" x14ac:dyDescent="0.25">
      <c r="A992" s="1">
        <v>46163</v>
      </c>
      <c r="B992" t="s">
        <v>556</v>
      </c>
      <c r="C992" s="2" t="s">
        <v>662</v>
      </c>
      <c r="D992" t="s">
        <v>30</v>
      </c>
      <c r="E992">
        <v>365</v>
      </c>
      <c r="F992">
        <v>365</v>
      </c>
      <c r="G992">
        <v>0</v>
      </c>
      <c r="H992">
        <v>0</v>
      </c>
      <c r="I992" t="s">
        <v>571</v>
      </c>
    </row>
    <row r="993" spans="1:9" x14ac:dyDescent="0.25">
      <c r="A993" s="1">
        <v>46163</v>
      </c>
      <c r="B993" t="s">
        <v>556</v>
      </c>
      <c r="C993" s="2" t="s">
        <v>663</v>
      </c>
      <c r="D993" t="s">
        <v>30</v>
      </c>
      <c r="E993">
        <v>365</v>
      </c>
      <c r="F993">
        <v>365</v>
      </c>
      <c r="G993">
        <v>0</v>
      </c>
      <c r="H993">
        <v>0</v>
      </c>
      <c r="I993" t="s">
        <v>571</v>
      </c>
    </row>
    <row r="994" spans="1:9" x14ac:dyDescent="0.25">
      <c r="A994" s="1">
        <v>46163</v>
      </c>
      <c r="B994" t="s">
        <v>556</v>
      </c>
      <c r="C994" s="2" t="s">
        <v>664</v>
      </c>
      <c r="D994" t="s">
        <v>30</v>
      </c>
      <c r="E994">
        <v>365</v>
      </c>
      <c r="F994">
        <v>365</v>
      </c>
      <c r="G994">
        <v>0</v>
      </c>
      <c r="H994">
        <v>0</v>
      </c>
      <c r="I994" t="s">
        <v>571</v>
      </c>
    </row>
    <row r="995" spans="1:9" x14ac:dyDescent="0.25">
      <c r="A995" s="1">
        <v>46163</v>
      </c>
      <c r="B995" t="s">
        <v>556</v>
      </c>
      <c r="C995" s="2" t="s">
        <v>665</v>
      </c>
      <c r="D995" t="s">
        <v>30</v>
      </c>
      <c r="E995">
        <v>365</v>
      </c>
      <c r="F995">
        <v>365</v>
      </c>
      <c r="G995">
        <v>0</v>
      </c>
      <c r="H995">
        <v>0</v>
      </c>
      <c r="I995" t="s">
        <v>571</v>
      </c>
    </row>
    <row r="996" spans="1:9" x14ac:dyDescent="0.25">
      <c r="A996" s="1">
        <v>46163</v>
      </c>
      <c r="B996" t="s">
        <v>556</v>
      </c>
      <c r="C996" s="2" t="s">
        <v>666</v>
      </c>
      <c r="D996" t="s">
        <v>30</v>
      </c>
      <c r="E996">
        <v>365</v>
      </c>
      <c r="F996">
        <v>365</v>
      </c>
      <c r="G996">
        <v>0</v>
      </c>
      <c r="H996">
        <v>0</v>
      </c>
      <c r="I996" t="s">
        <v>571</v>
      </c>
    </row>
    <row r="997" spans="1:9" x14ac:dyDescent="0.25">
      <c r="A997" s="1">
        <v>46163</v>
      </c>
      <c r="B997" t="s">
        <v>556</v>
      </c>
      <c r="C997" s="2" t="s">
        <v>667</v>
      </c>
      <c r="D997" t="s">
        <v>30</v>
      </c>
      <c r="E997">
        <v>365</v>
      </c>
      <c r="F997">
        <v>365</v>
      </c>
      <c r="G997">
        <v>0</v>
      </c>
      <c r="H997">
        <v>0</v>
      </c>
      <c r="I997" t="s">
        <v>571</v>
      </c>
    </row>
    <row r="998" spans="1:9" x14ac:dyDescent="0.25">
      <c r="A998" s="1">
        <v>46163</v>
      </c>
      <c r="B998" t="s">
        <v>556</v>
      </c>
      <c r="C998" s="2" t="s">
        <v>668</v>
      </c>
      <c r="D998" t="s">
        <v>30</v>
      </c>
      <c r="E998">
        <v>365</v>
      </c>
      <c r="F998">
        <v>365</v>
      </c>
      <c r="G998">
        <v>0</v>
      </c>
      <c r="H998">
        <v>0</v>
      </c>
      <c r="I998" t="s">
        <v>571</v>
      </c>
    </row>
    <row r="999" spans="1:9" x14ac:dyDescent="0.25">
      <c r="A999" s="1">
        <v>46163</v>
      </c>
      <c r="B999" t="s">
        <v>556</v>
      </c>
      <c r="C999" s="2" t="s">
        <v>669</v>
      </c>
      <c r="D999" t="s">
        <v>30</v>
      </c>
      <c r="E999">
        <v>365</v>
      </c>
      <c r="F999">
        <v>365</v>
      </c>
      <c r="G999">
        <v>0</v>
      </c>
      <c r="H999">
        <v>0</v>
      </c>
      <c r="I999" t="s">
        <v>571</v>
      </c>
    </row>
    <row r="1000" spans="1:9" x14ac:dyDescent="0.25">
      <c r="A1000" s="1">
        <v>46163</v>
      </c>
      <c r="B1000" t="s">
        <v>556</v>
      </c>
      <c r="C1000" s="2" t="s">
        <v>670</v>
      </c>
      <c r="D1000" t="s">
        <v>30</v>
      </c>
      <c r="E1000">
        <v>365</v>
      </c>
      <c r="F1000">
        <v>365</v>
      </c>
      <c r="G1000">
        <v>0</v>
      </c>
      <c r="H1000">
        <v>0</v>
      </c>
      <c r="I1000" t="s">
        <v>571</v>
      </c>
    </row>
    <row r="1001" spans="1:9" x14ac:dyDescent="0.25">
      <c r="A1001" s="1">
        <v>46163</v>
      </c>
      <c r="B1001" t="s">
        <v>556</v>
      </c>
      <c r="C1001" s="2" t="s">
        <v>671</v>
      </c>
      <c r="D1001" t="s">
        <v>30</v>
      </c>
      <c r="E1001">
        <v>365</v>
      </c>
      <c r="F1001">
        <v>365</v>
      </c>
      <c r="G1001">
        <v>0</v>
      </c>
      <c r="H1001">
        <v>0</v>
      </c>
      <c r="I1001" t="s">
        <v>571</v>
      </c>
    </row>
    <row r="1002" spans="1:9" x14ac:dyDescent="0.25">
      <c r="A1002" s="1">
        <v>46163</v>
      </c>
      <c r="B1002" t="s">
        <v>556</v>
      </c>
      <c r="C1002" s="2" t="s">
        <v>672</v>
      </c>
      <c r="D1002" t="s">
        <v>30</v>
      </c>
      <c r="E1002">
        <v>365</v>
      </c>
      <c r="F1002">
        <v>365</v>
      </c>
      <c r="G1002">
        <v>0</v>
      </c>
      <c r="H1002">
        <v>0</v>
      </c>
      <c r="I1002" t="s">
        <v>571</v>
      </c>
    </row>
    <row r="1003" spans="1:9" x14ac:dyDescent="0.25">
      <c r="A1003" s="1">
        <v>46163</v>
      </c>
      <c r="B1003" t="s">
        <v>556</v>
      </c>
      <c r="C1003" s="2" t="s">
        <v>673</v>
      </c>
      <c r="D1003" t="s">
        <v>30</v>
      </c>
      <c r="E1003">
        <v>365</v>
      </c>
      <c r="F1003">
        <v>365</v>
      </c>
      <c r="G1003">
        <v>0</v>
      </c>
      <c r="H1003">
        <v>0</v>
      </c>
      <c r="I1003" t="s">
        <v>571</v>
      </c>
    </row>
    <row r="1004" spans="1:9" x14ac:dyDescent="0.25">
      <c r="A1004" s="1">
        <v>46163</v>
      </c>
      <c r="B1004" t="s">
        <v>556</v>
      </c>
      <c r="C1004" s="2" t="s">
        <v>674</v>
      </c>
      <c r="D1004" t="s">
        <v>30</v>
      </c>
      <c r="E1004">
        <v>365</v>
      </c>
      <c r="F1004">
        <v>365</v>
      </c>
      <c r="G1004">
        <v>0</v>
      </c>
      <c r="H1004">
        <v>0</v>
      </c>
      <c r="I1004" t="s">
        <v>571</v>
      </c>
    </row>
    <row r="1005" spans="1:9" x14ac:dyDescent="0.25">
      <c r="A1005" s="1">
        <v>46163</v>
      </c>
      <c r="B1005" t="s">
        <v>556</v>
      </c>
      <c r="C1005" s="2" t="s">
        <v>675</v>
      </c>
      <c r="D1005" t="s">
        <v>30</v>
      </c>
      <c r="E1005">
        <v>365</v>
      </c>
      <c r="F1005">
        <v>365</v>
      </c>
      <c r="G1005">
        <v>0</v>
      </c>
      <c r="H1005">
        <v>0</v>
      </c>
      <c r="I1005" t="s">
        <v>571</v>
      </c>
    </row>
    <row r="1006" spans="1:9" x14ac:dyDescent="0.25">
      <c r="A1006" s="1">
        <v>46163</v>
      </c>
      <c r="B1006" t="s">
        <v>556</v>
      </c>
      <c r="C1006" s="2" t="s">
        <v>676</v>
      </c>
      <c r="D1006" t="s">
        <v>30</v>
      </c>
      <c r="E1006">
        <v>365</v>
      </c>
      <c r="F1006">
        <v>365</v>
      </c>
      <c r="G1006">
        <v>0</v>
      </c>
      <c r="H1006">
        <v>0</v>
      </c>
      <c r="I1006" t="s">
        <v>571</v>
      </c>
    </row>
    <row r="1007" spans="1:9" x14ac:dyDescent="0.25">
      <c r="A1007" s="1">
        <v>46163</v>
      </c>
      <c r="B1007" t="s">
        <v>556</v>
      </c>
      <c r="C1007" s="2" t="s">
        <v>677</v>
      </c>
      <c r="D1007" t="s">
        <v>30</v>
      </c>
      <c r="E1007">
        <v>365</v>
      </c>
      <c r="F1007">
        <v>365</v>
      </c>
      <c r="G1007">
        <v>0</v>
      </c>
      <c r="H1007">
        <v>0</v>
      </c>
      <c r="I1007" t="s">
        <v>571</v>
      </c>
    </row>
    <row r="1008" spans="1:9" x14ac:dyDescent="0.25">
      <c r="A1008" s="1">
        <v>46163</v>
      </c>
      <c r="B1008" t="s">
        <v>556</v>
      </c>
      <c r="C1008" s="2" t="s">
        <v>678</v>
      </c>
      <c r="D1008" t="s">
        <v>30</v>
      </c>
      <c r="E1008">
        <v>365</v>
      </c>
      <c r="F1008">
        <v>365</v>
      </c>
      <c r="G1008">
        <v>0</v>
      </c>
      <c r="H1008">
        <v>0</v>
      </c>
      <c r="I1008" t="s">
        <v>571</v>
      </c>
    </row>
    <row r="1009" spans="1:9" x14ac:dyDescent="0.25">
      <c r="A1009" s="1">
        <v>46163</v>
      </c>
      <c r="B1009" t="s">
        <v>679</v>
      </c>
      <c r="C1009" s="2">
        <v>357762265949689</v>
      </c>
      <c r="D1009" t="s">
        <v>680</v>
      </c>
      <c r="E1009">
        <v>2012.65</v>
      </c>
      <c r="F1009">
        <v>1692</v>
      </c>
      <c r="G1009">
        <v>320.64999999999998</v>
      </c>
      <c r="H1009">
        <v>18.95</v>
      </c>
      <c r="I1009" t="s">
        <v>18</v>
      </c>
    </row>
    <row r="1010" spans="1:9" x14ac:dyDescent="0.25">
      <c r="A1010" s="1">
        <v>46163</v>
      </c>
      <c r="B1010" t="s">
        <v>112</v>
      </c>
      <c r="C1010" s="2">
        <v>19006852554</v>
      </c>
      <c r="D1010" t="s">
        <v>30</v>
      </c>
      <c r="E1010">
        <v>4425</v>
      </c>
      <c r="F1010">
        <v>3127.35</v>
      </c>
      <c r="G1010">
        <v>1297.6500000000001</v>
      </c>
      <c r="H1010">
        <v>41.49</v>
      </c>
      <c r="I1010" t="s">
        <v>111</v>
      </c>
    </row>
    <row r="1011" spans="1:9" x14ac:dyDescent="0.25">
      <c r="A1011" s="1">
        <v>46163</v>
      </c>
      <c r="B1011" t="s">
        <v>112</v>
      </c>
      <c r="C1011" s="2">
        <v>19837751147</v>
      </c>
      <c r="D1011" t="s">
        <v>30</v>
      </c>
      <c r="E1011">
        <v>4425</v>
      </c>
      <c r="F1011">
        <v>3067.64</v>
      </c>
      <c r="G1011">
        <v>1357.36</v>
      </c>
      <c r="H1011">
        <v>44.25</v>
      </c>
      <c r="I1011" t="s">
        <v>111</v>
      </c>
    </row>
    <row r="1012" spans="1:9" x14ac:dyDescent="0.25">
      <c r="A1012" s="1">
        <v>46163</v>
      </c>
      <c r="B1012" t="s">
        <v>112</v>
      </c>
      <c r="C1012" s="2">
        <v>19881559048</v>
      </c>
      <c r="D1012" t="s">
        <v>30</v>
      </c>
      <c r="E1012">
        <v>4425</v>
      </c>
      <c r="F1012">
        <v>3127.35</v>
      </c>
      <c r="G1012">
        <v>1297.6500000000001</v>
      </c>
      <c r="H1012">
        <v>41.49</v>
      </c>
      <c r="I1012" t="s">
        <v>111</v>
      </c>
    </row>
    <row r="1013" spans="1:9" x14ac:dyDescent="0.25">
      <c r="A1013" s="1">
        <v>46163</v>
      </c>
      <c r="B1013" t="s">
        <v>112</v>
      </c>
      <c r="C1013" s="2">
        <v>19985850269</v>
      </c>
      <c r="D1013" t="s">
        <v>30</v>
      </c>
      <c r="E1013">
        <v>4425</v>
      </c>
      <c r="F1013">
        <v>3127.35</v>
      </c>
      <c r="G1013">
        <v>1297.6500000000001</v>
      </c>
      <c r="H1013">
        <v>41.49</v>
      </c>
      <c r="I1013" t="s">
        <v>111</v>
      </c>
    </row>
    <row r="1014" spans="1:9" x14ac:dyDescent="0.25">
      <c r="A1014" s="1">
        <v>46163</v>
      </c>
      <c r="B1014" t="s">
        <v>112</v>
      </c>
      <c r="C1014" s="2">
        <v>29092257457</v>
      </c>
      <c r="D1014" t="s">
        <v>30</v>
      </c>
      <c r="E1014">
        <v>4425</v>
      </c>
      <c r="F1014">
        <v>3116.68</v>
      </c>
      <c r="G1014">
        <v>1308.32</v>
      </c>
      <c r="H1014">
        <v>41.98</v>
      </c>
      <c r="I1014" t="s">
        <v>111</v>
      </c>
    </row>
    <row r="1015" spans="1:9" x14ac:dyDescent="0.25">
      <c r="A1015" s="1">
        <v>46163</v>
      </c>
      <c r="B1015" t="s">
        <v>112</v>
      </c>
      <c r="C1015" s="2">
        <v>29416457957</v>
      </c>
      <c r="D1015" t="s">
        <v>30</v>
      </c>
      <c r="E1015">
        <v>4425</v>
      </c>
      <c r="F1015">
        <v>3116.68</v>
      </c>
      <c r="G1015">
        <v>1308.32</v>
      </c>
      <c r="H1015">
        <v>41.98</v>
      </c>
      <c r="I1015" t="s">
        <v>111</v>
      </c>
    </row>
    <row r="1016" spans="1:9" x14ac:dyDescent="0.25">
      <c r="A1016" s="1">
        <v>46163</v>
      </c>
      <c r="B1016" t="s">
        <v>112</v>
      </c>
      <c r="C1016" s="2">
        <v>29501056068</v>
      </c>
      <c r="D1016" t="s">
        <v>30</v>
      </c>
      <c r="E1016">
        <v>4425</v>
      </c>
      <c r="F1016">
        <v>3116.68</v>
      </c>
      <c r="G1016">
        <v>1308.32</v>
      </c>
      <c r="H1016">
        <v>41.98</v>
      </c>
      <c r="I1016" t="s">
        <v>111</v>
      </c>
    </row>
    <row r="1017" spans="1:9" x14ac:dyDescent="0.25">
      <c r="A1017" s="1">
        <v>46163</v>
      </c>
      <c r="B1017" t="s">
        <v>112</v>
      </c>
      <c r="C1017" s="2">
        <v>29768051769</v>
      </c>
      <c r="D1017" t="s">
        <v>30</v>
      </c>
      <c r="E1017">
        <v>4425</v>
      </c>
      <c r="F1017">
        <v>2596.8000000000002</v>
      </c>
      <c r="G1017">
        <v>1828.2</v>
      </c>
      <c r="H1017">
        <v>70.400000000000006</v>
      </c>
      <c r="I1017" t="s">
        <v>111</v>
      </c>
    </row>
    <row r="1018" spans="1:9" x14ac:dyDescent="0.25">
      <c r="A1018" s="1">
        <v>46163</v>
      </c>
      <c r="B1018" t="s">
        <v>112</v>
      </c>
      <c r="C1018" s="2">
        <v>29790123456</v>
      </c>
      <c r="D1018" t="s">
        <v>30</v>
      </c>
      <c r="E1018">
        <v>4425</v>
      </c>
      <c r="F1018">
        <v>3143.18</v>
      </c>
      <c r="G1018">
        <v>1281.82</v>
      </c>
      <c r="H1018">
        <v>40.78</v>
      </c>
      <c r="I1018" t="s">
        <v>111</v>
      </c>
    </row>
    <row r="1019" spans="1:9" x14ac:dyDescent="0.25">
      <c r="A1019" s="1">
        <v>46163</v>
      </c>
      <c r="B1019" t="s">
        <v>112</v>
      </c>
      <c r="C1019" s="2">
        <v>39457458556</v>
      </c>
      <c r="D1019" t="s">
        <v>30</v>
      </c>
      <c r="E1019">
        <v>4425</v>
      </c>
      <c r="F1019">
        <v>3116.68</v>
      </c>
      <c r="G1019">
        <v>1308.32</v>
      </c>
      <c r="H1019">
        <v>41.98</v>
      </c>
      <c r="I1019" t="s">
        <v>111</v>
      </c>
    </row>
    <row r="1020" spans="1:9" x14ac:dyDescent="0.25">
      <c r="A1020" s="1">
        <v>46163</v>
      </c>
      <c r="B1020" t="s">
        <v>112</v>
      </c>
      <c r="C1020" s="2">
        <v>41401093252</v>
      </c>
      <c r="D1020" t="s">
        <v>30</v>
      </c>
      <c r="E1020">
        <v>4425</v>
      </c>
      <c r="F1020">
        <v>3116.68</v>
      </c>
      <c r="G1020">
        <v>1308.32</v>
      </c>
      <c r="H1020">
        <v>41.98</v>
      </c>
      <c r="I1020" t="s">
        <v>111</v>
      </c>
    </row>
    <row r="1021" spans="1:9" x14ac:dyDescent="0.25">
      <c r="A1021" s="1">
        <v>46163</v>
      </c>
      <c r="B1021" t="s">
        <v>112</v>
      </c>
      <c r="C1021" s="2">
        <v>48140955458</v>
      </c>
      <c r="D1021" t="s">
        <v>30</v>
      </c>
      <c r="E1021">
        <v>4425</v>
      </c>
      <c r="F1021">
        <v>3127.35</v>
      </c>
      <c r="G1021">
        <v>1297.6500000000001</v>
      </c>
      <c r="H1021">
        <v>41.49</v>
      </c>
      <c r="I1021" t="s">
        <v>111</v>
      </c>
    </row>
    <row r="1022" spans="1:9" x14ac:dyDescent="0.25">
      <c r="A1022" s="1">
        <v>46163</v>
      </c>
      <c r="B1022" t="s">
        <v>112</v>
      </c>
      <c r="C1022" s="2">
        <v>49378253350</v>
      </c>
      <c r="D1022" t="s">
        <v>30</v>
      </c>
      <c r="E1022">
        <v>4425</v>
      </c>
      <c r="F1022">
        <v>2596.8000000000002</v>
      </c>
      <c r="G1022">
        <v>1828.2</v>
      </c>
      <c r="H1022">
        <v>70.400000000000006</v>
      </c>
      <c r="I1022" t="s">
        <v>111</v>
      </c>
    </row>
    <row r="1023" spans="1:9" x14ac:dyDescent="0.25">
      <c r="A1023" s="1">
        <v>46163</v>
      </c>
      <c r="B1023" t="s">
        <v>112</v>
      </c>
      <c r="C1023" s="2">
        <v>49568759758</v>
      </c>
      <c r="D1023" t="s">
        <v>30</v>
      </c>
      <c r="E1023">
        <v>4425</v>
      </c>
      <c r="F1023">
        <v>3116.68</v>
      </c>
      <c r="G1023">
        <v>1308.32</v>
      </c>
      <c r="H1023">
        <v>41.98</v>
      </c>
      <c r="I1023" t="s">
        <v>111</v>
      </c>
    </row>
    <row r="1024" spans="1:9" x14ac:dyDescent="0.25">
      <c r="A1024" s="1">
        <v>46163</v>
      </c>
      <c r="B1024" t="s">
        <v>112</v>
      </c>
      <c r="C1024" s="2">
        <v>49684953150</v>
      </c>
      <c r="D1024" t="s">
        <v>30</v>
      </c>
      <c r="E1024">
        <v>4425</v>
      </c>
      <c r="F1024">
        <v>2596.8000000000002</v>
      </c>
      <c r="G1024">
        <v>1828.2</v>
      </c>
      <c r="H1024">
        <v>70.400000000000006</v>
      </c>
      <c r="I1024" t="s">
        <v>111</v>
      </c>
    </row>
    <row r="1025" spans="1:9" x14ac:dyDescent="0.25">
      <c r="A1025" s="1">
        <v>46163</v>
      </c>
      <c r="B1025" t="s">
        <v>112</v>
      </c>
      <c r="C1025" s="2">
        <v>49746056764</v>
      </c>
      <c r="D1025" t="s">
        <v>30</v>
      </c>
      <c r="E1025">
        <v>4425</v>
      </c>
      <c r="F1025">
        <v>3127.35</v>
      </c>
      <c r="G1025">
        <v>1297.6500000000001</v>
      </c>
      <c r="H1025">
        <v>41.49</v>
      </c>
      <c r="I1025" t="s">
        <v>111</v>
      </c>
    </row>
    <row r="1026" spans="1:9" x14ac:dyDescent="0.25">
      <c r="A1026" s="1">
        <v>46163</v>
      </c>
      <c r="B1026" t="s">
        <v>112</v>
      </c>
      <c r="C1026" s="2">
        <v>51439094356</v>
      </c>
      <c r="D1026" t="s">
        <v>30</v>
      </c>
      <c r="E1026">
        <v>4425</v>
      </c>
      <c r="F1026">
        <v>3127.35</v>
      </c>
      <c r="G1026">
        <v>1297.6500000000001</v>
      </c>
      <c r="H1026">
        <v>41.49</v>
      </c>
      <c r="I1026" t="s">
        <v>111</v>
      </c>
    </row>
    <row r="1027" spans="1:9" x14ac:dyDescent="0.25">
      <c r="A1027" s="1">
        <v>46163</v>
      </c>
      <c r="B1027" t="s">
        <v>112</v>
      </c>
      <c r="C1027" s="2">
        <v>51498093139</v>
      </c>
      <c r="D1027" t="s">
        <v>30</v>
      </c>
      <c r="E1027">
        <v>4425</v>
      </c>
      <c r="F1027">
        <v>3246.65</v>
      </c>
      <c r="G1027">
        <v>1178.3499999999999</v>
      </c>
      <c r="H1027">
        <v>36.29</v>
      </c>
      <c r="I1027" t="s">
        <v>111</v>
      </c>
    </row>
    <row r="1028" spans="1:9" x14ac:dyDescent="0.25">
      <c r="A1028" s="1">
        <v>46163</v>
      </c>
      <c r="B1028" t="s">
        <v>112</v>
      </c>
      <c r="C1028" s="2">
        <v>51530017385</v>
      </c>
      <c r="D1028" t="s">
        <v>30</v>
      </c>
      <c r="E1028">
        <v>4425</v>
      </c>
      <c r="F1028">
        <v>3116.68</v>
      </c>
      <c r="G1028">
        <v>1308.32</v>
      </c>
      <c r="H1028">
        <v>41.98</v>
      </c>
      <c r="I1028" t="s">
        <v>111</v>
      </c>
    </row>
    <row r="1029" spans="1:9" x14ac:dyDescent="0.25">
      <c r="A1029" s="1">
        <v>46163</v>
      </c>
      <c r="B1029" t="s">
        <v>112</v>
      </c>
      <c r="C1029" s="2">
        <v>51536064343</v>
      </c>
      <c r="D1029" t="s">
        <v>30</v>
      </c>
      <c r="E1029">
        <v>4425</v>
      </c>
      <c r="F1029">
        <v>3067.64</v>
      </c>
      <c r="G1029">
        <v>1357.36</v>
      </c>
      <c r="H1029">
        <v>44.25</v>
      </c>
      <c r="I1029" t="s">
        <v>111</v>
      </c>
    </row>
    <row r="1030" spans="1:9" x14ac:dyDescent="0.25">
      <c r="A1030" s="1">
        <v>46163</v>
      </c>
      <c r="B1030" t="s">
        <v>112</v>
      </c>
      <c r="C1030" s="2">
        <v>51537069430</v>
      </c>
      <c r="D1030" t="s">
        <v>30</v>
      </c>
      <c r="E1030">
        <v>4425</v>
      </c>
      <c r="F1030">
        <v>3149.41</v>
      </c>
      <c r="G1030">
        <v>1275.5899999999999</v>
      </c>
      <c r="H1030">
        <v>40.5</v>
      </c>
      <c r="I1030" t="s">
        <v>111</v>
      </c>
    </row>
    <row r="1031" spans="1:9" x14ac:dyDescent="0.25">
      <c r="A1031" s="1">
        <v>46163</v>
      </c>
      <c r="B1031" t="s">
        <v>112</v>
      </c>
      <c r="C1031" s="2">
        <v>51573038261</v>
      </c>
      <c r="D1031" t="s">
        <v>30</v>
      </c>
      <c r="E1031">
        <v>4425</v>
      </c>
      <c r="F1031">
        <v>3116.68</v>
      </c>
      <c r="G1031">
        <v>1308.32</v>
      </c>
      <c r="H1031">
        <v>41.98</v>
      </c>
      <c r="I1031" t="s">
        <v>111</v>
      </c>
    </row>
    <row r="1032" spans="1:9" x14ac:dyDescent="0.25">
      <c r="A1032" s="1">
        <v>46163</v>
      </c>
      <c r="B1032" t="s">
        <v>112</v>
      </c>
      <c r="C1032" s="2">
        <v>51576000405</v>
      </c>
      <c r="D1032" t="s">
        <v>30</v>
      </c>
      <c r="E1032">
        <v>4425</v>
      </c>
      <c r="F1032">
        <v>3127.35</v>
      </c>
      <c r="G1032">
        <v>1297.6500000000001</v>
      </c>
      <c r="H1032">
        <v>41.49</v>
      </c>
      <c r="I1032" t="s">
        <v>111</v>
      </c>
    </row>
    <row r="1033" spans="1:9" x14ac:dyDescent="0.25">
      <c r="A1033" s="1">
        <v>46163</v>
      </c>
      <c r="B1033" t="s">
        <v>112</v>
      </c>
      <c r="C1033" s="2">
        <v>51577028196</v>
      </c>
      <c r="D1033" t="s">
        <v>30</v>
      </c>
      <c r="E1033">
        <v>4425</v>
      </c>
      <c r="F1033">
        <v>2596.8000000000002</v>
      </c>
      <c r="G1033">
        <v>1828.2</v>
      </c>
      <c r="H1033">
        <v>70.400000000000006</v>
      </c>
      <c r="I1033" t="s">
        <v>111</v>
      </c>
    </row>
    <row r="1034" spans="1:9" x14ac:dyDescent="0.25">
      <c r="A1034" s="1">
        <v>46163</v>
      </c>
      <c r="B1034" t="s">
        <v>112</v>
      </c>
      <c r="C1034" s="2">
        <v>51577058175</v>
      </c>
      <c r="D1034" t="s">
        <v>30</v>
      </c>
      <c r="E1034">
        <v>4425</v>
      </c>
      <c r="F1034">
        <v>3116.68</v>
      </c>
      <c r="G1034">
        <v>1308.32</v>
      </c>
      <c r="H1034">
        <v>41.98</v>
      </c>
      <c r="I1034" t="s">
        <v>111</v>
      </c>
    </row>
    <row r="1035" spans="1:9" x14ac:dyDescent="0.25">
      <c r="A1035" s="1">
        <v>46163</v>
      </c>
      <c r="B1035" t="s">
        <v>112</v>
      </c>
      <c r="C1035" s="2">
        <v>51588009269</v>
      </c>
      <c r="D1035" t="s">
        <v>30</v>
      </c>
      <c r="E1035">
        <v>4425</v>
      </c>
      <c r="F1035">
        <v>2596.8000000000002</v>
      </c>
      <c r="G1035">
        <v>1828.2</v>
      </c>
      <c r="H1035">
        <v>70.400000000000006</v>
      </c>
      <c r="I1035" t="s">
        <v>111</v>
      </c>
    </row>
    <row r="1036" spans="1:9" x14ac:dyDescent="0.25">
      <c r="A1036" s="1">
        <v>46163</v>
      </c>
      <c r="B1036" t="s">
        <v>112</v>
      </c>
      <c r="C1036" s="2">
        <v>51589065120</v>
      </c>
      <c r="D1036" t="s">
        <v>30</v>
      </c>
      <c r="E1036">
        <v>4425</v>
      </c>
      <c r="F1036">
        <v>2596.8000000000002</v>
      </c>
      <c r="G1036">
        <v>1828.2</v>
      </c>
      <c r="H1036">
        <v>70.400000000000006</v>
      </c>
      <c r="I1036" t="s">
        <v>111</v>
      </c>
    </row>
    <row r="1037" spans="1:9" x14ac:dyDescent="0.25">
      <c r="A1037" s="1">
        <v>46163</v>
      </c>
      <c r="B1037" t="s">
        <v>112</v>
      </c>
      <c r="C1037" s="2">
        <v>51594070206</v>
      </c>
      <c r="D1037" t="s">
        <v>30</v>
      </c>
      <c r="E1037">
        <v>4425</v>
      </c>
      <c r="F1037">
        <v>3067.64</v>
      </c>
      <c r="G1037">
        <v>1357.36</v>
      </c>
      <c r="H1037">
        <v>44.25</v>
      </c>
      <c r="I1037" t="s">
        <v>111</v>
      </c>
    </row>
    <row r="1038" spans="1:9" x14ac:dyDescent="0.25">
      <c r="A1038" s="1">
        <v>46163</v>
      </c>
      <c r="B1038" t="s">
        <v>112</v>
      </c>
      <c r="C1038" s="2">
        <v>51659087438</v>
      </c>
      <c r="D1038" t="s">
        <v>30</v>
      </c>
      <c r="E1038">
        <v>4425</v>
      </c>
      <c r="F1038">
        <v>3149.41</v>
      </c>
      <c r="G1038">
        <v>1275.5899999999999</v>
      </c>
      <c r="H1038">
        <v>40.5</v>
      </c>
      <c r="I1038" t="s">
        <v>111</v>
      </c>
    </row>
    <row r="1039" spans="1:9" x14ac:dyDescent="0.25">
      <c r="A1039" s="1">
        <v>46163</v>
      </c>
      <c r="B1039" t="s">
        <v>112</v>
      </c>
      <c r="C1039" s="2">
        <v>51687088131</v>
      </c>
      <c r="D1039" t="s">
        <v>30</v>
      </c>
      <c r="E1039">
        <v>4425</v>
      </c>
      <c r="F1039">
        <v>3116.68</v>
      </c>
      <c r="G1039">
        <v>1308.32</v>
      </c>
      <c r="H1039">
        <v>41.98</v>
      </c>
      <c r="I1039" t="s">
        <v>111</v>
      </c>
    </row>
    <row r="1040" spans="1:9" x14ac:dyDescent="0.25">
      <c r="A1040" s="1">
        <v>46163</v>
      </c>
      <c r="B1040" t="s">
        <v>112</v>
      </c>
      <c r="C1040" s="2">
        <v>51690079253</v>
      </c>
      <c r="D1040" t="s">
        <v>30</v>
      </c>
      <c r="E1040">
        <v>4425</v>
      </c>
      <c r="F1040">
        <v>3116.68</v>
      </c>
      <c r="G1040">
        <v>1308.32</v>
      </c>
      <c r="H1040">
        <v>41.98</v>
      </c>
      <c r="I1040" t="s">
        <v>111</v>
      </c>
    </row>
    <row r="1041" spans="1:9" x14ac:dyDescent="0.25">
      <c r="A1041" s="1">
        <v>46163</v>
      </c>
      <c r="B1041" t="s">
        <v>112</v>
      </c>
      <c r="C1041" s="2">
        <v>51735008328</v>
      </c>
      <c r="D1041" t="s">
        <v>30</v>
      </c>
      <c r="E1041">
        <v>4425</v>
      </c>
      <c r="F1041">
        <v>3246.65</v>
      </c>
      <c r="G1041">
        <v>1178.3499999999999</v>
      </c>
      <c r="H1041">
        <v>36.29</v>
      </c>
      <c r="I1041" t="s">
        <v>111</v>
      </c>
    </row>
    <row r="1042" spans="1:9" x14ac:dyDescent="0.25">
      <c r="A1042" s="1">
        <v>46163</v>
      </c>
      <c r="B1042" t="s">
        <v>112</v>
      </c>
      <c r="C1042" s="2">
        <v>58836952944</v>
      </c>
      <c r="D1042" t="s">
        <v>30</v>
      </c>
      <c r="E1042">
        <v>4425</v>
      </c>
      <c r="F1042">
        <v>3116.68</v>
      </c>
      <c r="G1042">
        <v>1308.32</v>
      </c>
      <c r="H1042">
        <v>41.98</v>
      </c>
      <c r="I1042" t="s">
        <v>111</v>
      </c>
    </row>
    <row r="1043" spans="1:9" x14ac:dyDescent="0.25">
      <c r="A1043" s="1">
        <v>46163</v>
      </c>
      <c r="B1043" t="s">
        <v>112</v>
      </c>
      <c r="C1043" s="2">
        <v>59008850770</v>
      </c>
      <c r="D1043" t="s">
        <v>30</v>
      </c>
      <c r="E1043">
        <v>4425</v>
      </c>
      <c r="F1043">
        <v>3116.68</v>
      </c>
      <c r="G1043">
        <v>1308.32</v>
      </c>
      <c r="H1043">
        <v>41.98</v>
      </c>
      <c r="I1043" t="s">
        <v>111</v>
      </c>
    </row>
    <row r="1044" spans="1:9" x14ac:dyDescent="0.25">
      <c r="A1044" s="1">
        <v>46163</v>
      </c>
      <c r="B1044" t="s">
        <v>112</v>
      </c>
      <c r="C1044" s="2">
        <v>59112165058</v>
      </c>
      <c r="D1044" t="s">
        <v>30</v>
      </c>
      <c r="E1044">
        <v>4425</v>
      </c>
      <c r="F1044">
        <v>3127.35</v>
      </c>
      <c r="G1044">
        <v>1297.6500000000001</v>
      </c>
      <c r="H1044">
        <v>41.49</v>
      </c>
      <c r="I1044" t="s">
        <v>111</v>
      </c>
    </row>
    <row r="1045" spans="1:9" x14ac:dyDescent="0.25">
      <c r="A1045" s="1">
        <v>46163</v>
      </c>
      <c r="B1045" t="s">
        <v>112</v>
      </c>
      <c r="C1045" s="2">
        <v>59539567052</v>
      </c>
      <c r="D1045" t="s">
        <v>30</v>
      </c>
      <c r="E1045">
        <v>4425</v>
      </c>
      <c r="F1045">
        <v>3127.35</v>
      </c>
      <c r="G1045">
        <v>1297.6500000000001</v>
      </c>
      <c r="H1045">
        <v>41.49</v>
      </c>
      <c r="I1045" t="s">
        <v>111</v>
      </c>
    </row>
    <row r="1046" spans="1:9" x14ac:dyDescent="0.25">
      <c r="A1046" s="1">
        <v>46163</v>
      </c>
      <c r="B1046" t="s">
        <v>112</v>
      </c>
      <c r="C1046" s="2">
        <v>59826464045</v>
      </c>
      <c r="D1046" t="s">
        <v>30</v>
      </c>
      <c r="E1046">
        <v>4425</v>
      </c>
      <c r="F1046">
        <v>2596.8000000000002</v>
      </c>
      <c r="G1046">
        <v>1828.2</v>
      </c>
      <c r="H1046">
        <v>70.400000000000006</v>
      </c>
      <c r="I1046" t="s">
        <v>111</v>
      </c>
    </row>
    <row r="1047" spans="1:9" x14ac:dyDescent="0.25">
      <c r="A1047" s="1">
        <v>46163</v>
      </c>
      <c r="B1047" t="s">
        <v>112</v>
      </c>
      <c r="C1047" s="2">
        <v>59950450346</v>
      </c>
      <c r="D1047" t="s">
        <v>30</v>
      </c>
      <c r="E1047">
        <v>4425</v>
      </c>
      <c r="F1047">
        <v>3067.64</v>
      </c>
      <c r="G1047">
        <v>1357.36</v>
      </c>
      <c r="H1047">
        <v>44.25</v>
      </c>
      <c r="I1047" t="s">
        <v>111</v>
      </c>
    </row>
    <row r="1048" spans="1:9" x14ac:dyDescent="0.25">
      <c r="A1048" s="1">
        <v>46163</v>
      </c>
      <c r="B1048" t="s">
        <v>112</v>
      </c>
      <c r="C1048" s="2">
        <v>61506048272</v>
      </c>
      <c r="D1048" t="s">
        <v>30</v>
      </c>
      <c r="E1048">
        <v>4425</v>
      </c>
      <c r="F1048">
        <v>2596.8000000000002</v>
      </c>
      <c r="G1048">
        <v>1828.2</v>
      </c>
      <c r="H1048">
        <v>70.400000000000006</v>
      </c>
      <c r="I1048" t="s">
        <v>111</v>
      </c>
    </row>
    <row r="1049" spans="1:9" x14ac:dyDescent="0.25">
      <c r="A1049" s="1">
        <v>46163</v>
      </c>
      <c r="B1049" t="s">
        <v>112</v>
      </c>
      <c r="C1049" s="2">
        <v>61534049268</v>
      </c>
      <c r="D1049" t="s">
        <v>30</v>
      </c>
      <c r="E1049">
        <v>4425</v>
      </c>
      <c r="F1049">
        <v>3116.68</v>
      </c>
      <c r="G1049">
        <v>1308.32</v>
      </c>
      <c r="H1049">
        <v>41.98</v>
      </c>
      <c r="I1049" t="s">
        <v>111</v>
      </c>
    </row>
    <row r="1050" spans="1:9" x14ac:dyDescent="0.25">
      <c r="A1050" s="1">
        <v>46163</v>
      </c>
      <c r="B1050" t="s">
        <v>112</v>
      </c>
      <c r="C1050" s="2">
        <v>61577003408</v>
      </c>
      <c r="D1050" t="s">
        <v>30</v>
      </c>
      <c r="E1050">
        <v>4425</v>
      </c>
      <c r="F1050">
        <v>3149.41</v>
      </c>
      <c r="G1050">
        <v>1275.5899999999999</v>
      </c>
      <c r="H1050">
        <v>40.5</v>
      </c>
      <c r="I1050" t="s">
        <v>111</v>
      </c>
    </row>
    <row r="1051" spans="1:9" x14ac:dyDescent="0.25">
      <c r="A1051" s="1">
        <v>46163</v>
      </c>
      <c r="B1051" t="s">
        <v>112</v>
      </c>
      <c r="C1051" s="2">
        <v>61593067300</v>
      </c>
      <c r="D1051" t="s">
        <v>30</v>
      </c>
      <c r="E1051">
        <v>4425</v>
      </c>
      <c r="F1051">
        <v>3116.68</v>
      </c>
      <c r="G1051">
        <v>1308.32</v>
      </c>
      <c r="H1051">
        <v>41.98</v>
      </c>
      <c r="I1051" t="s">
        <v>111</v>
      </c>
    </row>
    <row r="1052" spans="1:9" x14ac:dyDescent="0.25">
      <c r="A1052" s="1">
        <v>46163</v>
      </c>
      <c r="B1052" t="s">
        <v>112</v>
      </c>
      <c r="C1052" s="2">
        <v>61610061224</v>
      </c>
      <c r="D1052" t="s">
        <v>30</v>
      </c>
      <c r="E1052">
        <v>4425</v>
      </c>
      <c r="F1052">
        <v>3116.68</v>
      </c>
      <c r="G1052">
        <v>1308.32</v>
      </c>
      <c r="H1052">
        <v>41.98</v>
      </c>
      <c r="I1052" t="s">
        <v>111</v>
      </c>
    </row>
    <row r="1053" spans="1:9" x14ac:dyDescent="0.25">
      <c r="A1053" s="1">
        <v>46163</v>
      </c>
      <c r="B1053" t="s">
        <v>112</v>
      </c>
      <c r="C1053" s="2">
        <v>61646077340</v>
      </c>
      <c r="D1053" t="s">
        <v>30</v>
      </c>
      <c r="E1053">
        <v>4425</v>
      </c>
      <c r="F1053">
        <v>3116.68</v>
      </c>
      <c r="G1053">
        <v>1308.32</v>
      </c>
      <c r="H1053">
        <v>41.98</v>
      </c>
      <c r="I1053" t="s">
        <v>111</v>
      </c>
    </row>
    <row r="1054" spans="1:9" x14ac:dyDescent="0.25">
      <c r="A1054" s="1">
        <v>46163</v>
      </c>
      <c r="B1054" t="s">
        <v>112</v>
      </c>
      <c r="C1054" s="2">
        <v>61677078368</v>
      </c>
      <c r="D1054" t="s">
        <v>30</v>
      </c>
      <c r="E1054">
        <v>4425</v>
      </c>
      <c r="F1054">
        <v>3127.35</v>
      </c>
      <c r="G1054">
        <v>1297.6500000000001</v>
      </c>
      <c r="H1054">
        <v>41.49</v>
      </c>
      <c r="I1054" t="s">
        <v>111</v>
      </c>
    </row>
    <row r="1055" spans="1:9" x14ac:dyDescent="0.25">
      <c r="A1055" s="1">
        <v>46163</v>
      </c>
      <c r="B1055" t="s">
        <v>112</v>
      </c>
      <c r="C1055" s="2">
        <v>61765006398</v>
      </c>
      <c r="D1055" t="s">
        <v>30</v>
      </c>
      <c r="E1055">
        <v>4425</v>
      </c>
      <c r="F1055">
        <v>3127.35</v>
      </c>
      <c r="G1055">
        <v>1297.6500000000001</v>
      </c>
      <c r="H1055">
        <v>41.49</v>
      </c>
      <c r="I1055" t="s">
        <v>111</v>
      </c>
    </row>
    <row r="1056" spans="1:9" x14ac:dyDescent="0.25">
      <c r="A1056" s="1">
        <v>46163</v>
      </c>
      <c r="B1056" t="s">
        <v>112</v>
      </c>
      <c r="C1056" s="2">
        <v>68088962650</v>
      </c>
      <c r="D1056" t="s">
        <v>30</v>
      </c>
      <c r="E1056">
        <v>4425</v>
      </c>
      <c r="F1056">
        <v>3127.35</v>
      </c>
      <c r="G1056">
        <v>1297.6500000000001</v>
      </c>
      <c r="H1056">
        <v>41.49</v>
      </c>
      <c r="I1056" t="s">
        <v>111</v>
      </c>
    </row>
    <row r="1057" spans="1:9" x14ac:dyDescent="0.25">
      <c r="A1057" s="1">
        <v>46163</v>
      </c>
      <c r="B1057" t="s">
        <v>112</v>
      </c>
      <c r="C1057" s="2">
        <v>69735962156</v>
      </c>
      <c r="D1057" t="s">
        <v>30</v>
      </c>
      <c r="E1057">
        <v>4425</v>
      </c>
      <c r="F1057">
        <v>3127.35</v>
      </c>
      <c r="G1057">
        <v>1297.6500000000001</v>
      </c>
      <c r="H1057">
        <v>41.49</v>
      </c>
      <c r="I1057" t="s">
        <v>111</v>
      </c>
    </row>
    <row r="1058" spans="1:9" x14ac:dyDescent="0.25">
      <c r="A1058" s="1">
        <v>46163</v>
      </c>
      <c r="B1058" t="s">
        <v>112</v>
      </c>
      <c r="C1058" s="2">
        <v>69875355848</v>
      </c>
      <c r="D1058" t="s">
        <v>30</v>
      </c>
      <c r="E1058">
        <v>4425</v>
      </c>
      <c r="F1058">
        <v>3116.68</v>
      </c>
      <c r="G1058">
        <v>1308.32</v>
      </c>
      <c r="H1058">
        <v>41.98</v>
      </c>
      <c r="I1058" t="s">
        <v>111</v>
      </c>
    </row>
    <row r="1059" spans="1:9" x14ac:dyDescent="0.25">
      <c r="A1059" s="1">
        <v>46163</v>
      </c>
      <c r="B1059" t="s">
        <v>112</v>
      </c>
      <c r="C1059" s="2">
        <v>69885956869</v>
      </c>
      <c r="D1059" t="s">
        <v>30</v>
      </c>
      <c r="E1059">
        <v>4425</v>
      </c>
      <c r="F1059">
        <v>3067.64</v>
      </c>
      <c r="G1059">
        <v>1357.36</v>
      </c>
      <c r="H1059">
        <v>44.25</v>
      </c>
      <c r="I1059" t="s">
        <v>111</v>
      </c>
    </row>
    <row r="1060" spans="1:9" x14ac:dyDescent="0.25">
      <c r="A1060" s="1">
        <v>46163</v>
      </c>
      <c r="B1060" t="s">
        <v>112</v>
      </c>
      <c r="C1060" s="2">
        <v>69991465367</v>
      </c>
      <c r="D1060" t="s">
        <v>30</v>
      </c>
      <c r="E1060">
        <v>4425</v>
      </c>
      <c r="F1060">
        <v>3116.68</v>
      </c>
      <c r="G1060">
        <v>1308.32</v>
      </c>
      <c r="H1060">
        <v>41.98</v>
      </c>
      <c r="I1060" t="s">
        <v>111</v>
      </c>
    </row>
    <row r="1061" spans="1:9" x14ac:dyDescent="0.25">
      <c r="A1061" s="1">
        <v>46163</v>
      </c>
      <c r="B1061" t="s">
        <v>112</v>
      </c>
      <c r="C1061" s="2">
        <v>69998556744</v>
      </c>
      <c r="D1061" t="s">
        <v>30</v>
      </c>
      <c r="E1061">
        <v>4425</v>
      </c>
      <c r="F1061">
        <v>3067.64</v>
      </c>
      <c r="G1061">
        <v>1357.36</v>
      </c>
      <c r="H1061">
        <v>44.25</v>
      </c>
      <c r="I1061" t="s">
        <v>111</v>
      </c>
    </row>
    <row r="1062" spans="1:9" x14ac:dyDescent="0.25">
      <c r="A1062" s="1">
        <v>46163</v>
      </c>
      <c r="B1062" t="s">
        <v>112</v>
      </c>
      <c r="C1062" s="2">
        <v>71685092423</v>
      </c>
      <c r="D1062" t="s">
        <v>30</v>
      </c>
      <c r="E1062">
        <v>4425</v>
      </c>
      <c r="F1062">
        <v>3127.35</v>
      </c>
      <c r="G1062">
        <v>1297.6500000000001</v>
      </c>
      <c r="H1062">
        <v>41.49</v>
      </c>
      <c r="I1062" t="s">
        <v>111</v>
      </c>
    </row>
    <row r="1063" spans="1:9" x14ac:dyDescent="0.25">
      <c r="A1063" s="1">
        <v>46163</v>
      </c>
      <c r="B1063" t="s">
        <v>112</v>
      </c>
      <c r="C1063" s="2">
        <v>78499959058</v>
      </c>
      <c r="D1063" t="s">
        <v>30</v>
      </c>
      <c r="E1063">
        <v>4425</v>
      </c>
      <c r="F1063">
        <v>2596.8000000000002</v>
      </c>
      <c r="G1063">
        <v>1828.2</v>
      </c>
      <c r="H1063">
        <v>70.400000000000006</v>
      </c>
      <c r="I1063" t="s">
        <v>111</v>
      </c>
    </row>
    <row r="1064" spans="1:9" x14ac:dyDescent="0.25">
      <c r="A1064" s="1">
        <v>46163</v>
      </c>
      <c r="B1064" t="s">
        <v>112</v>
      </c>
      <c r="C1064" s="2">
        <v>79094659576</v>
      </c>
      <c r="D1064" t="s">
        <v>30</v>
      </c>
      <c r="E1064">
        <v>4425</v>
      </c>
      <c r="F1064">
        <v>3127.35</v>
      </c>
      <c r="G1064">
        <v>1297.6500000000001</v>
      </c>
      <c r="H1064">
        <v>41.49</v>
      </c>
      <c r="I1064" t="s">
        <v>111</v>
      </c>
    </row>
    <row r="1065" spans="1:9" x14ac:dyDescent="0.25">
      <c r="A1065" s="1">
        <v>46163</v>
      </c>
      <c r="B1065" t="s">
        <v>112</v>
      </c>
      <c r="C1065" s="2">
        <v>79170966951</v>
      </c>
      <c r="D1065" t="s">
        <v>30</v>
      </c>
      <c r="E1065">
        <v>4425</v>
      </c>
      <c r="F1065">
        <v>3149.41</v>
      </c>
      <c r="G1065">
        <v>1275.5899999999999</v>
      </c>
      <c r="H1065">
        <v>40.5</v>
      </c>
      <c r="I1065" t="s">
        <v>111</v>
      </c>
    </row>
    <row r="1066" spans="1:9" x14ac:dyDescent="0.25">
      <c r="A1066" s="1">
        <v>46163</v>
      </c>
      <c r="B1066" t="s">
        <v>112</v>
      </c>
      <c r="C1066" s="2">
        <v>79419352552</v>
      </c>
      <c r="D1066" t="s">
        <v>30</v>
      </c>
      <c r="E1066">
        <v>4425</v>
      </c>
      <c r="F1066">
        <v>3116.68</v>
      </c>
      <c r="G1066">
        <v>1308.32</v>
      </c>
      <c r="H1066">
        <v>41.98</v>
      </c>
      <c r="I1066" t="s">
        <v>111</v>
      </c>
    </row>
    <row r="1067" spans="1:9" x14ac:dyDescent="0.25">
      <c r="A1067" s="1">
        <v>46163</v>
      </c>
      <c r="B1067" t="s">
        <v>112</v>
      </c>
      <c r="C1067" s="2">
        <v>79486850958</v>
      </c>
      <c r="D1067" t="s">
        <v>30</v>
      </c>
      <c r="E1067">
        <v>4425</v>
      </c>
      <c r="F1067">
        <v>3127.35</v>
      </c>
      <c r="G1067">
        <v>1297.6500000000001</v>
      </c>
      <c r="H1067">
        <v>41.49</v>
      </c>
      <c r="I1067" t="s">
        <v>111</v>
      </c>
    </row>
    <row r="1068" spans="1:9" x14ac:dyDescent="0.25">
      <c r="A1068" s="1">
        <v>46163</v>
      </c>
      <c r="B1068" t="s">
        <v>112</v>
      </c>
      <c r="C1068" s="2">
        <v>79528468065</v>
      </c>
      <c r="D1068" t="s">
        <v>30</v>
      </c>
      <c r="E1068">
        <v>4425</v>
      </c>
      <c r="F1068">
        <v>3116.68</v>
      </c>
      <c r="G1068">
        <v>1308.32</v>
      </c>
      <c r="H1068">
        <v>41.98</v>
      </c>
      <c r="I1068" t="s">
        <v>111</v>
      </c>
    </row>
    <row r="1069" spans="1:9" x14ac:dyDescent="0.25">
      <c r="A1069" s="1">
        <v>46163</v>
      </c>
      <c r="B1069" t="s">
        <v>112</v>
      </c>
      <c r="C1069" s="2">
        <v>79544862965</v>
      </c>
      <c r="D1069" t="s">
        <v>30</v>
      </c>
      <c r="E1069">
        <v>4425</v>
      </c>
      <c r="F1069">
        <v>3127.35</v>
      </c>
      <c r="G1069">
        <v>1297.6500000000001</v>
      </c>
      <c r="H1069">
        <v>41.49</v>
      </c>
      <c r="I1069" t="s">
        <v>111</v>
      </c>
    </row>
    <row r="1070" spans="1:9" x14ac:dyDescent="0.25">
      <c r="A1070" s="1">
        <v>46163</v>
      </c>
      <c r="B1070" t="s">
        <v>112</v>
      </c>
      <c r="C1070" s="2">
        <v>79648659251</v>
      </c>
      <c r="D1070" t="s">
        <v>30</v>
      </c>
      <c r="E1070">
        <v>4425</v>
      </c>
      <c r="F1070">
        <v>3149.41</v>
      </c>
      <c r="G1070">
        <v>1275.5899999999999</v>
      </c>
      <c r="H1070">
        <v>40.5</v>
      </c>
      <c r="I1070" t="s">
        <v>111</v>
      </c>
    </row>
    <row r="1071" spans="1:9" x14ac:dyDescent="0.25">
      <c r="A1071" s="1">
        <v>46163</v>
      </c>
      <c r="B1071" t="s">
        <v>112</v>
      </c>
      <c r="C1071" s="2">
        <v>79812065843</v>
      </c>
      <c r="D1071" t="s">
        <v>30</v>
      </c>
      <c r="E1071">
        <v>4425</v>
      </c>
      <c r="F1071">
        <v>3116.68</v>
      </c>
      <c r="G1071">
        <v>1308.32</v>
      </c>
      <c r="H1071">
        <v>41.98</v>
      </c>
      <c r="I1071" t="s">
        <v>111</v>
      </c>
    </row>
    <row r="1072" spans="1:9" x14ac:dyDescent="0.25">
      <c r="A1072" s="1">
        <v>46163</v>
      </c>
      <c r="B1072" t="s">
        <v>112</v>
      </c>
      <c r="C1072" s="2">
        <v>88781942453</v>
      </c>
      <c r="D1072" t="s">
        <v>30</v>
      </c>
      <c r="E1072">
        <v>4425</v>
      </c>
      <c r="F1072">
        <v>3116.68</v>
      </c>
      <c r="G1072">
        <v>1308.32</v>
      </c>
      <c r="H1072">
        <v>41.98</v>
      </c>
      <c r="I1072" t="s">
        <v>111</v>
      </c>
    </row>
    <row r="1073" spans="1:9" x14ac:dyDescent="0.25">
      <c r="A1073" s="1">
        <v>46163</v>
      </c>
      <c r="B1073" t="s">
        <v>112</v>
      </c>
      <c r="C1073" s="2">
        <v>89437267856</v>
      </c>
      <c r="D1073" t="s">
        <v>30</v>
      </c>
      <c r="E1073">
        <v>4425</v>
      </c>
      <c r="F1073">
        <v>3116.68</v>
      </c>
      <c r="G1073">
        <v>1308.32</v>
      </c>
      <c r="H1073">
        <v>41.98</v>
      </c>
      <c r="I1073" t="s">
        <v>111</v>
      </c>
    </row>
    <row r="1074" spans="1:9" x14ac:dyDescent="0.25">
      <c r="A1074" s="1">
        <v>46163</v>
      </c>
      <c r="B1074" t="s">
        <v>112</v>
      </c>
      <c r="C1074" s="2">
        <v>89893265743</v>
      </c>
      <c r="D1074" t="s">
        <v>30</v>
      </c>
      <c r="E1074">
        <v>4425</v>
      </c>
      <c r="F1074">
        <v>3127.35</v>
      </c>
      <c r="G1074">
        <v>1297.6500000000001</v>
      </c>
      <c r="H1074">
        <v>41.49</v>
      </c>
      <c r="I1074" t="s">
        <v>111</v>
      </c>
    </row>
    <row r="1075" spans="1:9" x14ac:dyDescent="0.25">
      <c r="A1075" s="1">
        <v>46163</v>
      </c>
      <c r="B1075" t="s">
        <v>112</v>
      </c>
      <c r="C1075" s="2">
        <v>89975044467</v>
      </c>
      <c r="D1075" t="s">
        <v>30</v>
      </c>
      <c r="E1075">
        <v>4425</v>
      </c>
      <c r="F1075">
        <v>3116.68</v>
      </c>
      <c r="G1075">
        <v>1308.32</v>
      </c>
      <c r="H1075">
        <v>41.98</v>
      </c>
      <c r="I1075" t="s">
        <v>111</v>
      </c>
    </row>
    <row r="1076" spans="1:9" x14ac:dyDescent="0.25">
      <c r="A1076" s="1">
        <v>46163</v>
      </c>
      <c r="B1076" t="s">
        <v>112</v>
      </c>
      <c r="C1076" s="2">
        <v>98010944853</v>
      </c>
      <c r="D1076" t="s">
        <v>30</v>
      </c>
      <c r="E1076">
        <v>4425</v>
      </c>
      <c r="F1076">
        <v>3127.35</v>
      </c>
      <c r="G1076">
        <v>1297.6500000000001</v>
      </c>
      <c r="H1076">
        <v>41.49</v>
      </c>
      <c r="I1076" t="s">
        <v>111</v>
      </c>
    </row>
    <row r="1077" spans="1:9" x14ac:dyDescent="0.25">
      <c r="A1077" s="1">
        <v>46163</v>
      </c>
      <c r="B1077" t="s">
        <v>112</v>
      </c>
      <c r="C1077" s="2">
        <v>98831760769</v>
      </c>
      <c r="D1077" t="s">
        <v>30</v>
      </c>
      <c r="E1077">
        <v>4425</v>
      </c>
      <c r="F1077">
        <v>2596.8000000000002</v>
      </c>
      <c r="G1077">
        <v>1828.2</v>
      </c>
      <c r="H1077">
        <v>70.400000000000006</v>
      </c>
      <c r="I1077" t="s">
        <v>111</v>
      </c>
    </row>
    <row r="1078" spans="1:9" x14ac:dyDescent="0.25">
      <c r="A1078" s="1">
        <v>46163</v>
      </c>
      <c r="B1078" t="s">
        <v>112</v>
      </c>
      <c r="C1078" s="2">
        <v>99124260357</v>
      </c>
      <c r="D1078" t="s">
        <v>30</v>
      </c>
      <c r="E1078">
        <v>4425</v>
      </c>
      <c r="F1078">
        <v>3127.35</v>
      </c>
      <c r="G1078">
        <v>1297.6500000000001</v>
      </c>
      <c r="H1078">
        <v>41.49</v>
      </c>
      <c r="I1078" t="s">
        <v>111</v>
      </c>
    </row>
    <row r="1079" spans="1:9" x14ac:dyDescent="0.25">
      <c r="A1079" s="1">
        <v>46163</v>
      </c>
      <c r="B1079" t="s">
        <v>112</v>
      </c>
      <c r="C1079" s="2">
        <v>99162345852</v>
      </c>
      <c r="D1079" t="s">
        <v>30</v>
      </c>
      <c r="E1079">
        <v>4425</v>
      </c>
      <c r="F1079">
        <v>3127.35</v>
      </c>
      <c r="G1079">
        <v>1297.6500000000001</v>
      </c>
      <c r="H1079">
        <v>41.49</v>
      </c>
      <c r="I1079" t="s">
        <v>111</v>
      </c>
    </row>
    <row r="1080" spans="1:9" x14ac:dyDescent="0.25">
      <c r="A1080" s="1">
        <v>46163</v>
      </c>
      <c r="B1080" t="s">
        <v>112</v>
      </c>
      <c r="C1080" s="2">
        <v>99180968159</v>
      </c>
      <c r="D1080" t="s">
        <v>30</v>
      </c>
      <c r="E1080">
        <v>4425</v>
      </c>
      <c r="F1080">
        <v>3149.41</v>
      </c>
      <c r="G1080">
        <v>1275.5899999999999</v>
      </c>
      <c r="H1080">
        <v>40.5</v>
      </c>
      <c r="I1080" t="s">
        <v>111</v>
      </c>
    </row>
    <row r="1081" spans="1:9" x14ac:dyDescent="0.25">
      <c r="A1081" s="1">
        <v>46163</v>
      </c>
      <c r="B1081" t="s">
        <v>112</v>
      </c>
      <c r="C1081" s="2">
        <v>99317347353</v>
      </c>
      <c r="D1081" t="s">
        <v>30</v>
      </c>
      <c r="E1081">
        <v>4425</v>
      </c>
      <c r="F1081">
        <v>3127.35</v>
      </c>
      <c r="G1081">
        <v>1297.6500000000001</v>
      </c>
      <c r="H1081">
        <v>41.49</v>
      </c>
      <c r="I1081" t="s">
        <v>111</v>
      </c>
    </row>
    <row r="1082" spans="1:9" x14ac:dyDescent="0.25">
      <c r="A1082" s="1">
        <v>46163</v>
      </c>
      <c r="B1082" t="s">
        <v>112</v>
      </c>
      <c r="C1082" s="2">
        <v>99372642054</v>
      </c>
      <c r="D1082" t="s">
        <v>30</v>
      </c>
      <c r="E1082">
        <v>4425</v>
      </c>
      <c r="F1082">
        <v>3116.68</v>
      </c>
      <c r="G1082">
        <v>1308.32</v>
      </c>
      <c r="H1082">
        <v>41.98</v>
      </c>
      <c r="I1082" t="s">
        <v>111</v>
      </c>
    </row>
    <row r="1083" spans="1:9" x14ac:dyDescent="0.25">
      <c r="A1083" s="1">
        <v>46163</v>
      </c>
      <c r="B1083" t="s">
        <v>112</v>
      </c>
      <c r="C1083" s="2">
        <v>99395463350</v>
      </c>
      <c r="D1083" t="s">
        <v>30</v>
      </c>
      <c r="E1083">
        <v>4425</v>
      </c>
      <c r="F1083">
        <v>3149.41</v>
      </c>
      <c r="G1083">
        <v>1275.5899999999999</v>
      </c>
      <c r="H1083">
        <v>40.5</v>
      </c>
      <c r="I1083" t="s">
        <v>111</v>
      </c>
    </row>
    <row r="1084" spans="1:9" x14ac:dyDescent="0.25">
      <c r="A1084" s="1">
        <v>46163</v>
      </c>
      <c r="B1084" t="s">
        <v>112</v>
      </c>
      <c r="C1084" s="2">
        <v>99592165263</v>
      </c>
      <c r="D1084" t="s">
        <v>30</v>
      </c>
      <c r="E1084">
        <v>4425</v>
      </c>
      <c r="F1084">
        <v>3127.35</v>
      </c>
      <c r="G1084">
        <v>1297.6500000000001</v>
      </c>
      <c r="H1084">
        <v>41.49</v>
      </c>
      <c r="I1084" t="s">
        <v>111</v>
      </c>
    </row>
    <row r="1085" spans="1:9" x14ac:dyDescent="0.25">
      <c r="A1085" s="1">
        <v>46163</v>
      </c>
      <c r="B1085" t="s">
        <v>112</v>
      </c>
      <c r="C1085" s="2">
        <v>99671243760</v>
      </c>
      <c r="D1085" t="s">
        <v>30</v>
      </c>
      <c r="E1085">
        <v>4425</v>
      </c>
      <c r="F1085">
        <v>3127.35</v>
      </c>
      <c r="G1085">
        <v>1297.6500000000001</v>
      </c>
      <c r="H1085">
        <v>41.49</v>
      </c>
      <c r="I1085" t="s">
        <v>111</v>
      </c>
    </row>
    <row r="1086" spans="1:9" x14ac:dyDescent="0.25">
      <c r="A1086" s="1">
        <v>46163</v>
      </c>
      <c r="B1086" t="s">
        <v>112</v>
      </c>
      <c r="C1086" s="2">
        <v>99703164269</v>
      </c>
      <c r="D1086" t="s">
        <v>30</v>
      </c>
      <c r="E1086">
        <v>4425</v>
      </c>
      <c r="F1086">
        <v>3067.64</v>
      </c>
      <c r="G1086">
        <v>1357.36</v>
      </c>
      <c r="H1086">
        <v>44.25</v>
      </c>
      <c r="I1086" t="s">
        <v>111</v>
      </c>
    </row>
    <row r="1087" spans="1:9" x14ac:dyDescent="0.25">
      <c r="A1087" s="1">
        <v>46163</v>
      </c>
      <c r="B1087" t="s">
        <v>112</v>
      </c>
      <c r="C1087" s="2">
        <v>99719743659</v>
      </c>
      <c r="D1087" t="s">
        <v>30</v>
      </c>
      <c r="E1087">
        <v>4425</v>
      </c>
      <c r="F1087">
        <v>3116.68</v>
      </c>
      <c r="G1087">
        <v>1308.32</v>
      </c>
      <c r="H1087">
        <v>41.98</v>
      </c>
      <c r="I1087" t="s">
        <v>111</v>
      </c>
    </row>
    <row r="1088" spans="1:9" x14ac:dyDescent="0.25">
      <c r="A1088" s="1">
        <v>46163</v>
      </c>
      <c r="B1088" t="s">
        <v>112</v>
      </c>
      <c r="C1088" s="2">
        <v>99809168765</v>
      </c>
      <c r="D1088" t="s">
        <v>30</v>
      </c>
      <c r="E1088">
        <v>4425</v>
      </c>
      <c r="F1088">
        <v>3067.64</v>
      </c>
      <c r="G1088">
        <v>1357.36</v>
      </c>
      <c r="H1088">
        <v>44.25</v>
      </c>
      <c r="I1088" t="s">
        <v>111</v>
      </c>
    </row>
    <row r="1089" spans="1:9" x14ac:dyDescent="0.25">
      <c r="A1089" s="1">
        <v>46163</v>
      </c>
      <c r="B1089" t="s">
        <v>112</v>
      </c>
      <c r="C1089" s="2">
        <v>99978847067</v>
      </c>
      <c r="D1089" t="s">
        <v>30</v>
      </c>
      <c r="E1089">
        <v>4425</v>
      </c>
      <c r="F1089">
        <v>3116.68</v>
      </c>
      <c r="G1089">
        <v>1308.32</v>
      </c>
      <c r="H1089">
        <v>41.98</v>
      </c>
      <c r="I1089" t="s">
        <v>111</v>
      </c>
    </row>
    <row r="1090" spans="1:9" x14ac:dyDescent="0.25">
      <c r="A1090" s="1">
        <v>46163</v>
      </c>
      <c r="B1090" t="s">
        <v>539</v>
      </c>
      <c r="C1090" s="2" t="s">
        <v>681</v>
      </c>
      <c r="D1090" t="s">
        <v>30</v>
      </c>
      <c r="E1090">
        <v>1620</v>
      </c>
      <c r="F1090">
        <v>1320.9</v>
      </c>
      <c r="G1090">
        <v>299.10000000000002</v>
      </c>
      <c r="H1090">
        <v>22.64</v>
      </c>
      <c r="I1090" t="s">
        <v>18</v>
      </c>
    </row>
    <row r="1091" spans="1:9" x14ac:dyDescent="0.25">
      <c r="A1091" s="1">
        <v>46163</v>
      </c>
      <c r="B1091" t="s">
        <v>539</v>
      </c>
      <c r="C1091" s="2" t="s">
        <v>682</v>
      </c>
      <c r="D1091" t="s">
        <v>30</v>
      </c>
      <c r="E1091">
        <v>1620</v>
      </c>
      <c r="F1091">
        <v>1320.9</v>
      </c>
      <c r="G1091">
        <v>299.10000000000002</v>
      </c>
      <c r="H1091">
        <v>22.64</v>
      </c>
      <c r="I1091" t="s">
        <v>18</v>
      </c>
    </row>
    <row r="1092" spans="1:9" x14ac:dyDescent="0.25">
      <c r="A1092" s="1">
        <v>46163</v>
      </c>
      <c r="B1092" t="s">
        <v>539</v>
      </c>
      <c r="C1092" s="2" t="s">
        <v>683</v>
      </c>
      <c r="D1092" t="s">
        <v>30</v>
      </c>
      <c r="E1092">
        <v>1620</v>
      </c>
      <c r="F1092">
        <v>1320.9</v>
      </c>
      <c r="G1092">
        <v>299.10000000000002</v>
      </c>
      <c r="H1092">
        <v>22.64</v>
      </c>
      <c r="I1092" t="s">
        <v>18</v>
      </c>
    </row>
    <row r="1093" spans="1:9" x14ac:dyDescent="0.25">
      <c r="A1093" s="1">
        <v>46163</v>
      </c>
      <c r="B1093" t="s">
        <v>539</v>
      </c>
      <c r="C1093" s="2" t="s">
        <v>684</v>
      </c>
      <c r="D1093" t="s">
        <v>30</v>
      </c>
      <c r="E1093">
        <v>1620</v>
      </c>
      <c r="F1093">
        <v>1320.9</v>
      </c>
      <c r="G1093">
        <v>299.10000000000002</v>
      </c>
      <c r="H1093">
        <v>22.64</v>
      </c>
      <c r="I1093" t="s">
        <v>18</v>
      </c>
    </row>
    <row r="1094" spans="1:9" x14ac:dyDescent="0.25">
      <c r="A1094" s="1">
        <v>46163</v>
      </c>
      <c r="B1094" t="s">
        <v>539</v>
      </c>
      <c r="C1094" s="2" t="s">
        <v>685</v>
      </c>
      <c r="D1094" t="s">
        <v>30</v>
      </c>
      <c r="E1094">
        <v>1620</v>
      </c>
      <c r="F1094">
        <v>1320.9</v>
      </c>
      <c r="G1094">
        <v>299.10000000000002</v>
      </c>
      <c r="H1094">
        <v>22.64</v>
      </c>
      <c r="I1094" t="s">
        <v>18</v>
      </c>
    </row>
    <row r="1095" spans="1:9" x14ac:dyDescent="0.25">
      <c r="A1095" s="1">
        <v>46163</v>
      </c>
      <c r="B1095" t="s">
        <v>539</v>
      </c>
      <c r="C1095" s="2" t="s">
        <v>686</v>
      </c>
      <c r="D1095" t="s">
        <v>30</v>
      </c>
      <c r="E1095">
        <v>1620</v>
      </c>
      <c r="F1095">
        <v>1320.9</v>
      </c>
      <c r="G1095">
        <v>299.10000000000002</v>
      </c>
      <c r="H1095">
        <v>22.64</v>
      </c>
      <c r="I1095" t="s">
        <v>18</v>
      </c>
    </row>
    <row r="1096" spans="1:9" x14ac:dyDescent="0.25">
      <c r="A1096" s="1">
        <v>46163</v>
      </c>
      <c r="B1096" t="s">
        <v>687</v>
      </c>
      <c r="C1096" s="2" t="s">
        <v>688</v>
      </c>
      <c r="E1096">
        <v>2100</v>
      </c>
      <c r="F1096">
        <v>1513.37</v>
      </c>
      <c r="G1096">
        <v>586.63</v>
      </c>
      <c r="H1096">
        <v>38.76</v>
      </c>
      <c r="I1096" t="s">
        <v>272</v>
      </c>
    </row>
    <row r="1097" spans="1:9" x14ac:dyDescent="0.25">
      <c r="A1097" s="1">
        <v>46163</v>
      </c>
      <c r="B1097" t="s">
        <v>116</v>
      </c>
      <c r="C1097" s="2" t="s">
        <v>689</v>
      </c>
      <c r="D1097" t="s">
        <v>30</v>
      </c>
      <c r="E1097">
        <v>1220</v>
      </c>
      <c r="F1097">
        <v>1034.56</v>
      </c>
      <c r="G1097">
        <v>185.44</v>
      </c>
      <c r="H1097">
        <v>17.920000000000002</v>
      </c>
      <c r="I1097" t="s">
        <v>111</v>
      </c>
    </row>
    <row r="1098" spans="1:9" x14ac:dyDescent="0.25">
      <c r="A1098" s="1">
        <v>46163</v>
      </c>
      <c r="B1098" t="s">
        <v>116</v>
      </c>
      <c r="C1098" s="2" t="s">
        <v>690</v>
      </c>
      <c r="D1098" t="s">
        <v>30</v>
      </c>
      <c r="E1098">
        <v>1220</v>
      </c>
      <c r="F1098">
        <v>1034.56</v>
      </c>
      <c r="G1098">
        <v>185.44</v>
      </c>
      <c r="H1098">
        <v>17.920000000000002</v>
      </c>
      <c r="I1098" t="s">
        <v>111</v>
      </c>
    </row>
    <row r="1099" spans="1:9" x14ac:dyDescent="0.25">
      <c r="A1099" s="1">
        <v>46163</v>
      </c>
      <c r="B1099" t="s">
        <v>116</v>
      </c>
      <c r="C1099" s="2" t="s">
        <v>691</v>
      </c>
      <c r="D1099" t="s">
        <v>30</v>
      </c>
      <c r="E1099">
        <v>1220</v>
      </c>
      <c r="F1099">
        <v>1034.56</v>
      </c>
      <c r="G1099">
        <v>185.44</v>
      </c>
      <c r="H1099">
        <v>17.920000000000002</v>
      </c>
      <c r="I1099" t="s">
        <v>111</v>
      </c>
    </row>
    <row r="1100" spans="1:9" x14ac:dyDescent="0.25">
      <c r="A1100" s="1">
        <v>46163</v>
      </c>
      <c r="B1100" t="s">
        <v>116</v>
      </c>
      <c r="C1100" s="2" t="s">
        <v>692</v>
      </c>
      <c r="D1100" t="s">
        <v>30</v>
      </c>
      <c r="E1100">
        <v>1220</v>
      </c>
      <c r="F1100">
        <v>1034.56</v>
      </c>
      <c r="G1100">
        <v>185.44</v>
      </c>
      <c r="H1100">
        <v>17.920000000000002</v>
      </c>
      <c r="I1100" t="s">
        <v>111</v>
      </c>
    </row>
    <row r="1101" spans="1:9" x14ac:dyDescent="0.25">
      <c r="A1101" s="1">
        <v>46163</v>
      </c>
      <c r="B1101" t="s">
        <v>116</v>
      </c>
      <c r="C1101" s="2" t="s">
        <v>693</v>
      </c>
      <c r="D1101" t="s">
        <v>30</v>
      </c>
      <c r="E1101">
        <v>1220</v>
      </c>
      <c r="F1101">
        <v>1034.56</v>
      </c>
      <c r="G1101">
        <v>185.44</v>
      </c>
      <c r="H1101">
        <v>17.920000000000002</v>
      </c>
      <c r="I1101" t="s">
        <v>111</v>
      </c>
    </row>
    <row r="1102" spans="1:9" x14ac:dyDescent="0.25">
      <c r="A1102" s="1">
        <v>46163</v>
      </c>
      <c r="B1102" t="s">
        <v>116</v>
      </c>
      <c r="C1102" s="2" t="s">
        <v>694</v>
      </c>
      <c r="D1102" t="s">
        <v>30</v>
      </c>
      <c r="E1102">
        <v>1220</v>
      </c>
      <c r="F1102">
        <v>1013.35</v>
      </c>
      <c r="G1102">
        <v>206.65</v>
      </c>
      <c r="H1102">
        <v>20.39</v>
      </c>
      <c r="I1102" t="s">
        <v>111</v>
      </c>
    </row>
    <row r="1103" spans="1:9" x14ac:dyDescent="0.25">
      <c r="A1103" s="1">
        <v>46163</v>
      </c>
      <c r="B1103" t="s">
        <v>116</v>
      </c>
      <c r="C1103" s="2" t="s">
        <v>695</v>
      </c>
      <c r="D1103" t="s">
        <v>30</v>
      </c>
      <c r="E1103">
        <v>1220</v>
      </c>
      <c r="F1103">
        <v>1013.35</v>
      </c>
      <c r="G1103">
        <v>206.65</v>
      </c>
      <c r="H1103">
        <v>20.39</v>
      </c>
      <c r="I1103" t="s">
        <v>111</v>
      </c>
    </row>
    <row r="1104" spans="1:9" x14ac:dyDescent="0.25">
      <c r="A1104" s="1">
        <v>46163</v>
      </c>
      <c r="B1104" t="s">
        <v>116</v>
      </c>
      <c r="C1104" s="2" t="s">
        <v>696</v>
      </c>
      <c r="D1104" t="s">
        <v>30</v>
      </c>
      <c r="E1104">
        <v>1220</v>
      </c>
      <c r="F1104">
        <v>1013.35</v>
      </c>
      <c r="G1104">
        <v>206.65</v>
      </c>
      <c r="H1104">
        <v>20.39</v>
      </c>
      <c r="I1104" t="s">
        <v>111</v>
      </c>
    </row>
    <row r="1105" spans="1:10" x14ac:dyDescent="0.25">
      <c r="A1105" s="1">
        <v>46163</v>
      </c>
      <c r="B1105" t="s">
        <v>116</v>
      </c>
      <c r="C1105" s="2" t="s">
        <v>697</v>
      </c>
      <c r="D1105" t="s">
        <v>30</v>
      </c>
      <c r="E1105">
        <v>1220</v>
      </c>
      <c r="F1105">
        <v>1034.56</v>
      </c>
      <c r="G1105">
        <v>185.44</v>
      </c>
      <c r="H1105">
        <v>17.920000000000002</v>
      </c>
      <c r="I1105" t="s">
        <v>111</v>
      </c>
    </row>
    <row r="1106" spans="1:10" x14ac:dyDescent="0.25">
      <c r="A1106" s="1">
        <v>46163</v>
      </c>
      <c r="B1106" t="s">
        <v>116</v>
      </c>
      <c r="C1106" s="2" t="s">
        <v>698</v>
      </c>
      <c r="D1106" t="s">
        <v>30</v>
      </c>
      <c r="E1106">
        <v>1220</v>
      </c>
      <c r="F1106">
        <v>1034.56</v>
      </c>
      <c r="G1106">
        <v>185.44</v>
      </c>
      <c r="H1106">
        <v>17.920000000000002</v>
      </c>
      <c r="I1106" t="s">
        <v>111</v>
      </c>
    </row>
    <row r="1107" spans="1:10" x14ac:dyDescent="0.25">
      <c r="A1107" s="1">
        <v>46163</v>
      </c>
      <c r="B1107" t="s">
        <v>116</v>
      </c>
      <c r="C1107" s="2" t="s">
        <v>699</v>
      </c>
      <c r="D1107" t="s">
        <v>30</v>
      </c>
      <c r="E1107">
        <v>1220</v>
      </c>
      <c r="F1107">
        <v>1034.56</v>
      </c>
      <c r="G1107">
        <v>185.44</v>
      </c>
      <c r="H1107">
        <v>17.920000000000002</v>
      </c>
      <c r="I1107" t="s">
        <v>111</v>
      </c>
    </row>
    <row r="1108" spans="1:10" x14ac:dyDescent="0.25">
      <c r="A1108" s="1">
        <v>46163</v>
      </c>
      <c r="B1108" t="s">
        <v>116</v>
      </c>
      <c r="C1108" s="2" t="s">
        <v>700</v>
      </c>
      <c r="D1108" t="s">
        <v>30</v>
      </c>
      <c r="E1108">
        <v>1220</v>
      </c>
      <c r="F1108">
        <v>1034.92</v>
      </c>
      <c r="G1108">
        <v>185.08</v>
      </c>
      <c r="H1108">
        <v>17.88</v>
      </c>
      <c r="I1108" t="s">
        <v>111</v>
      </c>
    </row>
    <row r="1109" spans="1:10" x14ac:dyDescent="0.25">
      <c r="A1109" s="1">
        <v>46163</v>
      </c>
      <c r="B1109" t="s">
        <v>116</v>
      </c>
      <c r="C1109" s="2" t="s">
        <v>701</v>
      </c>
      <c r="D1109" t="s">
        <v>30</v>
      </c>
      <c r="E1109">
        <v>1220</v>
      </c>
      <c r="F1109">
        <v>699.5</v>
      </c>
      <c r="G1109">
        <v>520.5</v>
      </c>
      <c r="H1109">
        <v>74.41</v>
      </c>
      <c r="I1109" t="s">
        <v>111</v>
      </c>
    </row>
    <row r="1110" spans="1:10" x14ac:dyDescent="0.25">
      <c r="A1110" s="1">
        <v>46163</v>
      </c>
      <c r="B1110" t="s">
        <v>116</v>
      </c>
      <c r="C1110" s="2" t="s">
        <v>702</v>
      </c>
      <c r="D1110" t="s">
        <v>30</v>
      </c>
      <c r="E1110">
        <v>1220</v>
      </c>
      <c r="F1110">
        <v>1013.35</v>
      </c>
      <c r="G1110">
        <v>206.65</v>
      </c>
      <c r="H1110">
        <v>20.39</v>
      </c>
      <c r="I1110" t="s">
        <v>111</v>
      </c>
    </row>
    <row r="1111" spans="1:10" x14ac:dyDescent="0.25">
      <c r="A1111" s="1">
        <v>46163</v>
      </c>
      <c r="B1111" t="s">
        <v>116</v>
      </c>
      <c r="C1111" s="2" t="s">
        <v>703</v>
      </c>
      <c r="D1111" t="s">
        <v>30</v>
      </c>
      <c r="E1111">
        <v>1220</v>
      </c>
      <c r="F1111">
        <v>1013.35</v>
      </c>
      <c r="G1111">
        <v>206.65</v>
      </c>
      <c r="H1111">
        <v>20.39</v>
      </c>
      <c r="I1111" t="s">
        <v>111</v>
      </c>
    </row>
    <row r="1112" spans="1:10" x14ac:dyDescent="0.25">
      <c r="A1112" s="1">
        <v>46163</v>
      </c>
      <c r="B1112" t="s">
        <v>116</v>
      </c>
      <c r="C1112" s="2" t="s">
        <v>704</v>
      </c>
      <c r="D1112" t="s">
        <v>30</v>
      </c>
      <c r="E1112">
        <v>1220</v>
      </c>
      <c r="F1112">
        <v>1013.35</v>
      </c>
      <c r="G1112">
        <v>206.65</v>
      </c>
      <c r="H1112">
        <v>20.39</v>
      </c>
      <c r="I1112" t="s">
        <v>111</v>
      </c>
    </row>
    <row r="1113" spans="1:10" x14ac:dyDescent="0.25">
      <c r="A1113" s="1">
        <v>46163</v>
      </c>
      <c r="B1113" t="s">
        <v>116</v>
      </c>
      <c r="C1113" s="2" t="s">
        <v>705</v>
      </c>
      <c r="D1113" t="s">
        <v>30</v>
      </c>
      <c r="E1113">
        <v>1220</v>
      </c>
      <c r="F1113">
        <v>1013.35</v>
      </c>
      <c r="G1113">
        <v>206.65</v>
      </c>
      <c r="H1113">
        <v>20.39</v>
      </c>
      <c r="I1113" t="s">
        <v>111</v>
      </c>
    </row>
    <row r="1114" spans="1:10" x14ac:dyDescent="0.25">
      <c r="A1114" s="1">
        <v>46163</v>
      </c>
      <c r="B1114" t="s">
        <v>116</v>
      </c>
      <c r="C1114" s="2" t="s">
        <v>706</v>
      </c>
      <c r="D1114" t="s">
        <v>30</v>
      </c>
      <c r="E1114">
        <v>1220</v>
      </c>
      <c r="F1114">
        <v>1034.56</v>
      </c>
      <c r="G1114">
        <v>185.44</v>
      </c>
      <c r="H1114">
        <v>17.920000000000002</v>
      </c>
      <c r="I1114" t="s">
        <v>111</v>
      </c>
    </row>
    <row r="1115" spans="1:10" x14ac:dyDescent="0.25">
      <c r="A1115" s="1">
        <v>46163</v>
      </c>
      <c r="B1115" t="s">
        <v>116</v>
      </c>
      <c r="C1115" s="2" t="s">
        <v>707</v>
      </c>
      <c r="D1115" t="s">
        <v>30</v>
      </c>
      <c r="E1115">
        <v>1220</v>
      </c>
      <c r="F1115">
        <v>1013.35</v>
      </c>
      <c r="G1115">
        <v>206.65</v>
      </c>
      <c r="H1115">
        <v>20.39</v>
      </c>
      <c r="I1115" t="s">
        <v>111</v>
      </c>
    </row>
    <row r="1116" spans="1:10" x14ac:dyDescent="0.25">
      <c r="A1116" s="1">
        <v>46163</v>
      </c>
      <c r="B1116" t="s">
        <v>116</v>
      </c>
      <c r="C1116" s="2" t="s">
        <v>708</v>
      </c>
      <c r="D1116" t="s">
        <v>30</v>
      </c>
      <c r="E1116">
        <v>1220</v>
      </c>
      <c r="F1116">
        <v>1034.56</v>
      </c>
      <c r="G1116">
        <v>185.44</v>
      </c>
      <c r="H1116">
        <v>17.920000000000002</v>
      </c>
      <c r="I1116" t="s">
        <v>111</v>
      </c>
    </row>
    <row r="1117" spans="1:10" x14ac:dyDescent="0.25">
      <c r="A1117" s="1">
        <v>46163</v>
      </c>
      <c r="B1117" t="s">
        <v>116</v>
      </c>
      <c r="C1117" s="2" t="s">
        <v>709</v>
      </c>
      <c r="D1117" t="s">
        <v>30</v>
      </c>
      <c r="E1117">
        <v>1220</v>
      </c>
      <c r="F1117">
        <v>1013.35</v>
      </c>
      <c r="G1117">
        <v>206.65</v>
      </c>
      <c r="H1117">
        <v>20.39</v>
      </c>
      <c r="I1117" t="s">
        <v>111</v>
      </c>
    </row>
    <row r="1118" spans="1:10" x14ac:dyDescent="0.25">
      <c r="A1118" s="1">
        <v>46164</v>
      </c>
      <c r="B1118" t="s">
        <v>71</v>
      </c>
      <c r="C1118" s="2">
        <v>352001995904556</v>
      </c>
      <c r="D1118" t="s">
        <v>710</v>
      </c>
      <c r="E1118">
        <v>3670</v>
      </c>
      <c r="F1118">
        <v>3748.5</v>
      </c>
      <c r="G1118">
        <v>-78.5</v>
      </c>
      <c r="H1118">
        <v>-2.09</v>
      </c>
      <c r="I1118" t="s">
        <v>18</v>
      </c>
      <c r="J1118" t="s">
        <v>26</v>
      </c>
    </row>
    <row r="1119" spans="1:10" x14ac:dyDescent="0.25">
      <c r="A1119" s="1">
        <v>46164</v>
      </c>
      <c r="B1119" t="s">
        <v>71</v>
      </c>
      <c r="C1119" s="2">
        <v>354289635237382</v>
      </c>
      <c r="D1119" t="s">
        <v>711</v>
      </c>
      <c r="E1119">
        <v>3880</v>
      </c>
      <c r="F1119">
        <v>3927</v>
      </c>
      <c r="G1119">
        <v>-47</v>
      </c>
      <c r="H1119">
        <v>-1.2</v>
      </c>
      <c r="I1119" t="s">
        <v>18</v>
      </c>
      <c r="J1119" t="s">
        <v>26</v>
      </c>
    </row>
    <row r="1120" spans="1:10" x14ac:dyDescent="0.25">
      <c r="A1120" s="1">
        <v>46164</v>
      </c>
      <c r="B1120" t="s">
        <v>71</v>
      </c>
      <c r="C1120" s="2">
        <v>354289635992069</v>
      </c>
      <c r="D1120" t="s">
        <v>93</v>
      </c>
      <c r="E1120">
        <v>3670</v>
      </c>
      <c r="F1120">
        <v>3748.5</v>
      </c>
      <c r="G1120">
        <v>-78.5</v>
      </c>
      <c r="H1120">
        <v>-2.09</v>
      </c>
      <c r="I1120" t="s">
        <v>18</v>
      </c>
      <c r="J1120" t="s">
        <v>26</v>
      </c>
    </row>
    <row r="1121" spans="1:10" x14ac:dyDescent="0.25">
      <c r="A1121" s="1">
        <v>46164</v>
      </c>
      <c r="B1121" t="s">
        <v>71</v>
      </c>
      <c r="C1121" s="2">
        <v>354289636526114</v>
      </c>
      <c r="D1121" t="s">
        <v>711</v>
      </c>
      <c r="E1121">
        <v>3880</v>
      </c>
      <c r="F1121">
        <v>3927</v>
      </c>
      <c r="G1121">
        <v>-47</v>
      </c>
      <c r="H1121">
        <v>-1.2</v>
      </c>
      <c r="I1121" t="s">
        <v>18</v>
      </c>
      <c r="J1121" t="s">
        <v>26</v>
      </c>
    </row>
    <row r="1122" spans="1:10" x14ac:dyDescent="0.25">
      <c r="A1122" s="1">
        <v>46164</v>
      </c>
      <c r="B1122" t="s">
        <v>71</v>
      </c>
      <c r="C1122" s="2">
        <v>354289637506040</v>
      </c>
      <c r="D1122" t="s">
        <v>711</v>
      </c>
      <c r="E1122">
        <v>3900</v>
      </c>
      <c r="F1122">
        <v>3927</v>
      </c>
      <c r="G1122">
        <v>-27</v>
      </c>
      <c r="H1122">
        <v>-0.69</v>
      </c>
      <c r="I1122" t="s">
        <v>18</v>
      </c>
      <c r="J1122" t="s">
        <v>26</v>
      </c>
    </row>
    <row r="1123" spans="1:10" x14ac:dyDescent="0.25">
      <c r="A1123" s="1">
        <v>46164</v>
      </c>
      <c r="B1123" t="s">
        <v>71</v>
      </c>
      <c r="C1123" s="2">
        <v>354289637775330</v>
      </c>
      <c r="D1123" t="s">
        <v>712</v>
      </c>
      <c r="E1123">
        <v>3880</v>
      </c>
      <c r="F1123">
        <v>3927</v>
      </c>
      <c r="G1123">
        <v>-47</v>
      </c>
      <c r="H1123">
        <v>-1.2</v>
      </c>
      <c r="I1123" t="s">
        <v>18</v>
      </c>
      <c r="J1123" t="s">
        <v>26</v>
      </c>
    </row>
    <row r="1124" spans="1:10" x14ac:dyDescent="0.25">
      <c r="A1124" s="1">
        <v>46164</v>
      </c>
      <c r="B1124" t="s">
        <v>71</v>
      </c>
      <c r="C1124" s="2">
        <v>354289637785289</v>
      </c>
      <c r="D1124" t="s">
        <v>711</v>
      </c>
      <c r="E1124">
        <v>3900</v>
      </c>
      <c r="F1124">
        <v>3927</v>
      </c>
      <c r="G1124">
        <v>-27</v>
      </c>
      <c r="H1124">
        <v>-0.69</v>
      </c>
      <c r="I1124" t="s">
        <v>18</v>
      </c>
      <c r="J1124" t="s">
        <v>26</v>
      </c>
    </row>
    <row r="1125" spans="1:10" x14ac:dyDescent="0.25">
      <c r="A1125" s="1">
        <v>46164</v>
      </c>
      <c r="B1125" t="s">
        <v>71</v>
      </c>
      <c r="C1125" s="2">
        <v>354289637791121</v>
      </c>
      <c r="D1125" t="s">
        <v>711</v>
      </c>
      <c r="E1125">
        <v>3900</v>
      </c>
      <c r="F1125">
        <v>3927</v>
      </c>
      <c r="G1125">
        <v>-27</v>
      </c>
      <c r="H1125">
        <v>-0.69</v>
      </c>
      <c r="I1125" t="s">
        <v>18</v>
      </c>
      <c r="J1125" t="s">
        <v>26</v>
      </c>
    </row>
    <row r="1126" spans="1:10" x14ac:dyDescent="0.25">
      <c r="A1126" s="1">
        <v>46164</v>
      </c>
      <c r="B1126" t="s">
        <v>71</v>
      </c>
      <c r="C1126" s="2">
        <v>355832514041596</v>
      </c>
      <c r="D1126" t="s">
        <v>710</v>
      </c>
      <c r="E1126">
        <v>3670</v>
      </c>
      <c r="F1126">
        <v>3748.5</v>
      </c>
      <c r="G1126">
        <v>-78.5</v>
      </c>
      <c r="H1126">
        <v>-2.09</v>
      </c>
      <c r="I1126" t="s">
        <v>18</v>
      </c>
      <c r="J1126" t="s">
        <v>26</v>
      </c>
    </row>
    <row r="1127" spans="1:10" x14ac:dyDescent="0.25">
      <c r="A1127" s="1">
        <v>46164</v>
      </c>
      <c r="B1127" t="s">
        <v>71</v>
      </c>
      <c r="C1127" s="2">
        <v>355832514630489</v>
      </c>
      <c r="D1127" t="s">
        <v>710</v>
      </c>
      <c r="E1127">
        <v>3670</v>
      </c>
      <c r="F1127">
        <v>3748.5</v>
      </c>
      <c r="G1127">
        <v>-78.5</v>
      </c>
      <c r="H1127">
        <v>-2.09</v>
      </c>
      <c r="I1127" t="s">
        <v>18</v>
      </c>
      <c r="J1127" t="s">
        <v>26</v>
      </c>
    </row>
    <row r="1128" spans="1:10" x14ac:dyDescent="0.25">
      <c r="A1128" s="1">
        <v>46164</v>
      </c>
      <c r="B1128" t="s">
        <v>71</v>
      </c>
      <c r="C1128" s="2">
        <v>355832515816186</v>
      </c>
      <c r="D1128" t="s">
        <v>92</v>
      </c>
      <c r="E1128">
        <v>3670</v>
      </c>
      <c r="F1128">
        <v>3748.5</v>
      </c>
      <c r="G1128">
        <v>-78.5</v>
      </c>
      <c r="H1128">
        <v>-2.09</v>
      </c>
      <c r="I1128" t="s">
        <v>18</v>
      </c>
      <c r="J1128" t="s">
        <v>26</v>
      </c>
    </row>
    <row r="1129" spans="1:10" x14ac:dyDescent="0.25">
      <c r="A1129" s="1">
        <v>46164</v>
      </c>
      <c r="B1129" t="s">
        <v>71</v>
      </c>
      <c r="C1129" s="2">
        <v>355981558956878</v>
      </c>
      <c r="D1129" t="s">
        <v>713</v>
      </c>
      <c r="E1129">
        <v>3870</v>
      </c>
      <c r="F1129">
        <v>3927</v>
      </c>
      <c r="G1129">
        <v>-57</v>
      </c>
      <c r="H1129">
        <v>-1.45</v>
      </c>
      <c r="I1129" t="s">
        <v>18</v>
      </c>
      <c r="J1129" t="s">
        <v>26</v>
      </c>
    </row>
    <row r="1130" spans="1:10" x14ac:dyDescent="0.25">
      <c r="A1130" s="1">
        <v>46164</v>
      </c>
      <c r="B1130" t="s">
        <v>32</v>
      </c>
      <c r="C1130" s="2">
        <v>350230970982855</v>
      </c>
      <c r="D1130" t="s">
        <v>710</v>
      </c>
      <c r="E1130">
        <v>4080</v>
      </c>
      <c r="F1130">
        <v>4105.5</v>
      </c>
      <c r="G1130">
        <v>-25.5</v>
      </c>
      <c r="H1130">
        <v>-0.62</v>
      </c>
      <c r="I1130" t="s">
        <v>18</v>
      </c>
      <c r="J1130" t="s">
        <v>26</v>
      </c>
    </row>
    <row r="1131" spans="1:10" x14ac:dyDescent="0.25">
      <c r="A1131" s="1">
        <v>46164</v>
      </c>
      <c r="B1131" t="s">
        <v>32</v>
      </c>
      <c r="C1131" s="2">
        <v>351205740193198</v>
      </c>
      <c r="D1131" t="s">
        <v>91</v>
      </c>
      <c r="E1131">
        <v>4250</v>
      </c>
      <c r="F1131">
        <v>4284</v>
      </c>
      <c r="G1131">
        <v>-34</v>
      </c>
      <c r="H1131">
        <v>-0.79</v>
      </c>
      <c r="I1131" t="s">
        <v>18</v>
      </c>
      <c r="J1131" t="s">
        <v>26</v>
      </c>
    </row>
    <row r="1132" spans="1:10" x14ac:dyDescent="0.25">
      <c r="A1132" s="1">
        <v>46164</v>
      </c>
      <c r="B1132" t="s">
        <v>32</v>
      </c>
      <c r="C1132" s="2">
        <v>351205740357207</v>
      </c>
      <c r="D1132" t="s">
        <v>91</v>
      </c>
      <c r="E1132">
        <v>4250</v>
      </c>
      <c r="F1132">
        <v>4284</v>
      </c>
      <c r="G1132">
        <v>-34</v>
      </c>
      <c r="H1132">
        <v>-0.79</v>
      </c>
      <c r="I1132" t="s">
        <v>18</v>
      </c>
      <c r="J1132" t="s">
        <v>26</v>
      </c>
    </row>
    <row r="1133" spans="1:10" x14ac:dyDescent="0.25">
      <c r="A1133" s="1">
        <v>46164</v>
      </c>
      <c r="B1133" t="s">
        <v>32</v>
      </c>
      <c r="C1133" s="2">
        <v>351668140216671</v>
      </c>
      <c r="D1133" t="s">
        <v>711</v>
      </c>
      <c r="E1133">
        <v>4200</v>
      </c>
      <c r="F1133">
        <v>4284</v>
      </c>
      <c r="G1133">
        <v>-84</v>
      </c>
      <c r="H1133">
        <v>-1.96</v>
      </c>
      <c r="I1133" t="s">
        <v>18</v>
      </c>
      <c r="J1133" t="s">
        <v>26</v>
      </c>
    </row>
    <row r="1134" spans="1:10" x14ac:dyDescent="0.25">
      <c r="A1134" s="1">
        <v>46164</v>
      </c>
      <c r="B1134" t="s">
        <v>32</v>
      </c>
      <c r="C1134" s="2">
        <v>351668140330795</v>
      </c>
      <c r="D1134" t="s">
        <v>711</v>
      </c>
      <c r="E1134">
        <v>4200</v>
      </c>
      <c r="F1134">
        <v>4284</v>
      </c>
      <c r="G1134">
        <v>-84</v>
      </c>
      <c r="H1134">
        <v>-1.96</v>
      </c>
      <c r="I1134" t="s">
        <v>18</v>
      </c>
      <c r="J1134" t="s">
        <v>26</v>
      </c>
    </row>
    <row r="1135" spans="1:10" x14ac:dyDescent="0.25">
      <c r="A1135" s="1">
        <v>46164</v>
      </c>
      <c r="B1135" t="s">
        <v>32</v>
      </c>
      <c r="C1135" s="2">
        <v>355101476672677</v>
      </c>
      <c r="D1135" t="s">
        <v>710</v>
      </c>
      <c r="E1135">
        <v>4080</v>
      </c>
      <c r="F1135">
        <v>4105.5</v>
      </c>
      <c r="G1135">
        <v>-25.5</v>
      </c>
      <c r="H1135">
        <v>-0.62</v>
      </c>
      <c r="I1135" t="s">
        <v>18</v>
      </c>
      <c r="J1135" t="s">
        <v>26</v>
      </c>
    </row>
    <row r="1136" spans="1:10" x14ac:dyDescent="0.25">
      <c r="A1136" s="1">
        <v>46164</v>
      </c>
      <c r="B1136" t="s">
        <v>32</v>
      </c>
      <c r="C1136" s="2">
        <v>358902517951922</v>
      </c>
      <c r="D1136" t="s">
        <v>714</v>
      </c>
      <c r="E1136">
        <v>4080</v>
      </c>
      <c r="F1136">
        <v>4105.5</v>
      </c>
      <c r="G1136">
        <v>-25.5</v>
      </c>
      <c r="H1136">
        <v>-0.62</v>
      </c>
      <c r="I1136" t="s">
        <v>18</v>
      </c>
      <c r="J1136" t="s">
        <v>26</v>
      </c>
    </row>
    <row r="1137" spans="1:10" x14ac:dyDescent="0.25">
      <c r="A1137" s="1">
        <v>46164</v>
      </c>
      <c r="B1137" t="s">
        <v>320</v>
      </c>
      <c r="C1137" s="2" t="s">
        <v>715</v>
      </c>
      <c r="D1137" t="s">
        <v>30</v>
      </c>
      <c r="E1137">
        <v>3075</v>
      </c>
      <c r="F1137">
        <v>2534.7199999999998</v>
      </c>
      <c r="G1137">
        <v>540.28</v>
      </c>
      <c r="H1137">
        <v>21.32</v>
      </c>
      <c r="I1137" t="s">
        <v>18</v>
      </c>
    </row>
    <row r="1138" spans="1:10" x14ac:dyDescent="0.25">
      <c r="A1138" s="1">
        <v>46165</v>
      </c>
      <c r="B1138" t="s">
        <v>270</v>
      </c>
      <c r="C1138" s="2" t="s">
        <v>716</v>
      </c>
      <c r="E1138">
        <v>2500</v>
      </c>
      <c r="F1138">
        <v>2492.75</v>
      </c>
      <c r="G1138">
        <v>7.25</v>
      </c>
      <c r="H1138">
        <v>0.28999999999999998</v>
      </c>
      <c r="I1138" t="s">
        <v>272</v>
      </c>
    </row>
    <row r="1139" spans="1:10" x14ac:dyDescent="0.25">
      <c r="A1139" s="1">
        <v>46165</v>
      </c>
      <c r="B1139" t="s">
        <v>32</v>
      </c>
      <c r="C1139" s="2">
        <v>350552890732981</v>
      </c>
      <c r="D1139" t="s">
        <v>35</v>
      </c>
      <c r="E1139">
        <v>3354.43</v>
      </c>
      <c r="F1139">
        <v>2960</v>
      </c>
      <c r="G1139">
        <v>394.43</v>
      </c>
      <c r="H1139">
        <v>13.33</v>
      </c>
      <c r="I1139" t="s">
        <v>36</v>
      </c>
    </row>
    <row r="1140" spans="1:10" x14ac:dyDescent="0.25">
      <c r="A1140" s="1">
        <v>46165</v>
      </c>
      <c r="B1140" t="s">
        <v>539</v>
      </c>
      <c r="C1140" s="2" t="s">
        <v>717</v>
      </c>
      <c r="D1140" t="s">
        <v>30</v>
      </c>
      <c r="E1140">
        <v>1640</v>
      </c>
      <c r="F1140">
        <v>1320.9</v>
      </c>
      <c r="G1140">
        <v>319.10000000000002</v>
      </c>
      <c r="H1140">
        <v>24.16</v>
      </c>
      <c r="I1140" t="s">
        <v>18</v>
      </c>
    </row>
    <row r="1141" spans="1:10" x14ac:dyDescent="0.25">
      <c r="A1141" s="1">
        <v>46165</v>
      </c>
      <c r="B1141" t="s">
        <v>539</v>
      </c>
      <c r="C1141" s="2" t="s">
        <v>718</v>
      </c>
      <c r="D1141" t="s">
        <v>30</v>
      </c>
      <c r="E1141">
        <v>1640</v>
      </c>
      <c r="F1141">
        <v>1320.9</v>
      </c>
      <c r="G1141">
        <v>319.10000000000002</v>
      </c>
      <c r="H1141">
        <v>24.16</v>
      </c>
      <c r="I1141" t="s">
        <v>18</v>
      </c>
    </row>
    <row r="1142" spans="1:10" x14ac:dyDescent="0.25">
      <c r="A1142" s="1">
        <v>46165</v>
      </c>
      <c r="B1142" t="s">
        <v>539</v>
      </c>
      <c r="C1142" s="2" t="s">
        <v>719</v>
      </c>
      <c r="D1142" t="s">
        <v>30</v>
      </c>
      <c r="E1142">
        <v>1640</v>
      </c>
      <c r="F1142">
        <v>1320.9</v>
      </c>
      <c r="G1142">
        <v>319.10000000000002</v>
      </c>
      <c r="H1142">
        <v>24.16</v>
      </c>
      <c r="I1142" t="s">
        <v>18</v>
      </c>
    </row>
    <row r="1143" spans="1:10" x14ac:dyDescent="0.25">
      <c r="A1143" s="1">
        <v>46165</v>
      </c>
      <c r="B1143" t="s">
        <v>539</v>
      </c>
      <c r="C1143" s="2" t="s">
        <v>720</v>
      </c>
      <c r="D1143" t="s">
        <v>30</v>
      </c>
      <c r="E1143">
        <v>1640</v>
      </c>
      <c r="F1143">
        <v>1320.9</v>
      </c>
      <c r="G1143">
        <v>319.10000000000002</v>
      </c>
      <c r="H1143">
        <v>24.16</v>
      </c>
      <c r="I1143" t="s">
        <v>18</v>
      </c>
    </row>
    <row r="1144" spans="1:10" x14ac:dyDescent="0.25">
      <c r="A1144" s="1">
        <v>46165</v>
      </c>
      <c r="B1144" t="s">
        <v>539</v>
      </c>
      <c r="C1144" s="2" t="s">
        <v>721</v>
      </c>
      <c r="D1144" t="s">
        <v>30</v>
      </c>
      <c r="E1144">
        <v>1640</v>
      </c>
      <c r="F1144">
        <v>1320.9</v>
      </c>
      <c r="G1144">
        <v>319.10000000000002</v>
      </c>
      <c r="H1144">
        <v>24.16</v>
      </c>
      <c r="I1144" t="s">
        <v>18</v>
      </c>
    </row>
    <row r="1145" spans="1:10" x14ac:dyDescent="0.25">
      <c r="A1145" s="1">
        <v>46165</v>
      </c>
      <c r="B1145" t="s">
        <v>722</v>
      </c>
      <c r="C1145" s="2" t="s">
        <v>723</v>
      </c>
      <c r="E1145">
        <v>1</v>
      </c>
      <c r="F1145">
        <v>1</v>
      </c>
      <c r="G1145">
        <v>0</v>
      </c>
      <c r="H1145">
        <v>0</v>
      </c>
      <c r="I1145" t="s">
        <v>724</v>
      </c>
      <c r="J1145" t="s">
        <v>68</v>
      </c>
    </row>
    <row r="1146" spans="1:10" x14ac:dyDescent="0.25">
      <c r="A1146" s="1">
        <v>46165</v>
      </c>
      <c r="B1146" t="s">
        <v>687</v>
      </c>
      <c r="C1146" s="2" t="s">
        <v>725</v>
      </c>
      <c r="E1146">
        <v>2049</v>
      </c>
      <c r="F1146">
        <v>1546</v>
      </c>
      <c r="G1146">
        <v>503</v>
      </c>
      <c r="H1146">
        <v>32.54</v>
      </c>
      <c r="I1146" t="s">
        <v>18</v>
      </c>
    </row>
    <row r="1147" spans="1:10" x14ac:dyDescent="0.25">
      <c r="A1147" s="1">
        <v>46165</v>
      </c>
      <c r="B1147" t="s">
        <v>116</v>
      </c>
      <c r="C1147" s="2" t="s">
        <v>726</v>
      </c>
      <c r="D1147" t="s">
        <v>30</v>
      </c>
      <c r="E1147">
        <v>1220</v>
      </c>
      <c r="F1147">
        <v>699.5</v>
      </c>
      <c r="G1147">
        <v>520.5</v>
      </c>
      <c r="H1147">
        <v>74.41</v>
      </c>
      <c r="I1147" t="s">
        <v>111</v>
      </c>
    </row>
    <row r="1148" spans="1:10" x14ac:dyDescent="0.25">
      <c r="A1148" s="1">
        <v>46165</v>
      </c>
      <c r="B1148" t="s">
        <v>116</v>
      </c>
      <c r="C1148" s="2" t="s">
        <v>727</v>
      </c>
      <c r="D1148" t="s">
        <v>30</v>
      </c>
      <c r="E1148">
        <v>1220</v>
      </c>
      <c r="F1148">
        <v>933.44</v>
      </c>
      <c r="G1148">
        <v>286.56</v>
      </c>
      <c r="H1148">
        <v>30.7</v>
      </c>
      <c r="I1148" t="s">
        <v>111</v>
      </c>
    </row>
    <row r="1149" spans="1:10" x14ac:dyDescent="0.25">
      <c r="A1149" s="1">
        <v>46165</v>
      </c>
      <c r="B1149" t="s">
        <v>116</v>
      </c>
      <c r="C1149" s="2" t="s">
        <v>728</v>
      </c>
      <c r="D1149" t="s">
        <v>30</v>
      </c>
      <c r="E1149">
        <v>1220</v>
      </c>
      <c r="F1149">
        <v>1013.35</v>
      </c>
      <c r="G1149">
        <v>206.65</v>
      </c>
      <c r="H1149">
        <v>20.39</v>
      </c>
      <c r="I1149" t="s">
        <v>111</v>
      </c>
    </row>
    <row r="1150" spans="1:10" x14ac:dyDescent="0.25">
      <c r="A1150" s="1">
        <v>46166</v>
      </c>
      <c r="B1150" t="s">
        <v>112</v>
      </c>
      <c r="C1150" s="2">
        <v>19426353553</v>
      </c>
      <c r="D1150" t="s">
        <v>30</v>
      </c>
      <c r="E1150">
        <v>4425</v>
      </c>
      <c r="F1150">
        <v>3149.41</v>
      </c>
      <c r="G1150">
        <v>1275.5899999999999</v>
      </c>
      <c r="H1150">
        <v>40.5</v>
      </c>
      <c r="I1150" t="s">
        <v>111</v>
      </c>
    </row>
    <row r="1151" spans="1:10" x14ac:dyDescent="0.25">
      <c r="A1151" s="1">
        <v>46166</v>
      </c>
      <c r="B1151" t="s">
        <v>112</v>
      </c>
      <c r="C1151" s="2">
        <v>29792558059</v>
      </c>
      <c r="D1151" t="s">
        <v>30</v>
      </c>
      <c r="E1151">
        <v>4425</v>
      </c>
      <c r="F1151">
        <v>3165.17</v>
      </c>
      <c r="G1151">
        <v>1259.83</v>
      </c>
      <c r="H1151">
        <v>39.799999999999997</v>
      </c>
      <c r="I1151" t="s">
        <v>111</v>
      </c>
    </row>
    <row r="1152" spans="1:10" x14ac:dyDescent="0.25">
      <c r="A1152" s="1">
        <v>46166</v>
      </c>
      <c r="B1152" t="s">
        <v>112</v>
      </c>
      <c r="C1152" s="2">
        <v>51433099466</v>
      </c>
      <c r="D1152" t="s">
        <v>30</v>
      </c>
      <c r="E1152">
        <v>4425</v>
      </c>
      <c r="F1152">
        <v>3438.78</v>
      </c>
      <c r="G1152">
        <v>986.22</v>
      </c>
      <c r="H1152">
        <v>28.68</v>
      </c>
      <c r="I1152" t="s">
        <v>729</v>
      </c>
    </row>
    <row r="1153" spans="1:9" x14ac:dyDescent="0.25">
      <c r="A1153" s="1">
        <v>46166</v>
      </c>
      <c r="B1153" t="s">
        <v>112</v>
      </c>
      <c r="C1153" s="2">
        <v>51510071438</v>
      </c>
      <c r="D1153" t="s">
        <v>30</v>
      </c>
      <c r="E1153">
        <v>4425</v>
      </c>
      <c r="F1153">
        <v>3438.78</v>
      </c>
      <c r="G1153">
        <v>986.22</v>
      </c>
      <c r="H1153">
        <v>28.68</v>
      </c>
      <c r="I1153" t="s">
        <v>729</v>
      </c>
    </row>
    <row r="1154" spans="1:9" x14ac:dyDescent="0.25">
      <c r="A1154" s="1">
        <v>46166</v>
      </c>
      <c r="B1154" t="s">
        <v>112</v>
      </c>
      <c r="C1154" s="2">
        <v>51526041499</v>
      </c>
      <c r="D1154" t="s">
        <v>30</v>
      </c>
      <c r="E1154">
        <v>4425</v>
      </c>
      <c r="F1154">
        <v>3438.78</v>
      </c>
      <c r="G1154">
        <v>986.22</v>
      </c>
      <c r="H1154">
        <v>28.68</v>
      </c>
      <c r="I1154" t="s">
        <v>729</v>
      </c>
    </row>
    <row r="1155" spans="1:9" x14ac:dyDescent="0.25">
      <c r="A1155" s="1">
        <v>46166</v>
      </c>
      <c r="B1155" t="s">
        <v>112</v>
      </c>
      <c r="C1155" s="2">
        <v>51546034476</v>
      </c>
      <c r="D1155" t="s">
        <v>30</v>
      </c>
      <c r="E1155">
        <v>4425</v>
      </c>
      <c r="F1155">
        <v>3149.41</v>
      </c>
      <c r="G1155">
        <v>1275.5899999999999</v>
      </c>
      <c r="H1155">
        <v>40.5</v>
      </c>
      <c r="I1155" t="s">
        <v>111</v>
      </c>
    </row>
    <row r="1156" spans="1:9" x14ac:dyDescent="0.25">
      <c r="A1156" s="1">
        <v>46166</v>
      </c>
      <c r="B1156" t="s">
        <v>112</v>
      </c>
      <c r="C1156" s="2">
        <v>61641094478</v>
      </c>
      <c r="D1156" t="s">
        <v>30</v>
      </c>
      <c r="E1156">
        <v>4425</v>
      </c>
      <c r="F1156">
        <v>3438.78</v>
      </c>
      <c r="G1156">
        <v>986.22</v>
      </c>
      <c r="H1156">
        <v>28.68</v>
      </c>
      <c r="I1156" t="s">
        <v>729</v>
      </c>
    </row>
    <row r="1157" spans="1:9" x14ac:dyDescent="0.25">
      <c r="A1157" s="1">
        <v>46166</v>
      </c>
      <c r="B1157" t="s">
        <v>112</v>
      </c>
      <c r="C1157" s="2">
        <v>69508562168</v>
      </c>
      <c r="D1157" t="s">
        <v>30</v>
      </c>
      <c r="E1157">
        <v>4425</v>
      </c>
      <c r="F1157">
        <v>3149.41</v>
      </c>
      <c r="G1157">
        <v>1275.5899999999999</v>
      </c>
      <c r="H1157">
        <v>40.5</v>
      </c>
      <c r="I1157" t="s">
        <v>111</v>
      </c>
    </row>
    <row r="1158" spans="1:9" x14ac:dyDescent="0.25">
      <c r="A1158" s="1">
        <v>46166</v>
      </c>
      <c r="B1158" t="s">
        <v>112</v>
      </c>
      <c r="C1158" s="2">
        <v>78895958947</v>
      </c>
      <c r="D1158" t="s">
        <v>30</v>
      </c>
      <c r="E1158">
        <v>4425</v>
      </c>
      <c r="F1158">
        <v>3149.41</v>
      </c>
      <c r="G1158">
        <v>1275.5899999999999</v>
      </c>
      <c r="H1158">
        <v>40.5</v>
      </c>
      <c r="I1158" t="s">
        <v>111</v>
      </c>
    </row>
    <row r="1159" spans="1:9" x14ac:dyDescent="0.25">
      <c r="A1159" s="1">
        <v>46166</v>
      </c>
      <c r="B1159" t="s">
        <v>112</v>
      </c>
      <c r="C1159" s="2">
        <v>79007759475</v>
      </c>
      <c r="D1159" t="s">
        <v>30</v>
      </c>
      <c r="E1159">
        <v>4425</v>
      </c>
      <c r="F1159">
        <v>3438.78</v>
      </c>
      <c r="G1159">
        <v>986.22</v>
      </c>
      <c r="H1159">
        <v>28.68</v>
      </c>
      <c r="I1159" t="s">
        <v>729</v>
      </c>
    </row>
    <row r="1160" spans="1:9" x14ac:dyDescent="0.25">
      <c r="A1160" s="1">
        <v>46166</v>
      </c>
      <c r="B1160" t="s">
        <v>112</v>
      </c>
      <c r="C1160" s="2">
        <v>79528663164</v>
      </c>
      <c r="D1160" t="s">
        <v>30</v>
      </c>
      <c r="E1160">
        <v>4425</v>
      </c>
      <c r="F1160">
        <v>3149.41</v>
      </c>
      <c r="G1160">
        <v>1275.5899999999999</v>
      </c>
      <c r="H1160">
        <v>40.5</v>
      </c>
      <c r="I1160" t="s">
        <v>111</v>
      </c>
    </row>
    <row r="1161" spans="1:9" x14ac:dyDescent="0.25">
      <c r="A1161" s="1">
        <v>46166</v>
      </c>
      <c r="B1161" t="s">
        <v>112</v>
      </c>
      <c r="C1161" s="2">
        <v>88342965552</v>
      </c>
      <c r="D1161" t="s">
        <v>30</v>
      </c>
      <c r="E1161">
        <v>4425</v>
      </c>
      <c r="F1161">
        <v>3143.18</v>
      </c>
      <c r="G1161">
        <v>1281.82</v>
      </c>
      <c r="H1161">
        <v>40.78</v>
      </c>
      <c r="I1161" t="s">
        <v>111</v>
      </c>
    </row>
    <row r="1162" spans="1:9" x14ac:dyDescent="0.25">
      <c r="A1162" s="1">
        <v>46166</v>
      </c>
      <c r="B1162" t="s">
        <v>112</v>
      </c>
      <c r="C1162" s="2">
        <v>99035064578</v>
      </c>
      <c r="D1162" t="s">
        <v>30</v>
      </c>
      <c r="E1162">
        <v>4425</v>
      </c>
      <c r="F1162">
        <v>3438.78</v>
      </c>
      <c r="G1162">
        <v>986.22</v>
      </c>
      <c r="H1162">
        <v>28.68</v>
      </c>
      <c r="I1162" t="s">
        <v>729</v>
      </c>
    </row>
    <row r="1163" spans="1:9" x14ac:dyDescent="0.25">
      <c r="A1163" s="1">
        <v>46166</v>
      </c>
      <c r="B1163" t="s">
        <v>112</v>
      </c>
      <c r="C1163" s="2">
        <v>99265347950</v>
      </c>
      <c r="D1163" t="s">
        <v>30</v>
      </c>
      <c r="E1163">
        <v>4425</v>
      </c>
      <c r="F1163">
        <v>3165.17</v>
      </c>
      <c r="G1163">
        <v>1259.83</v>
      </c>
      <c r="H1163">
        <v>39.799999999999997</v>
      </c>
      <c r="I1163" t="s">
        <v>111</v>
      </c>
    </row>
    <row r="1164" spans="1:9" x14ac:dyDescent="0.25">
      <c r="A1164" s="1">
        <v>46166</v>
      </c>
      <c r="B1164" t="s">
        <v>112</v>
      </c>
      <c r="C1164" s="2">
        <v>99667040367</v>
      </c>
      <c r="D1164" t="s">
        <v>30</v>
      </c>
      <c r="E1164">
        <v>4425</v>
      </c>
      <c r="F1164">
        <v>3438.78</v>
      </c>
      <c r="G1164">
        <v>986.22</v>
      </c>
      <c r="H1164">
        <v>28.68</v>
      </c>
      <c r="I1164" t="s">
        <v>729</v>
      </c>
    </row>
    <row r="1165" spans="1:9" x14ac:dyDescent="0.25">
      <c r="A1165" s="1">
        <v>46166</v>
      </c>
      <c r="B1165" t="s">
        <v>112</v>
      </c>
      <c r="C1165" s="2">
        <v>99942865042</v>
      </c>
      <c r="D1165" t="s">
        <v>30</v>
      </c>
      <c r="E1165">
        <v>4425</v>
      </c>
      <c r="F1165">
        <v>3438.78</v>
      </c>
      <c r="G1165">
        <v>986.22</v>
      </c>
      <c r="H1165">
        <v>28.68</v>
      </c>
      <c r="I1165" t="s">
        <v>729</v>
      </c>
    </row>
    <row r="1166" spans="1:9" x14ac:dyDescent="0.25">
      <c r="A1166" s="1">
        <v>46167</v>
      </c>
      <c r="B1166" t="s">
        <v>71</v>
      </c>
      <c r="C1166" s="2">
        <v>354289637149973</v>
      </c>
      <c r="D1166" t="s">
        <v>35</v>
      </c>
      <c r="E1166">
        <v>2680</v>
      </c>
      <c r="F1166">
        <v>2600</v>
      </c>
      <c r="G1166">
        <v>80</v>
      </c>
      <c r="H1166">
        <v>3.08</v>
      </c>
      <c r="I1166" t="s">
        <v>36</v>
      </c>
    </row>
    <row r="1167" spans="1:9" x14ac:dyDescent="0.25">
      <c r="A1167" s="1">
        <v>46167</v>
      </c>
      <c r="B1167" t="s">
        <v>32</v>
      </c>
      <c r="C1167" s="2">
        <v>353497856334207</v>
      </c>
      <c r="D1167" t="s">
        <v>72</v>
      </c>
      <c r="E1167">
        <v>3379.74</v>
      </c>
      <c r="F1167">
        <v>3034.5</v>
      </c>
      <c r="G1167">
        <v>345.24</v>
      </c>
      <c r="H1167">
        <v>11.38</v>
      </c>
      <c r="I1167" t="s">
        <v>18</v>
      </c>
    </row>
    <row r="1168" spans="1:9" x14ac:dyDescent="0.25">
      <c r="A1168" s="1">
        <v>46167</v>
      </c>
      <c r="B1168" t="s">
        <v>32</v>
      </c>
      <c r="C1168" s="2">
        <v>358206139332127</v>
      </c>
      <c r="D1168" t="s">
        <v>72</v>
      </c>
      <c r="E1168">
        <v>3392.4</v>
      </c>
      <c r="F1168">
        <v>3213</v>
      </c>
      <c r="G1168">
        <v>179.4</v>
      </c>
      <c r="H1168">
        <v>5.58</v>
      </c>
      <c r="I1168" t="s">
        <v>18</v>
      </c>
    </row>
    <row r="1169" spans="1:14" x14ac:dyDescent="0.25">
      <c r="A1169" s="1">
        <v>46167</v>
      </c>
      <c r="B1169" t="s">
        <v>539</v>
      </c>
      <c r="C1169" s="2" t="s">
        <v>730</v>
      </c>
      <c r="D1169" t="s">
        <v>30</v>
      </c>
      <c r="E1169">
        <v>1640</v>
      </c>
      <c r="F1169">
        <v>1320.9</v>
      </c>
      <c r="G1169">
        <v>319.10000000000002</v>
      </c>
      <c r="H1169">
        <v>24.16</v>
      </c>
      <c r="I1169" t="s">
        <v>18</v>
      </c>
    </row>
    <row r="1170" spans="1:14" x14ac:dyDescent="0.25">
      <c r="A1170" s="1">
        <v>46167</v>
      </c>
      <c r="B1170" t="s">
        <v>539</v>
      </c>
      <c r="C1170" s="2" t="s">
        <v>731</v>
      </c>
      <c r="D1170" t="s">
        <v>30</v>
      </c>
      <c r="E1170">
        <v>1640</v>
      </c>
      <c r="F1170">
        <v>1320.9</v>
      </c>
      <c r="G1170">
        <v>319.10000000000002</v>
      </c>
      <c r="H1170">
        <v>24.16</v>
      </c>
      <c r="I1170" t="s">
        <v>18</v>
      </c>
    </row>
    <row r="1171" spans="1:14" x14ac:dyDescent="0.25">
      <c r="A1171" s="1">
        <v>46167</v>
      </c>
      <c r="B1171" t="s">
        <v>539</v>
      </c>
      <c r="C1171" s="2" t="s">
        <v>732</v>
      </c>
      <c r="D1171" t="s">
        <v>30</v>
      </c>
      <c r="E1171">
        <v>1640</v>
      </c>
      <c r="F1171">
        <v>1320.9</v>
      </c>
      <c r="G1171">
        <v>319.10000000000002</v>
      </c>
      <c r="H1171">
        <v>24.16</v>
      </c>
      <c r="I1171" t="s">
        <v>18</v>
      </c>
    </row>
    <row r="1172" spans="1:14" x14ac:dyDescent="0.25">
      <c r="A1172" s="1">
        <v>46167</v>
      </c>
      <c r="B1172" t="s">
        <v>539</v>
      </c>
      <c r="C1172" s="2" t="s">
        <v>733</v>
      </c>
      <c r="D1172" t="s">
        <v>30</v>
      </c>
      <c r="E1172">
        <v>1640</v>
      </c>
      <c r="F1172">
        <v>1320.9</v>
      </c>
      <c r="G1172">
        <v>319.10000000000002</v>
      </c>
      <c r="H1172">
        <v>24.16</v>
      </c>
      <c r="I1172" t="s">
        <v>18</v>
      </c>
    </row>
    <row r="1173" spans="1:14" x14ac:dyDescent="0.25">
      <c r="A1173" s="1">
        <v>46167</v>
      </c>
      <c r="B1173" t="s">
        <v>320</v>
      </c>
      <c r="C1173" s="2" t="s">
        <v>734</v>
      </c>
      <c r="D1173" t="s">
        <v>30</v>
      </c>
      <c r="E1173">
        <v>3075</v>
      </c>
      <c r="F1173">
        <v>2534.7199999999998</v>
      </c>
      <c r="G1173">
        <v>540.28</v>
      </c>
      <c r="H1173">
        <v>21.32</v>
      </c>
      <c r="I1173" t="s">
        <v>18</v>
      </c>
    </row>
    <row r="1174" spans="1:14" x14ac:dyDescent="0.25">
      <c r="A1174" s="1">
        <v>46167</v>
      </c>
      <c r="B1174" t="s">
        <v>320</v>
      </c>
      <c r="C1174" s="2" t="s">
        <v>735</v>
      </c>
      <c r="D1174" t="s">
        <v>30</v>
      </c>
      <c r="E1174">
        <v>3075</v>
      </c>
      <c r="F1174">
        <v>2534.7199999999998</v>
      </c>
      <c r="G1174">
        <v>540.28</v>
      </c>
      <c r="H1174">
        <v>21.32</v>
      </c>
      <c r="I1174" t="s">
        <v>18</v>
      </c>
    </row>
    <row r="1175" spans="1:14" x14ac:dyDescent="0.25">
      <c r="A1175" s="1">
        <v>46167</v>
      </c>
      <c r="B1175" t="s">
        <v>687</v>
      </c>
      <c r="C1175" s="2" t="s">
        <v>736</v>
      </c>
      <c r="E1175">
        <v>2140</v>
      </c>
      <c r="F1175">
        <v>1527.53</v>
      </c>
      <c r="G1175">
        <v>612.47</v>
      </c>
      <c r="H1175">
        <v>40.1</v>
      </c>
      <c r="I1175" t="s">
        <v>111</v>
      </c>
    </row>
    <row r="1176" spans="1:14" x14ac:dyDescent="0.25">
      <c r="A1176" s="1">
        <v>46167</v>
      </c>
      <c r="B1176" t="s">
        <v>687</v>
      </c>
      <c r="C1176" s="2" t="s">
        <v>737</v>
      </c>
      <c r="E1176">
        <v>2140</v>
      </c>
      <c r="F1176">
        <v>1581.76</v>
      </c>
      <c r="G1176">
        <v>558.24</v>
      </c>
      <c r="H1176">
        <v>35.29</v>
      </c>
      <c r="I1176" t="s">
        <v>18</v>
      </c>
    </row>
    <row r="1177" spans="1:14" x14ac:dyDescent="0.25">
      <c r="A1177" s="1">
        <v>46167</v>
      </c>
      <c r="B1177" t="s">
        <v>687</v>
      </c>
      <c r="C1177" s="2" t="s">
        <v>738</v>
      </c>
      <c r="E1177">
        <v>2140</v>
      </c>
      <c r="F1177">
        <v>1581.76</v>
      </c>
      <c r="G1177">
        <v>558.24</v>
      </c>
      <c r="H1177">
        <v>35.29</v>
      </c>
      <c r="I1177" t="s">
        <v>18</v>
      </c>
    </row>
    <row r="1178" spans="1:14" x14ac:dyDescent="0.25">
      <c r="A1178" s="1">
        <v>46167</v>
      </c>
      <c r="B1178" t="s">
        <v>687</v>
      </c>
      <c r="C1178" s="2" t="s">
        <v>739</v>
      </c>
      <c r="E1178">
        <v>2140</v>
      </c>
      <c r="F1178">
        <v>1581.76</v>
      </c>
      <c r="G1178">
        <v>558.24</v>
      </c>
      <c r="H1178">
        <v>35.29</v>
      </c>
      <c r="I1178" t="s">
        <v>18</v>
      </c>
    </row>
    <row r="1180" spans="1:14" x14ac:dyDescent="0.25">
      <c r="A1180" t="s">
        <v>740</v>
      </c>
      <c r="E1180">
        <v>3</v>
      </c>
      <c r="F1180">
        <v>97</v>
      </c>
      <c r="G1180">
        <v>452.57</v>
      </c>
      <c r="H1180">
        <v>2</v>
      </c>
      <c r="I1180">
        <v>726</v>
      </c>
      <c r="J1180">
        <v>195.07</v>
      </c>
      <c r="K1180">
        <v>371</v>
      </c>
      <c r="L1180">
        <v>257.5</v>
      </c>
      <c r="M1180">
        <v>94</v>
      </c>
      <c r="N1180">
        <v>879.4</v>
      </c>
    </row>
  </sheetData>
  <autoFilter ref="A6:I1178" xr:uid="{9ABE09AF-B4B9-4159-8545-147BFE5227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4F53-1C9A-4E81-8D9B-DEADE2E7BBED}">
  <dimension ref="A1:K431"/>
  <sheetViews>
    <sheetView tabSelected="1" topLeftCell="A393" zoomScaleNormal="100" workbookViewId="0">
      <selection activeCell="C410" sqref="C410"/>
    </sheetView>
  </sheetViews>
  <sheetFormatPr defaultRowHeight="15" x14ac:dyDescent="0.25"/>
  <cols>
    <col min="1" max="1" width="21.42578125" customWidth="1"/>
    <col min="2" max="2" width="53" customWidth="1"/>
    <col min="3" max="4" width="31.140625" customWidth="1"/>
    <col min="5" max="5" width="18" customWidth="1"/>
    <col min="6" max="6" width="18.85546875" customWidth="1"/>
    <col min="7" max="7" width="15.7109375" style="9" customWidth="1"/>
    <col min="8" max="8" width="22" style="9" customWidth="1"/>
    <col min="9" max="9" width="19" customWidth="1"/>
    <col min="10" max="10" width="19.7109375" style="10" customWidth="1"/>
    <col min="11" max="11" width="23.140625" customWidth="1"/>
  </cols>
  <sheetData>
    <row r="1" spans="1:11" x14ac:dyDescent="0.25">
      <c r="A1" s="31" t="s">
        <v>5</v>
      </c>
      <c r="B1" s="31" t="s">
        <v>6</v>
      </c>
      <c r="C1" s="32" t="s">
        <v>7</v>
      </c>
      <c r="D1" s="31" t="s">
        <v>8</v>
      </c>
      <c r="E1" s="31" t="s">
        <v>9</v>
      </c>
      <c r="F1" s="31" t="s">
        <v>10</v>
      </c>
      <c r="G1" s="33" t="s">
        <v>766</v>
      </c>
      <c r="H1" s="33" t="s">
        <v>767</v>
      </c>
      <c r="I1" s="31" t="s">
        <v>11</v>
      </c>
      <c r="J1" s="34" t="s">
        <v>12</v>
      </c>
      <c r="K1" s="31" t="s">
        <v>13</v>
      </c>
    </row>
    <row r="2" spans="1:11" x14ac:dyDescent="0.25">
      <c r="A2" s="22">
        <v>46153</v>
      </c>
      <c r="B2" s="20" t="s">
        <v>32</v>
      </c>
      <c r="C2" s="21">
        <v>350651441777295</v>
      </c>
      <c r="D2" s="20" t="s">
        <v>98</v>
      </c>
      <c r="E2" s="20">
        <v>5040</v>
      </c>
      <c r="F2" s="20">
        <v>5063.53</v>
      </c>
      <c r="G2" s="29">
        <f>F2/11</f>
        <v>460.32090909090908</v>
      </c>
      <c r="H2" s="29">
        <f>F2-G2</f>
        <v>4603.2090909090903</v>
      </c>
      <c r="I2" s="29">
        <f>E2-H2</f>
        <v>436.79090909090974</v>
      </c>
      <c r="J2" s="30">
        <f>(E2-H2)/H2</f>
        <v>9.4888348642152953E-2</v>
      </c>
      <c r="K2" s="20" t="s">
        <v>111</v>
      </c>
    </row>
    <row r="3" spans="1:11" x14ac:dyDescent="0.25">
      <c r="A3" s="22">
        <v>46153</v>
      </c>
      <c r="B3" s="20" t="s">
        <v>32</v>
      </c>
      <c r="C3" s="21">
        <v>350651441799307</v>
      </c>
      <c r="D3" s="20" t="s">
        <v>98</v>
      </c>
      <c r="E3" s="20">
        <v>5040</v>
      </c>
      <c r="F3" s="20">
        <v>5063.53</v>
      </c>
      <c r="G3" s="29">
        <f t="shared" ref="G3:G66" si="0">F3/11</f>
        <v>460.32090909090908</v>
      </c>
      <c r="H3" s="29">
        <f t="shared" ref="H3:H66" si="1">F3-G3</f>
        <v>4603.2090909090903</v>
      </c>
      <c r="I3" s="29">
        <f t="shared" ref="I3:I66" si="2">E3-H3</f>
        <v>436.79090909090974</v>
      </c>
      <c r="J3" s="30">
        <f t="shared" ref="J3:J66" si="3">(E3-H3)/H3</f>
        <v>9.4888348642152953E-2</v>
      </c>
      <c r="K3" s="20" t="s">
        <v>111</v>
      </c>
    </row>
    <row r="4" spans="1:11" x14ac:dyDescent="0.25">
      <c r="A4" s="22">
        <v>46153</v>
      </c>
      <c r="B4" s="20" t="s">
        <v>32</v>
      </c>
      <c r="C4" s="21">
        <v>350651446183887</v>
      </c>
      <c r="D4" s="20" t="s">
        <v>98</v>
      </c>
      <c r="E4" s="20">
        <v>5040</v>
      </c>
      <c r="F4" s="20">
        <v>5063.53</v>
      </c>
      <c r="G4" s="29">
        <f t="shared" si="0"/>
        <v>460.32090909090908</v>
      </c>
      <c r="H4" s="29">
        <f t="shared" si="1"/>
        <v>4603.2090909090903</v>
      </c>
      <c r="I4" s="29">
        <f t="shared" si="2"/>
        <v>436.79090909090974</v>
      </c>
      <c r="J4" s="30">
        <f t="shared" si="3"/>
        <v>9.4888348642152953E-2</v>
      </c>
      <c r="K4" s="20" t="s">
        <v>111</v>
      </c>
    </row>
    <row r="5" spans="1:11" x14ac:dyDescent="0.25">
      <c r="A5" s="22">
        <v>46153</v>
      </c>
      <c r="B5" s="20" t="s">
        <v>32</v>
      </c>
      <c r="C5" s="21">
        <v>351459299037351</v>
      </c>
      <c r="D5" s="20" t="s">
        <v>98</v>
      </c>
      <c r="E5" s="20">
        <v>5040</v>
      </c>
      <c r="F5" s="20">
        <v>5063.53</v>
      </c>
      <c r="G5" s="29">
        <f t="shared" si="0"/>
        <v>460.32090909090908</v>
      </c>
      <c r="H5" s="29">
        <f t="shared" si="1"/>
        <v>4603.2090909090903</v>
      </c>
      <c r="I5" s="29">
        <f t="shared" si="2"/>
        <v>436.79090909090974</v>
      </c>
      <c r="J5" s="30">
        <f t="shared" si="3"/>
        <v>9.4888348642152953E-2</v>
      </c>
      <c r="K5" s="20" t="s">
        <v>111</v>
      </c>
    </row>
    <row r="6" spans="1:11" x14ac:dyDescent="0.25">
      <c r="A6" s="22">
        <v>46153</v>
      </c>
      <c r="B6" s="20" t="s">
        <v>32</v>
      </c>
      <c r="C6" s="21">
        <v>351459299583297</v>
      </c>
      <c r="D6" s="20" t="s">
        <v>98</v>
      </c>
      <c r="E6" s="20">
        <v>5040</v>
      </c>
      <c r="F6" s="20">
        <v>5063.53</v>
      </c>
      <c r="G6" s="29">
        <f t="shared" si="0"/>
        <v>460.32090909090908</v>
      </c>
      <c r="H6" s="29">
        <f t="shared" si="1"/>
        <v>4603.2090909090903</v>
      </c>
      <c r="I6" s="29">
        <f t="shared" si="2"/>
        <v>436.79090909090974</v>
      </c>
      <c r="J6" s="30">
        <f t="shared" si="3"/>
        <v>9.4888348642152953E-2</v>
      </c>
      <c r="K6" s="20" t="s">
        <v>111</v>
      </c>
    </row>
    <row r="7" spans="1:11" x14ac:dyDescent="0.25">
      <c r="A7" s="22">
        <v>46153</v>
      </c>
      <c r="B7" s="20" t="s">
        <v>32</v>
      </c>
      <c r="C7" s="21">
        <v>351500505142178</v>
      </c>
      <c r="D7" s="20" t="s">
        <v>91</v>
      </c>
      <c r="E7" s="20">
        <v>4880</v>
      </c>
      <c r="F7" s="20">
        <v>5063.53</v>
      </c>
      <c r="G7" s="29">
        <f t="shared" si="0"/>
        <v>460.32090909090908</v>
      </c>
      <c r="H7" s="29">
        <f t="shared" si="1"/>
        <v>4603.2090909090903</v>
      </c>
      <c r="I7" s="29">
        <f t="shared" si="2"/>
        <v>276.79090909090974</v>
      </c>
      <c r="J7" s="30">
        <f t="shared" si="3"/>
        <v>6.0129988367798898E-2</v>
      </c>
      <c r="K7" s="20" t="s">
        <v>111</v>
      </c>
    </row>
    <row r="8" spans="1:11" x14ac:dyDescent="0.25">
      <c r="A8" s="22">
        <v>46153</v>
      </c>
      <c r="B8" s="20" t="s">
        <v>32</v>
      </c>
      <c r="C8" s="21">
        <v>351500506092604</v>
      </c>
      <c r="D8" s="20" t="s">
        <v>91</v>
      </c>
      <c r="E8" s="20">
        <v>4880</v>
      </c>
      <c r="F8" s="20">
        <v>5063.53</v>
      </c>
      <c r="G8" s="29">
        <f t="shared" si="0"/>
        <v>460.32090909090908</v>
      </c>
      <c r="H8" s="29">
        <f t="shared" si="1"/>
        <v>4603.2090909090903</v>
      </c>
      <c r="I8" s="29">
        <f t="shared" si="2"/>
        <v>276.79090909090974</v>
      </c>
      <c r="J8" s="30">
        <f t="shared" si="3"/>
        <v>6.0129988367798898E-2</v>
      </c>
      <c r="K8" s="20" t="s">
        <v>111</v>
      </c>
    </row>
    <row r="9" spans="1:11" x14ac:dyDescent="0.25">
      <c r="A9" s="22">
        <v>46153</v>
      </c>
      <c r="B9" s="20" t="s">
        <v>32</v>
      </c>
      <c r="C9" s="21">
        <v>351500506899735</v>
      </c>
      <c r="D9" s="20" t="s">
        <v>98</v>
      </c>
      <c r="E9" s="20">
        <v>5040</v>
      </c>
      <c r="F9" s="20">
        <v>5063.53</v>
      </c>
      <c r="G9" s="29">
        <f t="shared" si="0"/>
        <v>460.32090909090908</v>
      </c>
      <c r="H9" s="29">
        <f t="shared" si="1"/>
        <v>4603.2090909090903</v>
      </c>
      <c r="I9" s="29">
        <f t="shared" si="2"/>
        <v>436.79090909090974</v>
      </c>
      <c r="J9" s="30">
        <f t="shared" si="3"/>
        <v>9.4888348642152953E-2</v>
      </c>
      <c r="K9" s="20" t="s">
        <v>111</v>
      </c>
    </row>
    <row r="10" spans="1:11" x14ac:dyDescent="0.25">
      <c r="A10" s="22">
        <v>46153</v>
      </c>
      <c r="B10" s="20" t="s">
        <v>32</v>
      </c>
      <c r="C10" s="21">
        <v>351500506983497</v>
      </c>
      <c r="D10" s="20" t="s">
        <v>98</v>
      </c>
      <c r="E10" s="20">
        <v>5040</v>
      </c>
      <c r="F10" s="20">
        <v>5063.53</v>
      </c>
      <c r="G10" s="29">
        <f t="shared" si="0"/>
        <v>460.32090909090908</v>
      </c>
      <c r="H10" s="29">
        <f t="shared" si="1"/>
        <v>4603.2090909090903</v>
      </c>
      <c r="I10" s="29">
        <f t="shared" si="2"/>
        <v>436.79090909090974</v>
      </c>
      <c r="J10" s="30">
        <f t="shared" si="3"/>
        <v>9.4888348642152953E-2</v>
      </c>
      <c r="K10" s="20" t="s">
        <v>111</v>
      </c>
    </row>
    <row r="11" spans="1:11" x14ac:dyDescent="0.25">
      <c r="A11" s="22">
        <v>46153</v>
      </c>
      <c r="B11" s="20" t="s">
        <v>32</v>
      </c>
      <c r="C11" s="21">
        <v>351500507075293</v>
      </c>
      <c r="D11" s="20" t="s">
        <v>98</v>
      </c>
      <c r="E11" s="20">
        <v>5040</v>
      </c>
      <c r="F11" s="20">
        <v>5063.53</v>
      </c>
      <c r="G11" s="29">
        <f t="shared" si="0"/>
        <v>460.32090909090908</v>
      </c>
      <c r="H11" s="29">
        <f t="shared" si="1"/>
        <v>4603.2090909090903</v>
      </c>
      <c r="I11" s="29">
        <f t="shared" si="2"/>
        <v>436.79090909090974</v>
      </c>
      <c r="J11" s="30">
        <f t="shared" si="3"/>
        <v>9.4888348642152953E-2</v>
      </c>
      <c r="K11" s="20" t="s">
        <v>111</v>
      </c>
    </row>
    <row r="12" spans="1:11" x14ac:dyDescent="0.25">
      <c r="A12" s="22">
        <v>46153</v>
      </c>
      <c r="B12" s="20" t="s">
        <v>32</v>
      </c>
      <c r="C12" s="21">
        <v>351500507428450</v>
      </c>
      <c r="D12" s="20" t="s">
        <v>98</v>
      </c>
      <c r="E12" s="20">
        <v>5040</v>
      </c>
      <c r="F12" s="20">
        <v>5063.53</v>
      </c>
      <c r="G12" s="29">
        <f t="shared" si="0"/>
        <v>460.32090909090908</v>
      </c>
      <c r="H12" s="29">
        <f t="shared" si="1"/>
        <v>4603.2090909090903</v>
      </c>
      <c r="I12" s="29">
        <f t="shared" si="2"/>
        <v>436.79090909090974</v>
      </c>
      <c r="J12" s="30">
        <f t="shared" si="3"/>
        <v>9.4888348642152953E-2</v>
      </c>
      <c r="K12" s="20" t="s">
        <v>111</v>
      </c>
    </row>
    <row r="13" spans="1:11" x14ac:dyDescent="0.25">
      <c r="A13" s="22">
        <v>46153</v>
      </c>
      <c r="B13" s="20" t="s">
        <v>32</v>
      </c>
      <c r="C13" s="21">
        <v>351500509025577</v>
      </c>
      <c r="D13" s="20" t="s">
        <v>98</v>
      </c>
      <c r="E13" s="20">
        <v>5040</v>
      </c>
      <c r="F13" s="20">
        <v>5063.53</v>
      </c>
      <c r="G13" s="29">
        <f t="shared" si="0"/>
        <v>460.32090909090908</v>
      </c>
      <c r="H13" s="29">
        <f t="shared" si="1"/>
        <v>4603.2090909090903</v>
      </c>
      <c r="I13" s="29">
        <f t="shared" si="2"/>
        <v>436.79090909090974</v>
      </c>
      <c r="J13" s="30">
        <f t="shared" si="3"/>
        <v>9.4888348642152953E-2</v>
      </c>
      <c r="K13" s="20" t="s">
        <v>111</v>
      </c>
    </row>
    <row r="14" spans="1:11" x14ac:dyDescent="0.25">
      <c r="A14" s="22">
        <v>46153</v>
      </c>
      <c r="B14" s="20" t="s">
        <v>32</v>
      </c>
      <c r="C14" s="21">
        <v>351500509432260</v>
      </c>
      <c r="D14" s="20" t="s">
        <v>98</v>
      </c>
      <c r="E14" s="20">
        <v>5040</v>
      </c>
      <c r="F14" s="20">
        <v>5063.53</v>
      </c>
      <c r="G14" s="29">
        <f t="shared" si="0"/>
        <v>460.32090909090908</v>
      </c>
      <c r="H14" s="29">
        <f t="shared" si="1"/>
        <v>4603.2090909090903</v>
      </c>
      <c r="I14" s="29">
        <f t="shared" si="2"/>
        <v>436.79090909090974</v>
      </c>
      <c r="J14" s="30">
        <f t="shared" si="3"/>
        <v>9.4888348642152953E-2</v>
      </c>
      <c r="K14" s="20" t="s">
        <v>111</v>
      </c>
    </row>
    <row r="15" spans="1:11" x14ac:dyDescent="0.25">
      <c r="A15" s="22">
        <v>46153</v>
      </c>
      <c r="B15" s="20" t="s">
        <v>32</v>
      </c>
      <c r="C15" s="21">
        <v>351500509499541</v>
      </c>
      <c r="D15" s="20" t="s">
        <v>98</v>
      </c>
      <c r="E15" s="20">
        <v>5040</v>
      </c>
      <c r="F15" s="20">
        <v>5063.53</v>
      </c>
      <c r="G15" s="29">
        <f t="shared" si="0"/>
        <v>460.32090909090908</v>
      </c>
      <c r="H15" s="29">
        <f t="shared" si="1"/>
        <v>4603.2090909090903</v>
      </c>
      <c r="I15" s="29">
        <f t="shared" si="2"/>
        <v>436.79090909090974</v>
      </c>
      <c r="J15" s="30">
        <f t="shared" si="3"/>
        <v>9.4888348642152953E-2</v>
      </c>
      <c r="K15" s="20" t="s">
        <v>111</v>
      </c>
    </row>
    <row r="16" spans="1:11" x14ac:dyDescent="0.25">
      <c r="A16" s="22">
        <v>46153</v>
      </c>
      <c r="B16" s="20" t="s">
        <v>32</v>
      </c>
      <c r="C16" s="21">
        <v>351500509565424</v>
      </c>
      <c r="D16" s="20" t="s">
        <v>98</v>
      </c>
      <c r="E16" s="20">
        <v>5040</v>
      </c>
      <c r="F16" s="20">
        <v>5063.53</v>
      </c>
      <c r="G16" s="29">
        <f t="shared" si="0"/>
        <v>460.32090909090908</v>
      </c>
      <c r="H16" s="29">
        <f t="shared" si="1"/>
        <v>4603.2090909090903</v>
      </c>
      <c r="I16" s="29">
        <f t="shared" si="2"/>
        <v>436.79090909090974</v>
      </c>
      <c r="J16" s="30">
        <f t="shared" si="3"/>
        <v>9.4888348642152953E-2</v>
      </c>
      <c r="K16" s="20" t="s">
        <v>111</v>
      </c>
    </row>
    <row r="17" spans="1:11" x14ac:dyDescent="0.25">
      <c r="A17" s="22">
        <v>46153</v>
      </c>
      <c r="B17" s="20" t="s">
        <v>32</v>
      </c>
      <c r="C17" s="21">
        <v>351500509841361</v>
      </c>
      <c r="D17" s="20" t="s">
        <v>98</v>
      </c>
      <c r="E17" s="20">
        <v>5040</v>
      </c>
      <c r="F17" s="20">
        <v>5063.53</v>
      </c>
      <c r="G17" s="29">
        <f t="shared" si="0"/>
        <v>460.32090909090908</v>
      </c>
      <c r="H17" s="29">
        <f t="shared" si="1"/>
        <v>4603.2090909090903</v>
      </c>
      <c r="I17" s="29">
        <f t="shared" si="2"/>
        <v>436.79090909090974</v>
      </c>
      <c r="J17" s="30">
        <f t="shared" si="3"/>
        <v>9.4888348642152953E-2</v>
      </c>
      <c r="K17" s="20" t="s">
        <v>111</v>
      </c>
    </row>
    <row r="18" spans="1:11" x14ac:dyDescent="0.25">
      <c r="A18" s="22">
        <v>46153</v>
      </c>
      <c r="B18" s="20" t="s">
        <v>32</v>
      </c>
      <c r="C18" s="21">
        <v>351500509970004</v>
      </c>
      <c r="D18" s="20" t="s">
        <v>98</v>
      </c>
      <c r="E18" s="20">
        <v>5040</v>
      </c>
      <c r="F18" s="20">
        <v>5063.53</v>
      </c>
      <c r="G18" s="29">
        <f t="shared" si="0"/>
        <v>460.32090909090908</v>
      </c>
      <c r="H18" s="29">
        <f t="shared" si="1"/>
        <v>4603.2090909090903</v>
      </c>
      <c r="I18" s="29">
        <f t="shared" si="2"/>
        <v>436.79090909090974</v>
      </c>
      <c r="J18" s="30">
        <f t="shared" si="3"/>
        <v>9.4888348642152953E-2</v>
      </c>
      <c r="K18" s="20" t="s">
        <v>111</v>
      </c>
    </row>
    <row r="19" spans="1:11" x14ac:dyDescent="0.25">
      <c r="A19" s="22">
        <v>46153</v>
      </c>
      <c r="B19" s="20" t="s">
        <v>32</v>
      </c>
      <c r="C19" s="21">
        <v>353008933841252</v>
      </c>
      <c r="D19" s="20" t="s">
        <v>91</v>
      </c>
      <c r="E19" s="20">
        <v>4880</v>
      </c>
      <c r="F19" s="20">
        <v>5063.53</v>
      </c>
      <c r="G19" s="29">
        <f t="shared" si="0"/>
        <v>460.32090909090908</v>
      </c>
      <c r="H19" s="29">
        <f t="shared" si="1"/>
        <v>4603.2090909090903</v>
      </c>
      <c r="I19" s="29">
        <f t="shared" si="2"/>
        <v>276.79090909090974</v>
      </c>
      <c r="J19" s="30">
        <f t="shared" si="3"/>
        <v>6.0129988367798898E-2</v>
      </c>
      <c r="K19" s="20" t="s">
        <v>111</v>
      </c>
    </row>
    <row r="20" spans="1:11" x14ac:dyDescent="0.25">
      <c r="A20" s="22">
        <v>46153</v>
      </c>
      <c r="B20" s="20" t="s">
        <v>32</v>
      </c>
      <c r="C20" s="21">
        <v>353008934001781</v>
      </c>
      <c r="D20" s="20" t="s">
        <v>91</v>
      </c>
      <c r="E20" s="20">
        <v>4880</v>
      </c>
      <c r="F20" s="20">
        <v>5063.53</v>
      </c>
      <c r="G20" s="29">
        <f t="shared" si="0"/>
        <v>460.32090909090908</v>
      </c>
      <c r="H20" s="29">
        <f t="shared" si="1"/>
        <v>4603.2090909090903</v>
      </c>
      <c r="I20" s="29">
        <f t="shared" si="2"/>
        <v>276.79090909090974</v>
      </c>
      <c r="J20" s="30">
        <f t="shared" si="3"/>
        <v>6.0129988367798898E-2</v>
      </c>
      <c r="K20" s="20" t="s">
        <v>111</v>
      </c>
    </row>
    <row r="21" spans="1:11" x14ac:dyDescent="0.25">
      <c r="A21" s="22">
        <v>46153</v>
      </c>
      <c r="B21" s="20" t="s">
        <v>32</v>
      </c>
      <c r="C21" s="21">
        <v>353008934436664</v>
      </c>
      <c r="D21" s="20" t="s">
        <v>98</v>
      </c>
      <c r="E21" s="20">
        <v>5040</v>
      </c>
      <c r="F21" s="20">
        <v>5063.53</v>
      </c>
      <c r="G21" s="29">
        <f t="shared" si="0"/>
        <v>460.32090909090908</v>
      </c>
      <c r="H21" s="29">
        <f t="shared" si="1"/>
        <v>4603.2090909090903</v>
      </c>
      <c r="I21" s="29">
        <f t="shared" si="2"/>
        <v>436.79090909090974</v>
      </c>
      <c r="J21" s="30">
        <f t="shared" si="3"/>
        <v>9.4888348642152953E-2</v>
      </c>
      <c r="K21" s="20" t="s">
        <v>111</v>
      </c>
    </row>
    <row r="22" spans="1:11" x14ac:dyDescent="0.25">
      <c r="A22" s="22">
        <v>46153</v>
      </c>
      <c r="B22" s="20" t="s">
        <v>32</v>
      </c>
      <c r="C22" s="21">
        <v>353008934707064</v>
      </c>
      <c r="D22" s="20" t="s">
        <v>98</v>
      </c>
      <c r="E22" s="20">
        <v>5040</v>
      </c>
      <c r="F22" s="20">
        <v>5063.53</v>
      </c>
      <c r="G22" s="29">
        <f t="shared" si="0"/>
        <v>460.32090909090908</v>
      </c>
      <c r="H22" s="29">
        <f t="shared" si="1"/>
        <v>4603.2090909090903</v>
      </c>
      <c r="I22" s="29">
        <f t="shared" si="2"/>
        <v>436.79090909090974</v>
      </c>
      <c r="J22" s="30">
        <f t="shared" si="3"/>
        <v>9.4888348642152953E-2</v>
      </c>
      <c r="K22" s="20" t="s">
        <v>111</v>
      </c>
    </row>
    <row r="23" spans="1:11" x14ac:dyDescent="0.25">
      <c r="A23" s="22">
        <v>46153</v>
      </c>
      <c r="B23" s="20" t="s">
        <v>32</v>
      </c>
      <c r="C23" s="21">
        <v>353806442026962</v>
      </c>
      <c r="D23" s="20" t="s">
        <v>98</v>
      </c>
      <c r="E23" s="20">
        <v>5040</v>
      </c>
      <c r="F23" s="20">
        <v>5063.53</v>
      </c>
      <c r="G23" s="29">
        <f t="shared" si="0"/>
        <v>460.32090909090908</v>
      </c>
      <c r="H23" s="29">
        <f t="shared" si="1"/>
        <v>4603.2090909090903</v>
      </c>
      <c r="I23" s="29">
        <f t="shared" si="2"/>
        <v>436.79090909090974</v>
      </c>
      <c r="J23" s="30">
        <f t="shared" si="3"/>
        <v>9.4888348642152953E-2</v>
      </c>
      <c r="K23" s="20" t="s">
        <v>111</v>
      </c>
    </row>
    <row r="24" spans="1:11" x14ac:dyDescent="0.25">
      <c r="A24" s="22">
        <v>46153</v>
      </c>
      <c r="B24" s="20" t="s">
        <v>32</v>
      </c>
      <c r="C24" s="21">
        <v>353806443885044</v>
      </c>
      <c r="D24" s="20" t="s">
        <v>98</v>
      </c>
      <c r="E24" s="20">
        <v>5040</v>
      </c>
      <c r="F24" s="20">
        <v>5063.53</v>
      </c>
      <c r="G24" s="29">
        <f t="shared" si="0"/>
        <v>460.32090909090908</v>
      </c>
      <c r="H24" s="29">
        <f t="shared" si="1"/>
        <v>4603.2090909090903</v>
      </c>
      <c r="I24" s="29">
        <f t="shared" si="2"/>
        <v>436.79090909090974</v>
      </c>
      <c r="J24" s="30">
        <f t="shared" si="3"/>
        <v>9.4888348642152953E-2</v>
      </c>
      <c r="K24" s="20" t="s">
        <v>111</v>
      </c>
    </row>
    <row r="25" spans="1:11" x14ac:dyDescent="0.25">
      <c r="A25" s="22">
        <v>46153</v>
      </c>
      <c r="B25" s="20" t="s">
        <v>32</v>
      </c>
      <c r="C25" s="21">
        <v>353806448919053</v>
      </c>
      <c r="D25" s="20" t="s">
        <v>98</v>
      </c>
      <c r="E25" s="20">
        <v>5040</v>
      </c>
      <c r="F25" s="20">
        <v>5063.53</v>
      </c>
      <c r="G25" s="29">
        <f t="shared" si="0"/>
        <v>460.32090909090908</v>
      </c>
      <c r="H25" s="29">
        <f t="shared" si="1"/>
        <v>4603.2090909090903</v>
      </c>
      <c r="I25" s="29">
        <f t="shared" si="2"/>
        <v>436.79090909090974</v>
      </c>
      <c r="J25" s="30">
        <f t="shared" si="3"/>
        <v>9.4888348642152953E-2</v>
      </c>
      <c r="K25" s="20" t="s">
        <v>111</v>
      </c>
    </row>
    <row r="26" spans="1:11" x14ac:dyDescent="0.25">
      <c r="A26" s="22">
        <v>46153</v>
      </c>
      <c r="B26" s="20" t="s">
        <v>112</v>
      </c>
      <c r="C26" s="21">
        <v>19003055359</v>
      </c>
      <c r="D26" s="20" t="s">
        <v>30</v>
      </c>
      <c r="E26" s="20">
        <v>4400</v>
      </c>
      <c r="F26" s="20">
        <v>1918.88</v>
      </c>
      <c r="G26" s="29">
        <f t="shared" si="0"/>
        <v>174.44363636363639</v>
      </c>
      <c r="H26" s="29">
        <f t="shared" si="1"/>
        <v>1744.4363636363637</v>
      </c>
      <c r="I26" s="29">
        <f t="shared" si="2"/>
        <v>2655.5636363636363</v>
      </c>
      <c r="J26" s="30">
        <f t="shared" si="3"/>
        <v>1.5223046777286751</v>
      </c>
      <c r="K26" s="20" t="s">
        <v>111</v>
      </c>
    </row>
    <row r="27" spans="1:11" x14ac:dyDescent="0.25">
      <c r="A27" s="22">
        <v>46153</v>
      </c>
      <c r="B27" s="20" t="s">
        <v>112</v>
      </c>
      <c r="C27" s="21">
        <v>39166957753</v>
      </c>
      <c r="D27" s="20" t="s">
        <v>30</v>
      </c>
      <c r="E27" s="20">
        <v>4400</v>
      </c>
      <c r="F27" s="20">
        <v>3067.64</v>
      </c>
      <c r="G27" s="29">
        <f t="shared" si="0"/>
        <v>278.87636363636364</v>
      </c>
      <c r="H27" s="29">
        <f t="shared" si="1"/>
        <v>2788.7636363636361</v>
      </c>
      <c r="I27" s="29">
        <f t="shared" si="2"/>
        <v>1611.2363636363639</v>
      </c>
      <c r="J27" s="30">
        <f t="shared" si="3"/>
        <v>0.57776010222842333</v>
      </c>
      <c r="K27" s="20" t="s">
        <v>111</v>
      </c>
    </row>
    <row r="28" spans="1:11" x14ac:dyDescent="0.25">
      <c r="A28" s="22">
        <v>46153</v>
      </c>
      <c r="B28" s="20" t="s">
        <v>112</v>
      </c>
      <c r="C28" s="21">
        <v>39863759168</v>
      </c>
      <c r="D28" s="20" t="s">
        <v>30</v>
      </c>
      <c r="E28" s="20">
        <v>4400</v>
      </c>
      <c r="F28" s="20">
        <v>3067.64</v>
      </c>
      <c r="G28" s="29">
        <f t="shared" si="0"/>
        <v>278.87636363636364</v>
      </c>
      <c r="H28" s="29">
        <f t="shared" si="1"/>
        <v>2788.7636363636361</v>
      </c>
      <c r="I28" s="29">
        <f t="shared" si="2"/>
        <v>1611.2363636363639</v>
      </c>
      <c r="J28" s="30">
        <f t="shared" si="3"/>
        <v>0.57776010222842333</v>
      </c>
      <c r="K28" s="20" t="s">
        <v>111</v>
      </c>
    </row>
    <row r="29" spans="1:11" x14ac:dyDescent="0.25">
      <c r="A29" s="22">
        <v>46153</v>
      </c>
      <c r="B29" s="20" t="s">
        <v>112</v>
      </c>
      <c r="C29" s="21">
        <v>59759167161</v>
      </c>
      <c r="D29" s="20" t="s">
        <v>30</v>
      </c>
      <c r="E29" s="20">
        <v>4400</v>
      </c>
      <c r="F29" s="20">
        <v>3067.64</v>
      </c>
      <c r="G29" s="29">
        <f t="shared" si="0"/>
        <v>278.87636363636364</v>
      </c>
      <c r="H29" s="29">
        <f t="shared" si="1"/>
        <v>2788.7636363636361</v>
      </c>
      <c r="I29" s="29">
        <f t="shared" si="2"/>
        <v>1611.2363636363639</v>
      </c>
      <c r="J29" s="30">
        <f t="shared" si="3"/>
        <v>0.57776010222842333</v>
      </c>
      <c r="K29" s="20" t="s">
        <v>111</v>
      </c>
    </row>
    <row r="30" spans="1:11" x14ac:dyDescent="0.25">
      <c r="A30" s="22">
        <v>46153</v>
      </c>
      <c r="B30" s="20" t="s">
        <v>112</v>
      </c>
      <c r="C30" s="21">
        <v>69589169650</v>
      </c>
      <c r="D30" s="20" t="s">
        <v>30</v>
      </c>
      <c r="E30" s="20">
        <v>4400</v>
      </c>
      <c r="F30" s="20">
        <v>3067.64</v>
      </c>
      <c r="G30" s="29">
        <f t="shared" si="0"/>
        <v>278.87636363636364</v>
      </c>
      <c r="H30" s="29">
        <f t="shared" si="1"/>
        <v>2788.7636363636361</v>
      </c>
      <c r="I30" s="29">
        <f t="shared" si="2"/>
        <v>1611.2363636363639</v>
      </c>
      <c r="J30" s="30">
        <f t="shared" si="3"/>
        <v>0.57776010222842333</v>
      </c>
      <c r="K30" s="20" t="s">
        <v>111</v>
      </c>
    </row>
    <row r="31" spans="1:11" x14ac:dyDescent="0.25">
      <c r="A31" s="22">
        <v>46153</v>
      </c>
      <c r="B31" s="20" t="s">
        <v>112</v>
      </c>
      <c r="C31" s="21">
        <v>69802359549</v>
      </c>
      <c r="D31" s="20" t="s">
        <v>30</v>
      </c>
      <c r="E31" s="20">
        <v>4400</v>
      </c>
      <c r="F31" s="20">
        <v>3067.64</v>
      </c>
      <c r="G31" s="29">
        <f t="shared" si="0"/>
        <v>278.87636363636364</v>
      </c>
      <c r="H31" s="29">
        <f t="shared" si="1"/>
        <v>2788.7636363636361</v>
      </c>
      <c r="I31" s="29">
        <f t="shared" si="2"/>
        <v>1611.2363636363639</v>
      </c>
      <c r="J31" s="30">
        <f t="shared" si="3"/>
        <v>0.57776010222842333</v>
      </c>
      <c r="K31" s="20" t="s">
        <v>111</v>
      </c>
    </row>
    <row r="32" spans="1:11" x14ac:dyDescent="0.25">
      <c r="A32" s="22">
        <v>46153</v>
      </c>
      <c r="B32" s="20" t="s">
        <v>112</v>
      </c>
      <c r="C32" s="21">
        <v>89675163062</v>
      </c>
      <c r="D32" s="20" t="s">
        <v>30</v>
      </c>
      <c r="E32" s="20">
        <v>4400</v>
      </c>
      <c r="F32" s="20">
        <v>3067.64</v>
      </c>
      <c r="G32" s="29">
        <f t="shared" si="0"/>
        <v>278.87636363636364</v>
      </c>
      <c r="H32" s="29">
        <f t="shared" si="1"/>
        <v>2788.7636363636361</v>
      </c>
      <c r="I32" s="29">
        <f t="shared" si="2"/>
        <v>1611.2363636363639</v>
      </c>
      <c r="J32" s="30">
        <f t="shared" si="3"/>
        <v>0.57776010222842333</v>
      </c>
      <c r="K32" s="20" t="s">
        <v>111</v>
      </c>
    </row>
    <row r="33" spans="1:11" x14ac:dyDescent="0.25">
      <c r="A33" s="22">
        <v>46153</v>
      </c>
      <c r="B33" s="20" t="s">
        <v>112</v>
      </c>
      <c r="C33" s="21">
        <v>99861168468</v>
      </c>
      <c r="D33" s="20" t="s">
        <v>30</v>
      </c>
      <c r="E33" s="20">
        <v>4400</v>
      </c>
      <c r="F33" s="20">
        <v>3067.64</v>
      </c>
      <c r="G33" s="29">
        <f t="shared" si="0"/>
        <v>278.87636363636364</v>
      </c>
      <c r="H33" s="29">
        <f t="shared" si="1"/>
        <v>2788.7636363636361</v>
      </c>
      <c r="I33" s="29">
        <f t="shared" si="2"/>
        <v>1611.2363636363639</v>
      </c>
      <c r="J33" s="30">
        <f t="shared" si="3"/>
        <v>0.57776010222842333</v>
      </c>
      <c r="K33" s="20" t="s">
        <v>111</v>
      </c>
    </row>
    <row r="34" spans="1:11" x14ac:dyDescent="0.25">
      <c r="A34" s="22">
        <v>46153</v>
      </c>
      <c r="B34" s="20" t="s">
        <v>116</v>
      </c>
      <c r="C34" s="21" t="s">
        <v>117</v>
      </c>
      <c r="D34" s="20" t="s">
        <v>30</v>
      </c>
      <c r="E34" s="20">
        <v>1250</v>
      </c>
      <c r="F34" s="20">
        <v>916.45</v>
      </c>
      <c r="G34" s="29">
        <f t="shared" si="0"/>
        <v>83.313636363636363</v>
      </c>
      <c r="H34" s="29">
        <f t="shared" si="1"/>
        <v>833.13636363636374</v>
      </c>
      <c r="I34" s="29">
        <f t="shared" si="2"/>
        <v>416.86363636363626</v>
      </c>
      <c r="J34" s="30">
        <f t="shared" si="3"/>
        <v>0.50035462927601049</v>
      </c>
      <c r="K34" s="20" t="s">
        <v>111</v>
      </c>
    </row>
    <row r="35" spans="1:11" x14ac:dyDescent="0.25">
      <c r="A35" s="22">
        <v>46153</v>
      </c>
      <c r="B35" s="20" t="s">
        <v>116</v>
      </c>
      <c r="C35" s="21" t="s">
        <v>118</v>
      </c>
      <c r="D35" s="20" t="s">
        <v>30</v>
      </c>
      <c r="E35" s="20">
        <v>1250</v>
      </c>
      <c r="F35" s="20">
        <v>916.45</v>
      </c>
      <c r="G35" s="29">
        <f t="shared" si="0"/>
        <v>83.313636363636363</v>
      </c>
      <c r="H35" s="29">
        <f t="shared" si="1"/>
        <v>833.13636363636374</v>
      </c>
      <c r="I35" s="29">
        <f t="shared" si="2"/>
        <v>416.86363636363626</v>
      </c>
      <c r="J35" s="30">
        <f t="shared" si="3"/>
        <v>0.50035462927601049</v>
      </c>
      <c r="K35" s="20" t="s">
        <v>111</v>
      </c>
    </row>
    <row r="36" spans="1:11" x14ac:dyDescent="0.25">
      <c r="A36" s="22">
        <v>46153</v>
      </c>
      <c r="B36" s="20" t="s">
        <v>116</v>
      </c>
      <c r="C36" s="21" t="s">
        <v>119</v>
      </c>
      <c r="D36" s="20" t="s">
        <v>30</v>
      </c>
      <c r="E36" s="20">
        <v>1250</v>
      </c>
      <c r="F36" s="20">
        <v>916.45</v>
      </c>
      <c r="G36" s="29">
        <f t="shared" si="0"/>
        <v>83.313636363636363</v>
      </c>
      <c r="H36" s="29">
        <f t="shared" si="1"/>
        <v>833.13636363636374</v>
      </c>
      <c r="I36" s="29">
        <f t="shared" si="2"/>
        <v>416.86363636363626</v>
      </c>
      <c r="J36" s="30">
        <f t="shared" si="3"/>
        <v>0.50035462927601049</v>
      </c>
      <c r="K36" s="20" t="s">
        <v>111</v>
      </c>
    </row>
    <row r="37" spans="1:11" x14ac:dyDescent="0.25">
      <c r="A37" s="22">
        <v>46153</v>
      </c>
      <c r="B37" s="20" t="s">
        <v>116</v>
      </c>
      <c r="C37" s="21" t="s">
        <v>120</v>
      </c>
      <c r="D37" s="20" t="s">
        <v>30</v>
      </c>
      <c r="E37" s="20">
        <v>1250</v>
      </c>
      <c r="F37" s="20">
        <v>916.45</v>
      </c>
      <c r="G37" s="29">
        <f t="shared" si="0"/>
        <v>83.313636363636363</v>
      </c>
      <c r="H37" s="29">
        <f t="shared" si="1"/>
        <v>833.13636363636374</v>
      </c>
      <c r="I37" s="29">
        <f t="shared" si="2"/>
        <v>416.86363636363626</v>
      </c>
      <c r="J37" s="30">
        <f t="shared" si="3"/>
        <v>0.50035462927601049</v>
      </c>
      <c r="K37" s="20" t="s">
        <v>111</v>
      </c>
    </row>
    <row r="38" spans="1:11" x14ac:dyDescent="0.25">
      <c r="A38" s="22">
        <v>46153</v>
      </c>
      <c r="B38" s="20" t="s">
        <v>116</v>
      </c>
      <c r="C38" s="21" t="s">
        <v>121</v>
      </c>
      <c r="D38" s="20" t="s">
        <v>30</v>
      </c>
      <c r="E38" s="20">
        <v>1250</v>
      </c>
      <c r="F38" s="20">
        <v>916.45</v>
      </c>
      <c r="G38" s="29">
        <f t="shared" si="0"/>
        <v>83.313636363636363</v>
      </c>
      <c r="H38" s="29">
        <f t="shared" si="1"/>
        <v>833.13636363636374</v>
      </c>
      <c r="I38" s="29">
        <f t="shared" si="2"/>
        <v>416.86363636363626</v>
      </c>
      <c r="J38" s="30">
        <f t="shared" si="3"/>
        <v>0.50035462927601049</v>
      </c>
      <c r="K38" s="20" t="s">
        <v>111</v>
      </c>
    </row>
    <row r="39" spans="1:11" x14ac:dyDescent="0.25">
      <c r="A39" s="22">
        <v>46153</v>
      </c>
      <c r="B39" s="20" t="s">
        <v>116</v>
      </c>
      <c r="C39" s="21" t="s">
        <v>122</v>
      </c>
      <c r="D39" s="20" t="s">
        <v>30</v>
      </c>
      <c r="E39" s="20">
        <v>1250</v>
      </c>
      <c r="F39" s="20">
        <v>916.45</v>
      </c>
      <c r="G39" s="29">
        <f t="shared" si="0"/>
        <v>83.313636363636363</v>
      </c>
      <c r="H39" s="29">
        <f t="shared" si="1"/>
        <v>833.13636363636374</v>
      </c>
      <c r="I39" s="29">
        <f t="shared" si="2"/>
        <v>416.86363636363626</v>
      </c>
      <c r="J39" s="30">
        <f t="shared" si="3"/>
        <v>0.50035462927601049</v>
      </c>
      <c r="K39" s="20" t="s">
        <v>111</v>
      </c>
    </row>
    <row r="40" spans="1:11" x14ac:dyDescent="0.25">
      <c r="A40" s="22">
        <v>46153</v>
      </c>
      <c r="B40" s="20" t="s">
        <v>116</v>
      </c>
      <c r="C40" s="21" t="s">
        <v>123</v>
      </c>
      <c r="D40" s="20" t="s">
        <v>30</v>
      </c>
      <c r="E40" s="20">
        <v>1250</v>
      </c>
      <c r="F40" s="20">
        <v>916.45</v>
      </c>
      <c r="G40" s="29">
        <f t="shared" si="0"/>
        <v>83.313636363636363</v>
      </c>
      <c r="H40" s="29">
        <f t="shared" si="1"/>
        <v>833.13636363636374</v>
      </c>
      <c r="I40" s="29">
        <f t="shared" si="2"/>
        <v>416.86363636363626</v>
      </c>
      <c r="J40" s="30">
        <f t="shared" si="3"/>
        <v>0.50035462927601049</v>
      </c>
      <c r="K40" s="20" t="s">
        <v>111</v>
      </c>
    </row>
    <row r="41" spans="1:11" x14ac:dyDescent="0.25">
      <c r="A41" s="22">
        <v>46153</v>
      </c>
      <c r="B41" s="20" t="s">
        <v>116</v>
      </c>
      <c r="C41" s="21" t="s">
        <v>124</v>
      </c>
      <c r="D41" s="20" t="s">
        <v>30</v>
      </c>
      <c r="E41" s="20">
        <v>1250</v>
      </c>
      <c r="F41" s="20">
        <v>916.45</v>
      </c>
      <c r="G41" s="29">
        <f t="shared" si="0"/>
        <v>83.313636363636363</v>
      </c>
      <c r="H41" s="29">
        <f t="shared" si="1"/>
        <v>833.13636363636374</v>
      </c>
      <c r="I41" s="29">
        <f t="shared" si="2"/>
        <v>416.86363636363626</v>
      </c>
      <c r="J41" s="30">
        <f t="shared" si="3"/>
        <v>0.50035462927601049</v>
      </c>
      <c r="K41" s="20" t="s">
        <v>111</v>
      </c>
    </row>
    <row r="42" spans="1:11" x14ac:dyDescent="0.25">
      <c r="A42" s="22">
        <v>46153</v>
      </c>
      <c r="B42" s="20" t="s">
        <v>116</v>
      </c>
      <c r="C42" s="21" t="s">
        <v>125</v>
      </c>
      <c r="D42" s="20" t="s">
        <v>30</v>
      </c>
      <c r="E42" s="20">
        <v>1250</v>
      </c>
      <c r="F42" s="20">
        <v>916.45</v>
      </c>
      <c r="G42" s="29">
        <f t="shared" si="0"/>
        <v>83.313636363636363</v>
      </c>
      <c r="H42" s="29">
        <f t="shared" si="1"/>
        <v>833.13636363636374</v>
      </c>
      <c r="I42" s="29">
        <f t="shared" si="2"/>
        <v>416.86363636363626</v>
      </c>
      <c r="J42" s="30">
        <f t="shared" si="3"/>
        <v>0.50035462927601049</v>
      </c>
      <c r="K42" s="20" t="s">
        <v>111</v>
      </c>
    </row>
    <row r="43" spans="1:11" x14ac:dyDescent="0.25">
      <c r="A43" s="22">
        <v>46153</v>
      </c>
      <c r="B43" s="20" t="s">
        <v>116</v>
      </c>
      <c r="C43" s="21" t="s">
        <v>126</v>
      </c>
      <c r="D43" s="20" t="s">
        <v>30</v>
      </c>
      <c r="E43" s="20">
        <v>1250</v>
      </c>
      <c r="F43" s="20">
        <v>916.45</v>
      </c>
      <c r="G43" s="29">
        <f t="shared" si="0"/>
        <v>83.313636363636363</v>
      </c>
      <c r="H43" s="29">
        <f t="shared" si="1"/>
        <v>833.13636363636374</v>
      </c>
      <c r="I43" s="29">
        <f t="shared" si="2"/>
        <v>416.86363636363626</v>
      </c>
      <c r="J43" s="30">
        <f t="shared" si="3"/>
        <v>0.50035462927601049</v>
      </c>
      <c r="K43" s="20" t="s">
        <v>111</v>
      </c>
    </row>
    <row r="44" spans="1:11" x14ac:dyDescent="0.25">
      <c r="A44" s="22">
        <v>46154</v>
      </c>
      <c r="B44" s="20" t="s">
        <v>32</v>
      </c>
      <c r="C44" s="21">
        <v>351500505321947</v>
      </c>
      <c r="D44" s="20" t="s">
        <v>91</v>
      </c>
      <c r="E44" s="20">
        <v>4870</v>
      </c>
      <c r="F44" s="20">
        <v>5063.53</v>
      </c>
      <c r="G44" s="29">
        <f t="shared" si="0"/>
        <v>460.32090909090908</v>
      </c>
      <c r="H44" s="29">
        <f t="shared" si="1"/>
        <v>4603.2090909090903</v>
      </c>
      <c r="I44" s="29">
        <f t="shared" si="2"/>
        <v>266.79090909090974</v>
      </c>
      <c r="J44" s="30">
        <f t="shared" si="3"/>
        <v>5.7957590850651768E-2</v>
      </c>
      <c r="K44" s="20" t="s">
        <v>111</v>
      </c>
    </row>
    <row r="45" spans="1:11" x14ac:dyDescent="0.25">
      <c r="A45" s="22">
        <v>46154</v>
      </c>
      <c r="B45" s="20" t="s">
        <v>32</v>
      </c>
      <c r="C45" s="21">
        <v>351500505662241</v>
      </c>
      <c r="D45" s="20" t="s">
        <v>91</v>
      </c>
      <c r="E45" s="20">
        <v>4870</v>
      </c>
      <c r="F45" s="20">
        <v>5063.53</v>
      </c>
      <c r="G45" s="29">
        <f t="shared" si="0"/>
        <v>460.32090909090908</v>
      </c>
      <c r="H45" s="29">
        <f t="shared" si="1"/>
        <v>4603.2090909090903</v>
      </c>
      <c r="I45" s="29">
        <f t="shared" si="2"/>
        <v>266.79090909090974</v>
      </c>
      <c r="J45" s="30">
        <f t="shared" si="3"/>
        <v>5.7957590850651768E-2</v>
      </c>
      <c r="K45" s="20" t="s">
        <v>111</v>
      </c>
    </row>
    <row r="46" spans="1:11" x14ac:dyDescent="0.25">
      <c r="A46" s="22">
        <v>46154</v>
      </c>
      <c r="B46" s="20" t="s">
        <v>32</v>
      </c>
      <c r="C46" s="21">
        <v>353008934657137</v>
      </c>
      <c r="D46" s="20" t="s">
        <v>91</v>
      </c>
      <c r="E46" s="20">
        <v>4870</v>
      </c>
      <c r="F46" s="20">
        <v>5063.53</v>
      </c>
      <c r="G46" s="29">
        <f t="shared" si="0"/>
        <v>460.32090909090908</v>
      </c>
      <c r="H46" s="29">
        <f t="shared" si="1"/>
        <v>4603.2090909090903</v>
      </c>
      <c r="I46" s="29">
        <f t="shared" si="2"/>
        <v>266.79090909090974</v>
      </c>
      <c r="J46" s="30">
        <f t="shared" si="3"/>
        <v>5.7957590850651768E-2</v>
      </c>
      <c r="K46" s="20" t="s">
        <v>111</v>
      </c>
    </row>
    <row r="47" spans="1:11" x14ac:dyDescent="0.25">
      <c r="A47" s="22">
        <v>46154</v>
      </c>
      <c r="B47" s="20" t="s">
        <v>32</v>
      </c>
      <c r="C47" s="21">
        <v>357352405113493</v>
      </c>
      <c r="D47" s="20" t="s">
        <v>91</v>
      </c>
      <c r="E47" s="20">
        <v>4870</v>
      </c>
      <c r="F47" s="20">
        <v>5063.53</v>
      </c>
      <c r="G47" s="29">
        <f t="shared" si="0"/>
        <v>460.32090909090908</v>
      </c>
      <c r="H47" s="29">
        <f t="shared" si="1"/>
        <v>4603.2090909090903</v>
      </c>
      <c r="I47" s="29">
        <f t="shared" si="2"/>
        <v>266.79090909090974</v>
      </c>
      <c r="J47" s="30">
        <f t="shared" si="3"/>
        <v>5.7957590850651768E-2</v>
      </c>
      <c r="K47" s="20" t="s">
        <v>111</v>
      </c>
    </row>
    <row r="48" spans="1:11" x14ac:dyDescent="0.25">
      <c r="A48" s="22">
        <v>46154</v>
      </c>
      <c r="B48" s="20" t="s">
        <v>32</v>
      </c>
      <c r="C48" s="21">
        <v>359144419613602</v>
      </c>
      <c r="D48" s="20" t="s">
        <v>91</v>
      </c>
      <c r="E48" s="20">
        <v>4870</v>
      </c>
      <c r="F48" s="20">
        <v>5063.53</v>
      </c>
      <c r="G48" s="29">
        <f t="shared" si="0"/>
        <v>460.32090909090908</v>
      </c>
      <c r="H48" s="29">
        <f t="shared" si="1"/>
        <v>4603.2090909090903</v>
      </c>
      <c r="I48" s="29">
        <f t="shared" si="2"/>
        <v>266.79090909090974</v>
      </c>
      <c r="J48" s="30">
        <f t="shared" si="3"/>
        <v>5.7957590850651768E-2</v>
      </c>
      <c r="K48" s="20" t="s">
        <v>111</v>
      </c>
    </row>
    <row r="49" spans="1:11" x14ac:dyDescent="0.25">
      <c r="A49" s="22">
        <v>46154</v>
      </c>
      <c r="B49" s="20" t="s">
        <v>55</v>
      </c>
      <c r="C49" s="21" t="s">
        <v>160</v>
      </c>
      <c r="D49" s="20" t="s">
        <v>161</v>
      </c>
      <c r="E49" s="20">
        <v>1493.33</v>
      </c>
      <c r="F49" s="20">
        <v>1586.53</v>
      </c>
      <c r="G49" s="29">
        <f t="shared" si="0"/>
        <v>144.22999999999999</v>
      </c>
      <c r="H49" s="29">
        <f t="shared" si="1"/>
        <v>1442.3</v>
      </c>
      <c r="I49" s="29">
        <f t="shared" si="2"/>
        <v>51.029999999999973</v>
      </c>
      <c r="J49" s="30">
        <f t="shared" si="3"/>
        <v>3.5380988698606376E-2</v>
      </c>
      <c r="K49" s="20" t="s">
        <v>111</v>
      </c>
    </row>
    <row r="50" spans="1:11" x14ac:dyDescent="0.25">
      <c r="A50" s="22">
        <v>46154</v>
      </c>
      <c r="B50" s="20" t="s">
        <v>55</v>
      </c>
      <c r="C50" s="21" t="s">
        <v>162</v>
      </c>
      <c r="D50" s="20" t="s">
        <v>161</v>
      </c>
      <c r="E50" s="20">
        <v>1493.33</v>
      </c>
      <c r="F50" s="20">
        <v>1586.53</v>
      </c>
      <c r="G50" s="29">
        <f t="shared" si="0"/>
        <v>144.22999999999999</v>
      </c>
      <c r="H50" s="29">
        <f t="shared" si="1"/>
        <v>1442.3</v>
      </c>
      <c r="I50" s="29">
        <f t="shared" si="2"/>
        <v>51.029999999999973</v>
      </c>
      <c r="J50" s="30">
        <f t="shared" si="3"/>
        <v>3.5380988698606376E-2</v>
      </c>
      <c r="K50" s="20" t="s">
        <v>111</v>
      </c>
    </row>
    <row r="51" spans="1:11" x14ac:dyDescent="0.25">
      <c r="A51" s="22">
        <v>46154</v>
      </c>
      <c r="B51" s="20" t="s">
        <v>55</v>
      </c>
      <c r="C51" s="21" t="s">
        <v>163</v>
      </c>
      <c r="D51" s="20" t="s">
        <v>161</v>
      </c>
      <c r="E51" s="20">
        <v>1493.33</v>
      </c>
      <c r="F51" s="20">
        <v>1586.53</v>
      </c>
      <c r="G51" s="29">
        <f t="shared" si="0"/>
        <v>144.22999999999999</v>
      </c>
      <c r="H51" s="29">
        <f t="shared" si="1"/>
        <v>1442.3</v>
      </c>
      <c r="I51" s="29">
        <f t="shared" si="2"/>
        <v>51.029999999999973</v>
      </c>
      <c r="J51" s="30">
        <f t="shared" si="3"/>
        <v>3.5380988698606376E-2</v>
      </c>
      <c r="K51" s="20" t="s">
        <v>111</v>
      </c>
    </row>
    <row r="52" spans="1:11" x14ac:dyDescent="0.25">
      <c r="A52" s="22">
        <v>46154</v>
      </c>
      <c r="B52" s="20" t="s">
        <v>55</v>
      </c>
      <c r="C52" s="21" t="s">
        <v>164</v>
      </c>
      <c r="D52" s="20" t="s">
        <v>161</v>
      </c>
      <c r="E52" s="20">
        <v>1493.33</v>
      </c>
      <c r="F52" s="20">
        <v>1586.53</v>
      </c>
      <c r="G52" s="29">
        <f t="shared" si="0"/>
        <v>144.22999999999999</v>
      </c>
      <c r="H52" s="29">
        <f t="shared" si="1"/>
        <v>1442.3</v>
      </c>
      <c r="I52" s="29">
        <f t="shared" si="2"/>
        <v>51.029999999999973</v>
      </c>
      <c r="J52" s="30">
        <f t="shared" si="3"/>
        <v>3.5380988698606376E-2</v>
      </c>
      <c r="K52" s="20" t="s">
        <v>111</v>
      </c>
    </row>
    <row r="53" spans="1:11" x14ac:dyDescent="0.25">
      <c r="A53" s="22">
        <v>46154</v>
      </c>
      <c r="B53" s="20" t="s">
        <v>55</v>
      </c>
      <c r="C53" s="21" t="s">
        <v>165</v>
      </c>
      <c r="D53" s="20" t="s">
        <v>161</v>
      </c>
      <c r="E53" s="20">
        <v>1493.33</v>
      </c>
      <c r="F53" s="20">
        <v>1586.53</v>
      </c>
      <c r="G53" s="29">
        <f t="shared" si="0"/>
        <v>144.22999999999999</v>
      </c>
      <c r="H53" s="29">
        <f t="shared" si="1"/>
        <v>1442.3</v>
      </c>
      <c r="I53" s="29">
        <f t="shared" si="2"/>
        <v>51.029999999999973</v>
      </c>
      <c r="J53" s="30">
        <f t="shared" si="3"/>
        <v>3.5380988698606376E-2</v>
      </c>
      <c r="K53" s="20" t="s">
        <v>111</v>
      </c>
    </row>
    <row r="54" spans="1:11" x14ac:dyDescent="0.25">
      <c r="A54" s="22">
        <v>46154</v>
      </c>
      <c r="B54" s="20" t="s">
        <v>55</v>
      </c>
      <c r="C54" s="21" t="s">
        <v>166</v>
      </c>
      <c r="D54" s="20" t="s">
        <v>161</v>
      </c>
      <c r="E54" s="20">
        <v>1493.33</v>
      </c>
      <c r="F54" s="20">
        <v>1586.53</v>
      </c>
      <c r="G54" s="29">
        <f t="shared" si="0"/>
        <v>144.22999999999999</v>
      </c>
      <c r="H54" s="29">
        <f t="shared" si="1"/>
        <v>1442.3</v>
      </c>
      <c r="I54" s="29">
        <f t="shared" si="2"/>
        <v>51.029999999999973</v>
      </c>
      <c r="J54" s="30">
        <f t="shared" si="3"/>
        <v>3.5380988698606376E-2</v>
      </c>
      <c r="K54" s="20" t="s">
        <v>111</v>
      </c>
    </row>
    <row r="55" spans="1:11" x14ac:dyDescent="0.25">
      <c r="A55" s="22">
        <v>46154</v>
      </c>
      <c r="B55" s="20" t="s">
        <v>116</v>
      </c>
      <c r="C55" s="21" t="s">
        <v>167</v>
      </c>
      <c r="D55" s="20" t="s">
        <v>30</v>
      </c>
      <c r="E55" s="20">
        <v>1243</v>
      </c>
      <c r="F55" s="20">
        <v>1013.35</v>
      </c>
      <c r="G55" s="29">
        <f t="shared" si="0"/>
        <v>92.122727272727275</v>
      </c>
      <c r="H55" s="29">
        <f t="shared" si="1"/>
        <v>921.22727272727275</v>
      </c>
      <c r="I55" s="29">
        <f t="shared" si="2"/>
        <v>321.77272727272725</v>
      </c>
      <c r="J55" s="30">
        <f t="shared" si="3"/>
        <v>0.34928701830561992</v>
      </c>
      <c r="K55" s="20" t="s">
        <v>111</v>
      </c>
    </row>
    <row r="56" spans="1:11" x14ac:dyDescent="0.25">
      <c r="A56" s="22">
        <v>46154</v>
      </c>
      <c r="B56" s="20" t="s">
        <v>116</v>
      </c>
      <c r="C56" s="21" t="s">
        <v>168</v>
      </c>
      <c r="D56" s="20" t="s">
        <v>30</v>
      </c>
      <c r="E56" s="20">
        <v>1243</v>
      </c>
      <c r="F56" s="20">
        <v>1145.75</v>
      </c>
      <c r="G56" s="29">
        <f t="shared" si="0"/>
        <v>104.15909090909091</v>
      </c>
      <c r="H56" s="29">
        <f t="shared" si="1"/>
        <v>1041.590909090909</v>
      </c>
      <c r="I56" s="29">
        <f t="shared" si="2"/>
        <v>201.40909090909099</v>
      </c>
      <c r="J56" s="30">
        <f t="shared" si="3"/>
        <v>0.19336679031202278</v>
      </c>
      <c r="K56" s="20" t="s">
        <v>111</v>
      </c>
    </row>
    <row r="57" spans="1:11" x14ac:dyDescent="0.25">
      <c r="A57" s="22">
        <v>46154</v>
      </c>
      <c r="B57" s="20" t="s">
        <v>116</v>
      </c>
      <c r="C57" s="21" t="s">
        <v>169</v>
      </c>
      <c r="D57" s="20" t="s">
        <v>30</v>
      </c>
      <c r="E57" s="20">
        <v>1243</v>
      </c>
      <c r="F57" s="20">
        <v>916.45</v>
      </c>
      <c r="G57" s="29">
        <f t="shared" si="0"/>
        <v>83.313636363636363</v>
      </c>
      <c r="H57" s="29">
        <f t="shared" si="1"/>
        <v>833.13636363636374</v>
      </c>
      <c r="I57" s="29">
        <f t="shared" si="2"/>
        <v>409.86363636363626</v>
      </c>
      <c r="J57" s="30">
        <f t="shared" si="3"/>
        <v>0.49195264335206484</v>
      </c>
      <c r="K57" s="20" t="s">
        <v>111</v>
      </c>
    </row>
    <row r="58" spans="1:11" x14ac:dyDescent="0.25">
      <c r="A58" s="22">
        <v>46154</v>
      </c>
      <c r="B58" s="20" t="s">
        <v>116</v>
      </c>
      <c r="C58" s="21" t="s">
        <v>170</v>
      </c>
      <c r="D58" s="20" t="s">
        <v>30</v>
      </c>
      <c r="E58" s="20">
        <v>1243</v>
      </c>
      <c r="F58" s="20">
        <v>1155.93</v>
      </c>
      <c r="G58" s="29">
        <f t="shared" si="0"/>
        <v>105.08454545454546</v>
      </c>
      <c r="H58" s="29">
        <f t="shared" si="1"/>
        <v>1050.8454545454547</v>
      </c>
      <c r="I58" s="29">
        <f t="shared" si="2"/>
        <v>192.15454545454531</v>
      </c>
      <c r="J58" s="30">
        <f t="shared" si="3"/>
        <v>0.18285709342261194</v>
      </c>
      <c r="K58" s="20" t="s">
        <v>111</v>
      </c>
    </row>
    <row r="59" spans="1:11" x14ac:dyDescent="0.25">
      <c r="A59" s="22">
        <v>46154</v>
      </c>
      <c r="B59" s="20" t="s">
        <v>116</v>
      </c>
      <c r="C59" s="21" t="s">
        <v>171</v>
      </c>
      <c r="D59" s="20" t="s">
        <v>30</v>
      </c>
      <c r="E59" s="20">
        <v>1250</v>
      </c>
      <c r="F59" s="20">
        <v>916.45</v>
      </c>
      <c r="G59" s="29">
        <f t="shared" si="0"/>
        <v>83.313636363636363</v>
      </c>
      <c r="H59" s="29">
        <f t="shared" si="1"/>
        <v>833.13636363636374</v>
      </c>
      <c r="I59" s="29">
        <f t="shared" si="2"/>
        <v>416.86363636363626</v>
      </c>
      <c r="J59" s="30">
        <f t="shared" si="3"/>
        <v>0.50035462927601049</v>
      </c>
      <c r="K59" s="20" t="s">
        <v>111</v>
      </c>
    </row>
    <row r="60" spans="1:11" x14ac:dyDescent="0.25">
      <c r="A60" s="22">
        <v>46154</v>
      </c>
      <c r="B60" s="20" t="s">
        <v>116</v>
      </c>
      <c r="C60" s="21" t="s">
        <v>172</v>
      </c>
      <c r="D60" s="20" t="s">
        <v>30</v>
      </c>
      <c r="E60" s="20">
        <v>1243</v>
      </c>
      <c r="F60" s="20">
        <v>916.45</v>
      </c>
      <c r="G60" s="29">
        <f t="shared" si="0"/>
        <v>83.313636363636363</v>
      </c>
      <c r="H60" s="29">
        <f t="shared" si="1"/>
        <v>833.13636363636374</v>
      </c>
      <c r="I60" s="29">
        <f t="shared" si="2"/>
        <v>409.86363636363626</v>
      </c>
      <c r="J60" s="30">
        <f t="shared" si="3"/>
        <v>0.49195264335206484</v>
      </c>
      <c r="K60" s="20" t="s">
        <v>111</v>
      </c>
    </row>
    <row r="61" spans="1:11" x14ac:dyDescent="0.25">
      <c r="A61" s="22">
        <v>46154</v>
      </c>
      <c r="B61" s="20" t="s">
        <v>116</v>
      </c>
      <c r="C61" s="21" t="s">
        <v>173</v>
      </c>
      <c r="D61" s="20" t="s">
        <v>30</v>
      </c>
      <c r="E61" s="20">
        <v>1243</v>
      </c>
      <c r="F61" s="20">
        <v>916.45</v>
      </c>
      <c r="G61" s="29">
        <f t="shared" si="0"/>
        <v>83.313636363636363</v>
      </c>
      <c r="H61" s="29">
        <f t="shared" si="1"/>
        <v>833.13636363636374</v>
      </c>
      <c r="I61" s="29">
        <f t="shared" si="2"/>
        <v>409.86363636363626</v>
      </c>
      <c r="J61" s="30">
        <f t="shared" si="3"/>
        <v>0.49195264335206484</v>
      </c>
      <c r="K61" s="20" t="s">
        <v>111</v>
      </c>
    </row>
    <row r="62" spans="1:11" x14ac:dyDescent="0.25">
      <c r="A62" s="22">
        <v>46154</v>
      </c>
      <c r="B62" s="20" t="s">
        <v>116</v>
      </c>
      <c r="C62" s="21" t="s">
        <v>175</v>
      </c>
      <c r="D62" s="20" t="s">
        <v>30</v>
      </c>
      <c r="E62" s="20">
        <v>1243</v>
      </c>
      <c r="F62" s="20">
        <v>1145.75</v>
      </c>
      <c r="G62" s="29">
        <f t="shared" si="0"/>
        <v>104.15909090909091</v>
      </c>
      <c r="H62" s="29">
        <f t="shared" si="1"/>
        <v>1041.590909090909</v>
      </c>
      <c r="I62" s="29">
        <f t="shared" si="2"/>
        <v>201.40909090909099</v>
      </c>
      <c r="J62" s="30">
        <f t="shared" si="3"/>
        <v>0.19336679031202278</v>
      </c>
      <c r="K62" s="20" t="s">
        <v>111</v>
      </c>
    </row>
    <row r="63" spans="1:11" x14ac:dyDescent="0.25">
      <c r="A63" s="22">
        <v>46154</v>
      </c>
      <c r="B63" s="20" t="s">
        <v>116</v>
      </c>
      <c r="C63" s="21" t="s">
        <v>176</v>
      </c>
      <c r="D63" s="20" t="s">
        <v>30</v>
      </c>
      <c r="E63" s="20">
        <v>1243</v>
      </c>
      <c r="F63" s="20">
        <v>916.45</v>
      </c>
      <c r="G63" s="29">
        <f t="shared" si="0"/>
        <v>83.313636363636363</v>
      </c>
      <c r="H63" s="29">
        <f t="shared" si="1"/>
        <v>833.13636363636374</v>
      </c>
      <c r="I63" s="29">
        <f t="shared" si="2"/>
        <v>409.86363636363626</v>
      </c>
      <c r="J63" s="30">
        <f t="shared" si="3"/>
        <v>0.49195264335206484</v>
      </c>
      <c r="K63" s="20" t="s">
        <v>111</v>
      </c>
    </row>
    <row r="64" spans="1:11" x14ac:dyDescent="0.25">
      <c r="A64" s="22">
        <v>46154</v>
      </c>
      <c r="B64" s="20" t="s">
        <v>116</v>
      </c>
      <c r="C64" s="21" t="s">
        <v>177</v>
      </c>
      <c r="D64" s="20" t="s">
        <v>30</v>
      </c>
      <c r="E64" s="20">
        <v>1243</v>
      </c>
      <c r="F64" s="20">
        <v>916.45</v>
      </c>
      <c r="G64" s="29">
        <f t="shared" si="0"/>
        <v>83.313636363636363</v>
      </c>
      <c r="H64" s="29">
        <f t="shared" si="1"/>
        <v>833.13636363636374</v>
      </c>
      <c r="I64" s="29">
        <f t="shared" si="2"/>
        <v>409.86363636363626</v>
      </c>
      <c r="J64" s="30">
        <f t="shared" si="3"/>
        <v>0.49195264335206484</v>
      </c>
      <c r="K64" s="20" t="s">
        <v>111</v>
      </c>
    </row>
    <row r="65" spans="1:11" x14ac:dyDescent="0.25">
      <c r="A65" s="22">
        <v>46154</v>
      </c>
      <c r="B65" s="20" t="s">
        <v>116</v>
      </c>
      <c r="C65" s="21" t="s">
        <v>178</v>
      </c>
      <c r="D65" s="20" t="s">
        <v>30</v>
      </c>
      <c r="E65" s="20">
        <v>1243</v>
      </c>
      <c r="F65" s="20">
        <v>916.45</v>
      </c>
      <c r="G65" s="29">
        <f t="shared" si="0"/>
        <v>83.313636363636363</v>
      </c>
      <c r="H65" s="29">
        <f t="shared" si="1"/>
        <v>833.13636363636374</v>
      </c>
      <c r="I65" s="29">
        <f t="shared" si="2"/>
        <v>409.86363636363626</v>
      </c>
      <c r="J65" s="30">
        <f t="shared" si="3"/>
        <v>0.49195264335206484</v>
      </c>
      <c r="K65" s="20" t="s">
        <v>111</v>
      </c>
    </row>
    <row r="66" spans="1:11" x14ac:dyDescent="0.25">
      <c r="A66" s="22">
        <v>46154</v>
      </c>
      <c r="B66" s="20" t="s">
        <v>116</v>
      </c>
      <c r="C66" s="21" t="s">
        <v>179</v>
      </c>
      <c r="D66" s="20" t="s">
        <v>30</v>
      </c>
      <c r="E66" s="20">
        <v>1243</v>
      </c>
      <c r="F66" s="20">
        <v>916.45</v>
      </c>
      <c r="G66" s="29">
        <f t="shared" si="0"/>
        <v>83.313636363636363</v>
      </c>
      <c r="H66" s="29">
        <f t="shared" si="1"/>
        <v>833.13636363636374</v>
      </c>
      <c r="I66" s="29">
        <f t="shared" si="2"/>
        <v>409.86363636363626</v>
      </c>
      <c r="J66" s="30">
        <f t="shared" si="3"/>
        <v>0.49195264335206484</v>
      </c>
      <c r="K66" s="20" t="s">
        <v>111</v>
      </c>
    </row>
    <row r="67" spans="1:11" x14ac:dyDescent="0.25">
      <c r="A67" s="22">
        <v>46154</v>
      </c>
      <c r="B67" s="20" t="s">
        <v>116</v>
      </c>
      <c r="C67" s="21" t="s">
        <v>180</v>
      </c>
      <c r="D67" s="20" t="s">
        <v>30</v>
      </c>
      <c r="E67" s="20">
        <v>1243</v>
      </c>
      <c r="F67" s="20">
        <v>1013.35</v>
      </c>
      <c r="G67" s="29">
        <f t="shared" ref="G67:G130" si="4">F67/11</f>
        <v>92.122727272727275</v>
      </c>
      <c r="H67" s="29">
        <f t="shared" ref="H67:H130" si="5">F67-G67</f>
        <v>921.22727272727275</v>
      </c>
      <c r="I67" s="29">
        <f t="shared" ref="I67:I130" si="6">E67-H67</f>
        <v>321.77272727272725</v>
      </c>
      <c r="J67" s="30">
        <f t="shared" ref="J67:J130" si="7">(E67-H67)/H67</f>
        <v>0.34928701830561992</v>
      </c>
      <c r="K67" s="20" t="s">
        <v>111</v>
      </c>
    </row>
    <row r="68" spans="1:11" x14ac:dyDescent="0.25">
      <c r="A68" s="22">
        <v>46154</v>
      </c>
      <c r="B68" s="20" t="s">
        <v>116</v>
      </c>
      <c r="C68" s="21" t="s">
        <v>181</v>
      </c>
      <c r="D68" s="20" t="s">
        <v>30</v>
      </c>
      <c r="E68" s="20">
        <v>1243</v>
      </c>
      <c r="F68" s="20">
        <v>916.45</v>
      </c>
      <c r="G68" s="29">
        <f t="shared" si="4"/>
        <v>83.313636363636363</v>
      </c>
      <c r="H68" s="29">
        <f t="shared" si="5"/>
        <v>833.13636363636374</v>
      </c>
      <c r="I68" s="29">
        <f t="shared" si="6"/>
        <v>409.86363636363626</v>
      </c>
      <c r="J68" s="30">
        <f t="shared" si="7"/>
        <v>0.49195264335206484</v>
      </c>
      <c r="K68" s="20" t="s">
        <v>111</v>
      </c>
    </row>
    <row r="69" spans="1:11" x14ac:dyDescent="0.25">
      <c r="A69" s="22">
        <v>46154</v>
      </c>
      <c r="B69" s="20" t="s">
        <v>116</v>
      </c>
      <c r="C69" s="21" t="s">
        <v>183</v>
      </c>
      <c r="D69" s="20" t="s">
        <v>30</v>
      </c>
      <c r="E69" s="20">
        <v>1243</v>
      </c>
      <c r="F69" s="20">
        <v>916.45</v>
      </c>
      <c r="G69" s="29">
        <f t="shared" si="4"/>
        <v>83.313636363636363</v>
      </c>
      <c r="H69" s="29">
        <f t="shared" si="5"/>
        <v>833.13636363636374</v>
      </c>
      <c r="I69" s="29">
        <f t="shared" si="6"/>
        <v>409.86363636363626</v>
      </c>
      <c r="J69" s="30">
        <f t="shared" si="7"/>
        <v>0.49195264335206484</v>
      </c>
      <c r="K69" s="20" t="s">
        <v>111</v>
      </c>
    </row>
    <row r="70" spans="1:11" x14ac:dyDescent="0.25">
      <c r="A70" s="22">
        <v>46154</v>
      </c>
      <c r="B70" s="20" t="s">
        <v>116</v>
      </c>
      <c r="C70" s="21" t="s">
        <v>192</v>
      </c>
      <c r="D70" s="20" t="s">
        <v>30</v>
      </c>
      <c r="E70" s="20">
        <v>1243</v>
      </c>
      <c r="F70" s="20">
        <v>1145.75</v>
      </c>
      <c r="G70" s="29">
        <f t="shared" si="4"/>
        <v>104.15909090909091</v>
      </c>
      <c r="H70" s="29">
        <f t="shared" si="5"/>
        <v>1041.590909090909</v>
      </c>
      <c r="I70" s="29">
        <f t="shared" si="6"/>
        <v>201.40909090909099</v>
      </c>
      <c r="J70" s="30">
        <f t="shared" si="7"/>
        <v>0.19336679031202278</v>
      </c>
      <c r="K70" s="20" t="s">
        <v>111</v>
      </c>
    </row>
    <row r="71" spans="1:11" x14ac:dyDescent="0.25">
      <c r="A71" s="22">
        <v>46154</v>
      </c>
      <c r="B71" s="20" t="s">
        <v>116</v>
      </c>
      <c r="C71" s="21" t="s">
        <v>193</v>
      </c>
      <c r="D71" s="20" t="s">
        <v>30</v>
      </c>
      <c r="E71" s="20">
        <v>1243</v>
      </c>
      <c r="F71" s="20">
        <v>916.45</v>
      </c>
      <c r="G71" s="29">
        <f t="shared" si="4"/>
        <v>83.313636363636363</v>
      </c>
      <c r="H71" s="29">
        <f t="shared" si="5"/>
        <v>833.13636363636374</v>
      </c>
      <c r="I71" s="29">
        <f t="shared" si="6"/>
        <v>409.86363636363626</v>
      </c>
      <c r="J71" s="30">
        <f t="shared" si="7"/>
        <v>0.49195264335206484</v>
      </c>
      <c r="K71" s="20" t="s">
        <v>111</v>
      </c>
    </row>
    <row r="72" spans="1:11" x14ac:dyDescent="0.25">
      <c r="A72" s="22">
        <v>46154</v>
      </c>
      <c r="B72" s="20" t="s">
        <v>116</v>
      </c>
      <c r="C72" s="21" t="s">
        <v>194</v>
      </c>
      <c r="D72" s="20" t="s">
        <v>30</v>
      </c>
      <c r="E72" s="20">
        <v>1243</v>
      </c>
      <c r="F72" s="20">
        <v>916.45</v>
      </c>
      <c r="G72" s="29">
        <f t="shared" si="4"/>
        <v>83.313636363636363</v>
      </c>
      <c r="H72" s="29">
        <f t="shared" si="5"/>
        <v>833.13636363636374</v>
      </c>
      <c r="I72" s="29">
        <f t="shared" si="6"/>
        <v>409.86363636363626</v>
      </c>
      <c r="J72" s="30">
        <f t="shared" si="7"/>
        <v>0.49195264335206484</v>
      </c>
      <c r="K72" s="20" t="s">
        <v>111</v>
      </c>
    </row>
    <row r="73" spans="1:11" x14ac:dyDescent="0.25">
      <c r="A73" s="22">
        <v>46154</v>
      </c>
      <c r="B73" s="20" t="s">
        <v>116</v>
      </c>
      <c r="C73" s="21" t="s">
        <v>195</v>
      </c>
      <c r="D73" s="20" t="s">
        <v>30</v>
      </c>
      <c r="E73" s="20">
        <v>1243</v>
      </c>
      <c r="F73" s="20">
        <v>1145.75</v>
      </c>
      <c r="G73" s="29">
        <f t="shared" si="4"/>
        <v>104.15909090909091</v>
      </c>
      <c r="H73" s="29">
        <f t="shared" si="5"/>
        <v>1041.590909090909</v>
      </c>
      <c r="I73" s="29">
        <f t="shared" si="6"/>
        <v>201.40909090909099</v>
      </c>
      <c r="J73" s="30">
        <f t="shared" si="7"/>
        <v>0.19336679031202278</v>
      </c>
      <c r="K73" s="20" t="s">
        <v>111</v>
      </c>
    </row>
    <row r="74" spans="1:11" x14ac:dyDescent="0.25">
      <c r="A74" s="22">
        <v>46154</v>
      </c>
      <c r="B74" s="20" t="s">
        <v>116</v>
      </c>
      <c r="C74" s="21" t="s">
        <v>196</v>
      </c>
      <c r="D74" s="20" t="s">
        <v>30</v>
      </c>
      <c r="E74" s="20">
        <v>1243</v>
      </c>
      <c r="F74" s="20">
        <v>916.45</v>
      </c>
      <c r="G74" s="29">
        <f t="shared" si="4"/>
        <v>83.313636363636363</v>
      </c>
      <c r="H74" s="29">
        <f t="shared" si="5"/>
        <v>833.13636363636374</v>
      </c>
      <c r="I74" s="29">
        <f t="shared" si="6"/>
        <v>409.86363636363626</v>
      </c>
      <c r="J74" s="30">
        <f t="shared" si="7"/>
        <v>0.49195264335206484</v>
      </c>
      <c r="K74" s="20" t="s">
        <v>111</v>
      </c>
    </row>
    <row r="75" spans="1:11" x14ac:dyDescent="0.25">
      <c r="A75" s="22">
        <v>46154</v>
      </c>
      <c r="B75" s="20" t="s">
        <v>116</v>
      </c>
      <c r="C75" s="21" t="s">
        <v>197</v>
      </c>
      <c r="D75" s="20" t="s">
        <v>30</v>
      </c>
      <c r="E75" s="20">
        <v>1243</v>
      </c>
      <c r="F75" s="20">
        <v>1145.75</v>
      </c>
      <c r="G75" s="29">
        <f t="shared" si="4"/>
        <v>104.15909090909091</v>
      </c>
      <c r="H75" s="29">
        <f t="shared" si="5"/>
        <v>1041.590909090909</v>
      </c>
      <c r="I75" s="29">
        <f t="shared" si="6"/>
        <v>201.40909090909099</v>
      </c>
      <c r="J75" s="30">
        <f t="shared" si="7"/>
        <v>0.19336679031202278</v>
      </c>
      <c r="K75" s="20" t="s">
        <v>111</v>
      </c>
    </row>
    <row r="76" spans="1:11" x14ac:dyDescent="0.25">
      <c r="A76" s="22">
        <v>46154</v>
      </c>
      <c r="B76" s="20" t="s">
        <v>116</v>
      </c>
      <c r="C76" s="21" t="s">
        <v>198</v>
      </c>
      <c r="D76" s="20" t="s">
        <v>30</v>
      </c>
      <c r="E76" s="20">
        <v>1243</v>
      </c>
      <c r="F76" s="20">
        <v>916.45</v>
      </c>
      <c r="G76" s="29">
        <f t="shared" si="4"/>
        <v>83.313636363636363</v>
      </c>
      <c r="H76" s="29">
        <f t="shared" si="5"/>
        <v>833.13636363636374</v>
      </c>
      <c r="I76" s="29">
        <f t="shared" si="6"/>
        <v>409.86363636363626</v>
      </c>
      <c r="J76" s="30">
        <f t="shared" si="7"/>
        <v>0.49195264335206484</v>
      </c>
      <c r="K76" s="20" t="s">
        <v>111</v>
      </c>
    </row>
    <row r="77" spans="1:11" x14ac:dyDescent="0.25">
      <c r="A77" s="22">
        <v>46154</v>
      </c>
      <c r="B77" s="20" t="s">
        <v>116</v>
      </c>
      <c r="C77" s="21" t="s">
        <v>199</v>
      </c>
      <c r="D77" s="20" t="s">
        <v>30</v>
      </c>
      <c r="E77" s="20">
        <v>1243</v>
      </c>
      <c r="F77" s="20">
        <v>916.45</v>
      </c>
      <c r="G77" s="29">
        <f t="shared" si="4"/>
        <v>83.313636363636363</v>
      </c>
      <c r="H77" s="29">
        <f t="shared" si="5"/>
        <v>833.13636363636374</v>
      </c>
      <c r="I77" s="29">
        <f t="shared" si="6"/>
        <v>409.86363636363626</v>
      </c>
      <c r="J77" s="30">
        <f t="shared" si="7"/>
        <v>0.49195264335206484</v>
      </c>
      <c r="K77" s="20" t="s">
        <v>111</v>
      </c>
    </row>
    <row r="78" spans="1:11" x14ac:dyDescent="0.25">
      <c r="A78" s="22">
        <v>46154</v>
      </c>
      <c r="B78" s="20" t="s">
        <v>116</v>
      </c>
      <c r="C78" s="21" t="s">
        <v>200</v>
      </c>
      <c r="D78" s="20" t="s">
        <v>30</v>
      </c>
      <c r="E78" s="20">
        <v>1243</v>
      </c>
      <c r="F78" s="20">
        <v>916.45</v>
      </c>
      <c r="G78" s="29">
        <f t="shared" si="4"/>
        <v>83.313636363636363</v>
      </c>
      <c r="H78" s="29">
        <f t="shared" si="5"/>
        <v>833.13636363636374</v>
      </c>
      <c r="I78" s="29">
        <f t="shared" si="6"/>
        <v>409.86363636363626</v>
      </c>
      <c r="J78" s="30">
        <f t="shared" si="7"/>
        <v>0.49195264335206484</v>
      </c>
      <c r="K78" s="20" t="s">
        <v>111</v>
      </c>
    </row>
    <row r="79" spans="1:11" x14ac:dyDescent="0.25">
      <c r="A79" s="22">
        <v>46154</v>
      </c>
      <c r="B79" s="20" t="s">
        <v>116</v>
      </c>
      <c r="C79" s="21" t="s">
        <v>201</v>
      </c>
      <c r="D79" s="20" t="s">
        <v>30</v>
      </c>
      <c r="E79" s="20">
        <v>1243</v>
      </c>
      <c r="F79" s="20">
        <v>1145.75</v>
      </c>
      <c r="G79" s="29">
        <f t="shared" si="4"/>
        <v>104.15909090909091</v>
      </c>
      <c r="H79" s="29">
        <f t="shared" si="5"/>
        <v>1041.590909090909</v>
      </c>
      <c r="I79" s="29">
        <f t="shared" si="6"/>
        <v>201.40909090909099</v>
      </c>
      <c r="J79" s="30">
        <f t="shared" si="7"/>
        <v>0.19336679031202278</v>
      </c>
      <c r="K79" s="20" t="s">
        <v>111</v>
      </c>
    </row>
    <row r="80" spans="1:11" x14ac:dyDescent="0.25">
      <c r="A80" s="22">
        <v>46154</v>
      </c>
      <c r="B80" s="20" t="s">
        <v>116</v>
      </c>
      <c r="C80" s="21" t="s">
        <v>202</v>
      </c>
      <c r="D80" s="20" t="s">
        <v>30</v>
      </c>
      <c r="E80" s="20">
        <v>1243</v>
      </c>
      <c r="F80" s="20">
        <v>1145.75</v>
      </c>
      <c r="G80" s="29">
        <f t="shared" si="4"/>
        <v>104.15909090909091</v>
      </c>
      <c r="H80" s="29">
        <f t="shared" si="5"/>
        <v>1041.590909090909</v>
      </c>
      <c r="I80" s="29">
        <f t="shared" si="6"/>
        <v>201.40909090909099</v>
      </c>
      <c r="J80" s="30">
        <f t="shared" si="7"/>
        <v>0.19336679031202278</v>
      </c>
      <c r="K80" s="20" t="s">
        <v>111</v>
      </c>
    </row>
    <row r="81" spans="1:11" x14ac:dyDescent="0.25">
      <c r="A81" s="22">
        <v>46154</v>
      </c>
      <c r="B81" s="20" t="s">
        <v>116</v>
      </c>
      <c r="C81" s="21" t="s">
        <v>203</v>
      </c>
      <c r="D81" s="20" t="s">
        <v>30</v>
      </c>
      <c r="E81" s="20">
        <v>1243</v>
      </c>
      <c r="F81" s="20">
        <v>916.45</v>
      </c>
      <c r="G81" s="29">
        <f t="shared" si="4"/>
        <v>83.313636363636363</v>
      </c>
      <c r="H81" s="29">
        <f t="shared" si="5"/>
        <v>833.13636363636374</v>
      </c>
      <c r="I81" s="29">
        <f t="shared" si="6"/>
        <v>409.86363636363626</v>
      </c>
      <c r="J81" s="30">
        <f t="shared" si="7"/>
        <v>0.49195264335206484</v>
      </c>
      <c r="K81" s="20" t="s">
        <v>111</v>
      </c>
    </row>
    <row r="82" spans="1:11" x14ac:dyDescent="0.25">
      <c r="A82" s="22">
        <v>46154</v>
      </c>
      <c r="B82" s="20" t="s">
        <v>116</v>
      </c>
      <c r="C82" s="21" t="s">
        <v>204</v>
      </c>
      <c r="D82" s="20" t="s">
        <v>30</v>
      </c>
      <c r="E82" s="20">
        <v>1243</v>
      </c>
      <c r="F82" s="20">
        <v>916.45</v>
      </c>
      <c r="G82" s="29">
        <f t="shared" si="4"/>
        <v>83.313636363636363</v>
      </c>
      <c r="H82" s="29">
        <f t="shared" si="5"/>
        <v>833.13636363636374</v>
      </c>
      <c r="I82" s="29">
        <f t="shared" si="6"/>
        <v>409.86363636363626</v>
      </c>
      <c r="J82" s="30">
        <f t="shared" si="7"/>
        <v>0.49195264335206484</v>
      </c>
      <c r="K82" s="20" t="s">
        <v>111</v>
      </c>
    </row>
    <row r="83" spans="1:11" x14ac:dyDescent="0.25">
      <c r="A83" s="22">
        <v>46154</v>
      </c>
      <c r="B83" s="20" t="s">
        <v>116</v>
      </c>
      <c r="C83" s="21" t="s">
        <v>205</v>
      </c>
      <c r="D83" s="20" t="s">
        <v>30</v>
      </c>
      <c r="E83" s="20">
        <v>1243</v>
      </c>
      <c r="F83" s="20">
        <v>916.45</v>
      </c>
      <c r="G83" s="29">
        <f t="shared" si="4"/>
        <v>83.313636363636363</v>
      </c>
      <c r="H83" s="29">
        <f t="shared" si="5"/>
        <v>833.13636363636374</v>
      </c>
      <c r="I83" s="29">
        <f t="shared" si="6"/>
        <v>409.86363636363626</v>
      </c>
      <c r="J83" s="30">
        <f t="shared" si="7"/>
        <v>0.49195264335206484</v>
      </c>
      <c r="K83" s="20" t="s">
        <v>111</v>
      </c>
    </row>
    <row r="84" spans="1:11" x14ac:dyDescent="0.25">
      <c r="A84" s="22">
        <v>46154</v>
      </c>
      <c r="B84" s="20" t="s">
        <v>116</v>
      </c>
      <c r="C84" s="21" t="s">
        <v>206</v>
      </c>
      <c r="D84" s="20" t="s">
        <v>30</v>
      </c>
      <c r="E84" s="20">
        <v>1243</v>
      </c>
      <c r="F84" s="20">
        <v>1145.75</v>
      </c>
      <c r="G84" s="29">
        <f t="shared" si="4"/>
        <v>104.15909090909091</v>
      </c>
      <c r="H84" s="29">
        <f t="shared" si="5"/>
        <v>1041.590909090909</v>
      </c>
      <c r="I84" s="29">
        <f t="shared" si="6"/>
        <v>201.40909090909099</v>
      </c>
      <c r="J84" s="30">
        <f t="shared" si="7"/>
        <v>0.19336679031202278</v>
      </c>
      <c r="K84" s="20" t="s">
        <v>111</v>
      </c>
    </row>
    <row r="85" spans="1:11" x14ac:dyDescent="0.25">
      <c r="A85" s="22">
        <v>46154</v>
      </c>
      <c r="B85" s="20" t="s">
        <v>116</v>
      </c>
      <c r="C85" s="21" t="s">
        <v>207</v>
      </c>
      <c r="D85" s="20" t="s">
        <v>30</v>
      </c>
      <c r="E85" s="20">
        <v>1243</v>
      </c>
      <c r="F85" s="20">
        <v>916.45</v>
      </c>
      <c r="G85" s="29">
        <f t="shared" si="4"/>
        <v>83.313636363636363</v>
      </c>
      <c r="H85" s="29">
        <f t="shared" si="5"/>
        <v>833.13636363636374</v>
      </c>
      <c r="I85" s="29">
        <f t="shared" si="6"/>
        <v>409.86363636363626</v>
      </c>
      <c r="J85" s="30">
        <f t="shared" si="7"/>
        <v>0.49195264335206484</v>
      </c>
      <c r="K85" s="20" t="s">
        <v>111</v>
      </c>
    </row>
    <row r="86" spans="1:11" x14ac:dyDescent="0.25">
      <c r="A86" s="22">
        <v>46154</v>
      </c>
      <c r="B86" s="20" t="s">
        <v>116</v>
      </c>
      <c r="C86" s="21" t="s">
        <v>208</v>
      </c>
      <c r="D86" s="20" t="s">
        <v>30</v>
      </c>
      <c r="E86" s="20">
        <v>1243</v>
      </c>
      <c r="F86" s="20">
        <v>916.45</v>
      </c>
      <c r="G86" s="29">
        <f t="shared" si="4"/>
        <v>83.313636363636363</v>
      </c>
      <c r="H86" s="29">
        <f t="shared" si="5"/>
        <v>833.13636363636374</v>
      </c>
      <c r="I86" s="29">
        <f t="shared" si="6"/>
        <v>409.86363636363626</v>
      </c>
      <c r="J86" s="30">
        <f t="shared" si="7"/>
        <v>0.49195264335206484</v>
      </c>
      <c r="K86" s="20" t="s">
        <v>111</v>
      </c>
    </row>
    <row r="87" spans="1:11" x14ac:dyDescent="0.25">
      <c r="A87" s="22">
        <v>46154</v>
      </c>
      <c r="B87" s="20" t="s">
        <v>116</v>
      </c>
      <c r="C87" s="21" t="s">
        <v>209</v>
      </c>
      <c r="D87" s="20" t="s">
        <v>30</v>
      </c>
      <c r="E87" s="20">
        <v>1243</v>
      </c>
      <c r="F87" s="20">
        <v>916.45</v>
      </c>
      <c r="G87" s="29">
        <f t="shared" si="4"/>
        <v>83.313636363636363</v>
      </c>
      <c r="H87" s="29">
        <f t="shared" si="5"/>
        <v>833.13636363636374</v>
      </c>
      <c r="I87" s="29">
        <f t="shared" si="6"/>
        <v>409.86363636363626</v>
      </c>
      <c r="J87" s="30">
        <f t="shared" si="7"/>
        <v>0.49195264335206484</v>
      </c>
      <c r="K87" s="20" t="s">
        <v>111</v>
      </c>
    </row>
    <row r="88" spans="1:11" x14ac:dyDescent="0.25">
      <c r="A88" s="22">
        <v>46154</v>
      </c>
      <c r="B88" s="20" t="s">
        <v>116</v>
      </c>
      <c r="C88" s="21" t="s">
        <v>210</v>
      </c>
      <c r="D88" s="20" t="s">
        <v>30</v>
      </c>
      <c r="E88" s="20">
        <v>1243</v>
      </c>
      <c r="F88" s="20">
        <v>1013.35</v>
      </c>
      <c r="G88" s="29">
        <f t="shared" si="4"/>
        <v>92.122727272727275</v>
      </c>
      <c r="H88" s="29">
        <f t="shared" si="5"/>
        <v>921.22727272727275</v>
      </c>
      <c r="I88" s="29">
        <f t="shared" si="6"/>
        <v>321.77272727272725</v>
      </c>
      <c r="J88" s="30">
        <f t="shared" si="7"/>
        <v>0.34928701830561992</v>
      </c>
      <c r="K88" s="20" t="s">
        <v>111</v>
      </c>
    </row>
    <row r="89" spans="1:11" x14ac:dyDescent="0.25">
      <c r="A89" s="22">
        <v>46154</v>
      </c>
      <c r="B89" s="20" t="s">
        <v>116</v>
      </c>
      <c r="C89" s="21" t="s">
        <v>211</v>
      </c>
      <c r="D89" s="20" t="s">
        <v>30</v>
      </c>
      <c r="E89" s="20">
        <v>1250</v>
      </c>
      <c r="F89" s="20">
        <v>916.45</v>
      </c>
      <c r="G89" s="29">
        <f t="shared" si="4"/>
        <v>83.313636363636363</v>
      </c>
      <c r="H89" s="29">
        <f t="shared" si="5"/>
        <v>833.13636363636374</v>
      </c>
      <c r="I89" s="29">
        <f t="shared" si="6"/>
        <v>416.86363636363626</v>
      </c>
      <c r="J89" s="30">
        <f t="shared" si="7"/>
        <v>0.50035462927601049</v>
      </c>
      <c r="K89" s="20" t="s">
        <v>111</v>
      </c>
    </row>
    <row r="90" spans="1:11" x14ac:dyDescent="0.25">
      <c r="A90" s="22">
        <v>46154</v>
      </c>
      <c r="B90" s="20" t="s">
        <v>116</v>
      </c>
      <c r="C90" s="21" t="s">
        <v>212</v>
      </c>
      <c r="D90" s="20" t="s">
        <v>30</v>
      </c>
      <c r="E90" s="20">
        <v>1243</v>
      </c>
      <c r="F90" s="20">
        <v>1013.35</v>
      </c>
      <c r="G90" s="29">
        <f t="shared" si="4"/>
        <v>92.122727272727275</v>
      </c>
      <c r="H90" s="29">
        <f t="shared" si="5"/>
        <v>921.22727272727275</v>
      </c>
      <c r="I90" s="29">
        <f t="shared" si="6"/>
        <v>321.77272727272725</v>
      </c>
      <c r="J90" s="30">
        <f t="shared" si="7"/>
        <v>0.34928701830561992</v>
      </c>
      <c r="K90" s="20" t="s">
        <v>111</v>
      </c>
    </row>
    <row r="91" spans="1:11" x14ac:dyDescent="0.25">
      <c r="A91" s="22">
        <v>46154</v>
      </c>
      <c r="B91" s="20" t="s">
        <v>116</v>
      </c>
      <c r="C91" s="21" t="s">
        <v>213</v>
      </c>
      <c r="D91" s="20" t="s">
        <v>30</v>
      </c>
      <c r="E91" s="20">
        <v>1243</v>
      </c>
      <c r="F91" s="20">
        <v>916.45</v>
      </c>
      <c r="G91" s="29">
        <f t="shared" si="4"/>
        <v>83.313636363636363</v>
      </c>
      <c r="H91" s="29">
        <f t="shared" si="5"/>
        <v>833.13636363636374</v>
      </c>
      <c r="I91" s="29">
        <f t="shared" si="6"/>
        <v>409.86363636363626</v>
      </c>
      <c r="J91" s="30">
        <f t="shared" si="7"/>
        <v>0.49195264335206484</v>
      </c>
      <c r="K91" s="20" t="s">
        <v>111</v>
      </c>
    </row>
    <row r="92" spans="1:11" x14ac:dyDescent="0.25">
      <c r="A92" s="22">
        <v>46154</v>
      </c>
      <c r="B92" s="20" t="s">
        <v>116</v>
      </c>
      <c r="C92" s="21" t="s">
        <v>214</v>
      </c>
      <c r="D92" s="20" t="s">
        <v>30</v>
      </c>
      <c r="E92" s="20">
        <v>1243</v>
      </c>
      <c r="F92" s="20">
        <v>916.45</v>
      </c>
      <c r="G92" s="29">
        <f t="shared" si="4"/>
        <v>83.313636363636363</v>
      </c>
      <c r="H92" s="29">
        <f t="shared" si="5"/>
        <v>833.13636363636374</v>
      </c>
      <c r="I92" s="29">
        <f t="shared" si="6"/>
        <v>409.86363636363626</v>
      </c>
      <c r="J92" s="30">
        <f t="shared" si="7"/>
        <v>0.49195264335206484</v>
      </c>
      <c r="K92" s="20" t="s">
        <v>111</v>
      </c>
    </row>
    <row r="93" spans="1:11" x14ac:dyDescent="0.25">
      <c r="A93" s="22">
        <v>46154</v>
      </c>
      <c r="B93" s="20" t="s">
        <v>116</v>
      </c>
      <c r="C93" s="21" t="s">
        <v>215</v>
      </c>
      <c r="D93" s="20" t="s">
        <v>30</v>
      </c>
      <c r="E93" s="20">
        <v>1243</v>
      </c>
      <c r="F93" s="20">
        <v>1145.75</v>
      </c>
      <c r="G93" s="29">
        <f t="shared" si="4"/>
        <v>104.15909090909091</v>
      </c>
      <c r="H93" s="29">
        <f t="shared" si="5"/>
        <v>1041.590909090909</v>
      </c>
      <c r="I93" s="29">
        <f t="shared" si="6"/>
        <v>201.40909090909099</v>
      </c>
      <c r="J93" s="30">
        <f t="shared" si="7"/>
        <v>0.19336679031202278</v>
      </c>
      <c r="K93" s="20" t="s">
        <v>111</v>
      </c>
    </row>
    <row r="94" spans="1:11" x14ac:dyDescent="0.25">
      <c r="A94" s="22">
        <v>46154</v>
      </c>
      <c r="B94" s="20" t="s">
        <v>116</v>
      </c>
      <c r="C94" s="21" t="s">
        <v>216</v>
      </c>
      <c r="D94" s="20" t="s">
        <v>30</v>
      </c>
      <c r="E94" s="20">
        <v>1243</v>
      </c>
      <c r="F94" s="20">
        <v>1013.35</v>
      </c>
      <c r="G94" s="29">
        <f t="shared" si="4"/>
        <v>92.122727272727275</v>
      </c>
      <c r="H94" s="29">
        <f t="shared" si="5"/>
        <v>921.22727272727275</v>
      </c>
      <c r="I94" s="29">
        <f t="shared" si="6"/>
        <v>321.77272727272725</v>
      </c>
      <c r="J94" s="30">
        <f t="shared" si="7"/>
        <v>0.34928701830561992</v>
      </c>
      <c r="K94" s="20" t="s">
        <v>111</v>
      </c>
    </row>
    <row r="95" spans="1:11" x14ac:dyDescent="0.25">
      <c r="A95" s="22">
        <v>46154</v>
      </c>
      <c r="B95" s="20" t="s">
        <v>116</v>
      </c>
      <c r="C95" s="21" t="s">
        <v>217</v>
      </c>
      <c r="D95" s="20" t="s">
        <v>30</v>
      </c>
      <c r="E95" s="20">
        <v>1243</v>
      </c>
      <c r="F95" s="20">
        <v>916.45</v>
      </c>
      <c r="G95" s="29">
        <f t="shared" si="4"/>
        <v>83.313636363636363</v>
      </c>
      <c r="H95" s="29">
        <f t="shared" si="5"/>
        <v>833.13636363636374</v>
      </c>
      <c r="I95" s="29">
        <f t="shared" si="6"/>
        <v>409.86363636363626</v>
      </c>
      <c r="J95" s="30">
        <f t="shared" si="7"/>
        <v>0.49195264335206484</v>
      </c>
      <c r="K95" s="20" t="s">
        <v>111</v>
      </c>
    </row>
    <row r="96" spans="1:11" x14ac:dyDescent="0.25">
      <c r="A96" s="22">
        <v>46154</v>
      </c>
      <c r="B96" s="20" t="s">
        <v>116</v>
      </c>
      <c r="C96" s="21" t="s">
        <v>218</v>
      </c>
      <c r="D96" s="20" t="s">
        <v>30</v>
      </c>
      <c r="E96" s="20">
        <v>1243</v>
      </c>
      <c r="F96" s="20">
        <v>1145.75</v>
      </c>
      <c r="G96" s="29">
        <f t="shared" si="4"/>
        <v>104.15909090909091</v>
      </c>
      <c r="H96" s="29">
        <f t="shared" si="5"/>
        <v>1041.590909090909</v>
      </c>
      <c r="I96" s="29">
        <f t="shared" si="6"/>
        <v>201.40909090909099</v>
      </c>
      <c r="J96" s="30">
        <f t="shared" si="7"/>
        <v>0.19336679031202278</v>
      </c>
      <c r="K96" s="20" t="s">
        <v>111</v>
      </c>
    </row>
    <row r="97" spans="1:11" x14ac:dyDescent="0.25">
      <c r="A97" s="22">
        <v>46154</v>
      </c>
      <c r="B97" s="20" t="s">
        <v>116</v>
      </c>
      <c r="C97" s="21" t="s">
        <v>219</v>
      </c>
      <c r="D97" s="20" t="s">
        <v>30</v>
      </c>
      <c r="E97" s="20">
        <v>1243</v>
      </c>
      <c r="F97" s="20">
        <v>916.45</v>
      </c>
      <c r="G97" s="29">
        <f t="shared" si="4"/>
        <v>83.313636363636363</v>
      </c>
      <c r="H97" s="29">
        <f t="shared" si="5"/>
        <v>833.13636363636374</v>
      </c>
      <c r="I97" s="29">
        <f t="shared" si="6"/>
        <v>409.86363636363626</v>
      </c>
      <c r="J97" s="30">
        <f t="shared" si="7"/>
        <v>0.49195264335206484</v>
      </c>
      <c r="K97" s="20" t="s">
        <v>111</v>
      </c>
    </row>
    <row r="98" spans="1:11" x14ac:dyDescent="0.25">
      <c r="A98" s="22">
        <v>46154</v>
      </c>
      <c r="B98" s="20" t="s">
        <v>116</v>
      </c>
      <c r="C98" s="21" t="s">
        <v>220</v>
      </c>
      <c r="D98" s="20" t="s">
        <v>30</v>
      </c>
      <c r="E98" s="20">
        <v>1243</v>
      </c>
      <c r="F98" s="20">
        <v>916.45</v>
      </c>
      <c r="G98" s="29">
        <f t="shared" si="4"/>
        <v>83.313636363636363</v>
      </c>
      <c r="H98" s="29">
        <f t="shared" si="5"/>
        <v>833.13636363636374</v>
      </c>
      <c r="I98" s="29">
        <f t="shared" si="6"/>
        <v>409.86363636363626</v>
      </c>
      <c r="J98" s="30">
        <f t="shared" si="7"/>
        <v>0.49195264335206484</v>
      </c>
      <c r="K98" s="20" t="s">
        <v>111</v>
      </c>
    </row>
    <row r="99" spans="1:11" x14ac:dyDescent="0.25">
      <c r="A99" s="22">
        <v>46154</v>
      </c>
      <c r="B99" s="20" t="s">
        <v>116</v>
      </c>
      <c r="C99" s="21" t="s">
        <v>221</v>
      </c>
      <c r="D99" s="20" t="s">
        <v>30</v>
      </c>
      <c r="E99" s="20">
        <v>1250</v>
      </c>
      <c r="F99" s="20">
        <v>916.45</v>
      </c>
      <c r="G99" s="29">
        <f t="shared" si="4"/>
        <v>83.313636363636363</v>
      </c>
      <c r="H99" s="29">
        <f t="shared" si="5"/>
        <v>833.13636363636374</v>
      </c>
      <c r="I99" s="29">
        <f t="shared" si="6"/>
        <v>416.86363636363626</v>
      </c>
      <c r="J99" s="30">
        <f t="shared" si="7"/>
        <v>0.50035462927601049</v>
      </c>
      <c r="K99" s="20" t="s">
        <v>111</v>
      </c>
    </row>
    <row r="100" spans="1:11" x14ac:dyDescent="0.25">
      <c r="A100" s="22">
        <v>46154</v>
      </c>
      <c r="B100" s="20" t="s">
        <v>116</v>
      </c>
      <c r="C100" s="21" t="s">
        <v>222</v>
      </c>
      <c r="D100" s="20" t="s">
        <v>30</v>
      </c>
      <c r="E100" s="20">
        <v>1243</v>
      </c>
      <c r="F100" s="20">
        <v>916.45</v>
      </c>
      <c r="G100" s="29">
        <f t="shared" si="4"/>
        <v>83.313636363636363</v>
      </c>
      <c r="H100" s="29">
        <f t="shared" si="5"/>
        <v>833.13636363636374</v>
      </c>
      <c r="I100" s="29">
        <f t="shared" si="6"/>
        <v>409.86363636363626</v>
      </c>
      <c r="J100" s="30">
        <f t="shared" si="7"/>
        <v>0.49195264335206484</v>
      </c>
      <c r="K100" s="20" t="s">
        <v>111</v>
      </c>
    </row>
    <row r="101" spans="1:11" x14ac:dyDescent="0.25">
      <c r="A101" s="22">
        <v>46154</v>
      </c>
      <c r="B101" s="20" t="s">
        <v>116</v>
      </c>
      <c r="C101" s="21" t="s">
        <v>223</v>
      </c>
      <c r="D101" s="20" t="s">
        <v>30</v>
      </c>
      <c r="E101" s="20">
        <v>1243</v>
      </c>
      <c r="F101" s="20">
        <v>916.45</v>
      </c>
      <c r="G101" s="29">
        <f t="shared" si="4"/>
        <v>83.313636363636363</v>
      </c>
      <c r="H101" s="29">
        <f t="shared" si="5"/>
        <v>833.13636363636374</v>
      </c>
      <c r="I101" s="29">
        <f t="shared" si="6"/>
        <v>409.86363636363626</v>
      </c>
      <c r="J101" s="30">
        <f t="shared" si="7"/>
        <v>0.49195264335206484</v>
      </c>
      <c r="K101" s="20" t="s">
        <v>111</v>
      </c>
    </row>
    <row r="102" spans="1:11" x14ac:dyDescent="0.25">
      <c r="A102" s="22">
        <v>46154</v>
      </c>
      <c r="B102" s="20" t="s">
        <v>116</v>
      </c>
      <c r="C102" s="21" t="s">
        <v>224</v>
      </c>
      <c r="D102" s="20" t="s">
        <v>30</v>
      </c>
      <c r="E102" s="20">
        <v>1243</v>
      </c>
      <c r="F102" s="20">
        <v>916.45</v>
      </c>
      <c r="G102" s="29">
        <f t="shared" si="4"/>
        <v>83.313636363636363</v>
      </c>
      <c r="H102" s="29">
        <f t="shared" si="5"/>
        <v>833.13636363636374</v>
      </c>
      <c r="I102" s="29">
        <f t="shared" si="6"/>
        <v>409.86363636363626</v>
      </c>
      <c r="J102" s="30">
        <f t="shared" si="7"/>
        <v>0.49195264335206484</v>
      </c>
      <c r="K102" s="20" t="s">
        <v>111</v>
      </c>
    </row>
    <row r="103" spans="1:11" x14ac:dyDescent="0.25">
      <c r="A103" s="22">
        <v>46154</v>
      </c>
      <c r="B103" s="20" t="s">
        <v>116</v>
      </c>
      <c r="C103" s="21" t="s">
        <v>225</v>
      </c>
      <c r="D103" s="20" t="s">
        <v>30</v>
      </c>
      <c r="E103" s="20">
        <v>1243</v>
      </c>
      <c r="F103" s="20">
        <v>916.45</v>
      </c>
      <c r="G103" s="29">
        <f t="shared" si="4"/>
        <v>83.313636363636363</v>
      </c>
      <c r="H103" s="29">
        <f t="shared" si="5"/>
        <v>833.13636363636374</v>
      </c>
      <c r="I103" s="29">
        <f t="shared" si="6"/>
        <v>409.86363636363626</v>
      </c>
      <c r="J103" s="30">
        <f t="shared" si="7"/>
        <v>0.49195264335206484</v>
      </c>
      <c r="K103" s="20" t="s">
        <v>111</v>
      </c>
    </row>
    <row r="104" spans="1:11" x14ac:dyDescent="0.25">
      <c r="A104" s="22">
        <v>46154</v>
      </c>
      <c r="B104" s="20" t="s">
        <v>116</v>
      </c>
      <c r="C104" s="21" t="s">
        <v>226</v>
      </c>
      <c r="D104" s="20" t="s">
        <v>30</v>
      </c>
      <c r="E104" s="20">
        <v>1250</v>
      </c>
      <c r="F104" s="20">
        <v>916.45</v>
      </c>
      <c r="G104" s="29">
        <f t="shared" si="4"/>
        <v>83.313636363636363</v>
      </c>
      <c r="H104" s="29">
        <f t="shared" si="5"/>
        <v>833.13636363636374</v>
      </c>
      <c r="I104" s="29">
        <f t="shared" si="6"/>
        <v>416.86363636363626</v>
      </c>
      <c r="J104" s="30">
        <f t="shared" si="7"/>
        <v>0.50035462927601049</v>
      </c>
      <c r="K104" s="20" t="s">
        <v>111</v>
      </c>
    </row>
    <row r="105" spans="1:11" x14ac:dyDescent="0.25">
      <c r="A105" s="22">
        <v>46154</v>
      </c>
      <c r="B105" s="20" t="s">
        <v>116</v>
      </c>
      <c r="C105" s="21" t="s">
        <v>227</v>
      </c>
      <c r="D105" s="20" t="s">
        <v>30</v>
      </c>
      <c r="E105" s="20">
        <v>1243</v>
      </c>
      <c r="F105" s="20">
        <v>1145.75</v>
      </c>
      <c r="G105" s="29">
        <f t="shared" si="4"/>
        <v>104.15909090909091</v>
      </c>
      <c r="H105" s="29">
        <f t="shared" si="5"/>
        <v>1041.590909090909</v>
      </c>
      <c r="I105" s="29">
        <f t="shared" si="6"/>
        <v>201.40909090909099</v>
      </c>
      <c r="J105" s="30">
        <f t="shared" si="7"/>
        <v>0.19336679031202278</v>
      </c>
      <c r="K105" s="20" t="s">
        <v>111</v>
      </c>
    </row>
    <row r="106" spans="1:11" x14ac:dyDescent="0.25">
      <c r="A106" s="22">
        <v>46154</v>
      </c>
      <c r="B106" s="20" t="s">
        <v>116</v>
      </c>
      <c r="C106" s="21" t="s">
        <v>228</v>
      </c>
      <c r="D106" s="20" t="s">
        <v>30</v>
      </c>
      <c r="E106" s="20">
        <v>1243</v>
      </c>
      <c r="F106" s="20">
        <v>916.45</v>
      </c>
      <c r="G106" s="29">
        <f t="shared" si="4"/>
        <v>83.313636363636363</v>
      </c>
      <c r="H106" s="29">
        <f t="shared" si="5"/>
        <v>833.13636363636374</v>
      </c>
      <c r="I106" s="29">
        <f t="shared" si="6"/>
        <v>409.86363636363626</v>
      </c>
      <c r="J106" s="30">
        <f t="shared" si="7"/>
        <v>0.49195264335206484</v>
      </c>
      <c r="K106" s="20" t="s">
        <v>111</v>
      </c>
    </row>
    <row r="107" spans="1:11" x14ac:dyDescent="0.25">
      <c r="A107" s="22">
        <v>46154</v>
      </c>
      <c r="B107" s="20" t="s">
        <v>116</v>
      </c>
      <c r="C107" s="21" t="s">
        <v>229</v>
      </c>
      <c r="D107" s="20" t="s">
        <v>30</v>
      </c>
      <c r="E107" s="20">
        <v>1243</v>
      </c>
      <c r="F107" s="20">
        <v>1013.35</v>
      </c>
      <c r="G107" s="29">
        <f t="shared" si="4"/>
        <v>92.122727272727275</v>
      </c>
      <c r="H107" s="29">
        <f t="shared" si="5"/>
        <v>921.22727272727275</v>
      </c>
      <c r="I107" s="29">
        <f t="shared" si="6"/>
        <v>321.77272727272725</v>
      </c>
      <c r="J107" s="30">
        <f t="shared" si="7"/>
        <v>0.34928701830561992</v>
      </c>
      <c r="K107" s="20" t="s">
        <v>111</v>
      </c>
    </row>
    <row r="108" spans="1:11" x14ac:dyDescent="0.25">
      <c r="A108" s="22">
        <v>46154</v>
      </c>
      <c r="B108" s="20" t="s">
        <v>116</v>
      </c>
      <c r="C108" s="21" t="s">
        <v>230</v>
      </c>
      <c r="D108" s="20" t="s">
        <v>30</v>
      </c>
      <c r="E108" s="20">
        <v>1243</v>
      </c>
      <c r="F108" s="20">
        <v>1013.35</v>
      </c>
      <c r="G108" s="29">
        <f t="shared" si="4"/>
        <v>92.122727272727275</v>
      </c>
      <c r="H108" s="29">
        <f t="shared" si="5"/>
        <v>921.22727272727275</v>
      </c>
      <c r="I108" s="29">
        <f t="shared" si="6"/>
        <v>321.77272727272725</v>
      </c>
      <c r="J108" s="30">
        <f t="shared" si="7"/>
        <v>0.34928701830561992</v>
      </c>
      <c r="K108" s="20" t="s">
        <v>111</v>
      </c>
    </row>
    <row r="109" spans="1:11" x14ac:dyDescent="0.25">
      <c r="A109" s="22">
        <v>46154</v>
      </c>
      <c r="B109" s="20" t="s">
        <v>116</v>
      </c>
      <c r="C109" s="21" t="s">
        <v>231</v>
      </c>
      <c r="D109" s="20" t="s">
        <v>30</v>
      </c>
      <c r="E109" s="20">
        <v>1243</v>
      </c>
      <c r="F109" s="20">
        <v>1155.93</v>
      </c>
      <c r="G109" s="29">
        <f t="shared" si="4"/>
        <v>105.08454545454546</v>
      </c>
      <c r="H109" s="29">
        <f t="shared" si="5"/>
        <v>1050.8454545454547</v>
      </c>
      <c r="I109" s="29">
        <f t="shared" si="6"/>
        <v>192.15454545454531</v>
      </c>
      <c r="J109" s="30">
        <f t="shared" si="7"/>
        <v>0.18285709342261194</v>
      </c>
      <c r="K109" s="20" t="s">
        <v>111</v>
      </c>
    </row>
    <row r="110" spans="1:11" x14ac:dyDescent="0.25">
      <c r="A110" s="22">
        <v>46154</v>
      </c>
      <c r="B110" s="20" t="s">
        <v>116</v>
      </c>
      <c r="C110" s="21" t="s">
        <v>232</v>
      </c>
      <c r="D110" s="20" t="s">
        <v>30</v>
      </c>
      <c r="E110" s="20">
        <v>1243</v>
      </c>
      <c r="F110" s="20">
        <v>1145.75</v>
      </c>
      <c r="G110" s="29">
        <f t="shared" si="4"/>
        <v>104.15909090909091</v>
      </c>
      <c r="H110" s="29">
        <f t="shared" si="5"/>
        <v>1041.590909090909</v>
      </c>
      <c r="I110" s="29">
        <f t="shared" si="6"/>
        <v>201.40909090909099</v>
      </c>
      <c r="J110" s="30">
        <f t="shared" si="7"/>
        <v>0.19336679031202278</v>
      </c>
      <c r="K110" s="20" t="s">
        <v>111</v>
      </c>
    </row>
    <row r="111" spans="1:11" x14ac:dyDescent="0.25">
      <c r="A111" s="22">
        <v>46154</v>
      </c>
      <c r="B111" s="20" t="s">
        <v>116</v>
      </c>
      <c r="C111" s="21" t="s">
        <v>233</v>
      </c>
      <c r="D111" s="20" t="s">
        <v>30</v>
      </c>
      <c r="E111" s="20">
        <v>1243</v>
      </c>
      <c r="F111" s="20">
        <v>916.45</v>
      </c>
      <c r="G111" s="29">
        <f t="shared" si="4"/>
        <v>83.313636363636363</v>
      </c>
      <c r="H111" s="29">
        <f t="shared" si="5"/>
        <v>833.13636363636374</v>
      </c>
      <c r="I111" s="29">
        <f t="shared" si="6"/>
        <v>409.86363636363626</v>
      </c>
      <c r="J111" s="30">
        <f t="shared" si="7"/>
        <v>0.49195264335206484</v>
      </c>
      <c r="K111" s="20" t="s">
        <v>111</v>
      </c>
    </row>
    <row r="112" spans="1:11" x14ac:dyDescent="0.25">
      <c r="A112" s="22">
        <v>46154</v>
      </c>
      <c r="B112" s="20" t="s">
        <v>116</v>
      </c>
      <c r="C112" s="21" t="s">
        <v>234</v>
      </c>
      <c r="D112" s="20" t="s">
        <v>30</v>
      </c>
      <c r="E112" s="20">
        <v>1250</v>
      </c>
      <c r="F112" s="20">
        <v>916.45</v>
      </c>
      <c r="G112" s="29">
        <f t="shared" si="4"/>
        <v>83.313636363636363</v>
      </c>
      <c r="H112" s="29">
        <f t="shared" si="5"/>
        <v>833.13636363636374</v>
      </c>
      <c r="I112" s="29">
        <f t="shared" si="6"/>
        <v>416.86363636363626</v>
      </c>
      <c r="J112" s="30">
        <f t="shared" si="7"/>
        <v>0.50035462927601049</v>
      </c>
      <c r="K112" s="20" t="s">
        <v>111</v>
      </c>
    </row>
    <row r="113" spans="1:11" x14ac:dyDescent="0.25">
      <c r="A113" s="22">
        <v>46154</v>
      </c>
      <c r="B113" s="20" t="s">
        <v>116</v>
      </c>
      <c r="C113" s="21" t="s">
        <v>235</v>
      </c>
      <c r="D113" s="20" t="s">
        <v>30</v>
      </c>
      <c r="E113" s="20">
        <v>1243</v>
      </c>
      <c r="F113" s="20">
        <v>916.45</v>
      </c>
      <c r="G113" s="29">
        <f t="shared" si="4"/>
        <v>83.313636363636363</v>
      </c>
      <c r="H113" s="29">
        <f t="shared" si="5"/>
        <v>833.13636363636374</v>
      </c>
      <c r="I113" s="29">
        <f t="shared" si="6"/>
        <v>409.86363636363626</v>
      </c>
      <c r="J113" s="30">
        <f t="shared" si="7"/>
        <v>0.49195264335206484</v>
      </c>
      <c r="K113" s="20" t="s">
        <v>111</v>
      </c>
    </row>
    <row r="114" spans="1:11" x14ac:dyDescent="0.25">
      <c r="A114" s="22">
        <v>46154</v>
      </c>
      <c r="B114" s="20" t="s">
        <v>116</v>
      </c>
      <c r="C114" s="21" t="s">
        <v>236</v>
      </c>
      <c r="D114" s="20" t="s">
        <v>30</v>
      </c>
      <c r="E114" s="20">
        <v>1243</v>
      </c>
      <c r="F114" s="20">
        <v>916.45</v>
      </c>
      <c r="G114" s="29">
        <f t="shared" si="4"/>
        <v>83.313636363636363</v>
      </c>
      <c r="H114" s="29">
        <f t="shared" si="5"/>
        <v>833.13636363636374</v>
      </c>
      <c r="I114" s="29">
        <f t="shared" si="6"/>
        <v>409.86363636363626</v>
      </c>
      <c r="J114" s="30">
        <f t="shared" si="7"/>
        <v>0.49195264335206484</v>
      </c>
      <c r="K114" s="20" t="s">
        <v>111</v>
      </c>
    </row>
    <row r="115" spans="1:11" x14ac:dyDescent="0.25">
      <c r="A115" s="22">
        <v>46154</v>
      </c>
      <c r="B115" s="20" t="s">
        <v>116</v>
      </c>
      <c r="C115" s="21" t="s">
        <v>237</v>
      </c>
      <c r="D115" s="20" t="s">
        <v>30</v>
      </c>
      <c r="E115" s="20">
        <v>1250</v>
      </c>
      <c r="F115" s="20">
        <v>916.45</v>
      </c>
      <c r="G115" s="29">
        <f t="shared" si="4"/>
        <v>83.313636363636363</v>
      </c>
      <c r="H115" s="29">
        <f t="shared" si="5"/>
        <v>833.13636363636374</v>
      </c>
      <c r="I115" s="29">
        <f t="shared" si="6"/>
        <v>416.86363636363626</v>
      </c>
      <c r="J115" s="30">
        <f t="shared" si="7"/>
        <v>0.50035462927601049</v>
      </c>
      <c r="K115" s="20" t="s">
        <v>111</v>
      </c>
    </row>
    <row r="116" spans="1:11" x14ac:dyDescent="0.25">
      <c r="A116" s="22">
        <v>46154</v>
      </c>
      <c r="B116" s="20" t="s">
        <v>116</v>
      </c>
      <c r="C116" s="21" t="s">
        <v>238</v>
      </c>
      <c r="D116" s="20" t="s">
        <v>30</v>
      </c>
      <c r="E116" s="20">
        <v>1243</v>
      </c>
      <c r="F116" s="20">
        <v>916.45</v>
      </c>
      <c r="G116" s="29">
        <f t="shared" si="4"/>
        <v>83.313636363636363</v>
      </c>
      <c r="H116" s="29">
        <f t="shared" si="5"/>
        <v>833.13636363636374</v>
      </c>
      <c r="I116" s="29">
        <f t="shared" si="6"/>
        <v>409.86363636363626</v>
      </c>
      <c r="J116" s="30">
        <f t="shared" si="7"/>
        <v>0.49195264335206484</v>
      </c>
      <c r="K116" s="20" t="s">
        <v>111</v>
      </c>
    </row>
    <row r="117" spans="1:11" x14ac:dyDescent="0.25">
      <c r="A117" s="22">
        <v>46154</v>
      </c>
      <c r="B117" s="20" t="s">
        <v>116</v>
      </c>
      <c r="C117" s="21" t="s">
        <v>239</v>
      </c>
      <c r="D117" s="20" t="s">
        <v>30</v>
      </c>
      <c r="E117" s="20">
        <v>1243</v>
      </c>
      <c r="F117" s="20">
        <v>916.45</v>
      </c>
      <c r="G117" s="29">
        <f t="shared" si="4"/>
        <v>83.313636363636363</v>
      </c>
      <c r="H117" s="29">
        <f t="shared" si="5"/>
        <v>833.13636363636374</v>
      </c>
      <c r="I117" s="29">
        <f t="shared" si="6"/>
        <v>409.86363636363626</v>
      </c>
      <c r="J117" s="30">
        <f t="shared" si="7"/>
        <v>0.49195264335206484</v>
      </c>
      <c r="K117" s="20" t="s">
        <v>111</v>
      </c>
    </row>
    <row r="118" spans="1:11" x14ac:dyDescent="0.25">
      <c r="A118" s="22">
        <v>46154</v>
      </c>
      <c r="B118" s="20" t="s">
        <v>116</v>
      </c>
      <c r="C118" s="21" t="s">
        <v>240</v>
      </c>
      <c r="D118" s="20" t="s">
        <v>30</v>
      </c>
      <c r="E118" s="20">
        <v>1243</v>
      </c>
      <c r="F118" s="20">
        <v>916.45</v>
      </c>
      <c r="G118" s="29">
        <f t="shared" si="4"/>
        <v>83.313636363636363</v>
      </c>
      <c r="H118" s="29">
        <f t="shared" si="5"/>
        <v>833.13636363636374</v>
      </c>
      <c r="I118" s="29">
        <f t="shared" si="6"/>
        <v>409.86363636363626</v>
      </c>
      <c r="J118" s="30">
        <f t="shared" si="7"/>
        <v>0.49195264335206484</v>
      </c>
      <c r="K118" s="20" t="s">
        <v>111</v>
      </c>
    </row>
    <row r="119" spans="1:11" x14ac:dyDescent="0.25">
      <c r="A119" s="22">
        <v>46154</v>
      </c>
      <c r="B119" s="20" t="s">
        <v>116</v>
      </c>
      <c r="C119" s="21" t="s">
        <v>241</v>
      </c>
      <c r="D119" s="20" t="s">
        <v>30</v>
      </c>
      <c r="E119" s="20">
        <v>1250</v>
      </c>
      <c r="F119" s="20">
        <v>916.45</v>
      </c>
      <c r="G119" s="29">
        <f t="shared" si="4"/>
        <v>83.313636363636363</v>
      </c>
      <c r="H119" s="29">
        <f t="shared" si="5"/>
        <v>833.13636363636374</v>
      </c>
      <c r="I119" s="29">
        <f t="shared" si="6"/>
        <v>416.86363636363626</v>
      </c>
      <c r="J119" s="30">
        <f t="shared" si="7"/>
        <v>0.50035462927601049</v>
      </c>
      <c r="K119" s="20" t="s">
        <v>111</v>
      </c>
    </row>
    <row r="120" spans="1:11" x14ac:dyDescent="0.25">
      <c r="A120" s="22">
        <v>46154</v>
      </c>
      <c r="B120" s="20" t="s">
        <v>116</v>
      </c>
      <c r="C120" s="21" t="s">
        <v>242</v>
      </c>
      <c r="D120" s="20" t="s">
        <v>30</v>
      </c>
      <c r="E120" s="20">
        <v>1243</v>
      </c>
      <c r="F120" s="20">
        <v>916.45</v>
      </c>
      <c r="G120" s="29">
        <f t="shared" si="4"/>
        <v>83.313636363636363</v>
      </c>
      <c r="H120" s="29">
        <f t="shared" si="5"/>
        <v>833.13636363636374</v>
      </c>
      <c r="I120" s="29">
        <f t="shared" si="6"/>
        <v>409.86363636363626</v>
      </c>
      <c r="J120" s="30">
        <f t="shared" si="7"/>
        <v>0.49195264335206484</v>
      </c>
      <c r="K120" s="20" t="s">
        <v>111</v>
      </c>
    </row>
    <row r="121" spans="1:11" x14ac:dyDescent="0.25">
      <c r="A121" s="22">
        <v>46154</v>
      </c>
      <c r="B121" s="20" t="s">
        <v>116</v>
      </c>
      <c r="C121" s="21" t="s">
        <v>243</v>
      </c>
      <c r="D121" s="20" t="s">
        <v>30</v>
      </c>
      <c r="E121" s="20">
        <v>1243</v>
      </c>
      <c r="F121" s="20">
        <v>1155.93</v>
      </c>
      <c r="G121" s="29">
        <f t="shared" si="4"/>
        <v>105.08454545454546</v>
      </c>
      <c r="H121" s="29">
        <f t="shared" si="5"/>
        <v>1050.8454545454547</v>
      </c>
      <c r="I121" s="29">
        <f t="shared" si="6"/>
        <v>192.15454545454531</v>
      </c>
      <c r="J121" s="30">
        <f t="shared" si="7"/>
        <v>0.18285709342261194</v>
      </c>
      <c r="K121" s="20" t="s">
        <v>111</v>
      </c>
    </row>
    <row r="122" spans="1:11" x14ac:dyDescent="0.25">
      <c r="A122" s="22">
        <v>46154</v>
      </c>
      <c r="B122" s="20" t="s">
        <v>116</v>
      </c>
      <c r="C122" s="21" t="s">
        <v>244</v>
      </c>
      <c r="D122" s="20" t="s">
        <v>30</v>
      </c>
      <c r="E122" s="20">
        <v>1243</v>
      </c>
      <c r="F122" s="20">
        <v>916.45</v>
      </c>
      <c r="G122" s="29">
        <f t="shared" si="4"/>
        <v>83.313636363636363</v>
      </c>
      <c r="H122" s="29">
        <f t="shared" si="5"/>
        <v>833.13636363636374</v>
      </c>
      <c r="I122" s="29">
        <f t="shared" si="6"/>
        <v>409.86363636363626</v>
      </c>
      <c r="J122" s="30">
        <f t="shared" si="7"/>
        <v>0.49195264335206484</v>
      </c>
      <c r="K122" s="20" t="s">
        <v>111</v>
      </c>
    </row>
    <row r="123" spans="1:11" x14ac:dyDescent="0.25">
      <c r="A123" s="22">
        <v>46154</v>
      </c>
      <c r="B123" s="20" t="s">
        <v>116</v>
      </c>
      <c r="C123" s="21" t="s">
        <v>245</v>
      </c>
      <c r="D123" s="20" t="s">
        <v>30</v>
      </c>
      <c r="E123" s="20">
        <v>1243</v>
      </c>
      <c r="F123" s="20">
        <v>916.45</v>
      </c>
      <c r="G123" s="29">
        <f t="shared" si="4"/>
        <v>83.313636363636363</v>
      </c>
      <c r="H123" s="29">
        <f t="shared" si="5"/>
        <v>833.13636363636374</v>
      </c>
      <c r="I123" s="29">
        <f t="shared" si="6"/>
        <v>409.86363636363626</v>
      </c>
      <c r="J123" s="30">
        <f t="shared" si="7"/>
        <v>0.49195264335206484</v>
      </c>
      <c r="K123" s="20" t="s">
        <v>111</v>
      </c>
    </row>
    <row r="124" spans="1:11" x14ac:dyDescent="0.25">
      <c r="A124" s="22">
        <v>46154</v>
      </c>
      <c r="B124" s="20" t="s">
        <v>116</v>
      </c>
      <c r="C124" s="21" t="s">
        <v>246</v>
      </c>
      <c r="D124" s="20" t="s">
        <v>30</v>
      </c>
      <c r="E124" s="20">
        <v>1250</v>
      </c>
      <c r="F124" s="20">
        <v>916.45</v>
      </c>
      <c r="G124" s="29">
        <f t="shared" si="4"/>
        <v>83.313636363636363</v>
      </c>
      <c r="H124" s="29">
        <f t="shared" si="5"/>
        <v>833.13636363636374</v>
      </c>
      <c r="I124" s="29">
        <f t="shared" si="6"/>
        <v>416.86363636363626</v>
      </c>
      <c r="J124" s="30">
        <f t="shared" si="7"/>
        <v>0.50035462927601049</v>
      </c>
      <c r="K124" s="20" t="s">
        <v>111</v>
      </c>
    </row>
    <row r="125" spans="1:11" x14ac:dyDescent="0.25">
      <c r="A125" s="22">
        <v>46154</v>
      </c>
      <c r="B125" s="20" t="s">
        <v>116</v>
      </c>
      <c r="C125" s="21" t="s">
        <v>247</v>
      </c>
      <c r="D125" s="20" t="s">
        <v>30</v>
      </c>
      <c r="E125" s="20">
        <v>1250</v>
      </c>
      <c r="F125" s="20">
        <v>916.45</v>
      </c>
      <c r="G125" s="29">
        <f t="shared" si="4"/>
        <v>83.313636363636363</v>
      </c>
      <c r="H125" s="29">
        <f t="shared" si="5"/>
        <v>833.13636363636374</v>
      </c>
      <c r="I125" s="29">
        <f t="shared" si="6"/>
        <v>416.86363636363626</v>
      </c>
      <c r="J125" s="30">
        <f t="shared" si="7"/>
        <v>0.50035462927601049</v>
      </c>
      <c r="K125" s="20" t="s">
        <v>111</v>
      </c>
    </row>
    <row r="126" spans="1:11" x14ac:dyDescent="0.25">
      <c r="A126" s="22">
        <v>46154</v>
      </c>
      <c r="B126" s="20" t="s">
        <v>116</v>
      </c>
      <c r="C126" s="21" t="s">
        <v>248</v>
      </c>
      <c r="D126" s="20" t="s">
        <v>30</v>
      </c>
      <c r="E126" s="20">
        <v>1243</v>
      </c>
      <c r="F126" s="20">
        <v>916.45</v>
      </c>
      <c r="G126" s="29">
        <f t="shared" si="4"/>
        <v>83.313636363636363</v>
      </c>
      <c r="H126" s="29">
        <f t="shared" si="5"/>
        <v>833.13636363636374</v>
      </c>
      <c r="I126" s="29">
        <f t="shared" si="6"/>
        <v>409.86363636363626</v>
      </c>
      <c r="J126" s="30">
        <f t="shared" si="7"/>
        <v>0.49195264335206484</v>
      </c>
      <c r="K126" s="20" t="s">
        <v>111</v>
      </c>
    </row>
    <row r="127" spans="1:11" x14ac:dyDescent="0.25">
      <c r="A127" s="22">
        <v>46154</v>
      </c>
      <c r="B127" s="20" t="s">
        <v>116</v>
      </c>
      <c r="C127" s="21" t="s">
        <v>249</v>
      </c>
      <c r="D127" s="20" t="s">
        <v>30</v>
      </c>
      <c r="E127" s="20">
        <v>1243</v>
      </c>
      <c r="F127" s="20">
        <v>916.45</v>
      </c>
      <c r="G127" s="29">
        <f t="shared" si="4"/>
        <v>83.313636363636363</v>
      </c>
      <c r="H127" s="29">
        <f t="shared" si="5"/>
        <v>833.13636363636374</v>
      </c>
      <c r="I127" s="29">
        <f t="shared" si="6"/>
        <v>409.86363636363626</v>
      </c>
      <c r="J127" s="30">
        <f t="shared" si="7"/>
        <v>0.49195264335206484</v>
      </c>
      <c r="K127" s="20" t="s">
        <v>111</v>
      </c>
    </row>
    <row r="128" spans="1:11" x14ac:dyDescent="0.25">
      <c r="A128" s="22">
        <v>46154</v>
      </c>
      <c r="B128" s="20" t="s">
        <v>116</v>
      </c>
      <c r="C128" s="21" t="s">
        <v>250</v>
      </c>
      <c r="D128" s="20" t="s">
        <v>30</v>
      </c>
      <c r="E128" s="20">
        <v>1243</v>
      </c>
      <c r="F128" s="20">
        <v>1145.75</v>
      </c>
      <c r="G128" s="29">
        <f t="shared" si="4"/>
        <v>104.15909090909091</v>
      </c>
      <c r="H128" s="29">
        <f t="shared" si="5"/>
        <v>1041.590909090909</v>
      </c>
      <c r="I128" s="29">
        <f t="shared" si="6"/>
        <v>201.40909090909099</v>
      </c>
      <c r="J128" s="30">
        <f t="shared" si="7"/>
        <v>0.19336679031202278</v>
      </c>
      <c r="K128" s="20" t="s">
        <v>111</v>
      </c>
    </row>
    <row r="129" spans="1:11" x14ac:dyDescent="0.25">
      <c r="A129" s="22">
        <v>46154</v>
      </c>
      <c r="B129" s="20" t="s">
        <v>116</v>
      </c>
      <c r="C129" s="21" t="s">
        <v>251</v>
      </c>
      <c r="D129" s="20" t="s">
        <v>30</v>
      </c>
      <c r="E129" s="20">
        <v>1243</v>
      </c>
      <c r="F129" s="20">
        <v>916.45</v>
      </c>
      <c r="G129" s="29">
        <f t="shared" si="4"/>
        <v>83.313636363636363</v>
      </c>
      <c r="H129" s="29">
        <f t="shared" si="5"/>
        <v>833.13636363636374</v>
      </c>
      <c r="I129" s="29">
        <f t="shared" si="6"/>
        <v>409.86363636363626</v>
      </c>
      <c r="J129" s="30">
        <f t="shared" si="7"/>
        <v>0.49195264335206484</v>
      </c>
      <c r="K129" s="20" t="s">
        <v>111</v>
      </c>
    </row>
    <row r="130" spans="1:11" x14ac:dyDescent="0.25">
      <c r="A130" s="22">
        <v>46154</v>
      </c>
      <c r="B130" s="20" t="s">
        <v>116</v>
      </c>
      <c r="C130" s="21" t="s">
        <v>252</v>
      </c>
      <c r="D130" s="20" t="s">
        <v>30</v>
      </c>
      <c r="E130" s="20">
        <v>1243</v>
      </c>
      <c r="F130" s="20">
        <v>916.45</v>
      </c>
      <c r="G130" s="29">
        <f t="shared" si="4"/>
        <v>83.313636363636363</v>
      </c>
      <c r="H130" s="29">
        <f t="shared" si="5"/>
        <v>833.13636363636374</v>
      </c>
      <c r="I130" s="29">
        <f t="shared" si="6"/>
        <v>409.86363636363626</v>
      </c>
      <c r="J130" s="30">
        <f t="shared" si="7"/>
        <v>0.49195264335206484</v>
      </c>
      <c r="K130" s="20" t="s">
        <v>111</v>
      </c>
    </row>
    <row r="131" spans="1:11" x14ac:dyDescent="0.25">
      <c r="A131" s="22">
        <v>46154</v>
      </c>
      <c r="B131" s="20" t="s">
        <v>116</v>
      </c>
      <c r="C131" s="21" t="s">
        <v>253</v>
      </c>
      <c r="D131" s="20" t="s">
        <v>30</v>
      </c>
      <c r="E131" s="20">
        <v>1250</v>
      </c>
      <c r="F131" s="20">
        <v>916.45</v>
      </c>
      <c r="G131" s="29">
        <f t="shared" ref="G131:G194" si="8">F131/11</f>
        <v>83.313636363636363</v>
      </c>
      <c r="H131" s="29">
        <f t="shared" ref="H131:H194" si="9">F131-G131</f>
        <v>833.13636363636374</v>
      </c>
      <c r="I131" s="29">
        <f t="shared" ref="I131:I194" si="10">E131-H131</f>
        <v>416.86363636363626</v>
      </c>
      <c r="J131" s="30">
        <f t="shared" ref="J131:J194" si="11">(E131-H131)/H131</f>
        <v>0.50035462927601049</v>
      </c>
      <c r="K131" s="20" t="s">
        <v>111</v>
      </c>
    </row>
    <row r="132" spans="1:11" x14ac:dyDescent="0.25">
      <c r="A132" s="22">
        <v>46154</v>
      </c>
      <c r="B132" s="20" t="s">
        <v>116</v>
      </c>
      <c r="C132" s="21" t="s">
        <v>264</v>
      </c>
      <c r="D132" s="20" t="s">
        <v>30</v>
      </c>
      <c r="E132" s="20">
        <v>1243</v>
      </c>
      <c r="F132" s="20">
        <v>916.45</v>
      </c>
      <c r="G132" s="29">
        <f t="shared" si="8"/>
        <v>83.313636363636363</v>
      </c>
      <c r="H132" s="29">
        <f t="shared" si="9"/>
        <v>833.13636363636374</v>
      </c>
      <c r="I132" s="29">
        <f t="shared" si="10"/>
        <v>409.86363636363626</v>
      </c>
      <c r="J132" s="30">
        <f t="shared" si="11"/>
        <v>0.49195264335206484</v>
      </c>
      <c r="K132" s="20" t="s">
        <v>111</v>
      </c>
    </row>
    <row r="133" spans="1:11" x14ac:dyDescent="0.25">
      <c r="A133" s="22">
        <v>46154</v>
      </c>
      <c r="B133" s="20" t="s">
        <v>116</v>
      </c>
      <c r="C133" s="21" t="s">
        <v>265</v>
      </c>
      <c r="D133" s="20" t="s">
        <v>30</v>
      </c>
      <c r="E133" s="20">
        <v>1243</v>
      </c>
      <c r="F133" s="20">
        <v>1155.93</v>
      </c>
      <c r="G133" s="29">
        <f t="shared" si="8"/>
        <v>105.08454545454546</v>
      </c>
      <c r="H133" s="29">
        <f t="shared" si="9"/>
        <v>1050.8454545454547</v>
      </c>
      <c r="I133" s="29">
        <f t="shared" si="10"/>
        <v>192.15454545454531</v>
      </c>
      <c r="J133" s="30">
        <f t="shared" si="11"/>
        <v>0.18285709342261194</v>
      </c>
      <c r="K133" s="20" t="s">
        <v>111</v>
      </c>
    </row>
    <row r="134" spans="1:11" x14ac:dyDescent="0.25">
      <c r="A134" s="22">
        <v>46154</v>
      </c>
      <c r="B134" s="20" t="s">
        <v>116</v>
      </c>
      <c r="C134" s="21" t="s">
        <v>266</v>
      </c>
      <c r="D134" s="20" t="s">
        <v>30</v>
      </c>
      <c r="E134" s="20">
        <v>1243</v>
      </c>
      <c r="F134" s="20">
        <v>1145.75</v>
      </c>
      <c r="G134" s="29">
        <f t="shared" si="8"/>
        <v>104.15909090909091</v>
      </c>
      <c r="H134" s="29">
        <f t="shared" si="9"/>
        <v>1041.590909090909</v>
      </c>
      <c r="I134" s="29">
        <f t="shared" si="10"/>
        <v>201.40909090909099</v>
      </c>
      <c r="J134" s="30">
        <f t="shared" si="11"/>
        <v>0.19336679031202278</v>
      </c>
      <c r="K134" s="20" t="s">
        <v>111</v>
      </c>
    </row>
    <row r="135" spans="1:11" x14ac:dyDescent="0.25">
      <c r="A135" s="22">
        <v>46154</v>
      </c>
      <c r="B135" s="20" t="s">
        <v>116</v>
      </c>
      <c r="C135" s="21" t="s">
        <v>267</v>
      </c>
      <c r="D135" s="20" t="s">
        <v>30</v>
      </c>
      <c r="E135" s="20">
        <v>1243</v>
      </c>
      <c r="F135" s="20">
        <v>916.45</v>
      </c>
      <c r="G135" s="29">
        <f t="shared" si="8"/>
        <v>83.313636363636363</v>
      </c>
      <c r="H135" s="29">
        <f t="shared" si="9"/>
        <v>833.13636363636374</v>
      </c>
      <c r="I135" s="29">
        <f t="shared" si="10"/>
        <v>409.86363636363626</v>
      </c>
      <c r="J135" s="30">
        <f t="shared" si="11"/>
        <v>0.49195264335206484</v>
      </c>
      <c r="K135" s="20" t="s">
        <v>111</v>
      </c>
    </row>
    <row r="136" spans="1:11" x14ac:dyDescent="0.25">
      <c r="A136" s="22">
        <v>46154</v>
      </c>
      <c r="B136" s="20" t="s">
        <v>116</v>
      </c>
      <c r="C136" s="21" t="s">
        <v>268</v>
      </c>
      <c r="D136" s="20" t="s">
        <v>30</v>
      </c>
      <c r="E136" s="20">
        <v>1243</v>
      </c>
      <c r="F136" s="20">
        <v>916.45</v>
      </c>
      <c r="G136" s="29">
        <f t="shared" si="8"/>
        <v>83.313636363636363</v>
      </c>
      <c r="H136" s="29">
        <f t="shared" si="9"/>
        <v>833.13636363636374</v>
      </c>
      <c r="I136" s="29">
        <f t="shared" si="10"/>
        <v>409.86363636363626</v>
      </c>
      <c r="J136" s="30">
        <f t="shared" si="11"/>
        <v>0.49195264335206484</v>
      </c>
      <c r="K136" s="20" t="s">
        <v>111</v>
      </c>
    </row>
    <row r="137" spans="1:11" x14ac:dyDescent="0.25">
      <c r="A137" s="22">
        <v>46154</v>
      </c>
      <c r="B137" s="20" t="s">
        <v>116</v>
      </c>
      <c r="C137" s="21" t="s">
        <v>269</v>
      </c>
      <c r="D137" s="20" t="s">
        <v>30</v>
      </c>
      <c r="E137" s="20">
        <v>1243</v>
      </c>
      <c r="F137" s="20">
        <v>1145.75</v>
      </c>
      <c r="G137" s="29">
        <f t="shared" si="8"/>
        <v>104.15909090909091</v>
      </c>
      <c r="H137" s="29">
        <f t="shared" si="9"/>
        <v>1041.590909090909</v>
      </c>
      <c r="I137" s="29">
        <f t="shared" si="10"/>
        <v>201.40909090909099</v>
      </c>
      <c r="J137" s="30">
        <f t="shared" si="11"/>
        <v>0.19336679031202278</v>
      </c>
      <c r="K137" s="20" t="s">
        <v>111</v>
      </c>
    </row>
    <row r="138" spans="1:11" x14ac:dyDescent="0.25">
      <c r="A138" s="22">
        <v>46155</v>
      </c>
      <c r="B138" s="20" t="s">
        <v>270</v>
      </c>
      <c r="C138" s="21" t="s">
        <v>271</v>
      </c>
      <c r="D138" s="20"/>
      <c r="E138" s="20">
        <v>2500</v>
      </c>
      <c r="F138" s="20">
        <v>2492.75</v>
      </c>
      <c r="G138" s="29">
        <f t="shared" si="8"/>
        <v>226.61363636363637</v>
      </c>
      <c r="H138" s="29">
        <f t="shared" si="9"/>
        <v>2266.1363636363635</v>
      </c>
      <c r="I138" s="29">
        <f t="shared" si="10"/>
        <v>233.86363636363649</v>
      </c>
      <c r="J138" s="30">
        <f t="shared" si="11"/>
        <v>0.10319927790592726</v>
      </c>
      <c r="K138" s="20" t="s">
        <v>272</v>
      </c>
    </row>
    <row r="139" spans="1:11" x14ac:dyDescent="0.25">
      <c r="A139" s="22">
        <v>46160</v>
      </c>
      <c r="B139" s="20" t="s">
        <v>341</v>
      </c>
      <c r="C139" s="21" t="s">
        <v>342</v>
      </c>
      <c r="D139" s="20" t="s">
        <v>30</v>
      </c>
      <c r="E139" s="20">
        <v>5550</v>
      </c>
      <c r="F139" s="20">
        <v>4982.8500000000004</v>
      </c>
      <c r="G139" s="29">
        <f t="shared" si="8"/>
        <v>452.98636363636365</v>
      </c>
      <c r="H139" s="29">
        <f t="shared" si="9"/>
        <v>4529.8636363636369</v>
      </c>
      <c r="I139" s="29">
        <f t="shared" si="10"/>
        <v>1020.1363636363631</v>
      </c>
      <c r="J139" s="30">
        <f t="shared" si="11"/>
        <v>0.22520244438423778</v>
      </c>
      <c r="K139" s="20" t="s">
        <v>111</v>
      </c>
    </row>
    <row r="140" spans="1:11" x14ac:dyDescent="0.25">
      <c r="A140" s="22">
        <v>46160</v>
      </c>
      <c r="B140" s="20" t="s">
        <v>341</v>
      </c>
      <c r="C140" s="21" t="s">
        <v>343</v>
      </c>
      <c r="D140" s="20" t="s">
        <v>30</v>
      </c>
      <c r="E140" s="20">
        <v>5550</v>
      </c>
      <c r="F140" s="20">
        <v>4982.8500000000004</v>
      </c>
      <c r="G140" s="29">
        <f t="shared" si="8"/>
        <v>452.98636363636365</v>
      </c>
      <c r="H140" s="29">
        <f t="shared" si="9"/>
        <v>4529.8636363636369</v>
      </c>
      <c r="I140" s="29">
        <f t="shared" si="10"/>
        <v>1020.1363636363631</v>
      </c>
      <c r="J140" s="30">
        <f t="shared" si="11"/>
        <v>0.22520244438423778</v>
      </c>
      <c r="K140" s="20" t="s">
        <v>111</v>
      </c>
    </row>
    <row r="141" spans="1:11" x14ac:dyDescent="0.25">
      <c r="A141" s="22">
        <v>46160</v>
      </c>
      <c r="B141" s="20" t="s">
        <v>341</v>
      </c>
      <c r="C141" s="21" t="s">
        <v>344</v>
      </c>
      <c r="D141" s="20" t="s">
        <v>30</v>
      </c>
      <c r="E141" s="20">
        <v>5550</v>
      </c>
      <c r="F141" s="20">
        <v>4982.8500000000004</v>
      </c>
      <c r="G141" s="29">
        <f t="shared" si="8"/>
        <v>452.98636363636365</v>
      </c>
      <c r="H141" s="29">
        <f t="shared" si="9"/>
        <v>4529.8636363636369</v>
      </c>
      <c r="I141" s="29">
        <f t="shared" si="10"/>
        <v>1020.1363636363631</v>
      </c>
      <c r="J141" s="30">
        <f t="shared" si="11"/>
        <v>0.22520244438423778</v>
      </c>
      <c r="K141" s="20" t="s">
        <v>111</v>
      </c>
    </row>
    <row r="142" spans="1:11" x14ac:dyDescent="0.25">
      <c r="A142" s="22">
        <v>46160</v>
      </c>
      <c r="B142" s="20" t="s">
        <v>341</v>
      </c>
      <c r="C142" s="21" t="s">
        <v>345</v>
      </c>
      <c r="D142" s="20" t="s">
        <v>30</v>
      </c>
      <c r="E142" s="20">
        <v>5550</v>
      </c>
      <c r="F142" s="20">
        <v>4982.8500000000004</v>
      </c>
      <c r="G142" s="29">
        <f t="shared" si="8"/>
        <v>452.98636363636365</v>
      </c>
      <c r="H142" s="29">
        <f t="shared" si="9"/>
        <v>4529.8636363636369</v>
      </c>
      <c r="I142" s="29">
        <f t="shared" si="10"/>
        <v>1020.1363636363631</v>
      </c>
      <c r="J142" s="30">
        <f t="shared" si="11"/>
        <v>0.22520244438423778</v>
      </c>
      <c r="K142" s="20" t="s">
        <v>111</v>
      </c>
    </row>
    <row r="143" spans="1:11" x14ac:dyDescent="0.25">
      <c r="A143" s="22">
        <v>46160</v>
      </c>
      <c r="B143" s="20" t="s">
        <v>341</v>
      </c>
      <c r="C143" s="21" t="s">
        <v>346</v>
      </c>
      <c r="D143" s="20" t="s">
        <v>30</v>
      </c>
      <c r="E143" s="20">
        <v>5550</v>
      </c>
      <c r="F143" s="20">
        <v>5086.1899999999996</v>
      </c>
      <c r="G143" s="29">
        <f t="shared" si="8"/>
        <v>462.38090909090903</v>
      </c>
      <c r="H143" s="29">
        <f t="shared" si="9"/>
        <v>4623.8090909090906</v>
      </c>
      <c r="I143" s="29">
        <f t="shared" si="10"/>
        <v>926.19090909090937</v>
      </c>
      <c r="J143" s="30">
        <f t="shared" si="11"/>
        <v>0.20030907221318911</v>
      </c>
      <c r="K143" s="20" t="s">
        <v>111</v>
      </c>
    </row>
    <row r="144" spans="1:11" x14ac:dyDescent="0.25">
      <c r="A144" s="22">
        <v>46160</v>
      </c>
      <c r="B144" s="20" t="s">
        <v>341</v>
      </c>
      <c r="C144" s="21" t="s">
        <v>347</v>
      </c>
      <c r="D144" s="20" t="s">
        <v>30</v>
      </c>
      <c r="E144" s="20">
        <v>5550</v>
      </c>
      <c r="F144" s="20">
        <v>5086.1899999999996</v>
      </c>
      <c r="G144" s="29">
        <f t="shared" si="8"/>
        <v>462.38090909090903</v>
      </c>
      <c r="H144" s="29">
        <f t="shared" si="9"/>
        <v>4623.8090909090906</v>
      </c>
      <c r="I144" s="29">
        <f t="shared" si="10"/>
        <v>926.19090909090937</v>
      </c>
      <c r="J144" s="30">
        <f t="shared" si="11"/>
        <v>0.20030907221318911</v>
      </c>
      <c r="K144" s="20" t="s">
        <v>111</v>
      </c>
    </row>
    <row r="145" spans="1:11" x14ac:dyDescent="0.25">
      <c r="A145" s="22">
        <v>46160</v>
      </c>
      <c r="B145" s="20" t="s">
        <v>341</v>
      </c>
      <c r="C145" s="21" t="s">
        <v>348</v>
      </c>
      <c r="D145" s="20" t="s">
        <v>30</v>
      </c>
      <c r="E145" s="20">
        <v>5550</v>
      </c>
      <c r="F145" s="20">
        <v>5086.1899999999996</v>
      </c>
      <c r="G145" s="29">
        <f t="shared" si="8"/>
        <v>462.38090909090903</v>
      </c>
      <c r="H145" s="29">
        <f t="shared" si="9"/>
        <v>4623.8090909090906</v>
      </c>
      <c r="I145" s="29">
        <f t="shared" si="10"/>
        <v>926.19090909090937</v>
      </c>
      <c r="J145" s="30">
        <f t="shared" si="11"/>
        <v>0.20030907221318911</v>
      </c>
      <c r="K145" s="20" t="s">
        <v>111</v>
      </c>
    </row>
    <row r="146" spans="1:11" x14ac:dyDescent="0.25">
      <c r="A146" s="22">
        <v>46160</v>
      </c>
      <c r="B146" s="20" t="s">
        <v>341</v>
      </c>
      <c r="C146" s="21" t="s">
        <v>349</v>
      </c>
      <c r="D146" s="20" t="s">
        <v>30</v>
      </c>
      <c r="E146" s="20">
        <v>5550</v>
      </c>
      <c r="F146" s="20">
        <v>4982.8500000000004</v>
      </c>
      <c r="G146" s="29">
        <f t="shared" si="8"/>
        <v>452.98636363636365</v>
      </c>
      <c r="H146" s="29">
        <f t="shared" si="9"/>
        <v>4529.8636363636369</v>
      </c>
      <c r="I146" s="29">
        <f t="shared" si="10"/>
        <v>1020.1363636363631</v>
      </c>
      <c r="J146" s="30">
        <f t="shared" si="11"/>
        <v>0.22520244438423778</v>
      </c>
      <c r="K146" s="20" t="s">
        <v>111</v>
      </c>
    </row>
    <row r="147" spans="1:11" x14ac:dyDescent="0.25">
      <c r="A147" s="22">
        <v>46160</v>
      </c>
      <c r="B147" s="20" t="s">
        <v>341</v>
      </c>
      <c r="C147" s="21" t="s">
        <v>350</v>
      </c>
      <c r="D147" s="20" t="s">
        <v>30</v>
      </c>
      <c r="E147" s="20">
        <v>5550</v>
      </c>
      <c r="F147" s="20">
        <v>5086.1899999999996</v>
      </c>
      <c r="G147" s="29">
        <f t="shared" si="8"/>
        <v>462.38090909090903</v>
      </c>
      <c r="H147" s="29">
        <f t="shared" si="9"/>
        <v>4623.8090909090906</v>
      </c>
      <c r="I147" s="29">
        <f t="shared" si="10"/>
        <v>926.19090909090937</v>
      </c>
      <c r="J147" s="30">
        <f t="shared" si="11"/>
        <v>0.20030907221318911</v>
      </c>
      <c r="K147" s="20" t="s">
        <v>111</v>
      </c>
    </row>
    <row r="148" spans="1:11" x14ac:dyDescent="0.25">
      <c r="A148" s="22">
        <v>46160</v>
      </c>
      <c r="B148" s="20" t="s">
        <v>341</v>
      </c>
      <c r="C148" s="21" t="s">
        <v>351</v>
      </c>
      <c r="D148" s="20" t="s">
        <v>30</v>
      </c>
      <c r="E148" s="20">
        <v>5550</v>
      </c>
      <c r="F148" s="20">
        <v>5086.1899999999996</v>
      </c>
      <c r="G148" s="29">
        <f t="shared" si="8"/>
        <v>462.38090909090903</v>
      </c>
      <c r="H148" s="29">
        <f t="shared" si="9"/>
        <v>4623.8090909090906</v>
      </c>
      <c r="I148" s="29">
        <f t="shared" si="10"/>
        <v>926.19090909090937</v>
      </c>
      <c r="J148" s="30">
        <f t="shared" si="11"/>
        <v>0.20030907221318911</v>
      </c>
      <c r="K148" s="20" t="s">
        <v>111</v>
      </c>
    </row>
    <row r="149" spans="1:11" x14ac:dyDescent="0.25">
      <c r="A149" s="22">
        <v>46160</v>
      </c>
      <c r="B149" s="20" t="s">
        <v>341</v>
      </c>
      <c r="C149" s="21" t="s">
        <v>352</v>
      </c>
      <c r="D149" s="20" t="s">
        <v>30</v>
      </c>
      <c r="E149" s="20">
        <v>5550</v>
      </c>
      <c r="F149" s="20">
        <v>5213.99</v>
      </c>
      <c r="G149" s="29">
        <f t="shared" si="8"/>
        <v>473.99909090909091</v>
      </c>
      <c r="H149" s="29">
        <f t="shared" si="9"/>
        <v>4739.9909090909086</v>
      </c>
      <c r="I149" s="29">
        <f t="shared" si="10"/>
        <v>810.00909090909136</v>
      </c>
      <c r="J149" s="30">
        <f t="shared" si="11"/>
        <v>0.17088832161166412</v>
      </c>
      <c r="K149" s="20" t="s">
        <v>111</v>
      </c>
    </row>
    <row r="150" spans="1:11" x14ac:dyDescent="0.25">
      <c r="A150" s="22">
        <v>46160</v>
      </c>
      <c r="B150" s="20" t="s">
        <v>341</v>
      </c>
      <c r="C150" s="21" t="s">
        <v>353</v>
      </c>
      <c r="D150" s="20" t="s">
        <v>30</v>
      </c>
      <c r="E150" s="20">
        <v>5550</v>
      </c>
      <c r="F150" s="20">
        <v>4982.8500000000004</v>
      </c>
      <c r="G150" s="29">
        <f t="shared" si="8"/>
        <v>452.98636363636365</v>
      </c>
      <c r="H150" s="29">
        <f t="shared" si="9"/>
        <v>4529.8636363636369</v>
      </c>
      <c r="I150" s="29">
        <f t="shared" si="10"/>
        <v>1020.1363636363631</v>
      </c>
      <c r="J150" s="30">
        <f t="shared" si="11"/>
        <v>0.22520244438423778</v>
      </c>
      <c r="K150" s="20" t="s">
        <v>111</v>
      </c>
    </row>
    <row r="151" spans="1:11" x14ac:dyDescent="0.25">
      <c r="A151" s="22">
        <v>46160</v>
      </c>
      <c r="B151" s="20" t="s">
        <v>341</v>
      </c>
      <c r="C151" s="21" t="s">
        <v>354</v>
      </c>
      <c r="D151" s="20" t="s">
        <v>30</v>
      </c>
      <c r="E151" s="20">
        <v>5550</v>
      </c>
      <c r="F151" s="20">
        <v>5086.1899999999996</v>
      </c>
      <c r="G151" s="29">
        <f t="shared" si="8"/>
        <v>462.38090909090903</v>
      </c>
      <c r="H151" s="29">
        <f t="shared" si="9"/>
        <v>4623.8090909090906</v>
      </c>
      <c r="I151" s="29">
        <f t="shared" si="10"/>
        <v>926.19090909090937</v>
      </c>
      <c r="J151" s="30">
        <f t="shared" si="11"/>
        <v>0.20030907221318911</v>
      </c>
      <c r="K151" s="20" t="s">
        <v>111</v>
      </c>
    </row>
    <row r="152" spans="1:11" x14ac:dyDescent="0.25">
      <c r="A152" s="22">
        <v>46160</v>
      </c>
      <c r="B152" s="20" t="s">
        <v>341</v>
      </c>
      <c r="C152" s="21" t="s">
        <v>355</v>
      </c>
      <c r="D152" s="20" t="s">
        <v>30</v>
      </c>
      <c r="E152" s="20">
        <v>5550</v>
      </c>
      <c r="F152" s="20">
        <v>5086.1899999999996</v>
      </c>
      <c r="G152" s="29">
        <f t="shared" si="8"/>
        <v>462.38090909090903</v>
      </c>
      <c r="H152" s="29">
        <f t="shared" si="9"/>
        <v>4623.8090909090906</v>
      </c>
      <c r="I152" s="29">
        <f t="shared" si="10"/>
        <v>926.19090909090937</v>
      </c>
      <c r="J152" s="30">
        <f t="shared" si="11"/>
        <v>0.20030907221318911</v>
      </c>
      <c r="K152" s="20" t="s">
        <v>111</v>
      </c>
    </row>
    <row r="153" spans="1:11" x14ac:dyDescent="0.25">
      <c r="A153" s="22">
        <v>46160</v>
      </c>
      <c r="B153" s="20" t="s">
        <v>341</v>
      </c>
      <c r="C153" s="21" t="s">
        <v>356</v>
      </c>
      <c r="D153" s="20" t="s">
        <v>30</v>
      </c>
      <c r="E153" s="20">
        <v>5550</v>
      </c>
      <c r="F153" s="20">
        <v>5086.1899999999996</v>
      </c>
      <c r="G153" s="29">
        <f t="shared" si="8"/>
        <v>462.38090909090903</v>
      </c>
      <c r="H153" s="29">
        <f t="shared" si="9"/>
        <v>4623.8090909090906</v>
      </c>
      <c r="I153" s="29">
        <f t="shared" si="10"/>
        <v>926.19090909090937</v>
      </c>
      <c r="J153" s="30">
        <f t="shared" si="11"/>
        <v>0.20030907221318911</v>
      </c>
      <c r="K153" s="20" t="s">
        <v>111</v>
      </c>
    </row>
    <row r="154" spans="1:11" x14ac:dyDescent="0.25">
      <c r="A154" s="22">
        <v>46160</v>
      </c>
      <c r="B154" s="20" t="s">
        <v>116</v>
      </c>
      <c r="C154" s="21" t="s">
        <v>357</v>
      </c>
      <c r="D154" s="20" t="s">
        <v>30</v>
      </c>
      <c r="E154" s="20">
        <v>1220</v>
      </c>
      <c r="F154" s="20">
        <v>1013.35</v>
      </c>
      <c r="G154" s="29">
        <f t="shared" si="8"/>
        <v>92.122727272727275</v>
      </c>
      <c r="H154" s="29">
        <f t="shared" si="9"/>
        <v>921.22727272727275</v>
      </c>
      <c r="I154" s="29">
        <f t="shared" si="10"/>
        <v>298.77272727272725</v>
      </c>
      <c r="J154" s="30">
        <f t="shared" si="11"/>
        <v>0.32432032367888686</v>
      </c>
      <c r="K154" s="20" t="s">
        <v>111</v>
      </c>
    </row>
    <row r="155" spans="1:11" x14ac:dyDescent="0.25">
      <c r="A155" s="22">
        <v>46160</v>
      </c>
      <c r="B155" s="20" t="s">
        <v>116</v>
      </c>
      <c r="C155" s="21" t="s">
        <v>358</v>
      </c>
      <c r="D155" s="20" t="s">
        <v>30</v>
      </c>
      <c r="E155" s="20">
        <v>1220</v>
      </c>
      <c r="F155" s="20">
        <v>1034.56</v>
      </c>
      <c r="G155" s="29">
        <f t="shared" si="8"/>
        <v>94.050909090909087</v>
      </c>
      <c r="H155" s="29">
        <f t="shared" si="9"/>
        <v>940.5090909090909</v>
      </c>
      <c r="I155" s="29">
        <f t="shared" si="10"/>
        <v>279.4909090909091</v>
      </c>
      <c r="J155" s="30">
        <f t="shared" si="11"/>
        <v>0.29716981132075471</v>
      </c>
      <c r="K155" s="20" t="s">
        <v>111</v>
      </c>
    </row>
    <row r="156" spans="1:11" x14ac:dyDescent="0.25">
      <c r="A156" s="22">
        <v>46160</v>
      </c>
      <c r="B156" s="20" t="s">
        <v>116</v>
      </c>
      <c r="C156" s="21" t="s">
        <v>359</v>
      </c>
      <c r="D156" s="20" t="s">
        <v>30</v>
      </c>
      <c r="E156" s="20">
        <v>1220</v>
      </c>
      <c r="F156" s="20">
        <v>1034.56</v>
      </c>
      <c r="G156" s="29">
        <f t="shared" si="8"/>
        <v>94.050909090909087</v>
      </c>
      <c r="H156" s="29">
        <f t="shared" si="9"/>
        <v>940.5090909090909</v>
      </c>
      <c r="I156" s="29">
        <f t="shared" si="10"/>
        <v>279.4909090909091</v>
      </c>
      <c r="J156" s="30">
        <f t="shared" si="11"/>
        <v>0.29716981132075471</v>
      </c>
      <c r="K156" s="20" t="s">
        <v>111</v>
      </c>
    </row>
    <row r="157" spans="1:11" x14ac:dyDescent="0.25">
      <c r="A157" s="22">
        <v>46160</v>
      </c>
      <c r="B157" s="20" t="s">
        <v>116</v>
      </c>
      <c r="C157" s="21" t="s">
        <v>360</v>
      </c>
      <c r="D157" s="20" t="s">
        <v>30</v>
      </c>
      <c r="E157" s="20">
        <v>1220</v>
      </c>
      <c r="F157" s="20">
        <v>1034.56</v>
      </c>
      <c r="G157" s="29">
        <f t="shared" si="8"/>
        <v>94.050909090909087</v>
      </c>
      <c r="H157" s="29">
        <f t="shared" si="9"/>
        <v>940.5090909090909</v>
      </c>
      <c r="I157" s="29">
        <f t="shared" si="10"/>
        <v>279.4909090909091</v>
      </c>
      <c r="J157" s="30">
        <f t="shared" si="11"/>
        <v>0.29716981132075471</v>
      </c>
      <c r="K157" s="20" t="s">
        <v>111</v>
      </c>
    </row>
    <row r="158" spans="1:11" x14ac:dyDescent="0.25">
      <c r="A158" s="22">
        <v>46160</v>
      </c>
      <c r="B158" s="20" t="s">
        <v>116</v>
      </c>
      <c r="C158" s="21" t="s">
        <v>361</v>
      </c>
      <c r="D158" s="20" t="s">
        <v>30</v>
      </c>
      <c r="E158" s="20">
        <v>1220</v>
      </c>
      <c r="F158" s="20">
        <v>1034.56</v>
      </c>
      <c r="G158" s="29">
        <f t="shared" si="8"/>
        <v>94.050909090909087</v>
      </c>
      <c r="H158" s="29">
        <f t="shared" si="9"/>
        <v>940.5090909090909</v>
      </c>
      <c r="I158" s="29">
        <f t="shared" si="10"/>
        <v>279.4909090909091</v>
      </c>
      <c r="J158" s="30">
        <f t="shared" si="11"/>
        <v>0.29716981132075471</v>
      </c>
      <c r="K158" s="20" t="s">
        <v>111</v>
      </c>
    </row>
    <row r="159" spans="1:11" x14ac:dyDescent="0.25">
      <c r="A159" s="22">
        <v>46160</v>
      </c>
      <c r="B159" s="20" t="s">
        <v>116</v>
      </c>
      <c r="C159" s="21" t="s">
        <v>362</v>
      </c>
      <c r="D159" s="20" t="s">
        <v>30</v>
      </c>
      <c r="E159" s="20">
        <v>1220</v>
      </c>
      <c r="F159" s="20">
        <v>1034.56</v>
      </c>
      <c r="G159" s="29">
        <f t="shared" si="8"/>
        <v>94.050909090909087</v>
      </c>
      <c r="H159" s="29">
        <f t="shared" si="9"/>
        <v>940.5090909090909</v>
      </c>
      <c r="I159" s="29">
        <f t="shared" si="10"/>
        <v>279.4909090909091</v>
      </c>
      <c r="J159" s="30">
        <f t="shared" si="11"/>
        <v>0.29716981132075471</v>
      </c>
      <c r="K159" s="20" t="s">
        <v>111</v>
      </c>
    </row>
    <row r="160" spans="1:11" x14ac:dyDescent="0.25">
      <c r="A160" s="22">
        <v>46160</v>
      </c>
      <c r="B160" s="20" t="s">
        <v>116</v>
      </c>
      <c r="C160" s="21" t="s">
        <v>363</v>
      </c>
      <c r="D160" s="20" t="s">
        <v>30</v>
      </c>
      <c r="E160" s="20">
        <v>1220</v>
      </c>
      <c r="F160" s="20">
        <v>1034.56</v>
      </c>
      <c r="G160" s="29">
        <f t="shared" si="8"/>
        <v>94.050909090909087</v>
      </c>
      <c r="H160" s="29">
        <f t="shared" si="9"/>
        <v>940.5090909090909</v>
      </c>
      <c r="I160" s="29">
        <f t="shared" si="10"/>
        <v>279.4909090909091</v>
      </c>
      <c r="J160" s="30">
        <f t="shared" si="11"/>
        <v>0.29716981132075471</v>
      </c>
      <c r="K160" s="20" t="s">
        <v>111</v>
      </c>
    </row>
    <row r="161" spans="1:11" x14ac:dyDescent="0.25">
      <c r="A161" s="22">
        <v>46160</v>
      </c>
      <c r="B161" s="20" t="s">
        <v>116</v>
      </c>
      <c r="C161" s="21" t="s">
        <v>364</v>
      </c>
      <c r="D161" s="20" t="s">
        <v>30</v>
      </c>
      <c r="E161" s="20">
        <v>1220</v>
      </c>
      <c r="F161" s="20">
        <v>1037.1600000000001</v>
      </c>
      <c r="G161" s="29">
        <f t="shared" si="8"/>
        <v>94.287272727272736</v>
      </c>
      <c r="H161" s="29">
        <f t="shared" si="9"/>
        <v>942.87272727272739</v>
      </c>
      <c r="I161" s="29">
        <f t="shared" si="10"/>
        <v>277.12727272727261</v>
      </c>
      <c r="J161" s="30">
        <f t="shared" si="11"/>
        <v>0.29391800686490016</v>
      </c>
      <c r="K161" s="20" t="s">
        <v>111</v>
      </c>
    </row>
    <row r="162" spans="1:11" x14ac:dyDescent="0.25">
      <c r="A162" s="22">
        <v>46160</v>
      </c>
      <c r="B162" s="20" t="s">
        <v>116</v>
      </c>
      <c r="C162" s="21" t="s">
        <v>365</v>
      </c>
      <c r="D162" s="20" t="s">
        <v>30</v>
      </c>
      <c r="E162" s="20">
        <v>1220</v>
      </c>
      <c r="F162" s="20">
        <v>1034.92</v>
      </c>
      <c r="G162" s="29">
        <f t="shared" si="8"/>
        <v>94.083636363636373</v>
      </c>
      <c r="H162" s="29">
        <f t="shared" si="9"/>
        <v>940.83636363636367</v>
      </c>
      <c r="I162" s="29">
        <f t="shared" si="10"/>
        <v>279.16363636363633</v>
      </c>
      <c r="J162" s="30">
        <f t="shared" si="11"/>
        <v>0.29671858694391834</v>
      </c>
      <c r="K162" s="20" t="s">
        <v>111</v>
      </c>
    </row>
    <row r="163" spans="1:11" x14ac:dyDescent="0.25">
      <c r="A163" s="22">
        <v>46160</v>
      </c>
      <c r="B163" s="20" t="s">
        <v>116</v>
      </c>
      <c r="C163" s="21" t="s">
        <v>366</v>
      </c>
      <c r="D163" s="20" t="s">
        <v>30</v>
      </c>
      <c r="E163" s="20">
        <v>1220</v>
      </c>
      <c r="F163" s="20">
        <v>1034.56</v>
      </c>
      <c r="G163" s="29">
        <f t="shared" si="8"/>
        <v>94.050909090909087</v>
      </c>
      <c r="H163" s="29">
        <f t="shared" si="9"/>
        <v>940.5090909090909</v>
      </c>
      <c r="I163" s="29">
        <f t="shared" si="10"/>
        <v>279.4909090909091</v>
      </c>
      <c r="J163" s="30">
        <f t="shared" si="11"/>
        <v>0.29716981132075471</v>
      </c>
      <c r="K163" s="20" t="s">
        <v>111</v>
      </c>
    </row>
    <row r="164" spans="1:11" x14ac:dyDescent="0.25">
      <c r="A164" s="22">
        <v>46160</v>
      </c>
      <c r="B164" s="20" t="s">
        <v>116</v>
      </c>
      <c r="C164" s="21" t="s">
        <v>367</v>
      </c>
      <c r="D164" s="20" t="s">
        <v>30</v>
      </c>
      <c r="E164" s="20">
        <v>1220</v>
      </c>
      <c r="F164" s="20">
        <v>1037.1600000000001</v>
      </c>
      <c r="G164" s="29">
        <f t="shared" si="8"/>
        <v>94.287272727272736</v>
      </c>
      <c r="H164" s="29">
        <f t="shared" si="9"/>
        <v>942.87272727272739</v>
      </c>
      <c r="I164" s="29">
        <f t="shared" si="10"/>
        <v>277.12727272727261</v>
      </c>
      <c r="J164" s="30">
        <f t="shared" si="11"/>
        <v>0.29391800686490016</v>
      </c>
      <c r="K164" s="20" t="s">
        <v>111</v>
      </c>
    </row>
    <row r="165" spans="1:11" x14ac:dyDescent="0.25">
      <c r="A165" s="22">
        <v>46160</v>
      </c>
      <c r="B165" s="20" t="s">
        <v>116</v>
      </c>
      <c r="C165" s="21" t="s">
        <v>368</v>
      </c>
      <c r="D165" s="20" t="s">
        <v>30</v>
      </c>
      <c r="E165" s="20">
        <v>1220</v>
      </c>
      <c r="F165" s="20">
        <v>1037.1600000000001</v>
      </c>
      <c r="G165" s="29">
        <f t="shared" si="8"/>
        <v>94.287272727272736</v>
      </c>
      <c r="H165" s="29">
        <f t="shared" si="9"/>
        <v>942.87272727272739</v>
      </c>
      <c r="I165" s="29">
        <f t="shared" si="10"/>
        <v>277.12727272727261</v>
      </c>
      <c r="J165" s="30">
        <f t="shared" si="11"/>
        <v>0.29391800686490016</v>
      </c>
      <c r="K165" s="20" t="s">
        <v>111</v>
      </c>
    </row>
    <row r="166" spans="1:11" x14ac:dyDescent="0.25">
      <c r="A166" s="22">
        <v>46160</v>
      </c>
      <c r="B166" s="20" t="s">
        <v>116</v>
      </c>
      <c r="C166" s="21" t="s">
        <v>369</v>
      </c>
      <c r="D166" s="20" t="s">
        <v>30</v>
      </c>
      <c r="E166" s="20">
        <v>1220</v>
      </c>
      <c r="F166" s="20">
        <v>1034.56</v>
      </c>
      <c r="G166" s="29">
        <f t="shared" si="8"/>
        <v>94.050909090909087</v>
      </c>
      <c r="H166" s="29">
        <f t="shared" si="9"/>
        <v>940.5090909090909</v>
      </c>
      <c r="I166" s="29">
        <f t="shared" si="10"/>
        <v>279.4909090909091</v>
      </c>
      <c r="J166" s="30">
        <f t="shared" si="11"/>
        <v>0.29716981132075471</v>
      </c>
      <c r="K166" s="20" t="s">
        <v>111</v>
      </c>
    </row>
    <row r="167" spans="1:11" x14ac:dyDescent="0.25">
      <c r="A167" s="22">
        <v>46160</v>
      </c>
      <c r="B167" s="20" t="s">
        <v>116</v>
      </c>
      <c r="C167" s="21" t="s">
        <v>370</v>
      </c>
      <c r="D167" s="20" t="s">
        <v>30</v>
      </c>
      <c r="E167" s="20">
        <v>1220</v>
      </c>
      <c r="F167" s="20">
        <v>1034.56</v>
      </c>
      <c r="G167" s="29">
        <f t="shared" si="8"/>
        <v>94.050909090909087</v>
      </c>
      <c r="H167" s="29">
        <f t="shared" si="9"/>
        <v>940.5090909090909</v>
      </c>
      <c r="I167" s="29">
        <f t="shared" si="10"/>
        <v>279.4909090909091</v>
      </c>
      <c r="J167" s="30">
        <f t="shared" si="11"/>
        <v>0.29716981132075471</v>
      </c>
      <c r="K167" s="20" t="s">
        <v>111</v>
      </c>
    </row>
    <row r="168" spans="1:11" x14ac:dyDescent="0.25">
      <c r="A168" s="22">
        <v>46160</v>
      </c>
      <c r="B168" s="20" t="s">
        <v>116</v>
      </c>
      <c r="C168" s="21" t="s">
        <v>371</v>
      </c>
      <c r="D168" s="20" t="s">
        <v>30</v>
      </c>
      <c r="E168" s="20">
        <v>1220</v>
      </c>
      <c r="F168" s="20">
        <v>1034.56</v>
      </c>
      <c r="G168" s="29">
        <f t="shared" si="8"/>
        <v>94.050909090909087</v>
      </c>
      <c r="H168" s="29">
        <f t="shared" si="9"/>
        <v>940.5090909090909</v>
      </c>
      <c r="I168" s="29">
        <f t="shared" si="10"/>
        <v>279.4909090909091</v>
      </c>
      <c r="J168" s="30">
        <f t="shared" si="11"/>
        <v>0.29716981132075471</v>
      </c>
      <c r="K168" s="20" t="s">
        <v>111</v>
      </c>
    </row>
    <row r="169" spans="1:11" x14ac:dyDescent="0.25">
      <c r="A169" s="22">
        <v>46160</v>
      </c>
      <c r="B169" s="20" t="s">
        <v>116</v>
      </c>
      <c r="C169" s="21" t="s">
        <v>372</v>
      </c>
      <c r="D169" s="20" t="s">
        <v>30</v>
      </c>
      <c r="E169" s="20">
        <v>1220</v>
      </c>
      <c r="F169" s="20">
        <v>1034.56</v>
      </c>
      <c r="G169" s="29">
        <f t="shared" si="8"/>
        <v>94.050909090909087</v>
      </c>
      <c r="H169" s="29">
        <f t="shared" si="9"/>
        <v>940.5090909090909</v>
      </c>
      <c r="I169" s="29">
        <f t="shared" si="10"/>
        <v>279.4909090909091</v>
      </c>
      <c r="J169" s="30">
        <f t="shared" si="11"/>
        <v>0.29716981132075471</v>
      </c>
      <c r="K169" s="20" t="s">
        <v>111</v>
      </c>
    </row>
    <row r="170" spans="1:11" x14ac:dyDescent="0.25">
      <c r="A170" s="22">
        <v>46160</v>
      </c>
      <c r="B170" s="20" t="s">
        <v>116</v>
      </c>
      <c r="C170" s="21" t="s">
        <v>373</v>
      </c>
      <c r="D170" s="20" t="s">
        <v>30</v>
      </c>
      <c r="E170" s="20">
        <v>1220</v>
      </c>
      <c r="F170" s="20">
        <v>1037.1600000000001</v>
      </c>
      <c r="G170" s="29">
        <f t="shared" si="8"/>
        <v>94.287272727272736</v>
      </c>
      <c r="H170" s="29">
        <f t="shared" si="9"/>
        <v>942.87272727272739</v>
      </c>
      <c r="I170" s="29">
        <f t="shared" si="10"/>
        <v>277.12727272727261</v>
      </c>
      <c r="J170" s="30">
        <f t="shared" si="11"/>
        <v>0.29391800686490016</v>
      </c>
      <c r="K170" s="20" t="s">
        <v>111</v>
      </c>
    </row>
    <row r="171" spans="1:11" x14ac:dyDescent="0.25">
      <c r="A171" s="22">
        <v>46160</v>
      </c>
      <c r="B171" s="20" t="s">
        <v>116</v>
      </c>
      <c r="C171" s="21" t="s">
        <v>374</v>
      </c>
      <c r="D171" s="20" t="s">
        <v>30</v>
      </c>
      <c r="E171" s="20">
        <v>1220</v>
      </c>
      <c r="F171" s="20">
        <v>1034.56</v>
      </c>
      <c r="G171" s="29">
        <f t="shared" si="8"/>
        <v>94.050909090909087</v>
      </c>
      <c r="H171" s="29">
        <f t="shared" si="9"/>
        <v>940.5090909090909</v>
      </c>
      <c r="I171" s="29">
        <f t="shared" si="10"/>
        <v>279.4909090909091</v>
      </c>
      <c r="J171" s="30">
        <f t="shared" si="11"/>
        <v>0.29716981132075471</v>
      </c>
      <c r="K171" s="20" t="s">
        <v>111</v>
      </c>
    </row>
    <row r="172" spans="1:11" x14ac:dyDescent="0.25">
      <c r="A172" s="22">
        <v>46160</v>
      </c>
      <c r="B172" s="20" t="s">
        <v>116</v>
      </c>
      <c r="C172" s="21" t="s">
        <v>375</v>
      </c>
      <c r="D172" s="20" t="s">
        <v>30</v>
      </c>
      <c r="E172" s="20">
        <v>1220</v>
      </c>
      <c r="F172" s="20">
        <v>1034.56</v>
      </c>
      <c r="G172" s="29">
        <f t="shared" si="8"/>
        <v>94.050909090909087</v>
      </c>
      <c r="H172" s="29">
        <f t="shared" si="9"/>
        <v>940.5090909090909</v>
      </c>
      <c r="I172" s="29">
        <f t="shared" si="10"/>
        <v>279.4909090909091</v>
      </c>
      <c r="J172" s="30">
        <f t="shared" si="11"/>
        <v>0.29716981132075471</v>
      </c>
      <c r="K172" s="20" t="s">
        <v>111</v>
      </c>
    </row>
    <row r="173" spans="1:11" x14ac:dyDescent="0.25">
      <c r="A173" s="22">
        <v>46160</v>
      </c>
      <c r="B173" s="20" t="s">
        <v>116</v>
      </c>
      <c r="C173" s="21" t="s">
        <v>376</v>
      </c>
      <c r="D173" s="20" t="s">
        <v>30</v>
      </c>
      <c r="E173" s="20">
        <v>1220</v>
      </c>
      <c r="F173" s="20">
        <v>1034.56</v>
      </c>
      <c r="G173" s="29">
        <f t="shared" si="8"/>
        <v>94.050909090909087</v>
      </c>
      <c r="H173" s="29">
        <f t="shared" si="9"/>
        <v>940.5090909090909</v>
      </c>
      <c r="I173" s="29">
        <f t="shared" si="10"/>
        <v>279.4909090909091</v>
      </c>
      <c r="J173" s="30">
        <f t="shared" si="11"/>
        <v>0.29716981132075471</v>
      </c>
      <c r="K173" s="20" t="s">
        <v>111</v>
      </c>
    </row>
    <row r="174" spans="1:11" x14ac:dyDescent="0.25">
      <c r="A174" s="22">
        <v>46161</v>
      </c>
      <c r="B174" s="20" t="s">
        <v>32</v>
      </c>
      <c r="C174" s="21">
        <v>359144419895092</v>
      </c>
      <c r="D174" s="20" t="s">
        <v>91</v>
      </c>
      <c r="E174" s="20">
        <v>4850</v>
      </c>
      <c r="F174" s="20">
        <v>5063.53</v>
      </c>
      <c r="G174" s="29">
        <f t="shared" si="8"/>
        <v>460.32090909090908</v>
      </c>
      <c r="H174" s="29">
        <f t="shared" si="9"/>
        <v>4603.2090909090903</v>
      </c>
      <c r="I174" s="29">
        <f t="shared" si="10"/>
        <v>246.79090909090974</v>
      </c>
      <c r="J174" s="30">
        <f t="shared" si="11"/>
        <v>5.3612795816357514E-2</v>
      </c>
      <c r="K174" s="20" t="s">
        <v>111</v>
      </c>
    </row>
    <row r="175" spans="1:11" x14ac:dyDescent="0.25">
      <c r="A175" s="22">
        <v>46161</v>
      </c>
      <c r="B175" s="20" t="s">
        <v>341</v>
      </c>
      <c r="C175" s="21" t="s">
        <v>386</v>
      </c>
      <c r="D175" s="20" t="s">
        <v>30</v>
      </c>
      <c r="E175" s="20">
        <v>5570</v>
      </c>
      <c r="F175" s="20">
        <v>5213.99</v>
      </c>
      <c r="G175" s="29">
        <f t="shared" si="8"/>
        <v>473.99909090909091</v>
      </c>
      <c r="H175" s="29">
        <f t="shared" si="9"/>
        <v>4739.9909090909086</v>
      </c>
      <c r="I175" s="29">
        <f t="shared" si="10"/>
        <v>830.00909090909136</v>
      </c>
      <c r="J175" s="30">
        <f t="shared" si="11"/>
        <v>0.17510773898684129</v>
      </c>
      <c r="K175" s="20" t="s">
        <v>111</v>
      </c>
    </row>
    <row r="176" spans="1:11" x14ac:dyDescent="0.25">
      <c r="A176" s="22">
        <v>46161</v>
      </c>
      <c r="B176" s="20" t="s">
        <v>341</v>
      </c>
      <c r="C176" s="21" t="s">
        <v>387</v>
      </c>
      <c r="D176" s="20" t="s">
        <v>30</v>
      </c>
      <c r="E176" s="20">
        <v>5570</v>
      </c>
      <c r="F176" s="20">
        <v>4982.8500000000004</v>
      </c>
      <c r="G176" s="29">
        <f t="shared" si="8"/>
        <v>452.98636363636365</v>
      </c>
      <c r="H176" s="29">
        <f t="shared" si="9"/>
        <v>4529.8636363636369</v>
      </c>
      <c r="I176" s="29">
        <f t="shared" si="10"/>
        <v>1040.1363636363631</v>
      </c>
      <c r="J176" s="30">
        <f t="shared" si="11"/>
        <v>0.22961758832796475</v>
      </c>
      <c r="K176" s="20" t="s">
        <v>111</v>
      </c>
    </row>
    <row r="177" spans="1:11" x14ac:dyDescent="0.25">
      <c r="A177" s="22">
        <v>46161</v>
      </c>
      <c r="B177" s="20" t="s">
        <v>341</v>
      </c>
      <c r="C177" s="21" t="s">
        <v>388</v>
      </c>
      <c r="D177" s="20" t="s">
        <v>30</v>
      </c>
      <c r="E177" s="20">
        <v>5570</v>
      </c>
      <c r="F177" s="20">
        <v>5213.99</v>
      </c>
      <c r="G177" s="29">
        <f t="shared" si="8"/>
        <v>473.99909090909091</v>
      </c>
      <c r="H177" s="29">
        <f t="shared" si="9"/>
        <v>4739.9909090909086</v>
      </c>
      <c r="I177" s="29">
        <f t="shared" si="10"/>
        <v>830.00909090909136</v>
      </c>
      <c r="J177" s="30">
        <f t="shared" si="11"/>
        <v>0.17510773898684129</v>
      </c>
      <c r="K177" s="20" t="s">
        <v>111</v>
      </c>
    </row>
    <row r="178" spans="1:11" x14ac:dyDescent="0.25">
      <c r="A178" s="22">
        <v>46161</v>
      </c>
      <c r="B178" s="20" t="s">
        <v>341</v>
      </c>
      <c r="C178" s="21" t="s">
        <v>389</v>
      </c>
      <c r="D178" s="20" t="s">
        <v>30</v>
      </c>
      <c r="E178" s="20">
        <v>5550</v>
      </c>
      <c r="F178" s="20">
        <v>5213.99</v>
      </c>
      <c r="G178" s="29">
        <f t="shared" si="8"/>
        <v>473.99909090909091</v>
      </c>
      <c r="H178" s="29">
        <f t="shared" si="9"/>
        <v>4739.9909090909086</v>
      </c>
      <c r="I178" s="29">
        <f t="shared" si="10"/>
        <v>810.00909090909136</v>
      </c>
      <c r="J178" s="30">
        <f t="shared" si="11"/>
        <v>0.17088832161166412</v>
      </c>
      <c r="K178" s="20" t="s">
        <v>111</v>
      </c>
    </row>
    <row r="179" spans="1:11" x14ac:dyDescent="0.25">
      <c r="A179" s="22">
        <v>46161</v>
      </c>
      <c r="B179" s="20" t="s">
        <v>341</v>
      </c>
      <c r="C179" s="21" t="s">
        <v>390</v>
      </c>
      <c r="D179" s="20" t="s">
        <v>30</v>
      </c>
      <c r="E179" s="20">
        <v>5570</v>
      </c>
      <c r="F179" s="20">
        <v>5213.99</v>
      </c>
      <c r="G179" s="29">
        <f t="shared" si="8"/>
        <v>473.99909090909091</v>
      </c>
      <c r="H179" s="29">
        <f t="shared" si="9"/>
        <v>4739.9909090909086</v>
      </c>
      <c r="I179" s="29">
        <f t="shared" si="10"/>
        <v>830.00909090909136</v>
      </c>
      <c r="J179" s="30">
        <f t="shared" si="11"/>
        <v>0.17510773898684129</v>
      </c>
      <c r="K179" s="20" t="s">
        <v>111</v>
      </c>
    </row>
    <row r="180" spans="1:11" x14ac:dyDescent="0.25">
      <c r="A180" s="22">
        <v>46161</v>
      </c>
      <c r="B180" s="20" t="s">
        <v>341</v>
      </c>
      <c r="C180" s="21" t="s">
        <v>391</v>
      </c>
      <c r="D180" s="20" t="s">
        <v>30</v>
      </c>
      <c r="E180" s="20">
        <v>5570</v>
      </c>
      <c r="F180" s="20">
        <v>5213.99</v>
      </c>
      <c r="G180" s="29">
        <f t="shared" si="8"/>
        <v>473.99909090909091</v>
      </c>
      <c r="H180" s="29">
        <f t="shared" si="9"/>
        <v>4739.9909090909086</v>
      </c>
      <c r="I180" s="29">
        <f t="shared" si="10"/>
        <v>830.00909090909136</v>
      </c>
      <c r="J180" s="30">
        <f t="shared" si="11"/>
        <v>0.17510773898684129</v>
      </c>
      <c r="K180" s="20" t="s">
        <v>111</v>
      </c>
    </row>
    <row r="181" spans="1:11" x14ac:dyDescent="0.25">
      <c r="A181" s="22">
        <v>46161</v>
      </c>
      <c r="B181" s="20" t="s">
        <v>341</v>
      </c>
      <c r="C181" s="21" t="s">
        <v>392</v>
      </c>
      <c r="D181" s="20" t="s">
        <v>30</v>
      </c>
      <c r="E181" s="20">
        <v>5570</v>
      </c>
      <c r="F181" s="20">
        <v>5169.6499999999996</v>
      </c>
      <c r="G181" s="29">
        <f t="shared" si="8"/>
        <v>469.96818181818179</v>
      </c>
      <c r="H181" s="29">
        <f t="shared" si="9"/>
        <v>4699.681818181818</v>
      </c>
      <c r="I181" s="29">
        <f t="shared" si="10"/>
        <v>870.31818181818198</v>
      </c>
      <c r="J181" s="30">
        <f t="shared" si="11"/>
        <v>0.18518661804957787</v>
      </c>
      <c r="K181" s="20" t="s">
        <v>111</v>
      </c>
    </row>
    <row r="182" spans="1:11" x14ac:dyDescent="0.25">
      <c r="A182" s="22">
        <v>46161</v>
      </c>
      <c r="B182" s="20" t="s">
        <v>341</v>
      </c>
      <c r="C182" s="21" t="s">
        <v>393</v>
      </c>
      <c r="D182" s="20" t="s">
        <v>30</v>
      </c>
      <c r="E182" s="20">
        <v>5570</v>
      </c>
      <c r="F182" s="20">
        <v>5213.99</v>
      </c>
      <c r="G182" s="29">
        <f t="shared" si="8"/>
        <v>473.99909090909091</v>
      </c>
      <c r="H182" s="29">
        <f t="shared" si="9"/>
        <v>4739.9909090909086</v>
      </c>
      <c r="I182" s="29">
        <f t="shared" si="10"/>
        <v>830.00909090909136</v>
      </c>
      <c r="J182" s="30">
        <f t="shared" si="11"/>
        <v>0.17510773898684129</v>
      </c>
      <c r="K182" s="20" t="s">
        <v>111</v>
      </c>
    </row>
    <row r="183" spans="1:11" x14ac:dyDescent="0.25">
      <c r="A183" s="22">
        <v>46161</v>
      </c>
      <c r="B183" s="20" t="s">
        <v>341</v>
      </c>
      <c r="C183" s="21" t="s">
        <v>394</v>
      </c>
      <c r="D183" s="20" t="s">
        <v>30</v>
      </c>
      <c r="E183" s="20">
        <v>5570</v>
      </c>
      <c r="F183" s="20">
        <v>5169.6499999999996</v>
      </c>
      <c r="G183" s="29">
        <f t="shared" si="8"/>
        <v>469.96818181818179</v>
      </c>
      <c r="H183" s="29">
        <f t="shared" si="9"/>
        <v>4699.681818181818</v>
      </c>
      <c r="I183" s="29">
        <f t="shared" si="10"/>
        <v>870.31818181818198</v>
      </c>
      <c r="J183" s="30">
        <f t="shared" si="11"/>
        <v>0.18518661804957787</v>
      </c>
      <c r="K183" s="20" t="s">
        <v>111</v>
      </c>
    </row>
    <row r="184" spans="1:11" x14ac:dyDescent="0.25">
      <c r="A184" s="22">
        <v>46161</v>
      </c>
      <c r="B184" s="20" t="s">
        <v>341</v>
      </c>
      <c r="C184" s="21" t="s">
        <v>395</v>
      </c>
      <c r="D184" s="20" t="s">
        <v>30</v>
      </c>
      <c r="E184" s="20">
        <v>5570</v>
      </c>
      <c r="F184" s="20">
        <v>4982.8500000000004</v>
      </c>
      <c r="G184" s="29">
        <f t="shared" si="8"/>
        <v>452.98636363636365</v>
      </c>
      <c r="H184" s="29">
        <f t="shared" si="9"/>
        <v>4529.8636363636369</v>
      </c>
      <c r="I184" s="29">
        <f t="shared" si="10"/>
        <v>1040.1363636363631</v>
      </c>
      <c r="J184" s="30">
        <f t="shared" si="11"/>
        <v>0.22961758832796475</v>
      </c>
      <c r="K184" s="20" t="s">
        <v>111</v>
      </c>
    </row>
    <row r="185" spans="1:11" x14ac:dyDescent="0.25">
      <c r="A185" s="22">
        <v>46161</v>
      </c>
      <c r="B185" s="20" t="s">
        <v>341</v>
      </c>
      <c r="C185" s="21" t="s">
        <v>396</v>
      </c>
      <c r="D185" s="20" t="s">
        <v>30</v>
      </c>
      <c r="E185" s="20">
        <v>5570</v>
      </c>
      <c r="F185" s="20">
        <v>4982.8500000000004</v>
      </c>
      <c r="G185" s="29">
        <f t="shared" si="8"/>
        <v>452.98636363636365</v>
      </c>
      <c r="H185" s="29">
        <f t="shared" si="9"/>
        <v>4529.8636363636369</v>
      </c>
      <c r="I185" s="29">
        <f t="shared" si="10"/>
        <v>1040.1363636363631</v>
      </c>
      <c r="J185" s="30">
        <f t="shared" si="11"/>
        <v>0.22961758832796475</v>
      </c>
      <c r="K185" s="20" t="s">
        <v>111</v>
      </c>
    </row>
    <row r="186" spans="1:11" x14ac:dyDescent="0.25">
      <c r="A186" s="22">
        <v>46161</v>
      </c>
      <c r="B186" s="20" t="s">
        <v>341</v>
      </c>
      <c r="C186" s="21" t="s">
        <v>397</v>
      </c>
      <c r="D186" s="20" t="s">
        <v>30</v>
      </c>
      <c r="E186" s="20">
        <v>5570</v>
      </c>
      <c r="F186" s="20">
        <v>5169.6499999999996</v>
      </c>
      <c r="G186" s="29">
        <f t="shared" si="8"/>
        <v>469.96818181818179</v>
      </c>
      <c r="H186" s="29">
        <f t="shared" si="9"/>
        <v>4699.681818181818</v>
      </c>
      <c r="I186" s="29">
        <f t="shared" si="10"/>
        <v>870.31818181818198</v>
      </c>
      <c r="J186" s="30">
        <f t="shared" si="11"/>
        <v>0.18518661804957787</v>
      </c>
      <c r="K186" s="20" t="s">
        <v>111</v>
      </c>
    </row>
    <row r="187" spans="1:11" x14ac:dyDescent="0.25">
      <c r="A187" s="22">
        <v>46161</v>
      </c>
      <c r="B187" s="20" t="s">
        <v>341</v>
      </c>
      <c r="C187" s="21" t="s">
        <v>398</v>
      </c>
      <c r="D187" s="20" t="s">
        <v>30</v>
      </c>
      <c r="E187" s="20">
        <v>5570</v>
      </c>
      <c r="F187" s="20">
        <v>5213.99</v>
      </c>
      <c r="G187" s="29">
        <f t="shared" si="8"/>
        <v>473.99909090909091</v>
      </c>
      <c r="H187" s="29">
        <f t="shared" si="9"/>
        <v>4739.9909090909086</v>
      </c>
      <c r="I187" s="29">
        <f t="shared" si="10"/>
        <v>830.00909090909136</v>
      </c>
      <c r="J187" s="30">
        <f t="shared" si="11"/>
        <v>0.17510773898684129</v>
      </c>
      <c r="K187" s="20" t="s">
        <v>111</v>
      </c>
    </row>
    <row r="188" spans="1:11" x14ac:dyDescent="0.25">
      <c r="A188" s="22">
        <v>46161</v>
      </c>
      <c r="B188" s="20" t="s">
        <v>341</v>
      </c>
      <c r="C188" s="21" t="s">
        <v>399</v>
      </c>
      <c r="D188" s="20" t="s">
        <v>30</v>
      </c>
      <c r="E188" s="20">
        <v>5550</v>
      </c>
      <c r="F188" s="20">
        <v>5213.99</v>
      </c>
      <c r="G188" s="29">
        <f t="shared" si="8"/>
        <v>473.99909090909091</v>
      </c>
      <c r="H188" s="29">
        <f t="shared" si="9"/>
        <v>4739.9909090909086</v>
      </c>
      <c r="I188" s="29">
        <f t="shared" si="10"/>
        <v>810.00909090909136</v>
      </c>
      <c r="J188" s="30">
        <f t="shared" si="11"/>
        <v>0.17088832161166412</v>
      </c>
      <c r="K188" s="20" t="s">
        <v>111</v>
      </c>
    </row>
    <row r="189" spans="1:11" x14ac:dyDescent="0.25">
      <c r="A189" s="22">
        <v>46161</v>
      </c>
      <c r="B189" s="20" t="s">
        <v>341</v>
      </c>
      <c r="C189" s="21" t="s">
        <v>400</v>
      </c>
      <c r="D189" s="20" t="s">
        <v>30</v>
      </c>
      <c r="E189" s="20">
        <v>5570</v>
      </c>
      <c r="F189" s="20">
        <v>4982.8500000000004</v>
      </c>
      <c r="G189" s="29">
        <f t="shared" si="8"/>
        <v>452.98636363636365</v>
      </c>
      <c r="H189" s="29">
        <f t="shared" si="9"/>
        <v>4529.8636363636369</v>
      </c>
      <c r="I189" s="29">
        <f t="shared" si="10"/>
        <v>1040.1363636363631</v>
      </c>
      <c r="J189" s="30">
        <f t="shared" si="11"/>
        <v>0.22961758832796475</v>
      </c>
      <c r="K189" s="20" t="s">
        <v>111</v>
      </c>
    </row>
    <row r="190" spans="1:11" x14ac:dyDescent="0.25">
      <c r="A190" s="22">
        <v>46161</v>
      </c>
      <c r="B190" s="20" t="s">
        <v>341</v>
      </c>
      <c r="C190" s="21" t="s">
        <v>401</v>
      </c>
      <c r="D190" s="20" t="s">
        <v>30</v>
      </c>
      <c r="E190" s="20">
        <v>5550</v>
      </c>
      <c r="F190" s="20">
        <v>5213.99</v>
      </c>
      <c r="G190" s="29">
        <f t="shared" si="8"/>
        <v>473.99909090909091</v>
      </c>
      <c r="H190" s="29">
        <f t="shared" si="9"/>
        <v>4739.9909090909086</v>
      </c>
      <c r="I190" s="29">
        <f t="shared" si="10"/>
        <v>810.00909090909136</v>
      </c>
      <c r="J190" s="30">
        <f t="shared" si="11"/>
        <v>0.17088832161166412</v>
      </c>
      <c r="K190" s="20" t="s">
        <v>111</v>
      </c>
    </row>
    <row r="191" spans="1:11" x14ac:dyDescent="0.25">
      <c r="A191" s="22">
        <v>46161</v>
      </c>
      <c r="B191" s="20" t="s">
        <v>341</v>
      </c>
      <c r="C191" s="21" t="s">
        <v>402</v>
      </c>
      <c r="D191" s="20" t="s">
        <v>30</v>
      </c>
      <c r="E191" s="20">
        <v>5550</v>
      </c>
      <c r="F191" s="20">
        <v>5213.99</v>
      </c>
      <c r="G191" s="29">
        <f t="shared" si="8"/>
        <v>473.99909090909091</v>
      </c>
      <c r="H191" s="29">
        <f t="shared" si="9"/>
        <v>4739.9909090909086</v>
      </c>
      <c r="I191" s="29">
        <f t="shared" si="10"/>
        <v>810.00909090909136</v>
      </c>
      <c r="J191" s="30">
        <f t="shared" si="11"/>
        <v>0.17088832161166412</v>
      </c>
      <c r="K191" s="20" t="s">
        <v>111</v>
      </c>
    </row>
    <row r="192" spans="1:11" x14ac:dyDescent="0.25">
      <c r="A192" s="22">
        <v>46161</v>
      </c>
      <c r="B192" s="20" t="s">
        <v>341</v>
      </c>
      <c r="C192" s="21" t="s">
        <v>403</v>
      </c>
      <c r="D192" s="20" t="s">
        <v>30</v>
      </c>
      <c r="E192" s="20">
        <v>5570</v>
      </c>
      <c r="F192" s="20">
        <v>5169.6499999999996</v>
      </c>
      <c r="G192" s="29">
        <f t="shared" si="8"/>
        <v>469.96818181818179</v>
      </c>
      <c r="H192" s="29">
        <f t="shared" si="9"/>
        <v>4699.681818181818</v>
      </c>
      <c r="I192" s="29">
        <f t="shared" si="10"/>
        <v>870.31818181818198</v>
      </c>
      <c r="J192" s="30">
        <f t="shared" si="11"/>
        <v>0.18518661804957787</v>
      </c>
      <c r="K192" s="20" t="s">
        <v>111</v>
      </c>
    </row>
    <row r="193" spans="1:11" x14ac:dyDescent="0.25">
      <c r="A193" s="22">
        <v>46161</v>
      </c>
      <c r="B193" s="20" t="s">
        <v>341</v>
      </c>
      <c r="C193" s="21" t="s">
        <v>404</v>
      </c>
      <c r="D193" s="20" t="s">
        <v>30</v>
      </c>
      <c r="E193" s="20">
        <v>5570</v>
      </c>
      <c r="F193" s="20">
        <v>4982.8500000000004</v>
      </c>
      <c r="G193" s="29">
        <f t="shared" si="8"/>
        <v>452.98636363636365</v>
      </c>
      <c r="H193" s="29">
        <f t="shared" si="9"/>
        <v>4529.8636363636369</v>
      </c>
      <c r="I193" s="29">
        <f t="shared" si="10"/>
        <v>1040.1363636363631</v>
      </c>
      <c r="J193" s="30">
        <f t="shared" si="11"/>
        <v>0.22961758832796475</v>
      </c>
      <c r="K193" s="20" t="s">
        <v>111</v>
      </c>
    </row>
    <row r="194" spans="1:11" x14ac:dyDescent="0.25">
      <c r="A194" s="22">
        <v>46161</v>
      </c>
      <c r="B194" s="20" t="s">
        <v>341</v>
      </c>
      <c r="C194" s="21" t="s">
        <v>405</v>
      </c>
      <c r="D194" s="20" t="s">
        <v>30</v>
      </c>
      <c r="E194" s="20">
        <v>5570</v>
      </c>
      <c r="F194" s="20">
        <v>4982.8500000000004</v>
      </c>
      <c r="G194" s="29">
        <f t="shared" si="8"/>
        <v>452.98636363636365</v>
      </c>
      <c r="H194" s="29">
        <f t="shared" si="9"/>
        <v>4529.8636363636369</v>
      </c>
      <c r="I194" s="29">
        <f t="shared" si="10"/>
        <v>1040.1363636363631</v>
      </c>
      <c r="J194" s="30">
        <f t="shared" si="11"/>
        <v>0.22961758832796475</v>
      </c>
      <c r="K194" s="20" t="s">
        <v>111</v>
      </c>
    </row>
    <row r="195" spans="1:11" x14ac:dyDescent="0.25">
      <c r="A195" s="22">
        <v>46161</v>
      </c>
      <c r="B195" s="20" t="s">
        <v>341</v>
      </c>
      <c r="C195" s="21" t="s">
        <v>406</v>
      </c>
      <c r="D195" s="20" t="s">
        <v>30</v>
      </c>
      <c r="E195" s="20">
        <v>5570</v>
      </c>
      <c r="F195" s="20">
        <v>4982.8500000000004</v>
      </c>
      <c r="G195" s="29">
        <f t="shared" ref="G195:G258" si="12">F195/11</f>
        <v>452.98636363636365</v>
      </c>
      <c r="H195" s="29">
        <f t="shared" ref="H195:H258" si="13">F195-G195</f>
        <v>4529.8636363636369</v>
      </c>
      <c r="I195" s="29">
        <f t="shared" ref="I195:I258" si="14">E195-H195</f>
        <v>1040.1363636363631</v>
      </c>
      <c r="J195" s="30">
        <f t="shared" ref="J195:J258" si="15">(E195-H195)/H195</f>
        <v>0.22961758832796475</v>
      </c>
      <c r="K195" s="20" t="s">
        <v>111</v>
      </c>
    </row>
    <row r="196" spans="1:11" x14ac:dyDescent="0.25">
      <c r="A196" s="22">
        <v>46161</v>
      </c>
      <c r="B196" s="20" t="s">
        <v>341</v>
      </c>
      <c r="C196" s="21" t="s">
        <v>407</v>
      </c>
      <c r="D196" s="20" t="s">
        <v>30</v>
      </c>
      <c r="E196" s="20">
        <v>5550</v>
      </c>
      <c r="F196" s="20">
        <v>5213.99</v>
      </c>
      <c r="G196" s="29">
        <f t="shared" si="12"/>
        <v>473.99909090909091</v>
      </c>
      <c r="H196" s="29">
        <f t="shared" si="13"/>
        <v>4739.9909090909086</v>
      </c>
      <c r="I196" s="29">
        <f t="shared" si="14"/>
        <v>810.00909090909136</v>
      </c>
      <c r="J196" s="30">
        <f t="shared" si="15"/>
        <v>0.17088832161166412</v>
      </c>
      <c r="K196" s="20" t="s">
        <v>111</v>
      </c>
    </row>
    <row r="197" spans="1:11" x14ac:dyDescent="0.25">
      <c r="A197" s="22">
        <v>46161</v>
      </c>
      <c r="B197" s="20" t="s">
        <v>341</v>
      </c>
      <c r="C197" s="21" t="s">
        <v>408</v>
      </c>
      <c r="D197" s="20" t="s">
        <v>30</v>
      </c>
      <c r="E197" s="20">
        <v>5570</v>
      </c>
      <c r="F197" s="20">
        <v>5169.6499999999996</v>
      </c>
      <c r="G197" s="29">
        <f t="shared" si="12"/>
        <v>469.96818181818179</v>
      </c>
      <c r="H197" s="29">
        <f t="shared" si="13"/>
        <v>4699.681818181818</v>
      </c>
      <c r="I197" s="29">
        <f t="shared" si="14"/>
        <v>870.31818181818198</v>
      </c>
      <c r="J197" s="30">
        <f t="shared" si="15"/>
        <v>0.18518661804957787</v>
      </c>
      <c r="K197" s="20" t="s">
        <v>111</v>
      </c>
    </row>
    <row r="198" spans="1:11" x14ac:dyDescent="0.25">
      <c r="A198" s="22">
        <v>46161</v>
      </c>
      <c r="B198" s="20" t="s">
        <v>341</v>
      </c>
      <c r="C198" s="21" t="s">
        <v>409</v>
      </c>
      <c r="D198" s="20" t="s">
        <v>30</v>
      </c>
      <c r="E198" s="20">
        <v>5570</v>
      </c>
      <c r="F198" s="20">
        <v>5213.99</v>
      </c>
      <c r="G198" s="29">
        <f t="shared" si="12"/>
        <v>473.99909090909091</v>
      </c>
      <c r="H198" s="29">
        <f t="shared" si="13"/>
        <v>4739.9909090909086</v>
      </c>
      <c r="I198" s="29">
        <f t="shared" si="14"/>
        <v>830.00909090909136</v>
      </c>
      <c r="J198" s="30">
        <f t="shared" si="15"/>
        <v>0.17510773898684129</v>
      </c>
      <c r="K198" s="20" t="s">
        <v>111</v>
      </c>
    </row>
    <row r="199" spans="1:11" x14ac:dyDescent="0.25">
      <c r="A199" s="22">
        <v>46161</v>
      </c>
      <c r="B199" s="20" t="s">
        <v>341</v>
      </c>
      <c r="C199" s="21" t="s">
        <v>410</v>
      </c>
      <c r="D199" s="20" t="s">
        <v>30</v>
      </c>
      <c r="E199" s="20">
        <v>5550</v>
      </c>
      <c r="F199" s="20">
        <v>5213.99</v>
      </c>
      <c r="G199" s="29">
        <f t="shared" si="12"/>
        <v>473.99909090909091</v>
      </c>
      <c r="H199" s="29">
        <f t="shared" si="13"/>
        <v>4739.9909090909086</v>
      </c>
      <c r="I199" s="29">
        <f t="shared" si="14"/>
        <v>810.00909090909136</v>
      </c>
      <c r="J199" s="30">
        <f t="shared" si="15"/>
        <v>0.17088832161166412</v>
      </c>
      <c r="K199" s="20" t="s">
        <v>111</v>
      </c>
    </row>
    <row r="200" spans="1:11" x14ac:dyDescent="0.25">
      <c r="A200" s="22">
        <v>46161</v>
      </c>
      <c r="B200" s="20" t="s">
        <v>341</v>
      </c>
      <c r="C200" s="21" t="s">
        <v>411</v>
      </c>
      <c r="D200" s="20" t="s">
        <v>30</v>
      </c>
      <c r="E200" s="20">
        <v>5570</v>
      </c>
      <c r="F200" s="20">
        <v>5213.99</v>
      </c>
      <c r="G200" s="29">
        <f t="shared" si="12"/>
        <v>473.99909090909091</v>
      </c>
      <c r="H200" s="29">
        <f t="shared" si="13"/>
        <v>4739.9909090909086</v>
      </c>
      <c r="I200" s="29">
        <f t="shared" si="14"/>
        <v>830.00909090909136</v>
      </c>
      <c r="J200" s="30">
        <f t="shared" si="15"/>
        <v>0.17510773898684129</v>
      </c>
      <c r="K200" s="20" t="s">
        <v>111</v>
      </c>
    </row>
    <row r="201" spans="1:11" x14ac:dyDescent="0.25">
      <c r="A201" s="22">
        <v>46161</v>
      </c>
      <c r="B201" s="20" t="s">
        <v>341</v>
      </c>
      <c r="C201" s="21" t="s">
        <v>412</v>
      </c>
      <c r="D201" s="20" t="s">
        <v>30</v>
      </c>
      <c r="E201" s="20">
        <v>5570</v>
      </c>
      <c r="F201" s="20">
        <v>4982.8500000000004</v>
      </c>
      <c r="G201" s="29">
        <f t="shared" si="12"/>
        <v>452.98636363636365</v>
      </c>
      <c r="H201" s="29">
        <f t="shared" si="13"/>
        <v>4529.8636363636369</v>
      </c>
      <c r="I201" s="29">
        <f t="shared" si="14"/>
        <v>1040.1363636363631</v>
      </c>
      <c r="J201" s="30">
        <f t="shared" si="15"/>
        <v>0.22961758832796475</v>
      </c>
      <c r="K201" s="20" t="s">
        <v>111</v>
      </c>
    </row>
    <row r="202" spans="1:11" x14ac:dyDescent="0.25">
      <c r="A202" s="22">
        <v>46161</v>
      </c>
      <c r="B202" s="20" t="s">
        <v>341</v>
      </c>
      <c r="C202" s="21" t="s">
        <v>413</v>
      </c>
      <c r="D202" s="20" t="s">
        <v>30</v>
      </c>
      <c r="E202" s="20">
        <v>5570</v>
      </c>
      <c r="F202" s="20">
        <v>4982.8500000000004</v>
      </c>
      <c r="G202" s="29">
        <f t="shared" si="12"/>
        <v>452.98636363636365</v>
      </c>
      <c r="H202" s="29">
        <f t="shared" si="13"/>
        <v>4529.8636363636369</v>
      </c>
      <c r="I202" s="29">
        <f t="shared" si="14"/>
        <v>1040.1363636363631</v>
      </c>
      <c r="J202" s="30">
        <f t="shared" si="15"/>
        <v>0.22961758832796475</v>
      </c>
      <c r="K202" s="20" t="s">
        <v>111</v>
      </c>
    </row>
    <row r="203" spans="1:11" x14ac:dyDescent="0.25">
      <c r="A203" s="22">
        <v>46161</v>
      </c>
      <c r="B203" s="20" t="s">
        <v>341</v>
      </c>
      <c r="C203" s="21" t="s">
        <v>414</v>
      </c>
      <c r="D203" s="20" t="s">
        <v>30</v>
      </c>
      <c r="E203" s="20">
        <v>5570</v>
      </c>
      <c r="F203" s="20">
        <v>5169.6499999999996</v>
      </c>
      <c r="G203" s="29">
        <f t="shared" si="12"/>
        <v>469.96818181818179</v>
      </c>
      <c r="H203" s="29">
        <f t="shared" si="13"/>
        <v>4699.681818181818</v>
      </c>
      <c r="I203" s="29">
        <f t="shared" si="14"/>
        <v>870.31818181818198</v>
      </c>
      <c r="J203" s="30">
        <f t="shared" si="15"/>
        <v>0.18518661804957787</v>
      </c>
      <c r="K203" s="20" t="s">
        <v>111</v>
      </c>
    </row>
    <row r="204" spans="1:11" x14ac:dyDescent="0.25">
      <c r="A204" s="22">
        <v>46161</v>
      </c>
      <c r="B204" s="20" t="s">
        <v>341</v>
      </c>
      <c r="C204" s="21" t="s">
        <v>415</v>
      </c>
      <c r="D204" s="20" t="s">
        <v>30</v>
      </c>
      <c r="E204" s="20">
        <v>5570</v>
      </c>
      <c r="F204" s="20">
        <v>4982.8500000000004</v>
      </c>
      <c r="G204" s="29">
        <f t="shared" si="12"/>
        <v>452.98636363636365</v>
      </c>
      <c r="H204" s="29">
        <f t="shared" si="13"/>
        <v>4529.8636363636369</v>
      </c>
      <c r="I204" s="29">
        <f t="shared" si="14"/>
        <v>1040.1363636363631</v>
      </c>
      <c r="J204" s="30">
        <f t="shared" si="15"/>
        <v>0.22961758832796475</v>
      </c>
      <c r="K204" s="20" t="s">
        <v>111</v>
      </c>
    </row>
    <row r="205" spans="1:11" x14ac:dyDescent="0.25">
      <c r="A205" s="22">
        <v>46161</v>
      </c>
      <c r="B205" s="20" t="s">
        <v>341</v>
      </c>
      <c r="C205" s="21" t="s">
        <v>416</v>
      </c>
      <c r="D205" s="20" t="s">
        <v>30</v>
      </c>
      <c r="E205" s="20">
        <v>5550</v>
      </c>
      <c r="F205" s="20">
        <v>5213.99</v>
      </c>
      <c r="G205" s="29">
        <f t="shared" si="12"/>
        <v>473.99909090909091</v>
      </c>
      <c r="H205" s="29">
        <f t="shared" si="13"/>
        <v>4739.9909090909086</v>
      </c>
      <c r="I205" s="29">
        <f t="shared" si="14"/>
        <v>810.00909090909136</v>
      </c>
      <c r="J205" s="30">
        <f t="shared" si="15"/>
        <v>0.17088832161166412</v>
      </c>
      <c r="K205" s="20" t="s">
        <v>111</v>
      </c>
    </row>
    <row r="206" spans="1:11" x14ac:dyDescent="0.25">
      <c r="A206" s="22">
        <v>46161</v>
      </c>
      <c r="B206" s="20" t="s">
        <v>341</v>
      </c>
      <c r="C206" s="21" t="s">
        <v>417</v>
      </c>
      <c r="D206" s="20" t="s">
        <v>30</v>
      </c>
      <c r="E206" s="20">
        <v>5570</v>
      </c>
      <c r="F206" s="20">
        <v>4982.8500000000004</v>
      </c>
      <c r="G206" s="29">
        <f t="shared" si="12"/>
        <v>452.98636363636365</v>
      </c>
      <c r="H206" s="29">
        <f t="shared" si="13"/>
        <v>4529.8636363636369</v>
      </c>
      <c r="I206" s="29">
        <f t="shared" si="14"/>
        <v>1040.1363636363631</v>
      </c>
      <c r="J206" s="30">
        <f t="shared" si="15"/>
        <v>0.22961758832796475</v>
      </c>
      <c r="K206" s="20" t="s">
        <v>111</v>
      </c>
    </row>
    <row r="207" spans="1:11" x14ac:dyDescent="0.25">
      <c r="A207" s="22">
        <v>46161</v>
      </c>
      <c r="B207" s="20" t="s">
        <v>341</v>
      </c>
      <c r="C207" s="21" t="s">
        <v>418</v>
      </c>
      <c r="D207" s="20" t="s">
        <v>30</v>
      </c>
      <c r="E207" s="20">
        <v>5570</v>
      </c>
      <c r="F207" s="20">
        <v>5169.6499999999996</v>
      </c>
      <c r="G207" s="29">
        <f t="shared" si="12"/>
        <v>469.96818181818179</v>
      </c>
      <c r="H207" s="29">
        <f t="shared" si="13"/>
        <v>4699.681818181818</v>
      </c>
      <c r="I207" s="29">
        <f t="shared" si="14"/>
        <v>870.31818181818198</v>
      </c>
      <c r="J207" s="30">
        <f t="shared" si="15"/>
        <v>0.18518661804957787</v>
      </c>
      <c r="K207" s="20" t="s">
        <v>111</v>
      </c>
    </row>
    <row r="208" spans="1:11" x14ac:dyDescent="0.25">
      <c r="A208" s="22">
        <v>46161</v>
      </c>
      <c r="B208" s="20" t="s">
        <v>341</v>
      </c>
      <c r="C208" s="21" t="s">
        <v>419</v>
      </c>
      <c r="D208" s="20" t="s">
        <v>30</v>
      </c>
      <c r="E208" s="20">
        <v>5570</v>
      </c>
      <c r="F208" s="20">
        <v>5213.99</v>
      </c>
      <c r="G208" s="29">
        <f t="shared" si="12"/>
        <v>473.99909090909091</v>
      </c>
      <c r="H208" s="29">
        <f t="shared" si="13"/>
        <v>4739.9909090909086</v>
      </c>
      <c r="I208" s="29">
        <f t="shared" si="14"/>
        <v>830.00909090909136</v>
      </c>
      <c r="J208" s="30">
        <f t="shared" si="15"/>
        <v>0.17510773898684129</v>
      </c>
      <c r="K208" s="20" t="s">
        <v>111</v>
      </c>
    </row>
    <row r="209" spans="1:11" x14ac:dyDescent="0.25">
      <c r="A209" s="22">
        <v>46161</v>
      </c>
      <c r="B209" s="20" t="s">
        <v>341</v>
      </c>
      <c r="C209" s="21" t="s">
        <v>420</v>
      </c>
      <c r="D209" s="20" t="s">
        <v>30</v>
      </c>
      <c r="E209" s="20">
        <v>5570</v>
      </c>
      <c r="F209" s="20">
        <v>5213.99</v>
      </c>
      <c r="G209" s="29">
        <f t="shared" si="12"/>
        <v>473.99909090909091</v>
      </c>
      <c r="H209" s="29">
        <f t="shared" si="13"/>
        <v>4739.9909090909086</v>
      </c>
      <c r="I209" s="29">
        <f t="shared" si="14"/>
        <v>830.00909090909136</v>
      </c>
      <c r="J209" s="30">
        <f t="shared" si="15"/>
        <v>0.17510773898684129</v>
      </c>
      <c r="K209" s="20" t="s">
        <v>111</v>
      </c>
    </row>
    <row r="210" spans="1:11" x14ac:dyDescent="0.25">
      <c r="A210" s="22">
        <v>46161</v>
      </c>
      <c r="B210" s="20" t="s">
        <v>341</v>
      </c>
      <c r="C210" s="21" t="s">
        <v>421</v>
      </c>
      <c r="D210" s="20" t="s">
        <v>30</v>
      </c>
      <c r="E210" s="20">
        <v>5550</v>
      </c>
      <c r="F210" s="20">
        <v>5213.99</v>
      </c>
      <c r="G210" s="29">
        <f t="shared" si="12"/>
        <v>473.99909090909091</v>
      </c>
      <c r="H210" s="29">
        <f t="shared" si="13"/>
        <v>4739.9909090909086</v>
      </c>
      <c r="I210" s="29">
        <f t="shared" si="14"/>
        <v>810.00909090909136</v>
      </c>
      <c r="J210" s="30">
        <f t="shared" si="15"/>
        <v>0.17088832161166412</v>
      </c>
      <c r="K210" s="20" t="s">
        <v>111</v>
      </c>
    </row>
    <row r="211" spans="1:11" x14ac:dyDescent="0.25">
      <c r="A211" s="22">
        <v>46161</v>
      </c>
      <c r="B211" s="20" t="s">
        <v>422</v>
      </c>
      <c r="C211" s="21" t="s">
        <v>423</v>
      </c>
      <c r="D211" s="20" t="s">
        <v>30</v>
      </c>
      <c r="E211" s="20">
        <v>7400</v>
      </c>
      <c r="F211" s="20">
        <v>2605.69</v>
      </c>
      <c r="G211" s="29">
        <f t="shared" si="12"/>
        <v>236.88090909090909</v>
      </c>
      <c r="H211" s="29">
        <f t="shared" si="13"/>
        <v>2368.8090909090911</v>
      </c>
      <c r="I211" s="29">
        <f t="shared" si="14"/>
        <v>5031.1909090909085</v>
      </c>
      <c r="J211" s="30">
        <f t="shared" si="15"/>
        <v>2.1239326243720469</v>
      </c>
      <c r="K211" s="20" t="s">
        <v>111</v>
      </c>
    </row>
    <row r="212" spans="1:11" x14ac:dyDescent="0.25">
      <c r="A212" s="22">
        <v>46161</v>
      </c>
      <c r="B212" s="20" t="s">
        <v>116</v>
      </c>
      <c r="C212" s="21" t="s">
        <v>424</v>
      </c>
      <c r="D212" s="20" t="s">
        <v>30</v>
      </c>
      <c r="E212" s="20">
        <v>1220</v>
      </c>
      <c r="F212" s="20">
        <v>1013.35</v>
      </c>
      <c r="G212" s="29">
        <f t="shared" si="12"/>
        <v>92.122727272727275</v>
      </c>
      <c r="H212" s="29">
        <f t="shared" si="13"/>
        <v>921.22727272727275</v>
      </c>
      <c r="I212" s="29">
        <f t="shared" si="14"/>
        <v>298.77272727272725</v>
      </c>
      <c r="J212" s="30">
        <f t="shared" si="15"/>
        <v>0.32432032367888686</v>
      </c>
      <c r="K212" s="20" t="s">
        <v>111</v>
      </c>
    </row>
    <row r="213" spans="1:11" x14ac:dyDescent="0.25">
      <c r="A213" s="22">
        <v>46161</v>
      </c>
      <c r="B213" s="20" t="s">
        <v>116</v>
      </c>
      <c r="C213" s="21" t="s">
        <v>425</v>
      </c>
      <c r="D213" s="20" t="s">
        <v>30</v>
      </c>
      <c r="E213" s="20">
        <v>1220</v>
      </c>
      <c r="F213" s="20">
        <v>1034.56</v>
      </c>
      <c r="G213" s="29">
        <f t="shared" si="12"/>
        <v>94.050909090909087</v>
      </c>
      <c r="H213" s="29">
        <f t="shared" si="13"/>
        <v>940.5090909090909</v>
      </c>
      <c r="I213" s="29">
        <f t="shared" si="14"/>
        <v>279.4909090909091</v>
      </c>
      <c r="J213" s="30">
        <f t="shared" si="15"/>
        <v>0.29716981132075471</v>
      </c>
      <c r="K213" s="20" t="s">
        <v>111</v>
      </c>
    </row>
    <row r="214" spans="1:11" x14ac:dyDescent="0.25">
      <c r="A214" s="22">
        <v>46161</v>
      </c>
      <c r="B214" s="20" t="s">
        <v>116</v>
      </c>
      <c r="C214" s="21" t="s">
        <v>426</v>
      </c>
      <c r="D214" s="20" t="s">
        <v>30</v>
      </c>
      <c r="E214" s="20">
        <v>1220</v>
      </c>
      <c r="F214" s="20">
        <v>1034.56</v>
      </c>
      <c r="G214" s="29">
        <f t="shared" si="12"/>
        <v>94.050909090909087</v>
      </c>
      <c r="H214" s="29">
        <f t="shared" si="13"/>
        <v>940.5090909090909</v>
      </c>
      <c r="I214" s="29">
        <f t="shared" si="14"/>
        <v>279.4909090909091</v>
      </c>
      <c r="J214" s="30">
        <f t="shared" si="15"/>
        <v>0.29716981132075471</v>
      </c>
      <c r="K214" s="20" t="s">
        <v>111</v>
      </c>
    </row>
    <row r="215" spans="1:11" x14ac:dyDescent="0.25">
      <c r="A215" s="22">
        <v>46161</v>
      </c>
      <c r="B215" s="20" t="s">
        <v>116</v>
      </c>
      <c r="C215" s="21" t="s">
        <v>427</v>
      </c>
      <c r="D215" s="20" t="s">
        <v>30</v>
      </c>
      <c r="E215" s="20">
        <v>1220</v>
      </c>
      <c r="F215" s="20">
        <v>1034.56</v>
      </c>
      <c r="G215" s="29">
        <f t="shared" si="12"/>
        <v>94.050909090909087</v>
      </c>
      <c r="H215" s="29">
        <f t="shared" si="13"/>
        <v>940.5090909090909</v>
      </c>
      <c r="I215" s="29">
        <f t="shared" si="14"/>
        <v>279.4909090909091</v>
      </c>
      <c r="J215" s="30">
        <f t="shared" si="15"/>
        <v>0.29716981132075471</v>
      </c>
      <c r="K215" s="20" t="s">
        <v>111</v>
      </c>
    </row>
    <row r="216" spans="1:11" x14ac:dyDescent="0.25">
      <c r="A216" s="22">
        <v>46161</v>
      </c>
      <c r="B216" s="20" t="s">
        <v>116</v>
      </c>
      <c r="C216" s="21" t="s">
        <v>428</v>
      </c>
      <c r="D216" s="20" t="s">
        <v>30</v>
      </c>
      <c r="E216" s="20">
        <v>1220</v>
      </c>
      <c r="F216" s="20">
        <v>1034.56</v>
      </c>
      <c r="G216" s="29">
        <f t="shared" si="12"/>
        <v>94.050909090909087</v>
      </c>
      <c r="H216" s="29">
        <f t="shared" si="13"/>
        <v>940.5090909090909</v>
      </c>
      <c r="I216" s="29">
        <f t="shared" si="14"/>
        <v>279.4909090909091</v>
      </c>
      <c r="J216" s="30">
        <f t="shared" si="15"/>
        <v>0.29716981132075471</v>
      </c>
      <c r="K216" s="20" t="s">
        <v>111</v>
      </c>
    </row>
    <row r="217" spans="1:11" x14ac:dyDescent="0.25">
      <c r="A217" s="22">
        <v>46161</v>
      </c>
      <c r="B217" s="20" t="s">
        <v>116</v>
      </c>
      <c r="C217" s="21" t="s">
        <v>429</v>
      </c>
      <c r="D217" s="20" t="s">
        <v>30</v>
      </c>
      <c r="E217" s="20">
        <v>1220</v>
      </c>
      <c r="F217" s="20">
        <v>1034.56</v>
      </c>
      <c r="G217" s="29">
        <f t="shared" si="12"/>
        <v>94.050909090909087</v>
      </c>
      <c r="H217" s="29">
        <f t="shared" si="13"/>
        <v>940.5090909090909</v>
      </c>
      <c r="I217" s="29">
        <f t="shared" si="14"/>
        <v>279.4909090909091</v>
      </c>
      <c r="J217" s="30">
        <f t="shared" si="15"/>
        <v>0.29716981132075471</v>
      </c>
      <c r="K217" s="20" t="s">
        <v>111</v>
      </c>
    </row>
    <row r="218" spans="1:11" x14ac:dyDescent="0.25">
      <c r="A218" s="22">
        <v>46161</v>
      </c>
      <c r="B218" s="20" t="s">
        <v>116</v>
      </c>
      <c r="C218" s="21" t="s">
        <v>430</v>
      </c>
      <c r="D218" s="20" t="s">
        <v>30</v>
      </c>
      <c r="E218" s="20">
        <v>1220</v>
      </c>
      <c r="F218" s="20">
        <v>1034.56</v>
      </c>
      <c r="G218" s="29">
        <f t="shared" si="12"/>
        <v>94.050909090909087</v>
      </c>
      <c r="H218" s="29">
        <f t="shared" si="13"/>
        <v>940.5090909090909</v>
      </c>
      <c r="I218" s="29">
        <f t="shared" si="14"/>
        <v>279.4909090909091</v>
      </c>
      <c r="J218" s="30">
        <f t="shared" si="15"/>
        <v>0.29716981132075471</v>
      </c>
      <c r="K218" s="20" t="s">
        <v>111</v>
      </c>
    </row>
    <row r="219" spans="1:11" x14ac:dyDescent="0.25">
      <c r="A219" s="22">
        <v>46161</v>
      </c>
      <c r="B219" s="20" t="s">
        <v>116</v>
      </c>
      <c r="C219" s="21" t="s">
        <v>431</v>
      </c>
      <c r="D219" s="20" t="s">
        <v>30</v>
      </c>
      <c r="E219" s="20">
        <v>1220</v>
      </c>
      <c r="F219" s="20">
        <v>1034.56</v>
      </c>
      <c r="G219" s="29">
        <f t="shared" si="12"/>
        <v>94.050909090909087</v>
      </c>
      <c r="H219" s="29">
        <f t="shared" si="13"/>
        <v>940.5090909090909</v>
      </c>
      <c r="I219" s="29">
        <f t="shared" si="14"/>
        <v>279.4909090909091</v>
      </c>
      <c r="J219" s="30">
        <f t="shared" si="15"/>
        <v>0.29716981132075471</v>
      </c>
      <c r="K219" s="20" t="s">
        <v>111</v>
      </c>
    </row>
    <row r="220" spans="1:11" x14ac:dyDescent="0.25">
      <c r="A220" s="22">
        <v>46161</v>
      </c>
      <c r="B220" s="20" t="s">
        <v>116</v>
      </c>
      <c r="C220" s="21" t="s">
        <v>432</v>
      </c>
      <c r="D220" s="20" t="s">
        <v>30</v>
      </c>
      <c r="E220" s="20">
        <v>1230</v>
      </c>
      <c r="F220" s="20">
        <v>1034.56</v>
      </c>
      <c r="G220" s="29">
        <f t="shared" si="12"/>
        <v>94.050909090909087</v>
      </c>
      <c r="H220" s="29">
        <f t="shared" si="13"/>
        <v>940.5090909090909</v>
      </c>
      <c r="I220" s="29">
        <f t="shared" si="14"/>
        <v>289.4909090909091</v>
      </c>
      <c r="J220" s="30">
        <f t="shared" si="15"/>
        <v>0.30780235075781009</v>
      </c>
      <c r="K220" s="20" t="s">
        <v>111</v>
      </c>
    </row>
    <row r="221" spans="1:11" x14ac:dyDescent="0.25">
      <c r="A221" s="22">
        <v>46161</v>
      </c>
      <c r="B221" s="20" t="s">
        <v>116</v>
      </c>
      <c r="C221" s="21" t="s">
        <v>433</v>
      </c>
      <c r="D221" s="20" t="s">
        <v>30</v>
      </c>
      <c r="E221" s="20">
        <v>1220</v>
      </c>
      <c r="F221" s="20">
        <v>1034.56</v>
      </c>
      <c r="G221" s="29">
        <f t="shared" si="12"/>
        <v>94.050909090909087</v>
      </c>
      <c r="H221" s="29">
        <f t="shared" si="13"/>
        <v>940.5090909090909</v>
      </c>
      <c r="I221" s="29">
        <f t="shared" si="14"/>
        <v>279.4909090909091</v>
      </c>
      <c r="J221" s="30">
        <f t="shared" si="15"/>
        <v>0.29716981132075471</v>
      </c>
      <c r="K221" s="20" t="s">
        <v>111</v>
      </c>
    </row>
    <row r="222" spans="1:11" x14ac:dyDescent="0.25">
      <c r="A222" s="22">
        <v>46161</v>
      </c>
      <c r="B222" s="20" t="s">
        <v>116</v>
      </c>
      <c r="C222" s="21" t="s">
        <v>434</v>
      </c>
      <c r="D222" s="20" t="s">
        <v>30</v>
      </c>
      <c r="E222" s="20">
        <v>1230</v>
      </c>
      <c r="F222" s="20">
        <v>1034.56</v>
      </c>
      <c r="G222" s="29">
        <f t="shared" si="12"/>
        <v>94.050909090909087</v>
      </c>
      <c r="H222" s="29">
        <f t="shared" si="13"/>
        <v>940.5090909090909</v>
      </c>
      <c r="I222" s="29">
        <f t="shared" si="14"/>
        <v>289.4909090909091</v>
      </c>
      <c r="J222" s="30">
        <f t="shared" si="15"/>
        <v>0.30780235075781009</v>
      </c>
      <c r="K222" s="20" t="s">
        <v>111</v>
      </c>
    </row>
    <row r="223" spans="1:11" x14ac:dyDescent="0.25">
      <c r="A223" s="22">
        <v>46161</v>
      </c>
      <c r="B223" s="20" t="s">
        <v>116</v>
      </c>
      <c r="C223" s="21" t="s">
        <v>435</v>
      </c>
      <c r="D223" s="20" t="s">
        <v>30</v>
      </c>
      <c r="E223" s="20">
        <v>1230</v>
      </c>
      <c r="F223" s="20">
        <v>1034.56</v>
      </c>
      <c r="G223" s="29">
        <f t="shared" si="12"/>
        <v>94.050909090909087</v>
      </c>
      <c r="H223" s="29">
        <f t="shared" si="13"/>
        <v>940.5090909090909</v>
      </c>
      <c r="I223" s="29">
        <f t="shared" si="14"/>
        <v>289.4909090909091</v>
      </c>
      <c r="J223" s="30">
        <f t="shared" si="15"/>
        <v>0.30780235075781009</v>
      </c>
      <c r="K223" s="20" t="s">
        <v>111</v>
      </c>
    </row>
    <row r="224" spans="1:11" x14ac:dyDescent="0.25">
      <c r="A224" s="22">
        <v>46161</v>
      </c>
      <c r="B224" s="20" t="s">
        <v>116</v>
      </c>
      <c r="C224" s="21" t="s">
        <v>436</v>
      </c>
      <c r="D224" s="20" t="s">
        <v>30</v>
      </c>
      <c r="E224" s="20">
        <v>1220</v>
      </c>
      <c r="F224" s="20">
        <v>1034.56</v>
      </c>
      <c r="G224" s="29">
        <f t="shared" si="12"/>
        <v>94.050909090909087</v>
      </c>
      <c r="H224" s="29">
        <f t="shared" si="13"/>
        <v>940.5090909090909</v>
      </c>
      <c r="I224" s="29">
        <f t="shared" si="14"/>
        <v>279.4909090909091</v>
      </c>
      <c r="J224" s="30">
        <f t="shared" si="15"/>
        <v>0.29716981132075471</v>
      </c>
      <c r="K224" s="20" t="s">
        <v>111</v>
      </c>
    </row>
    <row r="225" spans="1:11" x14ac:dyDescent="0.25">
      <c r="A225" s="22">
        <v>46161</v>
      </c>
      <c r="B225" s="20" t="s">
        <v>116</v>
      </c>
      <c r="C225" s="21" t="s">
        <v>437</v>
      </c>
      <c r="D225" s="20" t="s">
        <v>30</v>
      </c>
      <c r="E225" s="20">
        <v>1220</v>
      </c>
      <c r="F225" s="20">
        <v>1034.56</v>
      </c>
      <c r="G225" s="29">
        <f t="shared" si="12"/>
        <v>94.050909090909087</v>
      </c>
      <c r="H225" s="29">
        <f t="shared" si="13"/>
        <v>940.5090909090909</v>
      </c>
      <c r="I225" s="29">
        <f t="shared" si="14"/>
        <v>279.4909090909091</v>
      </c>
      <c r="J225" s="30">
        <f t="shared" si="15"/>
        <v>0.29716981132075471</v>
      </c>
      <c r="K225" s="20" t="s">
        <v>111</v>
      </c>
    </row>
    <row r="226" spans="1:11" x14ac:dyDescent="0.25">
      <c r="A226" s="22">
        <v>46161</v>
      </c>
      <c r="B226" s="20" t="s">
        <v>116</v>
      </c>
      <c r="C226" s="21" t="s">
        <v>438</v>
      </c>
      <c r="D226" s="20" t="s">
        <v>30</v>
      </c>
      <c r="E226" s="20">
        <v>1220</v>
      </c>
      <c r="F226" s="20">
        <v>1034.56</v>
      </c>
      <c r="G226" s="29">
        <f t="shared" si="12"/>
        <v>94.050909090909087</v>
      </c>
      <c r="H226" s="29">
        <f t="shared" si="13"/>
        <v>940.5090909090909</v>
      </c>
      <c r="I226" s="29">
        <f t="shared" si="14"/>
        <v>279.4909090909091</v>
      </c>
      <c r="J226" s="30">
        <f t="shared" si="15"/>
        <v>0.29716981132075471</v>
      </c>
      <c r="K226" s="20" t="s">
        <v>111</v>
      </c>
    </row>
    <row r="227" spans="1:11" x14ac:dyDescent="0.25">
      <c r="A227" s="22">
        <v>46161</v>
      </c>
      <c r="B227" s="20" t="s">
        <v>116</v>
      </c>
      <c r="C227" s="21" t="s">
        <v>439</v>
      </c>
      <c r="D227" s="20" t="s">
        <v>30</v>
      </c>
      <c r="E227" s="20">
        <v>1220</v>
      </c>
      <c r="F227" s="20">
        <v>1034.56</v>
      </c>
      <c r="G227" s="29">
        <f t="shared" si="12"/>
        <v>94.050909090909087</v>
      </c>
      <c r="H227" s="29">
        <f t="shared" si="13"/>
        <v>940.5090909090909</v>
      </c>
      <c r="I227" s="29">
        <f t="shared" si="14"/>
        <v>279.4909090909091</v>
      </c>
      <c r="J227" s="30">
        <f t="shared" si="15"/>
        <v>0.29716981132075471</v>
      </c>
      <c r="K227" s="20" t="s">
        <v>111</v>
      </c>
    </row>
    <row r="228" spans="1:11" x14ac:dyDescent="0.25">
      <c r="A228" s="22">
        <v>46161</v>
      </c>
      <c r="B228" s="20" t="s">
        <v>116</v>
      </c>
      <c r="C228" s="21" t="s">
        <v>440</v>
      </c>
      <c r="D228" s="20" t="s">
        <v>30</v>
      </c>
      <c r="E228" s="20">
        <v>1220</v>
      </c>
      <c r="F228" s="20">
        <v>1034.56</v>
      </c>
      <c r="G228" s="29">
        <f t="shared" si="12"/>
        <v>94.050909090909087</v>
      </c>
      <c r="H228" s="29">
        <f t="shared" si="13"/>
        <v>940.5090909090909</v>
      </c>
      <c r="I228" s="29">
        <f t="shared" si="14"/>
        <v>279.4909090909091</v>
      </c>
      <c r="J228" s="30">
        <f t="shared" si="15"/>
        <v>0.29716981132075471</v>
      </c>
      <c r="K228" s="20" t="s">
        <v>111</v>
      </c>
    </row>
    <row r="229" spans="1:11" x14ac:dyDescent="0.25">
      <c r="A229" s="22">
        <v>46161</v>
      </c>
      <c r="B229" s="20" t="s">
        <v>116</v>
      </c>
      <c r="C229" s="21" t="s">
        <v>441</v>
      </c>
      <c r="D229" s="20" t="s">
        <v>30</v>
      </c>
      <c r="E229" s="20">
        <v>1220</v>
      </c>
      <c r="F229" s="20">
        <v>1034.56</v>
      </c>
      <c r="G229" s="29">
        <f t="shared" si="12"/>
        <v>94.050909090909087</v>
      </c>
      <c r="H229" s="29">
        <f t="shared" si="13"/>
        <v>940.5090909090909</v>
      </c>
      <c r="I229" s="29">
        <f t="shared" si="14"/>
        <v>279.4909090909091</v>
      </c>
      <c r="J229" s="30">
        <f t="shared" si="15"/>
        <v>0.29716981132075471</v>
      </c>
      <c r="K229" s="20" t="s">
        <v>111</v>
      </c>
    </row>
    <row r="230" spans="1:11" x14ac:dyDescent="0.25">
      <c r="A230" s="22">
        <v>46162</v>
      </c>
      <c r="B230" s="20" t="s">
        <v>32</v>
      </c>
      <c r="C230" s="21">
        <v>350651441532732</v>
      </c>
      <c r="D230" s="20" t="s">
        <v>385</v>
      </c>
      <c r="E230" s="20">
        <v>4790</v>
      </c>
      <c r="F230" s="20">
        <v>5144.47</v>
      </c>
      <c r="G230" s="29">
        <f t="shared" si="12"/>
        <v>467.67909090909092</v>
      </c>
      <c r="H230" s="29">
        <f t="shared" si="13"/>
        <v>4676.7909090909097</v>
      </c>
      <c r="I230" s="29">
        <f t="shared" si="14"/>
        <v>113.20909090909026</v>
      </c>
      <c r="J230" s="30">
        <f t="shared" si="15"/>
        <v>2.4206575215716931E-2</v>
      </c>
      <c r="K230" s="20" t="s">
        <v>111</v>
      </c>
    </row>
    <row r="231" spans="1:11" x14ac:dyDescent="0.25">
      <c r="A231" s="22">
        <v>46162</v>
      </c>
      <c r="B231" s="20" t="s">
        <v>32</v>
      </c>
      <c r="C231" s="21">
        <v>350651441751316</v>
      </c>
      <c r="D231" s="20" t="s">
        <v>385</v>
      </c>
      <c r="E231" s="20">
        <v>4790</v>
      </c>
      <c r="F231" s="20">
        <v>5144.47</v>
      </c>
      <c r="G231" s="29">
        <f t="shared" si="12"/>
        <v>467.67909090909092</v>
      </c>
      <c r="H231" s="29">
        <f t="shared" si="13"/>
        <v>4676.7909090909097</v>
      </c>
      <c r="I231" s="29">
        <f t="shared" si="14"/>
        <v>113.20909090909026</v>
      </c>
      <c r="J231" s="30">
        <f t="shared" si="15"/>
        <v>2.4206575215716931E-2</v>
      </c>
      <c r="K231" s="20" t="s">
        <v>111</v>
      </c>
    </row>
    <row r="232" spans="1:11" x14ac:dyDescent="0.25">
      <c r="A232" s="22">
        <v>46162</v>
      </c>
      <c r="B232" s="20" t="s">
        <v>32</v>
      </c>
      <c r="C232" s="21">
        <v>350651445173095</v>
      </c>
      <c r="D232" s="20" t="s">
        <v>385</v>
      </c>
      <c r="E232" s="20">
        <v>4790</v>
      </c>
      <c r="F232" s="20">
        <v>5144.47</v>
      </c>
      <c r="G232" s="29">
        <f t="shared" si="12"/>
        <v>467.67909090909092</v>
      </c>
      <c r="H232" s="29">
        <f t="shared" si="13"/>
        <v>4676.7909090909097</v>
      </c>
      <c r="I232" s="29">
        <f t="shared" si="14"/>
        <v>113.20909090909026</v>
      </c>
      <c r="J232" s="30">
        <f t="shared" si="15"/>
        <v>2.4206575215716931E-2</v>
      </c>
      <c r="K232" s="20" t="s">
        <v>111</v>
      </c>
    </row>
    <row r="233" spans="1:11" x14ac:dyDescent="0.25">
      <c r="A233" s="22">
        <v>46162</v>
      </c>
      <c r="B233" s="20" t="s">
        <v>32</v>
      </c>
      <c r="C233" s="21">
        <v>350651445329689</v>
      </c>
      <c r="D233" s="20" t="s">
        <v>385</v>
      </c>
      <c r="E233" s="20">
        <v>4790</v>
      </c>
      <c r="F233" s="20">
        <v>5144.47</v>
      </c>
      <c r="G233" s="29">
        <f t="shared" si="12"/>
        <v>467.67909090909092</v>
      </c>
      <c r="H233" s="29">
        <f t="shared" si="13"/>
        <v>4676.7909090909097</v>
      </c>
      <c r="I233" s="29">
        <f t="shared" si="14"/>
        <v>113.20909090909026</v>
      </c>
      <c r="J233" s="30">
        <f t="shared" si="15"/>
        <v>2.4206575215716931E-2</v>
      </c>
      <c r="K233" s="20" t="s">
        <v>111</v>
      </c>
    </row>
    <row r="234" spans="1:11" x14ac:dyDescent="0.25">
      <c r="A234" s="22">
        <v>46162</v>
      </c>
      <c r="B234" s="20" t="s">
        <v>32</v>
      </c>
      <c r="C234" s="21">
        <v>350651445500792</v>
      </c>
      <c r="D234" s="20" t="s">
        <v>385</v>
      </c>
      <c r="E234" s="20">
        <v>4790</v>
      </c>
      <c r="F234" s="20">
        <v>5144.47</v>
      </c>
      <c r="G234" s="29">
        <f t="shared" si="12"/>
        <v>467.67909090909092</v>
      </c>
      <c r="H234" s="29">
        <f t="shared" si="13"/>
        <v>4676.7909090909097</v>
      </c>
      <c r="I234" s="29">
        <f t="shared" si="14"/>
        <v>113.20909090909026</v>
      </c>
      <c r="J234" s="30">
        <f t="shared" si="15"/>
        <v>2.4206575215716931E-2</v>
      </c>
      <c r="K234" s="20" t="s">
        <v>111</v>
      </c>
    </row>
    <row r="235" spans="1:11" x14ac:dyDescent="0.25">
      <c r="A235" s="22">
        <v>46162</v>
      </c>
      <c r="B235" s="20" t="s">
        <v>32</v>
      </c>
      <c r="C235" s="21">
        <v>350651446800068</v>
      </c>
      <c r="D235" s="20" t="s">
        <v>91</v>
      </c>
      <c r="E235" s="20">
        <v>4740</v>
      </c>
      <c r="F235" s="20">
        <v>5144.47</v>
      </c>
      <c r="G235" s="29">
        <f t="shared" si="12"/>
        <v>467.67909090909092</v>
      </c>
      <c r="H235" s="29">
        <f t="shared" si="13"/>
        <v>4676.7909090909097</v>
      </c>
      <c r="I235" s="29">
        <f t="shared" si="14"/>
        <v>63.209090909090264</v>
      </c>
      <c r="J235" s="30">
        <f t="shared" si="15"/>
        <v>1.3515483616387942E-2</v>
      </c>
      <c r="K235" s="20" t="s">
        <v>111</v>
      </c>
    </row>
    <row r="236" spans="1:11" x14ac:dyDescent="0.25">
      <c r="A236" s="22">
        <v>46162</v>
      </c>
      <c r="B236" s="20" t="s">
        <v>32</v>
      </c>
      <c r="C236" s="21">
        <v>350651448001061</v>
      </c>
      <c r="D236" s="20" t="s">
        <v>385</v>
      </c>
      <c r="E236" s="20">
        <v>4790</v>
      </c>
      <c r="F236" s="20">
        <v>5144.47</v>
      </c>
      <c r="G236" s="29">
        <f t="shared" si="12"/>
        <v>467.67909090909092</v>
      </c>
      <c r="H236" s="29">
        <f t="shared" si="13"/>
        <v>4676.7909090909097</v>
      </c>
      <c r="I236" s="29">
        <f t="shared" si="14"/>
        <v>113.20909090909026</v>
      </c>
      <c r="J236" s="30">
        <f t="shared" si="15"/>
        <v>2.4206575215716931E-2</v>
      </c>
      <c r="K236" s="20" t="s">
        <v>111</v>
      </c>
    </row>
    <row r="237" spans="1:11" x14ac:dyDescent="0.25">
      <c r="A237" s="22">
        <v>46162</v>
      </c>
      <c r="B237" s="20" t="s">
        <v>32</v>
      </c>
      <c r="C237" s="21">
        <v>350651448034294</v>
      </c>
      <c r="D237" s="20" t="s">
        <v>385</v>
      </c>
      <c r="E237" s="20">
        <v>4790</v>
      </c>
      <c r="F237" s="20">
        <v>5144.47</v>
      </c>
      <c r="G237" s="29">
        <f t="shared" si="12"/>
        <v>467.67909090909092</v>
      </c>
      <c r="H237" s="29">
        <f t="shared" si="13"/>
        <v>4676.7909090909097</v>
      </c>
      <c r="I237" s="29">
        <f t="shared" si="14"/>
        <v>113.20909090909026</v>
      </c>
      <c r="J237" s="30">
        <f t="shared" si="15"/>
        <v>2.4206575215716931E-2</v>
      </c>
      <c r="K237" s="20" t="s">
        <v>111</v>
      </c>
    </row>
    <row r="238" spans="1:11" x14ac:dyDescent="0.25">
      <c r="A238" s="22">
        <v>46162</v>
      </c>
      <c r="B238" s="20" t="s">
        <v>32</v>
      </c>
      <c r="C238" s="21">
        <v>350651448279931</v>
      </c>
      <c r="D238" s="20" t="s">
        <v>385</v>
      </c>
      <c r="E238" s="20">
        <v>4790</v>
      </c>
      <c r="F238" s="20">
        <v>5144.47</v>
      </c>
      <c r="G238" s="29">
        <f t="shared" si="12"/>
        <v>467.67909090909092</v>
      </c>
      <c r="H238" s="29">
        <f t="shared" si="13"/>
        <v>4676.7909090909097</v>
      </c>
      <c r="I238" s="29">
        <f t="shared" si="14"/>
        <v>113.20909090909026</v>
      </c>
      <c r="J238" s="30">
        <f t="shared" si="15"/>
        <v>2.4206575215716931E-2</v>
      </c>
      <c r="K238" s="20" t="s">
        <v>111</v>
      </c>
    </row>
    <row r="239" spans="1:11" x14ac:dyDescent="0.25">
      <c r="A239" s="22">
        <v>46162</v>
      </c>
      <c r="B239" s="20" t="s">
        <v>32</v>
      </c>
      <c r="C239" s="21">
        <v>350651448444667</v>
      </c>
      <c r="D239" s="20" t="s">
        <v>385</v>
      </c>
      <c r="E239" s="20">
        <v>4790</v>
      </c>
      <c r="F239" s="20">
        <v>5144.47</v>
      </c>
      <c r="G239" s="29">
        <f t="shared" si="12"/>
        <v>467.67909090909092</v>
      </c>
      <c r="H239" s="29">
        <f t="shared" si="13"/>
        <v>4676.7909090909097</v>
      </c>
      <c r="I239" s="29">
        <f t="shared" si="14"/>
        <v>113.20909090909026</v>
      </c>
      <c r="J239" s="30">
        <f t="shared" si="15"/>
        <v>2.4206575215716931E-2</v>
      </c>
      <c r="K239" s="20" t="s">
        <v>111</v>
      </c>
    </row>
    <row r="240" spans="1:11" x14ac:dyDescent="0.25">
      <c r="A240" s="22">
        <v>46162</v>
      </c>
      <c r="B240" s="20" t="s">
        <v>32</v>
      </c>
      <c r="C240" s="21">
        <v>350651449914080</v>
      </c>
      <c r="D240" s="20" t="s">
        <v>91</v>
      </c>
      <c r="E240" s="20">
        <v>4740</v>
      </c>
      <c r="F240" s="20">
        <v>5188.21</v>
      </c>
      <c r="G240" s="29">
        <f t="shared" si="12"/>
        <v>471.65545454545457</v>
      </c>
      <c r="H240" s="29">
        <f t="shared" si="13"/>
        <v>4716.5545454545454</v>
      </c>
      <c r="I240" s="29">
        <f t="shared" si="14"/>
        <v>23.445454545454595</v>
      </c>
      <c r="J240" s="30">
        <f t="shared" si="15"/>
        <v>4.9708859124823505E-3</v>
      </c>
      <c r="K240" s="20" t="s">
        <v>111</v>
      </c>
    </row>
    <row r="241" spans="1:11" x14ac:dyDescent="0.25">
      <c r="A241" s="22">
        <v>46162</v>
      </c>
      <c r="B241" s="20" t="s">
        <v>32</v>
      </c>
      <c r="C241" s="21">
        <v>351459299335334</v>
      </c>
      <c r="D241" s="20" t="s">
        <v>98</v>
      </c>
      <c r="E241" s="20">
        <v>4790</v>
      </c>
      <c r="F241" s="20">
        <v>5063.53</v>
      </c>
      <c r="G241" s="29">
        <f t="shared" si="12"/>
        <v>460.32090909090908</v>
      </c>
      <c r="H241" s="29">
        <f t="shared" si="13"/>
        <v>4603.2090909090903</v>
      </c>
      <c r="I241" s="29">
        <f t="shared" si="14"/>
        <v>186.79090909090974</v>
      </c>
      <c r="J241" s="30">
        <f t="shared" si="15"/>
        <v>4.057841071347474E-2</v>
      </c>
      <c r="K241" s="20" t="s">
        <v>111</v>
      </c>
    </row>
    <row r="242" spans="1:11" x14ac:dyDescent="0.25">
      <c r="A242" s="22">
        <v>46162</v>
      </c>
      <c r="B242" s="20" t="s">
        <v>32</v>
      </c>
      <c r="C242" s="21">
        <v>351459299435050</v>
      </c>
      <c r="D242" s="20" t="s">
        <v>98</v>
      </c>
      <c r="E242" s="20">
        <v>4790</v>
      </c>
      <c r="F242" s="20">
        <v>5063.53</v>
      </c>
      <c r="G242" s="29">
        <f t="shared" si="12"/>
        <v>460.32090909090908</v>
      </c>
      <c r="H242" s="29">
        <f t="shared" si="13"/>
        <v>4603.2090909090903</v>
      </c>
      <c r="I242" s="29">
        <f t="shared" si="14"/>
        <v>186.79090909090974</v>
      </c>
      <c r="J242" s="30">
        <f t="shared" si="15"/>
        <v>4.057841071347474E-2</v>
      </c>
      <c r="K242" s="20" t="s">
        <v>111</v>
      </c>
    </row>
    <row r="243" spans="1:11" x14ac:dyDescent="0.25">
      <c r="A243" s="22">
        <v>46162</v>
      </c>
      <c r="B243" s="20" t="s">
        <v>32</v>
      </c>
      <c r="C243" s="21">
        <v>351459299690183</v>
      </c>
      <c r="D243" s="20" t="s">
        <v>91</v>
      </c>
      <c r="E243" s="20">
        <v>4740</v>
      </c>
      <c r="F243" s="20">
        <v>5144.47</v>
      </c>
      <c r="G243" s="29">
        <f t="shared" si="12"/>
        <v>467.67909090909092</v>
      </c>
      <c r="H243" s="29">
        <f t="shared" si="13"/>
        <v>4676.7909090909097</v>
      </c>
      <c r="I243" s="29">
        <f t="shared" si="14"/>
        <v>63.209090909090264</v>
      </c>
      <c r="J243" s="30">
        <f t="shared" si="15"/>
        <v>1.3515483616387942E-2</v>
      </c>
      <c r="K243" s="20" t="s">
        <v>111</v>
      </c>
    </row>
    <row r="244" spans="1:11" x14ac:dyDescent="0.25">
      <c r="A244" s="22">
        <v>46162</v>
      </c>
      <c r="B244" s="20" t="s">
        <v>32</v>
      </c>
      <c r="C244" s="21">
        <v>351459299743594</v>
      </c>
      <c r="D244" s="20" t="s">
        <v>91</v>
      </c>
      <c r="E244" s="20">
        <v>4740</v>
      </c>
      <c r="F244" s="20">
        <v>5144.47</v>
      </c>
      <c r="G244" s="29">
        <f t="shared" si="12"/>
        <v>467.67909090909092</v>
      </c>
      <c r="H244" s="29">
        <f t="shared" si="13"/>
        <v>4676.7909090909097</v>
      </c>
      <c r="I244" s="29">
        <f t="shared" si="14"/>
        <v>63.209090909090264</v>
      </c>
      <c r="J244" s="30">
        <f t="shared" si="15"/>
        <v>1.3515483616387942E-2</v>
      </c>
      <c r="K244" s="20" t="s">
        <v>111</v>
      </c>
    </row>
    <row r="245" spans="1:11" x14ac:dyDescent="0.25">
      <c r="A245" s="22">
        <v>46162</v>
      </c>
      <c r="B245" s="20" t="s">
        <v>32</v>
      </c>
      <c r="C245" s="21">
        <v>351500505793988</v>
      </c>
      <c r="D245" s="20" t="s">
        <v>91</v>
      </c>
      <c r="E245" s="20">
        <v>4740</v>
      </c>
      <c r="F245" s="20">
        <v>5063.53</v>
      </c>
      <c r="G245" s="29">
        <f t="shared" si="12"/>
        <v>460.32090909090908</v>
      </c>
      <c r="H245" s="29">
        <f t="shared" si="13"/>
        <v>4603.2090909090903</v>
      </c>
      <c r="I245" s="29">
        <f t="shared" si="14"/>
        <v>136.79090909090974</v>
      </c>
      <c r="J245" s="30">
        <f t="shared" si="15"/>
        <v>2.9716423127739092E-2</v>
      </c>
      <c r="K245" s="20" t="s">
        <v>111</v>
      </c>
    </row>
    <row r="246" spans="1:11" x14ac:dyDescent="0.25">
      <c r="A246" s="22">
        <v>46162</v>
      </c>
      <c r="B246" s="20" t="s">
        <v>32</v>
      </c>
      <c r="C246" s="21">
        <v>351500506945157</v>
      </c>
      <c r="D246" s="20" t="s">
        <v>98</v>
      </c>
      <c r="E246" s="20">
        <v>4790</v>
      </c>
      <c r="F246" s="20">
        <v>5063.53</v>
      </c>
      <c r="G246" s="29">
        <f t="shared" si="12"/>
        <v>460.32090909090908</v>
      </c>
      <c r="H246" s="29">
        <f t="shared" si="13"/>
        <v>4603.2090909090903</v>
      </c>
      <c r="I246" s="29">
        <f t="shared" si="14"/>
        <v>186.79090909090974</v>
      </c>
      <c r="J246" s="30">
        <f t="shared" si="15"/>
        <v>4.057841071347474E-2</v>
      </c>
      <c r="K246" s="20" t="s">
        <v>111</v>
      </c>
    </row>
    <row r="247" spans="1:11" x14ac:dyDescent="0.25">
      <c r="A247" s="22">
        <v>46162</v>
      </c>
      <c r="B247" s="20" t="s">
        <v>32</v>
      </c>
      <c r="C247" s="21">
        <v>351500507584658</v>
      </c>
      <c r="D247" s="20" t="s">
        <v>385</v>
      </c>
      <c r="E247" s="20">
        <v>4790</v>
      </c>
      <c r="F247" s="20">
        <v>5144.47</v>
      </c>
      <c r="G247" s="29">
        <f t="shared" si="12"/>
        <v>467.67909090909092</v>
      </c>
      <c r="H247" s="29">
        <f t="shared" si="13"/>
        <v>4676.7909090909097</v>
      </c>
      <c r="I247" s="29">
        <f t="shared" si="14"/>
        <v>113.20909090909026</v>
      </c>
      <c r="J247" s="30">
        <f t="shared" si="15"/>
        <v>2.4206575215716931E-2</v>
      </c>
      <c r="K247" s="20" t="s">
        <v>111</v>
      </c>
    </row>
    <row r="248" spans="1:11" x14ac:dyDescent="0.25">
      <c r="A248" s="22">
        <v>46162</v>
      </c>
      <c r="B248" s="20" t="s">
        <v>32</v>
      </c>
      <c r="C248" s="21">
        <v>351500509327320</v>
      </c>
      <c r="D248" s="20" t="s">
        <v>385</v>
      </c>
      <c r="E248" s="20">
        <v>4790</v>
      </c>
      <c r="F248" s="20">
        <v>5063.5200000000004</v>
      </c>
      <c r="G248" s="29">
        <f t="shared" si="12"/>
        <v>460.32000000000005</v>
      </c>
      <c r="H248" s="29">
        <f t="shared" si="13"/>
        <v>4603.2000000000007</v>
      </c>
      <c r="I248" s="29">
        <f t="shared" si="14"/>
        <v>186.79999999999927</v>
      </c>
      <c r="J248" s="30">
        <f t="shared" si="15"/>
        <v>4.0580465762947347E-2</v>
      </c>
      <c r="K248" s="20" t="s">
        <v>111</v>
      </c>
    </row>
    <row r="249" spans="1:11" x14ac:dyDescent="0.25">
      <c r="A249" s="22">
        <v>46162</v>
      </c>
      <c r="B249" s="20" t="s">
        <v>32</v>
      </c>
      <c r="C249" s="21">
        <v>353008930580481</v>
      </c>
      <c r="D249" s="20" t="s">
        <v>385</v>
      </c>
      <c r="E249" s="20">
        <v>4790</v>
      </c>
      <c r="F249" s="20">
        <v>5063.5200000000004</v>
      </c>
      <c r="G249" s="29">
        <f t="shared" si="12"/>
        <v>460.32000000000005</v>
      </c>
      <c r="H249" s="29">
        <f t="shared" si="13"/>
        <v>4603.2000000000007</v>
      </c>
      <c r="I249" s="29">
        <f t="shared" si="14"/>
        <v>186.79999999999927</v>
      </c>
      <c r="J249" s="30">
        <f t="shared" si="15"/>
        <v>4.0580465762947347E-2</v>
      </c>
      <c r="K249" s="20" t="s">
        <v>111</v>
      </c>
    </row>
    <row r="250" spans="1:11" x14ac:dyDescent="0.25">
      <c r="A250" s="22">
        <v>46162</v>
      </c>
      <c r="B250" s="20" t="s">
        <v>32</v>
      </c>
      <c r="C250" s="21">
        <v>353008933154961</v>
      </c>
      <c r="D250" s="20" t="s">
        <v>91</v>
      </c>
      <c r="E250" s="20">
        <v>4740</v>
      </c>
      <c r="F250" s="20">
        <v>5063.53</v>
      </c>
      <c r="G250" s="29">
        <f t="shared" si="12"/>
        <v>460.32090909090908</v>
      </c>
      <c r="H250" s="29">
        <f t="shared" si="13"/>
        <v>4603.2090909090903</v>
      </c>
      <c r="I250" s="29">
        <f t="shared" si="14"/>
        <v>136.79090909090974</v>
      </c>
      <c r="J250" s="30">
        <f t="shared" si="15"/>
        <v>2.9716423127739092E-2</v>
      </c>
      <c r="K250" s="20" t="s">
        <v>111</v>
      </c>
    </row>
    <row r="251" spans="1:11" x14ac:dyDescent="0.25">
      <c r="A251" s="22">
        <v>46162</v>
      </c>
      <c r="B251" s="20" t="s">
        <v>32</v>
      </c>
      <c r="C251" s="21">
        <v>353008933889673</v>
      </c>
      <c r="D251" s="20" t="s">
        <v>91</v>
      </c>
      <c r="E251" s="20">
        <v>4740</v>
      </c>
      <c r="F251" s="20">
        <v>5063.53</v>
      </c>
      <c r="G251" s="29">
        <f t="shared" si="12"/>
        <v>460.32090909090908</v>
      </c>
      <c r="H251" s="29">
        <f t="shared" si="13"/>
        <v>4603.2090909090903</v>
      </c>
      <c r="I251" s="29">
        <f t="shared" si="14"/>
        <v>136.79090909090974</v>
      </c>
      <c r="J251" s="30">
        <f t="shared" si="15"/>
        <v>2.9716423127739092E-2</v>
      </c>
      <c r="K251" s="20" t="s">
        <v>111</v>
      </c>
    </row>
    <row r="252" spans="1:11" x14ac:dyDescent="0.25">
      <c r="A252" s="22">
        <v>46162</v>
      </c>
      <c r="B252" s="20" t="s">
        <v>32</v>
      </c>
      <c r="C252" s="21">
        <v>353008934774619</v>
      </c>
      <c r="D252" s="20" t="s">
        <v>98</v>
      </c>
      <c r="E252" s="20">
        <v>4790</v>
      </c>
      <c r="F252" s="20">
        <v>5063.53</v>
      </c>
      <c r="G252" s="29">
        <f t="shared" si="12"/>
        <v>460.32090909090908</v>
      </c>
      <c r="H252" s="29">
        <f t="shared" si="13"/>
        <v>4603.2090909090903</v>
      </c>
      <c r="I252" s="29">
        <f t="shared" si="14"/>
        <v>186.79090909090974</v>
      </c>
      <c r="J252" s="30">
        <f t="shared" si="15"/>
        <v>4.057841071347474E-2</v>
      </c>
      <c r="K252" s="20" t="s">
        <v>111</v>
      </c>
    </row>
    <row r="253" spans="1:11" x14ac:dyDescent="0.25">
      <c r="A253" s="22">
        <v>46162</v>
      </c>
      <c r="B253" s="20" t="s">
        <v>32</v>
      </c>
      <c r="C253" s="21">
        <v>353008938205511</v>
      </c>
      <c r="D253" s="20" t="s">
        <v>385</v>
      </c>
      <c r="E253" s="20">
        <v>4790</v>
      </c>
      <c r="F253" s="20">
        <v>5144.47</v>
      </c>
      <c r="G253" s="29">
        <f t="shared" si="12"/>
        <v>467.67909090909092</v>
      </c>
      <c r="H253" s="29">
        <f t="shared" si="13"/>
        <v>4676.7909090909097</v>
      </c>
      <c r="I253" s="29">
        <f t="shared" si="14"/>
        <v>113.20909090909026</v>
      </c>
      <c r="J253" s="30">
        <f t="shared" si="15"/>
        <v>2.4206575215716931E-2</v>
      </c>
      <c r="K253" s="20" t="s">
        <v>111</v>
      </c>
    </row>
    <row r="254" spans="1:11" x14ac:dyDescent="0.25">
      <c r="A254" s="22">
        <v>46162</v>
      </c>
      <c r="B254" s="20" t="s">
        <v>32</v>
      </c>
      <c r="C254" s="21">
        <v>353806445738852</v>
      </c>
      <c r="D254" s="20" t="s">
        <v>91</v>
      </c>
      <c r="E254" s="20">
        <v>4740</v>
      </c>
      <c r="F254" s="20">
        <v>5063.53</v>
      </c>
      <c r="G254" s="29">
        <f t="shared" si="12"/>
        <v>460.32090909090908</v>
      </c>
      <c r="H254" s="29">
        <f t="shared" si="13"/>
        <v>4603.2090909090903</v>
      </c>
      <c r="I254" s="29">
        <f t="shared" si="14"/>
        <v>136.79090909090974</v>
      </c>
      <c r="J254" s="30">
        <f t="shared" si="15"/>
        <v>2.9716423127739092E-2</v>
      </c>
      <c r="K254" s="20" t="s">
        <v>111</v>
      </c>
    </row>
    <row r="255" spans="1:11" x14ac:dyDescent="0.25">
      <c r="A255" s="22">
        <v>46162</v>
      </c>
      <c r="B255" s="20" t="s">
        <v>32</v>
      </c>
      <c r="C255" s="21">
        <v>353806448848484</v>
      </c>
      <c r="D255" s="20" t="s">
        <v>385</v>
      </c>
      <c r="E255" s="20">
        <v>4790</v>
      </c>
      <c r="F255" s="20">
        <v>5144.47</v>
      </c>
      <c r="G255" s="29">
        <f t="shared" si="12"/>
        <v>467.67909090909092</v>
      </c>
      <c r="H255" s="29">
        <f t="shared" si="13"/>
        <v>4676.7909090909097</v>
      </c>
      <c r="I255" s="29">
        <f t="shared" si="14"/>
        <v>113.20909090909026</v>
      </c>
      <c r="J255" s="30">
        <f t="shared" si="15"/>
        <v>2.4206575215716931E-2</v>
      </c>
      <c r="K255" s="20" t="s">
        <v>111</v>
      </c>
    </row>
    <row r="256" spans="1:11" x14ac:dyDescent="0.25">
      <c r="A256" s="22">
        <v>46162</v>
      </c>
      <c r="B256" s="20" t="s">
        <v>32</v>
      </c>
      <c r="C256" s="21">
        <v>357352405374418</v>
      </c>
      <c r="D256" s="20" t="s">
        <v>91</v>
      </c>
      <c r="E256" s="20">
        <v>4740</v>
      </c>
      <c r="F256" s="20">
        <v>5063.53</v>
      </c>
      <c r="G256" s="29">
        <f t="shared" si="12"/>
        <v>460.32090909090908</v>
      </c>
      <c r="H256" s="29">
        <f t="shared" si="13"/>
        <v>4603.2090909090903</v>
      </c>
      <c r="I256" s="29">
        <f t="shared" si="14"/>
        <v>136.79090909090974</v>
      </c>
      <c r="J256" s="30">
        <f t="shared" si="15"/>
        <v>2.9716423127739092E-2</v>
      </c>
      <c r="K256" s="20" t="s">
        <v>111</v>
      </c>
    </row>
    <row r="257" spans="1:11" x14ac:dyDescent="0.25">
      <c r="A257" s="22">
        <v>46162</v>
      </c>
      <c r="B257" s="20" t="s">
        <v>32</v>
      </c>
      <c r="C257" s="21">
        <v>358361780008037</v>
      </c>
      <c r="D257" s="20" t="s">
        <v>91</v>
      </c>
      <c r="E257" s="20">
        <v>4740</v>
      </c>
      <c r="F257" s="20">
        <v>5188.21</v>
      </c>
      <c r="G257" s="29">
        <f t="shared" si="12"/>
        <v>471.65545454545457</v>
      </c>
      <c r="H257" s="29">
        <f t="shared" si="13"/>
        <v>4716.5545454545454</v>
      </c>
      <c r="I257" s="29">
        <f t="shared" si="14"/>
        <v>23.445454545454595</v>
      </c>
      <c r="J257" s="30">
        <f t="shared" si="15"/>
        <v>4.9708859124823505E-3</v>
      </c>
      <c r="K257" s="20" t="s">
        <v>111</v>
      </c>
    </row>
    <row r="258" spans="1:11" x14ac:dyDescent="0.25">
      <c r="A258" s="22">
        <v>46162</v>
      </c>
      <c r="B258" s="20" t="s">
        <v>32</v>
      </c>
      <c r="C258" s="21">
        <v>358361780035410</v>
      </c>
      <c r="D258" s="20" t="s">
        <v>91</v>
      </c>
      <c r="E258" s="20">
        <v>4740</v>
      </c>
      <c r="F258" s="20">
        <v>5144.47</v>
      </c>
      <c r="G258" s="29">
        <f t="shared" si="12"/>
        <v>467.67909090909092</v>
      </c>
      <c r="H258" s="29">
        <f t="shared" si="13"/>
        <v>4676.7909090909097</v>
      </c>
      <c r="I258" s="29">
        <f t="shared" si="14"/>
        <v>63.209090909090264</v>
      </c>
      <c r="J258" s="30">
        <f t="shared" si="15"/>
        <v>1.3515483616387942E-2</v>
      </c>
      <c r="K258" s="20" t="s">
        <v>111</v>
      </c>
    </row>
    <row r="259" spans="1:11" x14ac:dyDescent="0.25">
      <c r="A259" s="22">
        <v>46162</v>
      </c>
      <c r="B259" s="20" t="s">
        <v>32</v>
      </c>
      <c r="C259" s="21">
        <v>359144419580157</v>
      </c>
      <c r="D259" s="20" t="s">
        <v>91</v>
      </c>
      <c r="E259" s="20">
        <v>4740</v>
      </c>
      <c r="F259" s="20">
        <v>5063.53</v>
      </c>
      <c r="G259" s="29">
        <f t="shared" ref="G259:G322" si="16">F259/11</f>
        <v>460.32090909090908</v>
      </c>
      <c r="H259" s="29">
        <f t="shared" ref="H259:H322" si="17">F259-G259</f>
        <v>4603.2090909090903</v>
      </c>
      <c r="I259" s="29">
        <f t="shared" ref="I259:I322" si="18">E259-H259</f>
        <v>136.79090909090974</v>
      </c>
      <c r="J259" s="30">
        <f t="shared" ref="J259:J322" si="19">(E259-H259)/H259</f>
        <v>2.9716423127739092E-2</v>
      </c>
      <c r="K259" s="20" t="s">
        <v>111</v>
      </c>
    </row>
    <row r="260" spans="1:11" x14ac:dyDescent="0.25">
      <c r="A260" s="22">
        <v>46162</v>
      </c>
      <c r="B260" s="20" t="s">
        <v>32</v>
      </c>
      <c r="C260" s="21">
        <v>359144419613339</v>
      </c>
      <c r="D260" s="20" t="s">
        <v>91</v>
      </c>
      <c r="E260" s="20">
        <v>4740</v>
      </c>
      <c r="F260" s="20">
        <v>5063.53</v>
      </c>
      <c r="G260" s="29">
        <f t="shared" si="16"/>
        <v>460.32090909090908</v>
      </c>
      <c r="H260" s="29">
        <f t="shared" si="17"/>
        <v>4603.2090909090903</v>
      </c>
      <c r="I260" s="29">
        <f t="shared" si="18"/>
        <v>136.79090909090974</v>
      </c>
      <c r="J260" s="30">
        <f t="shared" si="19"/>
        <v>2.9716423127739092E-2</v>
      </c>
      <c r="K260" s="20" t="s">
        <v>111</v>
      </c>
    </row>
    <row r="261" spans="1:11" x14ac:dyDescent="0.25">
      <c r="A261" s="22">
        <v>46162</v>
      </c>
      <c r="B261" s="20" t="s">
        <v>32</v>
      </c>
      <c r="C261" s="21">
        <v>359144419649648</v>
      </c>
      <c r="D261" s="20" t="s">
        <v>91</v>
      </c>
      <c r="E261" s="20">
        <v>4740</v>
      </c>
      <c r="F261" s="20">
        <v>5063.53</v>
      </c>
      <c r="G261" s="29">
        <f t="shared" si="16"/>
        <v>460.32090909090908</v>
      </c>
      <c r="H261" s="29">
        <f t="shared" si="17"/>
        <v>4603.2090909090903</v>
      </c>
      <c r="I261" s="29">
        <f t="shared" si="18"/>
        <v>136.79090909090974</v>
      </c>
      <c r="J261" s="30">
        <f t="shared" si="19"/>
        <v>2.9716423127739092E-2</v>
      </c>
      <c r="K261" s="20" t="s">
        <v>111</v>
      </c>
    </row>
    <row r="262" spans="1:11" x14ac:dyDescent="0.25">
      <c r="A262" s="22">
        <v>46162</v>
      </c>
      <c r="B262" s="20" t="s">
        <v>498</v>
      </c>
      <c r="C262" s="21" t="s">
        <v>499</v>
      </c>
      <c r="D262" s="20" t="s">
        <v>500</v>
      </c>
      <c r="E262" s="20">
        <v>350</v>
      </c>
      <c r="F262" s="20">
        <v>292.43</v>
      </c>
      <c r="G262" s="29">
        <f t="shared" si="16"/>
        <v>26.584545454545456</v>
      </c>
      <c r="H262" s="29">
        <f t="shared" si="17"/>
        <v>265.84545454545457</v>
      </c>
      <c r="I262" s="29">
        <f t="shared" si="18"/>
        <v>84.154545454545428</v>
      </c>
      <c r="J262" s="30">
        <f t="shared" si="19"/>
        <v>0.31655438908456712</v>
      </c>
      <c r="K262" s="20" t="s">
        <v>111</v>
      </c>
    </row>
    <row r="263" spans="1:11" x14ac:dyDescent="0.25">
      <c r="A263" s="22">
        <v>46162</v>
      </c>
      <c r="B263" s="20" t="s">
        <v>498</v>
      </c>
      <c r="C263" s="21" t="s">
        <v>501</v>
      </c>
      <c r="D263" s="20" t="s">
        <v>500</v>
      </c>
      <c r="E263" s="20">
        <v>350</v>
      </c>
      <c r="F263" s="20">
        <v>292.43</v>
      </c>
      <c r="G263" s="29">
        <f t="shared" si="16"/>
        <v>26.584545454545456</v>
      </c>
      <c r="H263" s="29">
        <f t="shared" si="17"/>
        <v>265.84545454545457</v>
      </c>
      <c r="I263" s="29">
        <f t="shared" si="18"/>
        <v>84.154545454545428</v>
      </c>
      <c r="J263" s="30">
        <f t="shared" si="19"/>
        <v>0.31655438908456712</v>
      </c>
      <c r="K263" s="20" t="s">
        <v>111</v>
      </c>
    </row>
    <row r="264" spans="1:11" x14ac:dyDescent="0.25">
      <c r="A264" s="22">
        <v>46162</v>
      </c>
      <c r="B264" s="20" t="s">
        <v>498</v>
      </c>
      <c r="C264" s="21" t="s">
        <v>502</v>
      </c>
      <c r="D264" s="20" t="s">
        <v>500</v>
      </c>
      <c r="E264" s="20">
        <v>350</v>
      </c>
      <c r="F264" s="20">
        <v>292.43</v>
      </c>
      <c r="G264" s="29">
        <f t="shared" si="16"/>
        <v>26.584545454545456</v>
      </c>
      <c r="H264" s="29">
        <f t="shared" si="17"/>
        <v>265.84545454545457</v>
      </c>
      <c r="I264" s="29">
        <f t="shared" si="18"/>
        <v>84.154545454545428</v>
      </c>
      <c r="J264" s="30">
        <f t="shared" si="19"/>
        <v>0.31655438908456712</v>
      </c>
      <c r="K264" s="20" t="s">
        <v>111</v>
      </c>
    </row>
    <row r="265" spans="1:11" x14ac:dyDescent="0.25">
      <c r="A265" s="22">
        <v>46162</v>
      </c>
      <c r="B265" s="20" t="s">
        <v>498</v>
      </c>
      <c r="C265" s="21" t="s">
        <v>503</v>
      </c>
      <c r="D265" s="20" t="s">
        <v>500</v>
      </c>
      <c r="E265" s="20">
        <v>350</v>
      </c>
      <c r="F265" s="20">
        <v>292.43</v>
      </c>
      <c r="G265" s="29">
        <f t="shared" si="16"/>
        <v>26.584545454545456</v>
      </c>
      <c r="H265" s="29">
        <f t="shared" si="17"/>
        <v>265.84545454545457</v>
      </c>
      <c r="I265" s="29">
        <f t="shared" si="18"/>
        <v>84.154545454545428</v>
      </c>
      <c r="J265" s="30">
        <f t="shared" si="19"/>
        <v>0.31655438908456712</v>
      </c>
      <c r="K265" s="20" t="s">
        <v>111</v>
      </c>
    </row>
    <row r="266" spans="1:11" x14ac:dyDescent="0.25">
      <c r="A266" s="22">
        <v>46162</v>
      </c>
      <c r="B266" s="20" t="s">
        <v>498</v>
      </c>
      <c r="C266" s="21" t="s">
        <v>504</v>
      </c>
      <c r="D266" s="20" t="s">
        <v>500</v>
      </c>
      <c r="E266" s="20">
        <v>350</v>
      </c>
      <c r="F266" s="20">
        <v>292.43</v>
      </c>
      <c r="G266" s="29">
        <f t="shared" si="16"/>
        <v>26.584545454545456</v>
      </c>
      <c r="H266" s="29">
        <f t="shared" si="17"/>
        <v>265.84545454545457</v>
      </c>
      <c r="I266" s="29">
        <f t="shared" si="18"/>
        <v>84.154545454545428</v>
      </c>
      <c r="J266" s="30">
        <f t="shared" si="19"/>
        <v>0.31655438908456712</v>
      </c>
      <c r="K266" s="20" t="s">
        <v>111</v>
      </c>
    </row>
    <row r="267" spans="1:11" x14ac:dyDescent="0.25">
      <c r="A267" s="22">
        <v>46162</v>
      </c>
      <c r="B267" s="20" t="s">
        <v>498</v>
      </c>
      <c r="C267" s="21" t="s">
        <v>505</v>
      </c>
      <c r="D267" s="20" t="s">
        <v>506</v>
      </c>
      <c r="E267" s="20">
        <v>350</v>
      </c>
      <c r="F267" s="20">
        <v>292.43</v>
      </c>
      <c r="G267" s="29">
        <f t="shared" si="16"/>
        <v>26.584545454545456</v>
      </c>
      <c r="H267" s="29">
        <f t="shared" si="17"/>
        <v>265.84545454545457</v>
      </c>
      <c r="I267" s="29">
        <f t="shared" si="18"/>
        <v>84.154545454545428</v>
      </c>
      <c r="J267" s="30">
        <f t="shared" si="19"/>
        <v>0.31655438908456712</v>
      </c>
      <c r="K267" s="20" t="s">
        <v>111</v>
      </c>
    </row>
    <row r="268" spans="1:11" x14ac:dyDescent="0.25">
      <c r="A268" s="22">
        <v>46162</v>
      </c>
      <c r="B268" s="20" t="s">
        <v>498</v>
      </c>
      <c r="C268" s="21" t="s">
        <v>507</v>
      </c>
      <c r="D268" s="20" t="s">
        <v>506</v>
      </c>
      <c r="E268" s="20">
        <v>350</v>
      </c>
      <c r="F268" s="20">
        <v>292.43</v>
      </c>
      <c r="G268" s="29">
        <f t="shared" si="16"/>
        <v>26.584545454545456</v>
      </c>
      <c r="H268" s="29">
        <f t="shared" si="17"/>
        <v>265.84545454545457</v>
      </c>
      <c r="I268" s="29">
        <f t="shared" si="18"/>
        <v>84.154545454545428</v>
      </c>
      <c r="J268" s="30">
        <f t="shared" si="19"/>
        <v>0.31655438908456712</v>
      </c>
      <c r="K268" s="20" t="s">
        <v>111</v>
      </c>
    </row>
    <row r="269" spans="1:11" x14ac:dyDescent="0.25">
      <c r="A269" s="22">
        <v>46162</v>
      </c>
      <c r="B269" s="20" t="s">
        <v>498</v>
      </c>
      <c r="C269" s="21" t="s">
        <v>508</v>
      </c>
      <c r="D269" s="20" t="s">
        <v>506</v>
      </c>
      <c r="E269" s="20">
        <v>350</v>
      </c>
      <c r="F269" s="20">
        <v>292.43</v>
      </c>
      <c r="G269" s="29">
        <f t="shared" si="16"/>
        <v>26.584545454545456</v>
      </c>
      <c r="H269" s="29">
        <f t="shared" si="17"/>
        <v>265.84545454545457</v>
      </c>
      <c r="I269" s="29">
        <f t="shared" si="18"/>
        <v>84.154545454545428</v>
      </c>
      <c r="J269" s="30">
        <f t="shared" si="19"/>
        <v>0.31655438908456712</v>
      </c>
      <c r="K269" s="20" t="s">
        <v>111</v>
      </c>
    </row>
    <row r="270" spans="1:11" x14ac:dyDescent="0.25">
      <c r="A270" s="22">
        <v>46162</v>
      </c>
      <c r="B270" s="20" t="s">
        <v>55</v>
      </c>
      <c r="C270" s="21" t="s">
        <v>533</v>
      </c>
      <c r="D270" s="20" t="s">
        <v>534</v>
      </c>
      <c r="E270" s="20">
        <v>1320</v>
      </c>
      <c r="F270" s="20">
        <v>1611.89</v>
      </c>
      <c r="G270" s="29">
        <f t="shared" si="16"/>
        <v>146.53545454545454</v>
      </c>
      <c r="H270" s="29">
        <f t="shared" si="17"/>
        <v>1465.3545454545456</v>
      </c>
      <c r="I270" s="29">
        <f t="shared" si="18"/>
        <v>-145.35454545454559</v>
      </c>
      <c r="J270" s="30">
        <f t="shared" si="19"/>
        <v>-9.9194113742252968E-2</v>
      </c>
      <c r="K270" s="20" t="s">
        <v>111</v>
      </c>
    </row>
    <row r="271" spans="1:11" x14ac:dyDescent="0.25">
      <c r="A271" s="22">
        <v>46162</v>
      </c>
      <c r="B271" s="20" t="s">
        <v>55</v>
      </c>
      <c r="C271" s="21" t="s">
        <v>535</v>
      </c>
      <c r="D271" s="20" t="s">
        <v>534</v>
      </c>
      <c r="E271" s="20">
        <v>1520</v>
      </c>
      <c r="F271" s="20">
        <v>1580.98</v>
      </c>
      <c r="G271" s="29">
        <f t="shared" si="16"/>
        <v>143.72545454545454</v>
      </c>
      <c r="H271" s="29">
        <f t="shared" si="17"/>
        <v>1437.2545454545455</v>
      </c>
      <c r="I271" s="29">
        <f t="shared" si="18"/>
        <v>82.74545454545455</v>
      </c>
      <c r="J271" s="30">
        <f t="shared" si="19"/>
        <v>5.7571885792356642E-2</v>
      </c>
      <c r="K271" s="20" t="s">
        <v>111</v>
      </c>
    </row>
    <row r="272" spans="1:11" x14ac:dyDescent="0.25">
      <c r="A272" s="22">
        <v>46162</v>
      </c>
      <c r="B272" s="20" t="s">
        <v>55</v>
      </c>
      <c r="C272" s="21" t="s">
        <v>536</v>
      </c>
      <c r="D272" s="20" t="s">
        <v>534</v>
      </c>
      <c r="E272" s="20">
        <v>1520</v>
      </c>
      <c r="F272" s="20">
        <v>1611.89</v>
      </c>
      <c r="G272" s="29">
        <f t="shared" si="16"/>
        <v>146.53545454545454</v>
      </c>
      <c r="H272" s="29">
        <f t="shared" si="17"/>
        <v>1465.3545454545456</v>
      </c>
      <c r="I272" s="29">
        <f t="shared" si="18"/>
        <v>54.645454545454413</v>
      </c>
      <c r="J272" s="30">
        <f t="shared" si="19"/>
        <v>3.7291626599829916E-2</v>
      </c>
      <c r="K272" s="20" t="s">
        <v>111</v>
      </c>
    </row>
    <row r="273" spans="1:11" x14ac:dyDescent="0.25">
      <c r="A273" s="22">
        <v>46163</v>
      </c>
      <c r="B273" s="20" t="s">
        <v>112</v>
      </c>
      <c r="C273" s="21">
        <v>19006852554</v>
      </c>
      <c r="D273" s="20" t="s">
        <v>30</v>
      </c>
      <c r="E273" s="20">
        <v>4425</v>
      </c>
      <c r="F273" s="20">
        <v>3127.35</v>
      </c>
      <c r="G273" s="29">
        <f t="shared" si="16"/>
        <v>284.30454545454546</v>
      </c>
      <c r="H273" s="29">
        <f t="shared" si="17"/>
        <v>2843.0454545454545</v>
      </c>
      <c r="I273" s="29">
        <f t="shared" si="18"/>
        <v>1581.9545454545455</v>
      </c>
      <c r="J273" s="30">
        <f t="shared" si="19"/>
        <v>0.55642956496714469</v>
      </c>
      <c r="K273" s="20" t="s">
        <v>111</v>
      </c>
    </row>
    <row r="274" spans="1:11" x14ac:dyDescent="0.25">
      <c r="A274" s="22">
        <v>46163</v>
      </c>
      <c r="B274" s="20" t="s">
        <v>112</v>
      </c>
      <c r="C274" s="21">
        <v>19837751147</v>
      </c>
      <c r="D274" s="20" t="s">
        <v>30</v>
      </c>
      <c r="E274" s="20">
        <v>4425</v>
      </c>
      <c r="F274" s="20">
        <v>3067.64</v>
      </c>
      <c r="G274" s="29">
        <f t="shared" si="16"/>
        <v>278.87636363636364</v>
      </c>
      <c r="H274" s="29">
        <f t="shared" si="17"/>
        <v>2788.7636363636361</v>
      </c>
      <c r="I274" s="29">
        <f t="shared" si="18"/>
        <v>1636.2363636363639</v>
      </c>
      <c r="J274" s="30">
        <f t="shared" si="19"/>
        <v>0.5867246482638121</v>
      </c>
      <c r="K274" s="20" t="s">
        <v>111</v>
      </c>
    </row>
    <row r="275" spans="1:11" x14ac:dyDescent="0.25">
      <c r="A275" s="22">
        <v>46163</v>
      </c>
      <c r="B275" s="20" t="s">
        <v>112</v>
      </c>
      <c r="C275" s="21">
        <v>19881559048</v>
      </c>
      <c r="D275" s="20" t="s">
        <v>30</v>
      </c>
      <c r="E275" s="20">
        <v>4425</v>
      </c>
      <c r="F275" s="20">
        <v>3127.35</v>
      </c>
      <c r="G275" s="29">
        <f t="shared" si="16"/>
        <v>284.30454545454546</v>
      </c>
      <c r="H275" s="29">
        <f t="shared" si="17"/>
        <v>2843.0454545454545</v>
      </c>
      <c r="I275" s="29">
        <f t="shared" si="18"/>
        <v>1581.9545454545455</v>
      </c>
      <c r="J275" s="30">
        <f t="shared" si="19"/>
        <v>0.55642956496714469</v>
      </c>
      <c r="K275" s="20" t="s">
        <v>111</v>
      </c>
    </row>
    <row r="276" spans="1:11" x14ac:dyDescent="0.25">
      <c r="A276" s="22">
        <v>46163</v>
      </c>
      <c r="B276" s="20" t="s">
        <v>112</v>
      </c>
      <c r="C276" s="21">
        <v>19985850269</v>
      </c>
      <c r="D276" s="20" t="s">
        <v>30</v>
      </c>
      <c r="E276" s="20">
        <v>4425</v>
      </c>
      <c r="F276" s="20">
        <v>3127.35</v>
      </c>
      <c r="G276" s="29">
        <f t="shared" si="16"/>
        <v>284.30454545454546</v>
      </c>
      <c r="H276" s="29">
        <f t="shared" si="17"/>
        <v>2843.0454545454545</v>
      </c>
      <c r="I276" s="29">
        <f t="shared" si="18"/>
        <v>1581.9545454545455</v>
      </c>
      <c r="J276" s="30">
        <f t="shared" si="19"/>
        <v>0.55642956496714469</v>
      </c>
      <c r="K276" s="20" t="s">
        <v>111</v>
      </c>
    </row>
    <row r="277" spans="1:11" x14ac:dyDescent="0.25">
      <c r="A277" s="22">
        <v>46163</v>
      </c>
      <c r="B277" s="20" t="s">
        <v>112</v>
      </c>
      <c r="C277" s="21">
        <v>29092257457</v>
      </c>
      <c r="D277" s="20" t="s">
        <v>30</v>
      </c>
      <c r="E277" s="20">
        <v>4425</v>
      </c>
      <c r="F277" s="20">
        <v>3116.68</v>
      </c>
      <c r="G277" s="29">
        <f t="shared" si="16"/>
        <v>283.33454545454543</v>
      </c>
      <c r="H277" s="29">
        <f t="shared" si="17"/>
        <v>2833.3454545454542</v>
      </c>
      <c r="I277" s="29">
        <f t="shared" si="18"/>
        <v>1591.6545454545458</v>
      </c>
      <c r="J277" s="30">
        <f t="shared" si="19"/>
        <v>0.561758024564601</v>
      </c>
      <c r="K277" s="20" t="s">
        <v>111</v>
      </c>
    </row>
    <row r="278" spans="1:11" x14ac:dyDescent="0.25">
      <c r="A278" s="22">
        <v>46163</v>
      </c>
      <c r="B278" s="20" t="s">
        <v>112</v>
      </c>
      <c r="C278" s="21">
        <v>29416457957</v>
      </c>
      <c r="D278" s="20" t="s">
        <v>30</v>
      </c>
      <c r="E278" s="20">
        <v>4425</v>
      </c>
      <c r="F278" s="20">
        <v>3116.68</v>
      </c>
      <c r="G278" s="29">
        <f t="shared" si="16"/>
        <v>283.33454545454543</v>
      </c>
      <c r="H278" s="29">
        <f t="shared" si="17"/>
        <v>2833.3454545454542</v>
      </c>
      <c r="I278" s="29">
        <f t="shared" si="18"/>
        <v>1591.6545454545458</v>
      </c>
      <c r="J278" s="30">
        <f t="shared" si="19"/>
        <v>0.561758024564601</v>
      </c>
      <c r="K278" s="20" t="s">
        <v>111</v>
      </c>
    </row>
    <row r="279" spans="1:11" x14ac:dyDescent="0.25">
      <c r="A279" s="22">
        <v>46163</v>
      </c>
      <c r="B279" s="20" t="s">
        <v>112</v>
      </c>
      <c r="C279" s="21">
        <v>29501056068</v>
      </c>
      <c r="D279" s="20" t="s">
        <v>30</v>
      </c>
      <c r="E279" s="20">
        <v>4425</v>
      </c>
      <c r="F279" s="20">
        <v>3116.68</v>
      </c>
      <c r="G279" s="29">
        <f t="shared" si="16"/>
        <v>283.33454545454543</v>
      </c>
      <c r="H279" s="29">
        <f t="shared" si="17"/>
        <v>2833.3454545454542</v>
      </c>
      <c r="I279" s="29">
        <f t="shared" si="18"/>
        <v>1591.6545454545458</v>
      </c>
      <c r="J279" s="30">
        <f t="shared" si="19"/>
        <v>0.561758024564601</v>
      </c>
      <c r="K279" s="20" t="s">
        <v>111</v>
      </c>
    </row>
    <row r="280" spans="1:11" x14ac:dyDescent="0.25">
      <c r="A280" s="22">
        <v>46163</v>
      </c>
      <c r="B280" s="20" t="s">
        <v>112</v>
      </c>
      <c r="C280" s="21">
        <v>29768051769</v>
      </c>
      <c r="D280" s="20" t="s">
        <v>30</v>
      </c>
      <c r="E280" s="20">
        <v>4425</v>
      </c>
      <c r="F280" s="20">
        <v>2596.8000000000002</v>
      </c>
      <c r="G280" s="29">
        <f t="shared" si="16"/>
        <v>236.07272727272729</v>
      </c>
      <c r="H280" s="29">
        <f t="shared" si="17"/>
        <v>2360.727272727273</v>
      </c>
      <c r="I280" s="29">
        <f t="shared" si="18"/>
        <v>2064.272727272727</v>
      </c>
      <c r="J280" s="30">
        <f t="shared" si="19"/>
        <v>0.87442236598890921</v>
      </c>
      <c r="K280" s="20" t="s">
        <v>111</v>
      </c>
    </row>
    <row r="281" spans="1:11" x14ac:dyDescent="0.25">
      <c r="A281" s="22">
        <v>46163</v>
      </c>
      <c r="B281" s="20" t="s">
        <v>112</v>
      </c>
      <c r="C281" s="21">
        <v>29790123456</v>
      </c>
      <c r="D281" s="20" t="s">
        <v>30</v>
      </c>
      <c r="E281" s="20">
        <v>4425</v>
      </c>
      <c r="F281" s="20">
        <v>3143.18</v>
      </c>
      <c r="G281" s="29">
        <f t="shared" si="16"/>
        <v>285.74363636363637</v>
      </c>
      <c r="H281" s="29">
        <f t="shared" si="17"/>
        <v>2857.4363636363632</v>
      </c>
      <c r="I281" s="29">
        <f t="shared" si="18"/>
        <v>1567.5636363636368</v>
      </c>
      <c r="J281" s="30">
        <f t="shared" si="19"/>
        <v>0.54859091747847744</v>
      </c>
      <c r="K281" s="20" t="s">
        <v>111</v>
      </c>
    </row>
    <row r="282" spans="1:11" x14ac:dyDescent="0.25">
      <c r="A282" s="22">
        <v>46163</v>
      </c>
      <c r="B282" s="20" t="s">
        <v>112</v>
      </c>
      <c r="C282" s="21">
        <v>39457458556</v>
      </c>
      <c r="D282" s="20" t="s">
        <v>30</v>
      </c>
      <c r="E282" s="20">
        <v>4425</v>
      </c>
      <c r="F282" s="20">
        <v>3116.68</v>
      </c>
      <c r="G282" s="29">
        <f t="shared" si="16"/>
        <v>283.33454545454543</v>
      </c>
      <c r="H282" s="29">
        <f t="shared" si="17"/>
        <v>2833.3454545454542</v>
      </c>
      <c r="I282" s="29">
        <f t="shared" si="18"/>
        <v>1591.6545454545458</v>
      </c>
      <c r="J282" s="30">
        <f t="shared" si="19"/>
        <v>0.561758024564601</v>
      </c>
      <c r="K282" s="20" t="s">
        <v>111</v>
      </c>
    </row>
    <row r="283" spans="1:11" x14ac:dyDescent="0.25">
      <c r="A283" s="22">
        <v>46163</v>
      </c>
      <c r="B283" s="20" t="s">
        <v>112</v>
      </c>
      <c r="C283" s="21">
        <v>41401093252</v>
      </c>
      <c r="D283" s="20" t="s">
        <v>30</v>
      </c>
      <c r="E283" s="20">
        <v>4425</v>
      </c>
      <c r="F283" s="20">
        <v>3116.68</v>
      </c>
      <c r="G283" s="29">
        <f t="shared" si="16"/>
        <v>283.33454545454543</v>
      </c>
      <c r="H283" s="29">
        <f t="shared" si="17"/>
        <v>2833.3454545454542</v>
      </c>
      <c r="I283" s="29">
        <f t="shared" si="18"/>
        <v>1591.6545454545458</v>
      </c>
      <c r="J283" s="30">
        <f t="shared" si="19"/>
        <v>0.561758024564601</v>
      </c>
      <c r="K283" s="20" t="s">
        <v>111</v>
      </c>
    </row>
    <row r="284" spans="1:11" x14ac:dyDescent="0.25">
      <c r="A284" s="22">
        <v>46163</v>
      </c>
      <c r="B284" s="20" t="s">
        <v>112</v>
      </c>
      <c r="C284" s="21">
        <v>48140955458</v>
      </c>
      <c r="D284" s="20" t="s">
        <v>30</v>
      </c>
      <c r="E284" s="20">
        <v>4425</v>
      </c>
      <c r="F284" s="20">
        <v>3127.35</v>
      </c>
      <c r="G284" s="29">
        <f t="shared" si="16"/>
        <v>284.30454545454546</v>
      </c>
      <c r="H284" s="29">
        <f t="shared" si="17"/>
        <v>2843.0454545454545</v>
      </c>
      <c r="I284" s="29">
        <f t="shared" si="18"/>
        <v>1581.9545454545455</v>
      </c>
      <c r="J284" s="30">
        <f t="shared" si="19"/>
        <v>0.55642956496714469</v>
      </c>
      <c r="K284" s="20" t="s">
        <v>111</v>
      </c>
    </row>
    <row r="285" spans="1:11" x14ac:dyDescent="0.25">
      <c r="A285" s="22">
        <v>46163</v>
      </c>
      <c r="B285" s="20" t="s">
        <v>112</v>
      </c>
      <c r="C285" s="21">
        <v>49378253350</v>
      </c>
      <c r="D285" s="20" t="s">
        <v>30</v>
      </c>
      <c r="E285" s="20">
        <v>4425</v>
      </c>
      <c r="F285" s="20">
        <v>2596.8000000000002</v>
      </c>
      <c r="G285" s="29">
        <f t="shared" si="16"/>
        <v>236.07272727272729</v>
      </c>
      <c r="H285" s="29">
        <f t="shared" si="17"/>
        <v>2360.727272727273</v>
      </c>
      <c r="I285" s="29">
        <f t="shared" si="18"/>
        <v>2064.272727272727</v>
      </c>
      <c r="J285" s="30">
        <f t="shared" si="19"/>
        <v>0.87442236598890921</v>
      </c>
      <c r="K285" s="20" t="s">
        <v>111</v>
      </c>
    </row>
    <row r="286" spans="1:11" x14ac:dyDescent="0.25">
      <c r="A286" s="22">
        <v>46163</v>
      </c>
      <c r="B286" s="20" t="s">
        <v>112</v>
      </c>
      <c r="C286" s="21">
        <v>49568759758</v>
      </c>
      <c r="D286" s="20" t="s">
        <v>30</v>
      </c>
      <c r="E286" s="20">
        <v>4425</v>
      </c>
      <c r="F286" s="20">
        <v>3116.68</v>
      </c>
      <c r="G286" s="29">
        <f t="shared" si="16"/>
        <v>283.33454545454543</v>
      </c>
      <c r="H286" s="29">
        <f t="shared" si="17"/>
        <v>2833.3454545454542</v>
      </c>
      <c r="I286" s="29">
        <f t="shared" si="18"/>
        <v>1591.6545454545458</v>
      </c>
      <c r="J286" s="30">
        <f t="shared" si="19"/>
        <v>0.561758024564601</v>
      </c>
      <c r="K286" s="20" t="s">
        <v>111</v>
      </c>
    </row>
    <row r="287" spans="1:11" x14ac:dyDescent="0.25">
      <c r="A287" s="22">
        <v>46163</v>
      </c>
      <c r="B287" s="20" t="s">
        <v>112</v>
      </c>
      <c r="C287" s="21">
        <v>49684953150</v>
      </c>
      <c r="D287" s="20" t="s">
        <v>30</v>
      </c>
      <c r="E287" s="20">
        <v>4425</v>
      </c>
      <c r="F287" s="20">
        <v>2596.8000000000002</v>
      </c>
      <c r="G287" s="29">
        <f t="shared" si="16"/>
        <v>236.07272727272729</v>
      </c>
      <c r="H287" s="29">
        <f t="shared" si="17"/>
        <v>2360.727272727273</v>
      </c>
      <c r="I287" s="29">
        <f t="shared" si="18"/>
        <v>2064.272727272727</v>
      </c>
      <c r="J287" s="30">
        <f t="shared" si="19"/>
        <v>0.87442236598890921</v>
      </c>
      <c r="K287" s="20" t="s">
        <v>111</v>
      </c>
    </row>
    <row r="288" spans="1:11" x14ac:dyDescent="0.25">
      <c r="A288" s="22">
        <v>46163</v>
      </c>
      <c r="B288" s="20" t="s">
        <v>112</v>
      </c>
      <c r="C288" s="21">
        <v>49746056764</v>
      </c>
      <c r="D288" s="20" t="s">
        <v>30</v>
      </c>
      <c r="E288" s="20">
        <v>4425</v>
      </c>
      <c r="F288" s="20">
        <v>3127.35</v>
      </c>
      <c r="G288" s="29">
        <f t="shared" si="16"/>
        <v>284.30454545454546</v>
      </c>
      <c r="H288" s="29">
        <f t="shared" si="17"/>
        <v>2843.0454545454545</v>
      </c>
      <c r="I288" s="29">
        <f t="shared" si="18"/>
        <v>1581.9545454545455</v>
      </c>
      <c r="J288" s="30">
        <f t="shared" si="19"/>
        <v>0.55642956496714469</v>
      </c>
      <c r="K288" s="20" t="s">
        <v>111</v>
      </c>
    </row>
    <row r="289" spans="1:11" x14ac:dyDescent="0.25">
      <c r="A289" s="22">
        <v>46163</v>
      </c>
      <c r="B289" s="20" t="s">
        <v>112</v>
      </c>
      <c r="C289" s="21">
        <v>51439094356</v>
      </c>
      <c r="D289" s="20" t="s">
        <v>30</v>
      </c>
      <c r="E289" s="20">
        <v>4425</v>
      </c>
      <c r="F289" s="20">
        <v>3127.35</v>
      </c>
      <c r="G289" s="29">
        <f t="shared" si="16"/>
        <v>284.30454545454546</v>
      </c>
      <c r="H289" s="29">
        <f t="shared" si="17"/>
        <v>2843.0454545454545</v>
      </c>
      <c r="I289" s="29">
        <f t="shared" si="18"/>
        <v>1581.9545454545455</v>
      </c>
      <c r="J289" s="30">
        <f t="shared" si="19"/>
        <v>0.55642956496714469</v>
      </c>
      <c r="K289" s="20" t="s">
        <v>111</v>
      </c>
    </row>
    <row r="290" spans="1:11" x14ac:dyDescent="0.25">
      <c r="A290" s="22">
        <v>46163</v>
      </c>
      <c r="B290" s="20" t="s">
        <v>112</v>
      </c>
      <c r="C290" s="21">
        <v>51498093139</v>
      </c>
      <c r="D290" s="20" t="s">
        <v>30</v>
      </c>
      <c r="E290" s="20">
        <v>4425</v>
      </c>
      <c r="F290" s="20">
        <v>3246.65</v>
      </c>
      <c r="G290" s="29">
        <f t="shared" si="16"/>
        <v>295.15000000000003</v>
      </c>
      <c r="H290" s="29">
        <f t="shared" si="17"/>
        <v>2951.5</v>
      </c>
      <c r="I290" s="29">
        <f t="shared" si="18"/>
        <v>1473.5</v>
      </c>
      <c r="J290" s="30">
        <f t="shared" si="19"/>
        <v>0.49923767575808908</v>
      </c>
      <c r="K290" s="20" t="s">
        <v>111</v>
      </c>
    </row>
    <row r="291" spans="1:11" x14ac:dyDescent="0.25">
      <c r="A291" s="22">
        <v>46163</v>
      </c>
      <c r="B291" s="20" t="s">
        <v>112</v>
      </c>
      <c r="C291" s="21">
        <v>51530017385</v>
      </c>
      <c r="D291" s="20" t="s">
        <v>30</v>
      </c>
      <c r="E291" s="20">
        <v>4425</v>
      </c>
      <c r="F291" s="20">
        <v>3116.68</v>
      </c>
      <c r="G291" s="29">
        <f t="shared" si="16"/>
        <v>283.33454545454543</v>
      </c>
      <c r="H291" s="29">
        <f t="shared" si="17"/>
        <v>2833.3454545454542</v>
      </c>
      <c r="I291" s="29">
        <f t="shared" si="18"/>
        <v>1591.6545454545458</v>
      </c>
      <c r="J291" s="30">
        <f t="shared" si="19"/>
        <v>0.561758024564601</v>
      </c>
      <c r="K291" s="20" t="s">
        <v>111</v>
      </c>
    </row>
    <row r="292" spans="1:11" x14ac:dyDescent="0.25">
      <c r="A292" s="22">
        <v>46163</v>
      </c>
      <c r="B292" s="20" t="s">
        <v>112</v>
      </c>
      <c r="C292" s="21">
        <v>51536064343</v>
      </c>
      <c r="D292" s="20" t="s">
        <v>30</v>
      </c>
      <c r="E292" s="20">
        <v>4425</v>
      </c>
      <c r="F292" s="20">
        <v>3067.64</v>
      </c>
      <c r="G292" s="29">
        <f t="shared" si="16"/>
        <v>278.87636363636364</v>
      </c>
      <c r="H292" s="29">
        <f t="shared" si="17"/>
        <v>2788.7636363636361</v>
      </c>
      <c r="I292" s="29">
        <f t="shared" si="18"/>
        <v>1636.2363636363639</v>
      </c>
      <c r="J292" s="30">
        <f t="shared" si="19"/>
        <v>0.5867246482638121</v>
      </c>
      <c r="K292" s="20" t="s">
        <v>111</v>
      </c>
    </row>
    <row r="293" spans="1:11" x14ac:dyDescent="0.25">
      <c r="A293" s="22">
        <v>46163</v>
      </c>
      <c r="B293" s="20" t="s">
        <v>112</v>
      </c>
      <c r="C293" s="21">
        <v>51537069430</v>
      </c>
      <c r="D293" s="20" t="s">
        <v>30</v>
      </c>
      <c r="E293" s="20">
        <v>4425</v>
      </c>
      <c r="F293" s="20">
        <v>3149.41</v>
      </c>
      <c r="G293" s="29">
        <f t="shared" si="16"/>
        <v>286.31</v>
      </c>
      <c r="H293" s="29">
        <f t="shared" si="17"/>
        <v>2863.1</v>
      </c>
      <c r="I293" s="29">
        <f t="shared" si="18"/>
        <v>1561.9</v>
      </c>
      <c r="J293" s="30">
        <f t="shared" si="19"/>
        <v>0.54552757500611226</v>
      </c>
      <c r="K293" s="20" t="s">
        <v>111</v>
      </c>
    </row>
    <row r="294" spans="1:11" x14ac:dyDescent="0.25">
      <c r="A294" s="22">
        <v>46163</v>
      </c>
      <c r="B294" s="20" t="s">
        <v>112</v>
      </c>
      <c r="C294" s="21">
        <v>51573038261</v>
      </c>
      <c r="D294" s="20" t="s">
        <v>30</v>
      </c>
      <c r="E294" s="20">
        <v>4425</v>
      </c>
      <c r="F294" s="20">
        <v>3116.68</v>
      </c>
      <c r="G294" s="29">
        <f t="shared" si="16"/>
        <v>283.33454545454543</v>
      </c>
      <c r="H294" s="29">
        <f t="shared" si="17"/>
        <v>2833.3454545454542</v>
      </c>
      <c r="I294" s="29">
        <f t="shared" si="18"/>
        <v>1591.6545454545458</v>
      </c>
      <c r="J294" s="30">
        <f t="shared" si="19"/>
        <v>0.561758024564601</v>
      </c>
      <c r="K294" s="20" t="s">
        <v>111</v>
      </c>
    </row>
    <row r="295" spans="1:11" x14ac:dyDescent="0.25">
      <c r="A295" s="22">
        <v>46163</v>
      </c>
      <c r="B295" s="20" t="s">
        <v>112</v>
      </c>
      <c r="C295" s="21">
        <v>51576000405</v>
      </c>
      <c r="D295" s="20" t="s">
        <v>30</v>
      </c>
      <c r="E295" s="20">
        <v>4425</v>
      </c>
      <c r="F295" s="20">
        <v>3127.35</v>
      </c>
      <c r="G295" s="29">
        <f t="shared" si="16"/>
        <v>284.30454545454546</v>
      </c>
      <c r="H295" s="29">
        <f t="shared" si="17"/>
        <v>2843.0454545454545</v>
      </c>
      <c r="I295" s="29">
        <f t="shared" si="18"/>
        <v>1581.9545454545455</v>
      </c>
      <c r="J295" s="30">
        <f t="shared" si="19"/>
        <v>0.55642956496714469</v>
      </c>
      <c r="K295" s="20" t="s">
        <v>111</v>
      </c>
    </row>
    <row r="296" spans="1:11" x14ac:dyDescent="0.25">
      <c r="A296" s="22">
        <v>46163</v>
      </c>
      <c r="B296" s="20" t="s">
        <v>112</v>
      </c>
      <c r="C296" s="21">
        <v>51577028196</v>
      </c>
      <c r="D296" s="20" t="s">
        <v>30</v>
      </c>
      <c r="E296" s="20">
        <v>4425</v>
      </c>
      <c r="F296" s="20">
        <v>2596.8000000000002</v>
      </c>
      <c r="G296" s="29">
        <f t="shared" si="16"/>
        <v>236.07272727272729</v>
      </c>
      <c r="H296" s="29">
        <f t="shared" si="17"/>
        <v>2360.727272727273</v>
      </c>
      <c r="I296" s="29">
        <f t="shared" si="18"/>
        <v>2064.272727272727</v>
      </c>
      <c r="J296" s="30">
        <f t="shared" si="19"/>
        <v>0.87442236598890921</v>
      </c>
      <c r="K296" s="20" t="s">
        <v>111</v>
      </c>
    </row>
    <row r="297" spans="1:11" x14ac:dyDescent="0.25">
      <c r="A297" s="22">
        <v>46163</v>
      </c>
      <c r="B297" s="20" t="s">
        <v>112</v>
      </c>
      <c r="C297" s="21">
        <v>51577058175</v>
      </c>
      <c r="D297" s="20" t="s">
        <v>30</v>
      </c>
      <c r="E297" s="20">
        <v>4425</v>
      </c>
      <c r="F297" s="20">
        <v>3116.68</v>
      </c>
      <c r="G297" s="29">
        <f t="shared" si="16"/>
        <v>283.33454545454543</v>
      </c>
      <c r="H297" s="29">
        <f t="shared" si="17"/>
        <v>2833.3454545454542</v>
      </c>
      <c r="I297" s="29">
        <f t="shared" si="18"/>
        <v>1591.6545454545458</v>
      </c>
      <c r="J297" s="30">
        <f t="shared" si="19"/>
        <v>0.561758024564601</v>
      </c>
      <c r="K297" s="20" t="s">
        <v>111</v>
      </c>
    </row>
    <row r="298" spans="1:11" x14ac:dyDescent="0.25">
      <c r="A298" s="22">
        <v>46163</v>
      </c>
      <c r="B298" s="20" t="s">
        <v>112</v>
      </c>
      <c r="C298" s="21">
        <v>51588009269</v>
      </c>
      <c r="D298" s="20" t="s">
        <v>30</v>
      </c>
      <c r="E298" s="20">
        <v>4425</v>
      </c>
      <c r="F298" s="20">
        <v>2596.8000000000002</v>
      </c>
      <c r="G298" s="29">
        <f t="shared" si="16"/>
        <v>236.07272727272729</v>
      </c>
      <c r="H298" s="29">
        <f t="shared" si="17"/>
        <v>2360.727272727273</v>
      </c>
      <c r="I298" s="29">
        <f t="shared" si="18"/>
        <v>2064.272727272727</v>
      </c>
      <c r="J298" s="30">
        <f t="shared" si="19"/>
        <v>0.87442236598890921</v>
      </c>
      <c r="K298" s="20" t="s">
        <v>111</v>
      </c>
    </row>
    <row r="299" spans="1:11" x14ac:dyDescent="0.25">
      <c r="A299" s="22">
        <v>46163</v>
      </c>
      <c r="B299" s="20" t="s">
        <v>112</v>
      </c>
      <c r="C299" s="21">
        <v>51589065120</v>
      </c>
      <c r="D299" s="20" t="s">
        <v>30</v>
      </c>
      <c r="E299" s="20">
        <v>4425</v>
      </c>
      <c r="F299" s="20">
        <v>2596.8000000000002</v>
      </c>
      <c r="G299" s="29">
        <f t="shared" si="16"/>
        <v>236.07272727272729</v>
      </c>
      <c r="H299" s="29">
        <f t="shared" si="17"/>
        <v>2360.727272727273</v>
      </c>
      <c r="I299" s="29">
        <f t="shared" si="18"/>
        <v>2064.272727272727</v>
      </c>
      <c r="J299" s="30">
        <f t="shared" si="19"/>
        <v>0.87442236598890921</v>
      </c>
      <c r="K299" s="20" t="s">
        <v>111</v>
      </c>
    </row>
    <row r="300" spans="1:11" x14ac:dyDescent="0.25">
      <c r="A300" s="22">
        <v>46163</v>
      </c>
      <c r="B300" s="20" t="s">
        <v>112</v>
      </c>
      <c r="C300" s="21">
        <v>51594070206</v>
      </c>
      <c r="D300" s="20" t="s">
        <v>30</v>
      </c>
      <c r="E300" s="20">
        <v>4425</v>
      </c>
      <c r="F300" s="20">
        <v>3067.64</v>
      </c>
      <c r="G300" s="29">
        <f t="shared" si="16"/>
        <v>278.87636363636364</v>
      </c>
      <c r="H300" s="29">
        <f t="shared" si="17"/>
        <v>2788.7636363636361</v>
      </c>
      <c r="I300" s="29">
        <f t="shared" si="18"/>
        <v>1636.2363636363639</v>
      </c>
      <c r="J300" s="30">
        <f t="shared" si="19"/>
        <v>0.5867246482638121</v>
      </c>
      <c r="K300" s="20" t="s">
        <v>111</v>
      </c>
    </row>
    <row r="301" spans="1:11" x14ac:dyDescent="0.25">
      <c r="A301" s="22">
        <v>46163</v>
      </c>
      <c r="B301" s="20" t="s">
        <v>112</v>
      </c>
      <c r="C301" s="21">
        <v>51659087438</v>
      </c>
      <c r="D301" s="20" t="s">
        <v>30</v>
      </c>
      <c r="E301" s="20">
        <v>4425</v>
      </c>
      <c r="F301" s="20">
        <v>3149.41</v>
      </c>
      <c r="G301" s="29">
        <f t="shared" si="16"/>
        <v>286.31</v>
      </c>
      <c r="H301" s="29">
        <f t="shared" si="17"/>
        <v>2863.1</v>
      </c>
      <c r="I301" s="29">
        <f t="shared" si="18"/>
        <v>1561.9</v>
      </c>
      <c r="J301" s="30">
        <f t="shared" si="19"/>
        <v>0.54552757500611226</v>
      </c>
      <c r="K301" s="20" t="s">
        <v>111</v>
      </c>
    </row>
    <row r="302" spans="1:11" x14ac:dyDescent="0.25">
      <c r="A302" s="22">
        <v>46163</v>
      </c>
      <c r="B302" s="20" t="s">
        <v>112</v>
      </c>
      <c r="C302" s="21">
        <v>51687088131</v>
      </c>
      <c r="D302" s="20" t="s">
        <v>30</v>
      </c>
      <c r="E302" s="20">
        <v>4425</v>
      </c>
      <c r="F302" s="20">
        <v>3116.68</v>
      </c>
      <c r="G302" s="29">
        <f t="shared" si="16"/>
        <v>283.33454545454543</v>
      </c>
      <c r="H302" s="29">
        <f t="shared" si="17"/>
        <v>2833.3454545454542</v>
      </c>
      <c r="I302" s="29">
        <f t="shared" si="18"/>
        <v>1591.6545454545458</v>
      </c>
      <c r="J302" s="30">
        <f t="shared" si="19"/>
        <v>0.561758024564601</v>
      </c>
      <c r="K302" s="20" t="s">
        <v>111</v>
      </c>
    </row>
    <row r="303" spans="1:11" x14ac:dyDescent="0.25">
      <c r="A303" s="22">
        <v>46163</v>
      </c>
      <c r="B303" s="20" t="s">
        <v>112</v>
      </c>
      <c r="C303" s="21">
        <v>51690079253</v>
      </c>
      <c r="D303" s="20" t="s">
        <v>30</v>
      </c>
      <c r="E303" s="20">
        <v>4425</v>
      </c>
      <c r="F303" s="20">
        <v>3116.68</v>
      </c>
      <c r="G303" s="29">
        <f t="shared" si="16"/>
        <v>283.33454545454543</v>
      </c>
      <c r="H303" s="29">
        <f t="shared" si="17"/>
        <v>2833.3454545454542</v>
      </c>
      <c r="I303" s="29">
        <f t="shared" si="18"/>
        <v>1591.6545454545458</v>
      </c>
      <c r="J303" s="30">
        <f t="shared" si="19"/>
        <v>0.561758024564601</v>
      </c>
      <c r="K303" s="20" t="s">
        <v>111</v>
      </c>
    </row>
    <row r="304" spans="1:11" x14ac:dyDescent="0.25">
      <c r="A304" s="22">
        <v>46163</v>
      </c>
      <c r="B304" s="20" t="s">
        <v>112</v>
      </c>
      <c r="C304" s="21">
        <v>51735008328</v>
      </c>
      <c r="D304" s="20" t="s">
        <v>30</v>
      </c>
      <c r="E304" s="20">
        <v>4425</v>
      </c>
      <c r="F304" s="20">
        <v>3246.65</v>
      </c>
      <c r="G304" s="29">
        <f t="shared" si="16"/>
        <v>295.15000000000003</v>
      </c>
      <c r="H304" s="29">
        <f t="shared" si="17"/>
        <v>2951.5</v>
      </c>
      <c r="I304" s="29">
        <f t="shared" si="18"/>
        <v>1473.5</v>
      </c>
      <c r="J304" s="30">
        <f t="shared" si="19"/>
        <v>0.49923767575808908</v>
      </c>
      <c r="K304" s="20" t="s">
        <v>111</v>
      </c>
    </row>
    <row r="305" spans="1:11" x14ac:dyDescent="0.25">
      <c r="A305" s="22">
        <v>46163</v>
      </c>
      <c r="B305" s="20" t="s">
        <v>112</v>
      </c>
      <c r="C305" s="21">
        <v>58836952944</v>
      </c>
      <c r="D305" s="20" t="s">
        <v>30</v>
      </c>
      <c r="E305" s="20">
        <v>4425</v>
      </c>
      <c r="F305" s="20">
        <v>3116.68</v>
      </c>
      <c r="G305" s="29">
        <f t="shared" si="16"/>
        <v>283.33454545454543</v>
      </c>
      <c r="H305" s="29">
        <f t="shared" si="17"/>
        <v>2833.3454545454542</v>
      </c>
      <c r="I305" s="29">
        <f t="shared" si="18"/>
        <v>1591.6545454545458</v>
      </c>
      <c r="J305" s="30">
        <f t="shared" si="19"/>
        <v>0.561758024564601</v>
      </c>
      <c r="K305" s="20" t="s">
        <v>111</v>
      </c>
    </row>
    <row r="306" spans="1:11" x14ac:dyDescent="0.25">
      <c r="A306" s="22">
        <v>46163</v>
      </c>
      <c r="B306" s="20" t="s">
        <v>112</v>
      </c>
      <c r="C306" s="21">
        <v>59008850770</v>
      </c>
      <c r="D306" s="20" t="s">
        <v>30</v>
      </c>
      <c r="E306" s="20">
        <v>4425</v>
      </c>
      <c r="F306" s="20">
        <v>3116.68</v>
      </c>
      <c r="G306" s="29">
        <f t="shared" si="16"/>
        <v>283.33454545454543</v>
      </c>
      <c r="H306" s="29">
        <f t="shared" si="17"/>
        <v>2833.3454545454542</v>
      </c>
      <c r="I306" s="29">
        <f t="shared" si="18"/>
        <v>1591.6545454545458</v>
      </c>
      <c r="J306" s="30">
        <f t="shared" si="19"/>
        <v>0.561758024564601</v>
      </c>
      <c r="K306" s="20" t="s">
        <v>111</v>
      </c>
    </row>
    <row r="307" spans="1:11" x14ac:dyDescent="0.25">
      <c r="A307" s="22">
        <v>46163</v>
      </c>
      <c r="B307" s="20" t="s">
        <v>112</v>
      </c>
      <c r="C307" s="21">
        <v>59112165058</v>
      </c>
      <c r="D307" s="20" t="s">
        <v>30</v>
      </c>
      <c r="E307" s="20">
        <v>4425</v>
      </c>
      <c r="F307" s="20">
        <v>3127.35</v>
      </c>
      <c r="G307" s="29">
        <f t="shared" si="16"/>
        <v>284.30454545454546</v>
      </c>
      <c r="H307" s="29">
        <f t="shared" si="17"/>
        <v>2843.0454545454545</v>
      </c>
      <c r="I307" s="29">
        <f t="shared" si="18"/>
        <v>1581.9545454545455</v>
      </c>
      <c r="J307" s="30">
        <f t="shared" si="19"/>
        <v>0.55642956496714469</v>
      </c>
      <c r="K307" s="20" t="s">
        <v>111</v>
      </c>
    </row>
    <row r="308" spans="1:11" x14ac:dyDescent="0.25">
      <c r="A308" s="22">
        <v>46163</v>
      </c>
      <c r="B308" s="20" t="s">
        <v>112</v>
      </c>
      <c r="C308" s="21">
        <v>59539567052</v>
      </c>
      <c r="D308" s="20" t="s">
        <v>30</v>
      </c>
      <c r="E308" s="20">
        <v>4425</v>
      </c>
      <c r="F308" s="20">
        <v>3127.35</v>
      </c>
      <c r="G308" s="29">
        <f t="shared" si="16"/>
        <v>284.30454545454546</v>
      </c>
      <c r="H308" s="29">
        <f t="shared" si="17"/>
        <v>2843.0454545454545</v>
      </c>
      <c r="I308" s="29">
        <f t="shared" si="18"/>
        <v>1581.9545454545455</v>
      </c>
      <c r="J308" s="30">
        <f t="shared" si="19"/>
        <v>0.55642956496714469</v>
      </c>
      <c r="K308" s="20" t="s">
        <v>111</v>
      </c>
    </row>
    <row r="309" spans="1:11" x14ac:dyDescent="0.25">
      <c r="A309" s="22">
        <v>46163</v>
      </c>
      <c r="B309" s="20" t="s">
        <v>112</v>
      </c>
      <c r="C309" s="21">
        <v>59826464045</v>
      </c>
      <c r="D309" s="20" t="s">
        <v>30</v>
      </c>
      <c r="E309" s="20">
        <v>4425</v>
      </c>
      <c r="F309" s="20">
        <v>2596.8000000000002</v>
      </c>
      <c r="G309" s="29">
        <f t="shared" si="16"/>
        <v>236.07272727272729</v>
      </c>
      <c r="H309" s="29">
        <f t="shared" si="17"/>
        <v>2360.727272727273</v>
      </c>
      <c r="I309" s="29">
        <f t="shared" si="18"/>
        <v>2064.272727272727</v>
      </c>
      <c r="J309" s="30">
        <f t="shared" si="19"/>
        <v>0.87442236598890921</v>
      </c>
      <c r="K309" s="20" t="s">
        <v>111</v>
      </c>
    </row>
    <row r="310" spans="1:11" x14ac:dyDescent="0.25">
      <c r="A310" s="22">
        <v>46163</v>
      </c>
      <c r="B310" s="20" t="s">
        <v>112</v>
      </c>
      <c r="C310" s="21">
        <v>59950450346</v>
      </c>
      <c r="D310" s="20" t="s">
        <v>30</v>
      </c>
      <c r="E310" s="20">
        <v>4425</v>
      </c>
      <c r="F310" s="20">
        <v>3067.64</v>
      </c>
      <c r="G310" s="29">
        <f t="shared" si="16"/>
        <v>278.87636363636364</v>
      </c>
      <c r="H310" s="29">
        <f t="shared" si="17"/>
        <v>2788.7636363636361</v>
      </c>
      <c r="I310" s="29">
        <f t="shared" si="18"/>
        <v>1636.2363636363639</v>
      </c>
      <c r="J310" s="30">
        <f t="shared" si="19"/>
        <v>0.5867246482638121</v>
      </c>
      <c r="K310" s="20" t="s">
        <v>111</v>
      </c>
    </row>
    <row r="311" spans="1:11" x14ac:dyDescent="0.25">
      <c r="A311" s="22">
        <v>46163</v>
      </c>
      <c r="B311" s="20" t="s">
        <v>112</v>
      </c>
      <c r="C311" s="21">
        <v>61506048272</v>
      </c>
      <c r="D311" s="20" t="s">
        <v>30</v>
      </c>
      <c r="E311" s="20">
        <v>4425</v>
      </c>
      <c r="F311" s="20">
        <v>2596.8000000000002</v>
      </c>
      <c r="G311" s="29">
        <f t="shared" si="16"/>
        <v>236.07272727272729</v>
      </c>
      <c r="H311" s="29">
        <f t="shared" si="17"/>
        <v>2360.727272727273</v>
      </c>
      <c r="I311" s="29">
        <f t="shared" si="18"/>
        <v>2064.272727272727</v>
      </c>
      <c r="J311" s="30">
        <f t="shared" si="19"/>
        <v>0.87442236598890921</v>
      </c>
      <c r="K311" s="20" t="s">
        <v>111</v>
      </c>
    </row>
    <row r="312" spans="1:11" x14ac:dyDescent="0.25">
      <c r="A312" s="22">
        <v>46163</v>
      </c>
      <c r="B312" s="20" t="s">
        <v>112</v>
      </c>
      <c r="C312" s="21">
        <v>61534049268</v>
      </c>
      <c r="D312" s="20" t="s">
        <v>30</v>
      </c>
      <c r="E312" s="20">
        <v>4425</v>
      </c>
      <c r="F312" s="20">
        <v>3116.68</v>
      </c>
      <c r="G312" s="29">
        <f t="shared" si="16"/>
        <v>283.33454545454543</v>
      </c>
      <c r="H312" s="29">
        <f t="shared" si="17"/>
        <v>2833.3454545454542</v>
      </c>
      <c r="I312" s="29">
        <f t="shared" si="18"/>
        <v>1591.6545454545458</v>
      </c>
      <c r="J312" s="30">
        <f t="shared" si="19"/>
        <v>0.561758024564601</v>
      </c>
      <c r="K312" s="20" t="s">
        <v>111</v>
      </c>
    </row>
    <row r="313" spans="1:11" x14ac:dyDescent="0.25">
      <c r="A313" s="22">
        <v>46163</v>
      </c>
      <c r="B313" s="20" t="s">
        <v>112</v>
      </c>
      <c r="C313" s="21">
        <v>61577003408</v>
      </c>
      <c r="D313" s="20" t="s">
        <v>30</v>
      </c>
      <c r="E313" s="20">
        <v>4425</v>
      </c>
      <c r="F313" s="20">
        <v>3149.41</v>
      </c>
      <c r="G313" s="29">
        <f t="shared" si="16"/>
        <v>286.31</v>
      </c>
      <c r="H313" s="29">
        <f t="shared" si="17"/>
        <v>2863.1</v>
      </c>
      <c r="I313" s="29">
        <f t="shared" si="18"/>
        <v>1561.9</v>
      </c>
      <c r="J313" s="30">
        <f t="shared" si="19"/>
        <v>0.54552757500611226</v>
      </c>
      <c r="K313" s="20" t="s">
        <v>111</v>
      </c>
    </row>
    <row r="314" spans="1:11" x14ac:dyDescent="0.25">
      <c r="A314" s="22">
        <v>46163</v>
      </c>
      <c r="B314" s="20" t="s">
        <v>112</v>
      </c>
      <c r="C314" s="21">
        <v>61593067300</v>
      </c>
      <c r="D314" s="20" t="s">
        <v>30</v>
      </c>
      <c r="E314" s="20">
        <v>4425</v>
      </c>
      <c r="F314" s="20">
        <v>3116.68</v>
      </c>
      <c r="G314" s="29">
        <f t="shared" si="16"/>
        <v>283.33454545454543</v>
      </c>
      <c r="H314" s="29">
        <f t="shared" si="17"/>
        <v>2833.3454545454542</v>
      </c>
      <c r="I314" s="29">
        <f t="shared" si="18"/>
        <v>1591.6545454545458</v>
      </c>
      <c r="J314" s="30">
        <f t="shared" si="19"/>
        <v>0.561758024564601</v>
      </c>
      <c r="K314" s="20" t="s">
        <v>111</v>
      </c>
    </row>
    <row r="315" spans="1:11" x14ac:dyDescent="0.25">
      <c r="A315" s="22">
        <v>46163</v>
      </c>
      <c r="B315" s="20" t="s">
        <v>112</v>
      </c>
      <c r="C315" s="21">
        <v>61610061224</v>
      </c>
      <c r="D315" s="20" t="s">
        <v>30</v>
      </c>
      <c r="E315" s="20">
        <v>4425</v>
      </c>
      <c r="F315" s="20">
        <v>3116.68</v>
      </c>
      <c r="G315" s="29">
        <f t="shared" si="16"/>
        <v>283.33454545454543</v>
      </c>
      <c r="H315" s="29">
        <f t="shared" si="17"/>
        <v>2833.3454545454542</v>
      </c>
      <c r="I315" s="29">
        <f t="shared" si="18"/>
        <v>1591.6545454545458</v>
      </c>
      <c r="J315" s="30">
        <f t="shared" si="19"/>
        <v>0.561758024564601</v>
      </c>
      <c r="K315" s="20" t="s">
        <v>111</v>
      </c>
    </row>
    <row r="316" spans="1:11" x14ac:dyDescent="0.25">
      <c r="A316" s="22">
        <v>46163</v>
      </c>
      <c r="B316" s="20" t="s">
        <v>112</v>
      </c>
      <c r="C316" s="21">
        <v>61646077340</v>
      </c>
      <c r="D316" s="20" t="s">
        <v>30</v>
      </c>
      <c r="E316" s="20">
        <v>4425</v>
      </c>
      <c r="F316" s="20">
        <v>3116.68</v>
      </c>
      <c r="G316" s="29">
        <f t="shared" si="16"/>
        <v>283.33454545454543</v>
      </c>
      <c r="H316" s="29">
        <f t="shared" si="17"/>
        <v>2833.3454545454542</v>
      </c>
      <c r="I316" s="29">
        <f t="shared" si="18"/>
        <v>1591.6545454545458</v>
      </c>
      <c r="J316" s="30">
        <f t="shared" si="19"/>
        <v>0.561758024564601</v>
      </c>
      <c r="K316" s="20" t="s">
        <v>111</v>
      </c>
    </row>
    <row r="317" spans="1:11" x14ac:dyDescent="0.25">
      <c r="A317" s="22">
        <v>46163</v>
      </c>
      <c r="B317" s="20" t="s">
        <v>112</v>
      </c>
      <c r="C317" s="21">
        <v>61677078368</v>
      </c>
      <c r="D317" s="20" t="s">
        <v>30</v>
      </c>
      <c r="E317" s="20">
        <v>4425</v>
      </c>
      <c r="F317" s="20">
        <v>3127.35</v>
      </c>
      <c r="G317" s="29">
        <f t="shared" si="16"/>
        <v>284.30454545454546</v>
      </c>
      <c r="H317" s="29">
        <f t="shared" si="17"/>
        <v>2843.0454545454545</v>
      </c>
      <c r="I317" s="29">
        <f t="shared" si="18"/>
        <v>1581.9545454545455</v>
      </c>
      <c r="J317" s="30">
        <f t="shared" si="19"/>
        <v>0.55642956496714469</v>
      </c>
      <c r="K317" s="20" t="s">
        <v>111</v>
      </c>
    </row>
    <row r="318" spans="1:11" x14ac:dyDescent="0.25">
      <c r="A318" s="22">
        <v>46163</v>
      </c>
      <c r="B318" s="20" t="s">
        <v>112</v>
      </c>
      <c r="C318" s="21">
        <v>61765006398</v>
      </c>
      <c r="D318" s="20" t="s">
        <v>30</v>
      </c>
      <c r="E318" s="20">
        <v>4425</v>
      </c>
      <c r="F318" s="20">
        <v>3127.35</v>
      </c>
      <c r="G318" s="29">
        <f t="shared" si="16"/>
        <v>284.30454545454546</v>
      </c>
      <c r="H318" s="29">
        <f t="shared" si="17"/>
        <v>2843.0454545454545</v>
      </c>
      <c r="I318" s="29">
        <f t="shared" si="18"/>
        <v>1581.9545454545455</v>
      </c>
      <c r="J318" s="30">
        <f t="shared" si="19"/>
        <v>0.55642956496714469</v>
      </c>
      <c r="K318" s="20" t="s">
        <v>111</v>
      </c>
    </row>
    <row r="319" spans="1:11" x14ac:dyDescent="0.25">
      <c r="A319" s="22">
        <v>46163</v>
      </c>
      <c r="B319" s="20" t="s">
        <v>112</v>
      </c>
      <c r="C319" s="21">
        <v>68088962650</v>
      </c>
      <c r="D319" s="20" t="s">
        <v>30</v>
      </c>
      <c r="E319" s="20">
        <v>4425</v>
      </c>
      <c r="F319" s="20">
        <v>3127.35</v>
      </c>
      <c r="G319" s="29">
        <f t="shared" si="16"/>
        <v>284.30454545454546</v>
      </c>
      <c r="H319" s="29">
        <f t="shared" si="17"/>
        <v>2843.0454545454545</v>
      </c>
      <c r="I319" s="29">
        <f t="shared" si="18"/>
        <v>1581.9545454545455</v>
      </c>
      <c r="J319" s="30">
        <f t="shared" si="19"/>
        <v>0.55642956496714469</v>
      </c>
      <c r="K319" s="20" t="s">
        <v>111</v>
      </c>
    </row>
    <row r="320" spans="1:11" x14ac:dyDescent="0.25">
      <c r="A320" s="22">
        <v>46163</v>
      </c>
      <c r="B320" s="20" t="s">
        <v>112</v>
      </c>
      <c r="C320" s="21">
        <v>69735962156</v>
      </c>
      <c r="D320" s="20" t="s">
        <v>30</v>
      </c>
      <c r="E320" s="20">
        <v>4425</v>
      </c>
      <c r="F320" s="20">
        <v>3127.35</v>
      </c>
      <c r="G320" s="29">
        <f t="shared" si="16"/>
        <v>284.30454545454546</v>
      </c>
      <c r="H320" s="29">
        <f t="shared" si="17"/>
        <v>2843.0454545454545</v>
      </c>
      <c r="I320" s="29">
        <f t="shared" si="18"/>
        <v>1581.9545454545455</v>
      </c>
      <c r="J320" s="30">
        <f t="shared" si="19"/>
        <v>0.55642956496714469</v>
      </c>
      <c r="K320" s="20" t="s">
        <v>111</v>
      </c>
    </row>
    <row r="321" spans="1:11" x14ac:dyDescent="0.25">
      <c r="A321" s="22">
        <v>46163</v>
      </c>
      <c r="B321" s="20" t="s">
        <v>112</v>
      </c>
      <c r="C321" s="21">
        <v>69875355848</v>
      </c>
      <c r="D321" s="20" t="s">
        <v>30</v>
      </c>
      <c r="E321" s="20">
        <v>4425</v>
      </c>
      <c r="F321" s="20">
        <v>3116.68</v>
      </c>
      <c r="G321" s="29">
        <f t="shared" si="16"/>
        <v>283.33454545454543</v>
      </c>
      <c r="H321" s="29">
        <f t="shared" si="17"/>
        <v>2833.3454545454542</v>
      </c>
      <c r="I321" s="29">
        <f t="shared" si="18"/>
        <v>1591.6545454545458</v>
      </c>
      <c r="J321" s="30">
        <f t="shared" si="19"/>
        <v>0.561758024564601</v>
      </c>
      <c r="K321" s="20" t="s">
        <v>111</v>
      </c>
    </row>
    <row r="322" spans="1:11" x14ac:dyDescent="0.25">
      <c r="A322" s="22">
        <v>46163</v>
      </c>
      <c r="B322" s="20" t="s">
        <v>112</v>
      </c>
      <c r="C322" s="21">
        <v>69885956869</v>
      </c>
      <c r="D322" s="20" t="s">
        <v>30</v>
      </c>
      <c r="E322" s="20">
        <v>4425</v>
      </c>
      <c r="F322" s="20">
        <v>3067.64</v>
      </c>
      <c r="G322" s="29">
        <f t="shared" si="16"/>
        <v>278.87636363636364</v>
      </c>
      <c r="H322" s="29">
        <f t="shared" si="17"/>
        <v>2788.7636363636361</v>
      </c>
      <c r="I322" s="29">
        <f t="shared" si="18"/>
        <v>1636.2363636363639</v>
      </c>
      <c r="J322" s="30">
        <f t="shared" si="19"/>
        <v>0.5867246482638121</v>
      </c>
      <c r="K322" s="20" t="s">
        <v>111</v>
      </c>
    </row>
    <row r="323" spans="1:11" x14ac:dyDescent="0.25">
      <c r="A323" s="22">
        <v>46163</v>
      </c>
      <c r="B323" s="20" t="s">
        <v>112</v>
      </c>
      <c r="C323" s="21">
        <v>69991465367</v>
      </c>
      <c r="D323" s="20" t="s">
        <v>30</v>
      </c>
      <c r="E323" s="20">
        <v>4425</v>
      </c>
      <c r="F323" s="20">
        <v>3116.68</v>
      </c>
      <c r="G323" s="29">
        <f t="shared" ref="G323:G385" si="20">F323/11</f>
        <v>283.33454545454543</v>
      </c>
      <c r="H323" s="29">
        <f t="shared" ref="H323:H385" si="21">F323-G323</f>
        <v>2833.3454545454542</v>
      </c>
      <c r="I323" s="29">
        <f t="shared" ref="I323:I386" si="22">E323-H323</f>
        <v>1591.6545454545458</v>
      </c>
      <c r="J323" s="30">
        <f t="shared" ref="J323:J385" si="23">(E323-H323)/H323</f>
        <v>0.561758024564601</v>
      </c>
      <c r="K323" s="20" t="s">
        <v>111</v>
      </c>
    </row>
    <row r="324" spans="1:11" x14ac:dyDescent="0.25">
      <c r="A324" s="22">
        <v>46163</v>
      </c>
      <c r="B324" s="20" t="s">
        <v>112</v>
      </c>
      <c r="C324" s="21">
        <v>69998556744</v>
      </c>
      <c r="D324" s="20" t="s">
        <v>30</v>
      </c>
      <c r="E324" s="20">
        <v>4425</v>
      </c>
      <c r="F324" s="20">
        <v>3067.64</v>
      </c>
      <c r="G324" s="29">
        <f t="shared" si="20"/>
        <v>278.87636363636364</v>
      </c>
      <c r="H324" s="29">
        <f t="shared" si="21"/>
        <v>2788.7636363636361</v>
      </c>
      <c r="I324" s="29">
        <f t="shared" si="22"/>
        <v>1636.2363636363639</v>
      </c>
      <c r="J324" s="30">
        <f t="shared" si="23"/>
        <v>0.5867246482638121</v>
      </c>
      <c r="K324" s="20" t="s">
        <v>111</v>
      </c>
    </row>
    <row r="325" spans="1:11" x14ac:dyDescent="0.25">
      <c r="A325" s="22">
        <v>46163</v>
      </c>
      <c r="B325" s="20" t="s">
        <v>112</v>
      </c>
      <c r="C325" s="21">
        <v>71685092423</v>
      </c>
      <c r="D325" s="20" t="s">
        <v>30</v>
      </c>
      <c r="E325" s="20">
        <v>4425</v>
      </c>
      <c r="F325" s="20">
        <v>3127.35</v>
      </c>
      <c r="G325" s="29">
        <f t="shared" si="20"/>
        <v>284.30454545454546</v>
      </c>
      <c r="H325" s="29">
        <f t="shared" si="21"/>
        <v>2843.0454545454545</v>
      </c>
      <c r="I325" s="29">
        <f t="shared" si="22"/>
        <v>1581.9545454545455</v>
      </c>
      <c r="J325" s="30">
        <f t="shared" si="23"/>
        <v>0.55642956496714469</v>
      </c>
      <c r="K325" s="20" t="s">
        <v>111</v>
      </c>
    </row>
    <row r="326" spans="1:11" x14ac:dyDescent="0.25">
      <c r="A326" s="22">
        <v>46163</v>
      </c>
      <c r="B326" s="20" t="s">
        <v>112</v>
      </c>
      <c r="C326" s="21">
        <v>78499959058</v>
      </c>
      <c r="D326" s="20" t="s">
        <v>30</v>
      </c>
      <c r="E326" s="20">
        <v>4425</v>
      </c>
      <c r="F326" s="20">
        <v>2596.8000000000002</v>
      </c>
      <c r="G326" s="29">
        <f t="shared" si="20"/>
        <v>236.07272727272729</v>
      </c>
      <c r="H326" s="29">
        <f t="shared" si="21"/>
        <v>2360.727272727273</v>
      </c>
      <c r="I326" s="29">
        <f t="shared" si="22"/>
        <v>2064.272727272727</v>
      </c>
      <c r="J326" s="30">
        <f t="shared" si="23"/>
        <v>0.87442236598890921</v>
      </c>
      <c r="K326" s="20" t="s">
        <v>111</v>
      </c>
    </row>
    <row r="327" spans="1:11" x14ac:dyDescent="0.25">
      <c r="A327" s="22">
        <v>46163</v>
      </c>
      <c r="B327" s="20" t="s">
        <v>112</v>
      </c>
      <c r="C327" s="21">
        <v>79094659576</v>
      </c>
      <c r="D327" s="20" t="s">
        <v>30</v>
      </c>
      <c r="E327" s="20">
        <v>4425</v>
      </c>
      <c r="F327" s="20">
        <v>3127.35</v>
      </c>
      <c r="G327" s="29">
        <f t="shared" si="20"/>
        <v>284.30454545454546</v>
      </c>
      <c r="H327" s="29">
        <f t="shared" si="21"/>
        <v>2843.0454545454545</v>
      </c>
      <c r="I327" s="29">
        <f t="shared" si="22"/>
        <v>1581.9545454545455</v>
      </c>
      <c r="J327" s="30">
        <f t="shared" si="23"/>
        <v>0.55642956496714469</v>
      </c>
      <c r="K327" s="20" t="s">
        <v>111</v>
      </c>
    </row>
    <row r="328" spans="1:11" x14ac:dyDescent="0.25">
      <c r="A328" s="22">
        <v>46163</v>
      </c>
      <c r="B328" s="20" t="s">
        <v>112</v>
      </c>
      <c r="C328" s="21">
        <v>79170966951</v>
      </c>
      <c r="D328" s="20" t="s">
        <v>30</v>
      </c>
      <c r="E328" s="20">
        <v>4425</v>
      </c>
      <c r="F328" s="20">
        <v>3149.41</v>
      </c>
      <c r="G328" s="29">
        <f t="shared" si="20"/>
        <v>286.31</v>
      </c>
      <c r="H328" s="29">
        <f t="shared" si="21"/>
        <v>2863.1</v>
      </c>
      <c r="I328" s="29">
        <f t="shared" si="22"/>
        <v>1561.9</v>
      </c>
      <c r="J328" s="30">
        <f t="shared" si="23"/>
        <v>0.54552757500611226</v>
      </c>
      <c r="K328" s="20" t="s">
        <v>111</v>
      </c>
    </row>
    <row r="329" spans="1:11" x14ac:dyDescent="0.25">
      <c r="A329" s="22">
        <v>46163</v>
      </c>
      <c r="B329" s="20" t="s">
        <v>112</v>
      </c>
      <c r="C329" s="21">
        <v>79419352552</v>
      </c>
      <c r="D329" s="20" t="s">
        <v>30</v>
      </c>
      <c r="E329" s="20">
        <v>4425</v>
      </c>
      <c r="F329" s="20">
        <v>3116.68</v>
      </c>
      <c r="G329" s="29">
        <f t="shared" si="20"/>
        <v>283.33454545454543</v>
      </c>
      <c r="H329" s="29">
        <f t="shared" si="21"/>
        <v>2833.3454545454542</v>
      </c>
      <c r="I329" s="29">
        <f t="shared" si="22"/>
        <v>1591.6545454545458</v>
      </c>
      <c r="J329" s="30">
        <f t="shared" si="23"/>
        <v>0.561758024564601</v>
      </c>
      <c r="K329" s="20" t="s">
        <v>111</v>
      </c>
    </row>
    <row r="330" spans="1:11" x14ac:dyDescent="0.25">
      <c r="A330" s="22">
        <v>46163</v>
      </c>
      <c r="B330" s="20" t="s">
        <v>112</v>
      </c>
      <c r="C330" s="21">
        <v>79486850958</v>
      </c>
      <c r="D330" s="20" t="s">
        <v>30</v>
      </c>
      <c r="E330" s="20">
        <v>4425</v>
      </c>
      <c r="F330" s="20">
        <v>3127.35</v>
      </c>
      <c r="G330" s="29">
        <f t="shared" si="20"/>
        <v>284.30454545454546</v>
      </c>
      <c r="H330" s="29">
        <f t="shared" si="21"/>
        <v>2843.0454545454545</v>
      </c>
      <c r="I330" s="29">
        <f t="shared" si="22"/>
        <v>1581.9545454545455</v>
      </c>
      <c r="J330" s="30">
        <f t="shared" si="23"/>
        <v>0.55642956496714469</v>
      </c>
      <c r="K330" s="20" t="s">
        <v>111</v>
      </c>
    </row>
    <row r="331" spans="1:11" x14ac:dyDescent="0.25">
      <c r="A331" s="22">
        <v>46163</v>
      </c>
      <c r="B331" s="20" t="s">
        <v>112</v>
      </c>
      <c r="C331" s="21">
        <v>79528468065</v>
      </c>
      <c r="D331" s="20" t="s">
        <v>30</v>
      </c>
      <c r="E331" s="20">
        <v>4425</v>
      </c>
      <c r="F331" s="20">
        <v>3116.68</v>
      </c>
      <c r="G331" s="29">
        <f t="shared" si="20"/>
        <v>283.33454545454543</v>
      </c>
      <c r="H331" s="29">
        <f t="shared" si="21"/>
        <v>2833.3454545454542</v>
      </c>
      <c r="I331" s="29">
        <f t="shared" si="22"/>
        <v>1591.6545454545458</v>
      </c>
      <c r="J331" s="30">
        <f t="shared" si="23"/>
        <v>0.561758024564601</v>
      </c>
      <c r="K331" s="20" t="s">
        <v>111</v>
      </c>
    </row>
    <row r="332" spans="1:11" x14ac:dyDescent="0.25">
      <c r="A332" s="22">
        <v>46163</v>
      </c>
      <c r="B332" s="20" t="s">
        <v>112</v>
      </c>
      <c r="C332" s="21">
        <v>79544862965</v>
      </c>
      <c r="D332" s="20" t="s">
        <v>30</v>
      </c>
      <c r="E332" s="20">
        <v>4425</v>
      </c>
      <c r="F332" s="20">
        <v>3127.35</v>
      </c>
      <c r="G332" s="29">
        <f t="shared" si="20"/>
        <v>284.30454545454546</v>
      </c>
      <c r="H332" s="29">
        <f t="shared" si="21"/>
        <v>2843.0454545454545</v>
      </c>
      <c r="I332" s="29">
        <f t="shared" si="22"/>
        <v>1581.9545454545455</v>
      </c>
      <c r="J332" s="30">
        <f t="shared" si="23"/>
        <v>0.55642956496714469</v>
      </c>
      <c r="K332" s="20" t="s">
        <v>111</v>
      </c>
    </row>
    <row r="333" spans="1:11" x14ac:dyDescent="0.25">
      <c r="A333" s="22">
        <v>46163</v>
      </c>
      <c r="B333" s="20" t="s">
        <v>112</v>
      </c>
      <c r="C333" s="21">
        <v>79648659251</v>
      </c>
      <c r="D333" s="20" t="s">
        <v>30</v>
      </c>
      <c r="E333" s="20">
        <v>4425</v>
      </c>
      <c r="F333" s="20">
        <v>3149.41</v>
      </c>
      <c r="G333" s="29">
        <f t="shared" si="20"/>
        <v>286.31</v>
      </c>
      <c r="H333" s="29">
        <f t="shared" si="21"/>
        <v>2863.1</v>
      </c>
      <c r="I333" s="29">
        <f t="shared" si="22"/>
        <v>1561.9</v>
      </c>
      <c r="J333" s="30">
        <f t="shared" si="23"/>
        <v>0.54552757500611226</v>
      </c>
      <c r="K333" s="20" t="s">
        <v>111</v>
      </c>
    </row>
    <row r="334" spans="1:11" x14ac:dyDescent="0.25">
      <c r="A334" s="22">
        <v>46163</v>
      </c>
      <c r="B334" s="20" t="s">
        <v>112</v>
      </c>
      <c r="C334" s="21">
        <v>79812065843</v>
      </c>
      <c r="D334" s="20" t="s">
        <v>30</v>
      </c>
      <c r="E334" s="20">
        <v>4425</v>
      </c>
      <c r="F334" s="20">
        <v>3116.68</v>
      </c>
      <c r="G334" s="29">
        <f t="shared" si="20"/>
        <v>283.33454545454543</v>
      </c>
      <c r="H334" s="29">
        <f t="shared" si="21"/>
        <v>2833.3454545454542</v>
      </c>
      <c r="I334" s="29">
        <f t="shared" si="22"/>
        <v>1591.6545454545458</v>
      </c>
      <c r="J334" s="30">
        <f t="shared" si="23"/>
        <v>0.561758024564601</v>
      </c>
      <c r="K334" s="20" t="s">
        <v>111</v>
      </c>
    </row>
    <row r="335" spans="1:11" x14ac:dyDescent="0.25">
      <c r="A335" s="22">
        <v>46163</v>
      </c>
      <c r="B335" s="20" t="s">
        <v>112</v>
      </c>
      <c r="C335" s="21">
        <v>88781942453</v>
      </c>
      <c r="D335" s="20" t="s">
        <v>30</v>
      </c>
      <c r="E335" s="20">
        <v>4425</v>
      </c>
      <c r="F335" s="20">
        <v>3116.68</v>
      </c>
      <c r="G335" s="29">
        <f t="shared" si="20"/>
        <v>283.33454545454543</v>
      </c>
      <c r="H335" s="29">
        <f t="shared" si="21"/>
        <v>2833.3454545454542</v>
      </c>
      <c r="I335" s="29">
        <f t="shared" si="22"/>
        <v>1591.6545454545458</v>
      </c>
      <c r="J335" s="30">
        <f t="shared" si="23"/>
        <v>0.561758024564601</v>
      </c>
      <c r="K335" s="20" t="s">
        <v>111</v>
      </c>
    </row>
    <row r="336" spans="1:11" x14ac:dyDescent="0.25">
      <c r="A336" s="22">
        <v>46163</v>
      </c>
      <c r="B336" s="20" t="s">
        <v>112</v>
      </c>
      <c r="C336" s="21">
        <v>89437267856</v>
      </c>
      <c r="D336" s="20" t="s">
        <v>30</v>
      </c>
      <c r="E336" s="20">
        <v>4425</v>
      </c>
      <c r="F336" s="20">
        <v>3116.68</v>
      </c>
      <c r="G336" s="29">
        <f t="shared" si="20"/>
        <v>283.33454545454543</v>
      </c>
      <c r="H336" s="29">
        <f t="shared" si="21"/>
        <v>2833.3454545454542</v>
      </c>
      <c r="I336" s="29">
        <f t="shared" si="22"/>
        <v>1591.6545454545458</v>
      </c>
      <c r="J336" s="30">
        <f t="shared" si="23"/>
        <v>0.561758024564601</v>
      </c>
      <c r="K336" s="20" t="s">
        <v>111</v>
      </c>
    </row>
    <row r="337" spans="1:11" x14ac:dyDescent="0.25">
      <c r="A337" s="22">
        <v>46163</v>
      </c>
      <c r="B337" s="20" t="s">
        <v>112</v>
      </c>
      <c r="C337" s="21">
        <v>89893265743</v>
      </c>
      <c r="D337" s="20" t="s">
        <v>30</v>
      </c>
      <c r="E337" s="20">
        <v>4425</v>
      </c>
      <c r="F337" s="20">
        <v>3127.35</v>
      </c>
      <c r="G337" s="29">
        <f t="shared" si="20"/>
        <v>284.30454545454546</v>
      </c>
      <c r="H337" s="29">
        <f t="shared" si="21"/>
        <v>2843.0454545454545</v>
      </c>
      <c r="I337" s="29">
        <f t="shared" si="22"/>
        <v>1581.9545454545455</v>
      </c>
      <c r="J337" s="30">
        <f t="shared" si="23"/>
        <v>0.55642956496714469</v>
      </c>
      <c r="K337" s="20" t="s">
        <v>111</v>
      </c>
    </row>
    <row r="338" spans="1:11" x14ac:dyDescent="0.25">
      <c r="A338" s="22">
        <v>46163</v>
      </c>
      <c r="B338" s="20" t="s">
        <v>112</v>
      </c>
      <c r="C338" s="21">
        <v>89975044467</v>
      </c>
      <c r="D338" s="20" t="s">
        <v>30</v>
      </c>
      <c r="E338" s="20">
        <v>4425</v>
      </c>
      <c r="F338" s="20">
        <v>3116.68</v>
      </c>
      <c r="G338" s="29">
        <f t="shared" si="20"/>
        <v>283.33454545454543</v>
      </c>
      <c r="H338" s="29">
        <f t="shared" si="21"/>
        <v>2833.3454545454542</v>
      </c>
      <c r="I338" s="29">
        <f t="shared" si="22"/>
        <v>1591.6545454545458</v>
      </c>
      <c r="J338" s="30">
        <f t="shared" si="23"/>
        <v>0.561758024564601</v>
      </c>
      <c r="K338" s="20" t="s">
        <v>111</v>
      </c>
    </row>
    <row r="339" spans="1:11" x14ac:dyDescent="0.25">
      <c r="A339" s="22">
        <v>46163</v>
      </c>
      <c r="B339" s="20" t="s">
        <v>112</v>
      </c>
      <c r="C339" s="21">
        <v>98010944853</v>
      </c>
      <c r="D339" s="20" t="s">
        <v>30</v>
      </c>
      <c r="E339" s="20">
        <v>4425</v>
      </c>
      <c r="F339" s="20">
        <v>3127.35</v>
      </c>
      <c r="G339" s="29">
        <f t="shared" si="20"/>
        <v>284.30454545454546</v>
      </c>
      <c r="H339" s="29">
        <f t="shared" si="21"/>
        <v>2843.0454545454545</v>
      </c>
      <c r="I339" s="29">
        <f t="shared" si="22"/>
        <v>1581.9545454545455</v>
      </c>
      <c r="J339" s="30">
        <f t="shared" si="23"/>
        <v>0.55642956496714469</v>
      </c>
      <c r="K339" s="20" t="s">
        <v>111</v>
      </c>
    </row>
    <row r="340" spans="1:11" x14ac:dyDescent="0.25">
      <c r="A340" s="22">
        <v>46163</v>
      </c>
      <c r="B340" s="20" t="s">
        <v>112</v>
      </c>
      <c r="C340" s="21">
        <v>98831760769</v>
      </c>
      <c r="D340" s="20" t="s">
        <v>30</v>
      </c>
      <c r="E340" s="20">
        <v>4425</v>
      </c>
      <c r="F340" s="20">
        <v>2596.8000000000002</v>
      </c>
      <c r="G340" s="29">
        <f t="shared" si="20"/>
        <v>236.07272727272729</v>
      </c>
      <c r="H340" s="29">
        <f t="shared" si="21"/>
        <v>2360.727272727273</v>
      </c>
      <c r="I340" s="29">
        <f t="shared" si="22"/>
        <v>2064.272727272727</v>
      </c>
      <c r="J340" s="30">
        <f t="shared" si="23"/>
        <v>0.87442236598890921</v>
      </c>
      <c r="K340" s="20" t="s">
        <v>111</v>
      </c>
    </row>
    <row r="341" spans="1:11" x14ac:dyDescent="0.25">
      <c r="A341" s="22">
        <v>46163</v>
      </c>
      <c r="B341" s="20" t="s">
        <v>112</v>
      </c>
      <c r="C341" s="21">
        <v>99124260357</v>
      </c>
      <c r="D341" s="20" t="s">
        <v>30</v>
      </c>
      <c r="E341" s="20">
        <v>4425</v>
      </c>
      <c r="F341" s="20">
        <v>3127.35</v>
      </c>
      <c r="G341" s="29">
        <f t="shared" si="20"/>
        <v>284.30454545454546</v>
      </c>
      <c r="H341" s="29">
        <f t="shared" si="21"/>
        <v>2843.0454545454545</v>
      </c>
      <c r="I341" s="29">
        <f t="shared" si="22"/>
        <v>1581.9545454545455</v>
      </c>
      <c r="J341" s="30">
        <f t="shared" si="23"/>
        <v>0.55642956496714469</v>
      </c>
      <c r="K341" s="20" t="s">
        <v>111</v>
      </c>
    </row>
    <row r="342" spans="1:11" x14ac:dyDescent="0.25">
      <c r="A342" s="22">
        <v>46163</v>
      </c>
      <c r="B342" s="20" t="s">
        <v>112</v>
      </c>
      <c r="C342" s="21">
        <v>99162345852</v>
      </c>
      <c r="D342" s="20" t="s">
        <v>30</v>
      </c>
      <c r="E342" s="20">
        <v>4425</v>
      </c>
      <c r="F342" s="20">
        <v>3127.35</v>
      </c>
      <c r="G342" s="29">
        <f t="shared" si="20"/>
        <v>284.30454545454546</v>
      </c>
      <c r="H342" s="29">
        <f t="shared" si="21"/>
        <v>2843.0454545454545</v>
      </c>
      <c r="I342" s="29">
        <f t="shared" si="22"/>
        <v>1581.9545454545455</v>
      </c>
      <c r="J342" s="30">
        <f t="shared" si="23"/>
        <v>0.55642956496714469</v>
      </c>
      <c r="K342" s="20" t="s">
        <v>111</v>
      </c>
    </row>
    <row r="343" spans="1:11" x14ac:dyDescent="0.25">
      <c r="A343" s="22">
        <v>46163</v>
      </c>
      <c r="B343" s="20" t="s">
        <v>112</v>
      </c>
      <c r="C343" s="21">
        <v>99180968159</v>
      </c>
      <c r="D343" s="20" t="s">
        <v>30</v>
      </c>
      <c r="E343" s="20">
        <v>4425</v>
      </c>
      <c r="F343" s="20">
        <v>3149.41</v>
      </c>
      <c r="G343" s="29">
        <f t="shared" si="20"/>
        <v>286.31</v>
      </c>
      <c r="H343" s="29">
        <f t="shared" si="21"/>
        <v>2863.1</v>
      </c>
      <c r="I343" s="29">
        <f t="shared" si="22"/>
        <v>1561.9</v>
      </c>
      <c r="J343" s="30">
        <f t="shared" si="23"/>
        <v>0.54552757500611226</v>
      </c>
      <c r="K343" s="20" t="s">
        <v>111</v>
      </c>
    </row>
    <row r="344" spans="1:11" x14ac:dyDescent="0.25">
      <c r="A344" s="22">
        <v>46163</v>
      </c>
      <c r="B344" s="20" t="s">
        <v>112</v>
      </c>
      <c r="C344" s="21">
        <v>99317347353</v>
      </c>
      <c r="D344" s="20" t="s">
        <v>30</v>
      </c>
      <c r="E344" s="20">
        <v>4425</v>
      </c>
      <c r="F344" s="20">
        <v>3127.35</v>
      </c>
      <c r="G344" s="29">
        <f t="shared" si="20"/>
        <v>284.30454545454546</v>
      </c>
      <c r="H344" s="29">
        <f t="shared" si="21"/>
        <v>2843.0454545454545</v>
      </c>
      <c r="I344" s="29">
        <f t="shared" si="22"/>
        <v>1581.9545454545455</v>
      </c>
      <c r="J344" s="30">
        <f t="shared" si="23"/>
        <v>0.55642956496714469</v>
      </c>
      <c r="K344" s="20" t="s">
        <v>111</v>
      </c>
    </row>
    <row r="345" spans="1:11" x14ac:dyDescent="0.25">
      <c r="A345" s="22">
        <v>46163</v>
      </c>
      <c r="B345" s="20" t="s">
        <v>112</v>
      </c>
      <c r="C345" s="21">
        <v>99372642054</v>
      </c>
      <c r="D345" s="20" t="s">
        <v>30</v>
      </c>
      <c r="E345" s="20">
        <v>4425</v>
      </c>
      <c r="F345" s="20">
        <v>3116.68</v>
      </c>
      <c r="G345" s="29">
        <f t="shared" si="20"/>
        <v>283.33454545454543</v>
      </c>
      <c r="H345" s="29">
        <f t="shared" si="21"/>
        <v>2833.3454545454542</v>
      </c>
      <c r="I345" s="29">
        <f t="shared" si="22"/>
        <v>1591.6545454545458</v>
      </c>
      <c r="J345" s="30">
        <f t="shared" si="23"/>
        <v>0.561758024564601</v>
      </c>
      <c r="K345" s="20" t="s">
        <v>111</v>
      </c>
    </row>
    <row r="346" spans="1:11" x14ac:dyDescent="0.25">
      <c r="A346" s="22">
        <v>46163</v>
      </c>
      <c r="B346" s="20" t="s">
        <v>112</v>
      </c>
      <c r="C346" s="21">
        <v>99395463350</v>
      </c>
      <c r="D346" s="20" t="s">
        <v>30</v>
      </c>
      <c r="E346" s="20">
        <v>4425</v>
      </c>
      <c r="F346" s="20">
        <v>3149.41</v>
      </c>
      <c r="G346" s="29">
        <f t="shared" si="20"/>
        <v>286.31</v>
      </c>
      <c r="H346" s="29">
        <f t="shared" si="21"/>
        <v>2863.1</v>
      </c>
      <c r="I346" s="29">
        <f t="shared" si="22"/>
        <v>1561.9</v>
      </c>
      <c r="J346" s="30">
        <f t="shared" si="23"/>
        <v>0.54552757500611226</v>
      </c>
      <c r="K346" s="20" t="s">
        <v>111</v>
      </c>
    </row>
    <row r="347" spans="1:11" x14ac:dyDescent="0.25">
      <c r="A347" s="22">
        <v>46163</v>
      </c>
      <c r="B347" s="20" t="s">
        <v>112</v>
      </c>
      <c r="C347" s="21">
        <v>99592165263</v>
      </c>
      <c r="D347" s="20" t="s">
        <v>30</v>
      </c>
      <c r="E347" s="20">
        <v>4425</v>
      </c>
      <c r="F347" s="20">
        <v>3127.35</v>
      </c>
      <c r="G347" s="29">
        <f t="shared" si="20"/>
        <v>284.30454545454546</v>
      </c>
      <c r="H347" s="29">
        <f t="shared" si="21"/>
        <v>2843.0454545454545</v>
      </c>
      <c r="I347" s="29">
        <f t="shared" si="22"/>
        <v>1581.9545454545455</v>
      </c>
      <c r="J347" s="30">
        <f t="shared" si="23"/>
        <v>0.55642956496714469</v>
      </c>
      <c r="K347" s="20" t="s">
        <v>111</v>
      </c>
    </row>
    <row r="348" spans="1:11" x14ac:dyDescent="0.25">
      <c r="A348" s="22">
        <v>46163</v>
      </c>
      <c r="B348" s="20" t="s">
        <v>112</v>
      </c>
      <c r="C348" s="21">
        <v>99671243760</v>
      </c>
      <c r="D348" s="20" t="s">
        <v>30</v>
      </c>
      <c r="E348" s="20">
        <v>4425</v>
      </c>
      <c r="F348" s="20">
        <v>3127.35</v>
      </c>
      <c r="G348" s="29">
        <f t="shared" si="20"/>
        <v>284.30454545454546</v>
      </c>
      <c r="H348" s="29">
        <f t="shared" si="21"/>
        <v>2843.0454545454545</v>
      </c>
      <c r="I348" s="29">
        <f t="shared" si="22"/>
        <v>1581.9545454545455</v>
      </c>
      <c r="J348" s="30">
        <f t="shared" si="23"/>
        <v>0.55642956496714469</v>
      </c>
      <c r="K348" s="20" t="s">
        <v>111</v>
      </c>
    </row>
    <row r="349" spans="1:11" x14ac:dyDescent="0.25">
      <c r="A349" s="22">
        <v>46163</v>
      </c>
      <c r="B349" s="20" t="s">
        <v>112</v>
      </c>
      <c r="C349" s="21">
        <v>99703164269</v>
      </c>
      <c r="D349" s="20" t="s">
        <v>30</v>
      </c>
      <c r="E349" s="20">
        <v>4425</v>
      </c>
      <c r="F349" s="20">
        <v>3067.64</v>
      </c>
      <c r="G349" s="29">
        <f t="shared" si="20"/>
        <v>278.87636363636364</v>
      </c>
      <c r="H349" s="29">
        <f t="shared" si="21"/>
        <v>2788.7636363636361</v>
      </c>
      <c r="I349" s="29">
        <f t="shared" si="22"/>
        <v>1636.2363636363639</v>
      </c>
      <c r="J349" s="30">
        <f t="shared" si="23"/>
        <v>0.5867246482638121</v>
      </c>
      <c r="K349" s="20" t="s">
        <v>111</v>
      </c>
    </row>
    <row r="350" spans="1:11" x14ac:dyDescent="0.25">
      <c r="A350" s="22">
        <v>46163</v>
      </c>
      <c r="B350" s="20" t="s">
        <v>112</v>
      </c>
      <c r="C350" s="21">
        <v>99719743659</v>
      </c>
      <c r="D350" s="20" t="s">
        <v>30</v>
      </c>
      <c r="E350" s="20">
        <v>4425</v>
      </c>
      <c r="F350" s="20">
        <v>3116.68</v>
      </c>
      <c r="G350" s="29">
        <f t="shared" si="20"/>
        <v>283.33454545454543</v>
      </c>
      <c r="H350" s="29">
        <f t="shared" si="21"/>
        <v>2833.3454545454542</v>
      </c>
      <c r="I350" s="29">
        <f t="shared" si="22"/>
        <v>1591.6545454545458</v>
      </c>
      <c r="J350" s="30">
        <f t="shared" si="23"/>
        <v>0.561758024564601</v>
      </c>
      <c r="K350" s="20" t="s">
        <v>111</v>
      </c>
    </row>
    <row r="351" spans="1:11" x14ac:dyDescent="0.25">
      <c r="A351" s="22">
        <v>46163</v>
      </c>
      <c r="B351" s="20" t="s">
        <v>112</v>
      </c>
      <c r="C351" s="21">
        <v>99809168765</v>
      </c>
      <c r="D351" s="20" t="s">
        <v>30</v>
      </c>
      <c r="E351" s="20">
        <v>4425</v>
      </c>
      <c r="F351" s="20">
        <v>3067.64</v>
      </c>
      <c r="G351" s="29">
        <f t="shared" si="20"/>
        <v>278.87636363636364</v>
      </c>
      <c r="H351" s="29">
        <f t="shared" si="21"/>
        <v>2788.7636363636361</v>
      </c>
      <c r="I351" s="29">
        <f t="shared" si="22"/>
        <v>1636.2363636363639</v>
      </c>
      <c r="J351" s="30">
        <f t="shared" si="23"/>
        <v>0.5867246482638121</v>
      </c>
      <c r="K351" s="20" t="s">
        <v>111</v>
      </c>
    </row>
    <row r="352" spans="1:11" x14ac:dyDescent="0.25">
      <c r="A352" s="22">
        <v>46163</v>
      </c>
      <c r="B352" s="20" t="s">
        <v>112</v>
      </c>
      <c r="C352" s="21">
        <v>99978847067</v>
      </c>
      <c r="D352" s="20" t="s">
        <v>30</v>
      </c>
      <c r="E352" s="20">
        <v>4425</v>
      </c>
      <c r="F352" s="20">
        <v>3116.68</v>
      </c>
      <c r="G352" s="29">
        <f t="shared" si="20"/>
        <v>283.33454545454543</v>
      </c>
      <c r="H352" s="29">
        <f t="shared" si="21"/>
        <v>2833.3454545454542</v>
      </c>
      <c r="I352" s="29">
        <f t="shared" si="22"/>
        <v>1591.6545454545458</v>
      </c>
      <c r="J352" s="30">
        <f t="shared" si="23"/>
        <v>0.561758024564601</v>
      </c>
      <c r="K352" s="20" t="s">
        <v>111</v>
      </c>
    </row>
    <row r="353" spans="1:11" x14ac:dyDescent="0.25">
      <c r="A353" s="22">
        <v>46163</v>
      </c>
      <c r="B353" s="20" t="s">
        <v>687</v>
      </c>
      <c r="C353" s="21" t="s">
        <v>688</v>
      </c>
      <c r="D353" s="20"/>
      <c r="E353" s="20">
        <v>2100</v>
      </c>
      <c r="F353" s="20">
        <v>1513.37</v>
      </c>
      <c r="G353" s="29">
        <f t="shared" si="20"/>
        <v>137.57909090909089</v>
      </c>
      <c r="H353" s="29">
        <f t="shared" si="21"/>
        <v>1375.7909090909091</v>
      </c>
      <c r="I353" s="29">
        <f t="shared" si="22"/>
        <v>724.20909090909095</v>
      </c>
      <c r="J353" s="30">
        <f t="shared" si="23"/>
        <v>0.52639473492932998</v>
      </c>
      <c r="K353" s="20" t="s">
        <v>272</v>
      </c>
    </row>
    <row r="354" spans="1:11" x14ac:dyDescent="0.25">
      <c r="A354" s="22">
        <v>46163</v>
      </c>
      <c r="B354" s="20" t="s">
        <v>116</v>
      </c>
      <c r="C354" s="21" t="s">
        <v>689</v>
      </c>
      <c r="D354" s="20" t="s">
        <v>30</v>
      </c>
      <c r="E354" s="20">
        <v>1220</v>
      </c>
      <c r="F354" s="20">
        <v>1034.56</v>
      </c>
      <c r="G354" s="29">
        <f t="shared" si="20"/>
        <v>94.050909090909087</v>
      </c>
      <c r="H354" s="29">
        <f t="shared" si="21"/>
        <v>940.5090909090909</v>
      </c>
      <c r="I354" s="29">
        <f t="shared" si="22"/>
        <v>279.4909090909091</v>
      </c>
      <c r="J354" s="30">
        <f t="shared" si="23"/>
        <v>0.29716981132075471</v>
      </c>
      <c r="K354" s="20" t="s">
        <v>111</v>
      </c>
    </row>
    <row r="355" spans="1:11" x14ac:dyDescent="0.25">
      <c r="A355" s="22">
        <v>46163</v>
      </c>
      <c r="B355" s="20" t="s">
        <v>116</v>
      </c>
      <c r="C355" s="21" t="s">
        <v>690</v>
      </c>
      <c r="D355" s="20" t="s">
        <v>30</v>
      </c>
      <c r="E355" s="20">
        <v>1220</v>
      </c>
      <c r="F355" s="20">
        <v>1034.56</v>
      </c>
      <c r="G355" s="29">
        <f t="shared" si="20"/>
        <v>94.050909090909087</v>
      </c>
      <c r="H355" s="29">
        <f t="shared" si="21"/>
        <v>940.5090909090909</v>
      </c>
      <c r="I355" s="29">
        <f t="shared" si="22"/>
        <v>279.4909090909091</v>
      </c>
      <c r="J355" s="30">
        <f t="shared" si="23"/>
        <v>0.29716981132075471</v>
      </c>
      <c r="K355" s="20" t="s">
        <v>111</v>
      </c>
    </row>
    <row r="356" spans="1:11" x14ac:dyDescent="0.25">
      <c r="A356" s="22">
        <v>46163</v>
      </c>
      <c r="B356" s="20" t="s">
        <v>116</v>
      </c>
      <c r="C356" s="21" t="s">
        <v>691</v>
      </c>
      <c r="D356" s="20" t="s">
        <v>30</v>
      </c>
      <c r="E356" s="20">
        <v>1220</v>
      </c>
      <c r="F356" s="20">
        <v>1034.56</v>
      </c>
      <c r="G356" s="29">
        <f t="shared" si="20"/>
        <v>94.050909090909087</v>
      </c>
      <c r="H356" s="29">
        <f t="shared" si="21"/>
        <v>940.5090909090909</v>
      </c>
      <c r="I356" s="29">
        <f t="shared" si="22"/>
        <v>279.4909090909091</v>
      </c>
      <c r="J356" s="30">
        <f t="shared" si="23"/>
        <v>0.29716981132075471</v>
      </c>
      <c r="K356" s="20" t="s">
        <v>111</v>
      </c>
    </row>
    <row r="357" spans="1:11" x14ac:dyDescent="0.25">
      <c r="A357" s="22">
        <v>46163</v>
      </c>
      <c r="B357" s="20" t="s">
        <v>116</v>
      </c>
      <c r="C357" s="21" t="s">
        <v>692</v>
      </c>
      <c r="D357" s="20" t="s">
        <v>30</v>
      </c>
      <c r="E357" s="20">
        <v>1220</v>
      </c>
      <c r="F357" s="20">
        <v>1034.56</v>
      </c>
      <c r="G357" s="29">
        <f t="shared" si="20"/>
        <v>94.050909090909087</v>
      </c>
      <c r="H357" s="29">
        <f t="shared" si="21"/>
        <v>940.5090909090909</v>
      </c>
      <c r="I357" s="29">
        <f t="shared" si="22"/>
        <v>279.4909090909091</v>
      </c>
      <c r="J357" s="30">
        <f t="shared" si="23"/>
        <v>0.29716981132075471</v>
      </c>
      <c r="K357" s="20" t="s">
        <v>111</v>
      </c>
    </row>
    <row r="358" spans="1:11" x14ac:dyDescent="0.25">
      <c r="A358" s="22">
        <v>46163</v>
      </c>
      <c r="B358" s="20" t="s">
        <v>116</v>
      </c>
      <c r="C358" s="21" t="s">
        <v>693</v>
      </c>
      <c r="D358" s="20" t="s">
        <v>30</v>
      </c>
      <c r="E358" s="20">
        <v>1220</v>
      </c>
      <c r="F358" s="20">
        <v>1034.56</v>
      </c>
      <c r="G358" s="29">
        <f t="shared" si="20"/>
        <v>94.050909090909087</v>
      </c>
      <c r="H358" s="29">
        <f t="shared" si="21"/>
        <v>940.5090909090909</v>
      </c>
      <c r="I358" s="29">
        <f t="shared" si="22"/>
        <v>279.4909090909091</v>
      </c>
      <c r="J358" s="30">
        <f t="shared" si="23"/>
        <v>0.29716981132075471</v>
      </c>
      <c r="K358" s="20" t="s">
        <v>111</v>
      </c>
    </row>
    <row r="359" spans="1:11" x14ac:dyDescent="0.25">
      <c r="A359" s="22">
        <v>46163</v>
      </c>
      <c r="B359" s="20" t="s">
        <v>116</v>
      </c>
      <c r="C359" s="21" t="s">
        <v>694</v>
      </c>
      <c r="D359" s="20" t="s">
        <v>30</v>
      </c>
      <c r="E359" s="20">
        <v>1220</v>
      </c>
      <c r="F359" s="20">
        <v>1013.35</v>
      </c>
      <c r="G359" s="29">
        <f t="shared" si="20"/>
        <v>92.122727272727275</v>
      </c>
      <c r="H359" s="29">
        <f t="shared" si="21"/>
        <v>921.22727272727275</v>
      </c>
      <c r="I359" s="29">
        <f t="shared" si="22"/>
        <v>298.77272727272725</v>
      </c>
      <c r="J359" s="30">
        <f t="shared" si="23"/>
        <v>0.32432032367888686</v>
      </c>
      <c r="K359" s="20" t="s">
        <v>111</v>
      </c>
    </row>
    <row r="360" spans="1:11" x14ac:dyDescent="0.25">
      <c r="A360" s="22">
        <v>46163</v>
      </c>
      <c r="B360" s="20" t="s">
        <v>116</v>
      </c>
      <c r="C360" s="21" t="s">
        <v>695</v>
      </c>
      <c r="D360" s="20" t="s">
        <v>30</v>
      </c>
      <c r="E360" s="20">
        <v>1220</v>
      </c>
      <c r="F360" s="20">
        <v>1013.35</v>
      </c>
      <c r="G360" s="29">
        <f t="shared" si="20"/>
        <v>92.122727272727275</v>
      </c>
      <c r="H360" s="29">
        <f t="shared" si="21"/>
        <v>921.22727272727275</v>
      </c>
      <c r="I360" s="29">
        <f t="shared" si="22"/>
        <v>298.77272727272725</v>
      </c>
      <c r="J360" s="30">
        <f t="shared" si="23"/>
        <v>0.32432032367888686</v>
      </c>
      <c r="K360" s="20" t="s">
        <v>111</v>
      </c>
    </row>
    <row r="361" spans="1:11" x14ac:dyDescent="0.25">
      <c r="A361" s="22">
        <v>46163</v>
      </c>
      <c r="B361" s="20" t="s">
        <v>116</v>
      </c>
      <c r="C361" s="21" t="s">
        <v>696</v>
      </c>
      <c r="D361" s="20" t="s">
        <v>30</v>
      </c>
      <c r="E361" s="20">
        <v>1220</v>
      </c>
      <c r="F361" s="20">
        <v>1013.35</v>
      </c>
      <c r="G361" s="29">
        <f t="shared" si="20"/>
        <v>92.122727272727275</v>
      </c>
      <c r="H361" s="29">
        <f t="shared" si="21"/>
        <v>921.22727272727275</v>
      </c>
      <c r="I361" s="29">
        <f t="shared" si="22"/>
        <v>298.77272727272725</v>
      </c>
      <c r="J361" s="30">
        <f t="shared" si="23"/>
        <v>0.32432032367888686</v>
      </c>
      <c r="K361" s="20" t="s">
        <v>111</v>
      </c>
    </row>
    <row r="362" spans="1:11" x14ac:dyDescent="0.25">
      <c r="A362" s="22">
        <v>46163</v>
      </c>
      <c r="B362" s="20" t="s">
        <v>116</v>
      </c>
      <c r="C362" s="21" t="s">
        <v>697</v>
      </c>
      <c r="D362" s="20" t="s">
        <v>30</v>
      </c>
      <c r="E362" s="20">
        <v>1220</v>
      </c>
      <c r="F362" s="20">
        <v>1034.56</v>
      </c>
      <c r="G362" s="29">
        <f t="shared" si="20"/>
        <v>94.050909090909087</v>
      </c>
      <c r="H362" s="29">
        <f t="shared" si="21"/>
        <v>940.5090909090909</v>
      </c>
      <c r="I362" s="29">
        <f t="shared" si="22"/>
        <v>279.4909090909091</v>
      </c>
      <c r="J362" s="30">
        <f t="shared" si="23"/>
        <v>0.29716981132075471</v>
      </c>
      <c r="K362" s="20" t="s">
        <v>111</v>
      </c>
    </row>
    <row r="363" spans="1:11" x14ac:dyDescent="0.25">
      <c r="A363" s="22">
        <v>46163</v>
      </c>
      <c r="B363" s="20" t="s">
        <v>116</v>
      </c>
      <c r="C363" s="21" t="s">
        <v>698</v>
      </c>
      <c r="D363" s="20" t="s">
        <v>30</v>
      </c>
      <c r="E363" s="20">
        <v>1220</v>
      </c>
      <c r="F363" s="20">
        <v>1034.56</v>
      </c>
      <c r="G363" s="29">
        <f t="shared" si="20"/>
        <v>94.050909090909087</v>
      </c>
      <c r="H363" s="29">
        <f t="shared" si="21"/>
        <v>940.5090909090909</v>
      </c>
      <c r="I363" s="29">
        <f t="shared" si="22"/>
        <v>279.4909090909091</v>
      </c>
      <c r="J363" s="30">
        <f t="shared" si="23"/>
        <v>0.29716981132075471</v>
      </c>
      <c r="K363" s="20" t="s">
        <v>111</v>
      </c>
    </row>
    <row r="364" spans="1:11" x14ac:dyDescent="0.25">
      <c r="A364" s="22">
        <v>46163</v>
      </c>
      <c r="B364" s="20" t="s">
        <v>116</v>
      </c>
      <c r="C364" s="21" t="s">
        <v>699</v>
      </c>
      <c r="D364" s="20" t="s">
        <v>30</v>
      </c>
      <c r="E364" s="20">
        <v>1220</v>
      </c>
      <c r="F364" s="20">
        <v>1034.56</v>
      </c>
      <c r="G364" s="29">
        <f t="shared" si="20"/>
        <v>94.050909090909087</v>
      </c>
      <c r="H364" s="29">
        <f t="shared" si="21"/>
        <v>940.5090909090909</v>
      </c>
      <c r="I364" s="29">
        <f t="shared" si="22"/>
        <v>279.4909090909091</v>
      </c>
      <c r="J364" s="30">
        <f t="shared" si="23"/>
        <v>0.29716981132075471</v>
      </c>
      <c r="K364" s="20" t="s">
        <v>111</v>
      </c>
    </row>
    <row r="365" spans="1:11" x14ac:dyDescent="0.25">
      <c r="A365" s="22">
        <v>46163</v>
      </c>
      <c r="B365" s="20" t="s">
        <v>116</v>
      </c>
      <c r="C365" s="21" t="s">
        <v>700</v>
      </c>
      <c r="D365" s="20" t="s">
        <v>30</v>
      </c>
      <c r="E365" s="20">
        <v>1220</v>
      </c>
      <c r="F365" s="20">
        <v>1034.92</v>
      </c>
      <c r="G365" s="29">
        <f t="shared" si="20"/>
        <v>94.083636363636373</v>
      </c>
      <c r="H365" s="29">
        <f t="shared" si="21"/>
        <v>940.83636363636367</v>
      </c>
      <c r="I365" s="29">
        <f t="shared" si="22"/>
        <v>279.16363636363633</v>
      </c>
      <c r="J365" s="30">
        <f t="shared" si="23"/>
        <v>0.29671858694391834</v>
      </c>
      <c r="K365" s="20" t="s">
        <v>111</v>
      </c>
    </row>
    <row r="366" spans="1:11" x14ac:dyDescent="0.25">
      <c r="A366" s="22">
        <v>46163</v>
      </c>
      <c r="B366" s="20" t="s">
        <v>116</v>
      </c>
      <c r="C366" s="21" t="s">
        <v>701</v>
      </c>
      <c r="D366" s="20" t="s">
        <v>30</v>
      </c>
      <c r="E366" s="20">
        <v>1220</v>
      </c>
      <c r="F366" s="20">
        <v>699.5</v>
      </c>
      <c r="G366" s="29">
        <f t="shared" si="20"/>
        <v>63.590909090909093</v>
      </c>
      <c r="H366" s="29">
        <f t="shared" si="21"/>
        <v>635.90909090909088</v>
      </c>
      <c r="I366" s="29">
        <f t="shared" si="22"/>
        <v>584.09090909090912</v>
      </c>
      <c r="J366" s="30">
        <f t="shared" si="23"/>
        <v>0.91851322373123667</v>
      </c>
      <c r="K366" s="20" t="s">
        <v>111</v>
      </c>
    </row>
    <row r="367" spans="1:11" x14ac:dyDescent="0.25">
      <c r="A367" s="22">
        <v>46163</v>
      </c>
      <c r="B367" s="20" t="s">
        <v>116</v>
      </c>
      <c r="C367" s="21" t="s">
        <v>702</v>
      </c>
      <c r="D367" s="20" t="s">
        <v>30</v>
      </c>
      <c r="E367" s="20">
        <v>1220</v>
      </c>
      <c r="F367" s="20">
        <v>1013.35</v>
      </c>
      <c r="G367" s="29">
        <f t="shared" si="20"/>
        <v>92.122727272727275</v>
      </c>
      <c r="H367" s="29">
        <f t="shared" si="21"/>
        <v>921.22727272727275</v>
      </c>
      <c r="I367" s="29">
        <f t="shared" si="22"/>
        <v>298.77272727272725</v>
      </c>
      <c r="J367" s="30">
        <f t="shared" si="23"/>
        <v>0.32432032367888686</v>
      </c>
      <c r="K367" s="20" t="s">
        <v>111</v>
      </c>
    </row>
    <row r="368" spans="1:11" x14ac:dyDescent="0.25">
      <c r="A368" s="22">
        <v>46163</v>
      </c>
      <c r="B368" s="20" t="s">
        <v>116</v>
      </c>
      <c r="C368" s="21" t="s">
        <v>703</v>
      </c>
      <c r="D368" s="20" t="s">
        <v>30</v>
      </c>
      <c r="E368" s="20">
        <v>1220</v>
      </c>
      <c r="F368" s="20">
        <v>1013.35</v>
      </c>
      <c r="G368" s="29">
        <f t="shared" si="20"/>
        <v>92.122727272727275</v>
      </c>
      <c r="H368" s="29">
        <f t="shared" si="21"/>
        <v>921.22727272727275</v>
      </c>
      <c r="I368" s="29">
        <f t="shared" si="22"/>
        <v>298.77272727272725</v>
      </c>
      <c r="J368" s="30">
        <f t="shared" si="23"/>
        <v>0.32432032367888686</v>
      </c>
      <c r="K368" s="20" t="s">
        <v>111</v>
      </c>
    </row>
    <row r="369" spans="1:11" x14ac:dyDescent="0.25">
      <c r="A369" s="22">
        <v>46163</v>
      </c>
      <c r="B369" s="20" t="s">
        <v>116</v>
      </c>
      <c r="C369" s="21" t="s">
        <v>704</v>
      </c>
      <c r="D369" s="20" t="s">
        <v>30</v>
      </c>
      <c r="E369" s="20">
        <v>1220</v>
      </c>
      <c r="F369" s="20">
        <v>1013.35</v>
      </c>
      <c r="G369" s="29">
        <f t="shared" si="20"/>
        <v>92.122727272727275</v>
      </c>
      <c r="H369" s="29">
        <f t="shared" si="21"/>
        <v>921.22727272727275</v>
      </c>
      <c r="I369" s="29">
        <f t="shared" si="22"/>
        <v>298.77272727272725</v>
      </c>
      <c r="J369" s="30">
        <f t="shared" si="23"/>
        <v>0.32432032367888686</v>
      </c>
      <c r="K369" s="20" t="s">
        <v>111</v>
      </c>
    </row>
    <row r="370" spans="1:11" x14ac:dyDescent="0.25">
      <c r="A370" s="22">
        <v>46163</v>
      </c>
      <c r="B370" s="20" t="s">
        <v>116</v>
      </c>
      <c r="C370" s="21" t="s">
        <v>705</v>
      </c>
      <c r="D370" s="20" t="s">
        <v>30</v>
      </c>
      <c r="E370" s="20">
        <v>1220</v>
      </c>
      <c r="F370" s="20">
        <v>1013.35</v>
      </c>
      <c r="G370" s="29">
        <f t="shared" si="20"/>
        <v>92.122727272727275</v>
      </c>
      <c r="H370" s="29">
        <f t="shared" si="21"/>
        <v>921.22727272727275</v>
      </c>
      <c r="I370" s="29">
        <f t="shared" si="22"/>
        <v>298.77272727272725</v>
      </c>
      <c r="J370" s="30">
        <f t="shared" si="23"/>
        <v>0.32432032367888686</v>
      </c>
      <c r="K370" s="20" t="s">
        <v>111</v>
      </c>
    </row>
    <row r="371" spans="1:11" x14ac:dyDescent="0.25">
      <c r="A371" s="22">
        <v>46163</v>
      </c>
      <c r="B371" s="20" t="s">
        <v>116</v>
      </c>
      <c r="C371" s="21" t="s">
        <v>706</v>
      </c>
      <c r="D371" s="20" t="s">
        <v>30</v>
      </c>
      <c r="E371" s="20">
        <v>1220</v>
      </c>
      <c r="F371" s="20">
        <v>1034.56</v>
      </c>
      <c r="G371" s="29">
        <f t="shared" si="20"/>
        <v>94.050909090909087</v>
      </c>
      <c r="H371" s="29">
        <f t="shared" si="21"/>
        <v>940.5090909090909</v>
      </c>
      <c r="I371" s="29">
        <f t="shared" si="22"/>
        <v>279.4909090909091</v>
      </c>
      <c r="J371" s="30">
        <f t="shared" si="23"/>
        <v>0.29716981132075471</v>
      </c>
      <c r="K371" s="20" t="s">
        <v>111</v>
      </c>
    </row>
    <row r="372" spans="1:11" x14ac:dyDescent="0.25">
      <c r="A372" s="22">
        <v>46163</v>
      </c>
      <c r="B372" s="20" t="s">
        <v>116</v>
      </c>
      <c r="C372" s="21" t="s">
        <v>707</v>
      </c>
      <c r="D372" s="20" t="s">
        <v>30</v>
      </c>
      <c r="E372" s="20">
        <v>1220</v>
      </c>
      <c r="F372" s="20">
        <v>1013.35</v>
      </c>
      <c r="G372" s="29">
        <f t="shared" si="20"/>
        <v>92.122727272727275</v>
      </c>
      <c r="H372" s="29">
        <f t="shared" si="21"/>
        <v>921.22727272727275</v>
      </c>
      <c r="I372" s="29">
        <f t="shared" si="22"/>
        <v>298.77272727272725</v>
      </c>
      <c r="J372" s="30">
        <f t="shared" si="23"/>
        <v>0.32432032367888686</v>
      </c>
      <c r="K372" s="20" t="s">
        <v>111</v>
      </c>
    </row>
    <row r="373" spans="1:11" x14ac:dyDescent="0.25">
      <c r="A373" s="22">
        <v>46163</v>
      </c>
      <c r="B373" s="20" t="s">
        <v>116</v>
      </c>
      <c r="C373" s="21" t="s">
        <v>708</v>
      </c>
      <c r="D373" s="20" t="s">
        <v>30</v>
      </c>
      <c r="E373" s="20">
        <v>1220</v>
      </c>
      <c r="F373" s="20">
        <v>1034.56</v>
      </c>
      <c r="G373" s="29">
        <f t="shared" si="20"/>
        <v>94.050909090909087</v>
      </c>
      <c r="H373" s="29">
        <f t="shared" si="21"/>
        <v>940.5090909090909</v>
      </c>
      <c r="I373" s="29">
        <f t="shared" si="22"/>
        <v>279.4909090909091</v>
      </c>
      <c r="J373" s="30">
        <f t="shared" si="23"/>
        <v>0.29716981132075471</v>
      </c>
      <c r="K373" s="20" t="s">
        <v>111</v>
      </c>
    </row>
    <row r="374" spans="1:11" x14ac:dyDescent="0.25">
      <c r="A374" s="22">
        <v>46165</v>
      </c>
      <c r="B374" s="20" t="s">
        <v>270</v>
      </c>
      <c r="C374" s="21" t="s">
        <v>716</v>
      </c>
      <c r="D374" s="20"/>
      <c r="E374" s="20">
        <v>2500</v>
      </c>
      <c r="F374" s="20">
        <v>2492.75</v>
      </c>
      <c r="G374" s="29">
        <f t="shared" si="20"/>
        <v>226.61363636363637</v>
      </c>
      <c r="H374" s="29">
        <f t="shared" si="21"/>
        <v>2266.1363636363635</v>
      </c>
      <c r="I374" s="29">
        <f t="shared" si="22"/>
        <v>233.86363636363649</v>
      </c>
      <c r="J374" s="30">
        <f t="shared" si="23"/>
        <v>0.10319927790592726</v>
      </c>
      <c r="K374" s="20" t="s">
        <v>272</v>
      </c>
    </row>
    <row r="375" spans="1:11" x14ac:dyDescent="0.25">
      <c r="A375" s="22">
        <v>46165</v>
      </c>
      <c r="B375" s="20" t="s">
        <v>116</v>
      </c>
      <c r="C375" s="21" t="s">
        <v>726</v>
      </c>
      <c r="D375" s="20" t="s">
        <v>30</v>
      </c>
      <c r="E375" s="20">
        <v>1220</v>
      </c>
      <c r="F375" s="20">
        <v>699.5</v>
      </c>
      <c r="G375" s="29">
        <f t="shared" si="20"/>
        <v>63.590909090909093</v>
      </c>
      <c r="H375" s="29">
        <f t="shared" si="21"/>
        <v>635.90909090909088</v>
      </c>
      <c r="I375" s="29">
        <f t="shared" si="22"/>
        <v>584.09090909090912</v>
      </c>
      <c r="J375" s="30">
        <f t="shared" si="23"/>
        <v>0.91851322373123667</v>
      </c>
      <c r="K375" s="20" t="s">
        <v>111</v>
      </c>
    </row>
    <row r="376" spans="1:11" x14ac:dyDescent="0.25">
      <c r="A376" s="22">
        <v>46165</v>
      </c>
      <c r="B376" s="20" t="s">
        <v>116</v>
      </c>
      <c r="C376" s="21" t="s">
        <v>727</v>
      </c>
      <c r="D376" s="20" t="s">
        <v>30</v>
      </c>
      <c r="E376" s="20">
        <v>1220</v>
      </c>
      <c r="F376" s="20">
        <v>933.44</v>
      </c>
      <c r="G376" s="29">
        <f t="shared" si="20"/>
        <v>84.858181818181819</v>
      </c>
      <c r="H376" s="29">
        <f t="shared" si="21"/>
        <v>848.58181818181822</v>
      </c>
      <c r="I376" s="29">
        <f t="shared" si="22"/>
        <v>371.41818181818178</v>
      </c>
      <c r="J376" s="30">
        <f t="shared" si="23"/>
        <v>0.43769283510455942</v>
      </c>
      <c r="K376" s="20" t="s">
        <v>111</v>
      </c>
    </row>
    <row r="377" spans="1:11" x14ac:dyDescent="0.25">
      <c r="A377" s="22">
        <v>46165</v>
      </c>
      <c r="B377" s="20" t="s">
        <v>116</v>
      </c>
      <c r="C377" s="21" t="s">
        <v>728</v>
      </c>
      <c r="D377" s="20" t="s">
        <v>30</v>
      </c>
      <c r="E377" s="20">
        <v>1220</v>
      </c>
      <c r="F377" s="20">
        <v>1013.35</v>
      </c>
      <c r="G377" s="29">
        <f t="shared" si="20"/>
        <v>92.122727272727275</v>
      </c>
      <c r="H377" s="29">
        <f t="shared" si="21"/>
        <v>921.22727272727275</v>
      </c>
      <c r="I377" s="29">
        <f t="shared" si="22"/>
        <v>298.77272727272725</v>
      </c>
      <c r="J377" s="30">
        <f t="shared" si="23"/>
        <v>0.32432032367888686</v>
      </c>
      <c r="K377" s="20" t="s">
        <v>111</v>
      </c>
    </row>
    <row r="378" spans="1:11" x14ac:dyDescent="0.25">
      <c r="A378" s="22">
        <v>46166</v>
      </c>
      <c r="B378" s="20" t="s">
        <v>112</v>
      </c>
      <c r="C378" s="21">
        <v>19426353553</v>
      </c>
      <c r="D378" s="20" t="s">
        <v>30</v>
      </c>
      <c r="E378" s="20">
        <v>4425</v>
      </c>
      <c r="F378" s="20">
        <v>3149.41</v>
      </c>
      <c r="G378" s="29">
        <f t="shared" si="20"/>
        <v>286.31</v>
      </c>
      <c r="H378" s="29">
        <f t="shared" si="21"/>
        <v>2863.1</v>
      </c>
      <c r="I378" s="29">
        <f t="shared" si="22"/>
        <v>1561.9</v>
      </c>
      <c r="J378" s="30">
        <f t="shared" si="23"/>
        <v>0.54552757500611226</v>
      </c>
      <c r="K378" s="20" t="s">
        <v>111</v>
      </c>
    </row>
    <row r="379" spans="1:11" x14ac:dyDescent="0.25">
      <c r="A379" s="22">
        <v>46166</v>
      </c>
      <c r="B379" s="20" t="s">
        <v>112</v>
      </c>
      <c r="C379" s="21">
        <v>29792558059</v>
      </c>
      <c r="D379" s="20" t="s">
        <v>30</v>
      </c>
      <c r="E379" s="20">
        <v>4425</v>
      </c>
      <c r="F379" s="20">
        <v>3165.17</v>
      </c>
      <c r="G379" s="29">
        <f t="shared" si="20"/>
        <v>287.74272727272728</v>
      </c>
      <c r="H379" s="29">
        <f t="shared" si="21"/>
        <v>2877.4272727272728</v>
      </c>
      <c r="I379" s="29">
        <f t="shared" si="22"/>
        <v>1547.5727272727272</v>
      </c>
      <c r="J379" s="30">
        <f t="shared" si="23"/>
        <v>0.53783209116729902</v>
      </c>
      <c r="K379" s="20" t="s">
        <v>111</v>
      </c>
    </row>
    <row r="380" spans="1:11" x14ac:dyDescent="0.25">
      <c r="A380" s="22">
        <v>46166</v>
      </c>
      <c r="B380" s="20" t="s">
        <v>112</v>
      </c>
      <c r="C380" s="21">
        <v>51546034476</v>
      </c>
      <c r="D380" s="20" t="s">
        <v>30</v>
      </c>
      <c r="E380" s="20">
        <v>4425</v>
      </c>
      <c r="F380" s="20">
        <v>3149.41</v>
      </c>
      <c r="G380" s="29">
        <f t="shared" si="20"/>
        <v>286.31</v>
      </c>
      <c r="H380" s="29">
        <f t="shared" si="21"/>
        <v>2863.1</v>
      </c>
      <c r="I380" s="29">
        <f t="shared" si="22"/>
        <v>1561.9</v>
      </c>
      <c r="J380" s="30">
        <f t="shared" si="23"/>
        <v>0.54552757500611226</v>
      </c>
      <c r="K380" s="20" t="s">
        <v>111</v>
      </c>
    </row>
    <row r="381" spans="1:11" x14ac:dyDescent="0.25">
      <c r="A381" s="22">
        <v>46166</v>
      </c>
      <c r="B381" s="20" t="s">
        <v>112</v>
      </c>
      <c r="C381" s="21">
        <v>69508562168</v>
      </c>
      <c r="D381" s="20" t="s">
        <v>30</v>
      </c>
      <c r="E381" s="20">
        <v>4425</v>
      </c>
      <c r="F381" s="20">
        <v>3149.41</v>
      </c>
      <c r="G381" s="29">
        <f t="shared" si="20"/>
        <v>286.31</v>
      </c>
      <c r="H381" s="29">
        <f t="shared" si="21"/>
        <v>2863.1</v>
      </c>
      <c r="I381" s="29">
        <f t="shared" si="22"/>
        <v>1561.9</v>
      </c>
      <c r="J381" s="30">
        <f t="shared" si="23"/>
        <v>0.54552757500611226</v>
      </c>
      <c r="K381" s="20" t="s">
        <v>111</v>
      </c>
    </row>
    <row r="382" spans="1:11" x14ac:dyDescent="0.25">
      <c r="A382" s="22">
        <v>46166</v>
      </c>
      <c r="B382" s="20" t="s">
        <v>112</v>
      </c>
      <c r="C382" s="21">
        <v>78895958947</v>
      </c>
      <c r="D382" s="20" t="s">
        <v>30</v>
      </c>
      <c r="E382" s="20">
        <v>4425</v>
      </c>
      <c r="F382" s="20">
        <v>3149.41</v>
      </c>
      <c r="G382" s="29">
        <f t="shared" si="20"/>
        <v>286.31</v>
      </c>
      <c r="H382" s="29">
        <f t="shared" si="21"/>
        <v>2863.1</v>
      </c>
      <c r="I382" s="29">
        <f t="shared" si="22"/>
        <v>1561.9</v>
      </c>
      <c r="J382" s="30">
        <f t="shared" si="23"/>
        <v>0.54552757500611226</v>
      </c>
      <c r="K382" s="20" t="s">
        <v>111</v>
      </c>
    </row>
    <row r="383" spans="1:11" x14ac:dyDescent="0.25">
      <c r="A383" s="22">
        <v>46166</v>
      </c>
      <c r="B383" s="20" t="s">
        <v>112</v>
      </c>
      <c r="C383" s="21">
        <v>79528663164</v>
      </c>
      <c r="D383" s="20" t="s">
        <v>30</v>
      </c>
      <c r="E383" s="20">
        <v>4425</v>
      </c>
      <c r="F383" s="20">
        <v>3149.41</v>
      </c>
      <c r="G383" s="29">
        <f t="shared" si="20"/>
        <v>286.31</v>
      </c>
      <c r="H383" s="29">
        <f t="shared" si="21"/>
        <v>2863.1</v>
      </c>
      <c r="I383" s="29">
        <f t="shared" si="22"/>
        <v>1561.9</v>
      </c>
      <c r="J383" s="30">
        <f t="shared" si="23"/>
        <v>0.54552757500611226</v>
      </c>
      <c r="K383" s="20" t="s">
        <v>111</v>
      </c>
    </row>
    <row r="384" spans="1:11" x14ac:dyDescent="0.25">
      <c r="A384" s="22">
        <v>46166</v>
      </c>
      <c r="B384" s="20" t="s">
        <v>112</v>
      </c>
      <c r="C384" s="21">
        <v>88342965552</v>
      </c>
      <c r="D384" s="20" t="s">
        <v>30</v>
      </c>
      <c r="E384" s="20">
        <v>4425</v>
      </c>
      <c r="F384" s="20">
        <v>3143.18</v>
      </c>
      <c r="G384" s="29">
        <f t="shared" si="20"/>
        <v>285.74363636363637</v>
      </c>
      <c r="H384" s="29">
        <f t="shared" si="21"/>
        <v>2857.4363636363632</v>
      </c>
      <c r="I384" s="29">
        <f t="shared" si="22"/>
        <v>1567.5636363636368</v>
      </c>
      <c r="J384" s="30">
        <f t="shared" si="23"/>
        <v>0.54859091747847744</v>
      </c>
      <c r="K384" s="20" t="s">
        <v>111</v>
      </c>
    </row>
    <row r="385" spans="1:11" x14ac:dyDescent="0.25">
      <c r="A385" s="22">
        <v>46166</v>
      </c>
      <c r="B385" s="20" t="s">
        <v>112</v>
      </c>
      <c r="C385" s="21">
        <v>99265347950</v>
      </c>
      <c r="D385" s="20" t="s">
        <v>30</v>
      </c>
      <c r="E385" s="20">
        <v>4425</v>
      </c>
      <c r="F385" s="20">
        <v>3165.17</v>
      </c>
      <c r="G385" s="29">
        <f t="shared" si="20"/>
        <v>287.74272727272728</v>
      </c>
      <c r="H385" s="29">
        <f t="shared" si="21"/>
        <v>2877.4272727272728</v>
      </c>
      <c r="I385" s="29">
        <f t="shared" si="22"/>
        <v>1547.5727272727272</v>
      </c>
      <c r="J385" s="30">
        <f t="shared" si="23"/>
        <v>0.53783209116729902</v>
      </c>
      <c r="K385" s="20" t="s">
        <v>111</v>
      </c>
    </row>
    <row r="386" spans="1:11" x14ac:dyDescent="0.25">
      <c r="A386" s="22">
        <v>46167</v>
      </c>
      <c r="B386" s="20" t="s">
        <v>687</v>
      </c>
      <c r="C386" s="21" t="s">
        <v>736</v>
      </c>
      <c r="D386" s="20"/>
      <c r="E386" s="20">
        <v>2140</v>
      </c>
      <c r="F386" s="20">
        <v>1527.53</v>
      </c>
      <c r="G386" s="29">
        <f t="shared" ref="G386" si="24">F386/11</f>
        <v>138.86636363636364</v>
      </c>
      <c r="H386" s="29">
        <f t="shared" ref="H386" si="25">F386-G386</f>
        <v>1388.6636363636362</v>
      </c>
      <c r="I386" s="29">
        <f t="shared" si="22"/>
        <v>751.33636363636379</v>
      </c>
      <c r="J386" s="30">
        <f t="shared" ref="J386" si="26">(E386-H386)/H386</f>
        <v>0.54104993027960191</v>
      </c>
      <c r="K386" s="20" t="s">
        <v>111</v>
      </c>
    </row>
    <row r="387" spans="1:11" x14ac:dyDescent="0.25">
      <c r="E387" s="27" t="s">
        <v>768</v>
      </c>
      <c r="F387" s="27" t="s">
        <v>772</v>
      </c>
      <c r="G387" s="28" t="s">
        <v>773</v>
      </c>
      <c r="H387" s="28" t="s">
        <v>774</v>
      </c>
      <c r="I387" s="28" t="s">
        <v>775</v>
      </c>
      <c r="J387" s="27" t="s">
        <v>771</v>
      </c>
      <c r="K387" s="49"/>
    </row>
    <row r="388" spans="1:11" x14ac:dyDescent="0.25">
      <c r="E388" s="40">
        <f t="shared" ref="E388:I388" si="27">SUM(E2:E387)</f>
        <v>1233258.98</v>
      </c>
      <c r="F388" s="40">
        <f t="shared" si="27"/>
        <v>1048978.1800000039</v>
      </c>
      <c r="G388" s="41">
        <f t="shared" si="27"/>
        <v>95361.652727272929</v>
      </c>
      <c r="H388" s="41">
        <f t="shared" si="27"/>
        <v>953616.52727272513</v>
      </c>
      <c r="I388" s="40">
        <f t="shared" si="27"/>
        <v>279642.45272727287</v>
      </c>
      <c r="J388" s="61">
        <f>AVERAGE(J2:J387)</f>
        <v>0.35417987719886951</v>
      </c>
      <c r="K388" s="49"/>
    </row>
    <row r="394" spans="1:11" ht="17.25" customHeight="1" x14ac:dyDescent="0.25">
      <c r="B394" s="37" t="s">
        <v>777</v>
      </c>
      <c r="C394" s="20">
        <v>2239.75</v>
      </c>
    </row>
    <row r="395" spans="1:11" ht="16.5" customHeight="1" x14ac:dyDescent="0.25">
      <c r="B395" s="37" t="s">
        <v>778</v>
      </c>
      <c r="C395" s="20">
        <v>2621.5</v>
      </c>
    </row>
    <row r="396" spans="1:11" x14ac:dyDescent="0.25">
      <c r="B396" s="38" t="s">
        <v>779</v>
      </c>
      <c r="C396" s="20">
        <v>1179.67</v>
      </c>
    </row>
    <row r="397" spans="1:11" x14ac:dyDescent="0.25">
      <c r="B397" s="38" t="s">
        <v>780</v>
      </c>
      <c r="C397" s="20">
        <v>1186.8699999999999</v>
      </c>
    </row>
    <row r="398" spans="1:11" x14ac:dyDescent="0.25">
      <c r="B398" s="37" t="s">
        <v>781</v>
      </c>
      <c r="C398" s="20">
        <v>10343.6</v>
      </c>
    </row>
    <row r="399" spans="1:11" x14ac:dyDescent="0.25">
      <c r="B399" s="39" t="s">
        <v>783</v>
      </c>
      <c r="C399" s="20">
        <v>23453.11</v>
      </c>
    </row>
    <row r="400" spans="1:11" x14ac:dyDescent="0.25">
      <c r="B400" s="39" t="s">
        <v>784</v>
      </c>
      <c r="C400" s="20">
        <v>12412.32</v>
      </c>
    </row>
    <row r="401" spans="2:10" s="3" customFormat="1" x14ac:dyDescent="0.25">
      <c r="B401" s="39" t="s">
        <v>795</v>
      </c>
      <c r="C401" s="20">
        <v>6900</v>
      </c>
      <c r="G401" s="9"/>
      <c r="H401" s="9"/>
      <c r="J401" s="10"/>
    </row>
    <row r="402" spans="2:10" s="48" customFormat="1" x14ac:dyDescent="0.25">
      <c r="B402" s="39" t="s">
        <v>817</v>
      </c>
      <c r="C402" s="49">
        <v>15155</v>
      </c>
      <c r="G402" s="9"/>
      <c r="H402" s="9"/>
      <c r="J402" s="10"/>
    </row>
    <row r="403" spans="2:10" x14ac:dyDescent="0.25">
      <c r="B403" s="20"/>
      <c r="C403" s="20"/>
    </row>
    <row r="404" spans="2:10" ht="24" x14ac:dyDescent="0.4">
      <c r="B404" s="46" t="s">
        <v>785</v>
      </c>
      <c r="C404" s="43">
        <f>SUM(C394:C403)</f>
        <v>75491.820000000007</v>
      </c>
    </row>
    <row r="405" spans="2:10" ht="24" x14ac:dyDescent="0.4">
      <c r="B405" s="47"/>
      <c r="C405" s="44"/>
    </row>
    <row r="406" spans="2:10" ht="24" x14ac:dyDescent="0.4">
      <c r="B406" s="46" t="s">
        <v>786</v>
      </c>
      <c r="C406" s="45">
        <f>I388-C404</f>
        <v>204150.63272727287</v>
      </c>
    </row>
    <row r="413" spans="2:10" ht="24" x14ac:dyDescent="0.4">
      <c r="B413" s="46" t="s">
        <v>786</v>
      </c>
      <c r="C413" s="66">
        <v>204150.63</v>
      </c>
      <c r="E413" s="67" t="s">
        <v>805</v>
      </c>
      <c r="F413" s="68">
        <v>1233258.98</v>
      </c>
      <c r="H413" s="69" t="s">
        <v>805</v>
      </c>
      <c r="I413" s="70">
        <v>953616.52727272513</v>
      </c>
    </row>
    <row r="414" spans="2:10" ht="24" x14ac:dyDescent="0.4">
      <c r="B414" s="43" t="s">
        <v>794</v>
      </c>
      <c r="C414" s="66">
        <v>130071.52190399972</v>
      </c>
      <c r="E414" s="67" t="s">
        <v>806</v>
      </c>
      <c r="F414" s="68">
        <v>415975</v>
      </c>
      <c r="H414" s="69" t="s">
        <v>806</v>
      </c>
      <c r="I414" s="70">
        <v>270061.02809599991</v>
      </c>
    </row>
    <row r="415" spans="2:10" ht="24" x14ac:dyDescent="0.4">
      <c r="B415" s="59" t="s">
        <v>792</v>
      </c>
      <c r="C415" s="66">
        <v>36938.580000000045</v>
      </c>
      <c r="E415" s="67" t="s">
        <v>807</v>
      </c>
      <c r="F415" s="68">
        <v>1276854.2900000005</v>
      </c>
      <c r="H415" s="69" t="s">
        <v>807</v>
      </c>
      <c r="I415" s="70">
        <v>1204428.27</v>
      </c>
    </row>
    <row r="416" spans="2:10" ht="24" x14ac:dyDescent="0.4">
      <c r="B416" s="43" t="s">
        <v>802</v>
      </c>
      <c r="C416" s="66">
        <v>-28173.040000000001</v>
      </c>
      <c r="E416" s="67" t="s">
        <v>808</v>
      </c>
      <c r="F416" s="68">
        <v>169462.69</v>
      </c>
      <c r="H416" s="69" t="s">
        <v>808</v>
      </c>
      <c r="I416" s="70">
        <v>154201.16</v>
      </c>
    </row>
    <row r="417" spans="2:9" x14ac:dyDescent="0.25">
      <c r="B417" s="49"/>
      <c r="C417" s="49"/>
      <c r="E417" s="67"/>
      <c r="F417" s="68"/>
      <c r="H417" s="70"/>
      <c r="I417" s="70"/>
    </row>
    <row r="418" spans="2:9" ht="21" x14ac:dyDescent="0.35">
      <c r="B418" s="64" t="s">
        <v>803</v>
      </c>
      <c r="C418" s="65">
        <f>SUM(C413:C417)</f>
        <v>342987.69190399983</v>
      </c>
      <c r="E418" s="67" t="s">
        <v>804</v>
      </c>
      <c r="F418" s="68">
        <f>SUM(F413:F417)</f>
        <v>3095550.9600000004</v>
      </c>
      <c r="H418" s="70" t="s">
        <v>809</v>
      </c>
      <c r="I418" s="70">
        <f>SUM(I413:I417)</f>
        <v>2582306.9853687249</v>
      </c>
    </row>
    <row r="422" spans="2:9" x14ac:dyDescent="0.25">
      <c r="F422" s="9"/>
    </row>
    <row r="428" spans="2:9" x14ac:dyDescent="0.25">
      <c r="F428" s="9"/>
    </row>
    <row r="429" spans="2:9" x14ac:dyDescent="0.25">
      <c r="I429" s="23"/>
    </row>
    <row r="431" spans="2:9" x14ac:dyDescent="0.25">
      <c r="F4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AD07-07C9-4511-BCF1-D88650438009}">
  <dimension ref="A1:L139"/>
  <sheetViews>
    <sheetView topLeftCell="A96" workbookViewId="0">
      <selection activeCell="C126" sqref="C126"/>
    </sheetView>
  </sheetViews>
  <sheetFormatPr defaultRowHeight="15" x14ac:dyDescent="0.25"/>
  <cols>
    <col min="1" max="1" width="16.42578125" customWidth="1"/>
    <col min="2" max="2" width="46.140625" customWidth="1"/>
    <col min="3" max="4" width="32.42578125" customWidth="1"/>
    <col min="5" max="6" width="16.42578125" customWidth="1"/>
    <col min="7" max="7" width="16.42578125" style="9" customWidth="1"/>
    <col min="8" max="8" width="16.42578125" style="3" customWidth="1"/>
    <col min="9" max="9" width="16.42578125" customWidth="1"/>
    <col min="10" max="10" width="19.42578125" style="10" customWidth="1"/>
    <col min="11" max="12" width="26.85546875" customWidth="1"/>
  </cols>
  <sheetData>
    <row r="1" spans="1:12" ht="18" customHeight="1" x14ac:dyDescent="0.25">
      <c r="A1" s="31" t="s">
        <v>5</v>
      </c>
      <c r="B1" s="31" t="s">
        <v>6</v>
      </c>
      <c r="C1" s="32" t="s">
        <v>7</v>
      </c>
      <c r="D1" s="31" t="s">
        <v>8</v>
      </c>
      <c r="E1" s="31" t="s">
        <v>9</v>
      </c>
      <c r="F1" s="31" t="s">
        <v>10</v>
      </c>
      <c r="G1" s="33" t="s">
        <v>766</v>
      </c>
      <c r="H1" s="33" t="s">
        <v>767</v>
      </c>
      <c r="I1" s="31" t="s">
        <v>11</v>
      </c>
      <c r="J1" s="34" t="s">
        <v>12</v>
      </c>
      <c r="K1" s="31" t="s">
        <v>13</v>
      </c>
      <c r="L1" s="3" t="s">
        <v>14</v>
      </c>
    </row>
    <row r="2" spans="1:12" x14ac:dyDescent="0.25">
      <c r="A2" s="22">
        <v>46151</v>
      </c>
      <c r="B2" s="49" t="s">
        <v>101</v>
      </c>
      <c r="C2" s="21">
        <v>21105082002732</v>
      </c>
      <c r="D2" s="49" t="s">
        <v>78</v>
      </c>
      <c r="E2" s="49">
        <v>4050</v>
      </c>
      <c r="F2" s="49">
        <v>3394.85</v>
      </c>
      <c r="G2" s="29">
        <f>F2*13.04/100</f>
        <v>442.68843999999996</v>
      </c>
      <c r="H2" s="29">
        <f>F2-G2</f>
        <v>2952.16156</v>
      </c>
      <c r="I2" s="29">
        <f>E2-H2</f>
        <v>1097.83844</v>
      </c>
      <c r="J2" s="30">
        <f>(E2-H2)/H2</f>
        <v>0.37187613810675052</v>
      </c>
      <c r="K2" s="49" t="s">
        <v>102</v>
      </c>
      <c r="L2" s="3"/>
    </row>
    <row r="3" spans="1:12" x14ac:dyDescent="0.25">
      <c r="A3" s="22">
        <v>46151</v>
      </c>
      <c r="B3" s="49" t="s">
        <v>101</v>
      </c>
      <c r="C3" s="21">
        <v>21125082000631</v>
      </c>
      <c r="D3" s="49" t="s">
        <v>34</v>
      </c>
      <c r="E3" s="49">
        <v>3850</v>
      </c>
      <c r="F3" s="49">
        <v>3071.88</v>
      </c>
      <c r="G3" s="29">
        <f t="shared" ref="G3:G66" si="0">F3*13.04/100</f>
        <v>400.57315199999999</v>
      </c>
      <c r="H3" s="29">
        <f t="shared" ref="H3:H66" si="1">F3-G3</f>
        <v>2671.3068480000002</v>
      </c>
      <c r="I3" s="29">
        <f t="shared" ref="I3:I66" si="2">E3-H3</f>
        <v>1178.6931519999998</v>
      </c>
      <c r="J3" s="30">
        <f t="shared" ref="J3:J66" si="3">(E3-H3)/H3</f>
        <v>0.44124214067076722</v>
      </c>
      <c r="K3" s="49" t="s">
        <v>102</v>
      </c>
      <c r="L3" s="3"/>
    </row>
    <row r="4" spans="1:12" x14ac:dyDescent="0.25">
      <c r="A4" s="22">
        <v>46151</v>
      </c>
      <c r="B4" s="49" t="s">
        <v>101</v>
      </c>
      <c r="C4" s="21">
        <v>21125082000978</v>
      </c>
      <c r="D4" s="49" t="s">
        <v>34</v>
      </c>
      <c r="E4" s="49">
        <v>3850</v>
      </c>
      <c r="F4" s="49">
        <v>3201.35</v>
      </c>
      <c r="G4" s="29">
        <f t="shared" si="0"/>
        <v>417.45603999999997</v>
      </c>
      <c r="H4" s="29">
        <f t="shared" si="1"/>
        <v>2783.8939599999999</v>
      </c>
      <c r="I4" s="29">
        <f t="shared" si="2"/>
        <v>1066.1060400000001</v>
      </c>
      <c r="J4" s="30">
        <f t="shared" si="3"/>
        <v>0.38295497433386444</v>
      </c>
      <c r="K4" s="49" t="s">
        <v>102</v>
      </c>
      <c r="L4" s="3"/>
    </row>
    <row r="5" spans="1:12" x14ac:dyDescent="0.25">
      <c r="A5" s="22">
        <v>46151</v>
      </c>
      <c r="B5" s="49" t="s">
        <v>101</v>
      </c>
      <c r="C5" s="21">
        <v>21125082001038</v>
      </c>
      <c r="D5" s="49" t="s">
        <v>34</v>
      </c>
      <c r="E5" s="49">
        <v>3850</v>
      </c>
      <c r="F5" s="49">
        <v>3201.35</v>
      </c>
      <c r="G5" s="29">
        <f t="shared" si="0"/>
        <v>417.45603999999997</v>
      </c>
      <c r="H5" s="29">
        <f t="shared" si="1"/>
        <v>2783.8939599999999</v>
      </c>
      <c r="I5" s="29">
        <f t="shared" si="2"/>
        <v>1066.1060400000001</v>
      </c>
      <c r="J5" s="30">
        <f t="shared" si="3"/>
        <v>0.38295497433386444</v>
      </c>
      <c r="K5" s="49" t="s">
        <v>102</v>
      </c>
      <c r="L5" s="3"/>
    </row>
    <row r="6" spans="1:12" x14ac:dyDescent="0.25">
      <c r="A6" s="22">
        <v>46151</v>
      </c>
      <c r="B6" s="49" t="s">
        <v>101</v>
      </c>
      <c r="C6" s="21">
        <v>21125082001885</v>
      </c>
      <c r="D6" s="49" t="s">
        <v>78</v>
      </c>
      <c r="E6" s="49">
        <v>4050</v>
      </c>
      <c r="F6" s="49">
        <v>3394.85</v>
      </c>
      <c r="G6" s="29">
        <f t="shared" si="0"/>
        <v>442.68843999999996</v>
      </c>
      <c r="H6" s="29">
        <f t="shared" si="1"/>
        <v>2952.16156</v>
      </c>
      <c r="I6" s="29">
        <f t="shared" si="2"/>
        <v>1097.83844</v>
      </c>
      <c r="J6" s="30">
        <f t="shared" si="3"/>
        <v>0.37187613810675052</v>
      </c>
      <c r="K6" s="49" t="s">
        <v>102</v>
      </c>
      <c r="L6" s="3"/>
    </row>
    <row r="7" spans="1:12" x14ac:dyDescent="0.25">
      <c r="A7" s="22">
        <v>46151</v>
      </c>
      <c r="B7" s="49" t="s">
        <v>101</v>
      </c>
      <c r="C7" s="21">
        <v>21125082001984</v>
      </c>
      <c r="D7" s="49" t="s">
        <v>78</v>
      </c>
      <c r="E7" s="49">
        <v>4050</v>
      </c>
      <c r="F7" s="49">
        <v>3394.85</v>
      </c>
      <c r="G7" s="29">
        <f t="shared" si="0"/>
        <v>442.68843999999996</v>
      </c>
      <c r="H7" s="29">
        <f t="shared" si="1"/>
        <v>2952.16156</v>
      </c>
      <c r="I7" s="29">
        <f t="shared" si="2"/>
        <v>1097.83844</v>
      </c>
      <c r="J7" s="30">
        <f t="shared" si="3"/>
        <v>0.37187613810675052</v>
      </c>
      <c r="K7" s="49" t="s">
        <v>102</v>
      </c>
      <c r="L7" s="3"/>
    </row>
    <row r="8" spans="1:12" x14ac:dyDescent="0.25">
      <c r="A8" s="22">
        <v>46151</v>
      </c>
      <c r="B8" s="49" t="s">
        <v>101</v>
      </c>
      <c r="C8" s="21">
        <v>21125082001985</v>
      </c>
      <c r="D8" s="49" t="s">
        <v>78</v>
      </c>
      <c r="E8" s="49">
        <v>4050</v>
      </c>
      <c r="F8" s="49">
        <v>3394.85</v>
      </c>
      <c r="G8" s="29">
        <f t="shared" si="0"/>
        <v>442.68843999999996</v>
      </c>
      <c r="H8" s="29">
        <f t="shared" si="1"/>
        <v>2952.16156</v>
      </c>
      <c r="I8" s="29">
        <f t="shared" si="2"/>
        <v>1097.83844</v>
      </c>
      <c r="J8" s="30">
        <f t="shared" si="3"/>
        <v>0.37187613810675052</v>
      </c>
      <c r="K8" s="49" t="s">
        <v>102</v>
      </c>
      <c r="L8" s="3"/>
    </row>
    <row r="9" spans="1:12" x14ac:dyDescent="0.25">
      <c r="A9" s="22">
        <v>46151</v>
      </c>
      <c r="B9" s="49" t="s">
        <v>101</v>
      </c>
      <c r="C9" s="21">
        <v>21125082001986</v>
      </c>
      <c r="D9" s="49" t="s">
        <v>78</v>
      </c>
      <c r="E9" s="49">
        <v>4050</v>
      </c>
      <c r="F9" s="49">
        <v>3394.85</v>
      </c>
      <c r="G9" s="29">
        <f t="shared" si="0"/>
        <v>442.68843999999996</v>
      </c>
      <c r="H9" s="29">
        <f t="shared" si="1"/>
        <v>2952.16156</v>
      </c>
      <c r="I9" s="29">
        <f t="shared" si="2"/>
        <v>1097.83844</v>
      </c>
      <c r="J9" s="30">
        <f t="shared" si="3"/>
        <v>0.37187613810675052</v>
      </c>
      <c r="K9" s="49" t="s">
        <v>102</v>
      </c>
      <c r="L9" s="3"/>
    </row>
    <row r="10" spans="1:12" x14ac:dyDescent="0.25">
      <c r="A10" s="22">
        <v>46151</v>
      </c>
      <c r="B10" s="49" t="s">
        <v>101</v>
      </c>
      <c r="C10" s="21">
        <v>21125082001987</v>
      </c>
      <c r="D10" s="49" t="s">
        <v>78</v>
      </c>
      <c r="E10" s="49">
        <v>4050</v>
      </c>
      <c r="F10" s="49">
        <v>3394.85</v>
      </c>
      <c r="G10" s="29">
        <f t="shared" si="0"/>
        <v>442.68843999999996</v>
      </c>
      <c r="H10" s="29">
        <f t="shared" si="1"/>
        <v>2952.16156</v>
      </c>
      <c r="I10" s="29">
        <f t="shared" si="2"/>
        <v>1097.83844</v>
      </c>
      <c r="J10" s="30">
        <f t="shared" si="3"/>
        <v>0.37187613810675052</v>
      </c>
      <c r="K10" s="49" t="s">
        <v>102</v>
      </c>
      <c r="L10" s="3"/>
    </row>
    <row r="11" spans="1:12" x14ac:dyDescent="0.25">
      <c r="A11" s="22">
        <v>46151</v>
      </c>
      <c r="B11" s="49" t="s">
        <v>101</v>
      </c>
      <c r="C11" s="21">
        <v>21125082001988</v>
      </c>
      <c r="D11" s="49" t="s">
        <v>78</v>
      </c>
      <c r="E11" s="49">
        <v>4050</v>
      </c>
      <c r="F11" s="49">
        <v>3394.85</v>
      </c>
      <c r="G11" s="29">
        <f t="shared" si="0"/>
        <v>442.68843999999996</v>
      </c>
      <c r="H11" s="29">
        <f t="shared" si="1"/>
        <v>2952.16156</v>
      </c>
      <c r="I11" s="29">
        <f t="shared" si="2"/>
        <v>1097.83844</v>
      </c>
      <c r="J11" s="30">
        <f t="shared" si="3"/>
        <v>0.37187613810675052</v>
      </c>
      <c r="K11" s="49" t="s">
        <v>102</v>
      </c>
      <c r="L11" s="3"/>
    </row>
    <row r="12" spans="1:12" x14ac:dyDescent="0.25">
      <c r="A12" s="22">
        <v>46151</v>
      </c>
      <c r="B12" s="49" t="s">
        <v>101</v>
      </c>
      <c r="C12" s="21">
        <v>21125082001989</v>
      </c>
      <c r="D12" s="49" t="s">
        <v>78</v>
      </c>
      <c r="E12" s="49">
        <v>4050</v>
      </c>
      <c r="F12" s="49">
        <v>3394.85</v>
      </c>
      <c r="G12" s="29">
        <f t="shared" si="0"/>
        <v>442.68843999999996</v>
      </c>
      <c r="H12" s="29">
        <f t="shared" si="1"/>
        <v>2952.16156</v>
      </c>
      <c r="I12" s="29">
        <f t="shared" si="2"/>
        <v>1097.83844</v>
      </c>
      <c r="J12" s="30">
        <f t="shared" si="3"/>
        <v>0.37187613810675052</v>
      </c>
      <c r="K12" s="49" t="s">
        <v>102</v>
      </c>
      <c r="L12" s="3"/>
    </row>
    <row r="13" spans="1:12" x14ac:dyDescent="0.25">
      <c r="A13" s="22">
        <v>46151</v>
      </c>
      <c r="B13" s="49" t="s">
        <v>101</v>
      </c>
      <c r="C13" s="21">
        <v>21125082001990</v>
      </c>
      <c r="D13" s="49" t="s">
        <v>78</v>
      </c>
      <c r="E13" s="49">
        <v>4050</v>
      </c>
      <c r="F13" s="49">
        <v>3394.85</v>
      </c>
      <c r="G13" s="29">
        <f t="shared" si="0"/>
        <v>442.68843999999996</v>
      </c>
      <c r="H13" s="29">
        <f t="shared" si="1"/>
        <v>2952.16156</v>
      </c>
      <c r="I13" s="29">
        <f t="shared" si="2"/>
        <v>1097.83844</v>
      </c>
      <c r="J13" s="30">
        <f t="shared" si="3"/>
        <v>0.37187613810675052</v>
      </c>
      <c r="K13" s="49" t="s">
        <v>102</v>
      </c>
      <c r="L13" s="3"/>
    </row>
    <row r="14" spans="1:12" x14ac:dyDescent="0.25">
      <c r="A14" s="22">
        <v>46151</v>
      </c>
      <c r="B14" s="49" t="s">
        <v>101</v>
      </c>
      <c r="C14" s="21">
        <v>21125082001991</v>
      </c>
      <c r="D14" s="49" t="s">
        <v>78</v>
      </c>
      <c r="E14" s="49">
        <v>4050</v>
      </c>
      <c r="F14" s="49">
        <v>3394.85</v>
      </c>
      <c r="G14" s="29">
        <f t="shared" si="0"/>
        <v>442.68843999999996</v>
      </c>
      <c r="H14" s="29">
        <f t="shared" si="1"/>
        <v>2952.16156</v>
      </c>
      <c r="I14" s="29">
        <f t="shared" si="2"/>
        <v>1097.83844</v>
      </c>
      <c r="J14" s="30">
        <f t="shared" si="3"/>
        <v>0.37187613810675052</v>
      </c>
      <c r="K14" s="49" t="s">
        <v>102</v>
      </c>
      <c r="L14" s="3"/>
    </row>
    <row r="15" spans="1:12" x14ac:dyDescent="0.25">
      <c r="A15" s="22">
        <v>46151</v>
      </c>
      <c r="B15" s="49" t="s">
        <v>101</v>
      </c>
      <c r="C15" s="21">
        <v>21125082001992</v>
      </c>
      <c r="D15" s="49" t="s">
        <v>78</v>
      </c>
      <c r="E15" s="49">
        <v>4100</v>
      </c>
      <c r="F15" s="49">
        <v>3394.85</v>
      </c>
      <c r="G15" s="29">
        <f t="shared" si="0"/>
        <v>442.68843999999996</v>
      </c>
      <c r="H15" s="29">
        <f t="shared" si="1"/>
        <v>2952.16156</v>
      </c>
      <c r="I15" s="29">
        <f t="shared" si="2"/>
        <v>1147.83844</v>
      </c>
      <c r="J15" s="30">
        <f t="shared" si="3"/>
        <v>0.38881288055251284</v>
      </c>
      <c r="K15" s="49" t="s">
        <v>102</v>
      </c>
      <c r="L15" s="3"/>
    </row>
    <row r="16" spans="1:12" x14ac:dyDescent="0.25">
      <c r="A16" s="22">
        <v>46151</v>
      </c>
      <c r="B16" s="49" t="s">
        <v>101</v>
      </c>
      <c r="C16" s="21">
        <v>21125082001993</v>
      </c>
      <c r="D16" s="49" t="s">
        <v>78</v>
      </c>
      <c r="E16" s="49">
        <v>4100</v>
      </c>
      <c r="F16" s="49">
        <v>3394.85</v>
      </c>
      <c r="G16" s="29">
        <f t="shared" si="0"/>
        <v>442.68843999999996</v>
      </c>
      <c r="H16" s="29">
        <f t="shared" si="1"/>
        <v>2952.16156</v>
      </c>
      <c r="I16" s="29">
        <f t="shared" si="2"/>
        <v>1147.83844</v>
      </c>
      <c r="J16" s="30">
        <f t="shared" si="3"/>
        <v>0.38881288055251284</v>
      </c>
      <c r="K16" s="49" t="s">
        <v>102</v>
      </c>
      <c r="L16" s="3"/>
    </row>
    <row r="17" spans="1:12" x14ac:dyDescent="0.25">
      <c r="A17" s="22">
        <v>46151</v>
      </c>
      <c r="B17" s="49" t="s">
        <v>101</v>
      </c>
      <c r="C17" s="21">
        <v>21215082000351</v>
      </c>
      <c r="D17" s="49" t="s">
        <v>78</v>
      </c>
      <c r="E17" s="49">
        <v>4050</v>
      </c>
      <c r="F17" s="49">
        <v>3071.88</v>
      </c>
      <c r="G17" s="29">
        <f t="shared" si="0"/>
        <v>400.57315199999999</v>
      </c>
      <c r="H17" s="29">
        <f t="shared" si="1"/>
        <v>2671.3068480000002</v>
      </c>
      <c r="I17" s="29">
        <f t="shared" si="2"/>
        <v>1378.6931519999998</v>
      </c>
      <c r="J17" s="30">
        <f t="shared" si="3"/>
        <v>0.51611186226405381</v>
      </c>
      <c r="K17" s="49" t="s">
        <v>102</v>
      </c>
      <c r="L17" s="3"/>
    </row>
    <row r="18" spans="1:12" x14ac:dyDescent="0.25">
      <c r="A18" s="22">
        <v>46151</v>
      </c>
      <c r="B18" s="49" t="s">
        <v>101</v>
      </c>
      <c r="C18" s="21">
        <v>21215082000352</v>
      </c>
      <c r="D18" s="49" t="s">
        <v>78</v>
      </c>
      <c r="E18" s="49">
        <v>4050</v>
      </c>
      <c r="F18" s="49">
        <v>3394.85</v>
      </c>
      <c r="G18" s="29">
        <f t="shared" si="0"/>
        <v>442.68843999999996</v>
      </c>
      <c r="H18" s="29">
        <f t="shared" si="1"/>
        <v>2952.16156</v>
      </c>
      <c r="I18" s="29">
        <f t="shared" si="2"/>
        <v>1097.83844</v>
      </c>
      <c r="J18" s="30">
        <f t="shared" si="3"/>
        <v>0.37187613810675052</v>
      </c>
      <c r="K18" s="49" t="s">
        <v>102</v>
      </c>
      <c r="L18" s="3"/>
    </row>
    <row r="19" spans="1:12" x14ac:dyDescent="0.25">
      <c r="A19" s="22">
        <v>46151</v>
      </c>
      <c r="B19" s="49" t="s">
        <v>101</v>
      </c>
      <c r="C19" s="21">
        <v>21215082000354</v>
      </c>
      <c r="D19" s="49" t="s">
        <v>78</v>
      </c>
      <c r="E19" s="49">
        <v>4050</v>
      </c>
      <c r="F19" s="49">
        <v>3394.85</v>
      </c>
      <c r="G19" s="29">
        <f t="shared" si="0"/>
        <v>442.68843999999996</v>
      </c>
      <c r="H19" s="29">
        <f t="shared" si="1"/>
        <v>2952.16156</v>
      </c>
      <c r="I19" s="29">
        <f t="shared" si="2"/>
        <v>1097.83844</v>
      </c>
      <c r="J19" s="30">
        <f t="shared" si="3"/>
        <v>0.37187613810675052</v>
      </c>
      <c r="K19" s="49" t="s">
        <v>102</v>
      </c>
      <c r="L19" s="3"/>
    </row>
    <row r="20" spans="1:12" x14ac:dyDescent="0.25">
      <c r="A20" s="22">
        <v>46151</v>
      </c>
      <c r="B20" s="49" t="s">
        <v>101</v>
      </c>
      <c r="C20" s="21">
        <v>21215082000355</v>
      </c>
      <c r="D20" s="49" t="s">
        <v>78</v>
      </c>
      <c r="E20" s="49">
        <v>4050</v>
      </c>
      <c r="F20" s="49">
        <v>3394.85</v>
      </c>
      <c r="G20" s="29">
        <f t="shared" si="0"/>
        <v>442.68843999999996</v>
      </c>
      <c r="H20" s="29">
        <f t="shared" si="1"/>
        <v>2952.16156</v>
      </c>
      <c r="I20" s="29">
        <f t="shared" si="2"/>
        <v>1097.83844</v>
      </c>
      <c r="J20" s="30">
        <f t="shared" si="3"/>
        <v>0.37187613810675052</v>
      </c>
      <c r="K20" s="49" t="s">
        <v>102</v>
      </c>
      <c r="L20" s="3"/>
    </row>
    <row r="21" spans="1:12" x14ac:dyDescent="0.25">
      <c r="A21" s="22">
        <v>46151</v>
      </c>
      <c r="B21" s="49" t="s">
        <v>101</v>
      </c>
      <c r="C21" s="21">
        <v>21215082000356</v>
      </c>
      <c r="D21" s="49" t="s">
        <v>78</v>
      </c>
      <c r="E21" s="49">
        <v>4050</v>
      </c>
      <c r="F21" s="49">
        <v>3394.85</v>
      </c>
      <c r="G21" s="29">
        <f t="shared" si="0"/>
        <v>442.68843999999996</v>
      </c>
      <c r="H21" s="29">
        <f t="shared" si="1"/>
        <v>2952.16156</v>
      </c>
      <c r="I21" s="29">
        <f t="shared" si="2"/>
        <v>1097.83844</v>
      </c>
      <c r="J21" s="30">
        <f t="shared" si="3"/>
        <v>0.37187613810675052</v>
      </c>
      <c r="K21" s="49" t="s">
        <v>102</v>
      </c>
      <c r="L21" s="3"/>
    </row>
    <row r="22" spans="1:12" x14ac:dyDescent="0.25">
      <c r="A22" s="22">
        <v>46151</v>
      </c>
      <c r="B22" s="49" t="s">
        <v>101</v>
      </c>
      <c r="C22" s="21">
        <v>21215082000357</v>
      </c>
      <c r="D22" s="49" t="s">
        <v>78</v>
      </c>
      <c r="E22" s="49">
        <v>4050</v>
      </c>
      <c r="F22" s="49">
        <v>3394.85</v>
      </c>
      <c r="G22" s="29">
        <f t="shared" si="0"/>
        <v>442.68843999999996</v>
      </c>
      <c r="H22" s="29">
        <f t="shared" si="1"/>
        <v>2952.16156</v>
      </c>
      <c r="I22" s="29">
        <f t="shared" si="2"/>
        <v>1097.83844</v>
      </c>
      <c r="J22" s="30">
        <f t="shared" si="3"/>
        <v>0.37187613810675052</v>
      </c>
      <c r="K22" s="49" t="s">
        <v>102</v>
      </c>
      <c r="L22" s="3"/>
    </row>
    <row r="23" spans="1:12" x14ac:dyDescent="0.25">
      <c r="A23" s="22">
        <v>46151</v>
      </c>
      <c r="B23" s="49" t="s">
        <v>101</v>
      </c>
      <c r="C23" s="21">
        <v>21215082000358</v>
      </c>
      <c r="D23" s="49" t="s">
        <v>78</v>
      </c>
      <c r="E23" s="49">
        <v>4050</v>
      </c>
      <c r="F23" s="49">
        <v>3086.37</v>
      </c>
      <c r="G23" s="29">
        <f t="shared" si="0"/>
        <v>402.46264799999994</v>
      </c>
      <c r="H23" s="29">
        <f t="shared" si="1"/>
        <v>2683.9073520000002</v>
      </c>
      <c r="I23" s="29">
        <f t="shared" si="2"/>
        <v>1366.0926479999998</v>
      </c>
      <c r="J23" s="30">
        <f t="shared" si="3"/>
        <v>0.50899396619708648</v>
      </c>
      <c r="K23" s="49" t="s">
        <v>102</v>
      </c>
      <c r="L23" s="3"/>
    </row>
    <row r="24" spans="1:12" x14ac:dyDescent="0.25">
      <c r="A24" s="22">
        <v>46151</v>
      </c>
      <c r="B24" s="49" t="s">
        <v>101</v>
      </c>
      <c r="C24" s="21">
        <v>21215082000359</v>
      </c>
      <c r="D24" s="49" t="s">
        <v>78</v>
      </c>
      <c r="E24" s="49">
        <v>4050</v>
      </c>
      <c r="F24" s="49">
        <v>3086.37</v>
      </c>
      <c r="G24" s="29">
        <f t="shared" si="0"/>
        <v>402.46264799999994</v>
      </c>
      <c r="H24" s="29">
        <f t="shared" si="1"/>
        <v>2683.9073520000002</v>
      </c>
      <c r="I24" s="29">
        <f t="shared" si="2"/>
        <v>1366.0926479999998</v>
      </c>
      <c r="J24" s="30">
        <f t="shared" si="3"/>
        <v>0.50899396619708648</v>
      </c>
      <c r="K24" s="49" t="s">
        <v>102</v>
      </c>
      <c r="L24" s="3"/>
    </row>
    <row r="25" spans="1:12" x14ac:dyDescent="0.25">
      <c r="A25" s="22">
        <v>46151</v>
      </c>
      <c r="B25" s="49" t="s">
        <v>101</v>
      </c>
      <c r="C25" s="21">
        <v>21215082000360</v>
      </c>
      <c r="D25" s="49" t="s">
        <v>78</v>
      </c>
      <c r="E25" s="49">
        <v>4050</v>
      </c>
      <c r="F25" s="49">
        <v>3071.88</v>
      </c>
      <c r="G25" s="29">
        <f t="shared" si="0"/>
        <v>400.57315199999999</v>
      </c>
      <c r="H25" s="29">
        <f t="shared" si="1"/>
        <v>2671.3068480000002</v>
      </c>
      <c r="I25" s="29">
        <f t="shared" si="2"/>
        <v>1378.6931519999998</v>
      </c>
      <c r="J25" s="30">
        <f t="shared" si="3"/>
        <v>0.51611186226405381</v>
      </c>
      <c r="K25" s="49" t="s">
        <v>102</v>
      </c>
      <c r="L25" s="3"/>
    </row>
    <row r="26" spans="1:12" x14ac:dyDescent="0.25">
      <c r="A26" s="22">
        <v>46151</v>
      </c>
      <c r="B26" s="49" t="s">
        <v>101</v>
      </c>
      <c r="C26" s="21">
        <v>21215082000464</v>
      </c>
      <c r="D26" s="49" t="s">
        <v>78</v>
      </c>
      <c r="E26" s="49">
        <v>4050</v>
      </c>
      <c r="F26" s="49">
        <v>3201.35</v>
      </c>
      <c r="G26" s="29">
        <f t="shared" si="0"/>
        <v>417.45603999999997</v>
      </c>
      <c r="H26" s="29">
        <f t="shared" si="1"/>
        <v>2783.8939599999999</v>
      </c>
      <c r="I26" s="29">
        <f t="shared" si="2"/>
        <v>1266.1060400000001</v>
      </c>
      <c r="J26" s="30">
        <f t="shared" si="3"/>
        <v>0.45479679118237687</v>
      </c>
      <c r="K26" s="49" t="s">
        <v>102</v>
      </c>
      <c r="L26" s="3"/>
    </row>
    <row r="27" spans="1:12" x14ac:dyDescent="0.25">
      <c r="A27" s="22">
        <v>46151</v>
      </c>
      <c r="B27" s="49" t="s">
        <v>101</v>
      </c>
      <c r="C27" s="21">
        <v>21215082000465</v>
      </c>
      <c r="D27" s="49" t="s">
        <v>78</v>
      </c>
      <c r="E27" s="49">
        <v>4050</v>
      </c>
      <c r="F27" s="49">
        <v>3201.35</v>
      </c>
      <c r="G27" s="29">
        <f t="shared" si="0"/>
        <v>417.45603999999997</v>
      </c>
      <c r="H27" s="29">
        <f t="shared" si="1"/>
        <v>2783.8939599999999</v>
      </c>
      <c r="I27" s="29">
        <f t="shared" si="2"/>
        <v>1266.1060400000001</v>
      </c>
      <c r="J27" s="30">
        <f t="shared" si="3"/>
        <v>0.45479679118237687</v>
      </c>
      <c r="K27" s="49" t="s">
        <v>102</v>
      </c>
      <c r="L27" s="3"/>
    </row>
    <row r="28" spans="1:12" x14ac:dyDescent="0.25">
      <c r="A28" s="22">
        <v>46151</v>
      </c>
      <c r="B28" s="49" t="s">
        <v>101</v>
      </c>
      <c r="C28" s="21">
        <v>21215082000470</v>
      </c>
      <c r="D28" s="49" t="s">
        <v>78</v>
      </c>
      <c r="E28" s="49">
        <v>4050</v>
      </c>
      <c r="F28" s="49">
        <v>3201.35</v>
      </c>
      <c r="G28" s="29">
        <f t="shared" si="0"/>
        <v>417.45603999999997</v>
      </c>
      <c r="H28" s="29">
        <f t="shared" si="1"/>
        <v>2783.8939599999999</v>
      </c>
      <c r="I28" s="29">
        <f t="shared" si="2"/>
        <v>1266.1060400000001</v>
      </c>
      <c r="J28" s="30">
        <f t="shared" si="3"/>
        <v>0.45479679118237687</v>
      </c>
      <c r="K28" s="49" t="s">
        <v>102</v>
      </c>
      <c r="L28" s="3"/>
    </row>
    <row r="29" spans="1:12" x14ac:dyDescent="0.25">
      <c r="A29" s="22">
        <v>46151</v>
      </c>
      <c r="B29" s="49" t="s">
        <v>101</v>
      </c>
      <c r="C29" s="21">
        <v>21215082000478</v>
      </c>
      <c r="D29" s="49" t="s">
        <v>78</v>
      </c>
      <c r="E29" s="49">
        <v>4050</v>
      </c>
      <c r="F29" s="49">
        <v>3394.85</v>
      </c>
      <c r="G29" s="29">
        <f t="shared" si="0"/>
        <v>442.68843999999996</v>
      </c>
      <c r="H29" s="29">
        <f t="shared" si="1"/>
        <v>2952.16156</v>
      </c>
      <c r="I29" s="29">
        <f t="shared" si="2"/>
        <v>1097.83844</v>
      </c>
      <c r="J29" s="30">
        <f t="shared" si="3"/>
        <v>0.37187613810675052</v>
      </c>
      <c r="K29" s="49" t="s">
        <v>102</v>
      </c>
      <c r="L29" s="3"/>
    </row>
    <row r="30" spans="1:12" x14ac:dyDescent="0.25">
      <c r="A30" s="22">
        <v>46151</v>
      </c>
      <c r="B30" s="49" t="s">
        <v>101</v>
      </c>
      <c r="C30" s="21">
        <v>21215082000479</v>
      </c>
      <c r="D30" s="49" t="s">
        <v>78</v>
      </c>
      <c r="E30" s="49">
        <v>4050</v>
      </c>
      <c r="F30" s="49">
        <v>3394.85</v>
      </c>
      <c r="G30" s="29">
        <f t="shared" si="0"/>
        <v>442.68843999999996</v>
      </c>
      <c r="H30" s="29">
        <f t="shared" si="1"/>
        <v>2952.16156</v>
      </c>
      <c r="I30" s="29">
        <f t="shared" si="2"/>
        <v>1097.83844</v>
      </c>
      <c r="J30" s="30">
        <f t="shared" si="3"/>
        <v>0.37187613810675052</v>
      </c>
      <c r="K30" s="49" t="s">
        <v>102</v>
      </c>
      <c r="L30" s="3"/>
    </row>
    <row r="31" spans="1:12" x14ac:dyDescent="0.25">
      <c r="A31" s="22">
        <v>46151</v>
      </c>
      <c r="B31" s="49" t="s">
        <v>101</v>
      </c>
      <c r="C31" s="21">
        <v>21215082000526</v>
      </c>
      <c r="D31" s="49" t="s">
        <v>78</v>
      </c>
      <c r="E31" s="49">
        <v>4050</v>
      </c>
      <c r="F31" s="49">
        <v>3394.85</v>
      </c>
      <c r="G31" s="29">
        <f t="shared" si="0"/>
        <v>442.68843999999996</v>
      </c>
      <c r="H31" s="29">
        <f t="shared" si="1"/>
        <v>2952.16156</v>
      </c>
      <c r="I31" s="29">
        <f t="shared" si="2"/>
        <v>1097.83844</v>
      </c>
      <c r="J31" s="30">
        <f t="shared" si="3"/>
        <v>0.37187613810675052</v>
      </c>
      <c r="K31" s="49" t="s">
        <v>102</v>
      </c>
      <c r="L31" s="3"/>
    </row>
    <row r="32" spans="1:12" x14ac:dyDescent="0.25">
      <c r="A32" s="22">
        <v>46151</v>
      </c>
      <c r="B32" s="49" t="s">
        <v>101</v>
      </c>
      <c r="C32" s="21">
        <v>21215082000527</v>
      </c>
      <c r="D32" s="49" t="s">
        <v>78</v>
      </c>
      <c r="E32" s="49">
        <v>4050</v>
      </c>
      <c r="F32" s="49">
        <v>3394.85</v>
      </c>
      <c r="G32" s="29">
        <f t="shared" si="0"/>
        <v>442.68843999999996</v>
      </c>
      <c r="H32" s="29">
        <f t="shared" si="1"/>
        <v>2952.16156</v>
      </c>
      <c r="I32" s="29">
        <f t="shared" si="2"/>
        <v>1097.83844</v>
      </c>
      <c r="J32" s="30">
        <f t="shared" si="3"/>
        <v>0.37187613810675052</v>
      </c>
      <c r="K32" s="49" t="s">
        <v>102</v>
      </c>
      <c r="L32" s="3"/>
    </row>
    <row r="33" spans="1:12" x14ac:dyDescent="0.25">
      <c r="A33" s="22">
        <v>46151</v>
      </c>
      <c r="B33" s="49" t="s">
        <v>101</v>
      </c>
      <c r="C33" s="21">
        <v>21215082000933</v>
      </c>
      <c r="D33" s="49" t="s">
        <v>34</v>
      </c>
      <c r="E33" s="49">
        <v>3850</v>
      </c>
      <c r="F33" s="49">
        <v>3394.85</v>
      </c>
      <c r="G33" s="29">
        <f t="shared" si="0"/>
        <v>442.68843999999996</v>
      </c>
      <c r="H33" s="29">
        <f t="shared" si="1"/>
        <v>2952.16156</v>
      </c>
      <c r="I33" s="29">
        <f t="shared" si="2"/>
        <v>897.83843999999999</v>
      </c>
      <c r="J33" s="30">
        <f t="shared" si="3"/>
        <v>0.30412916832370107</v>
      </c>
      <c r="K33" s="49" t="s">
        <v>102</v>
      </c>
      <c r="L33" s="3"/>
    </row>
    <row r="34" spans="1:12" x14ac:dyDescent="0.25">
      <c r="A34" s="22">
        <v>46151</v>
      </c>
      <c r="B34" s="49" t="s">
        <v>101</v>
      </c>
      <c r="C34" s="21">
        <v>21215082000935</v>
      </c>
      <c r="D34" s="49" t="s">
        <v>34</v>
      </c>
      <c r="E34" s="49">
        <v>3850</v>
      </c>
      <c r="F34" s="49">
        <v>3394.85</v>
      </c>
      <c r="G34" s="29">
        <f t="shared" si="0"/>
        <v>442.68843999999996</v>
      </c>
      <c r="H34" s="29">
        <f t="shared" si="1"/>
        <v>2952.16156</v>
      </c>
      <c r="I34" s="29">
        <f t="shared" si="2"/>
        <v>897.83843999999999</v>
      </c>
      <c r="J34" s="30">
        <f t="shared" si="3"/>
        <v>0.30412916832370107</v>
      </c>
      <c r="K34" s="49" t="s">
        <v>102</v>
      </c>
      <c r="L34" s="3"/>
    </row>
    <row r="35" spans="1:12" x14ac:dyDescent="0.25">
      <c r="A35" s="22">
        <v>46151</v>
      </c>
      <c r="B35" s="49" t="s">
        <v>101</v>
      </c>
      <c r="C35" s="21">
        <v>21215082000939</v>
      </c>
      <c r="D35" s="49" t="s">
        <v>34</v>
      </c>
      <c r="E35" s="49">
        <v>3850</v>
      </c>
      <c r="F35" s="49">
        <v>3394.85</v>
      </c>
      <c r="G35" s="29">
        <f t="shared" si="0"/>
        <v>442.68843999999996</v>
      </c>
      <c r="H35" s="29">
        <f t="shared" si="1"/>
        <v>2952.16156</v>
      </c>
      <c r="I35" s="29">
        <f t="shared" si="2"/>
        <v>897.83843999999999</v>
      </c>
      <c r="J35" s="30">
        <f t="shared" si="3"/>
        <v>0.30412916832370107</v>
      </c>
      <c r="K35" s="49" t="s">
        <v>102</v>
      </c>
      <c r="L35" s="3"/>
    </row>
    <row r="36" spans="1:12" x14ac:dyDescent="0.25">
      <c r="A36" s="22">
        <v>46151</v>
      </c>
      <c r="B36" s="49" t="s">
        <v>101</v>
      </c>
      <c r="C36" s="21">
        <v>21215082000940</v>
      </c>
      <c r="D36" s="49" t="s">
        <v>34</v>
      </c>
      <c r="E36" s="49">
        <v>3850</v>
      </c>
      <c r="F36" s="49">
        <v>3394.85</v>
      </c>
      <c r="G36" s="29">
        <f t="shared" si="0"/>
        <v>442.68843999999996</v>
      </c>
      <c r="H36" s="29">
        <f t="shared" si="1"/>
        <v>2952.16156</v>
      </c>
      <c r="I36" s="29">
        <f t="shared" si="2"/>
        <v>897.83843999999999</v>
      </c>
      <c r="J36" s="30">
        <f t="shared" si="3"/>
        <v>0.30412916832370107</v>
      </c>
      <c r="K36" s="49" t="s">
        <v>102</v>
      </c>
      <c r="L36" s="3"/>
    </row>
    <row r="37" spans="1:12" x14ac:dyDescent="0.25">
      <c r="A37" s="22">
        <v>46151</v>
      </c>
      <c r="B37" s="49" t="s">
        <v>101</v>
      </c>
      <c r="C37" s="21">
        <v>21215082000941</v>
      </c>
      <c r="D37" s="49" t="s">
        <v>34</v>
      </c>
      <c r="E37" s="49">
        <v>3850</v>
      </c>
      <c r="F37" s="49">
        <v>3201.35</v>
      </c>
      <c r="G37" s="29">
        <f t="shared" si="0"/>
        <v>417.45603999999997</v>
      </c>
      <c r="H37" s="29">
        <f t="shared" si="1"/>
        <v>2783.8939599999999</v>
      </c>
      <c r="I37" s="29">
        <f t="shared" si="2"/>
        <v>1066.1060400000001</v>
      </c>
      <c r="J37" s="30">
        <f t="shared" si="3"/>
        <v>0.38295497433386444</v>
      </c>
      <c r="K37" s="49" t="s">
        <v>102</v>
      </c>
      <c r="L37" s="3"/>
    </row>
    <row r="38" spans="1:12" x14ac:dyDescent="0.25">
      <c r="A38" s="22">
        <v>46151</v>
      </c>
      <c r="B38" s="49" t="s">
        <v>101</v>
      </c>
      <c r="C38" s="21">
        <v>21215082000942</v>
      </c>
      <c r="D38" s="49" t="s">
        <v>34</v>
      </c>
      <c r="E38" s="49">
        <v>3850</v>
      </c>
      <c r="F38" s="49">
        <v>3201.35</v>
      </c>
      <c r="G38" s="29">
        <f t="shared" si="0"/>
        <v>417.45603999999997</v>
      </c>
      <c r="H38" s="29">
        <f t="shared" si="1"/>
        <v>2783.8939599999999</v>
      </c>
      <c r="I38" s="29">
        <f t="shared" si="2"/>
        <v>1066.1060400000001</v>
      </c>
      <c r="J38" s="30">
        <f t="shared" si="3"/>
        <v>0.38295497433386444</v>
      </c>
      <c r="K38" s="49" t="s">
        <v>102</v>
      </c>
      <c r="L38" s="3"/>
    </row>
    <row r="39" spans="1:12" x14ac:dyDescent="0.25">
      <c r="A39" s="22">
        <v>46151</v>
      </c>
      <c r="B39" s="49" t="s">
        <v>101</v>
      </c>
      <c r="C39" s="21">
        <v>21225082000102</v>
      </c>
      <c r="D39" s="49" t="s">
        <v>78</v>
      </c>
      <c r="E39" s="49">
        <v>4050</v>
      </c>
      <c r="F39" s="49">
        <v>3394.85</v>
      </c>
      <c r="G39" s="29">
        <f t="shared" si="0"/>
        <v>442.68843999999996</v>
      </c>
      <c r="H39" s="29">
        <f t="shared" si="1"/>
        <v>2952.16156</v>
      </c>
      <c r="I39" s="29">
        <f t="shared" si="2"/>
        <v>1097.83844</v>
      </c>
      <c r="J39" s="30">
        <f t="shared" si="3"/>
        <v>0.37187613810675052</v>
      </c>
      <c r="K39" s="49" t="s">
        <v>102</v>
      </c>
      <c r="L39" s="3"/>
    </row>
    <row r="40" spans="1:12" x14ac:dyDescent="0.25">
      <c r="A40" s="22">
        <v>46151</v>
      </c>
      <c r="B40" s="49" t="s">
        <v>101</v>
      </c>
      <c r="C40" s="21">
        <v>21225082000222</v>
      </c>
      <c r="D40" s="49" t="s">
        <v>78</v>
      </c>
      <c r="E40" s="49">
        <v>4050</v>
      </c>
      <c r="F40" s="49">
        <v>3394.85</v>
      </c>
      <c r="G40" s="29">
        <f t="shared" si="0"/>
        <v>442.68843999999996</v>
      </c>
      <c r="H40" s="29">
        <f t="shared" si="1"/>
        <v>2952.16156</v>
      </c>
      <c r="I40" s="29">
        <f t="shared" si="2"/>
        <v>1097.83844</v>
      </c>
      <c r="J40" s="30">
        <f t="shared" si="3"/>
        <v>0.37187613810675052</v>
      </c>
      <c r="K40" s="49" t="s">
        <v>102</v>
      </c>
      <c r="L40" s="3"/>
    </row>
    <row r="41" spans="1:12" x14ac:dyDescent="0.25">
      <c r="A41" s="22">
        <v>46151</v>
      </c>
      <c r="B41" s="49" t="s">
        <v>101</v>
      </c>
      <c r="C41" s="21">
        <v>21225082000226</v>
      </c>
      <c r="D41" s="49" t="s">
        <v>78</v>
      </c>
      <c r="E41" s="49">
        <v>4050</v>
      </c>
      <c r="F41" s="49">
        <v>3394.85</v>
      </c>
      <c r="G41" s="29">
        <f t="shared" si="0"/>
        <v>442.68843999999996</v>
      </c>
      <c r="H41" s="29">
        <f t="shared" si="1"/>
        <v>2952.16156</v>
      </c>
      <c r="I41" s="29">
        <f t="shared" si="2"/>
        <v>1097.83844</v>
      </c>
      <c r="J41" s="30">
        <f t="shared" si="3"/>
        <v>0.37187613810675052</v>
      </c>
      <c r="K41" s="49" t="s">
        <v>102</v>
      </c>
      <c r="L41" s="3"/>
    </row>
    <row r="42" spans="1:12" x14ac:dyDescent="0.25">
      <c r="A42" s="22">
        <v>46151</v>
      </c>
      <c r="B42" s="49" t="s">
        <v>101</v>
      </c>
      <c r="C42" s="21">
        <v>21225082000260</v>
      </c>
      <c r="D42" s="49" t="s">
        <v>78</v>
      </c>
      <c r="E42" s="49">
        <v>4050</v>
      </c>
      <c r="F42" s="49">
        <v>3394.85</v>
      </c>
      <c r="G42" s="29">
        <f t="shared" si="0"/>
        <v>442.68843999999996</v>
      </c>
      <c r="H42" s="29">
        <f t="shared" si="1"/>
        <v>2952.16156</v>
      </c>
      <c r="I42" s="29">
        <f t="shared" si="2"/>
        <v>1097.83844</v>
      </c>
      <c r="J42" s="30">
        <f t="shared" si="3"/>
        <v>0.37187613810675052</v>
      </c>
      <c r="K42" s="49" t="s">
        <v>102</v>
      </c>
      <c r="L42" s="3"/>
    </row>
    <row r="43" spans="1:12" x14ac:dyDescent="0.25">
      <c r="A43" s="22">
        <v>46151</v>
      </c>
      <c r="B43" s="49" t="s">
        <v>101</v>
      </c>
      <c r="C43" s="21">
        <v>21225082000610</v>
      </c>
      <c r="D43" s="49" t="s">
        <v>78</v>
      </c>
      <c r="E43" s="49">
        <v>4050</v>
      </c>
      <c r="F43" s="49">
        <v>3201.35</v>
      </c>
      <c r="G43" s="29">
        <f t="shared" si="0"/>
        <v>417.45603999999997</v>
      </c>
      <c r="H43" s="29">
        <f t="shared" si="1"/>
        <v>2783.8939599999999</v>
      </c>
      <c r="I43" s="29">
        <f t="shared" si="2"/>
        <v>1266.1060400000001</v>
      </c>
      <c r="J43" s="30">
        <f t="shared" si="3"/>
        <v>0.45479679118237687</v>
      </c>
      <c r="K43" s="49" t="s">
        <v>102</v>
      </c>
      <c r="L43" s="3"/>
    </row>
    <row r="44" spans="1:12" x14ac:dyDescent="0.25">
      <c r="A44" s="22">
        <v>46151</v>
      </c>
      <c r="B44" s="49" t="s">
        <v>101</v>
      </c>
      <c r="C44" s="21">
        <v>21225082000611</v>
      </c>
      <c r="D44" s="49" t="s">
        <v>78</v>
      </c>
      <c r="E44" s="49">
        <v>4050</v>
      </c>
      <c r="F44" s="49">
        <v>3201.35</v>
      </c>
      <c r="G44" s="29">
        <f t="shared" si="0"/>
        <v>417.45603999999997</v>
      </c>
      <c r="H44" s="29">
        <f t="shared" si="1"/>
        <v>2783.8939599999999</v>
      </c>
      <c r="I44" s="29">
        <f t="shared" si="2"/>
        <v>1266.1060400000001</v>
      </c>
      <c r="J44" s="30">
        <f t="shared" si="3"/>
        <v>0.45479679118237687</v>
      </c>
      <c r="K44" s="49" t="s">
        <v>102</v>
      </c>
      <c r="L44" s="3"/>
    </row>
    <row r="45" spans="1:12" x14ac:dyDescent="0.25">
      <c r="A45" s="22">
        <v>46151</v>
      </c>
      <c r="B45" s="49" t="s">
        <v>101</v>
      </c>
      <c r="C45" s="21">
        <v>21225082000971</v>
      </c>
      <c r="D45" s="49" t="s">
        <v>78</v>
      </c>
      <c r="E45" s="49">
        <v>4050</v>
      </c>
      <c r="F45" s="49">
        <v>3394.85</v>
      </c>
      <c r="G45" s="29">
        <f t="shared" si="0"/>
        <v>442.68843999999996</v>
      </c>
      <c r="H45" s="29">
        <f t="shared" si="1"/>
        <v>2952.16156</v>
      </c>
      <c r="I45" s="29">
        <f t="shared" si="2"/>
        <v>1097.83844</v>
      </c>
      <c r="J45" s="30">
        <f t="shared" si="3"/>
        <v>0.37187613810675052</v>
      </c>
      <c r="K45" s="49" t="s">
        <v>102</v>
      </c>
      <c r="L45" s="3"/>
    </row>
    <row r="46" spans="1:12" x14ac:dyDescent="0.25">
      <c r="A46" s="22">
        <v>46151</v>
      </c>
      <c r="B46" s="49" t="s">
        <v>101</v>
      </c>
      <c r="C46" s="21">
        <v>21225082000974</v>
      </c>
      <c r="D46" s="49" t="s">
        <v>78</v>
      </c>
      <c r="E46" s="49">
        <v>4050</v>
      </c>
      <c r="F46" s="49">
        <v>3394.85</v>
      </c>
      <c r="G46" s="29">
        <f t="shared" si="0"/>
        <v>442.68843999999996</v>
      </c>
      <c r="H46" s="29">
        <f t="shared" si="1"/>
        <v>2952.16156</v>
      </c>
      <c r="I46" s="29">
        <f t="shared" si="2"/>
        <v>1097.83844</v>
      </c>
      <c r="J46" s="30">
        <f t="shared" si="3"/>
        <v>0.37187613810675052</v>
      </c>
      <c r="K46" s="49" t="s">
        <v>102</v>
      </c>
      <c r="L46" s="3"/>
    </row>
    <row r="47" spans="1:12" x14ac:dyDescent="0.25">
      <c r="A47" s="22">
        <v>46151</v>
      </c>
      <c r="B47" s="49" t="s">
        <v>101</v>
      </c>
      <c r="C47" s="21">
        <v>21235082000174</v>
      </c>
      <c r="D47" s="49" t="s">
        <v>34</v>
      </c>
      <c r="E47" s="49">
        <v>3850</v>
      </c>
      <c r="F47" s="49">
        <v>3071.88</v>
      </c>
      <c r="G47" s="29">
        <f t="shared" si="0"/>
        <v>400.57315199999999</v>
      </c>
      <c r="H47" s="29">
        <f t="shared" si="1"/>
        <v>2671.3068480000002</v>
      </c>
      <c r="I47" s="29">
        <f t="shared" si="2"/>
        <v>1178.6931519999998</v>
      </c>
      <c r="J47" s="30">
        <f t="shared" si="3"/>
        <v>0.44124214067076722</v>
      </c>
      <c r="K47" s="49" t="s">
        <v>102</v>
      </c>
      <c r="L47" s="3"/>
    </row>
    <row r="48" spans="1:12" x14ac:dyDescent="0.25">
      <c r="A48" s="22">
        <v>46151</v>
      </c>
      <c r="B48" s="49" t="s">
        <v>101</v>
      </c>
      <c r="C48" s="21">
        <v>4549292137767</v>
      </c>
      <c r="D48" s="49" t="s">
        <v>78</v>
      </c>
      <c r="E48" s="49">
        <v>4050</v>
      </c>
      <c r="F48" s="49">
        <v>3201.35</v>
      </c>
      <c r="G48" s="29">
        <f t="shared" si="0"/>
        <v>417.45603999999997</v>
      </c>
      <c r="H48" s="29">
        <f t="shared" si="1"/>
        <v>2783.8939599999999</v>
      </c>
      <c r="I48" s="29">
        <f t="shared" si="2"/>
        <v>1266.1060400000001</v>
      </c>
      <c r="J48" s="30">
        <f t="shared" si="3"/>
        <v>0.45479679118237687</v>
      </c>
      <c r="K48" s="49" t="s">
        <v>102</v>
      </c>
      <c r="L48" s="3"/>
    </row>
    <row r="49" spans="1:12" x14ac:dyDescent="0.25">
      <c r="A49" s="22">
        <v>46151</v>
      </c>
      <c r="B49" s="49" t="s">
        <v>101</v>
      </c>
      <c r="C49" s="21" t="s">
        <v>103</v>
      </c>
      <c r="D49" s="49" t="s">
        <v>34</v>
      </c>
      <c r="E49" s="49">
        <v>3850</v>
      </c>
      <c r="F49" s="49">
        <v>3394.85</v>
      </c>
      <c r="G49" s="29">
        <f t="shared" si="0"/>
        <v>442.68843999999996</v>
      </c>
      <c r="H49" s="29">
        <f t="shared" si="1"/>
        <v>2952.16156</v>
      </c>
      <c r="I49" s="29">
        <f t="shared" si="2"/>
        <v>897.83843999999999</v>
      </c>
      <c r="J49" s="30">
        <f t="shared" si="3"/>
        <v>0.30412916832370107</v>
      </c>
      <c r="K49" s="49" t="s">
        <v>102</v>
      </c>
      <c r="L49" s="3"/>
    </row>
    <row r="50" spans="1:12" x14ac:dyDescent="0.25">
      <c r="A50" s="22">
        <v>46153</v>
      </c>
      <c r="B50" s="49" t="s">
        <v>112</v>
      </c>
      <c r="C50" s="21">
        <v>51413097336</v>
      </c>
      <c r="D50" s="49" t="s">
        <v>30</v>
      </c>
      <c r="E50" s="49">
        <v>4400</v>
      </c>
      <c r="F50" s="49">
        <v>3545.35</v>
      </c>
      <c r="G50" s="29">
        <f t="shared" si="0"/>
        <v>462.31363999999996</v>
      </c>
      <c r="H50" s="29">
        <f t="shared" si="1"/>
        <v>3083.0363600000001</v>
      </c>
      <c r="I50" s="29">
        <f t="shared" si="2"/>
        <v>1316.9636399999999</v>
      </c>
      <c r="J50" s="30">
        <f t="shared" si="3"/>
        <v>0.42716448533873275</v>
      </c>
      <c r="K50" s="49" t="s">
        <v>102</v>
      </c>
      <c r="L50" s="3"/>
    </row>
    <row r="51" spans="1:12" x14ac:dyDescent="0.25">
      <c r="A51" s="22">
        <v>46153</v>
      </c>
      <c r="B51" s="49" t="s">
        <v>115</v>
      </c>
      <c r="C51" s="21">
        <v>51557039433</v>
      </c>
      <c r="D51" s="49" t="s">
        <v>30</v>
      </c>
      <c r="E51" s="49">
        <v>82500</v>
      </c>
      <c r="F51" s="49">
        <v>38697.85</v>
      </c>
      <c r="G51" s="29">
        <f t="shared" si="0"/>
        <v>5046.1996399999989</v>
      </c>
      <c r="H51" s="29">
        <f t="shared" si="1"/>
        <v>33651.65036</v>
      </c>
      <c r="I51" s="29">
        <f t="shared" si="2"/>
        <v>48848.34964</v>
      </c>
      <c r="J51" s="30">
        <f t="shared" si="3"/>
        <v>1.4515885288664339</v>
      </c>
      <c r="K51" s="49" t="s">
        <v>102</v>
      </c>
      <c r="L51" s="3"/>
    </row>
    <row r="52" spans="1:12" x14ac:dyDescent="0.25">
      <c r="A52" s="22">
        <v>46154</v>
      </c>
      <c r="B52" s="49" t="s">
        <v>101</v>
      </c>
      <c r="C52" s="21">
        <v>21125082001277</v>
      </c>
      <c r="D52" s="49" t="s">
        <v>78</v>
      </c>
      <c r="E52" s="49">
        <v>4150</v>
      </c>
      <c r="F52" s="49">
        <v>3201.35</v>
      </c>
      <c r="G52" s="29">
        <f t="shared" si="0"/>
        <v>417.45603999999997</v>
      </c>
      <c r="H52" s="29">
        <f t="shared" si="1"/>
        <v>2783.8939599999999</v>
      </c>
      <c r="I52" s="29">
        <f t="shared" si="2"/>
        <v>1366.1060400000001</v>
      </c>
      <c r="J52" s="30">
        <f t="shared" si="3"/>
        <v>0.49071769960663308</v>
      </c>
      <c r="K52" s="49" t="s">
        <v>102</v>
      </c>
      <c r="L52" s="3"/>
    </row>
    <row r="53" spans="1:12" x14ac:dyDescent="0.25">
      <c r="A53" s="22">
        <v>46154</v>
      </c>
      <c r="B53" s="49" t="s">
        <v>101</v>
      </c>
      <c r="C53" s="21">
        <v>21125082001968</v>
      </c>
      <c r="D53" s="49" t="s">
        <v>78</v>
      </c>
      <c r="E53" s="49">
        <v>4150</v>
      </c>
      <c r="F53" s="49">
        <v>3201.35</v>
      </c>
      <c r="G53" s="29">
        <f t="shared" si="0"/>
        <v>417.45603999999997</v>
      </c>
      <c r="H53" s="29">
        <f t="shared" si="1"/>
        <v>2783.8939599999999</v>
      </c>
      <c r="I53" s="29">
        <f t="shared" si="2"/>
        <v>1366.1060400000001</v>
      </c>
      <c r="J53" s="30">
        <f t="shared" si="3"/>
        <v>0.49071769960663308</v>
      </c>
      <c r="K53" s="49" t="s">
        <v>102</v>
      </c>
      <c r="L53" s="3"/>
    </row>
    <row r="54" spans="1:12" x14ac:dyDescent="0.25">
      <c r="A54" s="22">
        <v>46154</v>
      </c>
      <c r="B54" s="49" t="s">
        <v>101</v>
      </c>
      <c r="C54" s="21">
        <v>21215082000353</v>
      </c>
      <c r="D54" s="49" t="s">
        <v>78</v>
      </c>
      <c r="E54" s="49">
        <v>4100</v>
      </c>
      <c r="F54" s="49">
        <v>3086.37</v>
      </c>
      <c r="G54" s="29">
        <f t="shared" si="0"/>
        <v>402.46264799999994</v>
      </c>
      <c r="H54" s="29">
        <f t="shared" si="1"/>
        <v>2683.9073520000002</v>
      </c>
      <c r="I54" s="29">
        <f t="shared" si="2"/>
        <v>1416.0926479999998</v>
      </c>
      <c r="J54" s="30">
        <f t="shared" si="3"/>
        <v>0.52762352133532209</v>
      </c>
      <c r="K54" s="49" t="s">
        <v>102</v>
      </c>
      <c r="L54" s="3"/>
    </row>
    <row r="55" spans="1:12" x14ac:dyDescent="0.25">
      <c r="A55" s="22">
        <v>46154</v>
      </c>
      <c r="B55" s="49" t="s">
        <v>101</v>
      </c>
      <c r="C55" s="21">
        <v>21215082000466</v>
      </c>
      <c r="D55" s="49" t="s">
        <v>78</v>
      </c>
      <c r="E55" s="49">
        <v>4100</v>
      </c>
      <c r="F55" s="49">
        <v>3201.35</v>
      </c>
      <c r="G55" s="29">
        <f t="shared" si="0"/>
        <v>417.45603999999997</v>
      </c>
      <c r="H55" s="29">
        <f t="shared" si="1"/>
        <v>2783.8939599999999</v>
      </c>
      <c r="I55" s="29">
        <f t="shared" si="2"/>
        <v>1316.1060400000001</v>
      </c>
      <c r="J55" s="30">
        <f t="shared" si="3"/>
        <v>0.47275724539450498</v>
      </c>
      <c r="K55" s="49" t="s">
        <v>102</v>
      </c>
      <c r="L55" s="3"/>
    </row>
    <row r="56" spans="1:12" x14ac:dyDescent="0.25">
      <c r="A56" s="22">
        <v>46154</v>
      </c>
      <c r="B56" s="49" t="s">
        <v>101</v>
      </c>
      <c r="C56" s="21">
        <v>21215082000468</v>
      </c>
      <c r="D56" s="49" t="s">
        <v>78</v>
      </c>
      <c r="E56" s="49">
        <v>4100</v>
      </c>
      <c r="F56" s="49">
        <v>3201.35</v>
      </c>
      <c r="G56" s="29">
        <f t="shared" si="0"/>
        <v>417.45603999999997</v>
      </c>
      <c r="H56" s="29">
        <f t="shared" si="1"/>
        <v>2783.8939599999999</v>
      </c>
      <c r="I56" s="29">
        <f t="shared" si="2"/>
        <v>1316.1060400000001</v>
      </c>
      <c r="J56" s="30">
        <f t="shared" si="3"/>
        <v>0.47275724539450498</v>
      </c>
      <c r="K56" s="49" t="s">
        <v>102</v>
      </c>
      <c r="L56" s="3"/>
    </row>
    <row r="57" spans="1:12" x14ac:dyDescent="0.25">
      <c r="A57" s="22">
        <v>46154</v>
      </c>
      <c r="B57" s="49" t="s">
        <v>101</v>
      </c>
      <c r="C57" s="21">
        <v>21215082000480</v>
      </c>
      <c r="D57" s="49" t="s">
        <v>78</v>
      </c>
      <c r="E57" s="49">
        <v>4150</v>
      </c>
      <c r="F57" s="49">
        <v>3201.35</v>
      </c>
      <c r="G57" s="29">
        <f t="shared" si="0"/>
        <v>417.45603999999997</v>
      </c>
      <c r="H57" s="29">
        <f t="shared" si="1"/>
        <v>2783.8939599999999</v>
      </c>
      <c r="I57" s="29">
        <f t="shared" si="2"/>
        <v>1366.1060400000001</v>
      </c>
      <c r="J57" s="30">
        <f t="shared" si="3"/>
        <v>0.49071769960663308</v>
      </c>
      <c r="K57" s="49" t="s">
        <v>102</v>
      </c>
      <c r="L57" s="3"/>
    </row>
    <row r="58" spans="1:12" x14ac:dyDescent="0.25">
      <c r="A58" s="22">
        <v>46154</v>
      </c>
      <c r="B58" s="49" t="s">
        <v>101</v>
      </c>
      <c r="C58" s="21">
        <v>21215082000525</v>
      </c>
      <c r="D58" s="49" t="s">
        <v>78</v>
      </c>
      <c r="E58" s="49">
        <v>4100</v>
      </c>
      <c r="F58" s="49">
        <v>3394.85</v>
      </c>
      <c r="G58" s="29">
        <f t="shared" si="0"/>
        <v>442.68843999999996</v>
      </c>
      <c r="H58" s="29">
        <f t="shared" si="1"/>
        <v>2952.16156</v>
      </c>
      <c r="I58" s="29">
        <f t="shared" si="2"/>
        <v>1147.83844</v>
      </c>
      <c r="J58" s="30">
        <f t="shared" si="3"/>
        <v>0.38881288055251284</v>
      </c>
      <c r="K58" s="49" t="s">
        <v>102</v>
      </c>
      <c r="L58" s="3"/>
    </row>
    <row r="59" spans="1:12" x14ac:dyDescent="0.25">
      <c r="A59" s="22">
        <v>46154</v>
      </c>
      <c r="B59" s="49" t="s">
        <v>101</v>
      </c>
      <c r="C59" s="21">
        <v>21225082000223</v>
      </c>
      <c r="D59" s="49" t="s">
        <v>78</v>
      </c>
      <c r="E59" s="49">
        <v>4150</v>
      </c>
      <c r="F59" s="49">
        <v>3071.88</v>
      </c>
      <c r="G59" s="29">
        <f t="shared" si="0"/>
        <v>400.57315199999999</v>
      </c>
      <c r="H59" s="29">
        <f t="shared" si="1"/>
        <v>2671.3068480000002</v>
      </c>
      <c r="I59" s="29">
        <f t="shared" si="2"/>
        <v>1478.6931519999998</v>
      </c>
      <c r="J59" s="30">
        <f t="shared" si="3"/>
        <v>0.55354672306069708</v>
      </c>
      <c r="K59" s="49" t="s">
        <v>102</v>
      </c>
      <c r="L59" s="3"/>
    </row>
    <row r="60" spans="1:12" x14ac:dyDescent="0.25">
      <c r="A60" s="22">
        <v>46154</v>
      </c>
      <c r="B60" s="49" t="s">
        <v>101</v>
      </c>
      <c r="C60" s="21">
        <v>21225082000227</v>
      </c>
      <c r="D60" s="49" t="s">
        <v>78</v>
      </c>
      <c r="E60" s="49">
        <v>4100</v>
      </c>
      <c r="F60" s="49">
        <v>3201.35</v>
      </c>
      <c r="G60" s="29">
        <f t="shared" si="0"/>
        <v>417.45603999999997</v>
      </c>
      <c r="H60" s="29">
        <f t="shared" si="1"/>
        <v>2783.8939599999999</v>
      </c>
      <c r="I60" s="29">
        <f t="shared" si="2"/>
        <v>1316.1060400000001</v>
      </c>
      <c r="J60" s="30">
        <f t="shared" si="3"/>
        <v>0.47275724539450498</v>
      </c>
      <c r="K60" s="49" t="s">
        <v>102</v>
      </c>
      <c r="L60" s="3"/>
    </row>
    <row r="61" spans="1:12" x14ac:dyDescent="0.25">
      <c r="A61" s="22">
        <v>46154</v>
      </c>
      <c r="B61" s="49" t="s">
        <v>116</v>
      </c>
      <c r="C61" s="21" t="s">
        <v>174</v>
      </c>
      <c r="D61" s="49" t="s">
        <v>30</v>
      </c>
      <c r="E61" s="49">
        <v>1243</v>
      </c>
      <c r="F61" s="49">
        <v>1010.5</v>
      </c>
      <c r="G61" s="29">
        <f t="shared" si="0"/>
        <v>131.76919999999998</v>
      </c>
      <c r="H61" s="29">
        <f t="shared" si="1"/>
        <v>878.73080000000004</v>
      </c>
      <c r="I61" s="29">
        <f t="shared" si="2"/>
        <v>364.26919999999996</v>
      </c>
      <c r="J61" s="30">
        <f t="shared" si="3"/>
        <v>0.41454015268384803</v>
      </c>
      <c r="K61" s="49" t="s">
        <v>102</v>
      </c>
      <c r="L61" s="3"/>
    </row>
    <row r="62" spans="1:12" x14ac:dyDescent="0.25">
      <c r="A62" s="22">
        <v>46154</v>
      </c>
      <c r="B62" s="49" t="s">
        <v>116</v>
      </c>
      <c r="C62" s="21" t="s">
        <v>182</v>
      </c>
      <c r="D62" s="49" t="s">
        <v>30</v>
      </c>
      <c r="E62" s="49">
        <v>1243</v>
      </c>
      <c r="F62" s="49">
        <v>1008.35</v>
      </c>
      <c r="G62" s="29">
        <f t="shared" si="0"/>
        <v>131.48884000000001</v>
      </c>
      <c r="H62" s="29">
        <f t="shared" si="1"/>
        <v>876.86116000000004</v>
      </c>
      <c r="I62" s="29">
        <f t="shared" si="2"/>
        <v>366.13883999999996</v>
      </c>
      <c r="J62" s="30">
        <f t="shared" si="3"/>
        <v>0.4175562297684618</v>
      </c>
      <c r="K62" s="49" t="s">
        <v>102</v>
      </c>
      <c r="L62" s="3"/>
    </row>
    <row r="63" spans="1:12" x14ac:dyDescent="0.25">
      <c r="A63" s="22">
        <v>46154</v>
      </c>
      <c r="B63" s="49" t="s">
        <v>116</v>
      </c>
      <c r="C63" s="21" t="s">
        <v>184</v>
      </c>
      <c r="D63" s="49" t="s">
        <v>30</v>
      </c>
      <c r="E63" s="49">
        <v>1243</v>
      </c>
      <c r="F63" s="49">
        <v>1010.5</v>
      </c>
      <c r="G63" s="29">
        <f t="shared" si="0"/>
        <v>131.76919999999998</v>
      </c>
      <c r="H63" s="29">
        <f t="shared" si="1"/>
        <v>878.73080000000004</v>
      </c>
      <c r="I63" s="29">
        <f t="shared" si="2"/>
        <v>364.26919999999996</v>
      </c>
      <c r="J63" s="30">
        <f t="shared" si="3"/>
        <v>0.41454015268384803</v>
      </c>
      <c r="K63" s="49" t="s">
        <v>102</v>
      </c>
      <c r="L63" s="3"/>
    </row>
    <row r="64" spans="1:12" x14ac:dyDescent="0.25">
      <c r="A64" s="22">
        <v>46154</v>
      </c>
      <c r="B64" s="49" t="s">
        <v>116</v>
      </c>
      <c r="C64" s="21" t="s">
        <v>185</v>
      </c>
      <c r="D64" s="49" t="s">
        <v>30</v>
      </c>
      <c r="E64" s="49">
        <v>1243</v>
      </c>
      <c r="F64" s="49">
        <v>1008.35</v>
      </c>
      <c r="G64" s="29">
        <f t="shared" si="0"/>
        <v>131.48884000000001</v>
      </c>
      <c r="H64" s="29">
        <f t="shared" si="1"/>
        <v>876.86116000000004</v>
      </c>
      <c r="I64" s="29">
        <f t="shared" si="2"/>
        <v>366.13883999999996</v>
      </c>
      <c r="J64" s="30">
        <f t="shared" si="3"/>
        <v>0.4175562297684618</v>
      </c>
      <c r="K64" s="49" t="s">
        <v>102</v>
      </c>
      <c r="L64" s="3"/>
    </row>
    <row r="65" spans="1:12" x14ac:dyDescent="0.25">
      <c r="A65" s="22">
        <v>46154</v>
      </c>
      <c r="B65" s="49" t="s">
        <v>116</v>
      </c>
      <c r="C65" s="21" t="s">
        <v>186</v>
      </c>
      <c r="D65" s="49" t="s">
        <v>30</v>
      </c>
      <c r="E65" s="49">
        <v>1243</v>
      </c>
      <c r="F65" s="49">
        <v>1008.35</v>
      </c>
      <c r="G65" s="29">
        <f t="shared" si="0"/>
        <v>131.48884000000001</v>
      </c>
      <c r="H65" s="29">
        <f t="shared" si="1"/>
        <v>876.86116000000004</v>
      </c>
      <c r="I65" s="29">
        <f t="shared" si="2"/>
        <v>366.13883999999996</v>
      </c>
      <c r="J65" s="30">
        <f t="shared" si="3"/>
        <v>0.4175562297684618</v>
      </c>
      <c r="K65" s="49" t="s">
        <v>102</v>
      </c>
      <c r="L65" s="3"/>
    </row>
    <row r="66" spans="1:12" x14ac:dyDescent="0.25">
      <c r="A66" s="22">
        <v>46154</v>
      </c>
      <c r="B66" s="49" t="s">
        <v>116</v>
      </c>
      <c r="C66" s="21" t="s">
        <v>187</v>
      </c>
      <c r="D66" s="49" t="s">
        <v>30</v>
      </c>
      <c r="E66" s="49">
        <v>1243</v>
      </c>
      <c r="F66" s="49">
        <v>1008.35</v>
      </c>
      <c r="G66" s="29">
        <f t="shared" si="0"/>
        <v>131.48884000000001</v>
      </c>
      <c r="H66" s="29">
        <f t="shared" si="1"/>
        <v>876.86116000000004</v>
      </c>
      <c r="I66" s="29">
        <f t="shared" si="2"/>
        <v>366.13883999999996</v>
      </c>
      <c r="J66" s="30">
        <f t="shared" si="3"/>
        <v>0.4175562297684618</v>
      </c>
      <c r="K66" s="49" t="s">
        <v>102</v>
      </c>
      <c r="L66" s="3"/>
    </row>
    <row r="67" spans="1:12" x14ac:dyDescent="0.25">
      <c r="A67" s="22">
        <v>46154</v>
      </c>
      <c r="B67" s="49" t="s">
        <v>116</v>
      </c>
      <c r="C67" s="21" t="s">
        <v>188</v>
      </c>
      <c r="D67" s="49" t="s">
        <v>30</v>
      </c>
      <c r="E67" s="49">
        <v>1243</v>
      </c>
      <c r="F67" s="49">
        <v>1008.35</v>
      </c>
      <c r="G67" s="29">
        <f t="shared" ref="G67:G123" si="4">F67*13.04/100</f>
        <v>131.48884000000001</v>
      </c>
      <c r="H67" s="29">
        <f t="shared" ref="H67:H123" si="5">F67-G67</f>
        <v>876.86116000000004</v>
      </c>
      <c r="I67" s="29">
        <f t="shared" ref="I67:I123" si="6">E67-H67</f>
        <v>366.13883999999996</v>
      </c>
      <c r="J67" s="30">
        <f t="shared" ref="J67:J123" si="7">(E67-H67)/H67</f>
        <v>0.4175562297684618</v>
      </c>
      <c r="K67" s="49" t="s">
        <v>102</v>
      </c>
      <c r="L67" s="3"/>
    </row>
    <row r="68" spans="1:12" x14ac:dyDescent="0.25">
      <c r="A68" s="22">
        <v>46154</v>
      </c>
      <c r="B68" s="49" t="s">
        <v>116</v>
      </c>
      <c r="C68" s="21" t="s">
        <v>189</v>
      </c>
      <c r="D68" s="49" t="s">
        <v>30</v>
      </c>
      <c r="E68" s="49">
        <v>1243</v>
      </c>
      <c r="F68" s="49">
        <v>1010.5</v>
      </c>
      <c r="G68" s="29">
        <f t="shared" si="4"/>
        <v>131.76919999999998</v>
      </c>
      <c r="H68" s="29">
        <f t="shared" si="5"/>
        <v>878.73080000000004</v>
      </c>
      <c r="I68" s="29">
        <f t="shared" si="6"/>
        <v>364.26919999999996</v>
      </c>
      <c r="J68" s="30">
        <f t="shared" si="7"/>
        <v>0.41454015268384803</v>
      </c>
      <c r="K68" s="49" t="s">
        <v>102</v>
      </c>
      <c r="L68" s="3"/>
    </row>
    <row r="69" spans="1:12" x14ac:dyDescent="0.25">
      <c r="A69" s="22">
        <v>46154</v>
      </c>
      <c r="B69" s="49" t="s">
        <v>116</v>
      </c>
      <c r="C69" s="21" t="s">
        <v>190</v>
      </c>
      <c r="D69" s="49" t="s">
        <v>30</v>
      </c>
      <c r="E69" s="49">
        <v>1243</v>
      </c>
      <c r="F69" s="49">
        <v>1010.5</v>
      </c>
      <c r="G69" s="29">
        <f t="shared" si="4"/>
        <v>131.76919999999998</v>
      </c>
      <c r="H69" s="29">
        <f t="shared" si="5"/>
        <v>878.73080000000004</v>
      </c>
      <c r="I69" s="29">
        <f t="shared" si="6"/>
        <v>364.26919999999996</v>
      </c>
      <c r="J69" s="30">
        <f t="shared" si="7"/>
        <v>0.41454015268384803</v>
      </c>
      <c r="K69" s="49" t="s">
        <v>102</v>
      </c>
      <c r="L69" s="3"/>
    </row>
    <row r="70" spans="1:12" x14ac:dyDescent="0.25">
      <c r="A70" s="22">
        <v>46154</v>
      </c>
      <c r="B70" s="49" t="s">
        <v>116</v>
      </c>
      <c r="C70" s="21" t="s">
        <v>191</v>
      </c>
      <c r="D70" s="49" t="s">
        <v>30</v>
      </c>
      <c r="E70" s="49">
        <v>1243</v>
      </c>
      <c r="F70" s="49">
        <v>1010.5</v>
      </c>
      <c r="G70" s="29">
        <f t="shared" si="4"/>
        <v>131.76919999999998</v>
      </c>
      <c r="H70" s="29">
        <f t="shared" si="5"/>
        <v>878.73080000000004</v>
      </c>
      <c r="I70" s="29">
        <f t="shared" si="6"/>
        <v>364.26919999999996</v>
      </c>
      <c r="J70" s="30">
        <f t="shared" si="7"/>
        <v>0.41454015268384803</v>
      </c>
      <c r="K70" s="49" t="s">
        <v>102</v>
      </c>
      <c r="L70" s="3"/>
    </row>
    <row r="71" spans="1:12" x14ac:dyDescent="0.25">
      <c r="A71" s="22">
        <v>46154</v>
      </c>
      <c r="B71" s="49" t="s">
        <v>116</v>
      </c>
      <c r="C71" s="21" t="s">
        <v>254</v>
      </c>
      <c r="D71" s="49" t="s">
        <v>30</v>
      </c>
      <c r="E71" s="49">
        <v>1243</v>
      </c>
      <c r="F71" s="49">
        <v>1008.35</v>
      </c>
      <c r="G71" s="29">
        <f t="shared" si="4"/>
        <v>131.48884000000001</v>
      </c>
      <c r="H71" s="29">
        <f t="shared" si="5"/>
        <v>876.86116000000004</v>
      </c>
      <c r="I71" s="29">
        <f t="shared" si="6"/>
        <v>366.13883999999996</v>
      </c>
      <c r="J71" s="30">
        <f t="shared" si="7"/>
        <v>0.4175562297684618</v>
      </c>
      <c r="K71" s="49" t="s">
        <v>102</v>
      </c>
      <c r="L71" s="3"/>
    </row>
    <row r="72" spans="1:12" x14ac:dyDescent="0.25">
      <c r="A72" s="22">
        <v>46154</v>
      </c>
      <c r="B72" s="49" t="s">
        <v>116</v>
      </c>
      <c r="C72" s="21" t="s">
        <v>255</v>
      </c>
      <c r="D72" s="49" t="s">
        <v>30</v>
      </c>
      <c r="E72" s="49">
        <v>1243</v>
      </c>
      <c r="F72" s="49">
        <v>1008.35</v>
      </c>
      <c r="G72" s="29">
        <f t="shared" si="4"/>
        <v>131.48884000000001</v>
      </c>
      <c r="H72" s="29">
        <f t="shared" si="5"/>
        <v>876.86116000000004</v>
      </c>
      <c r="I72" s="29">
        <f t="shared" si="6"/>
        <v>366.13883999999996</v>
      </c>
      <c r="J72" s="30">
        <f t="shared" si="7"/>
        <v>0.4175562297684618</v>
      </c>
      <c r="K72" s="49" t="s">
        <v>102</v>
      </c>
      <c r="L72" s="3"/>
    </row>
    <row r="73" spans="1:12" x14ac:dyDescent="0.25">
      <c r="A73" s="22">
        <v>46154</v>
      </c>
      <c r="B73" s="49" t="s">
        <v>116</v>
      </c>
      <c r="C73" s="21" t="s">
        <v>256</v>
      </c>
      <c r="D73" s="49" t="s">
        <v>30</v>
      </c>
      <c r="E73" s="49">
        <v>1243</v>
      </c>
      <c r="F73" s="49">
        <v>1008.35</v>
      </c>
      <c r="G73" s="29">
        <f t="shared" si="4"/>
        <v>131.48884000000001</v>
      </c>
      <c r="H73" s="29">
        <f t="shared" si="5"/>
        <v>876.86116000000004</v>
      </c>
      <c r="I73" s="29">
        <f t="shared" si="6"/>
        <v>366.13883999999996</v>
      </c>
      <c r="J73" s="30">
        <f t="shared" si="7"/>
        <v>0.4175562297684618</v>
      </c>
      <c r="K73" s="49" t="s">
        <v>102</v>
      </c>
      <c r="L73" s="3"/>
    </row>
    <row r="74" spans="1:12" x14ac:dyDescent="0.25">
      <c r="A74" s="22">
        <v>46154</v>
      </c>
      <c r="B74" s="49" t="s">
        <v>116</v>
      </c>
      <c r="C74" s="21" t="s">
        <v>257</v>
      </c>
      <c r="D74" s="49" t="s">
        <v>30</v>
      </c>
      <c r="E74" s="49">
        <v>1243</v>
      </c>
      <c r="F74" s="49">
        <v>1008.35</v>
      </c>
      <c r="G74" s="29">
        <f t="shared" si="4"/>
        <v>131.48884000000001</v>
      </c>
      <c r="H74" s="29">
        <f t="shared" si="5"/>
        <v>876.86116000000004</v>
      </c>
      <c r="I74" s="29">
        <f t="shared" si="6"/>
        <v>366.13883999999996</v>
      </c>
      <c r="J74" s="30">
        <f t="shared" si="7"/>
        <v>0.4175562297684618</v>
      </c>
      <c r="K74" s="49" t="s">
        <v>102</v>
      </c>
      <c r="L74" s="3"/>
    </row>
    <row r="75" spans="1:12" x14ac:dyDescent="0.25">
      <c r="A75" s="22">
        <v>46154</v>
      </c>
      <c r="B75" s="49" t="s">
        <v>116</v>
      </c>
      <c r="C75" s="21" t="s">
        <v>258</v>
      </c>
      <c r="D75" s="49" t="s">
        <v>30</v>
      </c>
      <c r="E75" s="49">
        <v>1243</v>
      </c>
      <c r="F75" s="49">
        <v>1010.5</v>
      </c>
      <c r="G75" s="29">
        <f t="shared" si="4"/>
        <v>131.76919999999998</v>
      </c>
      <c r="H75" s="29">
        <f t="shared" si="5"/>
        <v>878.73080000000004</v>
      </c>
      <c r="I75" s="29">
        <f t="shared" si="6"/>
        <v>364.26919999999996</v>
      </c>
      <c r="J75" s="30">
        <f t="shared" si="7"/>
        <v>0.41454015268384803</v>
      </c>
      <c r="K75" s="49" t="s">
        <v>102</v>
      </c>
      <c r="L75" s="3"/>
    </row>
    <row r="76" spans="1:12" x14ac:dyDescent="0.25">
      <c r="A76" s="22">
        <v>46154</v>
      </c>
      <c r="B76" s="49" t="s">
        <v>116</v>
      </c>
      <c r="C76" s="21" t="s">
        <v>259</v>
      </c>
      <c r="D76" s="49" t="s">
        <v>30</v>
      </c>
      <c r="E76" s="49">
        <v>1243</v>
      </c>
      <c r="F76" s="49">
        <v>1008.35</v>
      </c>
      <c r="G76" s="29">
        <f t="shared" si="4"/>
        <v>131.48884000000001</v>
      </c>
      <c r="H76" s="29">
        <f t="shared" si="5"/>
        <v>876.86116000000004</v>
      </c>
      <c r="I76" s="29">
        <f t="shared" si="6"/>
        <v>366.13883999999996</v>
      </c>
      <c r="J76" s="30">
        <f t="shared" si="7"/>
        <v>0.4175562297684618</v>
      </c>
      <c r="K76" s="49" t="s">
        <v>102</v>
      </c>
      <c r="L76" s="3"/>
    </row>
    <row r="77" spans="1:12" x14ac:dyDescent="0.25">
      <c r="A77" s="22">
        <v>46154</v>
      </c>
      <c r="B77" s="49" t="s">
        <v>116</v>
      </c>
      <c r="C77" s="21" t="s">
        <v>260</v>
      </c>
      <c r="D77" s="49" t="s">
        <v>30</v>
      </c>
      <c r="E77" s="49">
        <v>1243</v>
      </c>
      <c r="F77" s="49">
        <v>1010.5</v>
      </c>
      <c r="G77" s="29">
        <f t="shared" si="4"/>
        <v>131.76919999999998</v>
      </c>
      <c r="H77" s="29">
        <f t="shared" si="5"/>
        <v>878.73080000000004</v>
      </c>
      <c r="I77" s="29">
        <f t="shared" si="6"/>
        <v>364.26919999999996</v>
      </c>
      <c r="J77" s="30">
        <f t="shared" si="7"/>
        <v>0.41454015268384803</v>
      </c>
      <c r="K77" s="49" t="s">
        <v>102</v>
      </c>
      <c r="L77" s="3"/>
    </row>
    <row r="78" spans="1:12" x14ac:dyDescent="0.25">
      <c r="A78" s="22">
        <v>46154</v>
      </c>
      <c r="B78" s="49" t="s">
        <v>116</v>
      </c>
      <c r="C78" s="21" t="s">
        <v>261</v>
      </c>
      <c r="D78" s="49" t="s">
        <v>30</v>
      </c>
      <c r="E78" s="49">
        <v>1243</v>
      </c>
      <c r="F78" s="49">
        <v>1010.5</v>
      </c>
      <c r="G78" s="29">
        <f t="shared" si="4"/>
        <v>131.76919999999998</v>
      </c>
      <c r="H78" s="29">
        <f t="shared" si="5"/>
        <v>878.73080000000004</v>
      </c>
      <c r="I78" s="29">
        <f t="shared" si="6"/>
        <v>364.26919999999996</v>
      </c>
      <c r="J78" s="30">
        <f t="shared" si="7"/>
        <v>0.41454015268384803</v>
      </c>
      <c r="K78" s="49" t="s">
        <v>102</v>
      </c>
      <c r="L78" s="3"/>
    </row>
    <row r="79" spans="1:12" x14ac:dyDescent="0.25">
      <c r="A79" s="22">
        <v>46154</v>
      </c>
      <c r="B79" s="49" t="s">
        <v>116</v>
      </c>
      <c r="C79" s="21" t="s">
        <v>262</v>
      </c>
      <c r="D79" s="49" t="s">
        <v>30</v>
      </c>
      <c r="E79" s="49">
        <v>1243</v>
      </c>
      <c r="F79" s="49">
        <v>1010.5</v>
      </c>
      <c r="G79" s="29">
        <f t="shared" si="4"/>
        <v>131.76919999999998</v>
      </c>
      <c r="H79" s="29">
        <f t="shared" si="5"/>
        <v>878.73080000000004</v>
      </c>
      <c r="I79" s="29">
        <f t="shared" si="6"/>
        <v>364.26919999999996</v>
      </c>
      <c r="J79" s="30">
        <f t="shared" si="7"/>
        <v>0.41454015268384803</v>
      </c>
      <c r="K79" s="49" t="s">
        <v>102</v>
      </c>
      <c r="L79" s="3"/>
    </row>
    <row r="80" spans="1:12" x14ac:dyDescent="0.25">
      <c r="A80" s="22">
        <v>46154</v>
      </c>
      <c r="B80" s="49" t="s">
        <v>116</v>
      </c>
      <c r="C80" s="21" t="s">
        <v>263</v>
      </c>
      <c r="D80" s="49" t="s">
        <v>30</v>
      </c>
      <c r="E80" s="49">
        <v>1243</v>
      </c>
      <c r="F80" s="49">
        <v>1010.5</v>
      </c>
      <c r="G80" s="29">
        <f t="shared" si="4"/>
        <v>131.76919999999998</v>
      </c>
      <c r="H80" s="29">
        <f t="shared" si="5"/>
        <v>878.73080000000004</v>
      </c>
      <c r="I80" s="29">
        <f t="shared" si="6"/>
        <v>364.26919999999996</v>
      </c>
      <c r="J80" s="30">
        <f t="shared" si="7"/>
        <v>0.41454015268384803</v>
      </c>
      <c r="K80" s="49" t="s">
        <v>102</v>
      </c>
      <c r="L80" s="3"/>
    </row>
    <row r="81" spans="1:12" x14ac:dyDescent="0.25">
      <c r="A81" s="22">
        <v>46157</v>
      </c>
      <c r="B81" s="49" t="s">
        <v>101</v>
      </c>
      <c r="C81" s="21">
        <v>21225082000604</v>
      </c>
      <c r="D81" s="49" t="s">
        <v>78</v>
      </c>
      <c r="E81" s="49">
        <v>4150</v>
      </c>
      <c r="F81" s="49">
        <v>3394.85</v>
      </c>
      <c r="G81" s="29">
        <f t="shared" si="4"/>
        <v>442.68843999999996</v>
      </c>
      <c r="H81" s="29">
        <f t="shared" si="5"/>
        <v>2952.16156</v>
      </c>
      <c r="I81" s="29">
        <f t="shared" si="6"/>
        <v>1197.83844</v>
      </c>
      <c r="J81" s="30">
        <f t="shared" si="7"/>
        <v>0.40574962299827522</v>
      </c>
      <c r="K81" s="49" t="s">
        <v>102</v>
      </c>
      <c r="L81" s="3"/>
    </row>
    <row r="82" spans="1:12" x14ac:dyDescent="0.25">
      <c r="A82" s="22">
        <v>46158</v>
      </c>
      <c r="B82" s="49" t="s">
        <v>101</v>
      </c>
      <c r="C82" s="21">
        <v>21215082000336</v>
      </c>
      <c r="D82" s="49" t="s">
        <v>78</v>
      </c>
      <c r="E82" s="49">
        <v>4200</v>
      </c>
      <c r="F82" s="49">
        <v>3201.35</v>
      </c>
      <c r="G82" s="29">
        <f t="shared" si="4"/>
        <v>417.45603999999997</v>
      </c>
      <c r="H82" s="29">
        <f t="shared" si="5"/>
        <v>2783.8939599999999</v>
      </c>
      <c r="I82" s="29">
        <f t="shared" si="6"/>
        <v>1416.1060400000001</v>
      </c>
      <c r="J82" s="30">
        <f t="shared" si="7"/>
        <v>0.50867815381876114</v>
      </c>
      <c r="K82" s="49" t="s">
        <v>102</v>
      </c>
      <c r="L82" s="3"/>
    </row>
    <row r="83" spans="1:12" x14ac:dyDescent="0.25">
      <c r="A83" s="22">
        <v>46158</v>
      </c>
      <c r="B83" s="49" t="s">
        <v>101</v>
      </c>
      <c r="C83" s="21">
        <v>21215082000461</v>
      </c>
      <c r="D83" s="49" t="s">
        <v>78</v>
      </c>
      <c r="E83" s="49">
        <v>4200</v>
      </c>
      <c r="F83" s="49">
        <v>3201.35</v>
      </c>
      <c r="G83" s="29">
        <f t="shared" si="4"/>
        <v>417.45603999999997</v>
      </c>
      <c r="H83" s="29">
        <f t="shared" si="5"/>
        <v>2783.8939599999999</v>
      </c>
      <c r="I83" s="29">
        <f t="shared" si="6"/>
        <v>1416.1060400000001</v>
      </c>
      <c r="J83" s="30">
        <f t="shared" si="7"/>
        <v>0.50867815381876114</v>
      </c>
      <c r="K83" s="49" t="s">
        <v>102</v>
      </c>
      <c r="L83" s="3"/>
    </row>
    <row r="84" spans="1:12" x14ac:dyDescent="0.25">
      <c r="A84" s="22">
        <v>46158</v>
      </c>
      <c r="B84" s="49" t="s">
        <v>101</v>
      </c>
      <c r="C84" s="21">
        <v>21215082000462</v>
      </c>
      <c r="D84" s="49" t="s">
        <v>78</v>
      </c>
      <c r="E84" s="49">
        <v>4200</v>
      </c>
      <c r="F84" s="49">
        <v>3201.35</v>
      </c>
      <c r="G84" s="29">
        <f t="shared" si="4"/>
        <v>417.45603999999997</v>
      </c>
      <c r="H84" s="29">
        <f t="shared" si="5"/>
        <v>2783.8939599999999</v>
      </c>
      <c r="I84" s="29">
        <f t="shared" si="6"/>
        <v>1416.1060400000001</v>
      </c>
      <c r="J84" s="30">
        <f t="shared" si="7"/>
        <v>0.50867815381876114</v>
      </c>
      <c r="K84" s="49" t="s">
        <v>102</v>
      </c>
      <c r="L84" s="3"/>
    </row>
    <row r="85" spans="1:12" x14ac:dyDescent="0.25">
      <c r="A85" s="22">
        <v>46158</v>
      </c>
      <c r="B85" s="49" t="s">
        <v>101</v>
      </c>
      <c r="C85" s="21">
        <v>21215082000463</v>
      </c>
      <c r="D85" s="49" t="s">
        <v>78</v>
      </c>
      <c r="E85" s="49">
        <v>4200</v>
      </c>
      <c r="F85" s="49">
        <v>3201.35</v>
      </c>
      <c r="G85" s="29">
        <f t="shared" si="4"/>
        <v>417.45603999999997</v>
      </c>
      <c r="H85" s="29">
        <f t="shared" si="5"/>
        <v>2783.8939599999999</v>
      </c>
      <c r="I85" s="29">
        <f t="shared" si="6"/>
        <v>1416.1060400000001</v>
      </c>
      <c r="J85" s="30">
        <f t="shared" si="7"/>
        <v>0.50867815381876114</v>
      </c>
      <c r="K85" s="49" t="s">
        <v>102</v>
      </c>
      <c r="L85" s="3"/>
    </row>
    <row r="86" spans="1:12" x14ac:dyDescent="0.25">
      <c r="A86" s="22">
        <v>46158</v>
      </c>
      <c r="B86" s="49" t="s">
        <v>101</v>
      </c>
      <c r="C86" s="21">
        <v>21225082000561</v>
      </c>
      <c r="D86" s="49" t="s">
        <v>78</v>
      </c>
      <c r="E86" s="49">
        <v>4200</v>
      </c>
      <c r="F86" s="49">
        <v>3394.85</v>
      </c>
      <c r="G86" s="29">
        <f t="shared" si="4"/>
        <v>442.68843999999996</v>
      </c>
      <c r="H86" s="29">
        <f t="shared" si="5"/>
        <v>2952.16156</v>
      </c>
      <c r="I86" s="29">
        <f t="shared" si="6"/>
        <v>1247.83844</v>
      </c>
      <c r="J86" s="30">
        <f t="shared" si="7"/>
        <v>0.42268636544403754</v>
      </c>
      <c r="K86" s="49" t="s">
        <v>102</v>
      </c>
      <c r="L86" s="3"/>
    </row>
    <row r="87" spans="1:12" x14ac:dyDescent="0.25">
      <c r="A87" s="22">
        <v>46158</v>
      </c>
      <c r="B87" s="49" t="s">
        <v>101</v>
      </c>
      <c r="C87" s="21">
        <v>21225082000574</v>
      </c>
      <c r="D87" s="49" t="s">
        <v>78</v>
      </c>
      <c r="E87" s="49">
        <v>4200</v>
      </c>
      <c r="F87" s="49">
        <v>3394.85</v>
      </c>
      <c r="G87" s="29">
        <f t="shared" si="4"/>
        <v>442.68843999999996</v>
      </c>
      <c r="H87" s="29">
        <f t="shared" si="5"/>
        <v>2952.16156</v>
      </c>
      <c r="I87" s="29">
        <f t="shared" si="6"/>
        <v>1247.83844</v>
      </c>
      <c r="J87" s="30">
        <f t="shared" si="7"/>
        <v>0.42268636544403754</v>
      </c>
      <c r="K87" s="49" t="s">
        <v>102</v>
      </c>
      <c r="L87" s="3"/>
    </row>
    <row r="88" spans="1:12" x14ac:dyDescent="0.25">
      <c r="A88" s="22">
        <v>46158</v>
      </c>
      <c r="B88" s="49" t="s">
        <v>101</v>
      </c>
      <c r="C88" s="21">
        <v>21225082000580</v>
      </c>
      <c r="D88" s="49" t="s">
        <v>78</v>
      </c>
      <c r="E88" s="49">
        <v>4200</v>
      </c>
      <c r="F88" s="49">
        <v>3394.85</v>
      </c>
      <c r="G88" s="29">
        <f t="shared" si="4"/>
        <v>442.68843999999996</v>
      </c>
      <c r="H88" s="29">
        <f t="shared" si="5"/>
        <v>2952.16156</v>
      </c>
      <c r="I88" s="29">
        <f t="shared" si="6"/>
        <v>1247.83844</v>
      </c>
      <c r="J88" s="30">
        <f t="shared" si="7"/>
        <v>0.42268636544403754</v>
      </c>
      <c r="K88" s="49" t="s">
        <v>102</v>
      </c>
      <c r="L88" s="3"/>
    </row>
    <row r="89" spans="1:12" x14ac:dyDescent="0.25">
      <c r="A89" s="22">
        <v>46158</v>
      </c>
      <c r="B89" s="49" t="s">
        <v>101</v>
      </c>
      <c r="C89" s="21">
        <v>21225082000605</v>
      </c>
      <c r="D89" s="49" t="s">
        <v>78</v>
      </c>
      <c r="E89" s="49">
        <v>4200</v>
      </c>
      <c r="F89" s="49">
        <v>3394.85</v>
      </c>
      <c r="G89" s="29">
        <f t="shared" si="4"/>
        <v>442.68843999999996</v>
      </c>
      <c r="H89" s="29">
        <f t="shared" si="5"/>
        <v>2952.16156</v>
      </c>
      <c r="I89" s="29">
        <f t="shared" si="6"/>
        <v>1247.83844</v>
      </c>
      <c r="J89" s="30">
        <f t="shared" si="7"/>
        <v>0.42268636544403754</v>
      </c>
      <c r="K89" s="49" t="s">
        <v>102</v>
      </c>
      <c r="L89" s="3"/>
    </row>
    <row r="90" spans="1:12" x14ac:dyDescent="0.25">
      <c r="A90" s="22">
        <v>46158</v>
      </c>
      <c r="B90" s="49" t="s">
        <v>101</v>
      </c>
      <c r="C90" s="21">
        <v>21225082000972</v>
      </c>
      <c r="D90" s="49" t="s">
        <v>78</v>
      </c>
      <c r="E90" s="49">
        <v>4200</v>
      </c>
      <c r="F90" s="49">
        <v>3394.85</v>
      </c>
      <c r="G90" s="29">
        <f t="shared" si="4"/>
        <v>442.68843999999996</v>
      </c>
      <c r="H90" s="29">
        <f t="shared" si="5"/>
        <v>2952.16156</v>
      </c>
      <c r="I90" s="29">
        <f t="shared" si="6"/>
        <v>1247.83844</v>
      </c>
      <c r="J90" s="30">
        <f t="shared" si="7"/>
        <v>0.42268636544403754</v>
      </c>
      <c r="K90" s="49" t="s">
        <v>102</v>
      </c>
      <c r="L90" s="3"/>
    </row>
    <row r="91" spans="1:12" x14ac:dyDescent="0.25">
      <c r="A91" s="22">
        <v>46163</v>
      </c>
      <c r="B91" s="49" t="s">
        <v>554</v>
      </c>
      <c r="C91" s="21">
        <v>21125082000966</v>
      </c>
      <c r="D91" s="49" t="s">
        <v>78</v>
      </c>
      <c r="E91" s="49">
        <v>2100</v>
      </c>
      <c r="F91" s="49">
        <v>1674.85</v>
      </c>
      <c r="G91" s="29">
        <f t="shared" si="4"/>
        <v>218.40043999999997</v>
      </c>
      <c r="H91" s="29">
        <f t="shared" si="5"/>
        <v>1456.44956</v>
      </c>
      <c r="I91" s="29">
        <f t="shared" si="6"/>
        <v>643.55043999999998</v>
      </c>
      <c r="J91" s="30">
        <f t="shared" si="7"/>
        <v>0.44186249745579925</v>
      </c>
      <c r="K91" s="49" t="s">
        <v>102</v>
      </c>
      <c r="L91" s="3"/>
    </row>
    <row r="92" spans="1:12" x14ac:dyDescent="0.25">
      <c r="A92" s="22">
        <v>46163</v>
      </c>
      <c r="B92" s="49" t="s">
        <v>554</v>
      </c>
      <c r="C92" s="21">
        <v>21215082001175</v>
      </c>
      <c r="D92" s="49" t="s">
        <v>78</v>
      </c>
      <c r="E92" s="49">
        <v>2100</v>
      </c>
      <c r="F92" s="49">
        <v>1825.35</v>
      </c>
      <c r="G92" s="29">
        <f t="shared" si="4"/>
        <v>238.02563999999998</v>
      </c>
      <c r="H92" s="29">
        <f t="shared" si="5"/>
        <v>1587.3243599999998</v>
      </c>
      <c r="I92" s="29">
        <f t="shared" si="6"/>
        <v>512.67564000000016</v>
      </c>
      <c r="J92" s="30">
        <f t="shared" si="7"/>
        <v>0.32298101945591018</v>
      </c>
      <c r="K92" s="49" t="s">
        <v>102</v>
      </c>
      <c r="L92" s="3"/>
    </row>
    <row r="93" spans="1:12" x14ac:dyDescent="0.25">
      <c r="A93" s="22">
        <v>46163</v>
      </c>
      <c r="B93" s="49" t="s">
        <v>554</v>
      </c>
      <c r="C93" s="21">
        <v>21215082001176</v>
      </c>
      <c r="D93" s="49" t="s">
        <v>78</v>
      </c>
      <c r="E93" s="49">
        <v>2100</v>
      </c>
      <c r="F93" s="49">
        <v>1689.9</v>
      </c>
      <c r="G93" s="29">
        <f t="shared" si="4"/>
        <v>220.36295999999999</v>
      </c>
      <c r="H93" s="29">
        <f t="shared" si="5"/>
        <v>1469.5370400000002</v>
      </c>
      <c r="I93" s="29">
        <f t="shared" si="6"/>
        <v>630.46295999999984</v>
      </c>
      <c r="J93" s="30">
        <f t="shared" si="7"/>
        <v>0.42902148284741415</v>
      </c>
      <c r="K93" s="49" t="s">
        <v>102</v>
      </c>
      <c r="L93" s="3"/>
    </row>
    <row r="94" spans="1:12" x14ac:dyDescent="0.25">
      <c r="A94" s="22">
        <v>46163</v>
      </c>
      <c r="B94" s="49" t="s">
        <v>554</v>
      </c>
      <c r="C94" s="21">
        <v>21215082001178</v>
      </c>
      <c r="D94" s="49" t="s">
        <v>78</v>
      </c>
      <c r="E94" s="49">
        <v>2100</v>
      </c>
      <c r="F94" s="49">
        <v>1689.9</v>
      </c>
      <c r="G94" s="29">
        <f t="shared" si="4"/>
        <v>220.36295999999999</v>
      </c>
      <c r="H94" s="29">
        <f t="shared" si="5"/>
        <v>1469.5370400000002</v>
      </c>
      <c r="I94" s="29">
        <f t="shared" si="6"/>
        <v>630.46295999999984</v>
      </c>
      <c r="J94" s="30">
        <f t="shared" si="7"/>
        <v>0.42902148284741415</v>
      </c>
      <c r="K94" s="49" t="s">
        <v>102</v>
      </c>
      <c r="L94" s="3"/>
    </row>
    <row r="95" spans="1:12" x14ac:dyDescent="0.25">
      <c r="A95" s="22">
        <v>46163</v>
      </c>
      <c r="B95" s="49" t="s">
        <v>554</v>
      </c>
      <c r="C95" s="21">
        <v>21215082001179</v>
      </c>
      <c r="D95" s="49" t="s">
        <v>78</v>
      </c>
      <c r="E95" s="49">
        <v>2100</v>
      </c>
      <c r="F95" s="49">
        <v>1689.9</v>
      </c>
      <c r="G95" s="29">
        <f t="shared" si="4"/>
        <v>220.36295999999999</v>
      </c>
      <c r="H95" s="29">
        <f t="shared" si="5"/>
        <v>1469.5370400000002</v>
      </c>
      <c r="I95" s="29">
        <f t="shared" si="6"/>
        <v>630.46295999999984</v>
      </c>
      <c r="J95" s="30">
        <f t="shared" si="7"/>
        <v>0.42902148284741415</v>
      </c>
      <c r="K95" s="49" t="s">
        <v>102</v>
      </c>
      <c r="L95" s="3"/>
    </row>
    <row r="96" spans="1:12" x14ac:dyDescent="0.25">
      <c r="A96" s="22">
        <v>46163</v>
      </c>
      <c r="B96" s="49" t="s">
        <v>554</v>
      </c>
      <c r="C96" s="21">
        <v>21215082001189</v>
      </c>
      <c r="D96" s="49" t="s">
        <v>78</v>
      </c>
      <c r="E96" s="49">
        <v>2100</v>
      </c>
      <c r="F96" s="49">
        <v>1689.9</v>
      </c>
      <c r="G96" s="29">
        <f t="shared" si="4"/>
        <v>220.36295999999999</v>
      </c>
      <c r="H96" s="29">
        <f t="shared" si="5"/>
        <v>1469.5370400000002</v>
      </c>
      <c r="I96" s="29">
        <f t="shared" si="6"/>
        <v>630.46295999999984</v>
      </c>
      <c r="J96" s="30">
        <f t="shared" si="7"/>
        <v>0.42902148284741415</v>
      </c>
      <c r="K96" s="49" t="s">
        <v>102</v>
      </c>
      <c r="L96" s="3"/>
    </row>
    <row r="97" spans="1:12" x14ac:dyDescent="0.25">
      <c r="A97" s="22">
        <v>46163</v>
      </c>
      <c r="B97" s="49" t="s">
        <v>554</v>
      </c>
      <c r="C97" s="21">
        <v>21215082001308</v>
      </c>
      <c r="D97" s="49" t="s">
        <v>78</v>
      </c>
      <c r="E97" s="49">
        <v>2100</v>
      </c>
      <c r="F97" s="49">
        <v>1689.9</v>
      </c>
      <c r="G97" s="29">
        <f t="shared" si="4"/>
        <v>220.36295999999999</v>
      </c>
      <c r="H97" s="29">
        <f t="shared" si="5"/>
        <v>1469.5370400000002</v>
      </c>
      <c r="I97" s="29">
        <f t="shared" si="6"/>
        <v>630.46295999999984</v>
      </c>
      <c r="J97" s="30">
        <f t="shared" si="7"/>
        <v>0.42902148284741415</v>
      </c>
      <c r="K97" s="49" t="s">
        <v>102</v>
      </c>
      <c r="L97" s="3"/>
    </row>
    <row r="98" spans="1:12" x14ac:dyDescent="0.25">
      <c r="A98" s="22">
        <v>46163</v>
      </c>
      <c r="B98" s="49" t="s">
        <v>554</v>
      </c>
      <c r="C98" s="21">
        <v>21235082000724</v>
      </c>
      <c r="D98" s="49" t="s">
        <v>78</v>
      </c>
      <c r="E98" s="49">
        <v>2100</v>
      </c>
      <c r="F98" s="49">
        <v>1825.35</v>
      </c>
      <c r="G98" s="29">
        <f t="shared" si="4"/>
        <v>238.02563999999998</v>
      </c>
      <c r="H98" s="29">
        <f t="shared" si="5"/>
        <v>1587.3243599999998</v>
      </c>
      <c r="I98" s="29">
        <f t="shared" si="6"/>
        <v>512.67564000000016</v>
      </c>
      <c r="J98" s="30">
        <f t="shared" si="7"/>
        <v>0.32298101945591018</v>
      </c>
      <c r="K98" s="49" t="s">
        <v>102</v>
      </c>
      <c r="L98" s="3"/>
    </row>
    <row r="99" spans="1:12" x14ac:dyDescent="0.25">
      <c r="A99" s="22">
        <v>46163</v>
      </c>
      <c r="B99" s="49" t="s">
        <v>554</v>
      </c>
      <c r="C99" s="21">
        <v>21235082000725</v>
      </c>
      <c r="D99" s="49" t="s">
        <v>78</v>
      </c>
      <c r="E99" s="49">
        <v>2100</v>
      </c>
      <c r="F99" s="49">
        <v>1674.85</v>
      </c>
      <c r="G99" s="29">
        <f t="shared" si="4"/>
        <v>218.40043999999997</v>
      </c>
      <c r="H99" s="29">
        <f t="shared" si="5"/>
        <v>1456.44956</v>
      </c>
      <c r="I99" s="29">
        <f t="shared" si="6"/>
        <v>643.55043999999998</v>
      </c>
      <c r="J99" s="30">
        <f t="shared" si="7"/>
        <v>0.44186249745579925</v>
      </c>
      <c r="K99" s="49" t="s">
        <v>102</v>
      </c>
      <c r="L99" s="3"/>
    </row>
    <row r="100" spans="1:12" x14ac:dyDescent="0.25">
      <c r="A100" s="22">
        <v>46163</v>
      </c>
      <c r="B100" s="49" t="s">
        <v>554</v>
      </c>
      <c r="C100" s="21">
        <v>21235082000808</v>
      </c>
      <c r="D100" s="49" t="s">
        <v>78</v>
      </c>
      <c r="E100" s="49">
        <v>2100</v>
      </c>
      <c r="F100" s="49">
        <v>1825.35</v>
      </c>
      <c r="G100" s="29">
        <f t="shared" si="4"/>
        <v>238.02563999999998</v>
      </c>
      <c r="H100" s="29">
        <f t="shared" si="5"/>
        <v>1587.3243599999998</v>
      </c>
      <c r="I100" s="29">
        <f t="shared" si="6"/>
        <v>512.67564000000016</v>
      </c>
      <c r="J100" s="30">
        <f t="shared" si="7"/>
        <v>0.32298101945591018</v>
      </c>
      <c r="K100" s="49" t="s">
        <v>102</v>
      </c>
      <c r="L100" s="3"/>
    </row>
    <row r="101" spans="1:12" x14ac:dyDescent="0.25">
      <c r="A101" s="22">
        <v>46163</v>
      </c>
      <c r="B101" s="49" t="s">
        <v>554</v>
      </c>
      <c r="C101" s="21">
        <v>21235082000892</v>
      </c>
      <c r="D101" s="49" t="s">
        <v>78</v>
      </c>
      <c r="E101" s="49">
        <v>2100</v>
      </c>
      <c r="F101" s="49">
        <v>1674.85</v>
      </c>
      <c r="G101" s="29">
        <f t="shared" si="4"/>
        <v>218.40043999999997</v>
      </c>
      <c r="H101" s="29">
        <f t="shared" si="5"/>
        <v>1456.44956</v>
      </c>
      <c r="I101" s="29">
        <f t="shared" si="6"/>
        <v>643.55043999999998</v>
      </c>
      <c r="J101" s="30">
        <f t="shared" si="7"/>
        <v>0.44186249745579925</v>
      </c>
      <c r="K101" s="49" t="s">
        <v>102</v>
      </c>
      <c r="L101" s="3"/>
    </row>
    <row r="102" spans="1:12" x14ac:dyDescent="0.25">
      <c r="A102" s="22">
        <v>46163</v>
      </c>
      <c r="B102" s="49" t="s">
        <v>554</v>
      </c>
      <c r="C102" s="21" t="s">
        <v>555</v>
      </c>
      <c r="D102" s="49" t="s">
        <v>78</v>
      </c>
      <c r="E102" s="49">
        <v>2100</v>
      </c>
      <c r="F102" s="49">
        <v>1674.85</v>
      </c>
      <c r="G102" s="29">
        <f t="shared" si="4"/>
        <v>218.40043999999997</v>
      </c>
      <c r="H102" s="29">
        <f t="shared" si="5"/>
        <v>1456.44956</v>
      </c>
      <c r="I102" s="29">
        <f t="shared" si="6"/>
        <v>643.55043999999998</v>
      </c>
      <c r="J102" s="30">
        <f t="shared" si="7"/>
        <v>0.44186249745579925</v>
      </c>
      <c r="K102" s="49" t="s">
        <v>102</v>
      </c>
      <c r="L102" s="3"/>
    </row>
    <row r="103" spans="1:12" x14ac:dyDescent="0.25">
      <c r="A103" s="22">
        <v>46163</v>
      </c>
      <c r="B103" s="49" t="s">
        <v>556</v>
      </c>
      <c r="C103" s="21" t="s">
        <v>557</v>
      </c>
      <c r="D103" s="49" t="s">
        <v>30</v>
      </c>
      <c r="E103" s="49">
        <v>365</v>
      </c>
      <c r="F103" s="49">
        <v>307.45</v>
      </c>
      <c r="G103" s="29">
        <f t="shared" si="4"/>
        <v>40.091479999999997</v>
      </c>
      <c r="H103" s="29">
        <f t="shared" si="5"/>
        <v>267.35852</v>
      </c>
      <c r="I103" s="29">
        <f t="shared" si="6"/>
        <v>97.641480000000001</v>
      </c>
      <c r="J103" s="30">
        <f t="shared" si="7"/>
        <v>0.36520803601097135</v>
      </c>
      <c r="K103" s="49" t="s">
        <v>102</v>
      </c>
      <c r="L103" s="3"/>
    </row>
    <row r="104" spans="1:12" x14ac:dyDescent="0.25">
      <c r="A104" s="22">
        <v>46163</v>
      </c>
      <c r="B104" s="49" t="s">
        <v>556</v>
      </c>
      <c r="C104" s="21" t="s">
        <v>558</v>
      </c>
      <c r="D104" s="49" t="s">
        <v>30</v>
      </c>
      <c r="E104" s="49">
        <v>365</v>
      </c>
      <c r="F104" s="49">
        <v>307.45</v>
      </c>
      <c r="G104" s="29">
        <f t="shared" si="4"/>
        <v>40.091479999999997</v>
      </c>
      <c r="H104" s="29">
        <f t="shared" si="5"/>
        <v>267.35852</v>
      </c>
      <c r="I104" s="29">
        <f t="shared" si="6"/>
        <v>97.641480000000001</v>
      </c>
      <c r="J104" s="30">
        <f t="shared" si="7"/>
        <v>0.36520803601097135</v>
      </c>
      <c r="K104" s="49" t="s">
        <v>102</v>
      </c>
      <c r="L104" s="3"/>
    </row>
    <row r="105" spans="1:12" x14ac:dyDescent="0.25">
      <c r="A105" s="22">
        <v>46163</v>
      </c>
      <c r="B105" s="49" t="s">
        <v>556</v>
      </c>
      <c r="C105" s="21" t="s">
        <v>559</v>
      </c>
      <c r="D105" s="49" t="s">
        <v>30</v>
      </c>
      <c r="E105" s="49">
        <v>365</v>
      </c>
      <c r="F105" s="49">
        <v>307.45</v>
      </c>
      <c r="G105" s="29">
        <f t="shared" si="4"/>
        <v>40.091479999999997</v>
      </c>
      <c r="H105" s="29">
        <f t="shared" si="5"/>
        <v>267.35852</v>
      </c>
      <c r="I105" s="29">
        <f t="shared" si="6"/>
        <v>97.641480000000001</v>
      </c>
      <c r="J105" s="30">
        <f t="shared" si="7"/>
        <v>0.36520803601097135</v>
      </c>
      <c r="K105" s="49" t="s">
        <v>102</v>
      </c>
      <c r="L105" s="3"/>
    </row>
    <row r="106" spans="1:12" x14ac:dyDescent="0.25">
      <c r="A106" s="22">
        <v>46163</v>
      </c>
      <c r="B106" s="49" t="s">
        <v>556</v>
      </c>
      <c r="C106" s="21" t="s">
        <v>560</v>
      </c>
      <c r="D106" s="49" t="s">
        <v>30</v>
      </c>
      <c r="E106" s="49">
        <v>365</v>
      </c>
      <c r="F106" s="49">
        <v>307.45</v>
      </c>
      <c r="G106" s="29">
        <f t="shared" si="4"/>
        <v>40.091479999999997</v>
      </c>
      <c r="H106" s="29">
        <f t="shared" si="5"/>
        <v>267.35852</v>
      </c>
      <c r="I106" s="29">
        <f t="shared" si="6"/>
        <v>97.641480000000001</v>
      </c>
      <c r="J106" s="30">
        <f t="shared" si="7"/>
        <v>0.36520803601097135</v>
      </c>
      <c r="K106" s="49" t="s">
        <v>102</v>
      </c>
      <c r="L106" s="3"/>
    </row>
    <row r="107" spans="1:12" x14ac:dyDescent="0.25">
      <c r="A107" s="22">
        <v>46163</v>
      </c>
      <c r="B107" s="49" t="s">
        <v>556</v>
      </c>
      <c r="C107" s="21" t="s">
        <v>561</v>
      </c>
      <c r="D107" s="49" t="s">
        <v>30</v>
      </c>
      <c r="E107" s="49">
        <v>365</v>
      </c>
      <c r="F107" s="49">
        <v>307.45</v>
      </c>
      <c r="G107" s="29">
        <f t="shared" si="4"/>
        <v>40.091479999999997</v>
      </c>
      <c r="H107" s="29">
        <f t="shared" si="5"/>
        <v>267.35852</v>
      </c>
      <c r="I107" s="29">
        <f t="shared" si="6"/>
        <v>97.641480000000001</v>
      </c>
      <c r="J107" s="30">
        <f t="shared" si="7"/>
        <v>0.36520803601097135</v>
      </c>
      <c r="K107" s="49" t="s">
        <v>102</v>
      </c>
      <c r="L107" s="3"/>
    </row>
    <row r="108" spans="1:12" x14ac:dyDescent="0.25">
      <c r="A108" s="22">
        <v>46163</v>
      </c>
      <c r="B108" s="49" t="s">
        <v>556</v>
      </c>
      <c r="C108" s="21" t="s">
        <v>562</v>
      </c>
      <c r="D108" s="49" t="s">
        <v>30</v>
      </c>
      <c r="E108" s="49">
        <v>365</v>
      </c>
      <c r="F108" s="49">
        <v>307.45</v>
      </c>
      <c r="G108" s="29">
        <f t="shared" si="4"/>
        <v>40.091479999999997</v>
      </c>
      <c r="H108" s="29">
        <f t="shared" si="5"/>
        <v>267.35852</v>
      </c>
      <c r="I108" s="29">
        <f t="shared" si="6"/>
        <v>97.641480000000001</v>
      </c>
      <c r="J108" s="30">
        <f t="shared" si="7"/>
        <v>0.36520803601097135</v>
      </c>
      <c r="K108" s="49" t="s">
        <v>102</v>
      </c>
      <c r="L108" s="3"/>
    </row>
    <row r="109" spans="1:12" x14ac:dyDescent="0.25">
      <c r="A109" s="22">
        <v>46163</v>
      </c>
      <c r="B109" s="49" t="s">
        <v>556</v>
      </c>
      <c r="C109" s="21" t="s">
        <v>563</v>
      </c>
      <c r="D109" s="49" t="s">
        <v>30</v>
      </c>
      <c r="E109" s="49">
        <v>365</v>
      </c>
      <c r="F109" s="49">
        <v>307.45</v>
      </c>
      <c r="G109" s="29">
        <f t="shared" si="4"/>
        <v>40.091479999999997</v>
      </c>
      <c r="H109" s="29">
        <f t="shared" si="5"/>
        <v>267.35852</v>
      </c>
      <c r="I109" s="29">
        <f t="shared" si="6"/>
        <v>97.641480000000001</v>
      </c>
      <c r="J109" s="30">
        <f t="shared" si="7"/>
        <v>0.36520803601097135</v>
      </c>
      <c r="K109" s="49" t="s">
        <v>102</v>
      </c>
      <c r="L109" s="3"/>
    </row>
    <row r="110" spans="1:12" x14ac:dyDescent="0.25">
      <c r="A110" s="22">
        <v>46163</v>
      </c>
      <c r="B110" s="49" t="s">
        <v>556</v>
      </c>
      <c r="C110" s="21" t="s">
        <v>564</v>
      </c>
      <c r="D110" s="49" t="s">
        <v>30</v>
      </c>
      <c r="E110" s="49">
        <v>365</v>
      </c>
      <c r="F110" s="49">
        <v>307.45</v>
      </c>
      <c r="G110" s="29">
        <f t="shared" si="4"/>
        <v>40.091479999999997</v>
      </c>
      <c r="H110" s="29">
        <f t="shared" si="5"/>
        <v>267.35852</v>
      </c>
      <c r="I110" s="29">
        <f t="shared" si="6"/>
        <v>97.641480000000001</v>
      </c>
      <c r="J110" s="30">
        <f t="shared" si="7"/>
        <v>0.36520803601097135</v>
      </c>
      <c r="K110" s="49" t="s">
        <v>102</v>
      </c>
      <c r="L110" s="3"/>
    </row>
    <row r="111" spans="1:12" x14ac:dyDescent="0.25">
      <c r="A111" s="22">
        <v>46163</v>
      </c>
      <c r="B111" s="49" t="s">
        <v>556</v>
      </c>
      <c r="C111" s="21" t="s">
        <v>565</v>
      </c>
      <c r="D111" s="49" t="s">
        <v>30</v>
      </c>
      <c r="E111" s="49">
        <v>365</v>
      </c>
      <c r="F111" s="49">
        <v>307.45</v>
      </c>
      <c r="G111" s="29">
        <f t="shared" si="4"/>
        <v>40.091479999999997</v>
      </c>
      <c r="H111" s="29">
        <f t="shared" si="5"/>
        <v>267.35852</v>
      </c>
      <c r="I111" s="29">
        <f t="shared" si="6"/>
        <v>97.641480000000001</v>
      </c>
      <c r="J111" s="30">
        <f t="shared" si="7"/>
        <v>0.36520803601097135</v>
      </c>
      <c r="K111" s="49" t="s">
        <v>102</v>
      </c>
      <c r="L111" s="3"/>
    </row>
    <row r="112" spans="1:12" x14ac:dyDescent="0.25">
      <c r="A112" s="22">
        <v>46163</v>
      </c>
      <c r="B112" s="49" t="s">
        <v>556</v>
      </c>
      <c r="C112" s="21" t="s">
        <v>566</v>
      </c>
      <c r="D112" s="49" t="s">
        <v>30</v>
      </c>
      <c r="E112" s="49">
        <v>365</v>
      </c>
      <c r="F112" s="49">
        <v>307.45</v>
      </c>
      <c r="G112" s="29">
        <f t="shared" si="4"/>
        <v>40.091479999999997</v>
      </c>
      <c r="H112" s="29">
        <f t="shared" si="5"/>
        <v>267.35852</v>
      </c>
      <c r="I112" s="29">
        <f t="shared" si="6"/>
        <v>97.641480000000001</v>
      </c>
      <c r="J112" s="30">
        <f t="shared" si="7"/>
        <v>0.36520803601097135</v>
      </c>
      <c r="K112" s="49" t="s">
        <v>102</v>
      </c>
      <c r="L112" s="3"/>
    </row>
    <row r="113" spans="1:12" x14ac:dyDescent="0.25">
      <c r="A113" s="22">
        <v>46163</v>
      </c>
      <c r="B113" s="49" t="s">
        <v>556</v>
      </c>
      <c r="C113" s="21" t="s">
        <v>567</v>
      </c>
      <c r="D113" s="49" t="s">
        <v>30</v>
      </c>
      <c r="E113" s="49">
        <v>365</v>
      </c>
      <c r="F113" s="49">
        <v>307.45</v>
      </c>
      <c r="G113" s="29">
        <f t="shared" si="4"/>
        <v>40.091479999999997</v>
      </c>
      <c r="H113" s="29">
        <f t="shared" si="5"/>
        <v>267.35852</v>
      </c>
      <c r="I113" s="29">
        <f t="shared" si="6"/>
        <v>97.641480000000001</v>
      </c>
      <c r="J113" s="30">
        <f t="shared" si="7"/>
        <v>0.36520803601097135</v>
      </c>
      <c r="K113" s="49" t="s">
        <v>102</v>
      </c>
      <c r="L113" s="3"/>
    </row>
    <row r="114" spans="1:12" x14ac:dyDescent="0.25">
      <c r="A114" s="22">
        <v>46163</v>
      </c>
      <c r="B114" s="49" t="s">
        <v>556</v>
      </c>
      <c r="C114" s="21" t="s">
        <v>568</v>
      </c>
      <c r="D114" s="49" t="s">
        <v>30</v>
      </c>
      <c r="E114" s="49">
        <v>365</v>
      </c>
      <c r="F114" s="49">
        <v>307.45</v>
      </c>
      <c r="G114" s="29">
        <f t="shared" si="4"/>
        <v>40.091479999999997</v>
      </c>
      <c r="H114" s="29">
        <f t="shared" si="5"/>
        <v>267.35852</v>
      </c>
      <c r="I114" s="29">
        <f t="shared" si="6"/>
        <v>97.641480000000001</v>
      </c>
      <c r="J114" s="30">
        <f t="shared" si="7"/>
        <v>0.36520803601097135</v>
      </c>
      <c r="K114" s="49" t="s">
        <v>102</v>
      </c>
      <c r="L114" s="3"/>
    </row>
    <row r="115" spans="1:12" x14ac:dyDescent="0.25">
      <c r="A115" s="22">
        <v>46163</v>
      </c>
      <c r="B115" s="49" t="s">
        <v>556</v>
      </c>
      <c r="C115" s="21" t="s">
        <v>569</v>
      </c>
      <c r="D115" s="49" t="s">
        <v>30</v>
      </c>
      <c r="E115" s="49">
        <v>365</v>
      </c>
      <c r="F115" s="49">
        <v>307.45</v>
      </c>
      <c r="G115" s="29">
        <f t="shared" si="4"/>
        <v>40.091479999999997</v>
      </c>
      <c r="H115" s="29">
        <f t="shared" si="5"/>
        <v>267.35852</v>
      </c>
      <c r="I115" s="29">
        <f t="shared" si="6"/>
        <v>97.641480000000001</v>
      </c>
      <c r="J115" s="30">
        <f t="shared" si="7"/>
        <v>0.36520803601097135</v>
      </c>
      <c r="K115" s="49" t="s">
        <v>102</v>
      </c>
      <c r="L115" s="3"/>
    </row>
    <row r="116" spans="1:12" x14ac:dyDescent="0.25">
      <c r="A116" s="22">
        <v>46163</v>
      </c>
      <c r="B116" s="49" t="s">
        <v>556</v>
      </c>
      <c r="C116" s="21" t="s">
        <v>574</v>
      </c>
      <c r="D116" s="49" t="s">
        <v>30</v>
      </c>
      <c r="E116" s="49">
        <v>365</v>
      </c>
      <c r="F116" s="49">
        <v>307.45</v>
      </c>
      <c r="G116" s="29">
        <f t="shared" si="4"/>
        <v>40.091479999999997</v>
      </c>
      <c r="H116" s="29">
        <f t="shared" si="5"/>
        <v>267.35852</v>
      </c>
      <c r="I116" s="29">
        <f t="shared" si="6"/>
        <v>97.641480000000001</v>
      </c>
      <c r="J116" s="30">
        <f t="shared" si="7"/>
        <v>0.36520803601097135</v>
      </c>
      <c r="K116" s="49" t="s">
        <v>102</v>
      </c>
      <c r="L116" s="3"/>
    </row>
    <row r="117" spans="1:12" x14ac:dyDescent="0.25">
      <c r="A117" s="22">
        <v>46163</v>
      </c>
      <c r="B117" s="49" t="s">
        <v>556</v>
      </c>
      <c r="C117" s="21" t="s">
        <v>575</v>
      </c>
      <c r="D117" s="49" t="s">
        <v>30</v>
      </c>
      <c r="E117" s="49">
        <v>365</v>
      </c>
      <c r="F117" s="49">
        <v>307.45</v>
      </c>
      <c r="G117" s="29">
        <f t="shared" si="4"/>
        <v>40.091479999999997</v>
      </c>
      <c r="H117" s="29">
        <f t="shared" si="5"/>
        <v>267.35852</v>
      </c>
      <c r="I117" s="29">
        <f t="shared" si="6"/>
        <v>97.641480000000001</v>
      </c>
      <c r="J117" s="30">
        <f t="shared" si="7"/>
        <v>0.36520803601097135</v>
      </c>
      <c r="K117" s="49" t="s">
        <v>102</v>
      </c>
      <c r="L117" s="3"/>
    </row>
    <row r="118" spans="1:12" x14ac:dyDescent="0.25">
      <c r="A118" s="22">
        <v>46163</v>
      </c>
      <c r="B118" s="49" t="s">
        <v>556</v>
      </c>
      <c r="C118" s="21" t="s">
        <v>576</v>
      </c>
      <c r="D118" s="49" t="s">
        <v>30</v>
      </c>
      <c r="E118" s="49">
        <v>365</v>
      </c>
      <c r="F118" s="49">
        <v>307.45</v>
      </c>
      <c r="G118" s="29">
        <f t="shared" si="4"/>
        <v>40.091479999999997</v>
      </c>
      <c r="H118" s="29">
        <f t="shared" si="5"/>
        <v>267.35852</v>
      </c>
      <c r="I118" s="29">
        <f t="shared" si="6"/>
        <v>97.641480000000001</v>
      </c>
      <c r="J118" s="30">
        <f t="shared" si="7"/>
        <v>0.36520803601097135</v>
      </c>
      <c r="K118" s="49" t="s">
        <v>102</v>
      </c>
      <c r="L118" s="3"/>
    </row>
    <row r="119" spans="1:12" x14ac:dyDescent="0.25">
      <c r="A119" s="22">
        <v>46163</v>
      </c>
      <c r="B119" s="49" t="s">
        <v>556</v>
      </c>
      <c r="C119" s="21" t="s">
        <v>577</v>
      </c>
      <c r="D119" s="49" t="s">
        <v>30</v>
      </c>
      <c r="E119" s="49">
        <v>365</v>
      </c>
      <c r="F119" s="49">
        <v>307.45</v>
      </c>
      <c r="G119" s="29">
        <f t="shared" si="4"/>
        <v>40.091479999999997</v>
      </c>
      <c r="H119" s="29">
        <f t="shared" si="5"/>
        <v>267.35852</v>
      </c>
      <c r="I119" s="29">
        <f t="shared" si="6"/>
        <v>97.641480000000001</v>
      </c>
      <c r="J119" s="30">
        <f t="shared" si="7"/>
        <v>0.36520803601097135</v>
      </c>
      <c r="K119" s="49" t="s">
        <v>102</v>
      </c>
      <c r="L119" s="3"/>
    </row>
    <row r="120" spans="1:12" x14ac:dyDescent="0.25">
      <c r="A120" s="22">
        <v>46163</v>
      </c>
      <c r="B120" s="49" t="s">
        <v>556</v>
      </c>
      <c r="C120" s="21" t="s">
        <v>578</v>
      </c>
      <c r="D120" s="49" t="s">
        <v>30</v>
      </c>
      <c r="E120" s="49">
        <v>365</v>
      </c>
      <c r="F120" s="49">
        <v>307.45</v>
      </c>
      <c r="G120" s="29">
        <f t="shared" si="4"/>
        <v>40.091479999999997</v>
      </c>
      <c r="H120" s="29">
        <f t="shared" si="5"/>
        <v>267.35852</v>
      </c>
      <c r="I120" s="29">
        <f t="shared" si="6"/>
        <v>97.641480000000001</v>
      </c>
      <c r="J120" s="30">
        <f t="shared" si="7"/>
        <v>0.36520803601097135</v>
      </c>
      <c r="K120" s="49" t="s">
        <v>102</v>
      </c>
      <c r="L120" s="3"/>
    </row>
    <row r="121" spans="1:12" x14ac:dyDescent="0.25">
      <c r="A121" s="22">
        <v>46163</v>
      </c>
      <c r="B121" s="49" t="s">
        <v>556</v>
      </c>
      <c r="C121" s="21" t="s">
        <v>579</v>
      </c>
      <c r="D121" s="49" t="s">
        <v>30</v>
      </c>
      <c r="E121" s="49">
        <v>365</v>
      </c>
      <c r="F121" s="49">
        <v>307.45</v>
      </c>
      <c r="G121" s="29">
        <f t="shared" si="4"/>
        <v>40.091479999999997</v>
      </c>
      <c r="H121" s="29">
        <f t="shared" si="5"/>
        <v>267.35852</v>
      </c>
      <c r="I121" s="29">
        <f t="shared" si="6"/>
        <v>97.641480000000001</v>
      </c>
      <c r="J121" s="30">
        <f t="shared" si="7"/>
        <v>0.36520803601097135</v>
      </c>
      <c r="K121" s="49" t="s">
        <v>102</v>
      </c>
      <c r="L121" s="3"/>
    </row>
    <row r="122" spans="1:12" x14ac:dyDescent="0.25">
      <c r="A122" s="22">
        <v>46163</v>
      </c>
      <c r="B122" s="49" t="s">
        <v>556</v>
      </c>
      <c r="C122" s="21" t="s">
        <v>580</v>
      </c>
      <c r="D122" s="49" t="s">
        <v>30</v>
      </c>
      <c r="E122" s="49">
        <v>365</v>
      </c>
      <c r="F122" s="49">
        <v>307.45</v>
      </c>
      <c r="G122" s="29">
        <f t="shared" si="4"/>
        <v>40.091479999999997</v>
      </c>
      <c r="H122" s="29">
        <f t="shared" si="5"/>
        <v>267.35852</v>
      </c>
      <c r="I122" s="29">
        <f t="shared" si="6"/>
        <v>97.641480000000001</v>
      </c>
      <c r="J122" s="30">
        <f t="shared" si="7"/>
        <v>0.36520803601097135</v>
      </c>
      <c r="K122" s="49" t="s">
        <v>102</v>
      </c>
      <c r="L122" s="3"/>
    </row>
    <row r="123" spans="1:12" x14ac:dyDescent="0.25">
      <c r="A123" s="22">
        <v>46163</v>
      </c>
      <c r="B123" s="49" t="s">
        <v>556</v>
      </c>
      <c r="C123" s="21" t="s">
        <v>581</v>
      </c>
      <c r="D123" s="49" t="s">
        <v>30</v>
      </c>
      <c r="E123" s="49">
        <v>365</v>
      </c>
      <c r="F123" s="49">
        <v>307.45</v>
      </c>
      <c r="G123" s="29">
        <f t="shared" si="4"/>
        <v>40.091479999999997</v>
      </c>
      <c r="H123" s="29">
        <f t="shared" si="5"/>
        <v>267.35852</v>
      </c>
      <c r="I123" s="29">
        <f t="shared" si="6"/>
        <v>97.641480000000001</v>
      </c>
      <c r="J123" s="30">
        <f t="shared" si="7"/>
        <v>0.36520803601097135</v>
      </c>
      <c r="K123" s="49" t="s">
        <v>102</v>
      </c>
      <c r="L123" s="3"/>
    </row>
    <row r="124" spans="1:12" x14ac:dyDescent="0.25">
      <c r="E124" s="27" t="s">
        <v>768</v>
      </c>
      <c r="F124" s="27" t="s">
        <v>772</v>
      </c>
      <c r="G124" s="28" t="s">
        <v>773</v>
      </c>
      <c r="H124" s="28" t="s">
        <v>774</v>
      </c>
      <c r="I124" s="28" t="s">
        <v>775</v>
      </c>
      <c r="J124" s="27" t="s">
        <v>771</v>
      </c>
      <c r="K124" s="49"/>
    </row>
    <row r="125" spans="1:12" x14ac:dyDescent="0.25">
      <c r="E125" s="40">
        <f t="shared" ref="E125:I125" si="8">SUM(E2:E124)</f>
        <v>415975</v>
      </c>
      <c r="F125" s="40">
        <f t="shared" si="8"/>
        <v>310557.7600000003</v>
      </c>
      <c r="G125" s="41">
        <f t="shared" si="8"/>
        <v>40496.731904000044</v>
      </c>
      <c r="H125" s="40">
        <f t="shared" si="8"/>
        <v>270061.02809599991</v>
      </c>
      <c r="I125" s="40">
        <f t="shared" si="8"/>
        <v>145913.97190399971</v>
      </c>
      <c r="J125" s="61">
        <f>AVERAGE(J2:J124)</f>
        <v>0.41355212885998305</v>
      </c>
      <c r="K125" s="49"/>
    </row>
    <row r="133" spans="2:10" x14ac:dyDescent="0.25">
      <c r="B133" s="39" t="s">
        <v>782</v>
      </c>
      <c r="C133" s="49">
        <v>5996.95</v>
      </c>
    </row>
    <row r="134" spans="2:10" x14ac:dyDescent="0.25">
      <c r="B134" s="49" t="s">
        <v>793</v>
      </c>
      <c r="C134" s="49">
        <v>2945.5</v>
      </c>
    </row>
    <row r="135" spans="2:10" s="48" customFormat="1" x14ac:dyDescent="0.25">
      <c r="B135" s="52" t="s">
        <v>795</v>
      </c>
      <c r="C135" s="49">
        <v>6900</v>
      </c>
      <c r="G135" s="9"/>
      <c r="J135" s="10"/>
    </row>
    <row r="136" spans="2:10" x14ac:dyDescent="0.25">
      <c r="B136" s="49"/>
      <c r="C136" s="49"/>
    </row>
    <row r="137" spans="2:10" ht="21" x14ac:dyDescent="0.35">
      <c r="B137" s="43" t="s">
        <v>785</v>
      </c>
      <c r="C137" s="43">
        <f>SUM(C133:C136)</f>
        <v>15842.45</v>
      </c>
    </row>
    <row r="138" spans="2:10" ht="21" x14ac:dyDescent="0.35">
      <c r="B138" s="57"/>
      <c r="C138" s="57"/>
    </row>
    <row r="139" spans="2:10" ht="21" x14ac:dyDescent="0.35">
      <c r="B139" s="43" t="s">
        <v>794</v>
      </c>
      <c r="C139" s="45">
        <f>I125-C137</f>
        <v>130071.52190399972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6464-453C-4156-98B3-DE3DF9E93141}">
  <dimension ref="A1:J554"/>
  <sheetViews>
    <sheetView topLeftCell="A462" zoomScaleNormal="100" workbookViewId="0">
      <selection activeCell="C477" sqref="C477"/>
    </sheetView>
  </sheetViews>
  <sheetFormatPr defaultRowHeight="15" x14ac:dyDescent="0.25"/>
  <cols>
    <col min="1" max="1" width="15.140625" customWidth="1"/>
    <col min="2" max="2" width="58.28515625" customWidth="1"/>
    <col min="3" max="3" width="33.28515625" customWidth="1"/>
    <col min="4" max="4" width="30.85546875" customWidth="1"/>
    <col min="5" max="5" width="14.5703125" customWidth="1"/>
    <col min="6" max="6" width="16.140625" customWidth="1"/>
    <col min="7" max="7" width="14.5703125" customWidth="1"/>
    <col min="8" max="8" width="18.85546875" customWidth="1"/>
    <col min="9" max="10" width="24.5703125" customWidth="1"/>
  </cols>
  <sheetData>
    <row r="1" spans="1:10" ht="16.5" customHeight="1" x14ac:dyDescent="0.25">
      <c r="A1" s="31" t="s">
        <v>5</v>
      </c>
      <c r="B1" s="31" t="s">
        <v>6</v>
      </c>
      <c r="C1" s="32" t="s">
        <v>7</v>
      </c>
      <c r="D1" s="31" t="s">
        <v>8</v>
      </c>
      <c r="E1" s="31" t="s">
        <v>9</v>
      </c>
      <c r="F1" s="31" t="s">
        <v>10</v>
      </c>
      <c r="G1" s="31" t="s">
        <v>11</v>
      </c>
      <c r="H1" s="31" t="s">
        <v>12</v>
      </c>
      <c r="I1" s="31" t="s">
        <v>13</v>
      </c>
      <c r="J1" s="20"/>
    </row>
    <row r="2" spans="1:10" x14ac:dyDescent="0.25">
      <c r="A2" s="18">
        <v>46135</v>
      </c>
      <c r="B2" s="11" t="s">
        <v>15</v>
      </c>
      <c r="C2" s="19" t="s">
        <v>741</v>
      </c>
      <c r="D2" s="11" t="s">
        <v>742</v>
      </c>
      <c r="E2" s="11">
        <v>1600</v>
      </c>
      <c r="F2" s="11">
        <v>1249.5</v>
      </c>
      <c r="G2" s="11">
        <f>E2-F2</f>
        <v>350.5</v>
      </c>
      <c r="H2" s="12">
        <f>(E2-F2)/F2</f>
        <v>0.28051220488195278</v>
      </c>
      <c r="I2" s="11" t="s">
        <v>18</v>
      </c>
      <c r="J2" s="20"/>
    </row>
    <row r="3" spans="1:10" x14ac:dyDescent="0.25">
      <c r="A3" s="18">
        <v>46135</v>
      </c>
      <c r="B3" s="11" t="s">
        <v>15</v>
      </c>
      <c r="C3" s="19" t="s">
        <v>743</v>
      </c>
      <c r="D3" s="11" t="s">
        <v>744</v>
      </c>
      <c r="E3" s="11">
        <v>1600</v>
      </c>
      <c r="F3" s="11">
        <v>1467.8</v>
      </c>
      <c r="G3" s="11">
        <f t="shared" ref="G3:G66" si="0">E3-F3</f>
        <v>132.20000000000005</v>
      </c>
      <c r="H3" s="12">
        <f t="shared" ref="H3:H61" si="1">(E3-F3)/F3</f>
        <v>9.0066766589453631E-2</v>
      </c>
      <c r="I3" s="11" t="s">
        <v>18</v>
      </c>
      <c r="J3" s="20"/>
    </row>
    <row r="4" spans="1:10" x14ac:dyDescent="0.25">
      <c r="A4" s="18">
        <v>46135</v>
      </c>
      <c r="B4" s="11" t="s">
        <v>40</v>
      </c>
      <c r="C4" s="19" t="s">
        <v>745</v>
      </c>
      <c r="D4" s="11"/>
      <c r="E4" s="11">
        <v>1930</v>
      </c>
      <c r="F4" s="11">
        <v>1517.25</v>
      </c>
      <c r="G4" s="11">
        <f t="shared" si="0"/>
        <v>412.75</v>
      </c>
      <c r="H4" s="12">
        <f t="shared" si="1"/>
        <v>0.2720382270555281</v>
      </c>
      <c r="I4" s="11" t="s">
        <v>18</v>
      </c>
      <c r="J4" s="20"/>
    </row>
    <row r="5" spans="1:10" x14ac:dyDescent="0.25">
      <c r="A5" s="18">
        <v>46135</v>
      </c>
      <c r="B5" s="11" t="s">
        <v>40</v>
      </c>
      <c r="C5" s="19" t="s">
        <v>746</v>
      </c>
      <c r="D5" s="11" t="s">
        <v>30</v>
      </c>
      <c r="E5" s="11">
        <v>1930</v>
      </c>
      <c r="F5" s="11">
        <v>1517.25</v>
      </c>
      <c r="G5" s="11">
        <f t="shared" si="0"/>
        <v>412.75</v>
      </c>
      <c r="H5" s="12">
        <f t="shared" si="1"/>
        <v>0.2720382270555281</v>
      </c>
      <c r="I5" s="11" t="s">
        <v>18</v>
      </c>
      <c r="J5" s="20"/>
    </row>
    <row r="6" spans="1:10" x14ac:dyDescent="0.25">
      <c r="A6" s="18">
        <v>46135</v>
      </c>
      <c r="B6" s="11" t="s">
        <v>40</v>
      </c>
      <c r="C6" s="19" t="s">
        <v>747</v>
      </c>
      <c r="D6" s="11" t="s">
        <v>30</v>
      </c>
      <c r="E6" s="11">
        <v>1930</v>
      </c>
      <c r="F6" s="11">
        <v>1517.25</v>
      </c>
      <c r="G6" s="11">
        <f t="shared" si="0"/>
        <v>412.75</v>
      </c>
      <c r="H6" s="12">
        <f t="shared" si="1"/>
        <v>0.2720382270555281</v>
      </c>
      <c r="I6" s="11" t="s">
        <v>18</v>
      </c>
      <c r="J6" s="20"/>
    </row>
    <row r="7" spans="1:10" x14ac:dyDescent="0.25">
      <c r="A7" s="18">
        <v>46135</v>
      </c>
      <c r="B7" s="11" t="s">
        <v>520</v>
      </c>
      <c r="C7" s="19" t="s">
        <v>748</v>
      </c>
      <c r="D7" s="11" t="s">
        <v>749</v>
      </c>
      <c r="E7" s="11">
        <v>1050</v>
      </c>
      <c r="F7" s="11">
        <v>624.75</v>
      </c>
      <c r="G7" s="11">
        <f t="shared" si="0"/>
        <v>425.25</v>
      </c>
      <c r="H7" s="12">
        <f t="shared" si="1"/>
        <v>0.68067226890756305</v>
      </c>
      <c r="I7" s="11" t="s">
        <v>18</v>
      </c>
      <c r="J7" s="20"/>
    </row>
    <row r="8" spans="1:10" x14ac:dyDescent="0.25">
      <c r="A8" s="18">
        <v>46135</v>
      </c>
      <c r="B8" s="11" t="s">
        <v>55</v>
      </c>
      <c r="C8" s="19" t="s">
        <v>750</v>
      </c>
      <c r="D8" s="11" t="s">
        <v>39</v>
      </c>
      <c r="E8" s="11">
        <v>1340</v>
      </c>
      <c r="F8" s="11">
        <v>1253</v>
      </c>
      <c r="G8" s="11">
        <f t="shared" si="0"/>
        <v>87</v>
      </c>
      <c r="H8" s="12">
        <f t="shared" si="1"/>
        <v>6.9433359936153238E-2</v>
      </c>
      <c r="I8" s="11" t="s">
        <v>18</v>
      </c>
      <c r="J8" s="20"/>
    </row>
    <row r="9" spans="1:10" x14ac:dyDescent="0.25">
      <c r="A9" s="13">
        <v>46135</v>
      </c>
      <c r="B9" s="14" t="s">
        <v>55</v>
      </c>
      <c r="C9" s="15" t="s">
        <v>751</v>
      </c>
      <c r="D9" s="14" t="s">
        <v>752</v>
      </c>
      <c r="E9" s="14">
        <v>1242</v>
      </c>
      <c r="F9" s="14">
        <v>1249.5</v>
      </c>
      <c r="G9" s="14">
        <f t="shared" si="0"/>
        <v>-7.5</v>
      </c>
      <c r="H9" s="16">
        <f t="shared" si="1"/>
        <v>-6.0024009603841539E-3</v>
      </c>
      <c r="I9" s="14" t="s">
        <v>18</v>
      </c>
      <c r="J9" s="20"/>
    </row>
    <row r="10" spans="1:10" x14ac:dyDescent="0.25">
      <c r="A10" s="18">
        <v>46135</v>
      </c>
      <c r="B10" s="11" t="s">
        <v>55</v>
      </c>
      <c r="C10" s="19" t="s">
        <v>753</v>
      </c>
      <c r="D10" s="11" t="s">
        <v>59</v>
      </c>
      <c r="E10" s="11">
        <v>1540</v>
      </c>
      <c r="F10" s="11">
        <v>1249.5</v>
      </c>
      <c r="G10" s="11">
        <f t="shared" si="0"/>
        <v>290.5</v>
      </c>
      <c r="H10" s="12">
        <f t="shared" si="1"/>
        <v>0.23249299719887956</v>
      </c>
      <c r="I10" s="11" t="s">
        <v>18</v>
      </c>
      <c r="J10" s="20"/>
    </row>
    <row r="11" spans="1:10" x14ac:dyDescent="0.25">
      <c r="A11" s="18">
        <v>46135</v>
      </c>
      <c r="B11" s="11" t="s">
        <v>754</v>
      </c>
      <c r="C11" s="19" t="s">
        <v>755</v>
      </c>
      <c r="D11" s="11"/>
      <c r="E11" s="11">
        <v>194</v>
      </c>
      <c r="F11" s="11">
        <v>143.19999999999999</v>
      </c>
      <c r="G11" s="11">
        <f t="shared" si="0"/>
        <v>50.800000000000011</v>
      </c>
      <c r="H11" s="12">
        <f t="shared" si="1"/>
        <v>0.3547486033519554</v>
      </c>
      <c r="I11" s="11" t="s">
        <v>18</v>
      </c>
      <c r="J11" s="20"/>
    </row>
    <row r="12" spans="1:10" x14ac:dyDescent="0.25">
      <c r="A12" s="18">
        <v>46135</v>
      </c>
      <c r="B12" s="11" t="s">
        <v>754</v>
      </c>
      <c r="C12" s="19" t="s">
        <v>756</v>
      </c>
      <c r="D12" s="11"/>
      <c r="E12" s="11">
        <v>194</v>
      </c>
      <c r="F12" s="11">
        <v>143.19999999999999</v>
      </c>
      <c r="G12" s="11">
        <f t="shared" si="0"/>
        <v>50.800000000000011</v>
      </c>
      <c r="H12" s="12">
        <f t="shared" si="1"/>
        <v>0.3547486033519554</v>
      </c>
      <c r="I12" s="11" t="s">
        <v>18</v>
      </c>
      <c r="J12" s="20"/>
    </row>
    <row r="13" spans="1:10" x14ac:dyDescent="0.25">
      <c r="A13" s="18">
        <v>46135</v>
      </c>
      <c r="B13" s="11" t="s">
        <v>754</v>
      </c>
      <c r="C13" s="19" t="s">
        <v>757</v>
      </c>
      <c r="D13" s="11"/>
      <c r="E13" s="11">
        <v>194</v>
      </c>
      <c r="F13" s="11">
        <v>143.19999999999999</v>
      </c>
      <c r="G13" s="11">
        <f t="shared" si="0"/>
        <v>50.800000000000011</v>
      </c>
      <c r="H13" s="12">
        <f t="shared" si="1"/>
        <v>0.3547486033519554</v>
      </c>
      <c r="I13" s="11" t="s">
        <v>18</v>
      </c>
      <c r="J13" s="20"/>
    </row>
    <row r="14" spans="1:10" x14ac:dyDescent="0.25">
      <c r="A14" s="18">
        <v>46135</v>
      </c>
      <c r="B14" s="11" t="s">
        <v>754</v>
      </c>
      <c r="C14" s="19" t="s">
        <v>758</v>
      </c>
      <c r="D14" s="11"/>
      <c r="E14" s="11">
        <v>194</v>
      </c>
      <c r="F14" s="11">
        <v>143.19999999999999</v>
      </c>
      <c r="G14" s="11">
        <f t="shared" si="0"/>
        <v>50.800000000000011</v>
      </c>
      <c r="H14" s="12">
        <f t="shared" si="1"/>
        <v>0.3547486033519554</v>
      </c>
      <c r="I14" s="11" t="s">
        <v>18</v>
      </c>
      <c r="J14" s="20"/>
    </row>
    <row r="15" spans="1:10" x14ac:dyDescent="0.25">
      <c r="A15" s="18">
        <v>46135</v>
      </c>
      <c r="B15" s="11" t="s">
        <v>754</v>
      </c>
      <c r="C15" s="19" t="s">
        <v>759</v>
      </c>
      <c r="D15" s="11"/>
      <c r="E15" s="11">
        <v>194</v>
      </c>
      <c r="F15" s="11">
        <v>143.19999999999999</v>
      </c>
      <c r="G15" s="11">
        <f t="shared" si="0"/>
        <v>50.800000000000011</v>
      </c>
      <c r="H15" s="12">
        <f t="shared" si="1"/>
        <v>0.3547486033519554</v>
      </c>
      <c r="I15" s="11" t="s">
        <v>18</v>
      </c>
      <c r="J15" s="20"/>
    </row>
    <row r="16" spans="1:10" x14ac:dyDescent="0.25">
      <c r="A16" s="18">
        <v>46141</v>
      </c>
      <c r="B16" s="11" t="s">
        <v>131</v>
      </c>
      <c r="C16" s="19">
        <v>355827875276963</v>
      </c>
      <c r="D16" s="11" t="s">
        <v>765</v>
      </c>
      <c r="E16" s="11">
        <v>2460</v>
      </c>
      <c r="F16" s="11">
        <v>2338.35</v>
      </c>
      <c r="G16" s="11">
        <f t="shared" si="0"/>
        <v>121.65000000000009</v>
      </c>
      <c r="H16" s="12">
        <f t="shared" si="1"/>
        <v>5.2023862980306666E-2</v>
      </c>
      <c r="I16" s="11" t="s">
        <v>18</v>
      </c>
      <c r="J16" s="20"/>
    </row>
    <row r="17" spans="1:10" x14ac:dyDescent="0.25">
      <c r="A17" s="18">
        <v>46141</v>
      </c>
      <c r="B17" s="11" t="s">
        <v>131</v>
      </c>
      <c r="C17" s="19">
        <v>356187984081401</v>
      </c>
      <c r="D17" s="11" t="s">
        <v>760</v>
      </c>
      <c r="E17" s="11">
        <v>2460</v>
      </c>
      <c r="F17" s="11">
        <v>2338.35</v>
      </c>
      <c r="G17" s="11">
        <f t="shared" si="0"/>
        <v>121.65000000000009</v>
      </c>
      <c r="H17" s="12">
        <f t="shared" si="1"/>
        <v>5.2023862980306666E-2</v>
      </c>
      <c r="I17" s="11" t="s">
        <v>18</v>
      </c>
      <c r="J17" s="20"/>
    </row>
    <row r="18" spans="1:10" x14ac:dyDescent="0.25">
      <c r="A18" s="18">
        <v>46139</v>
      </c>
      <c r="B18" s="11" t="s">
        <v>761</v>
      </c>
      <c r="C18" s="19" t="s">
        <v>762</v>
      </c>
      <c r="D18" s="11"/>
      <c r="E18" s="11">
        <v>1470</v>
      </c>
      <c r="F18" s="11">
        <v>1436</v>
      </c>
      <c r="G18" s="11">
        <f t="shared" si="0"/>
        <v>34</v>
      </c>
      <c r="H18" s="12">
        <f t="shared" si="1"/>
        <v>2.3676880222841225E-2</v>
      </c>
      <c r="I18" s="11" t="s">
        <v>18</v>
      </c>
      <c r="J18" s="20"/>
    </row>
    <row r="19" spans="1:10" x14ac:dyDescent="0.25">
      <c r="A19" s="18">
        <v>46139</v>
      </c>
      <c r="B19" s="11" t="s">
        <v>763</v>
      </c>
      <c r="C19" s="19" t="s">
        <v>764</v>
      </c>
      <c r="D19" s="11" t="s">
        <v>308</v>
      </c>
      <c r="E19" s="11">
        <v>3250</v>
      </c>
      <c r="F19" s="11">
        <v>3595</v>
      </c>
      <c r="G19" s="11">
        <f t="shared" si="0"/>
        <v>-345</v>
      </c>
      <c r="H19" s="12">
        <f t="shared" si="1"/>
        <v>-9.5966620305980535E-2</v>
      </c>
      <c r="I19" s="11" t="s">
        <v>18</v>
      </c>
      <c r="J19" s="20"/>
    </row>
    <row r="20" spans="1:10" x14ac:dyDescent="0.25">
      <c r="A20" s="22">
        <v>46143</v>
      </c>
      <c r="B20" s="20" t="s">
        <v>15</v>
      </c>
      <c r="C20" s="21" t="s">
        <v>16</v>
      </c>
      <c r="D20" s="20" t="s">
        <v>17</v>
      </c>
      <c r="E20" s="20">
        <v>1580</v>
      </c>
      <c r="F20" s="20">
        <v>1463.7</v>
      </c>
      <c r="G20" s="11">
        <f t="shared" si="0"/>
        <v>116.29999999999995</v>
      </c>
      <c r="H20" s="12">
        <f t="shared" si="1"/>
        <v>7.9456172712987605E-2</v>
      </c>
      <c r="I20" s="20" t="s">
        <v>18</v>
      </c>
      <c r="J20" s="20"/>
    </row>
    <row r="21" spans="1:10" x14ac:dyDescent="0.25">
      <c r="A21" s="22">
        <v>46143</v>
      </c>
      <c r="B21" s="20" t="s">
        <v>19</v>
      </c>
      <c r="C21" s="21" t="s">
        <v>20</v>
      </c>
      <c r="D21" s="20" t="s">
        <v>21</v>
      </c>
      <c r="E21" s="20">
        <v>1580</v>
      </c>
      <c r="F21" s="20">
        <v>1481.55</v>
      </c>
      <c r="G21" s="11">
        <f t="shared" si="0"/>
        <v>98.450000000000045</v>
      </c>
      <c r="H21" s="12">
        <f t="shared" si="1"/>
        <v>6.6450676656204688E-2</v>
      </c>
      <c r="I21" s="20" t="s">
        <v>18</v>
      </c>
      <c r="J21" s="20"/>
    </row>
    <row r="22" spans="1:10" x14ac:dyDescent="0.25">
      <c r="A22" s="22">
        <v>46143</v>
      </c>
      <c r="B22" s="20" t="s">
        <v>19</v>
      </c>
      <c r="C22" s="21" t="s">
        <v>22</v>
      </c>
      <c r="D22" s="20" t="s">
        <v>21</v>
      </c>
      <c r="E22" s="20">
        <v>1580</v>
      </c>
      <c r="F22" s="20">
        <v>1481.55</v>
      </c>
      <c r="G22" s="11">
        <f t="shared" si="0"/>
        <v>98.450000000000045</v>
      </c>
      <c r="H22" s="12">
        <f t="shared" si="1"/>
        <v>6.6450676656204688E-2</v>
      </c>
      <c r="I22" s="20" t="s">
        <v>18</v>
      </c>
      <c r="J22" s="20"/>
    </row>
    <row r="23" spans="1:10" x14ac:dyDescent="0.25">
      <c r="A23" s="22">
        <v>46143</v>
      </c>
      <c r="B23" s="20" t="s">
        <v>19</v>
      </c>
      <c r="C23" s="21" t="s">
        <v>23</v>
      </c>
      <c r="D23" s="20" t="s">
        <v>21</v>
      </c>
      <c r="E23" s="20">
        <v>1580</v>
      </c>
      <c r="F23" s="20">
        <v>1481.55</v>
      </c>
      <c r="G23" s="11">
        <f t="shared" si="0"/>
        <v>98.450000000000045</v>
      </c>
      <c r="H23" s="12">
        <f t="shared" si="1"/>
        <v>6.6450676656204688E-2</v>
      </c>
      <c r="I23" s="20" t="s">
        <v>18</v>
      </c>
      <c r="J23" s="20"/>
    </row>
    <row r="24" spans="1:10" x14ac:dyDescent="0.25">
      <c r="A24" s="22">
        <v>46143</v>
      </c>
      <c r="B24" s="20" t="s">
        <v>28</v>
      </c>
      <c r="C24" s="21">
        <v>359117430967728</v>
      </c>
      <c r="D24" s="20"/>
      <c r="E24" s="20">
        <v>1050</v>
      </c>
      <c r="F24" s="20">
        <v>575</v>
      </c>
      <c r="G24" s="11">
        <f t="shared" si="0"/>
        <v>475</v>
      </c>
      <c r="H24" s="12">
        <f t="shared" si="1"/>
        <v>0.82608695652173914</v>
      </c>
      <c r="I24" s="20" t="s">
        <v>18</v>
      </c>
      <c r="J24" s="20"/>
    </row>
    <row r="25" spans="1:10" x14ac:dyDescent="0.25">
      <c r="A25" s="22">
        <v>46143</v>
      </c>
      <c r="B25" s="20" t="s">
        <v>29</v>
      </c>
      <c r="C25" s="21">
        <v>357079530476970</v>
      </c>
      <c r="D25" s="20" t="s">
        <v>30</v>
      </c>
      <c r="E25" s="20">
        <v>1190</v>
      </c>
      <c r="F25" s="20">
        <v>785.4</v>
      </c>
      <c r="G25" s="11">
        <f t="shared" si="0"/>
        <v>404.6</v>
      </c>
      <c r="H25" s="12">
        <f t="shared" si="1"/>
        <v>0.51515151515151525</v>
      </c>
      <c r="I25" s="20" t="s">
        <v>18</v>
      </c>
      <c r="J25" s="20"/>
    </row>
    <row r="26" spans="1:10" x14ac:dyDescent="0.25">
      <c r="A26" s="22">
        <v>46143</v>
      </c>
      <c r="B26" s="20" t="s">
        <v>31</v>
      </c>
      <c r="C26" s="21">
        <v>357079530535114</v>
      </c>
      <c r="D26" s="20" t="s">
        <v>30</v>
      </c>
      <c r="E26" s="20">
        <v>1190</v>
      </c>
      <c r="F26" s="20">
        <v>785.4</v>
      </c>
      <c r="G26" s="11">
        <f t="shared" si="0"/>
        <v>404.6</v>
      </c>
      <c r="H26" s="12">
        <f t="shared" si="1"/>
        <v>0.51515151515151525</v>
      </c>
      <c r="I26" s="20" t="s">
        <v>18</v>
      </c>
      <c r="J26" s="20"/>
    </row>
    <row r="27" spans="1:10" x14ac:dyDescent="0.25">
      <c r="A27" s="22">
        <v>46143</v>
      </c>
      <c r="B27" s="20" t="s">
        <v>32</v>
      </c>
      <c r="C27" s="21">
        <v>350035237211810</v>
      </c>
      <c r="D27" s="20" t="s">
        <v>33</v>
      </c>
      <c r="E27" s="20">
        <v>3230</v>
      </c>
      <c r="F27" s="20">
        <v>3034.5</v>
      </c>
      <c r="G27" s="11">
        <f t="shared" si="0"/>
        <v>195.5</v>
      </c>
      <c r="H27" s="12">
        <f t="shared" si="1"/>
        <v>6.4425770308123242E-2</v>
      </c>
      <c r="I27" s="20" t="s">
        <v>18</v>
      </c>
      <c r="J27" s="20"/>
    </row>
    <row r="28" spans="1:10" x14ac:dyDescent="0.25">
      <c r="A28" s="22">
        <v>46143</v>
      </c>
      <c r="B28" s="20" t="s">
        <v>32</v>
      </c>
      <c r="C28" s="21">
        <v>350035238132544</v>
      </c>
      <c r="D28" s="20" t="s">
        <v>33</v>
      </c>
      <c r="E28" s="20">
        <v>3170</v>
      </c>
      <c r="F28" s="20">
        <v>3034.5</v>
      </c>
      <c r="G28" s="11">
        <f t="shared" si="0"/>
        <v>135.5</v>
      </c>
      <c r="H28" s="12">
        <f t="shared" si="1"/>
        <v>4.4653155379798977E-2</v>
      </c>
      <c r="I28" s="20" t="s">
        <v>18</v>
      </c>
      <c r="J28" s="20"/>
    </row>
    <row r="29" spans="1:10" x14ac:dyDescent="0.25">
      <c r="A29" s="22">
        <v>46143</v>
      </c>
      <c r="B29" s="20" t="s">
        <v>32</v>
      </c>
      <c r="C29" s="21">
        <v>350035238871117</v>
      </c>
      <c r="D29" s="20" t="s">
        <v>34</v>
      </c>
      <c r="E29" s="20">
        <v>3450</v>
      </c>
      <c r="F29" s="20">
        <v>3284.4</v>
      </c>
      <c r="G29" s="11">
        <f t="shared" si="0"/>
        <v>165.59999999999991</v>
      </c>
      <c r="H29" s="12">
        <f t="shared" si="1"/>
        <v>5.0420168067226864E-2</v>
      </c>
      <c r="I29" s="20" t="s">
        <v>18</v>
      </c>
      <c r="J29" s="20"/>
    </row>
    <row r="30" spans="1:10" x14ac:dyDescent="0.25">
      <c r="A30" s="22">
        <v>46143</v>
      </c>
      <c r="B30" s="20" t="s">
        <v>32</v>
      </c>
      <c r="C30" s="21">
        <v>350035239236724</v>
      </c>
      <c r="D30" s="20" t="s">
        <v>34</v>
      </c>
      <c r="E30" s="20">
        <v>3450</v>
      </c>
      <c r="F30" s="20">
        <v>3284.4</v>
      </c>
      <c r="G30" s="11">
        <f t="shared" si="0"/>
        <v>165.59999999999991</v>
      </c>
      <c r="H30" s="12">
        <f t="shared" si="1"/>
        <v>5.0420168067226864E-2</v>
      </c>
      <c r="I30" s="20" t="s">
        <v>18</v>
      </c>
      <c r="J30" s="20"/>
    </row>
    <row r="31" spans="1:10" x14ac:dyDescent="0.25">
      <c r="A31" s="22">
        <v>46143</v>
      </c>
      <c r="B31" s="20" t="s">
        <v>32</v>
      </c>
      <c r="C31" s="21">
        <v>350552898717703</v>
      </c>
      <c r="D31" s="20" t="s">
        <v>33</v>
      </c>
      <c r="E31" s="20">
        <v>3170</v>
      </c>
      <c r="F31" s="20">
        <v>3034.5</v>
      </c>
      <c r="G31" s="11">
        <f t="shared" si="0"/>
        <v>135.5</v>
      </c>
      <c r="H31" s="12">
        <f t="shared" si="1"/>
        <v>4.4653155379798977E-2</v>
      </c>
      <c r="I31" s="20" t="s">
        <v>18</v>
      </c>
      <c r="J31" s="20"/>
    </row>
    <row r="32" spans="1:10" x14ac:dyDescent="0.25">
      <c r="A32" s="22">
        <v>46143</v>
      </c>
      <c r="B32" s="20" t="s">
        <v>32</v>
      </c>
      <c r="C32" s="21">
        <v>350552899043935</v>
      </c>
      <c r="D32" s="20" t="s">
        <v>34</v>
      </c>
      <c r="E32" s="20">
        <v>3450</v>
      </c>
      <c r="F32" s="20">
        <v>3284.4</v>
      </c>
      <c r="G32" s="11">
        <f t="shared" si="0"/>
        <v>165.59999999999991</v>
      </c>
      <c r="H32" s="12">
        <f t="shared" si="1"/>
        <v>5.0420168067226864E-2</v>
      </c>
      <c r="I32" s="20" t="s">
        <v>18</v>
      </c>
      <c r="J32" s="20"/>
    </row>
    <row r="33" spans="1:10" x14ac:dyDescent="0.25">
      <c r="A33" s="22">
        <v>46143</v>
      </c>
      <c r="B33" s="20" t="s">
        <v>32</v>
      </c>
      <c r="C33" s="21">
        <v>351668144778999</v>
      </c>
      <c r="D33" s="20" t="s">
        <v>34</v>
      </c>
      <c r="E33" s="20">
        <v>3450</v>
      </c>
      <c r="F33" s="20">
        <v>3284.4</v>
      </c>
      <c r="G33" s="11">
        <f t="shared" si="0"/>
        <v>165.59999999999991</v>
      </c>
      <c r="H33" s="12">
        <f t="shared" si="1"/>
        <v>5.0420168067226864E-2</v>
      </c>
      <c r="I33" s="20" t="s">
        <v>18</v>
      </c>
      <c r="J33" s="20"/>
    </row>
    <row r="34" spans="1:10" x14ac:dyDescent="0.25">
      <c r="A34" s="22">
        <v>46143</v>
      </c>
      <c r="B34" s="20" t="s">
        <v>32</v>
      </c>
      <c r="C34" s="21">
        <v>355101474813224</v>
      </c>
      <c r="D34" s="20" t="s">
        <v>33</v>
      </c>
      <c r="E34" s="20">
        <v>3170</v>
      </c>
      <c r="F34" s="20">
        <v>3034.5</v>
      </c>
      <c r="G34" s="11">
        <f t="shared" si="0"/>
        <v>135.5</v>
      </c>
      <c r="H34" s="12">
        <f t="shared" si="1"/>
        <v>4.4653155379798977E-2</v>
      </c>
      <c r="I34" s="20" t="s">
        <v>18</v>
      </c>
      <c r="J34" s="20"/>
    </row>
    <row r="35" spans="1:10" x14ac:dyDescent="0.25">
      <c r="A35" s="22">
        <v>46143</v>
      </c>
      <c r="B35" s="20" t="s">
        <v>32</v>
      </c>
      <c r="C35" s="21">
        <v>357247250003999</v>
      </c>
      <c r="D35" s="20" t="s">
        <v>34</v>
      </c>
      <c r="E35" s="20">
        <v>3450</v>
      </c>
      <c r="F35" s="20">
        <v>3284.4</v>
      </c>
      <c r="G35" s="11">
        <f t="shared" si="0"/>
        <v>165.59999999999991</v>
      </c>
      <c r="H35" s="12">
        <f t="shared" si="1"/>
        <v>5.0420168067226864E-2</v>
      </c>
      <c r="I35" s="20" t="s">
        <v>18</v>
      </c>
      <c r="J35" s="20"/>
    </row>
    <row r="36" spans="1:10" x14ac:dyDescent="0.25">
      <c r="A36" s="22">
        <v>46143</v>
      </c>
      <c r="B36" s="20" t="s">
        <v>32</v>
      </c>
      <c r="C36" s="21">
        <v>359814715589090</v>
      </c>
      <c r="D36" s="20" t="s">
        <v>33</v>
      </c>
      <c r="E36" s="20">
        <v>3170</v>
      </c>
      <c r="F36" s="20">
        <v>3034.5</v>
      </c>
      <c r="G36" s="11">
        <f t="shared" si="0"/>
        <v>135.5</v>
      </c>
      <c r="H36" s="12">
        <f t="shared" si="1"/>
        <v>4.4653155379798977E-2</v>
      </c>
      <c r="I36" s="20" t="s">
        <v>18</v>
      </c>
      <c r="J36" s="20"/>
    </row>
    <row r="37" spans="1:10" x14ac:dyDescent="0.25">
      <c r="A37" s="22">
        <v>46143</v>
      </c>
      <c r="B37" s="20" t="s">
        <v>37</v>
      </c>
      <c r="C37" s="21" t="s">
        <v>38</v>
      </c>
      <c r="D37" s="20" t="s">
        <v>39</v>
      </c>
      <c r="E37" s="20">
        <v>1340</v>
      </c>
      <c r="F37" s="20">
        <v>1071</v>
      </c>
      <c r="G37" s="11">
        <f t="shared" si="0"/>
        <v>269</v>
      </c>
      <c r="H37" s="12">
        <f t="shared" si="1"/>
        <v>0.25116713352007469</v>
      </c>
      <c r="I37" s="20" t="s">
        <v>18</v>
      </c>
      <c r="J37" s="20"/>
    </row>
    <row r="38" spans="1:10" x14ac:dyDescent="0.25">
      <c r="A38" s="22">
        <v>46143</v>
      </c>
      <c r="B38" s="20" t="s">
        <v>40</v>
      </c>
      <c r="C38" s="21" t="s">
        <v>41</v>
      </c>
      <c r="D38" s="20" t="s">
        <v>30</v>
      </c>
      <c r="E38" s="20">
        <v>1910</v>
      </c>
      <c r="F38" s="20">
        <v>1677.9</v>
      </c>
      <c r="G38" s="11">
        <f t="shared" si="0"/>
        <v>232.09999999999991</v>
      </c>
      <c r="H38" s="12">
        <f t="shared" si="1"/>
        <v>0.1383276714941295</v>
      </c>
      <c r="I38" s="20" t="s">
        <v>18</v>
      </c>
      <c r="J38" s="20"/>
    </row>
    <row r="39" spans="1:10" x14ac:dyDescent="0.25">
      <c r="A39" s="22">
        <v>46143</v>
      </c>
      <c r="B39" s="20" t="s">
        <v>40</v>
      </c>
      <c r="C39" s="21" t="s">
        <v>42</v>
      </c>
      <c r="D39" s="20" t="s">
        <v>30</v>
      </c>
      <c r="E39" s="20">
        <v>1910</v>
      </c>
      <c r="F39" s="20">
        <v>1677.9</v>
      </c>
      <c r="G39" s="11">
        <f t="shared" si="0"/>
        <v>232.09999999999991</v>
      </c>
      <c r="H39" s="12">
        <f t="shared" si="1"/>
        <v>0.1383276714941295</v>
      </c>
      <c r="I39" s="20" t="s">
        <v>18</v>
      </c>
      <c r="J39" s="20"/>
    </row>
    <row r="40" spans="1:10" x14ac:dyDescent="0.25">
      <c r="A40" s="22">
        <v>46143</v>
      </c>
      <c r="B40" s="20" t="s">
        <v>40</v>
      </c>
      <c r="C40" s="21" t="s">
        <v>43</v>
      </c>
      <c r="D40" s="20" t="s">
        <v>30</v>
      </c>
      <c r="E40" s="20">
        <v>1910</v>
      </c>
      <c r="F40" s="20">
        <v>1677.9</v>
      </c>
      <c r="G40" s="11">
        <f t="shared" si="0"/>
        <v>232.09999999999991</v>
      </c>
      <c r="H40" s="12">
        <f t="shared" si="1"/>
        <v>0.1383276714941295</v>
      </c>
      <c r="I40" s="20" t="s">
        <v>18</v>
      </c>
      <c r="J40" s="20"/>
    </row>
    <row r="41" spans="1:10" x14ac:dyDescent="0.25">
      <c r="A41" s="22">
        <v>46143</v>
      </c>
      <c r="B41" s="20" t="s">
        <v>40</v>
      </c>
      <c r="C41" s="21" t="s">
        <v>44</v>
      </c>
      <c r="D41" s="20" t="s">
        <v>30</v>
      </c>
      <c r="E41" s="20">
        <v>1910</v>
      </c>
      <c r="F41" s="20">
        <v>1677.9</v>
      </c>
      <c r="G41" s="11">
        <f t="shared" si="0"/>
        <v>232.09999999999991</v>
      </c>
      <c r="H41" s="12">
        <f t="shared" si="1"/>
        <v>0.1383276714941295</v>
      </c>
      <c r="I41" s="20" t="s">
        <v>18</v>
      </c>
      <c r="J41" s="20"/>
    </row>
    <row r="42" spans="1:10" x14ac:dyDescent="0.25">
      <c r="A42" s="22">
        <v>46143</v>
      </c>
      <c r="B42" s="20" t="s">
        <v>40</v>
      </c>
      <c r="C42" s="21" t="s">
        <v>45</v>
      </c>
      <c r="D42" s="20" t="s">
        <v>30</v>
      </c>
      <c r="E42" s="20">
        <v>1910</v>
      </c>
      <c r="F42" s="20">
        <v>1677.9</v>
      </c>
      <c r="G42" s="11">
        <f t="shared" si="0"/>
        <v>232.09999999999991</v>
      </c>
      <c r="H42" s="12">
        <f t="shared" si="1"/>
        <v>0.1383276714941295</v>
      </c>
      <c r="I42" s="20" t="s">
        <v>18</v>
      </c>
      <c r="J42" s="20"/>
    </row>
    <row r="43" spans="1:10" x14ac:dyDescent="0.25">
      <c r="A43" s="22">
        <v>46143</v>
      </c>
      <c r="B43" s="20" t="s">
        <v>40</v>
      </c>
      <c r="C43" s="21" t="s">
        <v>46</v>
      </c>
      <c r="D43" s="20" t="s">
        <v>30</v>
      </c>
      <c r="E43" s="20">
        <v>1910</v>
      </c>
      <c r="F43" s="20">
        <v>1677.9</v>
      </c>
      <c r="G43" s="11">
        <f t="shared" si="0"/>
        <v>232.09999999999991</v>
      </c>
      <c r="H43" s="12">
        <f t="shared" si="1"/>
        <v>0.1383276714941295</v>
      </c>
      <c r="I43" s="20" t="s">
        <v>18</v>
      </c>
      <c r="J43" s="20"/>
    </row>
    <row r="44" spans="1:10" x14ac:dyDescent="0.25">
      <c r="A44" s="22">
        <v>46143</v>
      </c>
      <c r="B44" s="20" t="s">
        <v>40</v>
      </c>
      <c r="C44" s="21" t="s">
        <v>47</v>
      </c>
      <c r="D44" s="20" t="s">
        <v>30</v>
      </c>
      <c r="E44" s="20">
        <v>1910</v>
      </c>
      <c r="F44" s="20">
        <v>1677.9</v>
      </c>
      <c r="G44" s="11">
        <f t="shared" si="0"/>
        <v>232.09999999999991</v>
      </c>
      <c r="H44" s="12">
        <f t="shared" si="1"/>
        <v>0.1383276714941295</v>
      </c>
      <c r="I44" s="20" t="s">
        <v>18</v>
      </c>
      <c r="J44" s="20"/>
    </row>
    <row r="45" spans="1:10" x14ac:dyDescent="0.25">
      <c r="A45" s="22">
        <v>46143</v>
      </c>
      <c r="B45" s="20" t="s">
        <v>40</v>
      </c>
      <c r="C45" s="21" t="s">
        <v>48</v>
      </c>
      <c r="D45" s="20" t="s">
        <v>30</v>
      </c>
      <c r="E45" s="20">
        <v>1910</v>
      </c>
      <c r="F45" s="20">
        <v>1677.9</v>
      </c>
      <c r="G45" s="11">
        <f t="shared" si="0"/>
        <v>232.09999999999991</v>
      </c>
      <c r="H45" s="12">
        <f t="shared" si="1"/>
        <v>0.1383276714941295</v>
      </c>
      <c r="I45" s="20" t="s">
        <v>18</v>
      </c>
      <c r="J45" s="20"/>
    </row>
    <row r="46" spans="1:10" x14ac:dyDescent="0.25">
      <c r="A46" s="22">
        <v>46143</v>
      </c>
      <c r="B46" s="20" t="s">
        <v>40</v>
      </c>
      <c r="C46" s="21" t="s">
        <v>49</v>
      </c>
      <c r="D46" s="20" t="s">
        <v>30</v>
      </c>
      <c r="E46" s="20">
        <v>1910</v>
      </c>
      <c r="F46" s="20">
        <v>1677.9</v>
      </c>
      <c r="G46" s="11">
        <f t="shared" si="0"/>
        <v>232.09999999999991</v>
      </c>
      <c r="H46" s="12">
        <f t="shared" si="1"/>
        <v>0.1383276714941295</v>
      </c>
      <c r="I46" s="20" t="s">
        <v>18</v>
      </c>
      <c r="J46" s="20"/>
    </row>
    <row r="47" spans="1:10" x14ac:dyDescent="0.25">
      <c r="A47" s="22">
        <v>46143</v>
      </c>
      <c r="B47" s="20" t="s">
        <v>40</v>
      </c>
      <c r="C47" s="21" t="s">
        <v>50</v>
      </c>
      <c r="D47" s="20" t="s">
        <v>30</v>
      </c>
      <c r="E47" s="20">
        <v>1910</v>
      </c>
      <c r="F47" s="20">
        <v>1677.9</v>
      </c>
      <c r="G47" s="11">
        <f t="shared" si="0"/>
        <v>232.09999999999991</v>
      </c>
      <c r="H47" s="12">
        <f t="shared" si="1"/>
        <v>0.1383276714941295</v>
      </c>
      <c r="I47" s="20" t="s">
        <v>18</v>
      </c>
      <c r="J47" s="20"/>
    </row>
    <row r="48" spans="1:10" x14ac:dyDescent="0.25">
      <c r="A48" s="22">
        <v>46143</v>
      </c>
      <c r="B48" s="20" t="s">
        <v>40</v>
      </c>
      <c r="C48" s="21" t="s">
        <v>51</v>
      </c>
      <c r="D48" s="20" t="s">
        <v>30</v>
      </c>
      <c r="E48" s="20">
        <v>1910</v>
      </c>
      <c r="F48" s="20">
        <v>1677.9</v>
      </c>
      <c r="G48" s="11">
        <f t="shared" si="0"/>
        <v>232.09999999999991</v>
      </c>
      <c r="H48" s="12">
        <f t="shared" si="1"/>
        <v>0.1383276714941295</v>
      </c>
      <c r="I48" s="20" t="s">
        <v>18</v>
      </c>
      <c r="J48" s="20"/>
    </row>
    <row r="49" spans="1:10" x14ac:dyDescent="0.25">
      <c r="A49" s="22">
        <v>46143</v>
      </c>
      <c r="B49" s="20" t="s">
        <v>40</v>
      </c>
      <c r="C49" s="21" t="s">
        <v>52</v>
      </c>
      <c r="D49" s="20" t="s">
        <v>30</v>
      </c>
      <c r="E49" s="20">
        <v>1910</v>
      </c>
      <c r="F49" s="20">
        <v>1677.9</v>
      </c>
      <c r="G49" s="11">
        <f t="shared" si="0"/>
        <v>232.09999999999991</v>
      </c>
      <c r="H49" s="12">
        <f t="shared" si="1"/>
        <v>0.1383276714941295</v>
      </c>
      <c r="I49" s="20" t="s">
        <v>18</v>
      </c>
      <c r="J49" s="20"/>
    </row>
    <row r="50" spans="1:10" x14ac:dyDescent="0.25">
      <c r="A50" s="22">
        <v>46143</v>
      </c>
      <c r="B50" s="20" t="s">
        <v>40</v>
      </c>
      <c r="C50" s="21" t="s">
        <v>53</v>
      </c>
      <c r="D50" s="20" t="s">
        <v>30</v>
      </c>
      <c r="E50" s="20">
        <v>1910</v>
      </c>
      <c r="F50" s="20">
        <v>1677.9</v>
      </c>
      <c r="G50" s="11">
        <f t="shared" si="0"/>
        <v>232.09999999999991</v>
      </c>
      <c r="H50" s="12">
        <f t="shared" si="1"/>
        <v>0.1383276714941295</v>
      </c>
      <c r="I50" s="20" t="s">
        <v>18</v>
      </c>
      <c r="J50" s="20"/>
    </row>
    <row r="51" spans="1:10" x14ac:dyDescent="0.25">
      <c r="A51" s="22">
        <v>46143</v>
      </c>
      <c r="B51" s="20" t="s">
        <v>40</v>
      </c>
      <c r="C51" s="21" t="s">
        <v>54</v>
      </c>
      <c r="D51" s="20" t="s">
        <v>30</v>
      </c>
      <c r="E51" s="20">
        <v>1910</v>
      </c>
      <c r="F51" s="20">
        <v>1677.9</v>
      </c>
      <c r="G51" s="11">
        <f t="shared" si="0"/>
        <v>232.09999999999991</v>
      </c>
      <c r="H51" s="12">
        <f t="shared" si="1"/>
        <v>0.1383276714941295</v>
      </c>
      <c r="I51" s="20" t="s">
        <v>18</v>
      </c>
      <c r="J51" s="20"/>
    </row>
    <row r="52" spans="1:10" x14ac:dyDescent="0.25">
      <c r="A52" s="22">
        <v>46143</v>
      </c>
      <c r="B52" s="20" t="s">
        <v>55</v>
      </c>
      <c r="C52" s="21" t="s">
        <v>56</v>
      </c>
      <c r="D52" s="20" t="s">
        <v>39</v>
      </c>
      <c r="E52" s="20">
        <v>1340</v>
      </c>
      <c r="F52" s="20">
        <v>1071</v>
      </c>
      <c r="G52" s="11">
        <f t="shared" si="0"/>
        <v>269</v>
      </c>
      <c r="H52" s="12">
        <f t="shared" si="1"/>
        <v>0.25116713352007469</v>
      </c>
      <c r="I52" s="20" t="s">
        <v>18</v>
      </c>
      <c r="J52" s="20"/>
    </row>
    <row r="53" spans="1:10" x14ac:dyDescent="0.25">
      <c r="A53" s="22">
        <v>46143</v>
      </c>
      <c r="B53" s="20" t="s">
        <v>55</v>
      </c>
      <c r="C53" s="21" t="s">
        <v>57</v>
      </c>
      <c r="D53" s="20" t="s">
        <v>39</v>
      </c>
      <c r="E53" s="20">
        <v>1340</v>
      </c>
      <c r="F53" s="20">
        <v>1071</v>
      </c>
      <c r="G53" s="11">
        <f t="shared" si="0"/>
        <v>269</v>
      </c>
      <c r="H53" s="12">
        <f t="shared" si="1"/>
        <v>0.25116713352007469</v>
      </c>
      <c r="I53" s="20" t="s">
        <v>18</v>
      </c>
      <c r="J53" s="20"/>
    </row>
    <row r="54" spans="1:10" x14ac:dyDescent="0.25">
      <c r="A54" s="22">
        <v>46143</v>
      </c>
      <c r="B54" s="20" t="s">
        <v>55</v>
      </c>
      <c r="C54" s="21" t="s">
        <v>58</v>
      </c>
      <c r="D54" s="20" t="s">
        <v>59</v>
      </c>
      <c r="E54" s="20">
        <v>1520</v>
      </c>
      <c r="F54" s="20">
        <v>1071</v>
      </c>
      <c r="G54" s="11">
        <f t="shared" si="0"/>
        <v>449</v>
      </c>
      <c r="H54" s="12">
        <f t="shared" si="1"/>
        <v>0.41923436041083101</v>
      </c>
      <c r="I54" s="20" t="s">
        <v>18</v>
      </c>
      <c r="J54" s="20"/>
    </row>
    <row r="55" spans="1:10" x14ac:dyDescent="0.25">
      <c r="A55" s="22">
        <v>46143</v>
      </c>
      <c r="B55" s="20" t="s">
        <v>55</v>
      </c>
      <c r="C55" s="21" t="s">
        <v>60</v>
      </c>
      <c r="D55" s="20" t="s">
        <v>59</v>
      </c>
      <c r="E55" s="20">
        <v>1520</v>
      </c>
      <c r="F55" s="20">
        <v>1071</v>
      </c>
      <c r="G55" s="11">
        <f t="shared" si="0"/>
        <v>449</v>
      </c>
      <c r="H55" s="12">
        <f t="shared" si="1"/>
        <v>0.41923436041083101</v>
      </c>
      <c r="I55" s="20" t="s">
        <v>18</v>
      </c>
      <c r="J55" s="20"/>
    </row>
    <row r="56" spans="1:10" x14ac:dyDescent="0.25">
      <c r="A56" s="22">
        <v>46143</v>
      </c>
      <c r="B56" s="20" t="s">
        <v>55</v>
      </c>
      <c r="C56" s="21" t="s">
        <v>61</v>
      </c>
      <c r="D56" s="20" t="s">
        <v>62</v>
      </c>
      <c r="E56" s="20">
        <v>1360</v>
      </c>
      <c r="F56" s="20">
        <v>1071</v>
      </c>
      <c r="G56" s="11">
        <f t="shared" si="0"/>
        <v>289</v>
      </c>
      <c r="H56" s="12">
        <f t="shared" si="1"/>
        <v>0.26984126984126983</v>
      </c>
      <c r="I56" s="20" t="s">
        <v>18</v>
      </c>
      <c r="J56" s="20"/>
    </row>
    <row r="57" spans="1:10" x14ac:dyDescent="0.25">
      <c r="A57" s="22">
        <v>46143</v>
      </c>
      <c r="B57" s="20" t="s">
        <v>55</v>
      </c>
      <c r="C57" s="21" t="s">
        <v>63</v>
      </c>
      <c r="D57" s="20" t="s">
        <v>59</v>
      </c>
      <c r="E57" s="20">
        <v>1520</v>
      </c>
      <c r="F57" s="20">
        <v>1071</v>
      </c>
      <c r="G57" s="11">
        <f t="shared" si="0"/>
        <v>449</v>
      </c>
      <c r="H57" s="12">
        <f t="shared" si="1"/>
        <v>0.41923436041083101</v>
      </c>
      <c r="I57" s="20" t="s">
        <v>18</v>
      </c>
      <c r="J57" s="20"/>
    </row>
    <row r="58" spans="1:10" x14ac:dyDescent="0.25">
      <c r="A58" s="22">
        <v>46143</v>
      </c>
      <c r="B58" s="20" t="s">
        <v>55</v>
      </c>
      <c r="C58" s="21" t="s">
        <v>64</v>
      </c>
      <c r="D58" s="20" t="s">
        <v>59</v>
      </c>
      <c r="E58" s="20">
        <v>1520</v>
      </c>
      <c r="F58" s="20">
        <v>1071</v>
      </c>
      <c r="G58" s="11">
        <f t="shared" si="0"/>
        <v>449</v>
      </c>
      <c r="H58" s="12">
        <f t="shared" si="1"/>
        <v>0.41923436041083101</v>
      </c>
      <c r="I58" s="20" t="s">
        <v>18</v>
      </c>
      <c r="J58" s="20"/>
    </row>
    <row r="59" spans="1:10" x14ac:dyDescent="0.25">
      <c r="A59" s="22">
        <v>46143</v>
      </c>
      <c r="B59" s="20" t="s">
        <v>55</v>
      </c>
      <c r="C59" s="21" t="s">
        <v>65</v>
      </c>
      <c r="D59" s="20" t="s">
        <v>59</v>
      </c>
      <c r="E59" s="20">
        <v>1520</v>
      </c>
      <c r="F59" s="20">
        <v>1071</v>
      </c>
      <c r="G59" s="11">
        <f t="shared" si="0"/>
        <v>449</v>
      </c>
      <c r="H59" s="12">
        <f t="shared" si="1"/>
        <v>0.41923436041083101</v>
      </c>
      <c r="I59" s="20" t="s">
        <v>18</v>
      </c>
      <c r="J59" s="20"/>
    </row>
    <row r="60" spans="1:10" x14ac:dyDescent="0.25">
      <c r="A60" s="22">
        <v>46144</v>
      </c>
      <c r="B60" s="20" t="s">
        <v>32</v>
      </c>
      <c r="C60" s="21">
        <v>350035239452586</v>
      </c>
      <c r="D60" s="20" t="s">
        <v>34</v>
      </c>
      <c r="E60" s="20">
        <v>3450</v>
      </c>
      <c r="F60" s="20">
        <v>3284.4</v>
      </c>
      <c r="G60" s="11">
        <f t="shared" si="0"/>
        <v>165.59999999999991</v>
      </c>
      <c r="H60" s="12">
        <f t="shared" si="1"/>
        <v>5.0420168067226864E-2</v>
      </c>
      <c r="I60" s="20" t="s">
        <v>18</v>
      </c>
      <c r="J60" s="20"/>
    </row>
    <row r="61" spans="1:10" x14ac:dyDescent="0.25">
      <c r="A61" s="22">
        <v>46144</v>
      </c>
      <c r="B61" s="20" t="s">
        <v>32</v>
      </c>
      <c r="C61" s="21">
        <v>353497852912188</v>
      </c>
      <c r="D61" s="20" t="s">
        <v>35</v>
      </c>
      <c r="E61" s="20">
        <v>3080</v>
      </c>
      <c r="F61" s="20">
        <v>2856</v>
      </c>
      <c r="G61" s="11">
        <f t="shared" si="0"/>
        <v>224</v>
      </c>
      <c r="H61" s="12">
        <f t="shared" si="1"/>
        <v>7.8431372549019607E-2</v>
      </c>
      <c r="I61" s="20" t="s">
        <v>18</v>
      </c>
      <c r="J61" s="20"/>
    </row>
    <row r="62" spans="1:10" x14ac:dyDescent="0.25">
      <c r="A62" s="22">
        <v>46144</v>
      </c>
      <c r="B62" s="20" t="s">
        <v>32</v>
      </c>
      <c r="C62" s="21">
        <v>355101470846418</v>
      </c>
      <c r="D62" s="20" t="s">
        <v>35</v>
      </c>
      <c r="E62" s="20">
        <v>3080</v>
      </c>
      <c r="F62" s="20">
        <v>2856</v>
      </c>
      <c r="G62" s="11">
        <f t="shared" si="0"/>
        <v>224</v>
      </c>
      <c r="H62" s="12">
        <f t="shared" ref="H62:H116" si="2">(E62-F62)/F62</f>
        <v>7.8431372549019607E-2</v>
      </c>
      <c r="I62" s="20" t="s">
        <v>18</v>
      </c>
      <c r="J62" s="20"/>
    </row>
    <row r="63" spans="1:10" x14ac:dyDescent="0.25">
      <c r="A63" s="22">
        <v>46144</v>
      </c>
      <c r="B63" s="20" t="s">
        <v>32</v>
      </c>
      <c r="C63" s="21">
        <v>357247250352495</v>
      </c>
      <c r="D63" s="20" t="s">
        <v>34</v>
      </c>
      <c r="E63" s="20">
        <v>3450</v>
      </c>
      <c r="F63" s="20">
        <v>3284.4</v>
      </c>
      <c r="G63" s="11">
        <f t="shared" si="0"/>
        <v>165.59999999999991</v>
      </c>
      <c r="H63" s="12">
        <f t="shared" si="2"/>
        <v>5.0420168067226864E-2</v>
      </c>
      <c r="I63" s="20" t="s">
        <v>18</v>
      </c>
      <c r="J63" s="20"/>
    </row>
    <row r="64" spans="1:10" x14ac:dyDescent="0.25">
      <c r="A64" s="22">
        <v>46144</v>
      </c>
      <c r="B64" s="20" t="s">
        <v>32</v>
      </c>
      <c r="C64" s="21">
        <v>357247250488281</v>
      </c>
      <c r="D64" s="20" t="s">
        <v>34</v>
      </c>
      <c r="E64" s="20">
        <v>3450</v>
      </c>
      <c r="F64" s="20">
        <v>3284.4</v>
      </c>
      <c r="G64" s="11">
        <f t="shared" si="0"/>
        <v>165.59999999999991</v>
      </c>
      <c r="H64" s="12">
        <f t="shared" si="2"/>
        <v>5.0420168067226864E-2</v>
      </c>
      <c r="I64" s="20" t="s">
        <v>18</v>
      </c>
      <c r="J64" s="20"/>
    </row>
    <row r="65" spans="1:10" x14ac:dyDescent="0.25">
      <c r="A65" s="22">
        <v>46144</v>
      </c>
      <c r="B65" s="20" t="s">
        <v>32</v>
      </c>
      <c r="C65" s="21">
        <v>357247253272591</v>
      </c>
      <c r="D65" s="20" t="s">
        <v>33</v>
      </c>
      <c r="E65" s="20">
        <v>3170</v>
      </c>
      <c r="F65" s="20">
        <v>3034.5</v>
      </c>
      <c r="G65" s="11">
        <f t="shared" si="0"/>
        <v>135.5</v>
      </c>
      <c r="H65" s="12">
        <f t="shared" si="2"/>
        <v>4.4653155379798977E-2</v>
      </c>
      <c r="I65" s="20" t="s">
        <v>18</v>
      </c>
      <c r="J65" s="20"/>
    </row>
    <row r="66" spans="1:10" x14ac:dyDescent="0.25">
      <c r="A66" s="22">
        <v>46144</v>
      </c>
      <c r="B66" s="20" t="s">
        <v>32</v>
      </c>
      <c r="C66" s="21">
        <v>357329447192883</v>
      </c>
      <c r="D66" s="20" t="s">
        <v>33</v>
      </c>
      <c r="E66" s="20">
        <v>3170</v>
      </c>
      <c r="F66" s="20">
        <v>3034.5</v>
      </c>
      <c r="G66" s="11">
        <f t="shared" si="0"/>
        <v>135.5</v>
      </c>
      <c r="H66" s="12">
        <f t="shared" si="2"/>
        <v>4.4653155379798977E-2</v>
      </c>
      <c r="I66" s="20" t="s">
        <v>18</v>
      </c>
      <c r="J66" s="20"/>
    </row>
    <row r="67" spans="1:10" x14ac:dyDescent="0.25">
      <c r="A67" s="22">
        <v>46144</v>
      </c>
      <c r="B67" s="20" t="s">
        <v>32</v>
      </c>
      <c r="C67" s="21">
        <v>358206138447512</v>
      </c>
      <c r="D67" s="20" t="s">
        <v>33</v>
      </c>
      <c r="E67" s="20">
        <v>3170</v>
      </c>
      <c r="F67" s="20">
        <v>3034.5</v>
      </c>
      <c r="G67" s="11">
        <f t="shared" ref="G67:G130" si="3">E67-F67</f>
        <v>135.5</v>
      </c>
      <c r="H67" s="12">
        <f t="shared" si="2"/>
        <v>4.4653155379798977E-2</v>
      </c>
      <c r="I67" s="20" t="s">
        <v>18</v>
      </c>
      <c r="J67" s="20"/>
    </row>
    <row r="68" spans="1:10" x14ac:dyDescent="0.25">
      <c r="A68" s="22">
        <v>46147</v>
      </c>
      <c r="B68" s="20" t="s">
        <v>32</v>
      </c>
      <c r="C68" s="21">
        <v>355246657672010</v>
      </c>
      <c r="D68" s="20" t="s">
        <v>33</v>
      </c>
      <c r="E68" s="20">
        <v>3170</v>
      </c>
      <c r="F68" s="20">
        <v>3034.5</v>
      </c>
      <c r="G68" s="11">
        <f t="shared" si="3"/>
        <v>135.5</v>
      </c>
      <c r="H68" s="12">
        <f t="shared" si="2"/>
        <v>4.4653155379798977E-2</v>
      </c>
      <c r="I68" s="20" t="s">
        <v>18</v>
      </c>
      <c r="J68" s="20"/>
    </row>
    <row r="69" spans="1:10" x14ac:dyDescent="0.25">
      <c r="A69" s="22">
        <v>46147</v>
      </c>
      <c r="B69" s="20" t="s">
        <v>75</v>
      </c>
      <c r="C69" s="21">
        <v>351668143362647</v>
      </c>
      <c r="D69" s="20" t="s">
        <v>34</v>
      </c>
      <c r="E69" s="20">
        <v>3750</v>
      </c>
      <c r="F69" s="20">
        <v>3570</v>
      </c>
      <c r="G69" s="11">
        <f t="shared" si="3"/>
        <v>180</v>
      </c>
      <c r="H69" s="12">
        <f t="shared" si="2"/>
        <v>5.0420168067226892E-2</v>
      </c>
      <c r="I69" s="20" t="s">
        <v>18</v>
      </c>
      <c r="J69" s="20"/>
    </row>
    <row r="70" spans="1:10" x14ac:dyDescent="0.25">
      <c r="A70" s="22">
        <v>46148</v>
      </c>
      <c r="B70" s="20" t="s">
        <v>79</v>
      </c>
      <c r="C70" s="21">
        <v>358271523802036</v>
      </c>
      <c r="D70" s="20" t="s">
        <v>80</v>
      </c>
      <c r="E70" s="20">
        <v>1850</v>
      </c>
      <c r="F70" s="20">
        <v>1749.3</v>
      </c>
      <c r="G70" s="11">
        <f t="shared" si="3"/>
        <v>100.70000000000005</v>
      </c>
      <c r="H70" s="12">
        <f t="shared" si="2"/>
        <v>5.7565883496255674E-2</v>
      </c>
      <c r="I70" s="20" t="s">
        <v>18</v>
      </c>
      <c r="J70" s="20"/>
    </row>
    <row r="71" spans="1:10" x14ac:dyDescent="0.25">
      <c r="A71" s="22">
        <v>46148</v>
      </c>
      <c r="B71" s="20" t="s">
        <v>32</v>
      </c>
      <c r="C71" s="21">
        <v>358434704706281</v>
      </c>
      <c r="D71" s="20" t="s">
        <v>33</v>
      </c>
      <c r="E71" s="20">
        <v>3120</v>
      </c>
      <c r="F71" s="20">
        <v>3034.5</v>
      </c>
      <c r="G71" s="11">
        <f t="shared" si="3"/>
        <v>85.5</v>
      </c>
      <c r="H71" s="12">
        <f t="shared" si="2"/>
        <v>2.8175976272862086E-2</v>
      </c>
      <c r="I71" s="20" t="s">
        <v>18</v>
      </c>
      <c r="J71" s="20"/>
    </row>
    <row r="72" spans="1:10" x14ac:dyDescent="0.25">
      <c r="A72" s="22">
        <v>46148</v>
      </c>
      <c r="B72" s="20" t="s">
        <v>81</v>
      </c>
      <c r="C72" s="21">
        <v>358835894417226</v>
      </c>
      <c r="D72" s="20" t="s">
        <v>30</v>
      </c>
      <c r="E72" s="20">
        <v>1950</v>
      </c>
      <c r="F72" s="20">
        <v>1142.4000000000001</v>
      </c>
      <c r="G72" s="11">
        <f t="shared" si="3"/>
        <v>807.59999999999991</v>
      </c>
      <c r="H72" s="12">
        <f t="shared" si="2"/>
        <v>0.70693277310924352</v>
      </c>
      <c r="I72" s="20" t="s">
        <v>18</v>
      </c>
      <c r="J72" s="20"/>
    </row>
    <row r="73" spans="1:10" x14ac:dyDescent="0.25">
      <c r="A73" s="13">
        <v>46149</v>
      </c>
      <c r="B73" s="14" t="s">
        <v>82</v>
      </c>
      <c r="C73" s="17">
        <v>353502588851301</v>
      </c>
      <c r="D73" s="14" t="s">
        <v>83</v>
      </c>
      <c r="E73" s="14">
        <v>1950</v>
      </c>
      <c r="F73" s="14">
        <v>2499</v>
      </c>
      <c r="G73" s="14">
        <f t="shared" si="3"/>
        <v>-549</v>
      </c>
      <c r="H73" s="16">
        <f t="shared" si="2"/>
        <v>-0.21968787515006002</v>
      </c>
      <c r="I73" s="14" t="s">
        <v>18</v>
      </c>
      <c r="J73" s="20" t="s">
        <v>26</v>
      </c>
    </row>
    <row r="74" spans="1:10" x14ac:dyDescent="0.25">
      <c r="A74" s="22">
        <v>46149</v>
      </c>
      <c r="B74" s="20" t="s">
        <v>71</v>
      </c>
      <c r="C74" s="21">
        <v>355820209403627</v>
      </c>
      <c r="D74" s="20" t="s">
        <v>35</v>
      </c>
      <c r="E74" s="20">
        <v>2680</v>
      </c>
      <c r="F74" s="20">
        <v>2677.5</v>
      </c>
      <c r="G74" s="11">
        <f t="shared" si="3"/>
        <v>2.5</v>
      </c>
      <c r="H74" s="12">
        <f t="shared" si="2"/>
        <v>9.3370681605975728E-4</v>
      </c>
      <c r="I74" s="20" t="s">
        <v>18</v>
      </c>
      <c r="J74" s="20"/>
    </row>
    <row r="75" spans="1:10" x14ac:dyDescent="0.25">
      <c r="A75" s="22">
        <v>46149</v>
      </c>
      <c r="B75" s="20" t="s">
        <v>71</v>
      </c>
      <c r="C75" s="21">
        <v>356245419857652</v>
      </c>
      <c r="D75" s="20" t="s">
        <v>35</v>
      </c>
      <c r="E75" s="20">
        <v>2680</v>
      </c>
      <c r="F75" s="20">
        <v>2677.5</v>
      </c>
      <c r="G75" s="11">
        <f t="shared" si="3"/>
        <v>2.5</v>
      </c>
      <c r="H75" s="12">
        <f t="shared" si="2"/>
        <v>9.3370681605975728E-4</v>
      </c>
      <c r="I75" s="20" t="s">
        <v>18</v>
      </c>
      <c r="J75" s="20"/>
    </row>
    <row r="76" spans="1:10" x14ac:dyDescent="0.25">
      <c r="A76" s="22">
        <v>46149</v>
      </c>
      <c r="B76" s="20" t="s">
        <v>71</v>
      </c>
      <c r="C76" s="21">
        <v>359477637575447</v>
      </c>
      <c r="D76" s="20" t="s">
        <v>35</v>
      </c>
      <c r="E76" s="20">
        <v>2680</v>
      </c>
      <c r="F76" s="20">
        <v>2677.5</v>
      </c>
      <c r="G76" s="11">
        <f t="shared" si="3"/>
        <v>2.5</v>
      </c>
      <c r="H76" s="12">
        <f t="shared" si="2"/>
        <v>9.3370681605975728E-4</v>
      </c>
      <c r="I76" s="20" t="s">
        <v>18</v>
      </c>
      <c r="J76" s="20"/>
    </row>
    <row r="77" spans="1:10" x14ac:dyDescent="0.25">
      <c r="A77" s="22">
        <v>46149</v>
      </c>
      <c r="B77" s="20" t="s">
        <v>32</v>
      </c>
      <c r="C77" s="21">
        <v>350035234381541</v>
      </c>
      <c r="D77" s="20" t="s">
        <v>35</v>
      </c>
      <c r="E77" s="20">
        <v>3030</v>
      </c>
      <c r="F77" s="20">
        <v>2856</v>
      </c>
      <c r="G77" s="11">
        <f t="shared" si="3"/>
        <v>174</v>
      </c>
      <c r="H77" s="12">
        <f t="shared" si="2"/>
        <v>6.0924369747899158E-2</v>
      </c>
      <c r="I77" s="20" t="s">
        <v>18</v>
      </c>
      <c r="J77" s="20"/>
    </row>
    <row r="78" spans="1:10" x14ac:dyDescent="0.25">
      <c r="A78" s="22">
        <v>46149</v>
      </c>
      <c r="B78" s="20" t="s">
        <v>32</v>
      </c>
      <c r="C78" s="21">
        <v>350035237008760</v>
      </c>
      <c r="D78" s="20" t="s">
        <v>33</v>
      </c>
      <c r="E78" s="20">
        <v>3110</v>
      </c>
      <c r="F78" s="20">
        <v>3034.5</v>
      </c>
      <c r="G78" s="11">
        <f t="shared" si="3"/>
        <v>75.5</v>
      </c>
      <c r="H78" s="12">
        <f t="shared" si="2"/>
        <v>2.4880540451474708E-2</v>
      </c>
      <c r="I78" s="20" t="s">
        <v>18</v>
      </c>
      <c r="J78" s="20"/>
    </row>
    <row r="79" spans="1:10" x14ac:dyDescent="0.25">
      <c r="A79" s="13">
        <v>46149</v>
      </c>
      <c r="B79" s="14" t="s">
        <v>32</v>
      </c>
      <c r="C79" s="17">
        <v>350035237171329</v>
      </c>
      <c r="D79" s="14" t="s">
        <v>33</v>
      </c>
      <c r="E79" s="14">
        <v>3120</v>
      </c>
      <c r="F79" s="14">
        <v>3248.7</v>
      </c>
      <c r="G79" s="14">
        <f t="shared" si="3"/>
        <v>-128.69999999999982</v>
      </c>
      <c r="H79" s="16">
        <f t="shared" si="2"/>
        <v>-3.9615846338535363E-2</v>
      </c>
      <c r="I79" s="14" t="s">
        <v>18</v>
      </c>
      <c r="J79" s="20" t="s">
        <v>26</v>
      </c>
    </row>
    <row r="80" spans="1:10" x14ac:dyDescent="0.25">
      <c r="A80" s="22">
        <v>46149</v>
      </c>
      <c r="B80" s="20" t="s">
        <v>32</v>
      </c>
      <c r="C80" s="21">
        <v>350035237175346</v>
      </c>
      <c r="D80" s="20" t="s">
        <v>33</v>
      </c>
      <c r="E80" s="20">
        <v>3120</v>
      </c>
      <c r="F80" s="20">
        <v>3034.5</v>
      </c>
      <c r="G80" s="11">
        <f t="shared" si="3"/>
        <v>85.5</v>
      </c>
      <c r="H80" s="12">
        <f t="shared" si="2"/>
        <v>2.8175976272862086E-2</v>
      </c>
      <c r="I80" s="20" t="s">
        <v>18</v>
      </c>
      <c r="J80" s="20"/>
    </row>
    <row r="81" spans="1:10" x14ac:dyDescent="0.25">
      <c r="A81" s="22">
        <v>46149</v>
      </c>
      <c r="B81" s="20" t="s">
        <v>32</v>
      </c>
      <c r="C81" s="21">
        <v>350035237214657</v>
      </c>
      <c r="D81" s="20" t="s">
        <v>33</v>
      </c>
      <c r="E81" s="20">
        <v>3100</v>
      </c>
      <c r="F81" s="20">
        <v>3034.5</v>
      </c>
      <c r="G81" s="11">
        <f t="shared" si="3"/>
        <v>65.5</v>
      </c>
      <c r="H81" s="12">
        <f t="shared" si="2"/>
        <v>2.158510463008733E-2</v>
      </c>
      <c r="I81" s="20" t="s">
        <v>18</v>
      </c>
      <c r="J81" s="20"/>
    </row>
    <row r="82" spans="1:10" x14ac:dyDescent="0.25">
      <c r="A82" s="13">
        <v>46149</v>
      </c>
      <c r="B82" s="14" t="s">
        <v>32</v>
      </c>
      <c r="C82" s="17">
        <v>350035238459939</v>
      </c>
      <c r="D82" s="14" t="s">
        <v>33</v>
      </c>
      <c r="E82" s="14">
        <v>3120</v>
      </c>
      <c r="F82" s="14">
        <v>3248.7</v>
      </c>
      <c r="G82" s="14">
        <f t="shared" si="3"/>
        <v>-128.69999999999982</v>
      </c>
      <c r="H82" s="16">
        <f t="shared" si="2"/>
        <v>-3.9615846338535363E-2</v>
      </c>
      <c r="I82" s="14" t="s">
        <v>18</v>
      </c>
      <c r="J82" s="20" t="s">
        <v>26</v>
      </c>
    </row>
    <row r="83" spans="1:10" x14ac:dyDescent="0.25">
      <c r="A83" s="22">
        <v>46149</v>
      </c>
      <c r="B83" s="20" t="s">
        <v>32</v>
      </c>
      <c r="C83" s="21">
        <v>350035239175179</v>
      </c>
      <c r="D83" s="20" t="s">
        <v>33</v>
      </c>
      <c r="E83" s="20">
        <v>3120</v>
      </c>
      <c r="F83" s="20">
        <v>3034.5</v>
      </c>
      <c r="G83" s="11">
        <f t="shared" si="3"/>
        <v>85.5</v>
      </c>
      <c r="H83" s="12">
        <f t="shared" si="2"/>
        <v>2.8175976272862086E-2</v>
      </c>
      <c r="I83" s="20" t="s">
        <v>18</v>
      </c>
      <c r="J83" s="20"/>
    </row>
    <row r="84" spans="1:10" x14ac:dyDescent="0.25">
      <c r="A84" s="22">
        <v>46149</v>
      </c>
      <c r="B84" s="20" t="s">
        <v>32</v>
      </c>
      <c r="C84" s="21">
        <v>350552892486651</v>
      </c>
      <c r="D84" s="20" t="s">
        <v>33</v>
      </c>
      <c r="E84" s="20">
        <v>3110</v>
      </c>
      <c r="F84" s="20">
        <v>3034.5</v>
      </c>
      <c r="G84" s="11">
        <f t="shared" si="3"/>
        <v>75.5</v>
      </c>
      <c r="H84" s="12">
        <f t="shared" si="2"/>
        <v>2.4880540451474708E-2</v>
      </c>
      <c r="I84" s="20" t="s">
        <v>18</v>
      </c>
      <c r="J84" s="20"/>
    </row>
    <row r="85" spans="1:10" x14ac:dyDescent="0.25">
      <c r="A85" s="22">
        <v>46149</v>
      </c>
      <c r="B85" s="20" t="s">
        <v>32</v>
      </c>
      <c r="C85" s="21">
        <v>350552898043670</v>
      </c>
      <c r="D85" s="20" t="s">
        <v>33</v>
      </c>
      <c r="E85" s="20">
        <v>3110</v>
      </c>
      <c r="F85" s="20">
        <v>3034.5</v>
      </c>
      <c r="G85" s="11">
        <f t="shared" si="3"/>
        <v>75.5</v>
      </c>
      <c r="H85" s="12">
        <f t="shared" si="2"/>
        <v>2.4880540451474708E-2</v>
      </c>
      <c r="I85" s="20" t="s">
        <v>18</v>
      </c>
      <c r="J85" s="20"/>
    </row>
    <row r="86" spans="1:10" x14ac:dyDescent="0.25">
      <c r="A86" s="13">
        <v>46149</v>
      </c>
      <c r="B86" s="14" t="s">
        <v>32</v>
      </c>
      <c r="C86" s="17">
        <v>350552898189374</v>
      </c>
      <c r="D86" s="14" t="s">
        <v>35</v>
      </c>
      <c r="E86" s="14">
        <v>3000</v>
      </c>
      <c r="F86" s="14">
        <v>3177.3</v>
      </c>
      <c r="G86" s="14">
        <f t="shared" si="3"/>
        <v>-177.30000000000018</v>
      </c>
      <c r="H86" s="16">
        <f t="shared" si="2"/>
        <v>-5.5802096119346667E-2</v>
      </c>
      <c r="I86" s="14" t="s">
        <v>18</v>
      </c>
      <c r="J86" s="20" t="s">
        <v>26</v>
      </c>
    </row>
    <row r="87" spans="1:10" x14ac:dyDescent="0.25">
      <c r="A87" s="13">
        <v>46149</v>
      </c>
      <c r="B87" s="14" t="s">
        <v>32</v>
      </c>
      <c r="C87" s="17">
        <v>350552898446782</v>
      </c>
      <c r="D87" s="14" t="s">
        <v>33</v>
      </c>
      <c r="E87" s="14">
        <v>3100</v>
      </c>
      <c r="F87" s="14">
        <v>3248.7</v>
      </c>
      <c r="G87" s="14">
        <f t="shared" si="3"/>
        <v>-148.69999999999982</v>
      </c>
      <c r="H87" s="16">
        <f t="shared" si="2"/>
        <v>-4.5772155015852439E-2</v>
      </c>
      <c r="I87" s="14" t="s">
        <v>18</v>
      </c>
      <c r="J87" s="20" t="s">
        <v>26</v>
      </c>
    </row>
    <row r="88" spans="1:10" x14ac:dyDescent="0.25">
      <c r="A88" s="13">
        <v>46149</v>
      </c>
      <c r="B88" s="14" t="s">
        <v>32</v>
      </c>
      <c r="C88" s="17">
        <v>350552898592916</v>
      </c>
      <c r="D88" s="14" t="s">
        <v>33</v>
      </c>
      <c r="E88" s="14">
        <v>3100</v>
      </c>
      <c r="F88" s="14">
        <v>3248.7</v>
      </c>
      <c r="G88" s="14">
        <f t="shared" si="3"/>
        <v>-148.69999999999982</v>
      </c>
      <c r="H88" s="16">
        <f t="shared" si="2"/>
        <v>-4.5772155015852439E-2</v>
      </c>
      <c r="I88" s="14" t="s">
        <v>18</v>
      </c>
      <c r="J88" s="20" t="s">
        <v>26</v>
      </c>
    </row>
    <row r="89" spans="1:10" x14ac:dyDescent="0.25">
      <c r="A89" s="22">
        <v>46149</v>
      </c>
      <c r="B89" s="20" t="s">
        <v>32</v>
      </c>
      <c r="C89" s="21">
        <v>350552898687138</v>
      </c>
      <c r="D89" s="20" t="s">
        <v>33</v>
      </c>
      <c r="E89" s="20">
        <v>3120</v>
      </c>
      <c r="F89" s="20">
        <v>3034.5</v>
      </c>
      <c r="G89" s="11">
        <f t="shared" si="3"/>
        <v>85.5</v>
      </c>
      <c r="H89" s="12">
        <f t="shared" si="2"/>
        <v>2.8175976272862086E-2</v>
      </c>
      <c r="I89" s="20" t="s">
        <v>18</v>
      </c>
      <c r="J89" s="20"/>
    </row>
    <row r="90" spans="1:10" x14ac:dyDescent="0.25">
      <c r="A90" s="13">
        <v>46149</v>
      </c>
      <c r="B90" s="14" t="s">
        <v>32</v>
      </c>
      <c r="C90" s="17">
        <v>350552898824673</v>
      </c>
      <c r="D90" s="14" t="s">
        <v>33</v>
      </c>
      <c r="E90" s="14">
        <v>3120</v>
      </c>
      <c r="F90" s="14">
        <v>3248.7</v>
      </c>
      <c r="G90" s="14">
        <f t="shared" si="3"/>
        <v>-128.69999999999982</v>
      </c>
      <c r="H90" s="16">
        <f t="shared" si="2"/>
        <v>-3.9615846338535363E-2</v>
      </c>
      <c r="I90" s="14" t="s">
        <v>18</v>
      </c>
      <c r="J90" s="20" t="s">
        <v>26</v>
      </c>
    </row>
    <row r="91" spans="1:10" x14ac:dyDescent="0.25">
      <c r="A91" s="22">
        <v>46149</v>
      </c>
      <c r="B91" s="20" t="s">
        <v>32</v>
      </c>
      <c r="C91" s="21">
        <v>351668141101187</v>
      </c>
      <c r="D91" s="20" t="s">
        <v>33</v>
      </c>
      <c r="E91" s="20">
        <v>3100</v>
      </c>
      <c r="F91" s="20">
        <v>3034.5</v>
      </c>
      <c r="G91" s="11">
        <f t="shared" si="3"/>
        <v>65.5</v>
      </c>
      <c r="H91" s="12">
        <f t="shared" si="2"/>
        <v>2.158510463008733E-2</v>
      </c>
      <c r="I91" s="20" t="s">
        <v>18</v>
      </c>
      <c r="J91" s="20"/>
    </row>
    <row r="92" spans="1:10" x14ac:dyDescent="0.25">
      <c r="A92" s="22">
        <v>46149</v>
      </c>
      <c r="B92" s="20" t="s">
        <v>32</v>
      </c>
      <c r="C92" s="21">
        <v>351668142202596</v>
      </c>
      <c r="D92" s="20" t="s">
        <v>33</v>
      </c>
      <c r="E92" s="20">
        <v>3120</v>
      </c>
      <c r="F92" s="20">
        <v>3034.5</v>
      </c>
      <c r="G92" s="11">
        <f t="shared" si="3"/>
        <v>85.5</v>
      </c>
      <c r="H92" s="12">
        <f t="shared" si="2"/>
        <v>2.8175976272862086E-2</v>
      </c>
      <c r="I92" s="20" t="s">
        <v>18</v>
      </c>
      <c r="J92" s="20"/>
    </row>
    <row r="93" spans="1:10" x14ac:dyDescent="0.25">
      <c r="A93" s="22">
        <v>46149</v>
      </c>
      <c r="B93" s="20" t="s">
        <v>32</v>
      </c>
      <c r="C93" s="21">
        <v>351668142676005</v>
      </c>
      <c r="D93" s="20" t="s">
        <v>33</v>
      </c>
      <c r="E93" s="20">
        <v>3100</v>
      </c>
      <c r="F93" s="20">
        <v>3034.5</v>
      </c>
      <c r="G93" s="11">
        <f t="shared" si="3"/>
        <v>65.5</v>
      </c>
      <c r="H93" s="12">
        <f t="shared" si="2"/>
        <v>2.158510463008733E-2</v>
      </c>
      <c r="I93" s="20" t="s">
        <v>18</v>
      </c>
      <c r="J93" s="20"/>
    </row>
    <row r="94" spans="1:10" x14ac:dyDescent="0.25">
      <c r="A94" s="22">
        <v>46149</v>
      </c>
      <c r="B94" s="20" t="s">
        <v>32</v>
      </c>
      <c r="C94" s="21">
        <v>353497851021437</v>
      </c>
      <c r="D94" s="20" t="s">
        <v>84</v>
      </c>
      <c r="E94" s="20">
        <v>2835</v>
      </c>
      <c r="F94" s="20">
        <v>2820.3</v>
      </c>
      <c r="G94" s="11">
        <f t="shared" si="3"/>
        <v>14.699999999999818</v>
      </c>
      <c r="H94" s="12">
        <f t="shared" si="2"/>
        <v>5.2122114668651624E-3</v>
      </c>
      <c r="I94" s="20" t="s">
        <v>18</v>
      </c>
      <c r="J94" s="20"/>
    </row>
    <row r="95" spans="1:10" x14ac:dyDescent="0.25">
      <c r="A95" s="13">
        <v>46149</v>
      </c>
      <c r="B95" s="14" t="s">
        <v>32</v>
      </c>
      <c r="C95" s="17">
        <v>353497859674955</v>
      </c>
      <c r="D95" s="14" t="s">
        <v>33</v>
      </c>
      <c r="E95" s="14">
        <v>3120</v>
      </c>
      <c r="F95" s="14">
        <v>3320.1</v>
      </c>
      <c r="G95" s="14">
        <f t="shared" si="3"/>
        <v>-200.09999999999991</v>
      </c>
      <c r="H95" s="16">
        <f t="shared" si="2"/>
        <v>-6.0269268997921725E-2</v>
      </c>
      <c r="I95" s="14" t="s">
        <v>18</v>
      </c>
      <c r="J95" s="20" t="s">
        <v>26</v>
      </c>
    </row>
    <row r="96" spans="1:10" x14ac:dyDescent="0.25">
      <c r="A96" s="22">
        <v>46149</v>
      </c>
      <c r="B96" s="20" t="s">
        <v>32</v>
      </c>
      <c r="C96" s="21">
        <v>355246657443701</v>
      </c>
      <c r="D96" s="20" t="s">
        <v>85</v>
      </c>
      <c r="E96" s="20">
        <v>3150</v>
      </c>
      <c r="F96" s="20">
        <v>2963.1</v>
      </c>
      <c r="G96" s="11">
        <f t="shared" si="3"/>
        <v>186.90000000000009</v>
      </c>
      <c r="H96" s="12">
        <f t="shared" si="2"/>
        <v>6.3075832742735677E-2</v>
      </c>
      <c r="I96" s="20" t="s">
        <v>18</v>
      </c>
      <c r="J96" s="20"/>
    </row>
    <row r="97" spans="1:10" x14ac:dyDescent="0.25">
      <c r="A97" s="13">
        <v>46149</v>
      </c>
      <c r="B97" s="14" t="s">
        <v>32</v>
      </c>
      <c r="C97" s="17">
        <v>356225420016183</v>
      </c>
      <c r="D97" s="14" t="s">
        <v>33</v>
      </c>
      <c r="E97" s="14">
        <v>3130</v>
      </c>
      <c r="F97" s="14">
        <v>3248.7</v>
      </c>
      <c r="G97" s="14">
        <f t="shared" si="3"/>
        <v>-118.69999999999982</v>
      </c>
      <c r="H97" s="16">
        <f t="shared" si="2"/>
        <v>-3.6537691999876817E-2</v>
      </c>
      <c r="I97" s="14" t="s">
        <v>18</v>
      </c>
      <c r="J97" s="20" t="s">
        <v>26</v>
      </c>
    </row>
    <row r="98" spans="1:10" x14ac:dyDescent="0.25">
      <c r="A98" s="22">
        <v>46149</v>
      </c>
      <c r="B98" s="20" t="s">
        <v>32</v>
      </c>
      <c r="C98" s="21">
        <v>356225420155569</v>
      </c>
      <c r="D98" s="20" t="s">
        <v>33</v>
      </c>
      <c r="E98" s="20">
        <v>3120</v>
      </c>
      <c r="F98" s="20">
        <v>3034.5</v>
      </c>
      <c r="G98" s="11">
        <f t="shared" si="3"/>
        <v>85.5</v>
      </c>
      <c r="H98" s="12">
        <f t="shared" si="2"/>
        <v>2.8175976272862086E-2</v>
      </c>
      <c r="I98" s="20" t="s">
        <v>18</v>
      </c>
      <c r="J98" s="20"/>
    </row>
    <row r="99" spans="1:10" x14ac:dyDescent="0.25">
      <c r="A99" s="13">
        <v>46149</v>
      </c>
      <c r="B99" s="14" t="s">
        <v>32</v>
      </c>
      <c r="C99" s="17">
        <v>356225420168455</v>
      </c>
      <c r="D99" s="14" t="s">
        <v>33</v>
      </c>
      <c r="E99" s="14">
        <v>3120</v>
      </c>
      <c r="F99" s="14">
        <v>3248.7</v>
      </c>
      <c r="G99" s="14">
        <f t="shared" si="3"/>
        <v>-128.69999999999982</v>
      </c>
      <c r="H99" s="16">
        <f t="shared" si="2"/>
        <v>-3.9615846338535363E-2</v>
      </c>
      <c r="I99" s="14" t="s">
        <v>18</v>
      </c>
      <c r="J99" s="20" t="s">
        <v>26</v>
      </c>
    </row>
    <row r="100" spans="1:10" x14ac:dyDescent="0.25">
      <c r="A100" s="22">
        <v>46149</v>
      </c>
      <c r="B100" s="20" t="s">
        <v>32</v>
      </c>
      <c r="C100" s="21">
        <v>356225420378500</v>
      </c>
      <c r="D100" s="20" t="s">
        <v>33</v>
      </c>
      <c r="E100" s="20">
        <v>3100</v>
      </c>
      <c r="F100" s="20">
        <v>3034.5</v>
      </c>
      <c r="G100" s="11">
        <f t="shared" si="3"/>
        <v>65.5</v>
      </c>
      <c r="H100" s="12">
        <f t="shared" si="2"/>
        <v>2.158510463008733E-2</v>
      </c>
      <c r="I100" s="20" t="s">
        <v>18</v>
      </c>
      <c r="J100" s="20"/>
    </row>
    <row r="101" spans="1:10" x14ac:dyDescent="0.25">
      <c r="A101" s="13">
        <v>46149</v>
      </c>
      <c r="B101" s="14" t="s">
        <v>32</v>
      </c>
      <c r="C101" s="17">
        <v>356225420483342</v>
      </c>
      <c r="D101" s="14" t="s">
        <v>33</v>
      </c>
      <c r="E101" s="14">
        <v>3100</v>
      </c>
      <c r="F101" s="14">
        <v>3248.7</v>
      </c>
      <c r="G101" s="14">
        <f t="shared" si="3"/>
        <v>-148.69999999999982</v>
      </c>
      <c r="H101" s="16">
        <f t="shared" si="2"/>
        <v>-4.5772155015852439E-2</v>
      </c>
      <c r="I101" s="14" t="s">
        <v>18</v>
      </c>
      <c r="J101" s="20" t="s">
        <v>26</v>
      </c>
    </row>
    <row r="102" spans="1:10" x14ac:dyDescent="0.25">
      <c r="A102" s="22">
        <v>46149</v>
      </c>
      <c r="B102" s="20" t="s">
        <v>32</v>
      </c>
      <c r="C102" s="21">
        <v>356225420603311</v>
      </c>
      <c r="D102" s="20" t="s">
        <v>35</v>
      </c>
      <c r="E102" s="20">
        <v>3000.02</v>
      </c>
      <c r="F102" s="20">
        <v>2856</v>
      </c>
      <c r="G102" s="11">
        <f t="shared" si="3"/>
        <v>144.01999999999998</v>
      </c>
      <c r="H102" s="12">
        <f t="shared" si="2"/>
        <v>5.0427170868347332E-2</v>
      </c>
      <c r="I102" s="20" t="s">
        <v>18</v>
      </c>
      <c r="J102" s="20"/>
    </row>
    <row r="103" spans="1:10" x14ac:dyDescent="0.25">
      <c r="A103" s="13">
        <v>46149</v>
      </c>
      <c r="B103" s="14" t="s">
        <v>32</v>
      </c>
      <c r="C103" s="17">
        <v>356225422846504</v>
      </c>
      <c r="D103" s="14" t="s">
        <v>33</v>
      </c>
      <c r="E103" s="14">
        <v>3110</v>
      </c>
      <c r="F103" s="14">
        <v>3248.7</v>
      </c>
      <c r="G103" s="14">
        <f t="shared" si="3"/>
        <v>-138.69999999999982</v>
      </c>
      <c r="H103" s="16">
        <f t="shared" si="2"/>
        <v>-4.2694000677193901E-2</v>
      </c>
      <c r="I103" s="14" t="s">
        <v>18</v>
      </c>
      <c r="J103" s="20" t="s">
        <v>26</v>
      </c>
    </row>
    <row r="104" spans="1:10" x14ac:dyDescent="0.25">
      <c r="A104" s="22">
        <v>46149</v>
      </c>
      <c r="B104" s="20" t="s">
        <v>32</v>
      </c>
      <c r="C104" s="21">
        <v>357329445756028</v>
      </c>
      <c r="D104" s="20" t="s">
        <v>33</v>
      </c>
      <c r="E104" s="20">
        <v>3120</v>
      </c>
      <c r="F104" s="20">
        <v>3034.5</v>
      </c>
      <c r="G104" s="11">
        <f t="shared" si="3"/>
        <v>85.5</v>
      </c>
      <c r="H104" s="12">
        <f t="shared" si="2"/>
        <v>2.8175976272862086E-2</v>
      </c>
      <c r="I104" s="20" t="s">
        <v>18</v>
      </c>
      <c r="J104" s="20"/>
    </row>
    <row r="105" spans="1:10" x14ac:dyDescent="0.25">
      <c r="A105" s="13">
        <v>46149</v>
      </c>
      <c r="B105" s="14" t="s">
        <v>32</v>
      </c>
      <c r="C105" s="17">
        <v>357329448679995</v>
      </c>
      <c r="D105" s="14" t="s">
        <v>35</v>
      </c>
      <c r="E105" s="14">
        <v>3000.02</v>
      </c>
      <c r="F105" s="14">
        <v>3177.3</v>
      </c>
      <c r="G105" s="14">
        <f t="shared" si="3"/>
        <v>-177.2800000000002</v>
      </c>
      <c r="H105" s="16">
        <f t="shared" si="2"/>
        <v>-5.5795801466654138E-2</v>
      </c>
      <c r="I105" s="14" t="s">
        <v>18</v>
      </c>
      <c r="J105" s="20" t="s">
        <v>26</v>
      </c>
    </row>
    <row r="106" spans="1:10" x14ac:dyDescent="0.25">
      <c r="A106" s="13">
        <v>46149</v>
      </c>
      <c r="B106" s="14" t="s">
        <v>32</v>
      </c>
      <c r="C106" s="17">
        <v>357329449293614</v>
      </c>
      <c r="D106" s="14" t="s">
        <v>35</v>
      </c>
      <c r="E106" s="14">
        <v>3000.02</v>
      </c>
      <c r="F106" s="14">
        <v>3177.3</v>
      </c>
      <c r="G106" s="14">
        <f t="shared" si="3"/>
        <v>-177.2800000000002</v>
      </c>
      <c r="H106" s="16">
        <f t="shared" si="2"/>
        <v>-5.5795801466654138E-2</v>
      </c>
      <c r="I106" s="14" t="s">
        <v>18</v>
      </c>
      <c r="J106" s="20" t="s">
        <v>26</v>
      </c>
    </row>
    <row r="107" spans="1:10" x14ac:dyDescent="0.25">
      <c r="A107" s="22">
        <v>46149</v>
      </c>
      <c r="B107" s="20" t="s">
        <v>32</v>
      </c>
      <c r="C107" s="21">
        <v>357329449588914</v>
      </c>
      <c r="D107" s="20" t="s">
        <v>33</v>
      </c>
      <c r="E107" s="20">
        <v>3100</v>
      </c>
      <c r="F107" s="20">
        <v>3034.5</v>
      </c>
      <c r="G107" s="11">
        <f t="shared" si="3"/>
        <v>65.5</v>
      </c>
      <c r="H107" s="12">
        <f t="shared" si="2"/>
        <v>2.158510463008733E-2</v>
      </c>
      <c r="I107" s="20" t="s">
        <v>18</v>
      </c>
      <c r="J107" s="20"/>
    </row>
    <row r="108" spans="1:10" x14ac:dyDescent="0.25">
      <c r="A108" s="22">
        <v>46149</v>
      </c>
      <c r="B108" s="20" t="s">
        <v>32</v>
      </c>
      <c r="C108" s="21">
        <v>358051329919980</v>
      </c>
      <c r="D108" s="20" t="s">
        <v>35</v>
      </c>
      <c r="E108" s="20">
        <v>3000.02</v>
      </c>
      <c r="F108" s="20">
        <v>2856</v>
      </c>
      <c r="G108" s="11">
        <f t="shared" si="3"/>
        <v>144.01999999999998</v>
      </c>
      <c r="H108" s="12">
        <f t="shared" si="2"/>
        <v>5.0427170868347332E-2</v>
      </c>
      <c r="I108" s="20" t="s">
        <v>18</v>
      </c>
      <c r="J108" s="20"/>
    </row>
    <row r="109" spans="1:10" x14ac:dyDescent="0.25">
      <c r="A109" s="22">
        <v>46149</v>
      </c>
      <c r="B109" s="20" t="s">
        <v>32</v>
      </c>
      <c r="C109" s="21">
        <v>358206138732582</v>
      </c>
      <c r="D109" s="20" t="s">
        <v>33</v>
      </c>
      <c r="E109" s="20">
        <v>3110</v>
      </c>
      <c r="F109" s="20">
        <v>3034.5</v>
      </c>
      <c r="G109" s="11">
        <f t="shared" si="3"/>
        <v>75.5</v>
      </c>
      <c r="H109" s="12">
        <f t="shared" si="2"/>
        <v>2.4880540451474708E-2</v>
      </c>
      <c r="I109" s="20" t="s">
        <v>18</v>
      </c>
      <c r="J109" s="20"/>
    </row>
    <row r="110" spans="1:10" x14ac:dyDescent="0.25">
      <c r="A110" s="13">
        <v>46149</v>
      </c>
      <c r="B110" s="14" t="s">
        <v>32</v>
      </c>
      <c r="C110" s="17">
        <v>358206138929733</v>
      </c>
      <c r="D110" s="14" t="s">
        <v>33</v>
      </c>
      <c r="E110" s="14">
        <v>3130</v>
      </c>
      <c r="F110" s="14">
        <v>3248.7</v>
      </c>
      <c r="G110" s="14">
        <f t="shared" si="3"/>
        <v>-118.69999999999982</v>
      </c>
      <c r="H110" s="16">
        <f t="shared" si="2"/>
        <v>-3.6537691999876817E-2</v>
      </c>
      <c r="I110" s="14" t="s">
        <v>18</v>
      </c>
      <c r="J110" s="20" t="s">
        <v>26</v>
      </c>
    </row>
    <row r="111" spans="1:10" x14ac:dyDescent="0.25">
      <c r="A111" s="22">
        <v>46149</v>
      </c>
      <c r="B111" s="20" t="s">
        <v>32</v>
      </c>
      <c r="C111" s="21">
        <v>358206139328836</v>
      </c>
      <c r="D111" s="20" t="s">
        <v>33</v>
      </c>
      <c r="E111" s="20">
        <v>3100</v>
      </c>
      <c r="F111" s="20">
        <v>3034.5</v>
      </c>
      <c r="G111" s="11">
        <f t="shared" si="3"/>
        <v>65.5</v>
      </c>
      <c r="H111" s="12">
        <f t="shared" si="2"/>
        <v>2.158510463008733E-2</v>
      </c>
      <c r="I111" s="20" t="s">
        <v>18</v>
      </c>
      <c r="J111" s="20"/>
    </row>
    <row r="112" spans="1:10" x14ac:dyDescent="0.25">
      <c r="A112" s="22">
        <v>46149</v>
      </c>
      <c r="B112" s="20" t="s">
        <v>32</v>
      </c>
      <c r="C112" s="21">
        <v>358434701361627</v>
      </c>
      <c r="D112" s="20" t="s">
        <v>35</v>
      </c>
      <c r="E112" s="20">
        <v>3000.02</v>
      </c>
      <c r="F112" s="20">
        <v>2856</v>
      </c>
      <c r="G112" s="11">
        <f t="shared" si="3"/>
        <v>144.01999999999998</v>
      </c>
      <c r="H112" s="12">
        <f t="shared" si="2"/>
        <v>5.0427170868347332E-2</v>
      </c>
      <c r="I112" s="20" t="s">
        <v>18</v>
      </c>
      <c r="J112" s="20"/>
    </row>
    <row r="113" spans="1:10" x14ac:dyDescent="0.25">
      <c r="A113" s="22">
        <v>46149</v>
      </c>
      <c r="B113" s="20" t="s">
        <v>32</v>
      </c>
      <c r="C113" s="21">
        <v>358434709056823</v>
      </c>
      <c r="D113" s="20" t="s">
        <v>33</v>
      </c>
      <c r="E113" s="20">
        <v>3120</v>
      </c>
      <c r="F113" s="20">
        <v>3034.5</v>
      </c>
      <c r="G113" s="11">
        <f t="shared" si="3"/>
        <v>85.5</v>
      </c>
      <c r="H113" s="12">
        <f t="shared" si="2"/>
        <v>2.8175976272862086E-2</v>
      </c>
      <c r="I113" s="20" t="s">
        <v>18</v>
      </c>
      <c r="J113" s="20"/>
    </row>
    <row r="114" spans="1:10" x14ac:dyDescent="0.25">
      <c r="A114" s="13">
        <v>46149</v>
      </c>
      <c r="B114" s="14" t="s">
        <v>32</v>
      </c>
      <c r="C114" s="17">
        <v>358434709168842</v>
      </c>
      <c r="D114" s="14" t="s">
        <v>35</v>
      </c>
      <c r="E114" s="14">
        <v>3000.02</v>
      </c>
      <c r="F114" s="14">
        <v>3177.3</v>
      </c>
      <c r="G114" s="14">
        <f t="shared" si="3"/>
        <v>-177.2800000000002</v>
      </c>
      <c r="H114" s="16">
        <f t="shared" si="2"/>
        <v>-5.5795801466654138E-2</v>
      </c>
      <c r="I114" s="14" t="s">
        <v>18</v>
      </c>
      <c r="J114" s="20" t="s">
        <v>26</v>
      </c>
    </row>
    <row r="115" spans="1:10" x14ac:dyDescent="0.25">
      <c r="A115" s="13">
        <v>46149</v>
      </c>
      <c r="B115" s="14" t="s">
        <v>32</v>
      </c>
      <c r="C115" s="17">
        <v>358434709475783</v>
      </c>
      <c r="D115" s="14" t="s">
        <v>35</v>
      </c>
      <c r="E115" s="14">
        <v>3000.02</v>
      </c>
      <c r="F115" s="14">
        <v>3177.3</v>
      </c>
      <c r="G115" s="14">
        <f t="shared" si="3"/>
        <v>-177.2800000000002</v>
      </c>
      <c r="H115" s="16">
        <f t="shared" si="2"/>
        <v>-5.5795801466654138E-2</v>
      </c>
      <c r="I115" s="14" t="s">
        <v>18</v>
      </c>
      <c r="J115" s="20" t="s">
        <v>26</v>
      </c>
    </row>
    <row r="116" spans="1:10" x14ac:dyDescent="0.25">
      <c r="A116" s="22">
        <v>46149</v>
      </c>
      <c r="B116" s="20" t="s">
        <v>32</v>
      </c>
      <c r="C116" s="21">
        <v>358434709902778</v>
      </c>
      <c r="D116" s="20" t="s">
        <v>35</v>
      </c>
      <c r="E116" s="20">
        <v>3030</v>
      </c>
      <c r="F116" s="20">
        <v>2856</v>
      </c>
      <c r="G116" s="11">
        <f t="shared" si="3"/>
        <v>174</v>
      </c>
      <c r="H116" s="12">
        <f t="shared" si="2"/>
        <v>6.0924369747899158E-2</v>
      </c>
      <c r="I116" s="20" t="s">
        <v>18</v>
      </c>
      <c r="J116" s="20"/>
    </row>
    <row r="117" spans="1:10" x14ac:dyDescent="0.25">
      <c r="A117" s="13">
        <v>46149</v>
      </c>
      <c r="B117" s="14" t="s">
        <v>32</v>
      </c>
      <c r="C117" s="17">
        <v>358902516870768</v>
      </c>
      <c r="D117" s="14" t="s">
        <v>33</v>
      </c>
      <c r="E117" s="14">
        <v>3130</v>
      </c>
      <c r="F117" s="14">
        <v>3248.7</v>
      </c>
      <c r="G117" s="14">
        <f t="shared" si="3"/>
        <v>-118.69999999999982</v>
      </c>
      <c r="H117" s="16">
        <f t="shared" ref="H117:H168" si="4">(E117-F117)/F117</f>
        <v>-3.6537691999876817E-2</v>
      </c>
      <c r="I117" s="14" t="s">
        <v>18</v>
      </c>
      <c r="J117" s="20" t="s">
        <v>26</v>
      </c>
    </row>
    <row r="118" spans="1:10" x14ac:dyDescent="0.25">
      <c r="A118" s="13">
        <v>46149</v>
      </c>
      <c r="B118" s="14" t="s">
        <v>32</v>
      </c>
      <c r="C118" s="17">
        <v>358902517417577</v>
      </c>
      <c r="D118" s="14" t="s">
        <v>33</v>
      </c>
      <c r="E118" s="14">
        <v>3130</v>
      </c>
      <c r="F118" s="14">
        <v>3248.7</v>
      </c>
      <c r="G118" s="14">
        <f t="shared" si="3"/>
        <v>-118.69999999999982</v>
      </c>
      <c r="H118" s="16">
        <f t="shared" si="4"/>
        <v>-3.6537691999876817E-2</v>
      </c>
      <c r="I118" s="14" t="s">
        <v>18</v>
      </c>
      <c r="J118" s="20" t="s">
        <v>26</v>
      </c>
    </row>
    <row r="119" spans="1:10" x14ac:dyDescent="0.25">
      <c r="A119" s="22">
        <v>46149</v>
      </c>
      <c r="B119" s="20" t="s">
        <v>32</v>
      </c>
      <c r="C119" s="21">
        <v>359614549650955</v>
      </c>
      <c r="D119" s="20" t="s">
        <v>84</v>
      </c>
      <c r="E119" s="20">
        <v>2835</v>
      </c>
      <c r="F119" s="20">
        <v>2820.3</v>
      </c>
      <c r="G119" s="11">
        <f t="shared" si="3"/>
        <v>14.699999999999818</v>
      </c>
      <c r="H119" s="12">
        <f t="shared" si="4"/>
        <v>5.2122114668651624E-3</v>
      </c>
      <c r="I119" s="20" t="s">
        <v>18</v>
      </c>
      <c r="J119" s="20"/>
    </row>
    <row r="120" spans="1:10" x14ac:dyDescent="0.25">
      <c r="A120" s="22">
        <v>46149</v>
      </c>
      <c r="B120" s="20" t="s">
        <v>32</v>
      </c>
      <c r="C120" s="21">
        <v>359814717308663</v>
      </c>
      <c r="D120" s="20" t="s">
        <v>33</v>
      </c>
      <c r="E120" s="20">
        <v>3100</v>
      </c>
      <c r="F120" s="20">
        <v>3034.5</v>
      </c>
      <c r="G120" s="11">
        <f t="shared" si="3"/>
        <v>65.5</v>
      </c>
      <c r="H120" s="12">
        <f t="shared" si="4"/>
        <v>2.158510463008733E-2</v>
      </c>
      <c r="I120" s="20" t="s">
        <v>18</v>
      </c>
      <c r="J120" s="20"/>
    </row>
    <row r="121" spans="1:10" x14ac:dyDescent="0.25">
      <c r="A121" s="13">
        <v>46149</v>
      </c>
      <c r="B121" s="14" t="s">
        <v>32</v>
      </c>
      <c r="C121" s="17">
        <v>359814718786685</v>
      </c>
      <c r="D121" s="14" t="s">
        <v>35</v>
      </c>
      <c r="E121" s="14">
        <v>3000.02</v>
      </c>
      <c r="F121" s="14">
        <v>3177.3</v>
      </c>
      <c r="G121" s="14">
        <f t="shared" si="3"/>
        <v>-177.2800000000002</v>
      </c>
      <c r="H121" s="16">
        <f t="shared" si="4"/>
        <v>-5.5795801466654138E-2</v>
      </c>
      <c r="I121" s="14" t="s">
        <v>18</v>
      </c>
      <c r="J121" s="20" t="s">
        <v>26</v>
      </c>
    </row>
    <row r="122" spans="1:10" x14ac:dyDescent="0.25">
      <c r="A122" s="22">
        <v>46150</v>
      </c>
      <c r="B122" s="20" t="s">
        <v>87</v>
      </c>
      <c r="C122" s="21">
        <v>351420495323870</v>
      </c>
      <c r="D122" s="20" t="s">
        <v>88</v>
      </c>
      <c r="E122" s="20">
        <v>1840</v>
      </c>
      <c r="F122" s="20">
        <v>1825.8</v>
      </c>
      <c r="G122" s="11">
        <f t="shared" si="3"/>
        <v>14.200000000000045</v>
      </c>
      <c r="H122" s="12">
        <f t="shared" si="4"/>
        <v>7.7774126410340922E-3</v>
      </c>
      <c r="I122" s="20" t="s">
        <v>18</v>
      </c>
      <c r="J122" s="20"/>
    </row>
    <row r="123" spans="1:10" x14ac:dyDescent="0.25">
      <c r="A123" s="22">
        <v>46150</v>
      </c>
      <c r="B123" s="20" t="s">
        <v>87</v>
      </c>
      <c r="C123" s="21">
        <v>359493734612231</v>
      </c>
      <c r="D123" s="20" t="s">
        <v>89</v>
      </c>
      <c r="E123" s="20">
        <v>1840</v>
      </c>
      <c r="F123" s="20">
        <v>1820.7</v>
      </c>
      <c r="G123" s="11">
        <f t="shared" si="3"/>
        <v>19.299999999999955</v>
      </c>
      <c r="H123" s="12">
        <f t="shared" si="4"/>
        <v>1.0600318558796042E-2</v>
      </c>
      <c r="I123" s="20" t="s">
        <v>18</v>
      </c>
      <c r="J123" s="20"/>
    </row>
    <row r="124" spans="1:10" x14ac:dyDescent="0.25">
      <c r="A124" s="22">
        <v>46150</v>
      </c>
      <c r="B124" s="20" t="s">
        <v>71</v>
      </c>
      <c r="C124" s="21">
        <v>351317527167566</v>
      </c>
      <c r="D124" s="20" t="s">
        <v>33</v>
      </c>
      <c r="E124" s="20">
        <v>2790</v>
      </c>
      <c r="F124" s="20">
        <v>2677.5</v>
      </c>
      <c r="G124" s="11">
        <f t="shared" si="3"/>
        <v>112.5</v>
      </c>
      <c r="H124" s="12">
        <f t="shared" si="4"/>
        <v>4.2016806722689079E-2</v>
      </c>
      <c r="I124" s="20" t="s">
        <v>18</v>
      </c>
      <c r="J124" s="20"/>
    </row>
    <row r="125" spans="1:10" x14ac:dyDescent="0.25">
      <c r="A125" s="22">
        <v>46150</v>
      </c>
      <c r="B125" s="20" t="s">
        <v>71</v>
      </c>
      <c r="C125" s="21">
        <v>354289631982171</v>
      </c>
      <c r="D125" s="20" t="s">
        <v>91</v>
      </c>
      <c r="E125" s="20">
        <v>4000</v>
      </c>
      <c r="F125" s="20">
        <v>3927</v>
      </c>
      <c r="G125" s="11">
        <f t="shared" si="3"/>
        <v>73</v>
      </c>
      <c r="H125" s="12">
        <f t="shared" si="4"/>
        <v>1.8589253883371529E-2</v>
      </c>
      <c r="I125" s="20" t="s">
        <v>18</v>
      </c>
      <c r="J125" s="20"/>
    </row>
    <row r="126" spans="1:10" x14ac:dyDescent="0.25">
      <c r="A126" s="22">
        <v>46150</v>
      </c>
      <c r="B126" s="20" t="s">
        <v>71</v>
      </c>
      <c r="C126" s="21">
        <v>354289632682978</v>
      </c>
      <c r="D126" s="20" t="s">
        <v>92</v>
      </c>
      <c r="E126" s="20">
        <v>3850</v>
      </c>
      <c r="F126" s="20">
        <v>3748.5</v>
      </c>
      <c r="G126" s="11">
        <f t="shared" si="3"/>
        <v>101.5</v>
      </c>
      <c r="H126" s="12">
        <f t="shared" si="4"/>
        <v>2.7077497665732961E-2</v>
      </c>
      <c r="I126" s="20" t="s">
        <v>18</v>
      </c>
      <c r="J126" s="20"/>
    </row>
    <row r="127" spans="1:10" x14ac:dyDescent="0.25">
      <c r="A127" s="22">
        <v>46150</v>
      </c>
      <c r="B127" s="20" t="s">
        <v>71</v>
      </c>
      <c r="C127" s="21">
        <v>354289633060042</v>
      </c>
      <c r="D127" s="20" t="s">
        <v>92</v>
      </c>
      <c r="E127" s="20">
        <v>3850</v>
      </c>
      <c r="F127" s="20">
        <v>3748.5</v>
      </c>
      <c r="G127" s="11">
        <f t="shared" si="3"/>
        <v>101.5</v>
      </c>
      <c r="H127" s="12">
        <f t="shared" si="4"/>
        <v>2.7077497665732961E-2</v>
      </c>
      <c r="I127" s="20" t="s">
        <v>18</v>
      </c>
      <c r="J127" s="20"/>
    </row>
    <row r="128" spans="1:10" x14ac:dyDescent="0.25">
      <c r="A128" s="22">
        <v>46150</v>
      </c>
      <c r="B128" s="20" t="s">
        <v>71</v>
      </c>
      <c r="C128" s="21">
        <v>354289636495526</v>
      </c>
      <c r="D128" s="20" t="s">
        <v>93</v>
      </c>
      <c r="E128" s="20">
        <v>3850</v>
      </c>
      <c r="F128" s="20">
        <v>3748.5</v>
      </c>
      <c r="G128" s="11">
        <f t="shared" si="3"/>
        <v>101.5</v>
      </c>
      <c r="H128" s="12">
        <f t="shared" si="4"/>
        <v>2.7077497665732961E-2</v>
      </c>
      <c r="I128" s="20" t="s">
        <v>18</v>
      </c>
      <c r="J128" s="20"/>
    </row>
    <row r="129" spans="1:10" x14ac:dyDescent="0.25">
      <c r="A129" s="22">
        <v>46150</v>
      </c>
      <c r="B129" s="20" t="s">
        <v>71</v>
      </c>
      <c r="C129" s="21">
        <v>355079367342354</v>
      </c>
      <c r="D129" s="20" t="s">
        <v>91</v>
      </c>
      <c r="E129" s="20">
        <v>4000</v>
      </c>
      <c r="F129" s="20">
        <v>3927</v>
      </c>
      <c r="G129" s="11">
        <f t="shared" si="3"/>
        <v>73</v>
      </c>
      <c r="H129" s="12">
        <f t="shared" si="4"/>
        <v>1.8589253883371529E-2</v>
      </c>
      <c r="I129" s="20" t="s">
        <v>18</v>
      </c>
      <c r="J129" s="20"/>
    </row>
    <row r="130" spans="1:10" x14ac:dyDescent="0.25">
      <c r="A130" s="22">
        <v>46150</v>
      </c>
      <c r="B130" s="20" t="s">
        <v>71</v>
      </c>
      <c r="C130" s="21">
        <v>355079368159773</v>
      </c>
      <c r="D130" s="20" t="s">
        <v>92</v>
      </c>
      <c r="E130" s="20">
        <v>3850</v>
      </c>
      <c r="F130" s="20">
        <v>3748.5</v>
      </c>
      <c r="G130" s="11">
        <f t="shared" si="3"/>
        <v>101.5</v>
      </c>
      <c r="H130" s="12">
        <f t="shared" si="4"/>
        <v>2.7077497665732961E-2</v>
      </c>
      <c r="I130" s="20" t="s">
        <v>18</v>
      </c>
      <c r="J130" s="20"/>
    </row>
    <row r="131" spans="1:10" x14ac:dyDescent="0.25">
      <c r="A131" s="22">
        <v>46150</v>
      </c>
      <c r="B131" s="20" t="s">
        <v>71</v>
      </c>
      <c r="C131" s="21">
        <v>355079368421702</v>
      </c>
      <c r="D131" s="20" t="s">
        <v>91</v>
      </c>
      <c r="E131" s="20">
        <v>4000</v>
      </c>
      <c r="F131" s="20">
        <v>3927</v>
      </c>
      <c r="G131" s="11">
        <f t="shared" ref="G131:G194" si="5">E131-F131</f>
        <v>73</v>
      </c>
      <c r="H131" s="12">
        <f t="shared" si="4"/>
        <v>1.8589253883371529E-2</v>
      </c>
      <c r="I131" s="20" t="s">
        <v>18</v>
      </c>
      <c r="J131" s="20"/>
    </row>
    <row r="132" spans="1:10" x14ac:dyDescent="0.25">
      <c r="A132" s="22">
        <v>46150</v>
      </c>
      <c r="B132" s="20" t="s">
        <v>71</v>
      </c>
      <c r="C132" s="21">
        <v>355079368695065</v>
      </c>
      <c r="D132" s="20" t="s">
        <v>91</v>
      </c>
      <c r="E132" s="20">
        <v>4000</v>
      </c>
      <c r="F132" s="20">
        <v>3927</v>
      </c>
      <c r="G132" s="11">
        <f t="shared" si="5"/>
        <v>73</v>
      </c>
      <c r="H132" s="12">
        <f t="shared" si="4"/>
        <v>1.8589253883371529E-2</v>
      </c>
      <c r="I132" s="20" t="s">
        <v>18</v>
      </c>
      <c r="J132" s="20"/>
    </row>
    <row r="133" spans="1:10" x14ac:dyDescent="0.25">
      <c r="A133" s="22">
        <v>46150</v>
      </c>
      <c r="B133" s="20" t="s">
        <v>71</v>
      </c>
      <c r="C133" s="21">
        <v>355079368754920</v>
      </c>
      <c r="D133" s="20" t="s">
        <v>91</v>
      </c>
      <c r="E133" s="20">
        <v>4000</v>
      </c>
      <c r="F133" s="20">
        <v>3927</v>
      </c>
      <c r="G133" s="11">
        <f t="shared" si="5"/>
        <v>73</v>
      </c>
      <c r="H133" s="12">
        <f t="shared" si="4"/>
        <v>1.8589253883371529E-2</v>
      </c>
      <c r="I133" s="20" t="s">
        <v>18</v>
      </c>
      <c r="J133" s="20"/>
    </row>
    <row r="134" spans="1:10" x14ac:dyDescent="0.25">
      <c r="A134" s="22">
        <v>46150</v>
      </c>
      <c r="B134" s="20" t="s">
        <v>71</v>
      </c>
      <c r="C134" s="21">
        <v>355820207006000</v>
      </c>
      <c r="D134" s="20" t="s">
        <v>91</v>
      </c>
      <c r="E134" s="20">
        <v>4000</v>
      </c>
      <c r="F134" s="20">
        <v>3927</v>
      </c>
      <c r="G134" s="11">
        <f t="shared" si="5"/>
        <v>73</v>
      </c>
      <c r="H134" s="12">
        <f t="shared" si="4"/>
        <v>1.8589253883371529E-2</v>
      </c>
      <c r="I134" s="20" t="s">
        <v>18</v>
      </c>
      <c r="J134" s="20"/>
    </row>
    <row r="135" spans="1:10" x14ac:dyDescent="0.25">
      <c r="A135" s="22">
        <v>46150</v>
      </c>
      <c r="B135" s="20" t="s">
        <v>71</v>
      </c>
      <c r="C135" s="21">
        <v>355820209823246</v>
      </c>
      <c r="D135" s="20" t="s">
        <v>93</v>
      </c>
      <c r="E135" s="20">
        <v>3850</v>
      </c>
      <c r="F135" s="20">
        <v>3748.5</v>
      </c>
      <c r="G135" s="11">
        <f t="shared" si="5"/>
        <v>101.5</v>
      </c>
      <c r="H135" s="12">
        <f t="shared" si="4"/>
        <v>2.7077497665732961E-2</v>
      </c>
      <c r="I135" s="20" t="s">
        <v>18</v>
      </c>
      <c r="J135" s="20"/>
    </row>
    <row r="136" spans="1:10" x14ac:dyDescent="0.25">
      <c r="A136" s="22">
        <v>46150</v>
      </c>
      <c r="B136" s="20" t="s">
        <v>71</v>
      </c>
      <c r="C136" s="21">
        <v>355981558630705</v>
      </c>
      <c r="D136" s="20" t="s">
        <v>92</v>
      </c>
      <c r="E136" s="20">
        <v>3850</v>
      </c>
      <c r="F136" s="20">
        <v>3748.5</v>
      </c>
      <c r="G136" s="11">
        <f t="shared" si="5"/>
        <v>101.5</v>
      </c>
      <c r="H136" s="12">
        <f t="shared" si="4"/>
        <v>2.7077497665732961E-2</v>
      </c>
      <c r="I136" s="20" t="s">
        <v>18</v>
      </c>
      <c r="J136" s="20"/>
    </row>
    <row r="137" spans="1:10" x14ac:dyDescent="0.25">
      <c r="A137" s="22">
        <v>46150</v>
      </c>
      <c r="B137" s="20" t="s">
        <v>71</v>
      </c>
      <c r="C137" s="21">
        <v>355981559424017</v>
      </c>
      <c r="D137" s="20" t="s">
        <v>93</v>
      </c>
      <c r="E137" s="20">
        <v>3850</v>
      </c>
      <c r="F137" s="20">
        <v>3748.5</v>
      </c>
      <c r="G137" s="11">
        <f t="shared" si="5"/>
        <v>101.5</v>
      </c>
      <c r="H137" s="12">
        <f t="shared" si="4"/>
        <v>2.7077497665732961E-2</v>
      </c>
      <c r="I137" s="20" t="s">
        <v>18</v>
      </c>
      <c r="J137" s="20"/>
    </row>
    <row r="138" spans="1:10" x14ac:dyDescent="0.25">
      <c r="A138" s="22">
        <v>46150</v>
      </c>
      <c r="B138" s="20" t="s">
        <v>71</v>
      </c>
      <c r="C138" s="21">
        <v>356245419596904</v>
      </c>
      <c r="D138" s="20" t="s">
        <v>93</v>
      </c>
      <c r="E138" s="20">
        <v>3850</v>
      </c>
      <c r="F138" s="20">
        <v>3748.5</v>
      </c>
      <c r="G138" s="11">
        <f t="shared" si="5"/>
        <v>101.5</v>
      </c>
      <c r="H138" s="12">
        <f t="shared" si="4"/>
        <v>2.7077497665732961E-2</v>
      </c>
      <c r="I138" s="20" t="s">
        <v>18</v>
      </c>
      <c r="J138" s="20"/>
    </row>
    <row r="139" spans="1:10" x14ac:dyDescent="0.25">
      <c r="A139" s="22">
        <v>46150</v>
      </c>
      <c r="B139" s="20" t="s">
        <v>71</v>
      </c>
      <c r="C139" s="21">
        <v>356245419713715</v>
      </c>
      <c r="D139" s="20" t="s">
        <v>94</v>
      </c>
      <c r="E139" s="20">
        <v>4000</v>
      </c>
      <c r="F139" s="20">
        <v>3927</v>
      </c>
      <c r="G139" s="11">
        <f t="shared" si="5"/>
        <v>73</v>
      </c>
      <c r="H139" s="12">
        <f t="shared" si="4"/>
        <v>1.8589253883371529E-2</v>
      </c>
      <c r="I139" s="20" t="s">
        <v>18</v>
      </c>
      <c r="J139" s="20"/>
    </row>
    <row r="140" spans="1:10" x14ac:dyDescent="0.25">
      <c r="A140" s="22">
        <v>46150</v>
      </c>
      <c r="B140" s="20" t="s">
        <v>71</v>
      </c>
      <c r="C140" s="21">
        <v>357254479279517</v>
      </c>
      <c r="D140" s="20" t="s">
        <v>94</v>
      </c>
      <c r="E140" s="20">
        <v>4000</v>
      </c>
      <c r="F140" s="20">
        <v>3927</v>
      </c>
      <c r="G140" s="11">
        <f t="shared" si="5"/>
        <v>73</v>
      </c>
      <c r="H140" s="12">
        <f t="shared" si="4"/>
        <v>1.8589253883371529E-2</v>
      </c>
      <c r="I140" s="20" t="s">
        <v>18</v>
      </c>
      <c r="J140" s="20"/>
    </row>
    <row r="141" spans="1:10" x14ac:dyDescent="0.25">
      <c r="A141" s="22">
        <v>46150</v>
      </c>
      <c r="B141" s="20" t="s">
        <v>71</v>
      </c>
      <c r="C141" s="21">
        <v>357254479534788</v>
      </c>
      <c r="D141" s="20" t="s">
        <v>91</v>
      </c>
      <c r="E141" s="20">
        <v>4000</v>
      </c>
      <c r="F141" s="20">
        <v>3927</v>
      </c>
      <c r="G141" s="11">
        <f t="shared" si="5"/>
        <v>73</v>
      </c>
      <c r="H141" s="12">
        <f t="shared" si="4"/>
        <v>1.8589253883371529E-2</v>
      </c>
      <c r="I141" s="20" t="s">
        <v>18</v>
      </c>
      <c r="J141" s="20"/>
    </row>
    <row r="142" spans="1:10" x14ac:dyDescent="0.25">
      <c r="A142" s="22">
        <v>46150</v>
      </c>
      <c r="B142" s="20" t="s">
        <v>71</v>
      </c>
      <c r="C142" s="21">
        <v>359477636296441</v>
      </c>
      <c r="D142" s="20" t="s">
        <v>33</v>
      </c>
      <c r="E142" s="20">
        <v>2790</v>
      </c>
      <c r="F142" s="20">
        <v>2677.5</v>
      </c>
      <c r="G142" s="11">
        <f t="shared" si="5"/>
        <v>112.5</v>
      </c>
      <c r="H142" s="12">
        <f t="shared" si="4"/>
        <v>4.2016806722689079E-2</v>
      </c>
      <c r="I142" s="20" t="s">
        <v>18</v>
      </c>
      <c r="J142" s="20"/>
    </row>
    <row r="143" spans="1:10" x14ac:dyDescent="0.25">
      <c r="A143" s="22">
        <v>46150</v>
      </c>
      <c r="B143" s="20" t="s">
        <v>95</v>
      </c>
      <c r="C143" s="21">
        <v>355079367360653</v>
      </c>
      <c r="D143" s="20" t="s">
        <v>96</v>
      </c>
      <c r="E143" s="20">
        <v>4560</v>
      </c>
      <c r="F143" s="20">
        <v>4105.5</v>
      </c>
      <c r="G143" s="11">
        <f t="shared" si="5"/>
        <v>454.5</v>
      </c>
      <c r="H143" s="12">
        <f t="shared" si="4"/>
        <v>0.11070515162586773</v>
      </c>
      <c r="I143" s="20" t="s">
        <v>18</v>
      </c>
      <c r="J143" s="20"/>
    </row>
    <row r="144" spans="1:10" x14ac:dyDescent="0.25">
      <c r="A144" s="22">
        <v>46150</v>
      </c>
      <c r="B144" s="20" t="s">
        <v>95</v>
      </c>
      <c r="C144" s="21">
        <v>355079367876526</v>
      </c>
      <c r="D144" s="20" t="s">
        <v>96</v>
      </c>
      <c r="E144" s="20">
        <v>4560</v>
      </c>
      <c r="F144" s="20">
        <v>4105.5</v>
      </c>
      <c r="G144" s="11">
        <f t="shared" si="5"/>
        <v>454.5</v>
      </c>
      <c r="H144" s="12">
        <f t="shared" si="4"/>
        <v>0.11070515162586773</v>
      </c>
      <c r="I144" s="20" t="s">
        <v>18</v>
      </c>
      <c r="J144" s="20"/>
    </row>
    <row r="145" spans="1:10" x14ac:dyDescent="0.25">
      <c r="A145" s="22">
        <v>46150</v>
      </c>
      <c r="B145" s="20" t="s">
        <v>32</v>
      </c>
      <c r="C145" s="21">
        <v>350035236205458</v>
      </c>
      <c r="D145" s="20" t="s">
        <v>93</v>
      </c>
      <c r="E145" s="20">
        <v>4260</v>
      </c>
      <c r="F145" s="20">
        <v>4105.5</v>
      </c>
      <c r="G145" s="11">
        <f t="shared" si="5"/>
        <v>154.5</v>
      </c>
      <c r="H145" s="12">
        <f t="shared" si="4"/>
        <v>3.7632444282060654E-2</v>
      </c>
      <c r="I145" s="20" t="s">
        <v>18</v>
      </c>
      <c r="J145" s="20"/>
    </row>
    <row r="146" spans="1:10" x14ac:dyDescent="0.25">
      <c r="A146" s="22">
        <v>46150</v>
      </c>
      <c r="B146" s="20" t="s">
        <v>32</v>
      </c>
      <c r="C146" s="21">
        <v>350035236394138</v>
      </c>
      <c r="D146" s="20" t="s">
        <v>93</v>
      </c>
      <c r="E146" s="20">
        <v>4260</v>
      </c>
      <c r="F146" s="20">
        <v>4105.5</v>
      </c>
      <c r="G146" s="11">
        <f t="shared" si="5"/>
        <v>154.5</v>
      </c>
      <c r="H146" s="12">
        <f t="shared" si="4"/>
        <v>3.7632444282060654E-2</v>
      </c>
      <c r="I146" s="20" t="s">
        <v>18</v>
      </c>
      <c r="J146" s="20"/>
    </row>
    <row r="147" spans="1:10" x14ac:dyDescent="0.25">
      <c r="A147" s="13">
        <v>46150</v>
      </c>
      <c r="B147" s="14" t="s">
        <v>32</v>
      </c>
      <c r="C147" s="17">
        <v>350035237281888</v>
      </c>
      <c r="D147" s="14" t="s">
        <v>33</v>
      </c>
      <c r="E147" s="14">
        <v>3120</v>
      </c>
      <c r="F147" s="14">
        <v>3248.7</v>
      </c>
      <c r="G147" s="14">
        <f t="shared" si="5"/>
        <v>-128.69999999999982</v>
      </c>
      <c r="H147" s="16">
        <f t="shared" si="4"/>
        <v>-3.9615846338535363E-2</v>
      </c>
      <c r="I147" s="14" t="s">
        <v>18</v>
      </c>
      <c r="J147" s="20" t="s">
        <v>26</v>
      </c>
    </row>
    <row r="148" spans="1:10" x14ac:dyDescent="0.25">
      <c r="A148" s="22">
        <v>46150</v>
      </c>
      <c r="B148" s="20" t="s">
        <v>32</v>
      </c>
      <c r="C148" s="21">
        <v>350035239170766</v>
      </c>
      <c r="D148" s="20" t="s">
        <v>35</v>
      </c>
      <c r="E148" s="20">
        <v>3000</v>
      </c>
      <c r="F148" s="20">
        <v>2856</v>
      </c>
      <c r="G148" s="11">
        <f t="shared" si="5"/>
        <v>144</v>
      </c>
      <c r="H148" s="12">
        <f t="shared" si="4"/>
        <v>5.0420168067226892E-2</v>
      </c>
      <c r="I148" s="20" t="s">
        <v>18</v>
      </c>
      <c r="J148" s="20"/>
    </row>
    <row r="149" spans="1:10" x14ac:dyDescent="0.25">
      <c r="A149" s="22">
        <v>46150</v>
      </c>
      <c r="B149" s="20" t="s">
        <v>32</v>
      </c>
      <c r="C149" s="21">
        <v>350552898197021</v>
      </c>
      <c r="D149" s="20" t="s">
        <v>92</v>
      </c>
      <c r="E149" s="20">
        <v>4260</v>
      </c>
      <c r="F149" s="20">
        <v>4105.5</v>
      </c>
      <c r="G149" s="11">
        <f t="shared" si="5"/>
        <v>154.5</v>
      </c>
      <c r="H149" s="12">
        <f t="shared" si="4"/>
        <v>3.7632444282060654E-2</v>
      </c>
      <c r="I149" s="20" t="s">
        <v>18</v>
      </c>
      <c r="J149" s="20"/>
    </row>
    <row r="150" spans="1:10" x14ac:dyDescent="0.25">
      <c r="A150" s="22">
        <v>46150</v>
      </c>
      <c r="B150" s="20" t="s">
        <v>32</v>
      </c>
      <c r="C150" s="21">
        <v>355101473713730</v>
      </c>
      <c r="D150" s="20" t="s">
        <v>98</v>
      </c>
      <c r="E150" s="20">
        <v>4580</v>
      </c>
      <c r="F150" s="20">
        <v>4284</v>
      </c>
      <c r="G150" s="11">
        <f t="shared" si="5"/>
        <v>296</v>
      </c>
      <c r="H150" s="12">
        <f t="shared" si="4"/>
        <v>6.909430438842204E-2</v>
      </c>
      <c r="I150" s="20" t="s">
        <v>18</v>
      </c>
      <c r="J150" s="20"/>
    </row>
    <row r="151" spans="1:10" x14ac:dyDescent="0.25">
      <c r="A151" s="22">
        <v>46150</v>
      </c>
      <c r="B151" s="20" t="s">
        <v>32</v>
      </c>
      <c r="C151" s="21">
        <v>355101473744206</v>
      </c>
      <c r="D151" s="20" t="s">
        <v>98</v>
      </c>
      <c r="E151" s="20">
        <v>4580</v>
      </c>
      <c r="F151" s="20">
        <v>4284</v>
      </c>
      <c r="G151" s="11">
        <f t="shared" si="5"/>
        <v>296</v>
      </c>
      <c r="H151" s="12">
        <f t="shared" si="4"/>
        <v>6.909430438842204E-2</v>
      </c>
      <c r="I151" s="20" t="s">
        <v>18</v>
      </c>
      <c r="J151" s="20"/>
    </row>
    <row r="152" spans="1:10" x14ac:dyDescent="0.25">
      <c r="A152" s="13">
        <v>46150</v>
      </c>
      <c r="B152" s="14" t="s">
        <v>32</v>
      </c>
      <c r="C152" s="17">
        <v>357329446447478</v>
      </c>
      <c r="D152" s="14" t="s">
        <v>33</v>
      </c>
      <c r="E152" s="14">
        <v>3120</v>
      </c>
      <c r="F152" s="14">
        <v>3248.7</v>
      </c>
      <c r="G152" s="14">
        <f t="shared" si="5"/>
        <v>-128.69999999999982</v>
      </c>
      <c r="H152" s="16">
        <f t="shared" si="4"/>
        <v>-3.9615846338535363E-2</v>
      </c>
      <c r="I152" s="14" t="s">
        <v>18</v>
      </c>
      <c r="J152" s="20" t="s">
        <v>26</v>
      </c>
    </row>
    <row r="153" spans="1:10" x14ac:dyDescent="0.25">
      <c r="A153" s="22">
        <v>46150</v>
      </c>
      <c r="B153" s="20" t="s">
        <v>32</v>
      </c>
      <c r="C153" s="21">
        <v>357329446642375</v>
      </c>
      <c r="D153" s="20" t="s">
        <v>92</v>
      </c>
      <c r="E153" s="20">
        <v>4260</v>
      </c>
      <c r="F153" s="20">
        <v>4105.5</v>
      </c>
      <c r="G153" s="11">
        <f t="shared" si="5"/>
        <v>154.5</v>
      </c>
      <c r="H153" s="12">
        <f t="shared" si="4"/>
        <v>3.7632444282060654E-2</v>
      </c>
      <c r="I153" s="20" t="s">
        <v>18</v>
      </c>
      <c r="J153" s="20"/>
    </row>
    <row r="154" spans="1:10" x14ac:dyDescent="0.25">
      <c r="A154" s="22">
        <v>46150</v>
      </c>
      <c r="B154" s="20" t="s">
        <v>32</v>
      </c>
      <c r="C154" s="21">
        <v>357329446880454</v>
      </c>
      <c r="D154" s="20" t="s">
        <v>92</v>
      </c>
      <c r="E154" s="20">
        <v>4260</v>
      </c>
      <c r="F154" s="20">
        <v>4105.5</v>
      </c>
      <c r="G154" s="11">
        <f t="shared" si="5"/>
        <v>154.5</v>
      </c>
      <c r="H154" s="12">
        <f t="shared" si="4"/>
        <v>3.7632444282060654E-2</v>
      </c>
      <c r="I154" s="20" t="s">
        <v>18</v>
      </c>
      <c r="J154" s="20"/>
    </row>
    <row r="155" spans="1:10" x14ac:dyDescent="0.25">
      <c r="A155" s="22">
        <v>46150</v>
      </c>
      <c r="B155" s="20" t="s">
        <v>32</v>
      </c>
      <c r="C155" s="21">
        <v>357329447043961</v>
      </c>
      <c r="D155" s="20" t="s">
        <v>92</v>
      </c>
      <c r="E155" s="20">
        <v>4260</v>
      </c>
      <c r="F155" s="20">
        <v>4105.5</v>
      </c>
      <c r="G155" s="11">
        <f t="shared" si="5"/>
        <v>154.5</v>
      </c>
      <c r="H155" s="12">
        <f t="shared" si="4"/>
        <v>3.7632444282060654E-2</v>
      </c>
      <c r="I155" s="20" t="s">
        <v>18</v>
      </c>
      <c r="J155" s="20"/>
    </row>
    <row r="156" spans="1:10" x14ac:dyDescent="0.25">
      <c r="A156" s="13">
        <v>46150</v>
      </c>
      <c r="B156" s="14" t="s">
        <v>32</v>
      </c>
      <c r="C156" s="17">
        <v>358206139869052</v>
      </c>
      <c r="D156" s="14" t="s">
        <v>33</v>
      </c>
      <c r="E156" s="14">
        <v>3120</v>
      </c>
      <c r="F156" s="14">
        <v>3248.7</v>
      </c>
      <c r="G156" s="14">
        <f t="shared" si="5"/>
        <v>-128.69999999999982</v>
      </c>
      <c r="H156" s="16">
        <f t="shared" si="4"/>
        <v>-3.9615846338535363E-2</v>
      </c>
      <c r="I156" s="14" t="s">
        <v>18</v>
      </c>
      <c r="J156" s="20" t="s">
        <v>26</v>
      </c>
    </row>
    <row r="157" spans="1:10" x14ac:dyDescent="0.25">
      <c r="A157" s="22">
        <v>46150</v>
      </c>
      <c r="B157" s="20" t="s">
        <v>32</v>
      </c>
      <c r="C157" s="21">
        <v>358434708332373</v>
      </c>
      <c r="D157" s="20" t="s">
        <v>93</v>
      </c>
      <c r="E157" s="20">
        <v>4260</v>
      </c>
      <c r="F157" s="20">
        <v>4105.5</v>
      </c>
      <c r="G157" s="11">
        <f t="shared" si="5"/>
        <v>154.5</v>
      </c>
      <c r="H157" s="12">
        <f t="shared" si="4"/>
        <v>3.7632444282060654E-2</v>
      </c>
      <c r="I157" s="20" t="s">
        <v>18</v>
      </c>
      <c r="J157" s="20"/>
    </row>
    <row r="158" spans="1:10" x14ac:dyDescent="0.25">
      <c r="A158" s="22">
        <v>46150</v>
      </c>
      <c r="B158" s="20" t="s">
        <v>75</v>
      </c>
      <c r="C158" s="21">
        <v>359814715575735</v>
      </c>
      <c r="D158" s="20" t="s">
        <v>92</v>
      </c>
      <c r="E158" s="20">
        <v>4850</v>
      </c>
      <c r="F158" s="20">
        <v>4462.5</v>
      </c>
      <c r="G158" s="11">
        <f t="shared" si="5"/>
        <v>387.5</v>
      </c>
      <c r="H158" s="12">
        <f t="shared" si="4"/>
        <v>8.683473389355742E-2</v>
      </c>
      <c r="I158" s="20" t="s">
        <v>18</v>
      </c>
      <c r="J158" s="20"/>
    </row>
    <row r="159" spans="1:10" x14ac:dyDescent="0.25">
      <c r="A159" s="22">
        <v>46151</v>
      </c>
      <c r="B159" s="20" t="s">
        <v>71</v>
      </c>
      <c r="C159" s="21">
        <v>355981559639101</v>
      </c>
      <c r="D159" s="20" t="s">
        <v>33</v>
      </c>
      <c r="E159" s="20">
        <v>2780</v>
      </c>
      <c r="F159" s="20">
        <v>2677.5</v>
      </c>
      <c r="G159" s="11">
        <f t="shared" si="5"/>
        <v>102.5</v>
      </c>
      <c r="H159" s="12">
        <f t="shared" si="4"/>
        <v>3.8281979458450049E-2</v>
      </c>
      <c r="I159" s="20" t="s">
        <v>18</v>
      </c>
      <c r="J159" s="20"/>
    </row>
    <row r="160" spans="1:10" x14ac:dyDescent="0.25">
      <c r="A160" s="22">
        <v>46151</v>
      </c>
      <c r="B160" s="20" t="s">
        <v>71</v>
      </c>
      <c r="C160" s="21">
        <v>359477635863308</v>
      </c>
      <c r="D160" s="20" t="s">
        <v>33</v>
      </c>
      <c r="E160" s="20">
        <v>2780</v>
      </c>
      <c r="F160" s="20">
        <v>2677.5</v>
      </c>
      <c r="G160" s="11">
        <f t="shared" si="5"/>
        <v>102.5</v>
      </c>
      <c r="H160" s="12">
        <f t="shared" si="4"/>
        <v>3.8281979458450049E-2</v>
      </c>
      <c r="I160" s="20" t="s">
        <v>18</v>
      </c>
      <c r="J160" s="20"/>
    </row>
    <row r="161" spans="1:10" x14ac:dyDescent="0.25">
      <c r="A161" s="22">
        <v>46151</v>
      </c>
      <c r="B161" s="20" t="s">
        <v>71</v>
      </c>
      <c r="C161" s="21">
        <v>359477638023728</v>
      </c>
      <c r="D161" s="20" t="s">
        <v>33</v>
      </c>
      <c r="E161" s="20">
        <v>2780</v>
      </c>
      <c r="F161" s="20">
        <v>2677.5</v>
      </c>
      <c r="G161" s="11">
        <f t="shared" si="5"/>
        <v>102.5</v>
      </c>
      <c r="H161" s="12">
        <f t="shared" si="4"/>
        <v>3.8281979458450049E-2</v>
      </c>
      <c r="I161" s="20" t="s">
        <v>18</v>
      </c>
      <c r="J161" s="20"/>
    </row>
    <row r="162" spans="1:10" x14ac:dyDescent="0.25">
      <c r="A162" s="22">
        <v>46152</v>
      </c>
      <c r="B162" s="20" t="s">
        <v>71</v>
      </c>
      <c r="C162" s="21">
        <v>351030795758160</v>
      </c>
      <c r="D162" s="20" t="s">
        <v>72</v>
      </c>
      <c r="E162" s="20">
        <v>2750</v>
      </c>
      <c r="F162" s="20">
        <v>2677.5</v>
      </c>
      <c r="G162" s="11">
        <f t="shared" si="5"/>
        <v>72.5</v>
      </c>
      <c r="H162" s="12">
        <f t="shared" si="4"/>
        <v>2.7077497665732961E-2</v>
      </c>
      <c r="I162" s="20" t="s">
        <v>18</v>
      </c>
      <c r="J162" s="20"/>
    </row>
    <row r="163" spans="1:10" x14ac:dyDescent="0.25">
      <c r="A163" s="22">
        <v>46152</v>
      </c>
      <c r="B163" s="20" t="s">
        <v>71</v>
      </c>
      <c r="C163" s="21">
        <v>352176456359761</v>
      </c>
      <c r="D163" s="20" t="s">
        <v>72</v>
      </c>
      <c r="E163" s="20">
        <v>2750</v>
      </c>
      <c r="F163" s="20">
        <v>2677.5</v>
      </c>
      <c r="G163" s="11">
        <f t="shared" si="5"/>
        <v>72.5</v>
      </c>
      <c r="H163" s="12">
        <f t="shared" si="4"/>
        <v>2.7077497665732961E-2</v>
      </c>
      <c r="I163" s="20" t="s">
        <v>18</v>
      </c>
      <c r="J163" s="20"/>
    </row>
    <row r="164" spans="1:10" x14ac:dyDescent="0.25">
      <c r="A164" s="22">
        <v>46152</v>
      </c>
      <c r="B164" s="20" t="s">
        <v>71</v>
      </c>
      <c r="C164" s="21">
        <v>352176456423948</v>
      </c>
      <c r="D164" s="20" t="s">
        <v>72</v>
      </c>
      <c r="E164" s="20">
        <v>2780</v>
      </c>
      <c r="F164" s="20">
        <v>2677.5</v>
      </c>
      <c r="G164" s="11">
        <f t="shared" si="5"/>
        <v>102.5</v>
      </c>
      <c r="H164" s="12">
        <f t="shared" si="4"/>
        <v>3.8281979458450049E-2</v>
      </c>
      <c r="I164" s="20" t="s">
        <v>18</v>
      </c>
      <c r="J164" s="20"/>
    </row>
    <row r="165" spans="1:10" x14ac:dyDescent="0.25">
      <c r="A165" s="22">
        <v>46152</v>
      </c>
      <c r="B165" s="20" t="s">
        <v>71</v>
      </c>
      <c r="C165" s="21">
        <v>352190320767356</v>
      </c>
      <c r="D165" s="20" t="s">
        <v>33</v>
      </c>
      <c r="E165" s="20">
        <v>2780</v>
      </c>
      <c r="F165" s="20">
        <v>2677.5</v>
      </c>
      <c r="G165" s="11">
        <f t="shared" si="5"/>
        <v>102.5</v>
      </c>
      <c r="H165" s="12">
        <f t="shared" si="4"/>
        <v>3.8281979458450049E-2</v>
      </c>
      <c r="I165" s="20" t="s">
        <v>18</v>
      </c>
      <c r="J165" s="20"/>
    </row>
    <row r="166" spans="1:10" x14ac:dyDescent="0.25">
      <c r="A166" s="13">
        <v>46152</v>
      </c>
      <c r="B166" s="14" t="s">
        <v>71</v>
      </c>
      <c r="C166" s="17">
        <v>355079369331785</v>
      </c>
      <c r="D166" s="14" t="s">
        <v>33</v>
      </c>
      <c r="E166" s="14">
        <v>2750</v>
      </c>
      <c r="F166" s="14">
        <v>2891.7</v>
      </c>
      <c r="G166" s="14">
        <f t="shared" si="5"/>
        <v>-141.69999999999982</v>
      </c>
      <c r="H166" s="16">
        <f t="shared" si="4"/>
        <v>-4.9002316976173126E-2</v>
      </c>
      <c r="I166" s="14" t="s">
        <v>18</v>
      </c>
      <c r="J166" s="20" t="s">
        <v>26</v>
      </c>
    </row>
    <row r="167" spans="1:10" x14ac:dyDescent="0.25">
      <c r="A167" s="22">
        <v>46152</v>
      </c>
      <c r="B167" s="20" t="s">
        <v>71</v>
      </c>
      <c r="C167" s="21">
        <v>357633132789246</v>
      </c>
      <c r="D167" s="20" t="s">
        <v>72</v>
      </c>
      <c r="E167" s="20">
        <v>2780</v>
      </c>
      <c r="F167" s="20">
        <v>2677.5</v>
      </c>
      <c r="G167" s="11">
        <f t="shared" si="5"/>
        <v>102.5</v>
      </c>
      <c r="H167" s="12">
        <f t="shared" si="4"/>
        <v>3.8281979458450049E-2</v>
      </c>
      <c r="I167" s="20" t="s">
        <v>18</v>
      </c>
      <c r="J167" s="20"/>
    </row>
    <row r="168" spans="1:10" x14ac:dyDescent="0.25">
      <c r="A168" s="22">
        <v>46153</v>
      </c>
      <c r="B168" s="20" t="s">
        <v>108</v>
      </c>
      <c r="C168" s="21" t="s">
        <v>109</v>
      </c>
      <c r="D168" s="20" t="s">
        <v>110</v>
      </c>
      <c r="E168" s="20">
        <v>5530</v>
      </c>
      <c r="F168" s="20">
        <v>5122.95</v>
      </c>
      <c r="G168" s="11">
        <f t="shared" si="5"/>
        <v>407.05000000000018</v>
      </c>
      <c r="H168" s="12">
        <f t="shared" si="4"/>
        <v>7.9456172712987674E-2</v>
      </c>
      <c r="I168" s="20" t="s">
        <v>18</v>
      </c>
      <c r="J168" s="20"/>
    </row>
    <row r="169" spans="1:10" x14ac:dyDescent="0.25">
      <c r="A169" s="22">
        <v>46153</v>
      </c>
      <c r="B169" s="20" t="s">
        <v>32</v>
      </c>
      <c r="C169" s="21">
        <v>356605222677607</v>
      </c>
      <c r="D169" s="20" t="s">
        <v>72</v>
      </c>
      <c r="E169" s="20">
        <v>3040</v>
      </c>
      <c r="F169" s="20">
        <v>3034.5</v>
      </c>
      <c r="G169" s="11">
        <f t="shared" si="5"/>
        <v>5.5</v>
      </c>
      <c r="H169" s="12">
        <f t="shared" ref="H169:H229" si="6">(E169-F169)/F169</f>
        <v>1.8124897017630581E-3</v>
      </c>
      <c r="I169" s="20" t="s">
        <v>18</v>
      </c>
      <c r="J169" s="20"/>
    </row>
    <row r="170" spans="1:10" x14ac:dyDescent="0.25">
      <c r="A170" s="22">
        <v>46154</v>
      </c>
      <c r="B170" s="20" t="s">
        <v>127</v>
      </c>
      <c r="C170" s="21">
        <v>353660340609191</v>
      </c>
      <c r="D170" s="20" t="s">
        <v>128</v>
      </c>
      <c r="E170" s="20">
        <v>865</v>
      </c>
      <c r="F170" s="20">
        <v>803.25</v>
      </c>
      <c r="G170" s="11">
        <f t="shared" si="5"/>
        <v>61.75</v>
      </c>
      <c r="H170" s="12">
        <f t="shared" si="6"/>
        <v>7.6875194522253346E-2</v>
      </c>
      <c r="I170" s="20" t="s">
        <v>18</v>
      </c>
      <c r="J170" s="20"/>
    </row>
    <row r="171" spans="1:10" x14ac:dyDescent="0.25">
      <c r="A171" s="22">
        <v>46154</v>
      </c>
      <c r="B171" s="20" t="s">
        <v>129</v>
      </c>
      <c r="C171" s="21">
        <v>351737751661317</v>
      </c>
      <c r="D171" s="20" t="s">
        <v>130</v>
      </c>
      <c r="E171" s="20">
        <v>1320</v>
      </c>
      <c r="F171" s="20">
        <v>1124.55</v>
      </c>
      <c r="G171" s="11">
        <f t="shared" si="5"/>
        <v>195.45000000000005</v>
      </c>
      <c r="H171" s="12">
        <f t="shared" si="6"/>
        <v>0.17380285447512342</v>
      </c>
      <c r="I171" s="20" t="s">
        <v>18</v>
      </c>
      <c r="J171" s="20"/>
    </row>
    <row r="172" spans="1:10" x14ac:dyDescent="0.25">
      <c r="A172" s="22">
        <v>46154</v>
      </c>
      <c r="B172" s="20" t="s">
        <v>129</v>
      </c>
      <c r="C172" s="21">
        <v>351737751743255</v>
      </c>
      <c r="D172" s="20" t="s">
        <v>130</v>
      </c>
      <c r="E172" s="20">
        <v>1320</v>
      </c>
      <c r="F172" s="20">
        <v>1124.55</v>
      </c>
      <c r="G172" s="11">
        <f t="shared" si="5"/>
        <v>195.45000000000005</v>
      </c>
      <c r="H172" s="12">
        <f t="shared" si="6"/>
        <v>0.17380285447512342</v>
      </c>
      <c r="I172" s="20" t="s">
        <v>18</v>
      </c>
      <c r="J172" s="20"/>
    </row>
    <row r="173" spans="1:10" x14ac:dyDescent="0.25">
      <c r="A173" s="22">
        <v>46154</v>
      </c>
      <c r="B173" s="20" t="s">
        <v>131</v>
      </c>
      <c r="C173" s="21">
        <v>355827875039627</v>
      </c>
      <c r="D173" s="20" t="s">
        <v>132</v>
      </c>
      <c r="E173" s="20">
        <v>2470</v>
      </c>
      <c r="F173" s="20">
        <v>2338.35</v>
      </c>
      <c r="G173" s="11">
        <f t="shared" si="5"/>
        <v>131.65000000000009</v>
      </c>
      <c r="H173" s="12">
        <f t="shared" si="6"/>
        <v>5.6300382748519298E-2</v>
      </c>
      <c r="I173" s="20" t="s">
        <v>18</v>
      </c>
      <c r="J173" s="20"/>
    </row>
    <row r="174" spans="1:10" x14ac:dyDescent="0.25">
      <c r="A174" s="22">
        <v>46154</v>
      </c>
      <c r="B174" s="20" t="s">
        <v>40</v>
      </c>
      <c r="C174" s="21" t="s">
        <v>139</v>
      </c>
      <c r="D174" s="20" t="s">
        <v>30</v>
      </c>
      <c r="E174" s="20">
        <v>1908.89</v>
      </c>
      <c r="F174" s="20">
        <v>1677.9</v>
      </c>
      <c r="G174" s="11">
        <f t="shared" si="5"/>
        <v>230.99</v>
      </c>
      <c r="H174" s="12">
        <f t="shared" si="6"/>
        <v>0.1376661302819</v>
      </c>
      <c r="I174" s="20" t="s">
        <v>18</v>
      </c>
      <c r="J174" s="20"/>
    </row>
    <row r="175" spans="1:10" x14ac:dyDescent="0.25">
      <c r="A175" s="22">
        <v>46154</v>
      </c>
      <c r="B175" s="20" t="s">
        <v>40</v>
      </c>
      <c r="C175" s="21" t="s">
        <v>140</v>
      </c>
      <c r="D175" s="20" t="s">
        <v>30</v>
      </c>
      <c r="E175" s="20">
        <v>1908.89</v>
      </c>
      <c r="F175" s="20">
        <v>1677.9</v>
      </c>
      <c r="G175" s="11">
        <f t="shared" si="5"/>
        <v>230.99</v>
      </c>
      <c r="H175" s="12">
        <f t="shared" si="6"/>
        <v>0.1376661302819</v>
      </c>
      <c r="I175" s="20" t="s">
        <v>18</v>
      </c>
      <c r="J175" s="20"/>
    </row>
    <row r="176" spans="1:10" x14ac:dyDescent="0.25">
      <c r="A176" s="22">
        <v>46154</v>
      </c>
      <c r="B176" s="20" t="s">
        <v>40</v>
      </c>
      <c r="C176" s="21" t="s">
        <v>141</v>
      </c>
      <c r="D176" s="20" t="s">
        <v>30</v>
      </c>
      <c r="E176" s="20">
        <v>1908.89</v>
      </c>
      <c r="F176" s="20">
        <v>1677.9</v>
      </c>
      <c r="G176" s="11">
        <f t="shared" si="5"/>
        <v>230.99</v>
      </c>
      <c r="H176" s="12">
        <f t="shared" si="6"/>
        <v>0.1376661302819</v>
      </c>
      <c r="I176" s="20" t="s">
        <v>18</v>
      </c>
      <c r="J176" s="20"/>
    </row>
    <row r="177" spans="1:10" x14ac:dyDescent="0.25">
      <c r="A177" s="22">
        <v>46154</v>
      </c>
      <c r="B177" s="20" t="s">
        <v>40</v>
      </c>
      <c r="C177" s="21" t="s">
        <v>142</v>
      </c>
      <c r="D177" s="20" t="s">
        <v>30</v>
      </c>
      <c r="E177" s="20">
        <v>1908.89</v>
      </c>
      <c r="F177" s="20">
        <v>1677.9</v>
      </c>
      <c r="G177" s="11">
        <f t="shared" si="5"/>
        <v>230.99</v>
      </c>
      <c r="H177" s="12">
        <f t="shared" si="6"/>
        <v>0.1376661302819</v>
      </c>
      <c r="I177" s="20" t="s">
        <v>18</v>
      </c>
      <c r="J177" s="20"/>
    </row>
    <row r="178" spans="1:10" x14ac:dyDescent="0.25">
      <c r="A178" s="22">
        <v>46154</v>
      </c>
      <c r="B178" s="20" t="s">
        <v>40</v>
      </c>
      <c r="C178" s="21" t="s">
        <v>143</v>
      </c>
      <c r="D178" s="20" t="s">
        <v>30</v>
      </c>
      <c r="E178" s="20">
        <v>1908.89</v>
      </c>
      <c r="F178" s="20">
        <v>1677.9</v>
      </c>
      <c r="G178" s="11">
        <f t="shared" si="5"/>
        <v>230.99</v>
      </c>
      <c r="H178" s="12">
        <f t="shared" si="6"/>
        <v>0.1376661302819</v>
      </c>
      <c r="I178" s="20" t="s">
        <v>18</v>
      </c>
      <c r="J178" s="20"/>
    </row>
    <row r="179" spans="1:10" x14ac:dyDescent="0.25">
      <c r="A179" s="22">
        <v>46154</v>
      </c>
      <c r="B179" s="20" t="s">
        <v>40</v>
      </c>
      <c r="C179" s="21" t="s">
        <v>144</v>
      </c>
      <c r="D179" s="20" t="s">
        <v>30</v>
      </c>
      <c r="E179" s="20">
        <v>1908.89</v>
      </c>
      <c r="F179" s="20">
        <v>1677.9</v>
      </c>
      <c r="G179" s="11">
        <f t="shared" si="5"/>
        <v>230.99</v>
      </c>
      <c r="H179" s="12">
        <f t="shared" si="6"/>
        <v>0.1376661302819</v>
      </c>
      <c r="I179" s="20" t="s">
        <v>18</v>
      </c>
      <c r="J179" s="20"/>
    </row>
    <row r="180" spans="1:10" x14ac:dyDescent="0.25">
      <c r="A180" s="22">
        <v>46154</v>
      </c>
      <c r="B180" s="20" t="s">
        <v>40</v>
      </c>
      <c r="C180" s="21" t="s">
        <v>145</v>
      </c>
      <c r="D180" s="20" t="s">
        <v>30</v>
      </c>
      <c r="E180" s="20">
        <v>1908.89</v>
      </c>
      <c r="F180" s="20">
        <v>1677.9</v>
      </c>
      <c r="G180" s="11">
        <f t="shared" si="5"/>
        <v>230.99</v>
      </c>
      <c r="H180" s="12">
        <f t="shared" si="6"/>
        <v>0.1376661302819</v>
      </c>
      <c r="I180" s="20" t="s">
        <v>18</v>
      </c>
      <c r="J180" s="20"/>
    </row>
    <row r="181" spans="1:10" x14ac:dyDescent="0.25">
      <c r="A181" s="22">
        <v>46154</v>
      </c>
      <c r="B181" s="20" t="s">
        <v>40</v>
      </c>
      <c r="C181" s="21" t="s">
        <v>146</v>
      </c>
      <c r="D181" s="20" t="s">
        <v>30</v>
      </c>
      <c r="E181" s="20">
        <v>1908.89</v>
      </c>
      <c r="F181" s="20">
        <v>1677.9</v>
      </c>
      <c r="G181" s="11">
        <f t="shared" si="5"/>
        <v>230.99</v>
      </c>
      <c r="H181" s="12">
        <f t="shared" si="6"/>
        <v>0.1376661302819</v>
      </c>
      <c r="I181" s="20" t="s">
        <v>18</v>
      </c>
      <c r="J181" s="20"/>
    </row>
    <row r="182" spans="1:10" x14ac:dyDescent="0.25">
      <c r="A182" s="22">
        <v>46154</v>
      </c>
      <c r="B182" s="20" t="s">
        <v>40</v>
      </c>
      <c r="C182" s="21" t="s">
        <v>147</v>
      </c>
      <c r="D182" s="20" t="s">
        <v>30</v>
      </c>
      <c r="E182" s="20">
        <v>1908.89</v>
      </c>
      <c r="F182" s="20">
        <v>1677.9</v>
      </c>
      <c r="G182" s="11">
        <f t="shared" si="5"/>
        <v>230.99</v>
      </c>
      <c r="H182" s="12">
        <f t="shared" si="6"/>
        <v>0.1376661302819</v>
      </c>
      <c r="I182" s="20" t="s">
        <v>18</v>
      </c>
      <c r="J182" s="20"/>
    </row>
    <row r="183" spans="1:10" x14ac:dyDescent="0.25">
      <c r="A183" s="22">
        <v>46154</v>
      </c>
      <c r="B183" s="20" t="s">
        <v>40</v>
      </c>
      <c r="C183" s="21" t="s">
        <v>148</v>
      </c>
      <c r="D183" s="20" t="s">
        <v>30</v>
      </c>
      <c r="E183" s="20">
        <v>1908.89</v>
      </c>
      <c r="F183" s="20">
        <v>1677.9</v>
      </c>
      <c r="G183" s="11">
        <f t="shared" si="5"/>
        <v>230.99</v>
      </c>
      <c r="H183" s="12">
        <f t="shared" si="6"/>
        <v>0.1376661302819</v>
      </c>
      <c r="I183" s="20" t="s">
        <v>18</v>
      </c>
      <c r="J183" s="20"/>
    </row>
    <row r="184" spans="1:10" x14ac:dyDescent="0.25">
      <c r="A184" s="22">
        <v>46154</v>
      </c>
      <c r="B184" s="20" t="s">
        <v>40</v>
      </c>
      <c r="C184" s="21" t="s">
        <v>149</v>
      </c>
      <c r="D184" s="20" t="s">
        <v>30</v>
      </c>
      <c r="E184" s="20">
        <v>1908.89</v>
      </c>
      <c r="F184" s="20">
        <v>1677.9</v>
      </c>
      <c r="G184" s="11">
        <f t="shared" si="5"/>
        <v>230.99</v>
      </c>
      <c r="H184" s="12">
        <f t="shared" si="6"/>
        <v>0.1376661302819</v>
      </c>
      <c r="I184" s="20" t="s">
        <v>18</v>
      </c>
      <c r="J184" s="20"/>
    </row>
    <row r="185" spans="1:10" x14ac:dyDescent="0.25">
      <c r="A185" s="22">
        <v>46154</v>
      </c>
      <c r="B185" s="20" t="s">
        <v>40</v>
      </c>
      <c r="C185" s="21" t="s">
        <v>150</v>
      </c>
      <c r="D185" s="20" t="s">
        <v>30</v>
      </c>
      <c r="E185" s="20">
        <v>1908.89</v>
      </c>
      <c r="F185" s="20">
        <v>1677.9</v>
      </c>
      <c r="G185" s="11">
        <f t="shared" si="5"/>
        <v>230.99</v>
      </c>
      <c r="H185" s="12">
        <f t="shared" si="6"/>
        <v>0.1376661302819</v>
      </c>
      <c r="I185" s="20" t="s">
        <v>18</v>
      </c>
      <c r="J185" s="20"/>
    </row>
    <row r="186" spans="1:10" x14ac:dyDescent="0.25">
      <c r="A186" s="22">
        <v>46154</v>
      </c>
      <c r="B186" s="20" t="s">
        <v>40</v>
      </c>
      <c r="C186" s="21" t="s">
        <v>151</v>
      </c>
      <c r="D186" s="20" t="s">
        <v>30</v>
      </c>
      <c r="E186" s="20">
        <v>1908.89</v>
      </c>
      <c r="F186" s="20">
        <v>1677.9</v>
      </c>
      <c r="G186" s="11">
        <f t="shared" si="5"/>
        <v>230.99</v>
      </c>
      <c r="H186" s="12">
        <f t="shared" si="6"/>
        <v>0.1376661302819</v>
      </c>
      <c r="I186" s="20" t="s">
        <v>18</v>
      </c>
      <c r="J186" s="20"/>
    </row>
    <row r="187" spans="1:10" x14ac:dyDescent="0.25">
      <c r="A187" s="22">
        <v>46154</v>
      </c>
      <c r="B187" s="20" t="s">
        <v>40</v>
      </c>
      <c r="C187" s="21" t="s">
        <v>152</v>
      </c>
      <c r="D187" s="20" t="s">
        <v>30</v>
      </c>
      <c r="E187" s="20">
        <v>1908.89</v>
      </c>
      <c r="F187" s="20">
        <v>1677.9</v>
      </c>
      <c r="G187" s="11">
        <f t="shared" si="5"/>
        <v>230.99</v>
      </c>
      <c r="H187" s="12">
        <f t="shared" si="6"/>
        <v>0.1376661302819</v>
      </c>
      <c r="I187" s="20" t="s">
        <v>18</v>
      </c>
      <c r="J187" s="20"/>
    </row>
    <row r="188" spans="1:10" x14ac:dyDescent="0.25">
      <c r="A188" s="22">
        <v>46154</v>
      </c>
      <c r="B188" s="20" t="s">
        <v>40</v>
      </c>
      <c r="C188" s="21" t="s">
        <v>153</v>
      </c>
      <c r="D188" s="20" t="s">
        <v>30</v>
      </c>
      <c r="E188" s="20">
        <v>1908.89</v>
      </c>
      <c r="F188" s="20">
        <v>1677.9</v>
      </c>
      <c r="G188" s="11">
        <f t="shared" si="5"/>
        <v>230.99</v>
      </c>
      <c r="H188" s="12">
        <f t="shared" si="6"/>
        <v>0.1376661302819</v>
      </c>
      <c r="I188" s="20" t="s">
        <v>18</v>
      </c>
      <c r="J188" s="20"/>
    </row>
    <row r="189" spans="1:10" x14ac:dyDescent="0.25">
      <c r="A189" s="22">
        <v>46154</v>
      </c>
      <c r="B189" s="20" t="s">
        <v>40</v>
      </c>
      <c r="C189" s="21" t="s">
        <v>154</v>
      </c>
      <c r="D189" s="20" t="s">
        <v>30</v>
      </c>
      <c r="E189" s="20">
        <v>1908.89</v>
      </c>
      <c r="F189" s="20">
        <v>1677.9</v>
      </c>
      <c r="G189" s="11">
        <f t="shared" si="5"/>
        <v>230.99</v>
      </c>
      <c r="H189" s="12">
        <f t="shared" si="6"/>
        <v>0.1376661302819</v>
      </c>
      <c r="I189" s="20" t="s">
        <v>18</v>
      </c>
      <c r="J189" s="20"/>
    </row>
    <row r="190" spans="1:10" x14ac:dyDescent="0.25">
      <c r="A190" s="22">
        <v>46154</v>
      </c>
      <c r="B190" s="20" t="s">
        <v>40</v>
      </c>
      <c r="C190" s="21" t="s">
        <v>155</v>
      </c>
      <c r="D190" s="20" t="s">
        <v>30</v>
      </c>
      <c r="E190" s="20">
        <v>1908.89</v>
      </c>
      <c r="F190" s="20">
        <v>1677.9</v>
      </c>
      <c r="G190" s="11">
        <f t="shared" si="5"/>
        <v>230.99</v>
      </c>
      <c r="H190" s="12">
        <f t="shared" si="6"/>
        <v>0.1376661302819</v>
      </c>
      <c r="I190" s="20" t="s">
        <v>18</v>
      </c>
      <c r="J190" s="20"/>
    </row>
    <row r="191" spans="1:10" x14ac:dyDescent="0.25">
      <c r="A191" s="22">
        <v>46154</v>
      </c>
      <c r="B191" s="20" t="s">
        <v>40</v>
      </c>
      <c r="C191" s="21" t="s">
        <v>156</v>
      </c>
      <c r="D191" s="20" t="s">
        <v>30</v>
      </c>
      <c r="E191" s="20">
        <v>1908.89</v>
      </c>
      <c r="F191" s="20">
        <v>1677.9</v>
      </c>
      <c r="G191" s="11">
        <f t="shared" si="5"/>
        <v>230.99</v>
      </c>
      <c r="H191" s="12">
        <f t="shared" si="6"/>
        <v>0.1376661302819</v>
      </c>
      <c r="I191" s="20" t="s">
        <v>18</v>
      </c>
      <c r="J191" s="20"/>
    </row>
    <row r="192" spans="1:10" x14ac:dyDescent="0.25">
      <c r="A192" s="22">
        <v>46154</v>
      </c>
      <c r="B192" s="20" t="s">
        <v>55</v>
      </c>
      <c r="C192" s="21" t="s">
        <v>157</v>
      </c>
      <c r="D192" s="20" t="s">
        <v>30</v>
      </c>
      <c r="E192" s="20">
        <v>1493.33</v>
      </c>
      <c r="F192" s="20">
        <v>1249.5</v>
      </c>
      <c r="G192" s="11">
        <f t="shared" si="5"/>
        <v>243.82999999999993</v>
      </c>
      <c r="H192" s="12">
        <f t="shared" si="6"/>
        <v>0.19514205682272903</v>
      </c>
      <c r="I192" s="20" t="s">
        <v>18</v>
      </c>
      <c r="J192" s="20"/>
    </row>
    <row r="193" spans="1:10" x14ac:dyDescent="0.25">
      <c r="A193" s="22">
        <v>46154</v>
      </c>
      <c r="B193" s="20" t="s">
        <v>55</v>
      </c>
      <c r="C193" s="21" t="s">
        <v>158</v>
      </c>
      <c r="D193" s="20" t="s">
        <v>30</v>
      </c>
      <c r="E193" s="20">
        <v>1493.33</v>
      </c>
      <c r="F193" s="20">
        <v>1249.5</v>
      </c>
      <c r="G193" s="11">
        <f t="shared" si="5"/>
        <v>243.82999999999993</v>
      </c>
      <c r="H193" s="12">
        <f t="shared" si="6"/>
        <v>0.19514205682272903</v>
      </c>
      <c r="I193" s="20" t="s">
        <v>18</v>
      </c>
      <c r="J193" s="20"/>
    </row>
    <row r="194" spans="1:10" x14ac:dyDescent="0.25">
      <c r="A194" s="22">
        <v>46154</v>
      </c>
      <c r="B194" s="20" t="s">
        <v>55</v>
      </c>
      <c r="C194" s="21" t="s">
        <v>159</v>
      </c>
      <c r="D194" s="20" t="s">
        <v>30</v>
      </c>
      <c r="E194" s="20">
        <v>1493.33</v>
      </c>
      <c r="F194" s="20">
        <v>1249.5</v>
      </c>
      <c r="G194" s="11">
        <f t="shared" si="5"/>
        <v>243.82999999999993</v>
      </c>
      <c r="H194" s="12">
        <f t="shared" si="6"/>
        <v>0.19514205682272903</v>
      </c>
      <c r="I194" s="20" t="s">
        <v>18</v>
      </c>
      <c r="J194" s="20"/>
    </row>
    <row r="195" spans="1:10" x14ac:dyDescent="0.25">
      <c r="A195" s="22">
        <v>46155</v>
      </c>
      <c r="B195" s="20" t="s">
        <v>273</v>
      </c>
      <c r="C195" s="21" t="s">
        <v>274</v>
      </c>
      <c r="D195" s="20" t="s">
        <v>34</v>
      </c>
      <c r="E195" s="20">
        <v>1120</v>
      </c>
      <c r="F195" s="20">
        <v>1017.45</v>
      </c>
      <c r="G195" s="11">
        <f t="shared" ref="G195:G258" si="7">E195-F195</f>
        <v>102.54999999999995</v>
      </c>
      <c r="H195" s="12">
        <f t="shared" si="6"/>
        <v>0.10079119367045059</v>
      </c>
      <c r="I195" s="20" t="s">
        <v>18</v>
      </c>
      <c r="J195" s="20"/>
    </row>
    <row r="196" spans="1:10" x14ac:dyDescent="0.25">
      <c r="A196" s="22">
        <v>46155</v>
      </c>
      <c r="B196" s="20" t="s">
        <v>275</v>
      </c>
      <c r="C196" s="21">
        <v>357879853765416</v>
      </c>
      <c r="D196" s="20" t="s">
        <v>30</v>
      </c>
      <c r="E196" s="20">
        <v>2000</v>
      </c>
      <c r="F196" s="20">
        <v>1713.6</v>
      </c>
      <c r="G196" s="11">
        <f t="shared" si="7"/>
        <v>286.40000000000009</v>
      </c>
      <c r="H196" s="12">
        <f t="shared" si="6"/>
        <v>0.16713352007469662</v>
      </c>
      <c r="I196" s="20" t="s">
        <v>18</v>
      </c>
      <c r="J196" s="20"/>
    </row>
    <row r="197" spans="1:10" x14ac:dyDescent="0.25">
      <c r="A197" s="22">
        <v>46155</v>
      </c>
      <c r="B197" s="20" t="s">
        <v>275</v>
      </c>
      <c r="C197" s="21">
        <v>357879853903678</v>
      </c>
      <c r="D197" s="20" t="s">
        <v>30</v>
      </c>
      <c r="E197" s="20">
        <v>2000</v>
      </c>
      <c r="F197" s="20">
        <v>1713.6</v>
      </c>
      <c r="G197" s="11">
        <f t="shared" si="7"/>
        <v>286.40000000000009</v>
      </c>
      <c r="H197" s="12">
        <f t="shared" si="6"/>
        <v>0.16713352007469662</v>
      </c>
      <c r="I197" s="20" t="s">
        <v>18</v>
      </c>
      <c r="J197" s="20"/>
    </row>
    <row r="198" spans="1:10" x14ac:dyDescent="0.25">
      <c r="A198" s="22">
        <v>46155</v>
      </c>
      <c r="B198" s="20" t="s">
        <v>276</v>
      </c>
      <c r="C198" s="21">
        <v>350094263789470</v>
      </c>
      <c r="D198" s="20" t="s">
        <v>277</v>
      </c>
      <c r="E198" s="20">
        <v>1280</v>
      </c>
      <c r="F198" s="20">
        <v>1017.45</v>
      </c>
      <c r="G198" s="11">
        <f t="shared" si="7"/>
        <v>262.54999999999995</v>
      </c>
      <c r="H198" s="12">
        <f t="shared" si="6"/>
        <v>0.25804707848051495</v>
      </c>
      <c r="I198" s="20" t="s">
        <v>18</v>
      </c>
      <c r="J198" s="20"/>
    </row>
    <row r="199" spans="1:10" x14ac:dyDescent="0.25">
      <c r="A199" s="22">
        <v>46155</v>
      </c>
      <c r="B199" s="20" t="s">
        <v>276</v>
      </c>
      <c r="C199" s="21">
        <v>357585652192856</v>
      </c>
      <c r="D199" s="20" t="s">
        <v>277</v>
      </c>
      <c r="E199" s="20">
        <v>1280</v>
      </c>
      <c r="F199" s="20">
        <v>1017.45</v>
      </c>
      <c r="G199" s="11">
        <f t="shared" si="7"/>
        <v>262.54999999999995</v>
      </c>
      <c r="H199" s="12">
        <f t="shared" si="6"/>
        <v>0.25804707848051495</v>
      </c>
      <c r="I199" s="20" t="s">
        <v>18</v>
      </c>
      <c r="J199" s="20"/>
    </row>
    <row r="200" spans="1:10" x14ac:dyDescent="0.25">
      <c r="A200" s="22">
        <v>46155</v>
      </c>
      <c r="B200" s="20" t="s">
        <v>279</v>
      </c>
      <c r="C200" s="21" t="s">
        <v>280</v>
      </c>
      <c r="D200" s="20" t="s">
        <v>21</v>
      </c>
      <c r="E200" s="20">
        <v>2350</v>
      </c>
      <c r="F200" s="20">
        <v>2142</v>
      </c>
      <c r="G200" s="11">
        <f t="shared" si="7"/>
        <v>208</v>
      </c>
      <c r="H200" s="12">
        <f t="shared" si="6"/>
        <v>9.7105508870214755E-2</v>
      </c>
      <c r="I200" s="20" t="s">
        <v>18</v>
      </c>
      <c r="J200" s="20"/>
    </row>
    <row r="201" spans="1:10" x14ac:dyDescent="0.25">
      <c r="A201" s="22">
        <v>46155</v>
      </c>
      <c r="B201" s="20" t="s">
        <v>281</v>
      </c>
      <c r="C201" s="21">
        <v>352255850784186</v>
      </c>
      <c r="D201" s="20" t="s">
        <v>21</v>
      </c>
      <c r="E201" s="20">
        <v>2850</v>
      </c>
      <c r="F201" s="20">
        <v>2570.4</v>
      </c>
      <c r="G201" s="11">
        <f t="shared" si="7"/>
        <v>279.59999999999991</v>
      </c>
      <c r="H201" s="12">
        <f t="shared" si="6"/>
        <v>0.10877684407096168</v>
      </c>
      <c r="I201" s="20" t="s">
        <v>18</v>
      </c>
      <c r="J201" s="20"/>
    </row>
    <row r="202" spans="1:10" x14ac:dyDescent="0.25">
      <c r="A202" s="22">
        <v>46155</v>
      </c>
      <c r="B202" s="20" t="s">
        <v>281</v>
      </c>
      <c r="C202" s="21">
        <v>352255851601140</v>
      </c>
      <c r="D202" s="20" t="s">
        <v>278</v>
      </c>
      <c r="E202" s="20">
        <v>2450</v>
      </c>
      <c r="F202" s="20">
        <v>2320.5</v>
      </c>
      <c r="G202" s="11">
        <f t="shared" si="7"/>
        <v>129.5</v>
      </c>
      <c r="H202" s="12">
        <f t="shared" si="6"/>
        <v>5.5806938159879339E-2</v>
      </c>
      <c r="I202" s="20" t="s">
        <v>18</v>
      </c>
      <c r="J202" s="20"/>
    </row>
    <row r="203" spans="1:10" x14ac:dyDescent="0.25">
      <c r="A203" s="22">
        <v>46155</v>
      </c>
      <c r="B203" s="20" t="s">
        <v>281</v>
      </c>
      <c r="C203" s="21">
        <v>352255852418742</v>
      </c>
      <c r="D203" s="20" t="s">
        <v>282</v>
      </c>
      <c r="E203" s="20">
        <v>2450</v>
      </c>
      <c r="F203" s="20">
        <v>2320.5</v>
      </c>
      <c r="G203" s="11">
        <f t="shared" si="7"/>
        <v>129.5</v>
      </c>
      <c r="H203" s="12">
        <f t="shared" si="6"/>
        <v>5.5806938159879339E-2</v>
      </c>
      <c r="I203" s="20" t="s">
        <v>18</v>
      </c>
      <c r="J203" s="20"/>
    </row>
    <row r="204" spans="1:10" x14ac:dyDescent="0.25">
      <c r="A204" s="22">
        <v>46155</v>
      </c>
      <c r="B204" s="20" t="s">
        <v>283</v>
      </c>
      <c r="C204" s="21">
        <v>358112933195803</v>
      </c>
      <c r="D204" s="20" t="s">
        <v>110</v>
      </c>
      <c r="E204" s="20">
        <v>3550</v>
      </c>
      <c r="F204" s="20">
        <v>3355.8</v>
      </c>
      <c r="G204" s="11">
        <f t="shared" si="7"/>
        <v>194.19999999999982</v>
      </c>
      <c r="H204" s="12">
        <f t="shared" si="6"/>
        <v>5.7869956493235536E-2</v>
      </c>
      <c r="I204" s="20" t="s">
        <v>18</v>
      </c>
      <c r="J204" s="20"/>
    </row>
    <row r="205" spans="1:10" x14ac:dyDescent="0.25">
      <c r="A205" s="22">
        <v>46155</v>
      </c>
      <c r="B205" s="20" t="s">
        <v>283</v>
      </c>
      <c r="C205" s="21">
        <v>358112933315757</v>
      </c>
      <c r="D205" s="20" t="s">
        <v>285</v>
      </c>
      <c r="E205" s="20">
        <v>3120</v>
      </c>
      <c r="F205" s="20">
        <v>2927.4</v>
      </c>
      <c r="G205" s="11">
        <f t="shared" si="7"/>
        <v>192.59999999999991</v>
      </c>
      <c r="H205" s="12">
        <f t="shared" si="6"/>
        <v>6.5792170526747254E-2</v>
      </c>
      <c r="I205" s="20" t="s">
        <v>18</v>
      </c>
      <c r="J205" s="20"/>
    </row>
    <row r="206" spans="1:10" x14ac:dyDescent="0.25">
      <c r="A206" s="22">
        <v>46155</v>
      </c>
      <c r="B206" s="20" t="s">
        <v>283</v>
      </c>
      <c r="C206" s="21">
        <v>358112933674385</v>
      </c>
      <c r="D206" s="20" t="s">
        <v>285</v>
      </c>
      <c r="E206" s="20">
        <v>3120</v>
      </c>
      <c r="F206" s="20">
        <v>2927.4</v>
      </c>
      <c r="G206" s="11">
        <f t="shared" si="7"/>
        <v>192.59999999999991</v>
      </c>
      <c r="H206" s="12">
        <f t="shared" si="6"/>
        <v>6.5792170526747254E-2</v>
      </c>
      <c r="I206" s="20" t="s">
        <v>18</v>
      </c>
      <c r="J206" s="20"/>
    </row>
    <row r="207" spans="1:10" x14ac:dyDescent="0.25">
      <c r="A207" s="22">
        <v>46155</v>
      </c>
      <c r="B207" s="20" t="s">
        <v>283</v>
      </c>
      <c r="C207" s="21">
        <v>358112934612863</v>
      </c>
      <c r="D207" s="20" t="s">
        <v>110</v>
      </c>
      <c r="E207" s="20">
        <v>3550</v>
      </c>
      <c r="F207" s="20">
        <v>3355.8</v>
      </c>
      <c r="G207" s="11">
        <f t="shared" si="7"/>
        <v>194.19999999999982</v>
      </c>
      <c r="H207" s="12">
        <f t="shared" si="6"/>
        <v>5.7869956493235536E-2</v>
      </c>
      <c r="I207" s="20" t="s">
        <v>18</v>
      </c>
      <c r="J207" s="20"/>
    </row>
    <row r="208" spans="1:10" x14ac:dyDescent="0.25">
      <c r="A208" s="22">
        <v>46155</v>
      </c>
      <c r="B208" s="20" t="s">
        <v>286</v>
      </c>
      <c r="C208" s="21">
        <v>352355706556117</v>
      </c>
      <c r="D208" s="20" t="s">
        <v>110</v>
      </c>
      <c r="E208" s="20">
        <v>3900</v>
      </c>
      <c r="F208" s="20">
        <v>3677.1</v>
      </c>
      <c r="G208" s="11">
        <f t="shared" si="7"/>
        <v>222.90000000000009</v>
      </c>
      <c r="H208" s="12">
        <f t="shared" si="6"/>
        <v>6.0618422126132034E-2</v>
      </c>
      <c r="I208" s="20" t="s">
        <v>18</v>
      </c>
      <c r="J208" s="20"/>
    </row>
    <row r="209" spans="1:10" x14ac:dyDescent="0.25">
      <c r="A209" s="22">
        <v>46155</v>
      </c>
      <c r="B209" s="20" t="s">
        <v>286</v>
      </c>
      <c r="C209" s="21" t="s">
        <v>287</v>
      </c>
      <c r="D209" s="20" t="s">
        <v>110</v>
      </c>
      <c r="E209" s="20">
        <v>3690</v>
      </c>
      <c r="F209" s="20">
        <v>3570</v>
      </c>
      <c r="G209" s="11">
        <f t="shared" si="7"/>
        <v>120</v>
      </c>
      <c r="H209" s="12">
        <f t="shared" si="6"/>
        <v>3.3613445378151259E-2</v>
      </c>
      <c r="I209" s="20" t="s">
        <v>18</v>
      </c>
      <c r="J209" s="20"/>
    </row>
    <row r="210" spans="1:10" x14ac:dyDescent="0.25">
      <c r="A210" s="22">
        <v>46155</v>
      </c>
      <c r="B210" s="20" t="s">
        <v>286</v>
      </c>
      <c r="C210" s="21" t="s">
        <v>288</v>
      </c>
      <c r="D210" s="20" t="s">
        <v>110</v>
      </c>
      <c r="E210" s="20">
        <v>3690</v>
      </c>
      <c r="F210" s="20">
        <v>3570</v>
      </c>
      <c r="G210" s="11">
        <f t="shared" si="7"/>
        <v>120</v>
      </c>
      <c r="H210" s="12">
        <f t="shared" si="6"/>
        <v>3.3613445378151259E-2</v>
      </c>
      <c r="I210" s="20" t="s">
        <v>18</v>
      </c>
      <c r="J210" s="20"/>
    </row>
    <row r="211" spans="1:10" x14ac:dyDescent="0.25">
      <c r="A211" s="22">
        <v>46155</v>
      </c>
      <c r="B211" s="20" t="s">
        <v>286</v>
      </c>
      <c r="C211" s="21" t="s">
        <v>289</v>
      </c>
      <c r="D211" s="20" t="s">
        <v>110</v>
      </c>
      <c r="E211" s="20">
        <v>3690</v>
      </c>
      <c r="F211" s="20">
        <v>3570</v>
      </c>
      <c r="G211" s="11">
        <f t="shared" si="7"/>
        <v>120</v>
      </c>
      <c r="H211" s="12">
        <f t="shared" si="6"/>
        <v>3.3613445378151259E-2</v>
      </c>
      <c r="I211" s="20" t="s">
        <v>18</v>
      </c>
      <c r="J211" s="20"/>
    </row>
    <row r="212" spans="1:10" x14ac:dyDescent="0.25">
      <c r="A212" s="22">
        <v>46155</v>
      </c>
      <c r="B212" s="20" t="s">
        <v>286</v>
      </c>
      <c r="C212" s="21" t="s">
        <v>290</v>
      </c>
      <c r="D212" s="20" t="s">
        <v>110</v>
      </c>
      <c r="E212" s="20">
        <v>3690</v>
      </c>
      <c r="F212" s="20">
        <v>3570</v>
      </c>
      <c r="G212" s="11">
        <f t="shared" si="7"/>
        <v>120</v>
      </c>
      <c r="H212" s="12">
        <f t="shared" si="6"/>
        <v>3.3613445378151259E-2</v>
      </c>
      <c r="I212" s="20" t="s">
        <v>18</v>
      </c>
      <c r="J212" s="20"/>
    </row>
    <row r="213" spans="1:10" x14ac:dyDescent="0.25">
      <c r="A213" s="22">
        <v>46155</v>
      </c>
      <c r="B213" s="20" t="s">
        <v>286</v>
      </c>
      <c r="C213" s="21" t="s">
        <v>291</v>
      </c>
      <c r="D213" s="20" t="s">
        <v>110</v>
      </c>
      <c r="E213" s="20">
        <v>3690</v>
      </c>
      <c r="F213" s="20">
        <v>3570</v>
      </c>
      <c r="G213" s="11">
        <f t="shared" si="7"/>
        <v>120</v>
      </c>
      <c r="H213" s="12">
        <f t="shared" si="6"/>
        <v>3.3613445378151259E-2</v>
      </c>
      <c r="I213" s="20" t="s">
        <v>18</v>
      </c>
      <c r="J213" s="20"/>
    </row>
    <row r="214" spans="1:10" x14ac:dyDescent="0.25">
      <c r="A214" s="22">
        <v>46155</v>
      </c>
      <c r="B214" s="20" t="s">
        <v>286</v>
      </c>
      <c r="C214" s="21" t="s">
        <v>292</v>
      </c>
      <c r="D214" s="20" t="s">
        <v>110</v>
      </c>
      <c r="E214" s="20">
        <v>3690</v>
      </c>
      <c r="F214" s="20">
        <v>3570</v>
      </c>
      <c r="G214" s="11">
        <f t="shared" si="7"/>
        <v>120</v>
      </c>
      <c r="H214" s="12">
        <f t="shared" si="6"/>
        <v>3.3613445378151259E-2</v>
      </c>
      <c r="I214" s="20" t="s">
        <v>18</v>
      </c>
      <c r="J214" s="20"/>
    </row>
    <row r="215" spans="1:10" x14ac:dyDescent="0.25">
      <c r="A215" s="22">
        <v>46155</v>
      </c>
      <c r="B215" s="20" t="s">
        <v>286</v>
      </c>
      <c r="C215" s="21" t="s">
        <v>293</v>
      </c>
      <c r="D215" s="20" t="s">
        <v>34</v>
      </c>
      <c r="E215" s="20">
        <v>3690</v>
      </c>
      <c r="F215" s="20">
        <v>3570</v>
      </c>
      <c r="G215" s="11">
        <f t="shared" si="7"/>
        <v>120</v>
      </c>
      <c r="H215" s="12">
        <f t="shared" si="6"/>
        <v>3.3613445378151259E-2</v>
      </c>
      <c r="I215" s="20" t="s">
        <v>18</v>
      </c>
      <c r="J215" s="20"/>
    </row>
    <row r="216" spans="1:10" x14ac:dyDescent="0.25">
      <c r="A216" s="22">
        <v>46155</v>
      </c>
      <c r="B216" s="20" t="s">
        <v>286</v>
      </c>
      <c r="C216" s="21" t="s">
        <v>294</v>
      </c>
      <c r="D216" s="20" t="s">
        <v>110</v>
      </c>
      <c r="E216" s="20">
        <v>3690</v>
      </c>
      <c r="F216" s="20">
        <v>3570</v>
      </c>
      <c r="G216" s="11">
        <f t="shared" si="7"/>
        <v>120</v>
      </c>
      <c r="H216" s="12">
        <f t="shared" si="6"/>
        <v>3.3613445378151259E-2</v>
      </c>
      <c r="I216" s="20" t="s">
        <v>18</v>
      </c>
      <c r="J216" s="20"/>
    </row>
    <row r="217" spans="1:10" x14ac:dyDescent="0.25">
      <c r="A217" s="22">
        <v>46155</v>
      </c>
      <c r="B217" s="20" t="s">
        <v>286</v>
      </c>
      <c r="C217" s="21" t="s">
        <v>295</v>
      </c>
      <c r="D217" s="20" t="s">
        <v>110</v>
      </c>
      <c r="E217" s="20">
        <v>3690</v>
      </c>
      <c r="F217" s="20">
        <v>3570</v>
      </c>
      <c r="G217" s="11">
        <f t="shared" si="7"/>
        <v>120</v>
      </c>
      <c r="H217" s="12">
        <f t="shared" si="6"/>
        <v>3.3613445378151259E-2</v>
      </c>
      <c r="I217" s="20" t="s">
        <v>18</v>
      </c>
      <c r="J217" s="20"/>
    </row>
    <row r="218" spans="1:10" x14ac:dyDescent="0.25">
      <c r="A218" s="22">
        <v>46155</v>
      </c>
      <c r="B218" s="20" t="s">
        <v>286</v>
      </c>
      <c r="C218" s="21" t="s">
        <v>296</v>
      </c>
      <c r="D218" s="20" t="s">
        <v>110</v>
      </c>
      <c r="E218" s="20">
        <v>3690</v>
      </c>
      <c r="F218" s="20">
        <v>3570</v>
      </c>
      <c r="G218" s="11">
        <f t="shared" si="7"/>
        <v>120</v>
      </c>
      <c r="H218" s="12">
        <f t="shared" si="6"/>
        <v>3.3613445378151259E-2</v>
      </c>
      <c r="I218" s="20" t="s">
        <v>18</v>
      </c>
      <c r="J218" s="20"/>
    </row>
    <row r="219" spans="1:10" x14ac:dyDescent="0.25">
      <c r="A219" s="22">
        <v>46155</v>
      </c>
      <c r="B219" s="20" t="s">
        <v>286</v>
      </c>
      <c r="C219" s="21" t="s">
        <v>297</v>
      </c>
      <c r="D219" s="20" t="s">
        <v>34</v>
      </c>
      <c r="E219" s="20">
        <v>3690</v>
      </c>
      <c r="F219" s="20">
        <v>3570</v>
      </c>
      <c r="G219" s="11">
        <f t="shared" si="7"/>
        <v>120</v>
      </c>
      <c r="H219" s="12">
        <f t="shared" si="6"/>
        <v>3.3613445378151259E-2</v>
      </c>
      <c r="I219" s="20" t="s">
        <v>18</v>
      </c>
      <c r="J219" s="20"/>
    </row>
    <row r="220" spans="1:10" x14ac:dyDescent="0.25">
      <c r="A220" s="22">
        <v>46155</v>
      </c>
      <c r="B220" s="20" t="s">
        <v>286</v>
      </c>
      <c r="C220" s="21" t="s">
        <v>298</v>
      </c>
      <c r="D220" s="20" t="s">
        <v>110</v>
      </c>
      <c r="E220" s="20">
        <v>3690</v>
      </c>
      <c r="F220" s="20">
        <v>3570</v>
      </c>
      <c r="G220" s="11">
        <f t="shared" si="7"/>
        <v>120</v>
      </c>
      <c r="H220" s="12">
        <f t="shared" si="6"/>
        <v>3.3613445378151259E-2</v>
      </c>
      <c r="I220" s="20" t="s">
        <v>18</v>
      </c>
      <c r="J220" s="20"/>
    </row>
    <row r="221" spans="1:10" x14ac:dyDescent="0.25">
      <c r="A221" s="22">
        <v>46155</v>
      </c>
      <c r="B221" s="20" t="s">
        <v>286</v>
      </c>
      <c r="C221" s="21" t="s">
        <v>299</v>
      </c>
      <c r="D221" s="20" t="s">
        <v>110</v>
      </c>
      <c r="E221" s="20">
        <v>3690</v>
      </c>
      <c r="F221" s="20">
        <v>3570</v>
      </c>
      <c r="G221" s="11">
        <f t="shared" si="7"/>
        <v>120</v>
      </c>
      <c r="H221" s="12">
        <f t="shared" si="6"/>
        <v>3.3613445378151259E-2</v>
      </c>
      <c r="I221" s="20" t="s">
        <v>18</v>
      </c>
      <c r="J221" s="20"/>
    </row>
    <row r="222" spans="1:10" x14ac:dyDescent="0.25">
      <c r="A222" s="22">
        <v>46155</v>
      </c>
      <c r="B222" s="20" t="s">
        <v>286</v>
      </c>
      <c r="C222" s="21" t="s">
        <v>300</v>
      </c>
      <c r="D222" s="20" t="s">
        <v>34</v>
      </c>
      <c r="E222" s="20">
        <v>3690</v>
      </c>
      <c r="F222" s="20">
        <v>3570</v>
      </c>
      <c r="G222" s="11">
        <f t="shared" si="7"/>
        <v>120</v>
      </c>
      <c r="H222" s="12">
        <f t="shared" si="6"/>
        <v>3.3613445378151259E-2</v>
      </c>
      <c r="I222" s="20" t="s">
        <v>18</v>
      </c>
      <c r="J222" s="20"/>
    </row>
    <row r="223" spans="1:10" x14ac:dyDescent="0.25">
      <c r="A223" s="22">
        <v>46155</v>
      </c>
      <c r="B223" s="20" t="s">
        <v>301</v>
      </c>
      <c r="C223" s="21" t="s">
        <v>302</v>
      </c>
      <c r="D223" s="20" t="s">
        <v>34</v>
      </c>
      <c r="E223" s="20">
        <v>4680</v>
      </c>
      <c r="F223" s="20">
        <v>4426.8</v>
      </c>
      <c r="G223" s="11">
        <f t="shared" si="7"/>
        <v>253.19999999999982</v>
      </c>
      <c r="H223" s="12">
        <f t="shared" si="6"/>
        <v>5.7197072377337989E-2</v>
      </c>
      <c r="I223" s="20" t="s">
        <v>18</v>
      </c>
      <c r="J223" s="20"/>
    </row>
    <row r="224" spans="1:10" x14ac:dyDescent="0.25">
      <c r="A224" s="22">
        <v>46155</v>
      </c>
      <c r="B224" s="20" t="s">
        <v>301</v>
      </c>
      <c r="C224" s="21" t="s">
        <v>303</v>
      </c>
      <c r="D224" s="20" t="s">
        <v>34</v>
      </c>
      <c r="E224" s="20">
        <v>4680</v>
      </c>
      <c r="F224" s="20">
        <v>4426.8</v>
      </c>
      <c r="G224" s="11">
        <f t="shared" si="7"/>
        <v>253.19999999999982</v>
      </c>
      <c r="H224" s="12">
        <f t="shared" si="6"/>
        <v>5.7197072377337989E-2</v>
      </c>
      <c r="I224" s="20" t="s">
        <v>18</v>
      </c>
      <c r="J224" s="20"/>
    </row>
    <row r="225" spans="1:10" x14ac:dyDescent="0.25">
      <c r="A225" s="22">
        <v>46155</v>
      </c>
      <c r="B225" s="20" t="s">
        <v>304</v>
      </c>
      <c r="C225" s="21">
        <v>352355700624697</v>
      </c>
      <c r="D225" s="20" t="s">
        <v>110</v>
      </c>
      <c r="E225" s="20">
        <v>3900</v>
      </c>
      <c r="F225" s="20">
        <v>3677.1</v>
      </c>
      <c r="G225" s="11">
        <f t="shared" si="7"/>
        <v>222.90000000000009</v>
      </c>
      <c r="H225" s="12">
        <f t="shared" si="6"/>
        <v>6.0618422126132034E-2</v>
      </c>
      <c r="I225" s="20" t="s">
        <v>18</v>
      </c>
      <c r="J225" s="20"/>
    </row>
    <row r="226" spans="1:10" x14ac:dyDescent="0.25">
      <c r="A226" s="22">
        <v>46155</v>
      </c>
      <c r="B226" s="20" t="s">
        <v>304</v>
      </c>
      <c r="C226" s="21">
        <v>352355701064042</v>
      </c>
      <c r="D226" s="20" t="s">
        <v>110</v>
      </c>
      <c r="E226" s="20">
        <v>3900</v>
      </c>
      <c r="F226" s="20">
        <v>3677.09</v>
      </c>
      <c r="G226" s="11">
        <f t="shared" si="7"/>
        <v>222.90999999999985</v>
      </c>
      <c r="H226" s="12">
        <f t="shared" si="6"/>
        <v>6.0621306522277082E-2</v>
      </c>
      <c r="I226" s="20" t="s">
        <v>18</v>
      </c>
      <c r="J226" s="20"/>
    </row>
    <row r="227" spans="1:10" x14ac:dyDescent="0.25">
      <c r="A227" s="22">
        <v>46155</v>
      </c>
      <c r="B227" s="20" t="s">
        <v>304</v>
      </c>
      <c r="C227" s="21">
        <v>352355702341779</v>
      </c>
      <c r="D227" s="20" t="s">
        <v>285</v>
      </c>
      <c r="E227" s="20">
        <v>3600</v>
      </c>
      <c r="F227" s="20">
        <v>3391.5</v>
      </c>
      <c r="G227" s="11">
        <f t="shared" si="7"/>
        <v>208.5</v>
      </c>
      <c r="H227" s="12">
        <f t="shared" si="6"/>
        <v>6.1477222467934543E-2</v>
      </c>
      <c r="I227" s="20" t="s">
        <v>18</v>
      </c>
      <c r="J227" s="20"/>
    </row>
    <row r="228" spans="1:10" x14ac:dyDescent="0.25">
      <c r="A228" s="22">
        <v>46155</v>
      </c>
      <c r="B228" s="20" t="s">
        <v>304</v>
      </c>
      <c r="C228" s="21">
        <v>352355702450729</v>
      </c>
      <c r="D228" s="20" t="s">
        <v>110</v>
      </c>
      <c r="E228" s="20">
        <v>3900</v>
      </c>
      <c r="F228" s="20">
        <v>3677.1</v>
      </c>
      <c r="G228" s="11">
        <f t="shared" si="7"/>
        <v>222.90000000000009</v>
      </c>
      <c r="H228" s="12">
        <f t="shared" si="6"/>
        <v>6.0618422126132034E-2</v>
      </c>
      <c r="I228" s="20" t="s">
        <v>18</v>
      </c>
      <c r="J228" s="20"/>
    </row>
    <row r="229" spans="1:10" x14ac:dyDescent="0.25">
      <c r="A229" s="22">
        <v>46155</v>
      </c>
      <c r="B229" s="20" t="s">
        <v>304</v>
      </c>
      <c r="C229" s="21">
        <v>352355703561342</v>
      </c>
      <c r="D229" s="20" t="s">
        <v>285</v>
      </c>
      <c r="E229" s="20">
        <v>3600</v>
      </c>
      <c r="F229" s="20">
        <v>3498.6</v>
      </c>
      <c r="G229" s="11">
        <f t="shared" si="7"/>
        <v>101.40000000000009</v>
      </c>
      <c r="H229" s="12">
        <f t="shared" si="6"/>
        <v>2.8983021780140655E-2</v>
      </c>
      <c r="I229" s="20" t="s">
        <v>18</v>
      </c>
      <c r="J229" s="20"/>
    </row>
    <row r="230" spans="1:10" x14ac:dyDescent="0.25">
      <c r="A230" s="22">
        <v>46155</v>
      </c>
      <c r="B230" s="20" t="s">
        <v>304</v>
      </c>
      <c r="C230" s="21">
        <v>352355705295931</v>
      </c>
      <c r="D230" s="20" t="s">
        <v>110</v>
      </c>
      <c r="E230" s="20">
        <v>3900</v>
      </c>
      <c r="F230" s="20">
        <v>3677.1</v>
      </c>
      <c r="G230" s="11">
        <f t="shared" si="7"/>
        <v>222.90000000000009</v>
      </c>
      <c r="H230" s="12">
        <f t="shared" ref="H230:H283" si="8">(E230-F230)/F230</f>
        <v>6.0618422126132034E-2</v>
      </c>
      <c r="I230" s="20" t="s">
        <v>18</v>
      </c>
      <c r="J230" s="20"/>
    </row>
    <row r="231" spans="1:10" x14ac:dyDescent="0.25">
      <c r="A231" s="13">
        <v>46155</v>
      </c>
      <c r="B231" s="14" t="s">
        <v>304</v>
      </c>
      <c r="C231" s="17">
        <v>352355705337196</v>
      </c>
      <c r="D231" s="14" t="s">
        <v>110</v>
      </c>
      <c r="E231" s="14">
        <v>3600</v>
      </c>
      <c r="F231" s="14">
        <v>3677.1</v>
      </c>
      <c r="G231" s="14">
        <f t="shared" si="7"/>
        <v>-77.099999999999909</v>
      </c>
      <c r="H231" s="16">
        <f t="shared" si="8"/>
        <v>-2.0967610345108894E-2</v>
      </c>
      <c r="I231" s="14" t="s">
        <v>18</v>
      </c>
      <c r="J231" s="20" t="s">
        <v>26</v>
      </c>
    </row>
    <row r="232" spans="1:10" x14ac:dyDescent="0.25">
      <c r="A232" s="22">
        <v>46155</v>
      </c>
      <c r="B232" s="20" t="s">
        <v>304</v>
      </c>
      <c r="C232" s="21">
        <v>352355705514554</v>
      </c>
      <c r="D232" s="20" t="s">
        <v>285</v>
      </c>
      <c r="E232" s="20">
        <v>3600</v>
      </c>
      <c r="F232" s="20">
        <v>3498.6</v>
      </c>
      <c r="G232" s="11">
        <f t="shared" si="7"/>
        <v>101.40000000000009</v>
      </c>
      <c r="H232" s="12">
        <f t="shared" si="8"/>
        <v>2.8983021780140655E-2</v>
      </c>
      <c r="I232" s="20" t="s">
        <v>18</v>
      </c>
      <c r="J232" s="20"/>
    </row>
    <row r="233" spans="1:10" x14ac:dyDescent="0.25">
      <c r="A233" s="22">
        <v>46155</v>
      </c>
      <c r="B233" s="20" t="s">
        <v>304</v>
      </c>
      <c r="C233" s="21">
        <v>352355706086990</v>
      </c>
      <c r="D233" s="20" t="s">
        <v>34</v>
      </c>
      <c r="E233" s="20">
        <v>3900</v>
      </c>
      <c r="F233" s="20">
        <v>3677.09</v>
      </c>
      <c r="G233" s="11">
        <f t="shared" si="7"/>
        <v>222.90999999999985</v>
      </c>
      <c r="H233" s="12">
        <f t="shared" si="8"/>
        <v>6.0621306522277082E-2</v>
      </c>
      <c r="I233" s="20" t="s">
        <v>18</v>
      </c>
      <c r="J233" s="20"/>
    </row>
    <row r="234" spans="1:10" x14ac:dyDescent="0.25">
      <c r="A234" s="22">
        <v>46155</v>
      </c>
      <c r="B234" s="20" t="s">
        <v>304</v>
      </c>
      <c r="C234" s="21">
        <v>352355707110757</v>
      </c>
      <c r="D234" s="20" t="s">
        <v>306</v>
      </c>
      <c r="E234" s="20">
        <v>3800</v>
      </c>
      <c r="F234" s="20">
        <v>3498.6</v>
      </c>
      <c r="G234" s="11">
        <f t="shared" si="7"/>
        <v>301.40000000000009</v>
      </c>
      <c r="H234" s="12">
        <f t="shared" si="8"/>
        <v>8.6148745212370689E-2</v>
      </c>
      <c r="I234" s="20" t="s">
        <v>18</v>
      </c>
      <c r="J234" s="20"/>
    </row>
    <row r="235" spans="1:10" x14ac:dyDescent="0.25">
      <c r="A235" s="22">
        <v>46155</v>
      </c>
      <c r="B235" s="20" t="s">
        <v>304</v>
      </c>
      <c r="C235" s="21">
        <v>352355708798048</v>
      </c>
      <c r="D235" s="20" t="s">
        <v>110</v>
      </c>
      <c r="E235" s="20">
        <v>3900</v>
      </c>
      <c r="F235" s="20">
        <v>3677.09</v>
      </c>
      <c r="G235" s="11">
        <f t="shared" si="7"/>
        <v>222.90999999999985</v>
      </c>
      <c r="H235" s="12">
        <f t="shared" si="8"/>
        <v>6.0621306522277082E-2</v>
      </c>
      <c r="I235" s="20" t="s">
        <v>18</v>
      </c>
      <c r="J235" s="20"/>
    </row>
    <row r="236" spans="1:10" x14ac:dyDescent="0.25">
      <c r="A236" s="22">
        <v>46155</v>
      </c>
      <c r="B236" s="20" t="s">
        <v>304</v>
      </c>
      <c r="C236" s="21">
        <v>352355709883484</v>
      </c>
      <c r="D236" s="20" t="s">
        <v>110</v>
      </c>
      <c r="E236" s="20">
        <v>3900</v>
      </c>
      <c r="F236" s="20">
        <v>3677.1</v>
      </c>
      <c r="G236" s="11">
        <f t="shared" si="7"/>
        <v>222.90000000000009</v>
      </c>
      <c r="H236" s="12">
        <f t="shared" si="8"/>
        <v>6.0618422126132034E-2</v>
      </c>
      <c r="I236" s="20" t="s">
        <v>18</v>
      </c>
      <c r="J236" s="20"/>
    </row>
    <row r="237" spans="1:10" x14ac:dyDescent="0.25">
      <c r="A237" s="22">
        <v>46155</v>
      </c>
      <c r="B237" s="20" t="s">
        <v>309</v>
      </c>
      <c r="C237" s="21">
        <v>352355702253099</v>
      </c>
      <c r="D237" s="20" t="s">
        <v>110</v>
      </c>
      <c r="E237" s="20">
        <v>4850</v>
      </c>
      <c r="F237" s="20">
        <v>4641</v>
      </c>
      <c r="G237" s="11">
        <f t="shared" si="7"/>
        <v>209</v>
      </c>
      <c r="H237" s="12">
        <f t="shared" si="8"/>
        <v>4.5033397974574445E-2</v>
      </c>
      <c r="I237" s="20" t="s">
        <v>18</v>
      </c>
      <c r="J237" s="20"/>
    </row>
    <row r="238" spans="1:10" x14ac:dyDescent="0.25">
      <c r="A238" s="22">
        <v>46155</v>
      </c>
      <c r="B238" s="20" t="s">
        <v>309</v>
      </c>
      <c r="C238" s="21">
        <v>352355704745696</v>
      </c>
      <c r="D238" s="20" t="s">
        <v>110</v>
      </c>
      <c r="E238" s="20">
        <v>4850</v>
      </c>
      <c r="F238" s="20">
        <v>4641</v>
      </c>
      <c r="G238" s="11">
        <f t="shared" si="7"/>
        <v>209</v>
      </c>
      <c r="H238" s="12">
        <f t="shared" si="8"/>
        <v>4.5033397974574445E-2</v>
      </c>
      <c r="I238" s="20" t="s">
        <v>18</v>
      </c>
      <c r="J238" s="20"/>
    </row>
    <row r="239" spans="1:10" x14ac:dyDescent="0.25">
      <c r="A239" s="22">
        <v>46155</v>
      </c>
      <c r="B239" s="20" t="s">
        <v>310</v>
      </c>
      <c r="C239" s="21" t="s">
        <v>311</v>
      </c>
      <c r="D239" s="20" t="s">
        <v>312</v>
      </c>
      <c r="E239" s="20">
        <v>2065</v>
      </c>
      <c r="F239" s="20">
        <v>2052.75</v>
      </c>
      <c r="G239" s="11">
        <f t="shared" si="7"/>
        <v>12.25</v>
      </c>
      <c r="H239" s="12">
        <f t="shared" si="8"/>
        <v>5.9676044330775786E-3</v>
      </c>
      <c r="I239" s="20" t="s">
        <v>18</v>
      </c>
      <c r="J239" s="20"/>
    </row>
    <row r="240" spans="1:10" x14ac:dyDescent="0.25">
      <c r="A240" s="22">
        <v>46155</v>
      </c>
      <c r="B240" s="20" t="s">
        <v>310</v>
      </c>
      <c r="C240" s="21" t="s">
        <v>313</v>
      </c>
      <c r="D240" s="20" t="s">
        <v>30</v>
      </c>
      <c r="E240" s="20">
        <v>2065</v>
      </c>
      <c r="F240" s="20">
        <v>2052.75</v>
      </c>
      <c r="G240" s="11">
        <f t="shared" si="7"/>
        <v>12.25</v>
      </c>
      <c r="H240" s="12">
        <f t="shared" si="8"/>
        <v>5.9676044330775786E-3</v>
      </c>
      <c r="I240" s="20" t="s">
        <v>18</v>
      </c>
      <c r="J240" s="20"/>
    </row>
    <row r="241" spans="1:10" x14ac:dyDescent="0.25">
      <c r="A241" s="22">
        <v>46155</v>
      </c>
      <c r="B241" s="20" t="s">
        <v>310</v>
      </c>
      <c r="C241" s="21" t="s">
        <v>314</v>
      </c>
      <c r="D241" s="20" t="s">
        <v>315</v>
      </c>
      <c r="E241" s="20">
        <v>2065</v>
      </c>
      <c r="F241" s="20">
        <v>2052.75</v>
      </c>
      <c r="G241" s="11">
        <f t="shared" si="7"/>
        <v>12.25</v>
      </c>
      <c r="H241" s="12">
        <f t="shared" si="8"/>
        <v>5.9676044330775786E-3</v>
      </c>
      <c r="I241" s="20" t="s">
        <v>18</v>
      </c>
      <c r="J241" s="20"/>
    </row>
    <row r="242" spans="1:10" x14ac:dyDescent="0.25">
      <c r="A242" s="22">
        <v>46155</v>
      </c>
      <c r="B242" s="20" t="s">
        <v>310</v>
      </c>
      <c r="C242" s="21" t="s">
        <v>316</v>
      </c>
      <c r="D242" s="20" t="s">
        <v>30</v>
      </c>
      <c r="E242" s="20">
        <v>2065</v>
      </c>
      <c r="F242" s="20">
        <v>2052.75</v>
      </c>
      <c r="G242" s="11">
        <f t="shared" si="7"/>
        <v>12.25</v>
      </c>
      <c r="H242" s="12">
        <f t="shared" si="8"/>
        <v>5.9676044330775786E-3</v>
      </c>
      <c r="I242" s="20" t="s">
        <v>18</v>
      </c>
      <c r="J242" s="20"/>
    </row>
    <row r="243" spans="1:10" x14ac:dyDescent="0.25">
      <c r="A243" s="22">
        <v>46155</v>
      </c>
      <c r="B243" s="20" t="s">
        <v>310</v>
      </c>
      <c r="C243" s="21" t="s">
        <v>317</v>
      </c>
      <c r="D243" s="20" t="s">
        <v>312</v>
      </c>
      <c r="E243" s="20">
        <v>2065</v>
      </c>
      <c r="F243" s="20">
        <v>2052.75</v>
      </c>
      <c r="G243" s="11">
        <f t="shared" si="7"/>
        <v>12.25</v>
      </c>
      <c r="H243" s="12">
        <f t="shared" si="8"/>
        <v>5.9676044330775786E-3</v>
      </c>
      <c r="I243" s="20" t="s">
        <v>18</v>
      </c>
      <c r="J243" s="20"/>
    </row>
    <row r="244" spans="1:10" x14ac:dyDescent="0.25">
      <c r="A244" s="22">
        <v>46155</v>
      </c>
      <c r="B244" s="20" t="s">
        <v>310</v>
      </c>
      <c r="C244" s="21" t="s">
        <v>318</v>
      </c>
      <c r="D244" s="20" t="s">
        <v>319</v>
      </c>
      <c r="E244" s="20">
        <v>2065</v>
      </c>
      <c r="F244" s="20">
        <v>2052.75</v>
      </c>
      <c r="G244" s="11">
        <f t="shared" si="7"/>
        <v>12.25</v>
      </c>
      <c r="H244" s="12">
        <f t="shared" si="8"/>
        <v>5.9676044330775786E-3</v>
      </c>
      <c r="I244" s="20" t="s">
        <v>18</v>
      </c>
      <c r="J244" s="20"/>
    </row>
    <row r="245" spans="1:10" x14ac:dyDescent="0.25">
      <c r="A245" s="22">
        <v>46155</v>
      </c>
      <c r="B245" s="20" t="s">
        <v>320</v>
      </c>
      <c r="C245" s="21" t="s">
        <v>321</v>
      </c>
      <c r="D245" s="20"/>
      <c r="E245" s="20">
        <v>3000</v>
      </c>
      <c r="F245" s="20">
        <v>2112.1999999999998</v>
      </c>
      <c r="G245" s="11">
        <f t="shared" si="7"/>
        <v>887.80000000000018</v>
      </c>
      <c r="H245" s="12">
        <f t="shared" si="8"/>
        <v>0.4203200454502416</v>
      </c>
      <c r="I245" s="20" t="s">
        <v>18</v>
      </c>
      <c r="J245" s="20"/>
    </row>
    <row r="246" spans="1:10" x14ac:dyDescent="0.25">
      <c r="A246" s="22">
        <v>46155</v>
      </c>
      <c r="B246" s="20" t="s">
        <v>320</v>
      </c>
      <c r="C246" s="21" t="s">
        <v>322</v>
      </c>
      <c r="D246" s="20"/>
      <c r="E246" s="20">
        <v>3000</v>
      </c>
      <c r="F246" s="20">
        <v>2112.1999999999998</v>
      </c>
      <c r="G246" s="11">
        <f t="shared" si="7"/>
        <v>887.80000000000018</v>
      </c>
      <c r="H246" s="12">
        <f t="shared" si="8"/>
        <v>0.4203200454502416</v>
      </c>
      <c r="I246" s="20" t="s">
        <v>18</v>
      </c>
      <c r="J246" s="20"/>
    </row>
    <row r="247" spans="1:10" x14ac:dyDescent="0.25">
      <c r="A247" s="22">
        <v>46155</v>
      </c>
      <c r="B247" s="20" t="s">
        <v>320</v>
      </c>
      <c r="C247" s="21" t="s">
        <v>323</v>
      </c>
      <c r="D247" s="20"/>
      <c r="E247" s="20">
        <v>3000</v>
      </c>
      <c r="F247" s="20">
        <v>2112.1999999999998</v>
      </c>
      <c r="G247" s="11">
        <f t="shared" si="7"/>
        <v>887.80000000000018</v>
      </c>
      <c r="H247" s="12">
        <f t="shared" si="8"/>
        <v>0.4203200454502416</v>
      </c>
      <c r="I247" s="20" t="s">
        <v>18</v>
      </c>
      <c r="J247" s="20"/>
    </row>
    <row r="248" spans="1:10" x14ac:dyDescent="0.25">
      <c r="A248" s="22">
        <v>46156</v>
      </c>
      <c r="B248" s="20" t="s">
        <v>99</v>
      </c>
      <c r="C248" s="21" t="s">
        <v>324</v>
      </c>
      <c r="D248" s="20" t="s">
        <v>30</v>
      </c>
      <c r="E248" s="20">
        <v>720</v>
      </c>
      <c r="F248" s="20">
        <v>714</v>
      </c>
      <c r="G248" s="11">
        <f t="shared" si="7"/>
        <v>6</v>
      </c>
      <c r="H248" s="12">
        <f t="shared" si="8"/>
        <v>8.4033613445378148E-3</v>
      </c>
      <c r="I248" s="20" t="s">
        <v>18</v>
      </c>
      <c r="J248" s="20"/>
    </row>
    <row r="249" spans="1:10" s="3" customFormat="1" x14ac:dyDescent="0.25">
      <c r="A249" s="22">
        <v>46158</v>
      </c>
      <c r="B249" s="20" t="s">
        <v>335</v>
      </c>
      <c r="C249" s="21">
        <v>356334540191734</v>
      </c>
      <c r="D249" s="20" t="s">
        <v>336</v>
      </c>
      <c r="E249" s="20">
        <v>3150</v>
      </c>
      <c r="F249" s="20">
        <v>2500</v>
      </c>
      <c r="G249" s="11">
        <f t="shared" si="7"/>
        <v>650</v>
      </c>
      <c r="H249" s="12">
        <f t="shared" si="8"/>
        <v>0.26</v>
      </c>
      <c r="I249" s="20" t="s">
        <v>18</v>
      </c>
      <c r="J249" s="20"/>
    </row>
    <row r="250" spans="1:10" x14ac:dyDescent="0.25">
      <c r="A250" s="13">
        <v>46161</v>
      </c>
      <c r="B250" s="14" t="s">
        <v>131</v>
      </c>
      <c r="C250" s="17">
        <v>355827875625839</v>
      </c>
      <c r="D250" s="14" t="s">
        <v>378</v>
      </c>
      <c r="E250" s="14">
        <v>2220</v>
      </c>
      <c r="F250" s="14">
        <v>2374.0500000000002</v>
      </c>
      <c r="G250" s="14">
        <f t="shared" si="7"/>
        <v>-154.05000000000018</v>
      </c>
      <c r="H250" s="16">
        <f t="shared" si="8"/>
        <v>-6.4889113540152976E-2</v>
      </c>
      <c r="I250" s="14" t="s">
        <v>18</v>
      </c>
      <c r="J250" s="20" t="s">
        <v>26</v>
      </c>
    </row>
    <row r="251" spans="1:10" x14ac:dyDescent="0.25">
      <c r="A251" s="22">
        <v>46161</v>
      </c>
      <c r="B251" s="20" t="s">
        <v>131</v>
      </c>
      <c r="C251" s="21">
        <v>358135795306820</v>
      </c>
      <c r="D251" s="20" t="s">
        <v>379</v>
      </c>
      <c r="E251" s="20">
        <v>2480</v>
      </c>
      <c r="F251" s="20">
        <v>2374.0500000000002</v>
      </c>
      <c r="G251" s="11">
        <f t="shared" si="7"/>
        <v>105.94999999999982</v>
      </c>
      <c r="H251" s="12">
        <f t="shared" si="8"/>
        <v>4.4628377666856137E-2</v>
      </c>
      <c r="I251" s="20" t="s">
        <v>18</v>
      </c>
      <c r="J251" s="20"/>
    </row>
    <row r="252" spans="1:10" x14ac:dyDescent="0.25">
      <c r="A252" s="22">
        <v>46161</v>
      </c>
      <c r="B252" s="20" t="s">
        <v>279</v>
      </c>
      <c r="C252" s="21" t="s">
        <v>380</v>
      </c>
      <c r="D252" s="20" t="s">
        <v>381</v>
      </c>
      <c r="E252" s="20">
        <v>2230</v>
      </c>
      <c r="F252" s="20">
        <v>2070.6</v>
      </c>
      <c r="G252" s="11">
        <f t="shared" si="7"/>
        <v>159.40000000000009</v>
      </c>
      <c r="H252" s="12">
        <f t="shared" si="8"/>
        <v>7.6982517144789001E-2</v>
      </c>
      <c r="I252" s="20" t="s">
        <v>18</v>
      </c>
      <c r="J252" s="20"/>
    </row>
    <row r="253" spans="1:10" x14ac:dyDescent="0.25">
      <c r="A253" s="22">
        <v>46161</v>
      </c>
      <c r="B253" s="20" t="s">
        <v>283</v>
      </c>
      <c r="C253" s="21">
        <v>358112936200980</v>
      </c>
      <c r="D253" s="20" t="s">
        <v>382</v>
      </c>
      <c r="E253" s="20">
        <v>3510</v>
      </c>
      <c r="F253" s="20">
        <v>3284.4</v>
      </c>
      <c r="G253" s="11">
        <f t="shared" si="7"/>
        <v>225.59999999999991</v>
      </c>
      <c r="H253" s="12">
        <f t="shared" si="8"/>
        <v>6.8688344903178628E-2</v>
      </c>
      <c r="I253" s="20" t="s">
        <v>18</v>
      </c>
      <c r="J253" s="20"/>
    </row>
    <row r="254" spans="1:10" x14ac:dyDescent="0.25">
      <c r="A254" s="22">
        <v>46161</v>
      </c>
      <c r="B254" s="20" t="s">
        <v>286</v>
      </c>
      <c r="C254" s="21" t="s">
        <v>383</v>
      </c>
      <c r="D254" s="20" t="s">
        <v>382</v>
      </c>
      <c r="E254" s="20">
        <v>3700</v>
      </c>
      <c r="F254" s="20">
        <v>3677.1</v>
      </c>
      <c r="G254" s="11">
        <f t="shared" si="7"/>
        <v>22.900000000000091</v>
      </c>
      <c r="H254" s="12">
        <f t="shared" si="8"/>
        <v>6.2277338119714155E-3</v>
      </c>
      <c r="I254" s="20" t="s">
        <v>18</v>
      </c>
      <c r="J254" s="20"/>
    </row>
    <row r="255" spans="1:10" x14ac:dyDescent="0.25">
      <c r="A255" s="22">
        <v>46161</v>
      </c>
      <c r="B255" s="20" t="s">
        <v>286</v>
      </c>
      <c r="C255" s="21" t="s">
        <v>384</v>
      </c>
      <c r="D255" s="20" t="s">
        <v>385</v>
      </c>
      <c r="E255" s="20">
        <v>3700</v>
      </c>
      <c r="F255" s="20">
        <v>3677.1</v>
      </c>
      <c r="G255" s="11">
        <f t="shared" si="7"/>
        <v>22.900000000000091</v>
      </c>
      <c r="H255" s="12">
        <f t="shared" si="8"/>
        <v>6.2277338119714155E-3</v>
      </c>
      <c r="I255" s="20" t="s">
        <v>18</v>
      </c>
      <c r="J255" s="20"/>
    </row>
    <row r="256" spans="1:10" x14ac:dyDescent="0.25">
      <c r="A256" s="22">
        <v>46161</v>
      </c>
      <c r="B256" s="20" t="s">
        <v>304</v>
      </c>
      <c r="C256" s="21">
        <v>352355701407886</v>
      </c>
      <c r="D256" s="20" t="s">
        <v>382</v>
      </c>
      <c r="E256" s="20">
        <v>3850</v>
      </c>
      <c r="F256" s="20">
        <v>3677.1</v>
      </c>
      <c r="G256" s="11">
        <f t="shared" si="7"/>
        <v>172.90000000000009</v>
      </c>
      <c r="H256" s="12">
        <f t="shared" si="8"/>
        <v>4.7020750047591875E-2</v>
      </c>
      <c r="I256" s="20" t="s">
        <v>18</v>
      </c>
      <c r="J256" s="20"/>
    </row>
    <row r="257" spans="1:10" x14ac:dyDescent="0.25">
      <c r="A257" s="22">
        <v>46161</v>
      </c>
      <c r="B257" s="20" t="s">
        <v>304</v>
      </c>
      <c r="C257" s="21">
        <v>352355702222268</v>
      </c>
      <c r="D257" s="20" t="s">
        <v>382</v>
      </c>
      <c r="E257" s="20">
        <v>3850</v>
      </c>
      <c r="F257" s="20">
        <v>3677.1</v>
      </c>
      <c r="G257" s="11">
        <f t="shared" si="7"/>
        <v>172.90000000000009</v>
      </c>
      <c r="H257" s="12">
        <f t="shared" si="8"/>
        <v>4.7020750047591875E-2</v>
      </c>
      <c r="I257" s="20" t="s">
        <v>18</v>
      </c>
      <c r="J257" s="20"/>
    </row>
    <row r="258" spans="1:10" x14ac:dyDescent="0.25">
      <c r="A258" s="22">
        <v>46161</v>
      </c>
      <c r="B258" s="20" t="s">
        <v>304</v>
      </c>
      <c r="C258" s="21">
        <v>352355703294001</v>
      </c>
      <c r="D258" s="20" t="s">
        <v>382</v>
      </c>
      <c r="E258" s="20">
        <v>3850</v>
      </c>
      <c r="F258" s="20">
        <v>3677.1</v>
      </c>
      <c r="G258" s="11">
        <f t="shared" si="7"/>
        <v>172.90000000000009</v>
      </c>
      <c r="H258" s="12">
        <f t="shared" si="8"/>
        <v>4.7020750047591875E-2</v>
      </c>
      <c r="I258" s="20" t="s">
        <v>18</v>
      </c>
      <c r="J258" s="20"/>
    </row>
    <row r="259" spans="1:10" x14ac:dyDescent="0.25">
      <c r="A259" s="22">
        <v>46161</v>
      </c>
      <c r="B259" s="20" t="s">
        <v>304</v>
      </c>
      <c r="C259" s="21">
        <v>352355704514183</v>
      </c>
      <c r="D259" s="20" t="s">
        <v>382</v>
      </c>
      <c r="E259" s="20">
        <v>3850</v>
      </c>
      <c r="F259" s="20">
        <v>3677.1</v>
      </c>
      <c r="G259" s="11">
        <f t="shared" ref="G259:G322" si="9">E259-F259</f>
        <v>172.90000000000009</v>
      </c>
      <c r="H259" s="12">
        <f t="shared" si="8"/>
        <v>4.7020750047591875E-2</v>
      </c>
      <c r="I259" s="20" t="s">
        <v>18</v>
      </c>
      <c r="J259" s="20"/>
    </row>
    <row r="260" spans="1:10" x14ac:dyDescent="0.25">
      <c r="A260" s="22">
        <v>46161</v>
      </c>
      <c r="B260" s="20" t="s">
        <v>304</v>
      </c>
      <c r="C260" s="21">
        <v>352355707399269</v>
      </c>
      <c r="D260" s="20" t="s">
        <v>382</v>
      </c>
      <c r="E260" s="20">
        <v>3850</v>
      </c>
      <c r="F260" s="20">
        <v>3677.1</v>
      </c>
      <c r="G260" s="11">
        <f t="shared" si="9"/>
        <v>172.90000000000009</v>
      </c>
      <c r="H260" s="12">
        <f t="shared" si="8"/>
        <v>4.7020750047591875E-2</v>
      </c>
      <c r="I260" s="20" t="s">
        <v>18</v>
      </c>
      <c r="J260" s="20"/>
    </row>
    <row r="261" spans="1:10" x14ac:dyDescent="0.25">
      <c r="A261" s="22">
        <v>46161</v>
      </c>
      <c r="B261" s="20" t="s">
        <v>304</v>
      </c>
      <c r="C261" s="21">
        <v>352355707872844</v>
      </c>
      <c r="D261" s="20" t="s">
        <v>382</v>
      </c>
      <c r="E261" s="20">
        <v>3850</v>
      </c>
      <c r="F261" s="20">
        <v>3677.1</v>
      </c>
      <c r="G261" s="11">
        <f t="shared" si="9"/>
        <v>172.90000000000009</v>
      </c>
      <c r="H261" s="12">
        <f t="shared" si="8"/>
        <v>4.7020750047591875E-2</v>
      </c>
      <c r="I261" s="20" t="s">
        <v>18</v>
      </c>
      <c r="J261" s="20"/>
    </row>
    <row r="262" spans="1:10" x14ac:dyDescent="0.25">
      <c r="A262" s="22">
        <v>46161</v>
      </c>
      <c r="B262" s="20" t="s">
        <v>304</v>
      </c>
      <c r="C262" s="21">
        <v>352355707925519</v>
      </c>
      <c r="D262" s="20" t="s">
        <v>382</v>
      </c>
      <c r="E262" s="20">
        <v>3850</v>
      </c>
      <c r="F262" s="20">
        <v>3677.1</v>
      </c>
      <c r="G262" s="11">
        <f t="shared" si="9"/>
        <v>172.90000000000009</v>
      </c>
      <c r="H262" s="12">
        <f t="shared" si="8"/>
        <v>4.7020750047591875E-2</v>
      </c>
      <c r="I262" s="20" t="s">
        <v>18</v>
      </c>
      <c r="J262" s="20"/>
    </row>
    <row r="263" spans="1:10" x14ac:dyDescent="0.25">
      <c r="A263" s="22">
        <v>46161</v>
      </c>
      <c r="B263" s="20" t="s">
        <v>304</v>
      </c>
      <c r="C263" s="21">
        <v>352355708437159</v>
      </c>
      <c r="D263" s="20" t="s">
        <v>382</v>
      </c>
      <c r="E263" s="20">
        <v>3850</v>
      </c>
      <c r="F263" s="20">
        <v>3677.1</v>
      </c>
      <c r="G263" s="11">
        <f t="shared" si="9"/>
        <v>172.90000000000009</v>
      </c>
      <c r="H263" s="12">
        <f t="shared" si="8"/>
        <v>4.7020750047591875E-2</v>
      </c>
      <c r="I263" s="20" t="s">
        <v>18</v>
      </c>
      <c r="J263" s="20"/>
    </row>
    <row r="264" spans="1:10" x14ac:dyDescent="0.25">
      <c r="A264" s="22">
        <v>46162</v>
      </c>
      <c r="B264" s="20" t="s">
        <v>328</v>
      </c>
      <c r="C264" s="21" t="s">
        <v>442</v>
      </c>
      <c r="D264" s="20" t="s">
        <v>30</v>
      </c>
      <c r="E264" s="20">
        <v>355</v>
      </c>
      <c r="F264" s="20">
        <v>285.60000000000002</v>
      </c>
      <c r="G264" s="11">
        <f t="shared" si="9"/>
        <v>69.399999999999977</v>
      </c>
      <c r="H264" s="12">
        <f t="shared" si="8"/>
        <v>0.24299719887955173</v>
      </c>
      <c r="I264" s="20" t="s">
        <v>18</v>
      </c>
      <c r="J264" s="20"/>
    </row>
    <row r="265" spans="1:10" x14ac:dyDescent="0.25">
      <c r="A265" s="22">
        <v>46162</v>
      </c>
      <c r="B265" s="20" t="s">
        <v>328</v>
      </c>
      <c r="C265" s="21" t="s">
        <v>443</v>
      </c>
      <c r="D265" s="20" t="s">
        <v>30</v>
      </c>
      <c r="E265" s="20">
        <v>355</v>
      </c>
      <c r="F265" s="20">
        <v>303.45</v>
      </c>
      <c r="G265" s="11">
        <f t="shared" si="9"/>
        <v>51.550000000000011</v>
      </c>
      <c r="H265" s="12">
        <f t="shared" si="8"/>
        <v>0.16987971659251941</v>
      </c>
      <c r="I265" s="20" t="s">
        <v>18</v>
      </c>
      <c r="J265" s="20"/>
    </row>
    <row r="266" spans="1:10" x14ac:dyDescent="0.25">
      <c r="A266" s="22">
        <v>46162</v>
      </c>
      <c r="B266" s="20" t="s">
        <v>328</v>
      </c>
      <c r="C266" s="21" t="s">
        <v>444</v>
      </c>
      <c r="D266" s="20" t="s">
        <v>30</v>
      </c>
      <c r="E266" s="20">
        <v>355</v>
      </c>
      <c r="F266" s="20">
        <v>303.45</v>
      </c>
      <c r="G266" s="11">
        <f t="shared" si="9"/>
        <v>51.550000000000011</v>
      </c>
      <c r="H266" s="12">
        <f t="shared" si="8"/>
        <v>0.16987971659251941</v>
      </c>
      <c r="I266" s="20" t="s">
        <v>18</v>
      </c>
      <c r="J266" s="20"/>
    </row>
    <row r="267" spans="1:10" x14ac:dyDescent="0.25">
      <c r="A267" s="22">
        <v>46162</v>
      </c>
      <c r="B267" s="20" t="s">
        <v>328</v>
      </c>
      <c r="C267" s="21" t="s">
        <v>445</v>
      </c>
      <c r="D267" s="20" t="s">
        <v>30</v>
      </c>
      <c r="E267" s="20">
        <v>355</v>
      </c>
      <c r="F267" s="20">
        <v>303.45</v>
      </c>
      <c r="G267" s="11">
        <f t="shared" si="9"/>
        <v>51.550000000000011</v>
      </c>
      <c r="H267" s="12">
        <f t="shared" si="8"/>
        <v>0.16987971659251941</v>
      </c>
      <c r="I267" s="20" t="s">
        <v>18</v>
      </c>
      <c r="J267" s="20"/>
    </row>
    <row r="268" spans="1:10" x14ac:dyDescent="0.25">
      <c r="A268" s="22">
        <v>46162</v>
      </c>
      <c r="B268" s="20" t="s">
        <v>328</v>
      </c>
      <c r="C268" s="21" t="s">
        <v>446</v>
      </c>
      <c r="D268" s="20" t="s">
        <v>30</v>
      </c>
      <c r="E268" s="20">
        <v>355</v>
      </c>
      <c r="F268" s="20">
        <v>285.60000000000002</v>
      </c>
      <c r="G268" s="11">
        <f t="shared" si="9"/>
        <v>69.399999999999977</v>
      </c>
      <c r="H268" s="12">
        <f t="shared" si="8"/>
        <v>0.24299719887955173</v>
      </c>
      <c r="I268" s="20" t="s">
        <v>18</v>
      </c>
      <c r="J268" s="20"/>
    </row>
    <row r="269" spans="1:10" x14ac:dyDescent="0.25">
      <c r="A269" s="22">
        <v>46162</v>
      </c>
      <c r="B269" s="20" t="s">
        <v>328</v>
      </c>
      <c r="C269" s="21" t="s">
        <v>447</v>
      </c>
      <c r="D269" s="20" t="s">
        <v>30</v>
      </c>
      <c r="E269" s="20">
        <v>355</v>
      </c>
      <c r="F269" s="20">
        <v>303.45</v>
      </c>
      <c r="G269" s="11">
        <f t="shared" si="9"/>
        <v>51.550000000000011</v>
      </c>
      <c r="H269" s="12">
        <f t="shared" si="8"/>
        <v>0.16987971659251941</v>
      </c>
      <c r="I269" s="20" t="s">
        <v>18</v>
      </c>
      <c r="J269" s="20"/>
    </row>
    <row r="270" spans="1:10" x14ac:dyDescent="0.25">
      <c r="A270" s="22">
        <v>46162</v>
      </c>
      <c r="B270" s="20" t="s">
        <v>328</v>
      </c>
      <c r="C270" s="21" t="s">
        <v>448</v>
      </c>
      <c r="D270" s="20" t="s">
        <v>30</v>
      </c>
      <c r="E270" s="20">
        <v>355</v>
      </c>
      <c r="F270" s="20">
        <v>285.60000000000002</v>
      </c>
      <c r="G270" s="11">
        <f t="shared" si="9"/>
        <v>69.399999999999977</v>
      </c>
      <c r="H270" s="12">
        <f t="shared" si="8"/>
        <v>0.24299719887955173</v>
      </c>
      <c r="I270" s="20" t="s">
        <v>18</v>
      </c>
      <c r="J270" s="20"/>
    </row>
    <row r="271" spans="1:10" x14ac:dyDescent="0.25">
      <c r="A271" s="22">
        <v>46162</v>
      </c>
      <c r="B271" s="20" t="s">
        <v>328</v>
      </c>
      <c r="C271" s="21" t="s">
        <v>449</v>
      </c>
      <c r="D271" s="20"/>
      <c r="E271" s="20">
        <v>355</v>
      </c>
      <c r="F271" s="20">
        <v>304.3</v>
      </c>
      <c r="G271" s="11">
        <f t="shared" si="9"/>
        <v>50.699999999999989</v>
      </c>
      <c r="H271" s="12">
        <f t="shared" si="8"/>
        <v>0.16661189615511005</v>
      </c>
      <c r="I271" s="20" t="s">
        <v>18</v>
      </c>
      <c r="J271" s="20"/>
    </row>
    <row r="272" spans="1:10" x14ac:dyDescent="0.25">
      <c r="A272" s="22">
        <v>46162</v>
      </c>
      <c r="B272" s="20" t="s">
        <v>328</v>
      </c>
      <c r="C272" s="21" t="s">
        <v>450</v>
      </c>
      <c r="D272" s="20" t="s">
        <v>30</v>
      </c>
      <c r="E272" s="20">
        <v>355</v>
      </c>
      <c r="F272" s="20">
        <v>285.60000000000002</v>
      </c>
      <c r="G272" s="11">
        <f t="shared" si="9"/>
        <v>69.399999999999977</v>
      </c>
      <c r="H272" s="12">
        <f t="shared" si="8"/>
        <v>0.24299719887955173</v>
      </c>
      <c r="I272" s="20" t="s">
        <v>18</v>
      </c>
      <c r="J272" s="20"/>
    </row>
    <row r="273" spans="1:10" x14ac:dyDescent="0.25">
      <c r="A273" s="22">
        <v>46162</v>
      </c>
      <c r="B273" s="20" t="s">
        <v>328</v>
      </c>
      <c r="C273" s="21" t="s">
        <v>451</v>
      </c>
      <c r="D273" s="20"/>
      <c r="E273" s="20">
        <v>355</v>
      </c>
      <c r="F273" s="20">
        <v>304.3</v>
      </c>
      <c r="G273" s="11">
        <f t="shared" si="9"/>
        <v>50.699999999999989</v>
      </c>
      <c r="H273" s="12">
        <f t="shared" si="8"/>
        <v>0.16661189615511005</v>
      </c>
      <c r="I273" s="20" t="s">
        <v>18</v>
      </c>
      <c r="J273" s="20"/>
    </row>
    <row r="274" spans="1:10" x14ac:dyDescent="0.25">
      <c r="A274" s="22">
        <v>46162</v>
      </c>
      <c r="B274" s="20" t="s">
        <v>328</v>
      </c>
      <c r="C274" s="21" t="s">
        <v>452</v>
      </c>
      <c r="D274" s="20" t="s">
        <v>30</v>
      </c>
      <c r="E274" s="20">
        <v>355</v>
      </c>
      <c r="F274" s="20">
        <v>285.60000000000002</v>
      </c>
      <c r="G274" s="11">
        <f t="shared" si="9"/>
        <v>69.399999999999977</v>
      </c>
      <c r="H274" s="12">
        <f t="shared" si="8"/>
        <v>0.24299719887955173</v>
      </c>
      <c r="I274" s="20" t="s">
        <v>18</v>
      </c>
      <c r="J274" s="20"/>
    </row>
    <row r="275" spans="1:10" x14ac:dyDescent="0.25">
      <c r="A275" s="22">
        <v>46162</v>
      </c>
      <c r="B275" s="20" t="s">
        <v>328</v>
      </c>
      <c r="C275" s="21" t="s">
        <v>453</v>
      </c>
      <c r="D275" s="20" t="s">
        <v>30</v>
      </c>
      <c r="E275" s="20">
        <v>355</v>
      </c>
      <c r="F275" s="20">
        <v>285.60000000000002</v>
      </c>
      <c r="G275" s="11">
        <f t="shared" si="9"/>
        <v>69.399999999999977</v>
      </c>
      <c r="H275" s="12">
        <f t="shared" si="8"/>
        <v>0.24299719887955173</v>
      </c>
      <c r="I275" s="20" t="s">
        <v>18</v>
      </c>
      <c r="J275" s="20"/>
    </row>
    <row r="276" spans="1:10" x14ac:dyDescent="0.25">
      <c r="A276" s="22">
        <v>46162</v>
      </c>
      <c r="B276" s="20" t="s">
        <v>328</v>
      </c>
      <c r="C276" s="21" t="s">
        <v>454</v>
      </c>
      <c r="D276" s="20" t="s">
        <v>30</v>
      </c>
      <c r="E276" s="20">
        <v>355</v>
      </c>
      <c r="F276" s="20">
        <v>303.45</v>
      </c>
      <c r="G276" s="11">
        <f t="shared" si="9"/>
        <v>51.550000000000011</v>
      </c>
      <c r="H276" s="12">
        <f t="shared" si="8"/>
        <v>0.16987971659251941</v>
      </c>
      <c r="I276" s="20" t="s">
        <v>18</v>
      </c>
      <c r="J276" s="20"/>
    </row>
    <row r="277" spans="1:10" x14ac:dyDescent="0.25">
      <c r="A277" s="22">
        <v>46162</v>
      </c>
      <c r="B277" s="20" t="s">
        <v>328</v>
      </c>
      <c r="C277" s="21" t="s">
        <v>456</v>
      </c>
      <c r="D277" s="20" t="s">
        <v>30</v>
      </c>
      <c r="E277" s="20">
        <v>355</v>
      </c>
      <c r="F277" s="20">
        <v>303.45</v>
      </c>
      <c r="G277" s="11">
        <f t="shared" si="9"/>
        <v>51.550000000000011</v>
      </c>
      <c r="H277" s="12">
        <f t="shared" si="8"/>
        <v>0.16987971659251941</v>
      </c>
      <c r="I277" s="20" t="s">
        <v>18</v>
      </c>
      <c r="J277" s="20"/>
    </row>
    <row r="278" spans="1:10" x14ac:dyDescent="0.25">
      <c r="A278" s="22">
        <v>46162</v>
      </c>
      <c r="B278" s="20" t="s">
        <v>328</v>
      </c>
      <c r="C278" s="21" t="s">
        <v>457</v>
      </c>
      <c r="D278" s="20"/>
      <c r="E278" s="20">
        <v>355</v>
      </c>
      <c r="F278" s="20">
        <v>304.3</v>
      </c>
      <c r="G278" s="11">
        <f t="shared" si="9"/>
        <v>50.699999999999989</v>
      </c>
      <c r="H278" s="12">
        <f t="shared" si="8"/>
        <v>0.16661189615511005</v>
      </c>
      <c r="I278" s="20" t="s">
        <v>18</v>
      </c>
      <c r="J278" s="20"/>
    </row>
    <row r="279" spans="1:10" x14ac:dyDescent="0.25">
      <c r="A279" s="22">
        <v>46162</v>
      </c>
      <c r="B279" s="20" t="s">
        <v>328</v>
      </c>
      <c r="C279" s="21" t="s">
        <v>458</v>
      </c>
      <c r="D279" s="20" t="s">
        <v>30</v>
      </c>
      <c r="E279" s="20">
        <v>355</v>
      </c>
      <c r="F279" s="20">
        <v>285.60000000000002</v>
      </c>
      <c r="G279" s="11">
        <f t="shared" si="9"/>
        <v>69.399999999999977</v>
      </c>
      <c r="H279" s="12">
        <f t="shared" si="8"/>
        <v>0.24299719887955173</v>
      </c>
      <c r="I279" s="20" t="s">
        <v>18</v>
      </c>
      <c r="J279" s="20"/>
    </row>
    <row r="280" spans="1:10" x14ac:dyDescent="0.25">
      <c r="A280" s="22">
        <v>46162</v>
      </c>
      <c r="B280" s="20" t="s">
        <v>328</v>
      </c>
      <c r="C280" s="21" t="s">
        <v>459</v>
      </c>
      <c r="D280" s="20" t="s">
        <v>30</v>
      </c>
      <c r="E280" s="20">
        <v>355</v>
      </c>
      <c r="F280" s="20">
        <v>303.45</v>
      </c>
      <c r="G280" s="11">
        <f t="shared" si="9"/>
        <v>51.550000000000011</v>
      </c>
      <c r="H280" s="12">
        <f t="shared" si="8"/>
        <v>0.16987971659251941</v>
      </c>
      <c r="I280" s="20" t="s">
        <v>18</v>
      </c>
      <c r="J280" s="20"/>
    </row>
    <row r="281" spans="1:10" x14ac:dyDescent="0.25">
      <c r="A281" s="22">
        <v>46162</v>
      </c>
      <c r="B281" s="20" t="s">
        <v>328</v>
      </c>
      <c r="C281" s="21" t="s">
        <v>460</v>
      </c>
      <c r="D281" s="20" t="s">
        <v>30</v>
      </c>
      <c r="E281" s="20">
        <v>355</v>
      </c>
      <c r="F281" s="20">
        <v>303.45</v>
      </c>
      <c r="G281" s="11">
        <f t="shared" si="9"/>
        <v>51.550000000000011</v>
      </c>
      <c r="H281" s="12">
        <f t="shared" si="8"/>
        <v>0.16987971659251941</v>
      </c>
      <c r="I281" s="20" t="s">
        <v>18</v>
      </c>
      <c r="J281" s="20"/>
    </row>
    <row r="282" spans="1:10" x14ac:dyDescent="0.25">
      <c r="A282" s="22">
        <v>46162</v>
      </c>
      <c r="B282" s="20" t="s">
        <v>461</v>
      </c>
      <c r="C282" s="21" t="s">
        <v>462</v>
      </c>
      <c r="D282" s="20"/>
      <c r="E282" s="20">
        <v>480</v>
      </c>
      <c r="F282" s="20">
        <v>429.6</v>
      </c>
      <c r="G282" s="11">
        <f t="shared" si="9"/>
        <v>50.399999999999977</v>
      </c>
      <c r="H282" s="12">
        <f t="shared" si="8"/>
        <v>0.11731843575418989</v>
      </c>
      <c r="I282" s="20" t="s">
        <v>18</v>
      </c>
      <c r="J282" s="20"/>
    </row>
    <row r="283" spans="1:10" x14ac:dyDescent="0.25">
      <c r="A283" s="22">
        <v>46162</v>
      </c>
      <c r="B283" s="20" t="s">
        <v>461</v>
      </c>
      <c r="C283" s="21" t="s">
        <v>463</v>
      </c>
      <c r="D283" s="20"/>
      <c r="E283" s="20">
        <v>480</v>
      </c>
      <c r="F283" s="20">
        <v>429.6</v>
      </c>
      <c r="G283" s="11">
        <f t="shared" si="9"/>
        <v>50.399999999999977</v>
      </c>
      <c r="H283" s="12">
        <f t="shared" si="8"/>
        <v>0.11731843575418989</v>
      </c>
      <c r="I283" s="20" t="s">
        <v>18</v>
      </c>
      <c r="J283" s="20"/>
    </row>
    <row r="284" spans="1:10" x14ac:dyDescent="0.25">
      <c r="A284" s="22">
        <v>46162</v>
      </c>
      <c r="B284" s="20" t="s">
        <v>461</v>
      </c>
      <c r="C284" s="21" t="s">
        <v>464</v>
      </c>
      <c r="D284" s="20" t="s">
        <v>30</v>
      </c>
      <c r="E284" s="20">
        <v>480</v>
      </c>
      <c r="F284" s="20">
        <v>428.4</v>
      </c>
      <c r="G284" s="11">
        <f t="shared" si="9"/>
        <v>51.600000000000023</v>
      </c>
      <c r="H284" s="12">
        <f t="shared" ref="H284:H345" si="10">(E284-F284)/F284</f>
        <v>0.12044817927170874</v>
      </c>
      <c r="I284" s="20" t="s">
        <v>18</v>
      </c>
      <c r="J284" s="20"/>
    </row>
    <row r="285" spans="1:10" x14ac:dyDescent="0.25">
      <c r="A285" s="22">
        <v>46162</v>
      </c>
      <c r="B285" s="20" t="s">
        <v>461</v>
      </c>
      <c r="C285" s="21" t="s">
        <v>465</v>
      </c>
      <c r="D285" s="20" t="s">
        <v>30</v>
      </c>
      <c r="E285" s="20">
        <v>480</v>
      </c>
      <c r="F285" s="20">
        <v>428.4</v>
      </c>
      <c r="G285" s="11">
        <f t="shared" si="9"/>
        <v>51.600000000000023</v>
      </c>
      <c r="H285" s="12">
        <f t="shared" si="10"/>
        <v>0.12044817927170874</v>
      </c>
      <c r="I285" s="20" t="s">
        <v>18</v>
      </c>
      <c r="J285" s="20"/>
    </row>
    <row r="286" spans="1:10" x14ac:dyDescent="0.25">
      <c r="A286" s="22">
        <v>46162</v>
      </c>
      <c r="B286" s="20" t="s">
        <v>461</v>
      </c>
      <c r="C286" s="21" t="s">
        <v>466</v>
      </c>
      <c r="D286" s="20"/>
      <c r="E286" s="20">
        <v>480</v>
      </c>
      <c r="F286" s="20">
        <v>429.6</v>
      </c>
      <c r="G286" s="11">
        <f t="shared" si="9"/>
        <v>50.399999999999977</v>
      </c>
      <c r="H286" s="12">
        <f t="shared" si="10"/>
        <v>0.11731843575418989</v>
      </c>
      <c r="I286" s="20" t="s">
        <v>18</v>
      </c>
      <c r="J286" s="20"/>
    </row>
    <row r="287" spans="1:10" x14ac:dyDescent="0.25">
      <c r="A287" s="22">
        <v>46162</v>
      </c>
      <c r="B287" s="20" t="s">
        <v>461</v>
      </c>
      <c r="C287" s="21" t="s">
        <v>467</v>
      </c>
      <c r="D287" s="20" t="s">
        <v>30</v>
      </c>
      <c r="E287" s="20">
        <v>480</v>
      </c>
      <c r="F287" s="20">
        <v>428.4</v>
      </c>
      <c r="G287" s="11">
        <f t="shared" si="9"/>
        <v>51.600000000000023</v>
      </c>
      <c r="H287" s="12">
        <f t="shared" si="10"/>
        <v>0.12044817927170874</v>
      </c>
      <c r="I287" s="20" t="s">
        <v>18</v>
      </c>
      <c r="J287" s="20"/>
    </row>
    <row r="288" spans="1:10" x14ac:dyDescent="0.25">
      <c r="A288" s="22">
        <v>46162</v>
      </c>
      <c r="B288" s="20" t="s">
        <v>461</v>
      </c>
      <c r="C288" s="21" t="s">
        <v>468</v>
      </c>
      <c r="D288" s="20" t="s">
        <v>30</v>
      </c>
      <c r="E288" s="20">
        <v>480</v>
      </c>
      <c r="F288" s="20">
        <v>428.4</v>
      </c>
      <c r="G288" s="11">
        <f t="shared" si="9"/>
        <v>51.600000000000023</v>
      </c>
      <c r="H288" s="12">
        <f t="shared" si="10"/>
        <v>0.12044817927170874</v>
      </c>
      <c r="I288" s="20" t="s">
        <v>18</v>
      </c>
      <c r="J288" s="20"/>
    </row>
    <row r="289" spans="1:10" x14ac:dyDescent="0.25">
      <c r="A289" s="22">
        <v>46162</v>
      </c>
      <c r="B289" s="20" t="s">
        <v>461</v>
      </c>
      <c r="C289" s="21" t="s">
        <v>469</v>
      </c>
      <c r="D289" s="20"/>
      <c r="E289" s="20">
        <v>480</v>
      </c>
      <c r="F289" s="20">
        <v>429.6</v>
      </c>
      <c r="G289" s="11">
        <f t="shared" si="9"/>
        <v>50.399999999999977</v>
      </c>
      <c r="H289" s="12">
        <f t="shared" si="10"/>
        <v>0.11731843575418989</v>
      </c>
      <c r="I289" s="20" t="s">
        <v>18</v>
      </c>
      <c r="J289" s="20"/>
    </row>
    <row r="290" spans="1:10" x14ac:dyDescent="0.25">
      <c r="A290" s="22">
        <v>46162</v>
      </c>
      <c r="B290" s="20" t="s">
        <v>461</v>
      </c>
      <c r="C290" s="21" t="s">
        <v>470</v>
      </c>
      <c r="D290" s="20" t="s">
        <v>30</v>
      </c>
      <c r="E290" s="20">
        <v>480</v>
      </c>
      <c r="F290" s="20">
        <v>428.4</v>
      </c>
      <c r="G290" s="11">
        <f t="shared" si="9"/>
        <v>51.600000000000023</v>
      </c>
      <c r="H290" s="12">
        <f t="shared" si="10"/>
        <v>0.12044817927170874</v>
      </c>
      <c r="I290" s="20" t="s">
        <v>18</v>
      </c>
      <c r="J290" s="20"/>
    </row>
    <row r="291" spans="1:10" x14ac:dyDescent="0.25">
      <c r="A291" s="22">
        <v>46162</v>
      </c>
      <c r="B291" s="20" t="s">
        <v>461</v>
      </c>
      <c r="C291" s="21" t="s">
        <v>471</v>
      </c>
      <c r="D291" s="20" t="s">
        <v>30</v>
      </c>
      <c r="E291" s="20">
        <v>480</v>
      </c>
      <c r="F291" s="20">
        <v>428.4</v>
      </c>
      <c r="G291" s="11">
        <f t="shared" si="9"/>
        <v>51.600000000000023</v>
      </c>
      <c r="H291" s="12">
        <f t="shared" si="10"/>
        <v>0.12044817927170874</v>
      </c>
      <c r="I291" s="20" t="s">
        <v>18</v>
      </c>
      <c r="J291" s="20"/>
    </row>
    <row r="292" spans="1:10" x14ac:dyDescent="0.25">
      <c r="A292" s="22">
        <v>46162</v>
      </c>
      <c r="B292" s="20" t="s">
        <v>15</v>
      </c>
      <c r="C292" s="21" t="s">
        <v>472</v>
      </c>
      <c r="D292" s="20" t="s">
        <v>473</v>
      </c>
      <c r="E292" s="20">
        <v>1550</v>
      </c>
      <c r="F292" s="20">
        <v>1481.55</v>
      </c>
      <c r="G292" s="11">
        <f t="shared" si="9"/>
        <v>68.450000000000045</v>
      </c>
      <c r="H292" s="12">
        <f t="shared" si="10"/>
        <v>4.620161317539067E-2</v>
      </c>
      <c r="I292" s="20" t="s">
        <v>18</v>
      </c>
      <c r="J292" s="20"/>
    </row>
    <row r="293" spans="1:10" x14ac:dyDescent="0.25">
      <c r="A293" s="22">
        <v>46162</v>
      </c>
      <c r="B293" s="20" t="s">
        <v>15</v>
      </c>
      <c r="C293" s="21" t="s">
        <v>474</v>
      </c>
      <c r="D293" s="20" t="s">
        <v>475</v>
      </c>
      <c r="E293" s="20">
        <v>1550</v>
      </c>
      <c r="F293" s="20">
        <v>1481.55</v>
      </c>
      <c r="G293" s="11">
        <f t="shared" si="9"/>
        <v>68.450000000000045</v>
      </c>
      <c r="H293" s="12">
        <f t="shared" si="10"/>
        <v>4.620161317539067E-2</v>
      </c>
      <c r="I293" s="20" t="s">
        <v>18</v>
      </c>
      <c r="J293" s="20"/>
    </row>
    <row r="294" spans="1:10" x14ac:dyDescent="0.25">
      <c r="A294" s="13">
        <v>46162</v>
      </c>
      <c r="B294" s="14" t="s">
        <v>476</v>
      </c>
      <c r="C294" s="17" t="s">
        <v>477</v>
      </c>
      <c r="D294" s="14" t="s">
        <v>478</v>
      </c>
      <c r="E294" s="14">
        <v>580</v>
      </c>
      <c r="F294" s="14">
        <v>714</v>
      </c>
      <c r="G294" s="14">
        <f t="shared" si="9"/>
        <v>-134</v>
      </c>
      <c r="H294" s="16">
        <f t="shared" si="10"/>
        <v>-0.1876750700280112</v>
      </c>
      <c r="I294" s="14" t="s">
        <v>18</v>
      </c>
      <c r="J294" s="20" t="s">
        <v>26</v>
      </c>
    </row>
    <row r="295" spans="1:10" x14ac:dyDescent="0.25">
      <c r="A295" s="13">
        <v>46162</v>
      </c>
      <c r="B295" s="14" t="s">
        <v>99</v>
      </c>
      <c r="C295" s="17" t="s">
        <v>479</v>
      </c>
      <c r="D295" s="14" t="s">
        <v>30</v>
      </c>
      <c r="E295" s="14">
        <v>705</v>
      </c>
      <c r="F295" s="14">
        <v>714</v>
      </c>
      <c r="G295" s="14">
        <f t="shared" si="9"/>
        <v>-9</v>
      </c>
      <c r="H295" s="16">
        <f t="shared" si="10"/>
        <v>-1.2605042016806723E-2</v>
      </c>
      <c r="I295" s="14" t="s">
        <v>18</v>
      </c>
      <c r="J295" s="20" t="s">
        <v>26</v>
      </c>
    </row>
    <row r="296" spans="1:10" x14ac:dyDescent="0.25">
      <c r="A296" s="13">
        <v>46162</v>
      </c>
      <c r="B296" s="14" t="s">
        <v>99</v>
      </c>
      <c r="C296" s="17" t="s">
        <v>480</v>
      </c>
      <c r="D296" s="14" t="s">
        <v>30</v>
      </c>
      <c r="E296" s="14">
        <v>705</v>
      </c>
      <c r="F296" s="14">
        <v>714</v>
      </c>
      <c r="G296" s="14">
        <f t="shared" si="9"/>
        <v>-9</v>
      </c>
      <c r="H296" s="16">
        <f t="shared" si="10"/>
        <v>-1.2605042016806723E-2</v>
      </c>
      <c r="I296" s="14" t="s">
        <v>18</v>
      </c>
      <c r="J296" s="20" t="s">
        <v>26</v>
      </c>
    </row>
    <row r="297" spans="1:10" x14ac:dyDescent="0.25">
      <c r="A297" s="13">
        <v>46162</v>
      </c>
      <c r="B297" s="14" t="s">
        <v>99</v>
      </c>
      <c r="C297" s="17" t="s">
        <v>481</v>
      </c>
      <c r="D297" s="14" t="s">
        <v>30</v>
      </c>
      <c r="E297" s="14">
        <v>705</v>
      </c>
      <c r="F297" s="14">
        <v>714</v>
      </c>
      <c r="G297" s="14">
        <f t="shared" si="9"/>
        <v>-9</v>
      </c>
      <c r="H297" s="16">
        <f t="shared" si="10"/>
        <v>-1.2605042016806723E-2</v>
      </c>
      <c r="I297" s="14" t="s">
        <v>18</v>
      </c>
      <c r="J297" s="20" t="s">
        <v>26</v>
      </c>
    </row>
    <row r="298" spans="1:10" x14ac:dyDescent="0.25">
      <c r="A298" s="13">
        <v>46162</v>
      </c>
      <c r="B298" s="14" t="s">
        <v>99</v>
      </c>
      <c r="C298" s="17" t="s">
        <v>482</v>
      </c>
      <c r="D298" s="14" t="s">
        <v>30</v>
      </c>
      <c r="E298" s="14">
        <v>705</v>
      </c>
      <c r="F298" s="14">
        <v>714</v>
      </c>
      <c r="G298" s="14">
        <f t="shared" si="9"/>
        <v>-9</v>
      </c>
      <c r="H298" s="16">
        <f t="shared" si="10"/>
        <v>-1.2605042016806723E-2</v>
      </c>
      <c r="I298" s="14" t="s">
        <v>18</v>
      </c>
      <c r="J298" s="20" t="s">
        <v>26</v>
      </c>
    </row>
    <row r="299" spans="1:10" x14ac:dyDescent="0.25">
      <c r="A299" s="13">
        <v>46162</v>
      </c>
      <c r="B299" s="14" t="s">
        <v>99</v>
      </c>
      <c r="C299" s="17" t="s">
        <v>484</v>
      </c>
      <c r="D299" s="14" t="s">
        <v>30</v>
      </c>
      <c r="E299" s="14">
        <v>705</v>
      </c>
      <c r="F299" s="14">
        <v>714</v>
      </c>
      <c r="G299" s="14">
        <f t="shared" si="9"/>
        <v>-9</v>
      </c>
      <c r="H299" s="16">
        <f t="shared" si="10"/>
        <v>-1.2605042016806723E-2</v>
      </c>
      <c r="I299" s="14" t="s">
        <v>18</v>
      </c>
      <c r="J299" s="20" t="s">
        <v>26</v>
      </c>
    </row>
    <row r="300" spans="1:10" x14ac:dyDescent="0.25">
      <c r="A300" s="13">
        <v>46162</v>
      </c>
      <c r="B300" s="14" t="s">
        <v>99</v>
      </c>
      <c r="C300" s="17" t="s">
        <v>485</v>
      </c>
      <c r="D300" s="14" t="s">
        <v>30</v>
      </c>
      <c r="E300" s="14">
        <v>705</v>
      </c>
      <c r="F300" s="14">
        <v>714</v>
      </c>
      <c r="G300" s="14">
        <f t="shared" si="9"/>
        <v>-9</v>
      </c>
      <c r="H300" s="16">
        <f t="shared" si="10"/>
        <v>-1.2605042016806723E-2</v>
      </c>
      <c r="I300" s="14" t="s">
        <v>18</v>
      </c>
      <c r="J300" s="20" t="s">
        <v>26</v>
      </c>
    </row>
    <row r="301" spans="1:10" x14ac:dyDescent="0.25">
      <c r="A301" s="13">
        <v>46162</v>
      </c>
      <c r="B301" s="14" t="s">
        <v>99</v>
      </c>
      <c r="C301" s="17" t="s">
        <v>486</v>
      </c>
      <c r="D301" s="14" t="s">
        <v>30</v>
      </c>
      <c r="E301" s="14">
        <v>705</v>
      </c>
      <c r="F301" s="14">
        <v>714</v>
      </c>
      <c r="G301" s="14">
        <f t="shared" si="9"/>
        <v>-9</v>
      </c>
      <c r="H301" s="16">
        <f t="shared" si="10"/>
        <v>-1.2605042016806723E-2</v>
      </c>
      <c r="I301" s="14" t="s">
        <v>18</v>
      </c>
      <c r="J301" s="20" t="s">
        <v>26</v>
      </c>
    </row>
    <row r="302" spans="1:10" x14ac:dyDescent="0.25">
      <c r="A302" s="13">
        <v>46162</v>
      </c>
      <c r="B302" s="14" t="s">
        <v>99</v>
      </c>
      <c r="C302" s="17" t="s">
        <v>487</v>
      </c>
      <c r="D302" s="14" t="s">
        <v>30</v>
      </c>
      <c r="E302" s="14">
        <v>705</v>
      </c>
      <c r="F302" s="14">
        <v>714</v>
      </c>
      <c r="G302" s="14">
        <f t="shared" si="9"/>
        <v>-9</v>
      </c>
      <c r="H302" s="16">
        <f t="shared" si="10"/>
        <v>-1.2605042016806723E-2</v>
      </c>
      <c r="I302" s="14" t="s">
        <v>18</v>
      </c>
      <c r="J302" s="20" t="s">
        <v>26</v>
      </c>
    </row>
    <row r="303" spans="1:10" x14ac:dyDescent="0.25">
      <c r="A303" s="13">
        <v>46162</v>
      </c>
      <c r="B303" s="14" t="s">
        <v>99</v>
      </c>
      <c r="C303" s="17" t="s">
        <v>488</v>
      </c>
      <c r="D303" s="14" t="s">
        <v>30</v>
      </c>
      <c r="E303" s="14">
        <v>705</v>
      </c>
      <c r="F303" s="14">
        <v>714</v>
      </c>
      <c r="G303" s="14">
        <f t="shared" si="9"/>
        <v>-9</v>
      </c>
      <c r="H303" s="16">
        <f t="shared" si="10"/>
        <v>-1.2605042016806723E-2</v>
      </c>
      <c r="I303" s="14" t="s">
        <v>18</v>
      </c>
      <c r="J303" s="20" t="s">
        <v>26</v>
      </c>
    </row>
    <row r="304" spans="1:10" x14ac:dyDescent="0.25">
      <c r="A304" s="13">
        <v>46162</v>
      </c>
      <c r="B304" s="14" t="s">
        <v>99</v>
      </c>
      <c r="C304" s="17" t="s">
        <v>489</v>
      </c>
      <c r="D304" s="14" t="s">
        <v>30</v>
      </c>
      <c r="E304" s="14">
        <v>705</v>
      </c>
      <c r="F304" s="14">
        <v>714</v>
      </c>
      <c r="G304" s="14">
        <f t="shared" si="9"/>
        <v>-9</v>
      </c>
      <c r="H304" s="16">
        <f t="shared" si="10"/>
        <v>-1.2605042016806723E-2</v>
      </c>
      <c r="I304" s="14" t="s">
        <v>18</v>
      </c>
      <c r="J304" s="20" t="s">
        <v>26</v>
      </c>
    </row>
    <row r="305" spans="1:10" x14ac:dyDescent="0.25">
      <c r="A305" s="13">
        <v>46162</v>
      </c>
      <c r="B305" s="14" t="s">
        <v>99</v>
      </c>
      <c r="C305" s="17" t="s">
        <v>490</v>
      </c>
      <c r="D305" s="14" t="s">
        <v>30</v>
      </c>
      <c r="E305" s="14">
        <v>705</v>
      </c>
      <c r="F305" s="14">
        <v>714</v>
      </c>
      <c r="G305" s="14">
        <f t="shared" si="9"/>
        <v>-9</v>
      </c>
      <c r="H305" s="16">
        <f t="shared" si="10"/>
        <v>-1.2605042016806723E-2</v>
      </c>
      <c r="I305" s="14" t="s">
        <v>18</v>
      </c>
      <c r="J305" s="20" t="s">
        <v>26</v>
      </c>
    </row>
    <row r="306" spans="1:10" x14ac:dyDescent="0.25">
      <c r="A306" s="13">
        <v>46162</v>
      </c>
      <c r="B306" s="14" t="s">
        <v>99</v>
      </c>
      <c r="C306" s="17" t="s">
        <v>491</v>
      </c>
      <c r="D306" s="14" t="s">
        <v>30</v>
      </c>
      <c r="E306" s="14">
        <v>705</v>
      </c>
      <c r="F306" s="14">
        <v>714</v>
      </c>
      <c r="G306" s="14">
        <f t="shared" si="9"/>
        <v>-9</v>
      </c>
      <c r="H306" s="16">
        <f t="shared" si="10"/>
        <v>-1.2605042016806723E-2</v>
      </c>
      <c r="I306" s="14" t="s">
        <v>18</v>
      </c>
      <c r="J306" s="20" t="s">
        <v>26</v>
      </c>
    </row>
    <row r="307" spans="1:10" x14ac:dyDescent="0.25">
      <c r="A307" s="13">
        <v>46162</v>
      </c>
      <c r="B307" s="14" t="s">
        <v>99</v>
      </c>
      <c r="C307" s="17" t="s">
        <v>492</v>
      </c>
      <c r="D307" s="14" t="s">
        <v>30</v>
      </c>
      <c r="E307" s="14">
        <v>705</v>
      </c>
      <c r="F307" s="14">
        <v>714</v>
      </c>
      <c r="G307" s="14">
        <f t="shared" si="9"/>
        <v>-9</v>
      </c>
      <c r="H307" s="16">
        <f t="shared" si="10"/>
        <v>-1.2605042016806723E-2</v>
      </c>
      <c r="I307" s="14" t="s">
        <v>18</v>
      </c>
      <c r="J307" s="20" t="s">
        <v>26</v>
      </c>
    </row>
    <row r="308" spans="1:10" x14ac:dyDescent="0.25">
      <c r="A308" s="13">
        <v>46162</v>
      </c>
      <c r="B308" s="14" t="s">
        <v>99</v>
      </c>
      <c r="C308" s="17" t="s">
        <v>493</v>
      </c>
      <c r="D308" s="14" t="s">
        <v>30</v>
      </c>
      <c r="E308" s="14">
        <v>705</v>
      </c>
      <c r="F308" s="14">
        <v>714</v>
      </c>
      <c r="G308" s="14">
        <f t="shared" si="9"/>
        <v>-9</v>
      </c>
      <c r="H308" s="16">
        <f t="shared" si="10"/>
        <v>-1.2605042016806723E-2</v>
      </c>
      <c r="I308" s="14" t="s">
        <v>18</v>
      </c>
      <c r="J308" s="20" t="s">
        <v>26</v>
      </c>
    </row>
    <row r="309" spans="1:10" x14ac:dyDescent="0.25">
      <c r="A309" s="13">
        <v>46162</v>
      </c>
      <c r="B309" s="14" t="s">
        <v>99</v>
      </c>
      <c r="C309" s="17" t="s">
        <v>495</v>
      </c>
      <c r="D309" s="14" t="s">
        <v>30</v>
      </c>
      <c r="E309" s="14">
        <v>705</v>
      </c>
      <c r="F309" s="14">
        <v>714</v>
      </c>
      <c r="G309" s="14">
        <f t="shared" si="9"/>
        <v>-9</v>
      </c>
      <c r="H309" s="16">
        <f t="shared" si="10"/>
        <v>-1.2605042016806723E-2</v>
      </c>
      <c r="I309" s="14" t="s">
        <v>18</v>
      </c>
      <c r="J309" s="20" t="s">
        <v>26</v>
      </c>
    </row>
    <row r="310" spans="1:10" x14ac:dyDescent="0.25">
      <c r="A310" s="13">
        <v>46162</v>
      </c>
      <c r="B310" s="14" t="s">
        <v>99</v>
      </c>
      <c r="C310" s="17" t="s">
        <v>496</v>
      </c>
      <c r="D310" s="14" t="s">
        <v>30</v>
      </c>
      <c r="E310" s="14">
        <v>705</v>
      </c>
      <c r="F310" s="14">
        <v>714</v>
      </c>
      <c r="G310" s="14">
        <f t="shared" si="9"/>
        <v>-9</v>
      </c>
      <c r="H310" s="16">
        <f t="shared" si="10"/>
        <v>-1.2605042016806723E-2</v>
      </c>
      <c r="I310" s="14" t="s">
        <v>18</v>
      </c>
      <c r="J310" s="20" t="s">
        <v>26</v>
      </c>
    </row>
    <row r="311" spans="1:10" x14ac:dyDescent="0.25">
      <c r="A311" s="13">
        <v>46162</v>
      </c>
      <c r="B311" s="14" t="s">
        <v>99</v>
      </c>
      <c r="C311" s="17" t="s">
        <v>497</v>
      </c>
      <c r="D311" s="14" t="s">
        <v>30</v>
      </c>
      <c r="E311" s="14">
        <v>705</v>
      </c>
      <c r="F311" s="14">
        <v>714</v>
      </c>
      <c r="G311" s="14">
        <f t="shared" si="9"/>
        <v>-9</v>
      </c>
      <c r="H311" s="16">
        <f t="shared" si="10"/>
        <v>-1.2605042016806723E-2</v>
      </c>
      <c r="I311" s="14" t="s">
        <v>18</v>
      </c>
      <c r="J311" s="20" t="s">
        <v>26</v>
      </c>
    </row>
    <row r="312" spans="1:10" x14ac:dyDescent="0.25">
      <c r="A312" s="22">
        <v>46162</v>
      </c>
      <c r="B312" s="20" t="s">
        <v>509</v>
      </c>
      <c r="C312" s="21" t="s">
        <v>510</v>
      </c>
      <c r="D312" s="20" t="s">
        <v>30</v>
      </c>
      <c r="E312" s="20">
        <v>1520</v>
      </c>
      <c r="F312" s="20">
        <v>1249.5</v>
      </c>
      <c r="G312" s="11">
        <f t="shared" si="9"/>
        <v>270.5</v>
      </c>
      <c r="H312" s="12">
        <f t="shared" si="10"/>
        <v>0.21648659463785513</v>
      </c>
      <c r="I312" s="20" t="s">
        <v>18</v>
      </c>
      <c r="J312" s="20"/>
    </row>
    <row r="313" spans="1:10" x14ac:dyDescent="0.25">
      <c r="A313" s="22">
        <v>46162</v>
      </c>
      <c r="B313" s="20" t="s">
        <v>509</v>
      </c>
      <c r="C313" s="21" t="s">
        <v>511</v>
      </c>
      <c r="D313" s="20" t="s">
        <v>30</v>
      </c>
      <c r="E313" s="20">
        <v>1520</v>
      </c>
      <c r="F313" s="20">
        <v>1249.5</v>
      </c>
      <c r="G313" s="11">
        <f t="shared" si="9"/>
        <v>270.5</v>
      </c>
      <c r="H313" s="12">
        <f t="shared" si="10"/>
        <v>0.21648659463785513</v>
      </c>
      <c r="I313" s="20" t="s">
        <v>18</v>
      </c>
      <c r="J313" s="20"/>
    </row>
    <row r="314" spans="1:10" x14ac:dyDescent="0.25">
      <c r="A314" s="22">
        <v>46162</v>
      </c>
      <c r="B314" s="20" t="s">
        <v>509</v>
      </c>
      <c r="C314" s="21" t="s">
        <v>512</v>
      </c>
      <c r="D314" s="20" t="s">
        <v>30</v>
      </c>
      <c r="E314" s="20">
        <v>1520</v>
      </c>
      <c r="F314" s="20">
        <v>1249.5</v>
      </c>
      <c r="G314" s="11">
        <f t="shared" si="9"/>
        <v>270.5</v>
      </c>
      <c r="H314" s="12">
        <f t="shared" si="10"/>
        <v>0.21648659463785513</v>
      </c>
      <c r="I314" s="20" t="s">
        <v>18</v>
      </c>
      <c r="J314" s="20"/>
    </row>
    <row r="315" spans="1:10" x14ac:dyDescent="0.25">
      <c r="A315" s="22">
        <v>46162</v>
      </c>
      <c r="B315" s="20" t="s">
        <v>40</v>
      </c>
      <c r="C315" s="21" t="s">
        <v>513</v>
      </c>
      <c r="D315" s="20" t="s">
        <v>30</v>
      </c>
      <c r="E315" s="20">
        <v>1870</v>
      </c>
      <c r="F315" s="20">
        <v>1677.9</v>
      </c>
      <c r="G315" s="11">
        <f t="shared" si="9"/>
        <v>192.09999999999991</v>
      </c>
      <c r="H315" s="12">
        <f t="shared" si="10"/>
        <v>0.11448834853090166</v>
      </c>
      <c r="I315" s="20" t="s">
        <v>18</v>
      </c>
      <c r="J315" s="20"/>
    </row>
    <row r="316" spans="1:10" x14ac:dyDescent="0.25">
      <c r="A316" s="22">
        <v>46162</v>
      </c>
      <c r="B316" s="20" t="s">
        <v>40</v>
      </c>
      <c r="C316" s="21" t="s">
        <v>514</v>
      </c>
      <c r="D316" s="20" t="s">
        <v>30</v>
      </c>
      <c r="E316" s="20">
        <v>1870</v>
      </c>
      <c r="F316" s="20">
        <v>1677.9</v>
      </c>
      <c r="G316" s="11">
        <f t="shared" si="9"/>
        <v>192.09999999999991</v>
      </c>
      <c r="H316" s="12">
        <f t="shared" si="10"/>
        <v>0.11448834853090166</v>
      </c>
      <c r="I316" s="20" t="s">
        <v>18</v>
      </c>
      <c r="J316" s="20"/>
    </row>
    <row r="317" spans="1:10" x14ac:dyDescent="0.25">
      <c r="A317" s="22">
        <v>46162</v>
      </c>
      <c r="B317" s="20" t="s">
        <v>40</v>
      </c>
      <c r="C317" s="21" t="s">
        <v>515</v>
      </c>
      <c r="D317" s="20" t="s">
        <v>30</v>
      </c>
      <c r="E317" s="20">
        <v>1870</v>
      </c>
      <c r="F317" s="20">
        <v>1677.9</v>
      </c>
      <c r="G317" s="11">
        <f t="shared" si="9"/>
        <v>192.09999999999991</v>
      </c>
      <c r="H317" s="12">
        <f t="shared" si="10"/>
        <v>0.11448834853090166</v>
      </c>
      <c r="I317" s="20" t="s">
        <v>18</v>
      </c>
      <c r="J317" s="20"/>
    </row>
    <row r="318" spans="1:10" x14ac:dyDescent="0.25">
      <c r="A318" s="22">
        <v>46162</v>
      </c>
      <c r="B318" s="20" t="s">
        <v>40</v>
      </c>
      <c r="C318" s="21" t="s">
        <v>516</v>
      </c>
      <c r="D318" s="20" t="s">
        <v>30</v>
      </c>
      <c r="E318" s="20">
        <v>1870</v>
      </c>
      <c r="F318" s="20">
        <v>1677.9</v>
      </c>
      <c r="G318" s="11">
        <f t="shared" si="9"/>
        <v>192.09999999999991</v>
      </c>
      <c r="H318" s="12">
        <f t="shared" si="10"/>
        <v>0.11448834853090166</v>
      </c>
      <c r="I318" s="20" t="s">
        <v>18</v>
      </c>
      <c r="J318" s="20"/>
    </row>
    <row r="319" spans="1:10" x14ac:dyDescent="0.25">
      <c r="A319" s="22">
        <v>46162</v>
      </c>
      <c r="B319" s="20" t="s">
        <v>40</v>
      </c>
      <c r="C319" s="21" t="s">
        <v>517</v>
      </c>
      <c r="D319" s="20" t="s">
        <v>30</v>
      </c>
      <c r="E319" s="20">
        <v>1870</v>
      </c>
      <c r="F319" s="20">
        <v>1677.9</v>
      </c>
      <c r="G319" s="11">
        <f t="shared" si="9"/>
        <v>192.09999999999991</v>
      </c>
      <c r="H319" s="12">
        <f t="shared" si="10"/>
        <v>0.11448834853090166</v>
      </c>
      <c r="I319" s="20" t="s">
        <v>18</v>
      </c>
      <c r="J319" s="20"/>
    </row>
    <row r="320" spans="1:10" x14ac:dyDescent="0.25">
      <c r="A320" s="22">
        <v>46162</v>
      </c>
      <c r="B320" s="20" t="s">
        <v>518</v>
      </c>
      <c r="C320" s="21" t="s">
        <v>519</v>
      </c>
      <c r="D320" s="20" t="s">
        <v>30</v>
      </c>
      <c r="E320" s="20">
        <v>1</v>
      </c>
      <c r="F320" s="20">
        <v>214.2</v>
      </c>
      <c r="G320" s="11">
        <f t="shared" si="9"/>
        <v>-213.2</v>
      </c>
      <c r="H320" s="12">
        <f t="shared" si="10"/>
        <v>-0.99533146591970123</v>
      </c>
      <c r="I320" s="20" t="s">
        <v>18</v>
      </c>
      <c r="J320" s="20" t="s">
        <v>68</v>
      </c>
    </row>
    <row r="321" spans="1:10" x14ac:dyDescent="0.25">
      <c r="A321" s="22">
        <v>46162</v>
      </c>
      <c r="B321" s="20" t="s">
        <v>520</v>
      </c>
      <c r="C321" s="21" t="s">
        <v>521</v>
      </c>
      <c r="D321" s="20" t="s">
        <v>522</v>
      </c>
      <c r="E321" s="20">
        <v>1520</v>
      </c>
      <c r="F321" s="20">
        <v>1249.5</v>
      </c>
      <c r="G321" s="11">
        <f t="shared" si="9"/>
        <v>270.5</v>
      </c>
      <c r="H321" s="12">
        <f t="shared" si="10"/>
        <v>0.21648659463785513</v>
      </c>
      <c r="I321" s="20" t="s">
        <v>18</v>
      </c>
      <c r="J321" s="20"/>
    </row>
    <row r="322" spans="1:10" x14ac:dyDescent="0.25">
      <c r="A322" s="22">
        <v>46162</v>
      </c>
      <c r="B322" s="20" t="s">
        <v>55</v>
      </c>
      <c r="C322" s="21" t="s">
        <v>523</v>
      </c>
      <c r="D322" s="20" t="s">
        <v>522</v>
      </c>
      <c r="E322" s="20">
        <v>1320</v>
      </c>
      <c r="F322" s="20">
        <v>1249.5</v>
      </c>
      <c r="G322" s="11">
        <f t="shared" si="9"/>
        <v>70.5</v>
      </c>
      <c r="H322" s="12">
        <f t="shared" si="10"/>
        <v>5.6422569027611044E-2</v>
      </c>
      <c r="I322" s="20" t="s">
        <v>18</v>
      </c>
      <c r="J322" s="20"/>
    </row>
    <row r="323" spans="1:10" x14ac:dyDescent="0.25">
      <c r="A323" s="22">
        <v>46162</v>
      </c>
      <c r="B323" s="20" t="s">
        <v>55</v>
      </c>
      <c r="C323" s="21" t="s">
        <v>524</v>
      </c>
      <c r="D323" s="20" t="s">
        <v>522</v>
      </c>
      <c r="E323" s="20">
        <v>1320</v>
      </c>
      <c r="F323" s="20">
        <v>1249.5</v>
      </c>
      <c r="G323" s="11">
        <f t="shared" ref="G323:G386" si="11">E323-F323</f>
        <v>70.5</v>
      </c>
      <c r="H323" s="12">
        <f t="shared" si="10"/>
        <v>5.6422569027611044E-2</v>
      </c>
      <c r="I323" s="20" t="s">
        <v>18</v>
      </c>
      <c r="J323" s="20"/>
    </row>
    <row r="324" spans="1:10" x14ac:dyDescent="0.25">
      <c r="A324" s="22">
        <v>46162</v>
      </c>
      <c r="B324" s="20" t="s">
        <v>55</v>
      </c>
      <c r="C324" s="21" t="s">
        <v>525</v>
      </c>
      <c r="D324" s="20" t="s">
        <v>522</v>
      </c>
      <c r="E324" s="20">
        <v>1320</v>
      </c>
      <c r="F324" s="20">
        <v>1249.5</v>
      </c>
      <c r="G324" s="11">
        <f t="shared" si="11"/>
        <v>70.5</v>
      </c>
      <c r="H324" s="12">
        <f t="shared" si="10"/>
        <v>5.6422569027611044E-2</v>
      </c>
      <c r="I324" s="20" t="s">
        <v>18</v>
      </c>
      <c r="J324" s="20"/>
    </row>
    <row r="325" spans="1:10" x14ac:dyDescent="0.25">
      <c r="A325" s="22">
        <v>46162</v>
      </c>
      <c r="B325" s="20" t="s">
        <v>55</v>
      </c>
      <c r="C325" s="21" t="s">
        <v>526</v>
      </c>
      <c r="D325" s="20" t="s">
        <v>522</v>
      </c>
      <c r="E325" s="20">
        <v>1320</v>
      </c>
      <c r="F325" s="20">
        <v>1249.5</v>
      </c>
      <c r="G325" s="11">
        <f t="shared" si="11"/>
        <v>70.5</v>
      </c>
      <c r="H325" s="12">
        <f t="shared" si="10"/>
        <v>5.6422569027611044E-2</v>
      </c>
      <c r="I325" s="20" t="s">
        <v>18</v>
      </c>
      <c r="J325" s="20"/>
    </row>
    <row r="326" spans="1:10" x14ac:dyDescent="0.25">
      <c r="A326" s="22">
        <v>46162</v>
      </c>
      <c r="B326" s="20" t="s">
        <v>55</v>
      </c>
      <c r="C326" s="21" t="s">
        <v>527</v>
      </c>
      <c r="D326" s="20" t="s">
        <v>522</v>
      </c>
      <c r="E326" s="20">
        <v>1320</v>
      </c>
      <c r="F326" s="20">
        <v>1249.5</v>
      </c>
      <c r="G326" s="11">
        <f t="shared" si="11"/>
        <v>70.5</v>
      </c>
      <c r="H326" s="12">
        <f t="shared" si="10"/>
        <v>5.6422569027611044E-2</v>
      </c>
      <c r="I326" s="20" t="s">
        <v>18</v>
      </c>
      <c r="J326" s="20"/>
    </row>
    <row r="327" spans="1:10" x14ac:dyDescent="0.25">
      <c r="A327" s="22">
        <v>46162</v>
      </c>
      <c r="B327" s="20" t="s">
        <v>55</v>
      </c>
      <c r="C327" s="21" t="s">
        <v>528</v>
      </c>
      <c r="D327" s="20" t="s">
        <v>522</v>
      </c>
      <c r="E327" s="20">
        <v>1320</v>
      </c>
      <c r="F327" s="20">
        <v>1249.5</v>
      </c>
      <c r="G327" s="11">
        <f t="shared" si="11"/>
        <v>70.5</v>
      </c>
      <c r="H327" s="12">
        <f t="shared" si="10"/>
        <v>5.6422569027611044E-2</v>
      </c>
      <c r="I327" s="20" t="s">
        <v>18</v>
      </c>
      <c r="J327" s="20"/>
    </row>
    <row r="328" spans="1:10" x14ac:dyDescent="0.25">
      <c r="A328" s="22">
        <v>46162</v>
      </c>
      <c r="B328" s="20" t="s">
        <v>55</v>
      </c>
      <c r="C328" s="21" t="s">
        <v>529</v>
      </c>
      <c r="D328" s="20" t="s">
        <v>522</v>
      </c>
      <c r="E328" s="20">
        <v>1320</v>
      </c>
      <c r="F328" s="20">
        <v>1249.5</v>
      </c>
      <c r="G328" s="11">
        <f t="shared" si="11"/>
        <v>70.5</v>
      </c>
      <c r="H328" s="12">
        <f t="shared" si="10"/>
        <v>5.6422569027611044E-2</v>
      </c>
      <c r="I328" s="20" t="s">
        <v>18</v>
      </c>
      <c r="J328" s="20"/>
    </row>
    <row r="329" spans="1:10" x14ac:dyDescent="0.25">
      <c r="A329" s="22">
        <v>46162</v>
      </c>
      <c r="B329" s="20" t="s">
        <v>55</v>
      </c>
      <c r="C329" s="21" t="s">
        <v>530</v>
      </c>
      <c r="D329" s="20" t="s">
        <v>522</v>
      </c>
      <c r="E329" s="20">
        <v>1320</v>
      </c>
      <c r="F329" s="20">
        <v>1249.5</v>
      </c>
      <c r="G329" s="11">
        <f t="shared" si="11"/>
        <v>70.5</v>
      </c>
      <c r="H329" s="12">
        <f t="shared" si="10"/>
        <v>5.6422569027611044E-2</v>
      </c>
      <c r="I329" s="20" t="s">
        <v>18</v>
      </c>
      <c r="J329" s="20"/>
    </row>
    <row r="330" spans="1:10" x14ac:dyDescent="0.25">
      <c r="A330" s="22">
        <v>46162</v>
      </c>
      <c r="B330" s="20" t="s">
        <v>55</v>
      </c>
      <c r="C330" s="21" t="s">
        <v>531</v>
      </c>
      <c r="D330" s="20" t="s">
        <v>522</v>
      </c>
      <c r="E330" s="20">
        <v>1320</v>
      </c>
      <c r="F330" s="20">
        <v>1249.5</v>
      </c>
      <c r="G330" s="11">
        <f t="shared" si="11"/>
        <v>70.5</v>
      </c>
      <c r="H330" s="12">
        <f t="shared" si="10"/>
        <v>5.6422569027611044E-2</v>
      </c>
      <c r="I330" s="20" t="s">
        <v>18</v>
      </c>
      <c r="J330" s="20"/>
    </row>
    <row r="331" spans="1:10" x14ac:dyDescent="0.25">
      <c r="A331" s="22">
        <v>46162</v>
      </c>
      <c r="B331" s="20" t="s">
        <v>55</v>
      </c>
      <c r="C331" s="21" t="s">
        <v>532</v>
      </c>
      <c r="D331" s="20" t="s">
        <v>522</v>
      </c>
      <c r="E331" s="20">
        <v>1320</v>
      </c>
      <c r="F331" s="20">
        <v>1249.5</v>
      </c>
      <c r="G331" s="11">
        <f t="shared" si="11"/>
        <v>70.5</v>
      </c>
      <c r="H331" s="12">
        <f t="shared" si="10"/>
        <v>5.6422569027611044E-2</v>
      </c>
      <c r="I331" s="20" t="s">
        <v>18</v>
      </c>
      <c r="J331" s="20"/>
    </row>
    <row r="332" spans="1:10" x14ac:dyDescent="0.25">
      <c r="A332" s="22">
        <v>46162</v>
      </c>
      <c r="B332" s="20" t="s">
        <v>55</v>
      </c>
      <c r="C332" s="21" t="s">
        <v>537</v>
      </c>
      <c r="D332" s="20" t="s">
        <v>522</v>
      </c>
      <c r="E332" s="20">
        <v>1320</v>
      </c>
      <c r="F332" s="20">
        <v>1249.5</v>
      </c>
      <c r="G332" s="11">
        <f t="shared" si="11"/>
        <v>70.5</v>
      </c>
      <c r="H332" s="12">
        <f t="shared" si="10"/>
        <v>5.6422569027611044E-2</v>
      </c>
      <c r="I332" s="20" t="s">
        <v>18</v>
      </c>
      <c r="J332" s="20"/>
    </row>
    <row r="333" spans="1:10" x14ac:dyDescent="0.25">
      <c r="A333" s="22">
        <v>46162</v>
      </c>
      <c r="B333" s="20" t="s">
        <v>55</v>
      </c>
      <c r="C333" s="21" t="s">
        <v>538</v>
      </c>
      <c r="D333" s="20" t="s">
        <v>522</v>
      </c>
      <c r="E333" s="20">
        <v>1320</v>
      </c>
      <c r="F333" s="20">
        <v>1249.5</v>
      </c>
      <c r="G333" s="11">
        <f t="shared" si="11"/>
        <v>70.5</v>
      </c>
      <c r="H333" s="12">
        <f t="shared" si="10"/>
        <v>5.6422569027611044E-2</v>
      </c>
      <c r="I333" s="20" t="s">
        <v>18</v>
      </c>
      <c r="J333" s="20"/>
    </row>
    <row r="334" spans="1:10" x14ac:dyDescent="0.25">
      <c r="A334" s="22">
        <v>46162</v>
      </c>
      <c r="B334" s="20" t="s">
        <v>539</v>
      </c>
      <c r="C334" s="21" t="s">
        <v>540</v>
      </c>
      <c r="D334" s="20" t="s">
        <v>30</v>
      </c>
      <c r="E334" s="20">
        <v>1630</v>
      </c>
      <c r="F334" s="20">
        <v>1320.9</v>
      </c>
      <c r="G334" s="11">
        <f t="shared" si="11"/>
        <v>309.09999999999991</v>
      </c>
      <c r="H334" s="12">
        <f t="shared" si="10"/>
        <v>0.23400711636005744</v>
      </c>
      <c r="I334" s="20" t="s">
        <v>18</v>
      </c>
      <c r="J334" s="20"/>
    </row>
    <row r="335" spans="1:10" x14ac:dyDescent="0.25">
      <c r="A335" s="22">
        <v>46162</v>
      </c>
      <c r="B335" s="20" t="s">
        <v>539</v>
      </c>
      <c r="C335" s="21" t="s">
        <v>541</v>
      </c>
      <c r="D335" s="20" t="s">
        <v>30</v>
      </c>
      <c r="E335" s="20">
        <v>1630</v>
      </c>
      <c r="F335" s="20">
        <v>1320.9</v>
      </c>
      <c r="G335" s="11">
        <f t="shared" si="11"/>
        <v>309.09999999999991</v>
      </c>
      <c r="H335" s="12">
        <f t="shared" si="10"/>
        <v>0.23400711636005744</v>
      </c>
      <c r="I335" s="20" t="s">
        <v>18</v>
      </c>
      <c r="J335" s="20"/>
    </row>
    <row r="336" spans="1:10" x14ac:dyDescent="0.25">
      <c r="A336" s="22">
        <v>46162</v>
      </c>
      <c r="B336" s="20" t="s">
        <v>539</v>
      </c>
      <c r="C336" s="21" t="s">
        <v>542</v>
      </c>
      <c r="D336" s="20" t="s">
        <v>30</v>
      </c>
      <c r="E336" s="20">
        <v>1630</v>
      </c>
      <c r="F336" s="20">
        <v>1320.9</v>
      </c>
      <c r="G336" s="11">
        <f t="shared" si="11"/>
        <v>309.09999999999991</v>
      </c>
      <c r="H336" s="12">
        <f t="shared" si="10"/>
        <v>0.23400711636005744</v>
      </c>
      <c r="I336" s="20" t="s">
        <v>18</v>
      </c>
      <c r="J336" s="20"/>
    </row>
    <row r="337" spans="1:10" x14ac:dyDescent="0.25">
      <c r="A337" s="22">
        <v>46162</v>
      </c>
      <c r="B337" s="20" t="s">
        <v>539</v>
      </c>
      <c r="C337" s="21" t="s">
        <v>543</v>
      </c>
      <c r="D337" s="20" t="s">
        <v>30</v>
      </c>
      <c r="E337" s="20">
        <v>1630</v>
      </c>
      <c r="F337" s="20">
        <v>1320.9</v>
      </c>
      <c r="G337" s="11">
        <f t="shared" si="11"/>
        <v>309.09999999999991</v>
      </c>
      <c r="H337" s="12">
        <f t="shared" si="10"/>
        <v>0.23400711636005744</v>
      </c>
      <c r="I337" s="20" t="s">
        <v>18</v>
      </c>
      <c r="J337" s="20"/>
    </row>
    <row r="338" spans="1:10" x14ac:dyDescent="0.25">
      <c r="A338" s="22">
        <v>46162</v>
      </c>
      <c r="B338" s="20" t="s">
        <v>539</v>
      </c>
      <c r="C338" s="21" t="s">
        <v>544</v>
      </c>
      <c r="D338" s="20" t="s">
        <v>30</v>
      </c>
      <c r="E338" s="20">
        <v>1630</v>
      </c>
      <c r="F338" s="20">
        <v>1320.9</v>
      </c>
      <c r="G338" s="11">
        <f t="shared" si="11"/>
        <v>309.09999999999991</v>
      </c>
      <c r="H338" s="12">
        <f t="shared" si="10"/>
        <v>0.23400711636005744</v>
      </c>
      <c r="I338" s="20" t="s">
        <v>18</v>
      </c>
      <c r="J338" s="20"/>
    </row>
    <row r="339" spans="1:10" x14ac:dyDescent="0.25">
      <c r="A339" s="22">
        <v>46162</v>
      </c>
      <c r="B339" s="20" t="s">
        <v>539</v>
      </c>
      <c r="C339" s="21" t="s">
        <v>545</v>
      </c>
      <c r="D339" s="20" t="s">
        <v>30</v>
      </c>
      <c r="E339" s="20">
        <v>1630</v>
      </c>
      <c r="F339" s="20">
        <v>1320.9</v>
      </c>
      <c r="G339" s="11">
        <f t="shared" si="11"/>
        <v>309.09999999999991</v>
      </c>
      <c r="H339" s="12">
        <f t="shared" si="10"/>
        <v>0.23400711636005744</v>
      </c>
      <c r="I339" s="20" t="s">
        <v>18</v>
      </c>
      <c r="J339" s="20"/>
    </row>
    <row r="340" spans="1:10" x14ac:dyDescent="0.25">
      <c r="A340" s="22">
        <v>46162</v>
      </c>
      <c r="B340" s="20" t="s">
        <v>546</v>
      </c>
      <c r="C340" s="21">
        <v>45496885861</v>
      </c>
      <c r="D340" s="20" t="s">
        <v>30</v>
      </c>
      <c r="E340" s="20">
        <v>1</v>
      </c>
      <c r="F340" s="20">
        <v>267.75</v>
      </c>
      <c r="G340" s="11">
        <f t="shared" si="11"/>
        <v>-266.75</v>
      </c>
      <c r="H340" s="12">
        <f t="shared" si="10"/>
        <v>-0.99626517273576098</v>
      </c>
      <c r="I340" s="20" t="s">
        <v>18</v>
      </c>
      <c r="J340" s="20" t="s">
        <v>68</v>
      </c>
    </row>
    <row r="341" spans="1:10" x14ac:dyDescent="0.25">
      <c r="A341" s="22">
        <v>46162</v>
      </c>
      <c r="B341" s="20" t="s">
        <v>547</v>
      </c>
      <c r="C341" s="21">
        <v>45496884727</v>
      </c>
      <c r="D341" s="20" t="s">
        <v>548</v>
      </c>
      <c r="E341" s="20">
        <v>1</v>
      </c>
      <c r="F341" s="20">
        <v>178.5</v>
      </c>
      <c r="G341" s="11">
        <f t="shared" si="11"/>
        <v>-177.5</v>
      </c>
      <c r="H341" s="12">
        <f t="shared" si="10"/>
        <v>-0.99439775910364148</v>
      </c>
      <c r="I341" s="20" t="s">
        <v>18</v>
      </c>
      <c r="J341" s="20" t="s">
        <v>68</v>
      </c>
    </row>
    <row r="342" spans="1:10" x14ac:dyDescent="0.25">
      <c r="A342" s="22">
        <v>46162</v>
      </c>
      <c r="B342" s="20" t="s">
        <v>547</v>
      </c>
      <c r="C342" s="21">
        <v>45496885892</v>
      </c>
      <c r="D342" s="20" t="s">
        <v>549</v>
      </c>
      <c r="E342" s="20">
        <v>1</v>
      </c>
      <c r="F342" s="20">
        <v>178.5</v>
      </c>
      <c r="G342" s="11">
        <f t="shared" si="11"/>
        <v>-177.5</v>
      </c>
      <c r="H342" s="12">
        <f t="shared" si="10"/>
        <v>-0.99439775910364148</v>
      </c>
      <c r="I342" s="20" t="s">
        <v>18</v>
      </c>
      <c r="J342" s="20" t="s">
        <v>68</v>
      </c>
    </row>
    <row r="343" spans="1:10" x14ac:dyDescent="0.25">
      <c r="A343" s="22">
        <v>46162</v>
      </c>
      <c r="B343" s="20" t="s">
        <v>320</v>
      </c>
      <c r="C343" s="21" t="s">
        <v>550</v>
      </c>
      <c r="D343" s="20"/>
      <c r="E343" s="20">
        <v>3075</v>
      </c>
      <c r="F343" s="20">
        <v>2112.1999999999998</v>
      </c>
      <c r="G343" s="11">
        <f t="shared" si="11"/>
        <v>962.80000000000018</v>
      </c>
      <c r="H343" s="12">
        <f t="shared" si="10"/>
        <v>0.45582804658649761</v>
      </c>
      <c r="I343" s="20" t="s">
        <v>18</v>
      </c>
      <c r="J343" s="20"/>
    </row>
    <row r="344" spans="1:10" x14ac:dyDescent="0.25">
      <c r="A344" s="22">
        <v>46162</v>
      </c>
      <c r="B344" s="20" t="s">
        <v>320</v>
      </c>
      <c r="C344" s="21" t="s">
        <v>551</v>
      </c>
      <c r="D344" s="20"/>
      <c r="E344" s="20">
        <v>3075</v>
      </c>
      <c r="F344" s="20">
        <v>2112.1999999999998</v>
      </c>
      <c r="G344" s="11">
        <f t="shared" si="11"/>
        <v>962.80000000000018</v>
      </c>
      <c r="H344" s="12">
        <f t="shared" si="10"/>
        <v>0.45582804658649761</v>
      </c>
      <c r="I344" s="20" t="s">
        <v>18</v>
      </c>
      <c r="J344" s="20"/>
    </row>
    <row r="345" spans="1:10" x14ac:dyDescent="0.25">
      <c r="A345" s="22">
        <v>46162</v>
      </c>
      <c r="B345" s="20" t="s">
        <v>320</v>
      </c>
      <c r="C345" s="21" t="s">
        <v>552</v>
      </c>
      <c r="D345" s="20"/>
      <c r="E345" s="20">
        <v>3075</v>
      </c>
      <c r="F345" s="20">
        <v>2112.1999999999998</v>
      </c>
      <c r="G345" s="11">
        <f t="shared" si="11"/>
        <v>962.80000000000018</v>
      </c>
      <c r="H345" s="12">
        <f t="shared" si="10"/>
        <v>0.45582804658649761</v>
      </c>
      <c r="I345" s="20" t="s">
        <v>18</v>
      </c>
      <c r="J345" s="20"/>
    </row>
    <row r="346" spans="1:10" x14ac:dyDescent="0.25">
      <c r="A346" s="22">
        <v>46162</v>
      </c>
      <c r="B346" s="20" t="s">
        <v>320</v>
      </c>
      <c r="C346" s="21" t="s">
        <v>553</v>
      </c>
      <c r="D346" s="20" t="s">
        <v>30</v>
      </c>
      <c r="E346" s="20">
        <v>3000</v>
      </c>
      <c r="F346" s="20">
        <v>2534.6999999999998</v>
      </c>
      <c r="G346" s="11">
        <f t="shared" si="11"/>
        <v>465.30000000000018</v>
      </c>
      <c r="H346" s="12">
        <f t="shared" ref="H346:H405" si="12">(E346-F346)/F346</f>
        <v>0.18357202035743883</v>
      </c>
      <c r="I346" s="20" t="s">
        <v>18</v>
      </c>
      <c r="J346" s="20"/>
    </row>
    <row r="347" spans="1:10" x14ac:dyDescent="0.25">
      <c r="A347" s="22">
        <v>46163</v>
      </c>
      <c r="B347" s="20" t="s">
        <v>539</v>
      </c>
      <c r="C347" s="21" t="s">
        <v>681</v>
      </c>
      <c r="D347" s="20" t="s">
        <v>30</v>
      </c>
      <c r="E347" s="20">
        <v>1620</v>
      </c>
      <c r="F347" s="20">
        <v>1320.9</v>
      </c>
      <c r="G347" s="11">
        <f t="shared" si="11"/>
        <v>299.09999999999991</v>
      </c>
      <c r="H347" s="12">
        <f t="shared" si="12"/>
        <v>0.22643652055416752</v>
      </c>
      <c r="I347" s="20" t="s">
        <v>18</v>
      </c>
      <c r="J347" s="20"/>
    </row>
    <row r="348" spans="1:10" x14ac:dyDescent="0.25">
      <c r="A348" s="22">
        <v>46163</v>
      </c>
      <c r="B348" s="20" t="s">
        <v>539</v>
      </c>
      <c r="C348" s="21" t="s">
        <v>682</v>
      </c>
      <c r="D348" s="20" t="s">
        <v>30</v>
      </c>
      <c r="E348" s="20">
        <v>1620</v>
      </c>
      <c r="F348" s="20">
        <v>1320.9</v>
      </c>
      <c r="G348" s="11">
        <f t="shared" si="11"/>
        <v>299.09999999999991</v>
      </c>
      <c r="H348" s="12">
        <f t="shared" si="12"/>
        <v>0.22643652055416752</v>
      </c>
      <c r="I348" s="20" t="s">
        <v>18</v>
      </c>
      <c r="J348" s="20"/>
    </row>
    <row r="349" spans="1:10" x14ac:dyDescent="0.25">
      <c r="A349" s="22">
        <v>46163</v>
      </c>
      <c r="B349" s="20" t="s">
        <v>539</v>
      </c>
      <c r="C349" s="21" t="s">
        <v>683</v>
      </c>
      <c r="D349" s="20" t="s">
        <v>30</v>
      </c>
      <c r="E349" s="20">
        <v>1620</v>
      </c>
      <c r="F349" s="20">
        <v>1320.9</v>
      </c>
      <c r="G349" s="11">
        <f t="shared" si="11"/>
        <v>299.09999999999991</v>
      </c>
      <c r="H349" s="12">
        <f t="shared" si="12"/>
        <v>0.22643652055416752</v>
      </c>
      <c r="I349" s="20" t="s">
        <v>18</v>
      </c>
      <c r="J349" s="20"/>
    </row>
    <row r="350" spans="1:10" x14ac:dyDescent="0.25">
      <c r="A350" s="22">
        <v>46163</v>
      </c>
      <c r="B350" s="20" t="s">
        <v>539</v>
      </c>
      <c r="C350" s="21" t="s">
        <v>684</v>
      </c>
      <c r="D350" s="20" t="s">
        <v>30</v>
      </c>
      <c r="E350" s="20">
        <v>1620</v>
      </c>
      <c r="F350" s="20">
        <v>1320.9</v>
      </c>
      <c r="G350" s="11">
        <f t="shared" si="11"/>
        <v>299.09999999999991</v>
      </c>
      <c r="H350" s="12">
        <f t="shared" si="12"/>
        <v>0.22643652055416752</v>
      </c>
      <c r="I350" s="20" t="s">
        <v>18</v>
      </c>
      <c r="J350" s="20"/>
    </row>
    <row r="351" spans="1:10" x14ac:dyDescent="0.25">
      <c r="A351" s="22">
        <v>46163</v>
      </c>
      <c r="B351" s="20" t="s">
        <v>539</v>
      </c>
      <c r="C351" s="21" t="s">
        <v>685</v>
      </c>
      <c r="D351" s="20" t="s">
        <v>30</v>
      </c>
      <c r="E351" s="20">
        <v>1620</v>
      </c>
      <c r="F351" s="20">
        <v>1320.9</v>
      </c>
      <c r="G351" s="11">
        <f t="shared" si="11"/>
        <v>299.09999999999991</v>
      </c>
      <c r="H351" s="12">
        <f t="shared" si="12"/>
        <v>0.22643652055416752</v>
      </c>
      <c r="I351" s="20" t="s">
        <v>18</v>
      </c>
      <c r="J351" s="20"/>
    </row>
    <row r="352" spans="1:10" x14ac:dyDescent="0.25">
      <c r="A352" s="22">
        <v>46163</v>
      </c>
      <c r="B352" s="20" t="s">
        <v>539</v>
      </c>
      <c r="C352" s="21" t="s">
        <v>686</v>
      </c>
      <c r="D352" s="20" t="s">
        <v>30</v>
      </c>
      <c r="E352" s="20">
        <v>1620</v>
      </c>
      <c r="F352" s="20">
        <v>1320.9</v>
      </c>
      <c r="G352" s="11">
        <f t="shared" si="11"/>
        <v>299.09999999999991</v>
      </c>
      <c r="H352" s="12">
        <f t="shared" si="12"/>
        <v>0.22643652055416752</v>
      </c>
      <c r="I352" s="20" t="s">
        <v>18</v>
      </c>
      <c r="J352" s="20"/>
    </row>
    <row r="353" spans="1:10" x14ac:dyDescent="0.25">
      <c r="A353" s="13">
        <v>46164</v>
      </c>
      <c r="B353" s="14" t="s">
        <v>71</v>
      </c>
      <c r="C353" s="17">
        <v>352001995904556</v>
      </c>
      <c r="D353" s="14" t="s">
        <v>710</v>
      </c>
      <c r="E353" s="14">
        <v>3670</v>
      </c>
      <c r="F353" s="14">
        <v>3748.5</v>
      </c>
      <c r="G353" s="14">
        <f t="shared" si="11"/>
        <v>-78.5</v>
      </c>
      <c r="H353" s="16">
        <f t="shared" si="12"/>
        <v>-2.094171001734027E-2</v>
      </c>
      <c r="I353" s="14" t="s">
        <v>18</v>
      </c>
      <c r="J353" s="20" t="s">
        <v>26</v>
      </c>
    </row>
    <row r="354" spans="1:10" x14ac:dyDescent="0.25">
      <c r="A354" s="13">
        <v>46164</v>
      </c>
      <c r="B354" s="14" t="s">
        <v>71</v>
      </c>
      <c r="C354" s="17">
        <v>354289635237382</v>
      </c>
      <c r="D354" s="14" t="s">
        <v>711</v>
      </c>
      <c r="E354" s="14">
        <v>3880</v>
      </c>
      <c r="F354" s="14">
        <v>3927</v>
      </c>
      <c r="G354" s="14">
        <f t="shared" si="11"/>
        <v>-47</v>
      </c>
      <c r="H354" s="16">
        <f t="shared" si="12"/>
        <v>-1.1968423733129615E-2</v>
      </c>
      <c r="I354" s="14" t="s">
        <v>18</v>
      </c>
      <c r="J354" s="20" t="s">
        <v>26</v>
      </c>
    </row>
    <row r="355" spans="1:10" x14ac:dyDescent="0.25">
      <c r="A355" s="13">
        <v>46164</v>
      </c>
      <c r="B355" s="14" t="s">
        <v>71</v>
      </c>
      <c r="C355" s="17">
        <v>354289635992069</v>
      </c>
      <c r="D355" s="14" t="s">
        <v>93</v>
      </c>
      <c r="E355" s="14">
        <v>3670</v>
      </c>
      <c r="F355" s="14">
        <v>3748.5</v>
      </c>
      <c r="G355" s="14">
        <f t="shared" si="11"/>
        <v>-78.5</v>
      </c>
      <c r="H355" s="16">
        <f t="shared" si="12"/>
        <v>-2.094171001734027E-2</v>
      </c>
      <c r="I355" s="14" t="s">
        <v>18</v>
      </c>
      <c r="J355" s="20" t="s">
        <v>26</v>
      </c>
    </row>
    <row r="356" spans="1:10" x14ac:dyDescent="0.25">
      <c r="A356" s="13">
        <v>46164</v>
      </c>
      <c r="B356" s="14" t="s">
        <v>71</v>
      </c>
      <c r="C356" s="17">
        <v>354289636526114</v>
      </c>
      <c r="D356" s="14" t="s">
        <v>711</v>
      </c>
      <c r="E356" s="14">
        <v>3880</v>
      </c>
      <c r="F356" s="14">
        <v>3927</v>
      </c>
      <c r="G356" s="14">
        <f t="shared" si="11"/>
        <v>-47</v>
      </c>
      <c r="H356" s="16">
        <f t="shared" si="12"/>
        <v>-1.1968423733129615E-2</v>
      </c>
      <c r="I356" s="14" t="s">
        <v>18</v>
      </c>
      <c r="J356" s="20" t="s">
        <v>26</v>
      </c>
    </row>
    <row r="357" spans="1:10" x14ac:dyDescent="0.25">
      <c r="A357" s="13">
        <v>46164</v>
      </c>
      <c r="B357" s="14" t="s">
        <v>71</v>
      </c>
      <c r="C357" s="17">
        <v>354289637506040</v>
      </c>
      <c r="D357" s="14" t="s">
        <v>711</v>
      </c>
      <c r="E357" s="14">
        <v>3900</v>
      </c>
      <c r="F357" s="14">
        <v>3927</v>
      </c>
      <c r="G357" s="14">
        <f t="shared" si="11"/>
        <v>-27</v>
      </c>
      <c r="H357" s="16">
        <f t="shared" si="12"/>
        <v>-6.8754774637127579E-3</v>
      </c>
      <c r="I357" s="14" t="s">
        <v>18</v>
      </c>
      <c r="J357" s="20" t="s">
        <v>26</v>
      </c>
    </row>
    <row r="358" spans="1:10" x14ac:dyDescent="0.25">
      <c r="A358" s="13">
        <v>46164</v>
      </c>
      <c r="B358" s="14" t="s">
        <v>71</v>
      </c>
      <c r="C358" s="17">
        <v>354289637775330</v>
      </c>
      <c r="D358" s="14" t="s">
        <v>712</v>
      </c>
      <c r="E358" s="14">
        <v>3880</v>
      </c>
      <c r="F358" s="14">
        <v>3927</v>
      </c>
      <c r="G358" s="14">
        <f t="shared" si="11"/>
        <v>-47</v>
      </c>
      <c r="H358" s="16">
        <f t="shared" si="12"/>
        <v>-1.1968423733129615E-2</v>
      </c>
      <c r="I358" s="14" t="s">
        <v>18</v>
      </c>
      <c r="J358" s="20" t="s">
        <v>26</v>
      </c>
    </row>
    <row r="359" spans="1:10" x14ac:dyDescent="0.25">
      <c r="A359" s="13">
        <v>46164</v>
      </c>
      <c r="B359" s="14" t="s">
        <v>71</v>
      </c>
      <c r="C359" s="17">
        <v>354289637785289</v>
      </c>
      <c r="D359" s="14" t="s">
        <v>711</v>
      </c>
      <c r="E359" s="14">
        <v>3900</v>
      </c>
      <c r="F359" s="14">
        <v>3927</v>
      </c>
      <c r="G359" s="14">
        <f t="shared" si="11"/>
        <v>-27</v>
      </c>
      <c r="H359" s="16">
        <f t="shared" si="12"/>
        <v>-6.8754774637127579E-3</v>
      </c>
      <c r="I359" s="14" t="s">
        <v>18</v>
      </c>
      <c r="J359" s="20" t="s">
        <v>26</v>
      </c>
    </row>
    <row r="360" spans="1:10" x14ac:dyDescent="0.25">
      <c r="A360" s="13">
        <v>46164</v>
      </c>
      <c r="B360" s="14" t="s">
        <v>71</v>
      </c>
      <c r="C360" s="17">
        <v>354289637791121</v>
      </c>
      <c r="D360" s="14" t="s">
        <v>711</v>
      </c>
      <c r="E360" s="14">
        <v>3900</v>
      </c>
      <c r="F360" s="14">
        <v>3927</v>
      </c>
      <c r="G360" s="14">
        <f t="shared" si="11"/>
        <v>-27</v>
      </c>
      <c r="H360" s="16">
        <f t="shared" si="12"/>
        <v>-6.8754774637127579E-3</v>
      </c>
      <c r="I360" s="14" t="s">
        <v>18</v>
      </c>
      <c r="J360" s="20" t="s">
        <v>26</v>
      </c>
    </row>
    <row r="361" spans="1:10" x14ac:dyDescent="0.25">
      <c r="A361" s="13">
        <v>46164</v>
      </c>
      <c r="B361" s="14" t="s">
        <v>71</v>
      </c>
      <c r="C361" s="17">
        <v>355832514041596</v>
      </c>
      <c r="D361" s="14" t="s">
        <v>710</v>
      </c>
      <c r="E361" s="14">
        <v>3670</v>
      </c>
      <c r="F361" s="14">
        <v>3748.5</v>
      </c>
      <c r="G361" s="14">
        <f t="shared" si="11"/>
        <v>-78.5</v>
      </c>
      <c r="H361" s="16">
        <f t="shared" si="12"/>
        <v>-2.094171001734027E-2</v>
      </c>
      <c r="I361" s="14" t="s">
        <v>18</v>
      </c>
      <c r="J361" s="20" t="s">
        <v>26</v>
      </c>
    </row>
    <row r="362" spans="1:10" x14ac:dyDescent="0.25">
      <c r="A362" s="13">
        <v>46164</v>
      </c>
      <c r="B362" s="14" t="s">
        <v>71</v>
      </c>
      <c r="C362" s="17">
        <v>355832514630489</v>
      </c>
      <c r="D362" s="14" t="s">
        <v>710</v>
      </c>
      <c r="E362" s="14">
        <v>3670</v>
      </c>
      <c r="F362" s="14">
        <v>3748.5</v>
      </c>
      <c r="G362" s="14">
        <f t="shared" si="11"/>
        <v>-78.5</v>
      </c>
      <c r="H362" s="16">
        <f t="shared" si="12"/>
        <v>-2.094171001734027E-2</v>
      </c>
      <c r="I362" s="14" t="s">
        <v>18</v>
      </c>
      <c r="J362" s="20" t="s">
        <v>26</v>
      </c>
    </row>
    <row r="363" spans="1:10" x14ac:dyDescent="0.25">
      <c r="A363" s="13">
        <v>46164</v>
      </c>
      <c r="B363" s="14" t="s">
        <v>71</v>
      </c>
      <c r="C363" s="17">
        <v>355832515816186</v>
      </c>
      <c r="D363" s="14" t="s">
        <v>92</v>
      </c>
      <c r="E363" s="14">
        <v>3670</v>
      </c>
      <c r="F363" s="14">
        <v>3748.5</v>
      </c>
      <c r="G363" s="14">
        <f t="shared" si="11"/>
        <v>-78.5</v>
      </c>
      <c r="H363" s="16">
        <f t="shared" si="12"/>
        <v>-2.094171001734027E-2</v>
      </c>
      <c r="I363" s="14" t="s">
        <v>18</v>
      </c>
      <c r="J363" s="20" t="s">
        <v>26</v>
      </c>
    </row>
    <row r="364" spans="1:10" x14ac:dyDescent="0.25">
      <c r="A364" s="13">
        <v>46164</v>
      </c>
      <c r="B364" s="14" t="s">
        <v>71</v>
      </c>
      <c r="C364" s="17">
        <v>355981558956878</v>
      </c>
      <c r="D364" s="14" t="s">
        <v>713</v>
      </c>
      <c r="E364" s="14">
        <v>3870</v>
      </c>
      <c r="F364" s="14">
        <v>3927</v>
      </c>
      <c r="G364" s="14">
        <f t="shared" si="11"/>
        <v>-57</v>
      </c>
      <c r="H364" s="16">
        <f t="shared" si="12"/>
        <v>-1.4514896867838044E-2</v>
      </c>
      <c r="I364" s="14" t="s">
        <v>18</v>
      </c>
      <c r="J364" s="20" t="s">
        <v>26</v>
      </c>
    </row>
    <row r="365" spans="1:10" x14ac:dyDescent="0.25">
      <c r="A365" s="13">
        <v>46164</v>
      </c>
      <c r="B365" s="14" t="s">
        <v>32</v>
      </c>
      <c r="C365" s="17">
        <v>350230970982855</v>
      </c>
      <c r="D365" s="14" t="s">
        <v>710</v>
      </c>
      <c r="E365" s="14">
        <v>4080</v>
      </c>
      <c r="F365" s="14">
        <v>4105.5</v>
      </c>
      <c r="G365" s="14">
        <f t="shared" si="11"/>
        <v>-25.5</v>
      </c>
      <c r="H365" s="16">
        <f t="shared" si="12"/>
        <v>-6.2111801242236021E-3</v>
      </c>
      <c r="I365" s="14" t="s">
        <v>18</v>
      </c>
      <c r="J365" s="20" t="s">
        <v>26</v>
      </c>
    </row>
    <row r="366" spans="1:10" x14ac:dyDescent="0.25">
      <c r="A366" s="13">
        <v>46164</v>
      </c>
      <c r="B366" s="14" t="s">
        <v>32</v>
      </c>
      <c r="C366" s="17">
        <v>351205740193198</v>
      </c>
      <c r="D366" s="14" t="s">
        <v>91</v>
      </c>
      <c r="E366" s="14">
        <v>4250</v>
      </c>
      <c r="F366" s="14">
        <v>4284</v>
      </c>
      <c r="G366" s="14">
        <f t="shared" si="11"/>
        <v>-34</v>
      </c>
      <c r="H366" s="16">
        <f t="shared" si="12"/>
        <v>-7.9365079365079361E-3</v>
      </c>
      <c r="I366" s="14" t="s">
        <v>18</v>
      </c>
      <c r="J366" s="20" t="s">
        <v>26</v>
      </c>
    </row>
    <row r="367" spans="1:10" x14ac:dyDescent="0.25">
      <c r="A367" s="13">
        <v>46164</v>
      </c>
      <c r="B367" s="14" t="s">
        <v>32</v>
      </c>
      <c r="C367" s="17">
        <v>351205740357207</v>
      </c>
      <c r="D367" s="14" t="s">
        <v>91</v>
      </c>
      <c r="E367" s="14">
        <v>4250</v>
      </c>
      <c r="F367" s="14">
        <v>4284</v>
      </c>
      <c r="G367" s="14">
        <f t="shared" si="11"/>
        <v>-34</v>
      </c>
      <c r="H367" s="16">
        <f t="shared" si="12"/>
        <v>-7.9365079365079361E-3</v>
      </c>
      <c r="I367" s="14" t="s">
        <v>18</v>
      </c>
      <c r="J367" s="20" t="s">
        <v>26</v>
      </c>
    </row>
    <row r="368" spans="1:10" x14ac:dyDescent="0.25">
      <c r="A368" s="13">
        <v>46164</v>
      </c>
      <c r="B368" s="14" t="s">
        <v>32</v>
      </c>
      <c r="C368" s="17">
        <v>351668140216671</v>
      </c>
      <c r="D368" s="14" t="s">
        <v>711</v>
      </c>
      <c r="E368" s="14">
        <v>4200</v>
      </c>
      <c r="F368" s="14">
        <v>4284</v>
      </c>
      <c r="G368" s="14">
        <f t="shared" si="11"/>
        <v>-84</v>
      </c>
      <c r="H368" s="16">
        <f t="shared" si="12"/>
        <v>-1.9607843137254902E-2</v>
      </c>
      <c r="I368" s="14" t="s">
        <v>18</v>
      </c>
      <c r="J368" s="20" t="s">
        <v>26</v>
      </c>
    </row>
    <row r="369" spans="1:10" x14ac:dyDescent="0.25">
      <c r="A369" s="13">
        <v>46164</v>
      </c>
      <c r="B369" s="14" t="s">
        <v>32</v>
      </c>
      <c r="C369" s="17">
        <v>351668140330795</v>
      </c>
      <c r="D369" s="14" t="s">
        <v>711</v>
      </c>
      <c r="E369" s="14">
        <v>4200</v>
      </c>
      <c r="F369" s="14">
        <v>4284</v>
      </c>
      <c r="G369" s="14">
        <f t="shared" si="11"/>
        <v>-84</v>
      </c>
      <c r="H369" s="16">
        <f t="shared" si="12"/>
        <v>-1.9607843137254902E-2</v>
      </c>
      <c r="I369" s="14" t="s">
        <v>18</v>
      </c>
      <c r="J369" s="20" t="s">
        <v>26</v>
      </c>
    </row>
    <row r="370" spans="1:10" x14ac:dyDescent="0.25">
      <c r="A370" s="13">
        <v>46164</v>
      </c>
      <c r="B370" s="14" t="s">
        <v>32</v>
      </c>
      <c r="C370" s="17">
        <v>355101476672677</v>
      </c>
      <c r="D370" s="14" t="s">
        <v>710</v>
      </c>
      <c r="E370" s="14">
        <v>4080</v>
      </c>
      <c r="F370" s="14">
        <v>4105.5</v>
      </c>
      <c r="G370" s="14">
        <f t="shared" si="11"/>
        <v>-25.5</v>
      </c>
      <c r="H370" s="16">
        <f t="shared" si="12"/>
        <v>-6.2111801242236021E-3</v>
      </c>
      <c r="I370" s="14" t="s">
        <v>18</v>
      </c>
      <c r="J370" s="20" t="s">
        <v>26</v>
      </c>
    </row>
    <row r="371" spans="1:10" x14ac:dyDescent="0.25">
      <c r="A371" s="13">
        <v>46164</v>
      </c>
      <c r="B371" s="14" t="s">
        <v>32</v>
      </c>
      <c r="C371" s="17">
        <v>358902517951922</v>
      </c>
      <c r="D371" s="14" t="s">
        <v>714</v>
      </c>
      <c r="E371" s="14">
        <v>4080</v>
      </c>
      <c r="F371" s="14">
        <v>4105.5</v>
      </c>
      <c r="G371" s="14">
        <f t="shared" si="11"/>
        <v>-25.5</v>
      </c>
      <c r="H371" s="16">
        <f t="shared" si="12"/>
        <v>-6.2111801242236021E-3</v>
      </c>
      <c r="I371" s="14" t="s">
        <v>18</v>
      </c>
      <c r="J371" s="20" t="s">
        <v>26</v>
      </c>
    </row>
    <row r="372" spans="1:10" x14ac:dyDescent="0.25">
      <c r="A372" s="22">
        <v>46164</v>
      </c>
      <c r="B372" s="20" t="s">
        <v>320</v>
      </c>
      <c r="C372" s="21" t="s">
        <v>715</v>
      </c>
      <c r="D372" s="20" t="s">
        <v>30</v>
      </c>
      <c r="E372" s="20">
        <v>3075</v>
      </c>
      <c r="F372" s="20">
        <v>2534.7199999999998</v>
      </c>
      <c r="G372" s="11">
        <f t="shared" si="11"/>
        <v>540.2800000000002</v>
      </c>
      <c r="H372" s="12">
        <f t="shared" si="12"/>
        <v>0.21315174851660154</v>
      </c>
      <c r="I372" s="20" t="s">
        <v>18</v>
      </c>
      <c r="J372" s="20"/>
    </row>
    <row r="373" spans="1:10" x14ac:dyDescent="0.25">
      <c r="A373" s="22">
        <v>46165</v>
      </c>
      <c r="B373" s="20" t="s">
        <v>539</v>
      </c>
      <c r="C373" s="21" t="s">
        <v>717</v>
      </c>
      <c r="D373" s="20" t="s">
        <v>30</v>
      </c>
      <c r="E373" s="20">
        <v>1640</v>
      </c>
      <c r="F373" s="20">
        <v>1320.9</v>
      </c>
      <c r="G373" s="11">
        <f t="shared" si="11"/>
        <v>319.09999999999991</v>
      </c>
      <c r="H373" s="12">
        <f t="shared" si="12"/>
        <v>0.24157771216594737</v>
      </c>
      <c r="I373" s="20" t="s">
        <v>18</v>
      </c>
      <c r="J373" s="20"/>
    </row>
    <row r="374" spans="1:10" x14ac:dyDescent="0.25">
      <c r="A374" s="22">
        <v>46165</v>
      </c>
      <c r="B374" s="20" t="s">
        <v>539</v>
      </c>
      <c r="C374" s="21" t="s">
        <v>718</v>
      </c>
      <c r="D374" s="20" t="s">
        <v>30</v>
      </c>
      <c r="E374" s="20">
        <v>1640</v>
      </c>
      <c r="F374" s="20">
        <v>1320.9</v>
      </c>
      <c r="G374" s="11">
        <f t="shared" si="11"/>
        <v>319.09999999999991</v>
      </c>
      <c r="H374" s="12">
        <f t="shared" si="12"/>
        <v>0.24157771216594737</v>
      </c>
      <c r="I374" s="20" t="s">
        <v>18</v>
      </c>
      <c r="J374" s="20"/>
    </row>
    <row r="375" spans="1:10" x14ac:dyDescent="0.25">
      <c r="A375" s="22">
        <v>46165</v>
      </c>
      <c r="B375" s="20" t="s">
        <v>539</v>
      </c>
      <c r="C375" s="21" t="s">
        <v>719</v>
      </c>
      <c r="D375" s="20" t="s">
        <v>30</v>
      </c>
      <c r="E375" s="20">
        <v>1640</v>
      </c>
      <c r="F375" s="20">
        <v>1320.9</v>
      </c>
      <c r="G375" s="11">
        <f t="shared" si="11"/>
        <v>319.09999999999991</v>
      </c>
      <c r="H375" s="12">
        <f t="shared" si="12"/>
        <v>0.24157771216594737</v>
      </c>
      <c r="I375" s="20" t="s">
        <v>18</v>
      </c>
      <c r="J375" s="20"/>
    </row>
    <row r="376" spans="1:10" x14ac:dyDescent="0.25">
      <c r="A376" s="22">
        <v>46165</v>
      </c>
      <c r="B376" s="20" t="s">
        <v>539</v>
      </c>
      <c r="C376" s="21" t="s">
        <v>720</v>
      </c>
      <c r="D376" s="20" t="s">
        <v>30</v>
      </c>
      <c r="E376" s="20">
        <v>1640</v>
      </c>
      <c r="F376" s="20">
        <v>1320.9</v>
      </c>
      <c r="G376" s="11">
        <f t="shared" si="11"/>
        <v>319.09999999999991</v>
      </c>
      <c r="H376" s="12">
        <f t="shared" si="12"/>
        <v>0.24157771216594737</v>
      </c>
      <c r="I376" s="20" t="s">
        <v>18</v>
      </c>
      <c r="J376" s="20"/>
    </row>
    <row r="377" spans="1:10" x14ac:dyDescent="0.25">
      <c r="A377" s="22">
        <v>46165</v>
      </c>
      <c r="B377" s="20" t="s">
        <v>539</v>
      </c>
      <c r="C377" s="21" t="s">
        <v>721</v>
      </c>
      <c r="D377" s="20" t="s">
        <v>30</v>
      </c>
      <c r="E377" s="20">
        <v>1640</v>
      </c>
      <c r="F377" s="20">
        <v>1320.9</v>
      </c>
      <c r="G377" s="11">
        <f t="shared" si="11"/>
        <v>319.09999999999991</v>
      </c>
      <c r="H377" s="12">
        <f t="shared" si="12"/>
        <v>0.24157771216594737</v>
      </c>
      <c r="I377" s="20" t="s">
        <v>18</v>
      </c>
      <c r="J377" s="20"/>
    </row>
    <row r="378" spans="1:10" x14ac:dyDescent="0.25">
      <c r="A378" s="22">
        <v>46165</v>
      </c>
      <c r="B378" s="20" t="s">
        <v>687</v>
      </c>
      <c r="C378" s="21" t="s">
        <v>725</v>
      </c>
      <c r="D378" s="20"/>
      <c r="E378" s="20">
        <v>2049</v>
      </c>
      <c r="F378" s="20">
        <v>1546</v>
      </c>
      <c r="G378" s="11">
        <f t="shared" si="11"/>
        <v>503</v>
      </c>
      <c r="H378" s="12">
        <f t="shared" si="12"/>
        <v>0.32535575679172057</v>
      </c>
      <c r="I378" s="20" t="s">
        <v>18</v>
      </c>
      <c r="J378" s="20"/>
    </row>
    <row r="379" spans="1:10" x14ac:dyDescent="0.25">
      <c r="A379" s="22">
        <v>46167</v>
      </c>
      <c r="B379" s="20" t="s">
        <v>539</v>
      </c>
      <c r="C379" s="21" t="s">
        <v>730</v>
      </c>
      <c r="D379" s="20" t="s">
        <v>30</v>
      </c>
      <c r="E379" s="20">
        <v>1640</v>
      </c>
      <c r="F379" s="20">
        <v>1320.9</v>
      </c>
      <c r="G379" s="11">
        <f t="shared" si="11"/>
        <v>319.09999999999991</v>
      </c>
      <c r="H379" s="12">
        <f t="shared" si="12"/>
        <v>0.24157771216594737</v>
      </c>
      <c r="I379" s="20" t="s">
        <v>18</v>
      </c>
      <c r="J379" s="20"/>
    </row>
    <row r="380" spans="1:10" x14ac:dyDescent="0.25">
      <c r="A380" s="22">
        <v>46167</v>
      </c>
      <c r="B380" s="20" t="s">
        <v>539</v>
      </c>
      <c r="C380" s="21" t="s">
        <v>731</v>
      </c>
      <c r="D380" s="20" t="s">
        <v>30</v>
      </c>
      <c r="E380" s="20">
        <v>1640</v>
      </c>
      <c r="F380" s="20">
        <v>1320.9</v>
      </c>
      <c r="G380" s="11">
        <f t="shared" si="11"/>
        <v>319.09999999999991</v>
      </c>
      <c r="H380" s="12">
        <f t="shared" si="12"/>
        <v>0.24157771216594737</v>
      </c>
      <c r="I380" s="20" t="s">
        <v>18</v>
      </c>
      <c r="J380" s="20"/>
    </row>
    <row r="381" spans="1:10" x14ac:dyDescent="0.25">
      <c r="A381" s="22">
        <v>46167</v>
      </c>
      <c r="B381" s="20" t="s">
        <v>539</v>
      </c>
      <c r="C381" s="21" t="s">
        <v>732</v>
      </c>
      <c r="D381" s="20" t="s">
        <v>30</v>
      </c>
      <c r="E381" s="20">
        <v>1640</v>
      </c>
      <c r="F381" s="20">
        <v>1320.9</v>
      </c>
      <c r="G381" s="11">
        <f t="shared" si="11"/>
        <v>319.09999999999991</v>
      </c>
      <c r="H381" s="12">
        <f t="shared" si="12"/>
        <v>0.24157771216594737</v>
      </c>
      <c r="I381" s="20" t="s">
        <v>18</v>
      </c>
      <c r="J381" s="20"/>
    </row>
    <row r="382" spans="1:10" x14ac:dyDescent="0.25">
      <c r="A382" s="22">
        <v>46167</v>
      </c>
      <c r="B382" s="20" t="s">
        <v>539</v>
      </c>
      <c r="C382" s="21" t="s">
        <v>733</v>
      </c>
      <c r="D382" s="20" t="s">
        <v>30</v>
      </c>
      <c r="E382" s="20">
        <v>1640</v>
      </c>
      <c r="F382" s="20">
        <v>1320.9</v>
      </c>
      <c r="G382" s="11">
        <f t="shared" si="11"/>
        <v>319.09999999999991</v>
      </c>
      <c r="H382" s="12">
        <f t="shared" si="12"/>
        <v>0.24157771216594737</v>
      </c>
      <c r="I382" s="20" t="s">
        <v>18</v>
      </c>
      <c r="J382" s="20"/>
    </row>
    <row r="383" spans="1:10" x14ac:dyDescent="0.25">
      <c r="A383" s="22">
        <v>46167</v>
      </c>
      <c r="B383" s="20" t="s">
        <v>320</v>
      </c>
      <c r="C383" s="21" t="s">
        <v>734</v>
      </c>
      <c r="D383" s="20" t="s">
        <v>30</v>
      </c>
      <c r="E383" s="20">
        <v>3075</v>
      </c>
      <c r="F383" s="20">
        <v>2534.7199999999998</v>
      </c>
      <c r="G383" s="11">
        <f t="shared" si="11"/>
        <v>540.2800000000002</v>
      </c>
      <c r="H383" s="12">
        <f t="shared" si="12"/>
        <v>0.21315174851660154</v>
      </c>
      <c r="I383" s="20" t="s">
        <v>18</v>
      </c>
      <c r="J383" s="20"/>
    </row>
    <row r="384" spans="1:10" x14ac:dyDescent="0.25">
      <c r="A384" s="22">
        <v>46167</v>
      </c>
      <c r="B384" s="20" t="s">
        <v>320</v>
      </c>
      <c r="C384" s="21" t="s">
        <v>735</v>
      </c>
      <c r="D384" s="20" t="s">
        <v>30</v>
      </c>
      <c r="E384" s="20">
        <v>3075</v>
      </c>
      <c r="F384" s="20">
        <v>2534.7199999999998</v>
      </c>
      <c r="G384" s="11">
        <f t="shared" si="11"/>
        <v>540.2800000000002</v>
      </c>
      <c r="H384" s="12">
        <f t="shared" si="12"/>
        <v>0.21315174851660154</v>
      </c>
      <c r="I384" s="20" t="s">
        <v>18</v>
      </c>
      <c r="J384" s="20"/>
    </row>
    <row r="385" spans="1:10" x14ac:dyDescent="0.25">
      <c r="A385" s="22">
        <v>46167</v>
      </c>
      <c r="B385" s="20" t="s">
        <v>687</v>
      </c>
      <c r="C385" s="21" t="s">
        <v>737</v>
      </c>
      <c r="D385" s="20"/>
      <c r="E385" s="20">
        <v>2140</v>
      </c>
      <c r="F385" s="20">
        <v>1581.76</v>
      </c>
      <c r="G385" s="11">
        <f t="shared" si="11"/>
        <v>558.24</v>
      </c>
      <c r="H385" s="12">
        <f t="shared" si="12"/>
        <v>0.35292332591543596</v>
      </c>
      <c r="I385" s="20" t="s">
        <v>18</v>
      </c>
      <c r="J385" s="20"/>
    </row>
    <row r="386" spans="1:10" x14ac:dyDescent="0.25">
      <c r="A386" s="22">
        <v>46167</v>
      </c>
      <c r="B386" s="20" t="s">
        <v>687</v>
      </c>
      <c r="C386" s="21" t="s">
        <v>738</v>
      </c>
      <c r="D386" s="20"/>
      <c r="E386" s="20">
        <v>2140</v>
      </c>
      <c r="F386" s="20">
        <v>1581.76</v>
      </c>
      <c r="G386" s="11">
        <f t="shared" si="11"/>
        <v>558.24</v>
      </c>
      <c r="H386" s="12">
        <f t="shared" si="12"/>
        <v>0.35292332591543596</v>
      </c>
      <c r="I386" s="20" t="s">
        <v>18</v>
      </c>
      <c r="J386" s="20"/>
    </row>
    <row r="387" spans="1:10" x14ac:dyDescent="0.25">
      <c r="A387" s="22">
        <v>46167</v>
      </c>
      <c r="B387" s="20" t="s">
        <v>687</v>
      </c>
      <c r="C387" s="21" t="s">
        <v>739</v>
      </c>
      <c r="D387" s="20"/>
      <c r="E387" s="20">
        <v>2140</v>
      </c>
      <c r="F387" s="20">
        <v>1581.76</v>
      </c>
      <c r="G387" s="11">
        <f t="shared" ref="G387:G450" si="13">E387-F387</f>
        <v>558.24</v>
      </c>
      <c r="H387" s="12">
        <f t="shared" si="12"/>
        <v>0.35292332591543596</v>
      </c>
      <c r="I387" s="20" t="s">
        <v>18</v>
      </c>
      <c r="J387" s="20"/>
    </row>
    <row r="388" spans="1:10" x14ac:dyDescent="0.25">
      <c r="A388" s="13">
        <v>46143</v>
      </c>
      <c r="B388" s="14" t="s">
        <v>32</v>
      </c>
      <c r="C388" s="17">
        <v>350599864945941</v>
      </c>
      <c r="D388" s="14" t="s">
        <v>35</v>
      </c>
      <c r="E388" s="14">
        <v>3080</v>
      </c>
      <c r="F388" s="14">
        <v>3200</v>
      </c>
      <c r="G388" s="14">
        <f t="shared" si="13"/>
        <v>-120</v>
      </c>
      <c r="H388" s="16">
        <f t="shared" si="12"/>
        <v>-3.7499999999999999E-2</v>
      </c>
      <c r="I388" s="14" t="s">
        <v>36</v>
      </c>
      <c r="J388" s="20" t="s">
        <v>26</v>
      </c>
    </row>
    <row r="389" spans="1:10" x14ac:dyDescent="0.25">
      <c r="A389" s="22">
        <v>46143</v>
      </c>
      <c r="B389" s="20" t="s">
        <v>32</v>
      </c>
      <c r="C389" s="21">
        <v>358051329072392</v>
      </c>
      <c r="D389" s="20" t="s">
        <v>35</v>
      </c>
      <c r="E389" s="20">
        <v>3080</v>
      </c>
      <c r="F389" s="20">
        <v>3050</v>
      </c>
      <c r="G389" s="11">
        <f t="shared" si="13"/>
        <v>30</v>
      </c>
      <c r="H389" s="12">
        <f t="shared" si="12"/>
        <v>9.8360655737704927E-3</v>
      </c>
      <c r="I389" s="20" t="s">
        <v>36</v>
      </c>
      <c r="J389" s="20"/>
    </row>
    <row r="390" spans="1:10" x14ac:dyDescent="0.25">
      <c r="A390" s="22">
        <v>46144</v>
      </c>
      <c r="B390" s="20" t="s">
        <v>32</v>
      </c>
      <c r="C390" s="21">
        <v>356392249592818</v>
      </c>
      <c r="D390" s="20" t="s">
        <v>35</v>
      </c>
      <c r="E390" s="20">
        <v>3080</v>
      </c>
      <c r="F390" s="20">
        <v>3050</v>
      </c>
      <c r="G390" s="11">
        <f t="shared" si="13"/>
        <v>30</v>
      </c>
      <c r="H390" s="12">
        <f t="shared" si="12"/>
        <v>9.8360655737704927E-3</v>
      </c>
      <c r="I390" s="20" t="s">
        <v>36</v>
      </c>
      <c r="J390" s="20"/>
    </row>
    <row r="391" spans="1:10" x14ac:dyDescent="0.25">
      <c r="A391" s="22">
        <v>46148</v>
      </c>
      <c r="B391" s="20" t="s">
        <v>76</v>
      </c>
      <c r="C391" s="21">
        <v>350520605493470</v>
      </c>
      <c r="D391" s="20" t="s">
        <v>77</v>
      </c>
      <c r="E391" s="20">
        <v>2570</v>
      </c>
      <c r="F391" s="20">
        <v>2450</v>
      </c>
      <c r="G391" s="11">
        <f t="shared" si="13"/>
        <v>120</v>
      </c>
      <c r="H391" s="12">
        <f t="shared" si="12"/>
        <v>4.8979591836734691E-2</v>
      </c>
      <c r="I391" s="20" t="s">
        <v>36</v>
      </c>
      <c r="J391" s="20"/>
    </row>
    <row r="392" spans="1:10" x14ac:dyDescent="0.25">
      <c r="A392" s="22">
        <v>46148</v>
      </c>
      <c r="B392" s="20" t="s">
        <v>76</v>
      </c>
      <c r="C392" s="21">
        <v>350687011125911</v>
      </c>
      <c r="D392" s="20" t="s">
        <v>77</v>
      </c>
      <c r="E392" s="20">
        <v>2570</v>
      </c>
      <c r="F392" s="20">
        <v>2450</v>
      </c>
      <c r="G392" s="11">
        <f t="shared" si="13"/>
        <v>120</v>
      </c>
      <c r="H392" s="12">
        <f t="shared" si="12"/>
        <v>4.8979591836734691E-2</v>
      </c>
      <c r="I392" s="20" t="s">
        <v>36</v>
      </c>
      <c r="J392" s="20"/>
    </row>
    <row r="393" spans="1:10" x14ac:dyDescent="0.25">
      <c r="A393" s="22">
        <v>46148</v>
      </c>
      <c r="B393" s="20" t="s">
        <v>76</v>
      </c>
      <c r="C393" s="21">
        <v>350687011150638</v>
      </c>
      <c r="D393" s="20" t="s">
        <v>78</v>
      </c>
      <c r="E393" s="20">
        <v>2570</v>
      </c>
      <c r="F393" s="20">
        <v>2450</v>
      </c>
      <c r="G393" s="11">
        <f t="shared" si="13"/>
        <v>120</v>
      </c>
      <c r="H393" s="12">
        <f t="shared" si="12"/>
        <v>4.8979591836734691E-2</v>
      </c>
      <c r="I393" s="20" t="s">
        <v>36</v>
      </c>
      <c r="J393" s="20"/>
    </row>
    <row r="394" spans="1:10" x14ac:dyDescent="0.25">
      <c r="A394" s="22">
        <v>46148</v>
      </c>
      <c r="B394" s="20" t="s">
        <v>76</v>
      </c>
      <c r="C394" s="21">
        <v>350687011189388</v>
      </c>
      <c r="D394" s="20" t="s">
        <v>78</v>
      </c>
      <c r="E394" s="20">
        <v>2570</v>
      </c>
      <c r="F394" s="20">
        <v>2450</v>
      </c>
      <c r="G394" s="11">
        <f t="shared" si="13"/>
        <v>120</v>
      </c>
      <c r="H394" s="12">
        <f t="shared" si="12"/>
        <v>4.8979591836734691E-2</v>
      </c>
      <c r="I394" s="20" t="s">
        <v>36</v>
      </c>
      <c r="J394" s="20"/>
    </row>
    <row r="395" spans="1:10" x14ac:dyDescent="0.25">
      <c r="A395" s="22">
        <v>46148</v>
      </c>
      <c r="B395" s="20" t="s">
        <v>76</v>
      </c>
      <c r="C395" s="21">
        <v>350687011306008</v>
      </c>
      <c r="D395" s="20" t="s">
        <v>78</v>
      </c>
      <c r="E395" s="20">
        <v>2570</v>
      </c>
      <c r="F395" s="20">
        <v>2450</v>
      </c>
      <c r="G395" s="11">
        <f t="shared" si="13"/>
        <v>120</v>
      </c>
      <c r="H395" s="12">
        <f t="shared" si="12"/>
        <v>4.8979591836734691E-2</v>
      </c>
      <c r="I395" s="20" t="s">
        <v>36</v>
      </c>
      <c r="J395" s="20"/>
    </row>
    <row r="396" spans="1:10" x14ac:dyDescent="0.25">
      <c r="A396" s="22">
        <v>46148</v>
      </c>
      <c r="B396" s="20" t="s">
        <v>76</v>
      </c>
      <c r="C396" s="21">
        <v>351235186266844</v>
      </c>
      <c r="D396" s="20" t="s">
        <v>30</v>
      </c>
      <c r="E396" s="20">
        <v>2570</v>
      </c>
      <c r="F396" s="20">
        <v>2450</v>
      </c>
      <c r="G396" s="11">
        <f t="shared" si="13"/>
        <v>120</v>
      </c>
      <c r="H396" s="12">
        <f t="shared" si="12"/>
        <v>4.8979591836734691E-2</v>
      </c>
      <c r="I396" s="20" t="s">
        <v>36</v>
      </c>
      <c r="J396" s="20"/>
    </row>
    <row r="397" spans="1:10" x14ac:dyDescent="0.25">
      <c r="A397" s="22">
        <v>46148</v>
      </c>
      <c r="B397" s="20" t="s">
        <v>76</v>
      </c>
      <c r="C397" s="21">
        <v>359090830872311</v>
      </c>
      <c r="D397" s="20" t="s">
        <v>77</v>
      </c>
      <c r="E397" s="20">
        <v>2570</v>
      </c>
      <c r="F397" s="20">
        <v>2450</v>
      </c>
      <c r="G397" s="11">
        <f t="shared" si="13"/>
        <v>120</v>
      </c>
      <c r="H397" s="12">
        <f t="shared" si="12"/>
        <v>4.8979591836734691E-2</v>
      </c>
      <c r="I397" s="20" t="s">
        <v>36</v>
      </c>
      <c r="J397" s="20"/>
    </row>
    <row r="398" spans="1:10" x14ac:dyDescent="0.25">
      <c r="A398" s="22">
        <v>46148</v>
      </c>
      <c r="B398" s="20" t="s">
        <v>76</v>
      </c>
      <c r="C398" s="21">
        <v>359090830925630</v>
      </c>
      <c r="D398" s="20" t="s">
        <v>78</v>
      </c>
      <c r="E398" s="20">
        <v>2570</v>
      </c>
      <c r="F398" s="20">
        <v>2450</v>
      </c>
      <c r="G398" s="11">
        <f t="shared" si="13"/>
        <v>120</v>
      </c>
      <c r="H398" s="12">
        <f t="shared" si="12"/>
        <v>4.8979591836734691E-2</v>
      </c>
      <c r="I398" s="20" t="s">
        <v>36</v>
      </c>
      <c r="J398" s="20"/>
    </row>
    <row r="399" spans="1:10" x14ac:dyDescent="0.25">
      <c r="A399" s="22">
        <v>46148</v>
      </c>
      <c r="B399" s="20" t="s">
        <v>76</v>
      </c>
      <c r="C399" s="21">
        <v>359090831240658</v>
      </c>
      <c r="D399" s="20" t="s">
        <v>78</v>
      </c>
      <c r="E399" s="20">
        <v>2570</v>
      </c>
      <c r="F399" s="20">
        <v>2450</v>
      </c>
      <c r="G399" s="11">
        <f t="shared" si="13"/>
        <v>120</v>
      </c>
      <c r="H399" s="12">
        <f t="shared" si="12"/>
        <v>4.8979591836734691E-2</v>
      </c>
      <c r="I399" s="20" t="s">
        <v>36</v>
      </c>
      <c r="J399" s="20"/>
    </row>
    <row r="400" spans="1:10" x14ac:dyDescent="0.25">
      <c r="A400" s="22">
        <v>46148</v>
      </c>
      <c r="B400" s="20" t="s">
        <v>76</v>
      </c>
      <c r="C400" s="21">
        <v>359090831282205</v>
      </c>
      <c r="D400" s="20" t="s">
        <v>78</v>
      </c>
      <c r="E400" s="20">
        <v>2570</v>
      </c>
      <c r="F400" s="20">
        <v>2450</v>
      </c>
      <c r="G400" s="11">
        <f t="shared" si="13"/>
        <v>120</v>
      </c>
      <c r="H400" s="12">
        <f t="shared" si="12"/>
        <v>4.8979591836734691E-2</v>
      </c>
      <c r="I400" s="20" t="s">
        <v>36</v>
      </c>
      <c r="J400" s="20"/>
    </row>
    <row r="401" spans="1:10" x14ac:dyDescent="0.25">
      <c r="A401" s="22">
        <v>46148</v>
      </c>
      <c r="B401" s="20" t="s">
        <v>76</v>
      </c>
      <c r="C401" s="21">
        <v>359090831421894</v>
      </c>
      <c r="D401" s="20" t="s">
        <v>30</v>
      </c>
      <c r="E401" s="20">
        <v>2570</v>
      </c>
      <c r="F401" s="20">
        <v>2450</v>
      </c>
      <c r="G401" s="11">
        <f t="shared" si="13"/>
        <v>120</v>
      </c>
      <c r="H401" s="12">
        <f t="shared" si="12"/>
        <v>4.8979591836734691E-2</v>
      </c>
      <c r="I401" s="20" t="s">
        <v>36</v>
      </c>
      <c r="J401" s="20"/>
    </row>
    <row r="402" spans="1:10" x14ac:dyDescent="0.25">
      <c r="A402" s="22">
        <v>46149</v>
      </c>
      <c r="B402" s="20" t="s">
        <v>71</v>
      </c>
      <c r="C402" s="21">
        <v>355079367233165</v>
      </c>
      <c r="D402" s="20" t="s">
        <v>35</v>
      </c>
      <c r="E402" s="20">
        <v>2680</v>
      </c>
      <c r="F402" s="20">
        <v>2600</v>
      </c>
      <c r="G402" s="11">
        <f t="shared" si="13"/>
        <v>80</v>
      </c>
      <c r="H402" s="12">
        <f t="shared" si="12"/>
        <v>3.0769230769230771E-2</v>
      </c>
      <c r="I402" s="20" t="s">
        <v>36</v>
      </c>
      <c r="J402" s="20"/>
    </row>
    <row r="403" spans="1:10" x14ac:dyDescent="0.25">
      <c r="A403" s="22">
        <v>46149</v>
      </c>
      <c r="B403" s="20" t="s">
        <v>71</v>
      </c>
      <c r="C403" s="21">
        <v>355981553878614</v>
      </c>
      <c r="D403" s="20" t="s">
        <v>35</v>
      </c>
      <c r="E403" s="20">
        <v>2680</v>
      </c>
      <c r="F403" s="20">
        <v>2600</v>
      </c>
      <c r="G403" s="11">
        <f t="shared" si="13"/>
        <v>80</v>
      </c>
      <c r="H403" s="12">
        <f t="shared" si="12"/>
        <v>3.0769230769230771E-2</v>
      </c>
      <c r="I403" s="20" t="s">
        <v>36</v>
      </c>
      <c r="J403" s="20"/>
    </row>
    <row r="404" spans="1:10" x14ac:dyDescent="0.25">
      <c r="A404" s="22">
        <v>46149</v>
      </c>
      <c r="B404" s="20" t="s">
        <v>71</v>
      </c>
      <c r="C404" s="21">
        <v>355981558185114</v>
      </c>
      <c r="D404" s="20" t="s">
        <v>35</v>
      </c>
      <c r="E404" s="20">
        <v>2680</v>
      </c>
      <c r="F404" s="20">
        <v>2600</v>
      </c>
      <c r="G404" s="11">
        <f t="shared" si="13"/>
        <v>80</v>
      </c>
      <c r="H404" s="12">
        <f t="shared" si="12"/>
        <v>3.0769230769230771E-2</v>
      </c>
      <c r="I404" s="20" t="s">
        <v>36</v>
      </c>
      <c r="J404" s="20"/>
    </row>
    <row r="405" spans="1:10" x14ac:dyDescent="0.25">
      <c r="A405" s="22">
        <v>46149</v>
      </c>
      <c r="B405" s="20" t="s">
        <v>71</v>
      </c>
      <c r="C405" s="21">
        <v>356245412630122</v>
      </c>
      <c r="D405" s="20" t="s">
        <v>35</v>
      </c>
      <c r="E405" s="20">
        <v>2680</v>
      </c>
      <c r="F405" s="20">
        <v>2600</v>
      </c>
      <c r="G405" s="11">
        <f t="shared" si="13"/>
        <v>80</v>
      </c>
      <c r="H405" s="12">
        <f t="shared" si="12"/>
        <v>3.0769230769230771E-2</v>
      </c>
      <c r="I405" s="20" t="s">
        <v>36</v>
      </c>
      <c r="J405" s="20"/>
    </row>
    <row r="406" spans="1:10" x14ac:dyDescent="0.25">
      <c r="A406" s="13">
        <v>46149</v>
      </c>
      <c r="B406" s="14" t="s">
        <v>71</v>
      </c>
      <c r="C406" s="17">
        <v>356245416649979</v>
      </c>
      <c r="D406" s="14" t="s">
        <v>35</v>
      </c>
      <c r="E406" s="14">
        <v>2680</v>
      </c>
      <c r="F406" s="14">
        <v>2750</v>
      </c>
      <c r="G406" s="14">
        <f t="shared" si="13"/>
        <v>-70</v>
      </c>
      <c r="H406" s="16">
        <f t="shared" ref="H406:H460" si="14">(E406-F406)/F406</f>
        <v>-2.5454545454545455E-2</v>
      </c>
      <c r="I406" s="14" t="s">
        <v>36</v>
      </c>
      <c r="J406" s="20" t="s">
        <v>26</v>
      </c>
    </row>
    <row r="407" spans="1:10" x14ac:dyDescent="0.25">
      <c r="A407" s="22">
        <v>46149</v>
      </c>
      <c r="B407" s="20" t="s">
        <v>71</v>
      </c>
      <c r="C407" s="21">
        <v>359477637199115</v>
      </c>
      <c r="D407" s="20" t="s">
        <v>35</v>
      </c>
      <c r="E407" s="20">
        <v>2680</v>
      </c>
      <c r="F407" s="20">
        <v>2600</v>
      </c>
      <c r="G407" s="11">
        <f t="shared" si="13"/>
        <v>80</v>
      </c>
      <c r="H407" s="12">
        <f t="shared" si="14"/>
        <v>3.0769230769230771E-2</v>
      </c>
      <c r="I407" s="20" t="s">
        <v>36</v>
      </c>
      <c r="J407" s="20"/>
    </row>
    <row r="408" spans="1:10" x14ac:dyDescent="0.25">
      <c r="A408" s="22">
        <v>46149</v>
      </c>
      <c r="B408" s="20" t="s">
        <v>71</v>
      </c>
      <c r="C408" s="21">
        <v>359477639587267</v>
      </c>
      <c r="D408" s="20" t="s">
        <v>35</v>
      </c>
      <c r="E408" s="20">
        <v>2680</v>
      </c>
      <c r="F408" s="20">
        <v>2600</v>
      </c>
      <c r="G408" s="11">
        <f t="shared" si="13"/>
        <v>80</v>
      </c>
      <c r="H408" s="12">
        <f t="shared" si="14"/>
        <v>3.0769230769230771E-2</v>
      </c>
      <c r="I408" s="20" t="s">
        <v>36</v>
      </c>
      <c r="J408" s="20"/>
    </row>
    <row r="409" spans="1:10" x14ac:dyDescent="0.25">
      <c r="A409" s="13">
        <v>46149</v>
      </c>
      <c r="B409" s="14" t="s">
        <v>32</v>
      </c>
      <c r="C409" s="17">
        <v>353263426425341</v>
      </c>
      <c r="D409" s="14" t="s">
        <v>35</v>
      </c>
      <c r="E409" s="14">
        <v>3000</v>
      </c>
      <c r="F409" s="14">
        <v>3050</v>
      </c>
      <c r="G409" s="14">
        <f t="shared" si="13"/>
        <v>-50</v>
      </c>
      <c r="H409" s="16">
        <f t="shared" si="14"/>
        <v>-1.6393442622950821E-2</v>
      </c>
      <c r="I409" s="14" t="s">
        <v>36</v>
      </c>
      <c r="J409" s="20" t="s">
        <v>26</v>
      </c>
    </row>
    <row r="410" spans="1:10" x14ac:dyDescent="0.25">
      <c r="A410" s="13">
        <v>46149</v>
      </c>
      <c r="B410" s="14" t="s">
        <v>32</v>
      </c>
      <c r="C410" s="17">
        <v>356392248475684</v>
      </c>
      <c r="D410" s="14" t="s">
        <v>35</v>
      </c>
      <c r="E410" s="14">
        <v>3000.02</v>
      </c>
      <c r="F410" s="14">
        <v>3050</v>
      </c>
      <c r="G410" s="14">
        <f t="shared" si="13"/>
        <v>-49.980000000000018</v>
      </c>
      <c r="H410" s="16">
        <f t="shared" si="14"/>
        <v>-1.6386885245901647E-2</v>
      </c>
      <c r="I410" s="14" t="s">
        <v>36</v>
      </c>
      <c r="J410" s="20" t="s">
        <v>26</v>
      </c>
    </row>
    <row r="411" spans="1:10" x14ac:dyDescent="0.25">
      <c r="A411" s="13">
        <v>46149</v>
      </c>
      <c r="B411" s="14" t="s">
        <v>32</v>
      </c>
      <c r="C411" s="17">
        <v>357329449856667</v>
      </c>
      <c r="D411" s="14" t="s">
        <v>33</v>
      </c>
      <c r="E411" s="14">
        <v>3110</v>
      </c>
      <c r="F411" s="14">
        <v>3170</v>
      </c>
      <c r="G411" s="14">
        <f t="shared" si="13"/>
        <v>-60</v>
      </c>
      <c r="H411" s="16">
        <f t="shared" si="14"/>
        <v>-1.8927444794952682E-2</v>
      </c>
      <c r="I411" s="14" t="s">
        <v>36</v>
      </c>
      <c r="J411" s="20" t="s">
        <v>26</v>
      </c>
    </row>
    <row r="412" spans="1:10" x14ac:dyDescent="0.25">
      <c r="A412" s="13">
        <v>46149</v>
      </c>
      <c r="B412" s="14" t="s">
        <v>32</v>
      </c>
      <c r="C412" s="17">
        <v>359814719338767</v>
      </c>
      <c r="D412" s="14" t="s">
        <v>35</v>
      </c>
      <c r="E412" s="14">
        <v>3000.02</v>
      </c>
      <c r="F412" s="14">
        <v>3050</v>
      </c>
      <c r="G412" s="14">
        <f t="shared" si="13"/>
        <v>-49.980000000000018</v>
      </c>
      <c r="H412" s="16">
        <f t="shared" si="14"/>
        <v>-1.6386885245901647E-2</v>
      </c>
      <c r="I412" s="14" t="s">
        <v>36</v>
      </c>
      <c r="J412" s="20" t="s">
        <v>26</v>
      </c>
    </row>
    <row r="413" spans="1:10" x14ac:dyDescent="0.25">
      <c r="A413" s="22">
        <v>46150</v>
      </c>
      <c r="B413" s="20" t="s">
        <v>32</v>
      </c>
      <c r="C413" s="21">
        <v>350035239268594</v>
      </c>
      <c r="D413" s="20" t="s">
        <v>33</v>
      </c>
      <c r="E413" s="20">
        <v>3120</v>
      </c>
      <c r="F413" s="20">
        <v>3070</v>
      </c>
      <c r="G413" s="11">
        <f t="shared" si="13"/>
        <v>50</v>
      </c>
      <c r="H413" s="12">
        <f t="shared" si="14"/>
        <v>1.6286644951140065E-2</v>
      </c>
      <c r="I413" s="20" t="s">
        <v>36</v>
      </c>
      <c r="J413" s="20"/>
    </row>
    <row r="414" spans="1:10" x14ac:dyDescent="0.25">
      <c r="A414" s="13">
        <v>46150</v>
      </c>
      <c r="B414" s="14" t="s">
        <v>32</v>
      </c>
      <c r="C414" s="17">
        <v>356392248888357</v>
      </c>
      <c r="D414" s="14" t="s">
        <v>35</v>
      </c>
      <c r="E414" s="14">
        <v>3000</v>
      </c>
      <c r="F414" s="14">
        <v>3050</v>
      </c>
      <c r="G414" s="14">
        <f t="shared" si="13"/>
        <v>-50</v>
      </c>
      <c r="H414" s="16">
        <f t="shared" si="14"/>
        <v>-1.6393442622950821E-2</v>
      </c>
      <c r="I414" s="14" t="s">
        <v>36</v>
      </c>
      <c r="J414" s="20" t="s">
        <v>26</v>
      </c>
    </row>
    <row r="415" spans="1:10" x14ac:dyDescent="0.25">
      <c r="A415" s="22">
        <v>46151</v>
      </c>
      <c r="B415" s="20" t="s">
        <v>76</v>
      </c>
      <c r="C415" s="21">
        <v>350687011164522</v>
      </c>
      <c r="D415" s="20" t="s">
        <v>78</v>
      </c>
      <c r="E415" s="20">
        <v>2570</v>
      </c>
      <c r="F415" s="20">
        <v>2450</v>
      </c>
      <c r="G415" s="11">
        <f t="shared" si="13"/>
        <v>120</v>
      </c>
      <c r="H415" s="12">
        <f t="shared" si="14"/>
        <v>4.8979591836734691E-2</v>
      </c>
      <c r="I415" s="20" t="s">
        <v>36</v>
      </c>
      <c r="J415" s="20"/>
    </row>
    <row r="416" spans="1:10" x14ac:dyDescent="0.25">
      <c r="A416" s="22">
        <v>46151</v>
      </c>
      <c r="B416" s="20" t="s">
        <v>76</v>
      </c>
      <c r="C416" s="21">
        <v>350687013222047</v>
      </c>
      <c r="D416" s="20" t="s">
        <v>80</v>
      </c>
      <c r="E416" s="20">
        <v>2570</v>
      </c>
      <c r="F416" s="20">
        <v>2450</v>
      </c>
      <c r="G416" s="11">
        <f t="shared" si="13"/>
        <v>120</v>
      </c>
      <c r="H416" s="12">
        <f t="shared" si="14"/>
        <v>4.8979591836734691E-2</v>
      </c>
      <c r="I416" s="20" t="s">
        <v>36</v>
      </c>
      <c r="J416" s="20"/>
    </row>
    <row r="417" spans="1:10" x14ac:dyDescent="0.25">
      <c r="A417" s="22">
        <v>46151</v>
      </c>
      <c r="B417" s="20" t="s">
        <v>76</v>
      </c>
      <c r="C417" s="21">
        <v>350687013324181</v>
      </c>
      <c r="D417" s="20" t="s">
        <v>80</v>
      </c>
      <c r="E417" s="20">
        <v>2580</v>
      </c>
      <c r="F417" s="20">
        <v>2450</v>
      </c>
      <c r="G417" s="11">
        <f t="shared" si="13"/>
        <v>130</v>
      </c>
      <c r="H417" s="12">
        <f t="shared" si="14"/>
        <v>5.3061224489795916E-2</v>
      </c>
      <c r="I417" s="20" t="s">
        <v>36</v>
      </c>
      <c r="J417" s="20"/>
    </row>
    <row r="418" spans="1:10" x14ac:dyDescent="0.25">
      <c r="A418" s="22">
        <v>46151</v>
      </c>
      <c r="B418" s="20" t="s">
        <v>76</v>
      </c>
      <c r="C418" s="21">
        <v>357731110185799</v>
      </c>
      <c r="D418" s="20" t="s">
        <v>77</v>
      </c>
      <c r="E418" s="20">
        <v>2570</v>
      </c>
      <c r="F418" s="20">
        <v>2450</v>
      </c>
      <c r="G418" s="11">
        <f t="shared" si="13"/>
        <v>120</v>
      </c>
      <c r="H418" s="12">
        <f t="shared" si="14"/>
        <v>4.8979591836734691E-2</v>
      </c>
      <c r="I418" s="20" t="s">
        <v>36</v>
      </c>
      <c r="J418" s="20"/>
    </row>
    <row r="419" spans="1:10" x14ac:dyDescent="0.25">
      <c r="A419" s="22">
        <v>46151</v>
      </c>
      <c r="B419" s="20" t="s">
        <v>76</v>
      </c>
      <c r="C419" s="21">
        <v>359090830883607</v>
      </c>
      <c r="D419" s="20" t="s">
        <v>78</v>
      </c>
      <c r="E419" s="20">
        <v>2570</v>
      </c>
      <c r="F419" s="20">
        <v>2450</v>
      </c>
      <c r="G419" s="11">
        <f t="shared" si="13"/>
        <v>120</v>
      </c>
      <c r="H419" s="12">
        <f t="shared" si="14"/>
        <v>4.8979591836734691E-2</v>
      </c>
      <c r="I419" s="20" t="s">
        <v>36</v>
      </c>
      <c r="J419" s="20"/>
    </row>
    <row r="420" spans="1:10" x14ac:dyDescent="0.25">
      <c r="A420" s="22">
        <v>46151</v>
      </c>
      <c r="B420" s="20" t="s">
        <v>104</v>
      </c>
      <c r="C420" s="21">
        <v>351042460081299</v>
      </c>
      <c r="D420" s="20" t="s">
        <v>30</v>
      </c>
      <c r="E420" s="20">
        <v>2700</v>
      </c>
      <c r="F420" s="20">
        <v>2550</v>
      </c>
      <c r="G420" s="11">
        <f t="shared" si="13"/>
        <v>150</v>
      </c>
      <c r="H420" s="12">
        <f t="shared" si="14"/>
        <v>5.8823529411764705E-2</v>
      </c>
      <c r="I420" s="20" t="s">
        <v>36</v>
      </c>
      <c r="J420" s="20"/>
    </row>
    <row r="421" spans="1:10" x14ac:dyDescent="0.25">
      <c r="A421" s="22">
        <v>46151</v>
      </c>
      <c r="B421" s="20" t="s">
        <v>104</v>
      </c>
      <c r="C421" s="21">
        <v>358161900631613</v>
      </c>
      <c r="D421" s="20" t="s">
        <v>30</v>
      </c>
      <c r="E421" s="20">
        <v>2700</v>
      </c>
      <c r="F421" s="20">
        <v>2550</v>
      </c>
      <c r="G421" s="11">
        <f t="shared" si="13"/>
        <v>150</v>
      </c>
      <c r="H421" s="12">
        <f t="shared" si="14"/>
        <v>5.8823529411764705E-2</v>
      </c>
      <c r="I421" s="20" t="s">
        <v>36</v>
      </c>
      <c r="J421" s="20"/>
    </row>
    <row r="422" spans="1:10" x14ac:dyDescent="0.25">
      <c r="A422" s="13">
        <v>46151</v>
      </c>
      <c r="B422" s="14" t="s">
        <v>105</v>
      </c>
      <c r="C422" s="17">
        <v>358415310112253</v>
      </c>
      <c r="D422" s="14" t="s">
        <v>106</v>
      </c>
      <c r="E422" s="14">
        <v>2970</v>
      </c>
      <c r="F422" s="14">
        <v>3000</v>
      </c>
      <c r="G422" s="14">
        <f t="shared" si="13"/>
        <v>-30</v>
      </c>
      <c r="H422" s="16">
        <f t="shared" si="14"/>
        <v>-0.01</v>
      </c>
      <c r="I422" s="14" t="s">
        <v>36</v>
      </c>
      <c r="J422" s="20" t="s">
        <v>26</v>
      </c>
    </row>
    <row r="423" spans="1:10" x14ac:dyDescent="0.25">
      <c r="A423" s="22">
        <v>46152</v>
      </c>
      <c r="B423" s="20" t="s">
        <v>71</v>
      </c>
      <c r="C423" s="21">
        <v>354289636906399</v>
      </c>
      <c r="D423" s="20" t="s">
        <v>35</v>
      </c>
      <c r="E423" s="20">
        <v>2680</v>
      </c>
      <c r="F423" s="20">
        <v>2600</v>
      </c>
      <c r="G423" s="11">
        <f t="shared" si="13"/>
        <v>80</v>
      </c>
      <c r="H423" s="12">
        <f t="shared" si="14"/>
        <v>3.0769230769230771E-2</v>
      </c>
      <c r="I423" s="20" t="s">
        <v>36</v>
      </c>
      <c r="J423" s="20"/>
    </row>
    <row r="424" spans="1:10" x14ac:dyDescent="0.25">
      <c r="A424" s="22">
        <v>46152</v>
      </c>
      <c r="B424" s="20" t="s">
        <v>71</v>
      </c>
      <c r="C424" s="21">
        <v>354289637004392</v>
      </c>
      <c r="D424" s="20" t="s">
        <v>35</v>
      </c>
      <c r="E424" s="20">
        <v>2680</v>
      </c>
      <c r="F424" s="20">
        <v>2600</v>
      </c>
      <c r="G424" s="11">
        <f t="shared" si="13"/>
        <v>80</v>
      </c>
      <c r="H424" s="12">
        <f t="shared" si="14"/>
        <v>3.0769230769230771E-2</v>
      </c>
      <c r="I424" s="20" t="s">
        <v>36</v>
      </c>
      <c r="J424" s="20"/>
    </row>
    <row r="425" spans="1:10" x14ac:dyDescent="0.25">
      <c r="A425" s="22">
        <v>46152</v>
      </c>
      <c r="B425" s="20" t="s">
        <v>71</v>
      </c>
      <c r="C425" s="21">
        <v>354289637357378</v>
      </c>
      <c r="D425" s="20" t="s">
        <v>35</v>
      </c>
      <c r="E425" s="20">
        <v>2680</v>
      </c>
      <c r="F425" s="20">
        <v>2600</v>
      </c>
      <c r="G425" s="11">
        <f t="shared" si="13"/>
        <v>80</v>
      </c>
      <c r="H425" s="12">
        <f t="shared" si="14"/>
        <v>3.0769230769230771E-2</v>
      </c>
      <c r="I425" s="20" t="s">
        <v>36</v>
      </c>
      <c r="J425" s="20"/>
    </row>
    <row r="426" spans="1:10" x14ac:dyDescent="0.25">
      <c r="A426" s="22">
        <v>46152</v>
      </c>
      <c r="B426" s="20" t="s">
        <v>71</v>
      </c>
      <c r="C426" s="21">
        <v>355820205659842</v>
      </c>
      <c r="D426" s="20" t="s">
        <v>35</v>
      </c>
      <c r="E426" s="20">
        <v>2680</v>
      </c>
      <c r="F426" s="20">
        <v>2600</v>
      </c>
      <c r="G426" s="11">
        <f t="shared" si="13"/>
        <v>80</v>
      </c>
      <c r="H426" s="12">
        <f t="shared" si="14"/>
        <v>3.0769230769230771E-2</v>
      </c>
      <c r="I426" s="20" t="s">
        <v>36</v>
      </c>
      <c r="J426" s="20"/>
    </row>
    <row r="427" spans="1:10" x14ac:dyDescent="0.25">
      <c r="A427" s="22">
        <v>46152</v>
      </c>
      <c r="B427" s="20" t="s">
        <v>71</v>
      </c>
      <c r="C427" s="21">
        <v>355981558893428</v>
      </c>
      <c r="D427" s="20" t="s">
        <v>33</v>
      </c>
      <c r="E427" s="20">
        <v>2780</v>
      </c>
      <c r="F427" s="20">
        <v>2700</v>
      </c>
      <c r="G427" s="11">
        <f t="shared" si="13"/>
        <v>80</v>
      </c>
      <c r="H427" s="12">
        <f t="shared" si="14"/>
        <v>2.9629629629629631E-2</v>
      </c>
      <c r="I427" s="20" t="s">
        <v>36</v>
      </c>
      <c r="J427" s="20"/>
    </row>
    <row r="428" spans="1:10" x14ac:dyDescent="0.25">
      <c r="A428" s="22">
        <v>46152</v>
      </c>
      <c r="B428" s="20" t="s">
        <v>71</v>
      </c>
      <c r="C428" s="21">
        <v>356245412743255</v>
      </c>
      <c r="D428" s="20" t="s">
        <v>35</v>
      </c>
      <c r="E428" s="20">
        <v>2680</v>
      </c>
      <c r="F428" s="20">
        <v>2600</v>
      </c>
      <c r="G428" s="11">
        <f t="shared" si="13"/>
        <v>80</v>
      </c>
      <c r="H428" s="12">
        <f t="shared" si="14"/>
        <v>3.0769230769230771E-2</v>
      </c>
      <c r="I428" s="20" t="s">
        <v>36</v>
      </c>
      <c r="J428" s="20"/>
    </row>
    <row r="429" spans="1:10" x14ac:dyDescent="0.25">
      <c r="A429" s="22">
        <v>46152</v>
      </c>
      <c r="B429" s="20" t="s">
        <v>71</v>
      </c>
      <c r="C429" s="21">
        <v>356245419193280</v>
      </c>
      <c r="D429" s="20" t="s">
        <v>35</v>
      </c>
      <c r="E429" s="20">
        <v>2680</v>
      </c>
      <c r="F429" s="20">
        <v>2600</v>
      </c>
      <c r="G429" s="11">
        <f t="shared" si="13"/>
        <v>80</v>
      </c>
      <c r="H429" s="12">
        <f t="shared" si="14"/>
        <v>3.0769230769230771E-2</v>
      </c>
      <c r="I429" s="20" t="s">
        <v>36</v>
      </c>
      <c r="J429" s="20"/>
    </row>
    <row r="430" spans="1:10" x14ac:dyDescent="0.25">
      <c r="A430" s="22">
        <v>46152</v>
      </c>
      <c r="B430" s="20" t="s">
        <v>71</v>
      </c>
      <c r="C430" s="21">
        <v>356250544941595</v>
      </c>
      <c r="D430" s="20" t="s">
        <v>33</v>
      </c>
      <c r="E430" s="20">
        <v>2750</v>
      </c>
      <c r="F430" s="20">
        <v>2700</v>
      </c>
      <c r="G430" s="11">
        <f t="shared" si="13"/>
        <v>50</v>
      </c>
      <c r="H430" s="12">
        <f t="shared" si="14"/>
        <v>1.8518518518518517E-2</v>
      </c>
      <c r="I430" s="20" t="s">
        <v>36</v>
      </c>
      <c r="J430" s="20"/>
    </row>
    <row r="431" spans="1:10" x14ac:dyDescent="0.25">
      <c r="A431" s="22">
        <v>46152</v>
      </c>
      <c r="B431" s="20" t="s">
        <v>71</v>
      </c>
      <c r="C431" s="21">
        <v>357254472517798</v>
      </c>
      <c r="D431" s="20" t="s">
        <v>35</v>
      </c>
      <c r="E431" s="20">
        <v>2680</v>
      </c>
      <c r="F431" s="20">
        <v>2600</v>
      </c>
      <c r="G431" s="11">
        <f t="shared" si="13"/>
        <v>80</v>
      </c>
      <c r="H431" s="12">
        <f t="shared" si="14"/>
        <v>3.0769230769230771E-2</v>
      </c>
      <c r="I431" s="20" t="s">
        <v>36</v>
      </c>
      <c r="J431" s="20"/>
    </row>
    <row r="432" spans="1:10" x14ac:dyDescent="0.25">
      <c r="A432" s="22">
        <v>46152</v>
      </c>
      <c r="B432" s="20" t="s">
        <v>71</v>
      </c>
      <c r="C432" s="21">
        <v>357254472581661</v>
      </c>
      <c r="D432" s="20" t="s">
        <v>35</v>
      </c>
      <c r="E432" s="20">
        <v>2680</v>
      </c>
      <c r="F432" s="20">
        <v>2600</v>
      </c>
      <c r="G432" s="11">
        <f t="shared" si="13"/>
        <v>80</v>
      </c>
      <c r="H432" s="12">
        <f t="shared" si="14"/>
        <v>3.0769230769230771E-2</v>
      </c>
      <c r="I432" s="20" t="s">
        <v>36</v>
      </c>
      <c r="J432" s="20"/>
    </row>
    <row r="433" spans="1:10" x14ac:dyDescent="0.25">
      <c r="A433" s="22">
        <v>46152</v>
      </c>
      <c r="B433" s="20" t="s">
        <v>71</v>
      </c>
      <c r="C433" s="21">
        <v>357254473978460</v>
      </c>
      <c r="D433" s="20" t="s">
        <v>35</v>
      </c>
      <c r="E433" s="20">
        <v>2680</v>
      </c>
      <c r="F433" s="20">
        <v>2600</v>
      </c>
      <c r="G433" s="11">
        <f t="shared" si="13"/>
        <v>80</v>
      </c>
      <c r="H433" s="12">
        <f t="shared" si="14"/>
        <v>3.0769230769230771E-2</v>
      </c>
      <c r="I433" s="20" t="s">
        <v>36</v>
      </c>
      <c r="J433" s="20"/>
    </row>
    <row r="434" spans="1:10" x14ac:dyDescent="0.25">
      <c r="A434" s="22">
        <v>46152</v>
      </c>
      <c r="B434" s="20" t="s">
        <v>71</v>
      </c>
      <c r="C434" s="21">
        <v>359477637351161</v>
      </c>
      <c r="D434" s="20" t="s">
        <v>35</v>
      </c>
      <c r="E434" s="20">
        <v>2680</v>
      </c>
      <c r="F434" s="20">
        <v>2600</v>
      </c>
      <c r="G434" s="11">
        <f t="shared" si="13"/>
        <v>80</v>
      </c>
      <c r="H434" s="12">
        <f t="shared" si="14"/>
        <v>3.0769230769230771E-2</v>
      </c>
      <c r="I434" s="20" t="s">
        <v>36</v>
      </c>
      <c r="J434" s="20"/>
    </row>
    <row r="435" spans="1:10" x14ac:dyDescent="0.25">
      <c r="A435" s="22">
        <v>46152</v>
      </c>
      <c r="B435" s="20" t="s">
        <v>75</v>
      </c>
      <c r="C435" s="21">
        <v>355101472027660</v>
      </c>
      <c r="D435" s="20" t="s">
        <v>35</v>
      </c>
      <c r="E435" s="20">
        <v>3420</v>
      </c>
      <c r="F435" s="20">
        <v>3060</v>
      </c>
      <c r="G435" s="11">
        <f t="shared" si="13"/>
        <v>360</v>
      </c>
      <c r="H435" s="12">
        <f t="shared" si="14"/>
        <v>0.11764705882352941</v>
      </c>
      <c r="I435" s="20" t="s">
        <v>36</v>
      </c>
      <c r="J435" s="20"/>
    </row>
    <row r="436" spans="1:10" x14ac:dyDescent="0.25">
      <c r="A436" s="22">
        <v>46154</v>
      </c>
      <c r="B436" s="20" t="s">
        <v>129</v>
      </c>
      <c r="C436" s="21">
        <v>355202682220184</v>
      </c>
      <c r="D436" s="20" t="s">
        <v>106</v>
      </c>
      <c r="E436" s="20">
        <v>1320</v>
      </c>
      <c r="F436" s="20">
        <v>1100</v>
      </c>
      <c r="G436" s="11">
        <f t="shared" si="13"/>
        <v>220</v>
      </c>
      <c r="H436" s="12">
        <f t="shared" si="14"/>
        <v>0.2</v>
      </c>
      <c r="I436" s="20" t="s">
        <v>36</v>
      </c>
      <c r="J436" s="20"/>
    </row>
    <row r="437" spans="1:10" x14ac:dyDescent="0.25">
      <c r="A437" s="22">
        <v>46154</v>
      </c>
      <c r="B437" s="20" t="s">
        <v>129</v>
      </c>
      <c r="C437" s="21">
        <v>359606752151358</v>
      </c>
      <c r="D437" s="20" t="s">
        <v>106</v>
      </c>
      <c r="E437" s="20">
        <v>1220</v>
      </c>
      <c r="F437" s="20">
        <v>1100</v>
      </c>
      <c r="G437" s="11">
        <f t="shared" si="13"/>
        <v>120</v>
      </c>
      <c r="H437" s="12">
        <f t="shared" si="14"/>
        <v>0.10909090909090909</v>
      </c>
      <c r="I437" s="20" t="s">
        <v>36</v>
      </c>
      <c r="J437" s="20"/>
    </row>
    <row r="438" spans="1:10" x14ac:dyDescent="0.25">
      <c r="A438" s="22">
        <v>46154</v>
      </c>
      <c r="B438" s="20" t="s">
        <v>131</v>
      </c>
      <c r="C438" s="21">
        <v>356187983726766</v>
      </c>
      <c r="D438" s="20" t="s">
        <v>133</v>
      </c>
      <c r="E438" s="20">
        <v>2470</v>
      </c>
      <c r="F438" s="20">
        <v>2380</v>
      </c>
      <c r="G438" s="11">
        <f t="shared" si="13"/>
        <v>90</v>
      </c>
      <c r="H438" s="12">
        <f t="shared" si="14"/>
        <v>3.7815126050420166E-2</v>
      </c>
      <c r="I438" s="20" t="s">
        <v>36</v>
      </c>
      <c r="J438" s="20"/>
    </row>
    <row r="439" spans="1:10" x14ac:dyDescent="0.25">
      <c r="A439" s="22">
        <v>46154</v>
      </c>
      <c r="B439" s="20" t="s">
        <v>131</v>
      </c>
      <c r="C439" s="21">
        <v>356187984030218</v>
      </c>
      <c r="D439" s="20" t="s">
        <v>134</v>
      </c>
      <c r="E439" s="20">
        <v>2470</v>
      </c>
      <c r="F439" s="20">
        <v>2380</v>
      </c>
      <c r="G439" s="11">
        <f t="shared" si="13"/>
        <v>90</v>
      </c>
      <c r="H439" s="12">
        <f t="shared" si="14"/>
        <v>3.7815126050420166E-2</v>
      </c>
      <c r="I439" s="20" t="s">
        <v>36</v>
      </c>
      <c r="J439" s="20"/>
    </row>
    <row r="440" spans="1:10" x14ac:dyDescent="0.25">
      <c r="A440" s="22">
        <v>46154</v>
      </c>
      <c r="B440" s="20" t="s">
        <v>131</v>
      </c>
      <c r="C440" s="21">
        <v>356187984383492</v>
      </c>
      <c r="D440" s="20" t="s">
        <v>133</v>
      </c>
      <c r="E440" s="20">
        <v>2470</v>
      </c>
      <c r="F440" s="20">
        <v>2380</v>
      </c>
      <c r="G440" s="11">
        <f t="shared" si="13"/>
        <v>90</v>
      </c>
      <c r="H440" s="12">
        <f t="shared" si="14"/>
        <v>3.7815126050420166E-2</v>
      </c>
      <c r="I440" s="20" t="s">
        <v>36</v>
      </c>
      <c r="J440" s="20"/>
    </row>
    <row r="441" spans="1:10" x14ac:dyDescent="0.25">
      <c r="A441" s="22">
        <v>46154</v>
      </c>
      <c r="B441" s="20" t="s">
        <v>131</v>
      </c>
      <c r="C441" s="21">
        <v>356187984749726</v>
      </c>
      <c r="D441" s="20" t="s">
        <v>134</v>
      </c>
      <c r="E441" s="20">
        <v>2470</v>
      </c>
      <c r="F441" s="20">
        <v>2380</v>
      </c>
      <c r="G441" s="11">
        <f t="shared" si="13"/>
        <v>90</v>
      </c>
      <c r="H441" s="12">
        <f t="shared" si="14"/>
        <v>3.7815126050420166E-2</v>
      </c>
      <c r="I441" s="20" t="s">
        <v>36</v>
      </c>
      <c r="J441" s="20"/>
    </row>
    <row r="442" spans="1:10" x14ac:dyDescent="0.25">
      <c r="A442" s="22">
        <v>46154</v>
      </c>
      <c r="B442" s="20" t="s">
        <v>131</v>
      </c>
      <c r="C442" s="21">
        <v>356187984983135</v>
      </c>
      <c r="D442" s="20" t="s">
        <v>135</v>
      </c>
      <c r="E442" s="20">
        <v>1</v>
      </c>
      <c r="F442" s="20">
        <v>2380</v>
      </c>
      <c r="G442" s="11">
        <f t="shared" si="13"/>
        <v>-2379</v>
      </c>
      <c r="H442" s="12">
        <f t="shared" si="14"/>
        <v>-0.99957983193277311</v>
      </c>
      <c r="I442" s="20" t="s">
        <v>36</v>
      </c>
      <c r="J442" s="20" t="s">
        <v>68</v>
      </c>
    </row>
    <row r="443" spans="1:10" x14ac:dyDescent="0.25">
      <c r="A443" s="22">
        <v>46154</v>
      </c>
      <c r="B443" s="20" t="s">
        <v>131</v>
      </c>
      <c r="C443" s="21">
        <v>356187985118889</v>
      </c>
      <c r="D443" s="20" t="s">
        <v>133</v>
      </c>
      <c r="E443" s="20">
        <v>1</v>
      </c>
      <c r="F443" s="20">
        <v>2380</v>
      </c>
      <c r="G443" s="11">
        <f t="shared" si="13"/>
        <v>-2379</v>
      </c>
      <c r="H443" s="12">
        <f t="shared" si="14"/>
        <v>-0.99957983193277311</v>
      </c>
      <c r="I443" s="20" t="s">
        <v>36</v>
      </c>
      <c r="J443" s="20" t="s">
        <v>68</v>
      </c>
    </row>
    <row r="444" spans="1:10" x14ac:dyDescent="0.25">
      <c r="A444" s="22">
        <v>46154</v>
      </c>
      <c r="B444" s="20" t="s">
        <v>131</v>
      </c>
      <c r="C444" s="21">
        <v>356187985385017</v>
      </c>
      <c r="D444" s="20" t="s">
        <v>133</v>
      </c>
      <c r="E444" s="20">
        <v>2470</v>
      </c>
      <c r="F444" s="20">
        <v>2380</v>
      </c>
      <c r="G444" s="11">
        <f t="shared" si="13"/>
        <v>90</v>
      </c>
      <c r="H444" s="12">
        <f t="shared" si="14"/>
        <v>3.7815126050420166E-2</v>
      </c>
      <c r="I444" s="20" t="s">
        <v>36</v>
      </c>
      <c r="J444" s="20"/>
    </row>
    <row r="445" spans="1:10" x14ac:dyDescent="0.25">
      <c r="A445" s="22">
        <v>46154</v>
      </c>
      <c r="B445" s="20" t="s">
        <v>131</v>
      </c>
      <c r="C445" s="21">
        <v>358135795542424</v>
      </c>
      <c r="D445" s="20" t="s">
        <v>134</v>
      </c>
      <c r="E445" s="20">
        <v>2470</v>
      </c>
      <c r="F445" s="20">
        <v>2380</v>
      </c>
      <c r="G445" s="11">
        <f t="shared" si="13"/>
        <v>90</v>
      </c>
      <c r="H445" s="12">
        <f t="shared" si="14"/>
        <v>3.7815126050420166E-2</v>
      </c>
      <c r="I445" s="20" t="s">
        <v>36</v>
      </c>
      <c r="J445" s="20"/>
    </row>
    <row r="446" spans="1:10" x14ac:dyDescent="0.25">
      <c r="A446" s="22">
        <v>46154</v>
      </c>
      <c r="B446" s="20" t="s">
        <v>71</v>
      </c>
      <c r="C446" s="21">
        <v>356245416551316</v>
      </c>
      <c r="D446" s="20" t="s">
        <v>34</v>
      </c>
      <c r="E446" s="20">
        <v>3267.08</v>
      </c>
      <c r="F446" s="20">
        <v>3000</v>
      </c>
      <c r="G446" s="11">
        <f t="shared" si="13"/>
        <v>267.07999999999993</v>
      </c>
      <c r="H446" s="12">
        <f t="shared" si="14"/>
        <v>8.9026666666666643E-2</v>
      </c>
      <c r="I446" s="20" t="s">
        <v>36</v>
      </c>
      <c r="J446" s="20"/>
    </row>
    <row r="447" spans="1:10" x14ac:dyDescent="0.25">
      <c r="A447" s="22">
        <v>46155</v>
      </c>
      <c r="B447" s="20" t="s">
        <v>276</v>
      </c>
      <c r="C447" s="21">
        <v>357585655786662</v>
      </c>
      <c r="D447" s="20" t="s">
        <v>278</v>
      </c>
      <c r="E447" s="20">
        <v>1100</v>
      </c>
      <c r="F447" s="20">
        <v>930</v>
      </c>
      <c r="G447" s="11">
        <f t="shared" si="13"/>
        <v>170</v>
      </c>
      <c r="H447" s="12">
        <f t="shared" si="14"/>
        <v>0.18279569892473119</v>
      </c>
      <c r="I447" s="20" t="s">
        <v>36</v>
      </c>
      <c r="J447" s="20"/>
    </row>
    <row r="448" spans="1:10" x14ac:dyDescent="0.25">
      <c r="A448" s="13">
        <v>46155</v>
      </c>
      <c r="B448" s="14" t="s">
        <v>283</v>
      </c>
      <c r="C448" s="17">
        <v>358112933029903</v>
      </c>
      <c r="D448" s="14" t="s">
        <v>284</v>
      </c>
      <c r="E448" s="14">
        <v>3120</v>
      </c>
      <c r="F448" s="14">
        <v>3165</v>
      </c>
      <c r="G448" s="14">
        <f t="shared" si="13"/>
        <v>-45</v>
      </c>
      <c r="H448" s="16">
        <f t="shared" si="14"/>
        <v>-1.4218009478672985E-2</v>
      </c>
      <c r="I448" s="14" t="s">
        <v>36</v>
      </c>
      <c r="J448" s="20" t="s">
        <v>26</v>
      </c>
    </row>
    <row r="449" spans="1:10" x14ac:dyDescent="0.25">
      <c r="A449" s="22">
        <v>46155</v>
      </c>
      <c r="B449" s="20" t="s">
        <v>304</v>
      </c>
      <c r="C449" s="21">
        <v>352355700129150</v>
      </c>
      <c r="D449" s="20"/>
      <c r="E449" s="20">
        <v>3800</v>
      </c>
      <c r="F449" s="20">
        <v>3800</v>
      </c>
      <c r="G449" s="11">
        <f t="shared" si="13"/>
        <v>0</v>
      </c>
      <c r="H449" s="12">
        <f t="shared" si="14"/>
        <v>0</v>
      </c>
      <c r="I449" s="20" t="s">
        <v>36</v>
      </c>
      <c r="J449" s="20"/>
    </row>
    <row r="450" spans="1:10" x14ac:dyDescent="0.25">
      <c r="A450" s="13">
        <v>46155</v>
      </c>
      <c r="B450" s="14" t="s">
        <v>304</v>
      </c>
      <c r="C450" s="17">
        <v>352355702872138</v>
      </c>
      <c r="D450" s="14" t="s">
        <v>305</v>
      </c>
      <c r="E450" s="14">
        <v>3800</v>
      </c>
      <c r="F450" s="14">
        <v>3850</v>
      </c>
      <c r="G450" s="14">
        <f t="shared" si="13"/>
        <v>-50</v>
      </c>
      <c r="H450" s="16">
        <f t="shared" si="14"/>
        <v>-1.2987012987012988E-2</v>
      </c>
      <c r="I450" s="14" t="s">
        <v>36</v>
      </c>
      <c r="J450" s="20" t="s">
        <v>26</v>
      </c>
    </row>
    <row r="451" spans="1:10" x14ac:dyDescent="0.25">
      <c r="A451" s="22">
        <v>46155</v>
      </c>
      <c r="B451" s="20" t="s">
        <v>304</v>
      </c>
      <c r="C451" s="21">
        <v>352355706300888</v>
      </c>
      <c r="D451" s="20"/>
      <c r="E451" s="20">
        <v>3800</v>
      </c>
      <c r="F451" s="20">
        <v>3800</v>
      </c>
      <c r="G451" s="11">
        <f t="shared" ref="G451:G502" si="15">E451-F451</f>
        <v>0</v>
      </c>
      <c r="H451" s="12">
        <f t="shared" si="14"/>
        <v>0</v>
      </c>
      <c r="I451" s="20" t="s">
        <v>36</v>
      </c>
      <c r="J451" s="20"/>
    </row>
    <row r="452" spans="1:10" x14ac:dyDescent="0.25">
      <c r="A452" s="13">
        <v>46155</v>
      </c>
      <c r="B452" s="14" t="s">
        <v>304</v>
      </c>
      <c r="C452" s="17">
        <v>352355707695203</v>
      </c>
      <c r="D452" s="14" t="s">
        <v>307</v>
      </c>
      <c r="E452" s="14">
        <v>3800</v>
      </c>
      <c r="F452" s="14">
        <v>3850</v>
      </c>
      <c r="G452" s="14">
        <f t="shared" si="15"/>
        <v>-50</v>
      </c>
      <c r="H452" s="16">
        <f t="shared" si="14"/>
        <v>-1.2987012987012988E-2</v>
      </c>
      <c r="I452" s="14" t="s">
        <v>36</v>
      </c>
      <c r="J452" s="20" t="s">
        <v>26</v>
      </c>
    </row>
    <row r="453" spans="1:10" x14ac:dyDescent="0.25">
      <c r="A453" s="22">
        <v>46155</v>
      </c>
      <c r="B453" s="20" t="s">
        <v>304</v>
      </c>
      <c r="C453" s="21">
        <v>352355707751782</v>
      </c>
      <c r="D453" s="20" t="s">
        <v>110</v>
      </c>
      <c r="E453" s="20">
        <v>3900</v>
      </c>
      <c r="F453" s="20">
        <v>3800</v>
      </c>
      <c r="G453" s="11">
        <f t="shared" si="15"/>
        <v>100</v>
      </c>
      <c r="H453" s="12">
        <f t="shared" si="14"/>
        <v>2.6315789473684209E-2</v>
      </c>
      <c r="I453" s="20" t="s">
        <v>36</v>
      </c>
      <c r="J453" s="20"/>
    </row>
    <row r="454" spans="1:10" x14ac:dyDescent="0.25">
      <c r="A454" s="22">
        <v>46155</v>
      </c>
      <c r="B454" s="20" t="s">
        <v>304</v>
      </c>
      <c r="C454" s="21">
        <v>352355709551396</v>
      </c>
      <c r="D454" s="20" t="s">
        <v>284</v>
      </c>
      <c r="E454" s="20">
        <v>3900</v>
      </c>
      <c r="F454" s="20">
        <v>3500</v>
      </c>
      <c r="G454" s="11">
        <f t="shared" si="15"/>
        <v>400</v>
      </c>
      <c r="H454" s="12">
        <f t="shared" si="14"/>
        <v>0.11428571428571428</v>
      </c>
      <c r="I454" s="20" t="s">
        <v>36</v>
      </c>
      <c r="J454" s="20"/>
    </row>
    <row r="455" spans="1:10" x14ac:dyDescent="0.25">
      <c r="A455" s="13">
        <v>46155</v>
      </c>
      <c r="B455" s="14" t="s">
        <v>304</v>
      </c>
      <c r="C455" s="17">
        <v>352355709858593</v>
      </c>
      <c r="D455" s="14" t="s">
        <v>308</v>
      </c>
      <c r="E455" s="14">
        <v>3800</v>
      </c>
      <c r="F455" s="14">
        <v>3900</v>
      </c>
      <c r="G455" s="14">
        <f t="shared" si="15"/>
        <v>-100</v>
      </c>
      <c r="H455" s="16">
        <f t="shared" si="14"/>
        <v>-2.564102564102564E-2</v>
      </c>
      <c r="I455" s="14" t="s">
        <v>36</v>
      </c>
      <c r="J455" s="20" t="s">
        <v>26</v>
      </c>
    </row>
    <row r="456" spans="1:10" x14ac:dyDescent="0.25">
      <c r="A456" s="22">
        <v>46156</v>
      </c>
      <c r="B456" s="20" t="s">
        <v>32</v>
      </c>
      <c r="C456" s="21">
        <v>350035232798399</v>
      </c>
      <c r="D456" s="20" t="s">
        <v>35</v>
      </c>
      <c r="E456" s="20">
        <v>2970</v>
      </c>
      <c r="F456" s="20">
        <v>2960</v>
      </c>
      <c r="G456" s="11">
        <f t="shared" si="15"/>
        <v>10</v>
      </c>
      <c r="H456" s="12">
        <f t="shared" si="14"/>
        <v>3.3783783783783786E-3</v>
      </c>
      <c r="I456" s="20" t="s">
        <v>36</v>
      </c>
      <c r="J456" s="20"/>
    </row>
    <row r="457" spans="1:10" x14ac:dyDescent="0.25">
      <c r="A457" s="13">
        <v>46156</v>
      </c>
      <c r="B457" s="14" t="s">
        <v>32</v>
      </c>
      <c r="C457" s="17">
        <v>350035235535947</v>
      </c>
      <c r="D457" s="14" t="s">
        <v>35</v>
      </c>
      <c r="E457" s="14">
        <v>2970</v>
      </c>
      <c r="F457" s="14">
        <v>3050</v>
      </c>
      <c r="G457" s="14">
        <f t="shared" si="15"/>
        <v>-80</v>
      </c>
      <c r="H457" s="16">
        <f t="shared" si="14"/>
        <v>-2.6229508196721311E-2</v>
      </c>
      <c r="I457" s="14" t="s">
        <v>36</v>
      </c>
      <c r="J457" s="20" t="s">
        <v>26</v>
      </c>
    </row>
    <row r="458" spans="1:10" x14ac:dyDescent="0.25">
      <c r="A458" s="13">
        <v>46156</v>
      </c>
      <c r="B458" s="14" t="s">
        <v>32</v>
      </c>
      <c r="C458" s="17">
        <v>350035237395332</v>
      </c>
      <c r="D458" s="14" t="s">
        <v>35</v>
      </c>
      <c r="E458" s="14">
        <v>2970</v>
      </c>
      <c r="F458" s="14">
        <v>3050</v>
      </c>
      <c r="G458" s="14">
        <f t="shared" si="15"/>
        <v>-80</v>
      </c>
      <c r="H458" s="16">
        <f t="shared" si="14"/>
        <v>-2.6229508196721311E-2</v>
      </c>
      <c r="I458" s="14" t="s">
        <v>36</v>
      </c>
      <c r="J458" s="20" t="s">
        <v>26</v>
      </c>
    </row>
    <row r="459" spans="1:10" x14ac:dyDescent="0.25">
      <c r="A459" s="13">
        <v>46156</v>
      </c>
      <c r="B459" s="14" t="s">
        <v>32</v>
      </c>
      <c r="C459" s="17">
        <v>350035238975231</v>
      </c>
      <c r="D459" s="14" t="s">
        <v>35</v>
      </c>
      <c r="E459" s="14">
        <v>3000</v>
      </c>
      <c r="F459" s="14">
        <v>3050</v>
      </c>
      <c r="G459" s="14">
        <f t="shared" si="15"/>
        <v>-50</v>
      </c>
      <c r="H459" s="16">
        <f t="shared" si="14"/>
        <v>-1.6393442622950821E-2</v>
      </c>
      <c r="I459" s="14" t="s">
        <v>36</v>
      </c>
      <c r="J459" s="20" t="s">
        <v>26</v>
      </c>
    </row>
    <row r="460" spans="1:10" x14ac:dyDescent="0.25">
      <c r="A460" s="22">
        <v>46156</v>
      </c>
      <c r="B460" s="20" t="s">
        <v>32</v>
      </c>
      <c r="C460" s="21">
        <v>350552890444942</v>
      </c>
      <c r="D460" s="20" t="s">
        <v>35</v>
      </c>
      <c r="E460" s="20">
        <v>2970</v>
      </c>
      <c r="F460" s="20">
        <v>2960</v>
      </c>
      <c r="G460" s="11">
        <f t="shared" si="15"/>
        <v>10</v>
      </c>
      <c r="H460" s="12">
        <f t="shared" si="14"/>
        <v>3.3783783783783786E-3</v>
      </c>
      <c r="I460" s="20" t="s">
        <v>36</v>
      </c>
      <c r="J460" s="20"/>
    </row>
    <row r="461" spans="1:10" x14ac:dyDescent="0.25">
      <c r="A461" s="22">
        <v>46156</v>
      </c>
      <c r="B461" s="20" t="s">
        <v>32</v>
      </c>
      <c r="C461" s="21">
        <v>350552896011067</v>
      </c>
      <c r="D461" s="20" t="s">
        <v>35</v>
      </c>
      <c r="E461" s="20">
        <v>2970</v>
      </c>
      <c r="F461" s="20">
        <v>2960</v>
      </c>
      <c r="G461" s="11">
        <f t="shared" si="15"/>
        <v>10</v>
      </c>
      <c r="H461" s="12">
        <f t="shared" ref="H461:H502" si="16">(E461-F461)/F461</f>
        <v>3.3783783783783786E-3</v>
      </c>
      <c r="I461" s="20" t="s">
        <v>36</v>
      </c>
      <c r="J461" s="20"/>
    </row>
    <row r="462" spans="1:10" x14ac:dyDescent="0.25">
      <c r="A462" s="22">
        <v>46156</v>
      </c>
      <c r="B462" s="20" t="s">
        <v>32</v>
      </c>
      <c r="C462" s="21">
        <v>350552899011031</v>
      </c>
      <c r="D462" s="20" t="s">
        <v>35</v>
      </c>
      <c r="E462" s="20">
        <v>2970</v>
      </c>
      <c r="F462" s="20">
        <v>2960</v>
      </c>
      <c r="G462" s="11">
        <f t="shared" si="15"/>
        <v>10</v>
      </c>
      <c r="H462" s="12">
        <f t="shared" si="16"/>
        <v>3.3783783783783786E-3</v>
      </c>
      <c r="I462" s="20" t="s">
        <v>36</v>
      </c>
      <c r="J462" s="20"/>
    </row>
    <row r="463" spans="1:10" x14ac:dyDescent="0.25">
      <c r="A463" s="22">
        <v>46156</v>
      </c>
      <c r="B463" s="20" t="s">
        <v>32</v>
      </c>
      <c r="C463" s="21">
        <v>351668143770229</v>
      </c>
      <c r="D463" s="20" t="s">
        <v>35</v>
      </c>
      <c r="E463" s="20">
        <v>3020</v>
      </c>
      <c r="F463" s="20">
        <v>2960</v>
      </c>
      <c r="G463" s="11">
        <f t="shared" si="15"/>
        <v>60</v>
      </c>
      <c r="H463" s="12">
        <f t="shared" si="16"/>
        <v>2.0270270270270271E-2</v>
      </c>
      <c r="I463" s="20" t="s">
        <v>36</v>
      </c>
      <c r="J463" s="20"/>
    </row>
    <row r="464" spans="1:10" x14ac:dyDescent="0.25">
      <c r="A464" s="13">
        <v>46156</v>
      </c>
      <c r="B464" s="14" t="s">
        <v>32</v>
      </c>
      <c r="C464" s="17">
        <v>356225420135272</v>
      </c>
      <c r="D464" s="14" t="s">
        <v>35</v>
      </c>
      <c r="E464" s="14">
        <v>3000</v>
      </c>
      <c r="F464" s="14">
        <v>3050</v>
      </c>
      <c r="G464" s="14">
        <f t="shared" si="15"/>
        <v>-50</v>
      </c>
      <c r="H464" s="16">
        <f t="shared" si="16"/>
        <v>-1.6393442622950821E-2</v>
      </c>
      <c r="I464" s="14" t="s">
        <v>36</v>
      </c>
      <c r="J464" s="20" t="s">
        <v>26</v>
      </c>
    </row>
    <row r="465" spans="1:10" x14ac:dyDescent="0.25">
      <c r="A465" s="22">
        <v>46156</v>
      </c>
      <c r="B465" s="20" t="s">
        <v>32</v>
      </c>
      <c r="C465" s="21">
        <v>356225420378641</v>
      </c>
      <c r="D465" s="20" t="s">
        <v>35</v>
      </c>
      <c r="E465" s="20">
        <v>2970</v>
      </c>
      <c r="F465" s="20">
        <v>2960</v>
      </c>
      <c r="G465" s="11">
        <f t="shared" si="15"/>
        <v>10</v>
      </c>
      <c r="H465" s="12">
        <f t="shared" si="16"/>
        <v>3.3783783783783786E-3</v>
      </c>
      <c r="I465" s="20" t="s">
        <v>36</v>
      </c>
      <c r="J465" s="20"/>
    </row>
    <row r="466" spans="1:10" x14ac:dyDescent="0.25">
      <c r="A466" s="22">
        <v>46156</v>
      </c>
      <c r="B466" s="20" t="s">
        <v>32</v>
      </c>
      <c r="C466" s="21">
        <v>356225420706502</v>
      </c>
      <c r="D466" s="20" t="s">
        <v>35</v>
      </c>
      <c r="E466" s="20">
        <v>2970</v>
      </c>
      <c r="F466" s="20">
        <v>2960</v>
      </c>
      <c r="G466" s="11">
        <f t="shared" si="15"/>
        <v>10</v>
      </c>
      <c r="H466" s="12">
        <f t="shared" si="16"/>
        <v>3.3783783783783786E-3</v>
      </c>
      <c r="I466" s="20" t="s">
        <v>36</v>
      </c>
      <c r="J466" s="20"/>
    </row>
    <row r="467" spans="1:10" x14ac:dyDescent="0.25">
      <c r="A467" s="22">
        <v>46156</v>
      </c>
      <c r="B467" s="20" t="s">
        <v>32</v>
      </c>
      <c r="C467" s="21">
        <v>356225421782528</v>
      </c>
      <c r="D467" s="20" t="s">
        <v>35</v>
      </c>
      <c r="E467" s="20">
        <v>2970</v>
      </c>
      <c r="F467" s="20">
        <v>2960</v>
      </c>
      <c r="G467" s="11">
        <f t="shared" si="15"/>
        <v>10</v>
      </c>
      <c r="H467" s="12">
        <f t="shared" si="16"/>
        <v>3.3783783783783786E-3</v>
      </c>
      <c r="I467" s="20" t="s">
        <v>36</v>
      </c>
      <c r="J467" s="20"/>
    </row>
    <row r="468" spans="1:10" x14ac:dyDescent="0.25">
      <c r="A468" s="13">
        <v>46156</v>
      </c>
      <c r="B468" s="14" t="s">
        <v>32</v>
      </c>
      <c r="C468" s="17">
        <v>356392243271609</v>
      </c>
      <c r="D468" s="14" t="s">
        <v>35</v>
      </c>
      <c r="E468" s="14">
        <v>2970</v>
      </c>
      <c r="F468" s="14">
        <v>3050</v>
      </c>
      <c r="G468" s="14">
        <f t="shared" si="15"/>
        <v>-80</v>
      </c>
      <c r="H468" s="16">
        <f t="shared" si="16"/>
        <v>-2.6229508196721311E-2</v>
      </c>
      <c r="I468" s="14" t="s">
        <v>36</v>
      </c>
      <c r="J468" s="20" t="s">
        <v>26</v>
      </c>
    </row>
    <row r="469" spans="1:10" x14ac:dyDescent="0.25">
      <c r="A469" s="13">
        <v>46156</v>
      </c>
      <c r="B469" s="14" t="s">
        <v>32</v>
      </c>
      <c r="C469" s="17">
        <v>356392248432180</v>
      </c>
      <c r="D469" s="14" t="s">
        <v>35</v>
      </c>
      <c r="E469" s="14">
        <v>2970</v>
      </c>
      <c r="F469" s="14">
        <v>3050</v>
      </c>
      <c r="G469" s="14">
        <f t="shared" si="15"/>
        <v>-80</v>
      </c>
      <c r="H469" s="16">
        <f t="shared" si="16"/>
        <v>-2.6229508196721311E-2</v>
      </c>
      <c r="I469" s="14" t="s">
        <v>36</v>
      </c>
      <c r="J469" s="20" t="s">
        <v>26</v>
      </c>
    </row>
    <row r="470" spans="1:10" x14ac:dyDescent="0.25">
      <c r="A470" s="13">
        <v>46156</v>
      </c>
      <c r="B470" s="14" t="s">
        <v>32</v>
      </c>
      <c r="C470" s="17">
        <v>357329442133734</v>
      </c>
      <c r="D470" s="14" t="s">
        <v>35</v>
      </c>
      <c r="E470" s="14">
        <v>2970</v>
      </c>
      <c r="F470" s="14">
        <v>3050</v>
      </c>
      <c r="G470" s="14">
        <f t="shared" si="15"/>
        <v>-80</v>
      </c>
      <c r="H470" s="16">
        <f t="shared" si="16"/>
        <v>-2.6229508196721311E-2</v>
      </c>
      <c r="I470" s="14" t="s">
        <v>36</v>
      </c>
      <c r="J470" s="20" t="s">
        <v>26</v>
      </c>
    </row>
    <row r="471" spans="1:10" x14ac:dyDescent="0.25">
      <c r="A471" s="22">
        <v>46157</v>
      </c>
      <c r="B471" s="20" t="s">
        <v>331</v>
      </c>
      <c r="C471" s="21">
        <v>358713097596353</v>
      </c>
      <c r="D471" s="20"/>
      <c r="E471" s="20">
        <v>1000</v>
      </c>
      <c r="F471" s="20">
        <v>1000</v>
      </c>
      <c r="G471" s="11">
        <f t="shared" si="15"/>
        <v>0</v>
      </c>
      <c r="H471" s="12">
        <f t="shared" si="16"/>
        <v>0</v>
      </c>
      <c r="I471" s="20" t="s">
        <v>36</v>
      </c>
      <c r="J471" s="20"/>
    </row>
    <row r="472" spans="1:10" x14ac:dyDescent="0.25">
      <c r="A472" s="22">
        <v>46158</v>
      </c>
      <c r="B472" s="20" t="s">
        <v>76</v>
      </c>
      <c r="C472" s="21">
        <v>350520601070009</v>
      </c>
      <c r="D472" s="20" t="s">
        <v>78</v>
      </c>
      <c r="E472" s="20">
        <v>2570</v>
      </c>
      <c r="F472" s="20">
        <v>2450</v>
      </c>
      <c r="G472" s="11">
        <f t="shared" si="15"/>
        <v>120</v>
      </c>
      <c r="H472" s="12">
        <f t="shared" si="16"/>
        <v>4.8979591836734691E-2</v>
      </c>
      <c r="I472" s="20" t="s">
        <v>36</v>
      </c>
      <c r="J472" s="20"/>
    </row>
    <row r="473" spans="1:10" x14ac:dyDescent="0.25">
      <c r="A473" s="22">
        <v>46158</v>
      </c>
      <c r="B473" s="20" t="s">
        <v>76</v>
      </c>
      <c r="C473" s="21">
        <v>350687011215787</v>
      </c>
      <c r="D473" s="20" t="s">
        <v>78</v>
      </c>
      <c r="E473" s="20">
        <v>2570</v>
      </c>
      <c r="F473" s="20">
        <v>2450</v>
      </c>
      <c r="G473" s="11">
        <f t="shared" si="15"/>
        <v>120</v>
      </c>
      <c r="H473" s="12">
        <f t="shared" si="16"/>
        <v>4.8979591836734691E-2</v>
      </c>
      <c r="I473" s="20" t="s">
        <v>36</v>
      </c>
      <c r="J473" s="20"/>
    </row>
    <row r="474" spans="1:10" x14ac:dyDescent="0.25">
      <c r="A474" s="22">
        <v>46158</v>
      </c>
      <c r="B474" s="20" t="s">
        <v>76</v>
      </c>
      <c r="C474" s="21">
        <v>350687011234044</v>
      </c>
      <c r="D474" s="20" t="s">
        <v>78</v>
      </c>
      <c r="E474" s="20">
        <v>2570</v>
      </c>
      <c r="F474" s="20">
        <v>2450</v>
      </c>
      <c r="G474" s="11">
        <f t="shared" si="15"/>
        <v>120</v>
      </c>
      <c r="H474" s="12">
        <f t="shared" si="16"/>
        <v>4.8979591836734691E-2</v>
      </c>
      <c r="I474" s="20" t="s">
        <v>36</v>
      </c>
      <c r="J474" s="20"/>
    </row>
    <row r="475" spans="1:10" x14ac:dyDescent="0.25">
      <c r="A475" s="22">
        <v>46158</v>
      </c>
      <c r="B475" s="20" t="s">
        <v>76</v>
      </c>
      <c r="C475" s="21">
        <v>351235181592970</v>
      </c>
      <c r="D475" s="20" t="s">
        <v>78</v>
      </c>
      <c r="E475" s="20">
        <v>2570</v>
      </c>
      <c r="F475" s="20">
        <v>2450</v>
      </c>
      <c r="G475" s="11">
        <f t="shared" si="15"/>
        <v>120</v>
      </c>
      <c r="H475" s="12">
        <f t="shared" si="16"/>
        <v>4.8979591836734691E-2</v>
      </c>
      <c r="I475" s="20" t="s">
        <v>36</v>
      </c>
      <c r="J475" s="20"/>
    </row>
    <row r="476" spans="1:10" x14ac:dyDescent="0.25">
      <c r="A476" s="22">
        <v>46158</v>
      </c>
      <c r="B476" s="20" t="s">
        <v>76</v>
      </c>
      <c r="C476" s="21">
        <v>357731110241774</v>
      </c>
      <c r="D476" s="20" t="s">
        <v>77</v>
      </c>
      <c r="E476" s="20">
        <v>2570</v>
      </c>
      <c r="F476" s="20">
        <v>2450</v>
      </c>
      <c r="G476" s="11">
        <f t="shared" si="15"/>
        <v>120</v>
      </c>
      <c r="H476" s="12">
        <f t="shared" si="16"/>
        <v>4.8979591836734691E-2</v>
      </c>
      <c r="I476" s="20" t="s">
        <v>36</v>
      </c>
      <c r="J476" s="20"/>
    </row>
    <row r="477" spans="1:10" x14ac:dyDescent="0.25">
      <c r="A477" s="13">
        <v>46158</v>
      </c>
      <c r="B477" s="14" t="s">
        <v>335</v>
      </c>
      <c r="C477" s="17">
        <v>352066342028508</v>
      </c>
      <c r="D477" s="14" t="s">
        <v>336</v>
      </c>
      <c r="E477" s="14">
        <v>3150</v>
      </c>
      <c r="F477" s="14">
        <v>3450</v>
      </c>
      <c r="G477" s="14">
        <f t="shared" si="15"/>
        <v>-300</v>
      </c>
      <c r="H477" s="16">
        <f t="shared" si="16"/>
        <v>-8.6956521739130432E-2</v>
      </c>
      <c r="I477" s="14" t="s">
        <v>36</v>
      </c>
      <c r="J477" s="20" t="s">
        <v>26</v>
      </c>
    </row>
    <row r="478" spans="1:10" x14ac:dyDescent="0.25">
      <c r="A478" s="22">
        <v>46160</v>
      </c>
      <c r="B478" s="20" t="s">
        <v>76</v>
      </c>
      <c r="C478" s="21">
        <v>350520600313491</v>
      </c>
      <c r="D478" s="20" t="s">
        <v>78</v>
      </c>
      <c r="E478" s="20">
        <v>2570</v>
      </c>
      <c r="F478" s="20">
        <v>2450</v>
      </c>
      <c r="G478" s="11">
        <f t="shared" si="15"/>
        <v>120</v>
      </c>
      <c r="H478" s="12">
        <f t="shared" si="16"/>
        <v>4.8979591836734691E-2</v>
      </c>
      <c r="I478" s="20" t="s">
        <v>36</v>
      </c>
      <c r="J478" s="20"/>
    </row>
    <row r="479" spans="1:10" x14ac:dyDescent="0.25">
      <c r="A479" s="22">
        <v>46160</v>
      </c>
      <c r="B479" s="20" t="s">
        <v>76</v>
      </c>
      <c r="C479" s="21">
        <v>350520600682614</v>
      </c>
      <c r="D479" s="20" t="s">
        <v>78</v>
      </c>
      <c r="E479" s="20">
        <v>2570</v>
      </c>
      <c r="F479" s="20">
        <v>2450</v>
      </c>
      <c r="G479" s="11">
        <f t="shared" si="15"/>
        <v>120</v>
      </c>
      <c r="H479" s="12">
        <f t="shared" si="16"/>
        <v>4.8979591836734691E-2</v>
      </c>
      <c r="I479" s="20" t="s">
        <v>36</v>
      </c>
      <c r="J479" s="20"/>
    </row>
    <row r="480" spans="1:10" x14ac:dyDescent="0.25">
      <c r="A480" s="22">
        <v>46160</v>
      </c>
      <c r="B480" s="20" t="s">
        <v>76</v>
      </c>
      <c r="C480" s="21">
        <v>350520600764388</v>
      </c>
      <c r="D480" s="20" t="s">
        <v>78</v>
      </c>
      <c r="E480" s="20">
        <v>2570</v>
      </c>
      <c r="F480" s="20">
        <v>2450</v>
      </c>
      <c r="G480" s="11">
        <f t="shared" si="15"/>
        <v>120</v>
      </c>
      <c r="H480" s="12">
        <f t="shared" si="16"/>
        <v>4.8979591836734691E-2</v>
      </c>
      <c r="I480" s="20" t="s">
        <v>36</v>
      </c>
      <c r="J480" s="20"/>
    </row>
    <row r="481" spans="1:10" x14ac:dyDescent="0.25">
      <c r="A481" s="22">
        <v>46160</v>
      </c>
      <c r="B481" s="20" t="s">
        <v>76</v>
      </c>
      <c r="C481" s="21">
        <v>350687013324116</v>
      </c>
      <c r="D481" s="20" t="s">
        <v>21</v>
      </c>
      <c r="E481" s="20">
        <v>2570</v>
      </c>
      <c r="F481" s="20">
        <v>2450</v>
      </c>
      <c r="G481" s="11">
        <f t="shared" si="15"/>
        <v>120</v>
      </c>
      <c r="H481" s="12">
        <f t="shared" si="16"/>
        <v>4.8979591836734691E-2</v>
      </c>
      <c r="I481" s="20" t="s">
        <v>36</v>
      </c>
      <c r="J481" s="20"/>
    </row>
    <row r="482" spans="1:10" x14ac:dyDescent="0.25">
      <c r="A482" s="22">
        <v>46160</v>
      </c>
      <c r="B482" s="20" t="s">
        <v>339</v>
      </c>
      <c r="C482" s="21">
        <v>350308855224492</v>
      </c>
      <c r="D482" s="20" t="s">
        <v>30</v>
      </c>
      <c r="E482" s="20">
        <v>2690</v>
      </c>
      <c r="F482" s="20">
        <v>2550</v>
      </c>
      <c r="G482" s="11">
        <f t="shared" si="15"/>
        <v>140</v>
      </c>
      <c r="H482" s="12">
        <f t="shared" si="16"/>
        <v>5.4901960784313725E-2</v>
      </c>
      <c r="I482" s="20" t="s">
        <v>36</v>
      </c>
      <c r="J482" s="20"/>
    </row>
    <row r="483" spans="1:10" x14ac:dyDescent="0.25">
      <c r="A483" s="22">
        <v>46160</v>
      </c>
      <c r="B483" s="20" t="s">
        <v>340</v>
      </c>
      <c r="C483" s="21">
        <v>351042462534725</v>
      </c>
      <c r="D483" s="20" t="s">
        <v>30</v>
      </c>
      <c r="E483" s="20">
        <v>2690</v>
      </c>
      <c r="F483" s="20">
        <v>2550</v>
      </c>
      <c r="G483" s="11">
        <f t="shared" si="15"/>
        <v>140</v>
      </c>
      <c r="H483" s="12">
        <f t="shared" si="16"/>
        <v>5.4901960784313725E-2</v>
      </c>
      <c r="I483" s="20" t="s">
        <v>36</v>
      </c>
      <c r="J483" s="20"/>
    </row>
    <row r="484" spans="1:10" x14ac:dyDescent="0.25">
      <c r="A484" s="22">
        <v>46160</v>
      </c>
      <c r="B484" s="20" t="s">
        <v>340</v>
      </c>
      <c r="C484" s="21">
        <v>351042462578128</v>
      </c>
      <c r="D484" s="20" t="s">
        <v>30</v>
      </c>
      <c r="E484" s="20">
        <v>2690</v>
      </c>
      <c r="F484" s="20">
        <v>2550</v>
      </c>
      <c r="G484" s="11">
        <f t="shared" si="15"/>
        <v>140</v>
      </c>
      <c r="H484" s="12">
        <f t="shared" si="16"/>
        <v>5.4901960784313725E-2</v>
      </c>
      <c r="I484" s="20" t="s">
        <v>36</v>
      </c>
      <c r="J484" s="20"/>
    </row>
    <row r="485" spans="1:10" x14ac:dyDescent="0.25">
      <c r="A485" s="22">
        <v>46161</v>
      </c>
      <c r="B485" s="20" t="s">
        <v>32</v>
      </c>
      <c r="C485" s="21">
        <v>350552898933284</v>
      </c>
      <c r="D485" s="20" t="s">
        <v>35</v>
      </c>
      <c r="E485" s="20">
        <v>2960</v>
      </c>
      <c r="F485" s="20">
        <v>2960</v>
      </c>
      <c r="G485" s="11">
        <f t="shared" si="15"/>
        <v>0</v>
      </c>
      <c r="H485" s="12">
        <f t="shared" si="16"/>
        <v>0</v>
      </c>
      <c r="I485" s="20" t="s">
        <v>36</v>
      </c>
      <c r="J485" s="20"/>
    </row>
    <row r="486" spans="1:10" x14ac:dyDescent="0.25">
      <c r="A486" s="22">
        <v>46167</v>
      </c>
      <c r="B486" s="20" t="s">
        <v>71</v>
      </c>
      <c r="C486" s="21">
        <v>354289637149973</v>
      </c>
      <c r="D486" s="20" t="s">
        <v>35</v>
      </c>
      <c r="E486" s="20">
        <v>2680</v>
      </c>
      <c r="F486" s="20">
        <v>2600</v>
      </c>
      <c r="G486" s="11">
        <f t="shared" si="15"/>
        <v>80</v>
      </c>
      <c r="H486" s="12">
        <f t="shared" si="16"/>
        <v>3.0769230769230771E-2</v>
      </c>
      <c r="I486" s="20" t="s">
        <v>36</v>
      </c>
      <c r="J486" s="20"/>
    </row>
    <row r="487" spans="1:10" x14ac:dyDescent="0.25">
      <c r="A487" s="22">
        <v>46166</v>
      </c>
      <c r="B487" s="20" t="s">
        <v>112</v>
      </c>
      <c r="C487" s="21">
        <v>51433099466</v>
      </c>
      <c r="D487" s="20" t="s">
        <v>30</v>
      </c>
      <c r="E487" s="20">
        <v>4425</v>
      </c>
      <c r="F487" s="20">
        <v>3438.78</v>
      </c>
      <c r="G487" s="11">
        <f t="shared" si="15"/>
        <v>986.2199999999998</v>
      </c>
      <c r="H487" s="12">
        <f t="shared" si="16"/>
        <v>0.28679357213895618</v>
      </c>
      <c r="I487" s="20" t="s">
        <v>729</v>
      </c>
      <c r="J487" s="20"/>
    </row>
    <row r="488" spans="1:10" x14ac:dyDescent="0.25">
      <c r="A488" s="22">
        <v>46166</v>
      </c>
      <c r="B488" s="20" t="s">
        <v>112</v>
      </c>
      <c r="C488" s="21">
        <v>51510071438</v>
      </c>
      <c r="D488" s="20" t="s">
        <v>30</v>
      </c>
      <c r="E488" s="20">
        <v>4425</v>
      </c>
      <c r="F488" s="20">
        <v>3438.78</v>
      </c>
      <c r="G488" s="11">
        <f t="shared" si="15"/>
        <v>986.2199999999998</v>
      </c>
      <c r="H488" s="12">
        <f t="shared" si="16"/>
        <v>0.28679357213895618</v>
      </c>
      <c r="I488" s="20" t="s">
        <v>729</v>
      </c>
      <c r="J488" s="20"/>
    </row>
    <row r="489" spans="1:10" x14ac:dyDescent="0.25">
      <c r="A489" s="22">
        <v>46166</v>
      </c>
      <c r="B489" s="20" t="s">
        <v>112</v>
      </c>
      <c r="C489" s="21">
        <v>51526041499</v>
      </c>
      <c r="D489" s="20" t="s">
        <v>30</v>
      </c>
      <c r="E489" s="20">
        <v>4425</v>
      </c>
      <c r="F489" s="20">
        <v>3438.78</v>
      </c>
      <c r="G489" s="11">
        <f t="shared" si="15"/>
        <v>986.2199999999998</v>
      </c>
      <c r="H489" s="12">
        <f t="shared" si="16"/>
        <v>0.28679357213895618</v>
      </c>
      <c r="I489" s="20" t="s">
        <v>729</v>
      </c>
      <c r="J489" s="20"/>
    </row>
    <row r="490" spans="1:10" x14ac:dyDescent="0.25">
      <c r="A490" s="22">
        <v>46166</v>
      </c>
      <c r="B490" s="20" t="s">
        <v>112</v>
      </c>
      <c r="C490" s="21">
        <v>61641094478</v>
      </c>
      <c r="D490" s="20" t="s">
        <v>30</v>
      </c>
      <c r="E490" s="20">
        <v>4425</v>
      </c>
      <c r="F490" s="20">
        <v>3438.78</v>
      </c>
      <c r="G490" s="11">
        <f t="shared" si="15"/>
        <v>986.2199999999998</v>
      </c>
      <c r="H490" s="12">
        <f t="shared" si="16"/>
        <v>0.28679357213895618</v>
      </c>
      <c r="I490" s="20" t="s">
        <v>729</v>
      </c>
      <c r="J490" s="20"/>
    </row>
    <row r="491" spans="1:10" x14ac:dyDescent="0.25">
      <c r="A491" s="22">
        <v>46166</v>
      </c>
      <c r="B491" s="20" t="s">
        <v>112</v>
      </c>
      <c r="C491" s="21">
        <v>79007759475</v>
      </c>
      <c r="D491" s="20" t="s">
        <v>30</v>
      </c>
      <c r="E491" s="20">
        <v>4425</v>
      </c>
      <c r="F491" s="20">
        <v>3438.78</v>
      </c>
      <c r="G491" s="11">
        <f t="shared" si="15"/>
        <v>986.2199999999998</v>
      </c>
      <c r="H491" s="12">
        <f t="shared" si="16"/>
        <v>0.28679357213895618</v>
      </c>
      <c r="I491" s="20" t="s">
        <v>729</v>
      </c>
      <c r="J491" s="20"/>
    </row>
    <row r="492" spans="1:10" x14ac:dyDescent="0.25">
      <c r="A492" s="22">
        <v>46166</v>
      </c>
      <c r="B492" s="20" t="s">
        <v>112</v>
      </c>
      <c r="C492" s="21">
        <v>99035064578</v>
      </c>
      <c r="D492" s="20" t="s">
        <v>30</v>
      </c>
      <c r="E492" s="20">
        <v>4425</v>
      </c>
      <c r="F492" s="20">
        <v>3438.78</v>
      </c>
      <c r="G492" s="11">
        <f t="shared" si="15"/>
        <v>986.2199999999998</v>
      </c>
      <c r="H492" s="12">
        <f t="shared" si="16"/>
        <v>0.28679357213895618</v>
      </c>
      <c r="I492" s="20" t="s">
        <v>729</v>
      </c>
      <c r="J492" s="20"/>
    </row>
    <row r="493" spans="1:10" x14ac:dyDescent="0.25">
      <c r="A493" s="22">
        <v>46166</v>
      </c>
      <c r="B493" s="20" t="s">
        <v>112</v>
      </c>
      <c r="C493" s="21">
        <v>99667040367</v>
      </c>
      <c r="D493" s="20" t="s">
        <v>30</v>
      </c>
      <c r="E493" s="20">
        <v>4425</v>
      </c>
      <c r="F493" s="20">
        <v>3438.78</v>
      </c>
      <c r="G493" s="11">
        <f t="shared" si="15"/>
        <v>986.2199999999998</v>
      </c>
      <c r="H493" s="12">
        <f t="shared" si="16"/>
        <v>0.28679357213895618</v>
      </c>
      <c r="I493" s="20" t="s">
        <v>729</v>
      </c>
      <c r="J493" s="20"/>
    </row>
    <row r="494" spans="1:10" x14ac:dyDescent="0.25">
      <c r="A494" s="22">
        <v>46166</v>
      </c>
      <c r="B494" s="20" t="s">
        <v>112</v>
      </c>
      <c r="C494" s="21">
        <v>99942865042</v>
      </c>
      <c r="D494" s="20" t="s">
        <v>30</v>
      </c>
      <c r="E494" s="20">
        <v>4425</v>
      </c>
      <c r="F494" s="20">
        <v>3438.78</v>
      </c>
      <c r="G494" s="11">
        <f t="shared" si="15"/>
        <v>986.2199999999998</v>
      </c>
      <c r="H494" s="12">
        <f t="shared" si="16"/>
        <v>0.28679357213895618</v>
      </c>
      <c r="I494" s="20" t="s">
        <v>729</v>
      </c>
      <c r="J494" s="20"/>
    </row>
    <row r="495" spans="1:10" x14ac:dyDescent="0.25">
      <c r="A495" s="22">
        <v>46153</v>
      </c>
      <c r="B495" s="20" t="s">
        <v>112</v>
      </c>
      <c r="C495" s="21">
        <v>41516050123</v>
      </c>
      <c r="D495" s="20" t="s">
        <v>30</v>
      </c>
      <c r="E495" s="20">
        <v>4400</v>
      </c>
      <c r="F495" s="20">
        <v>3287.97</v>
      </c>
      <c r="G495" s="11">
        <f t="shared" si="15"/>
        <v>1112.0300000000002</v>
      </c>
      <c r="H495" s="12">
        <f t="shared" si="16"/>
        <v>0.33821172334297461</v>
      </c>
      <c r="I495" s="20" t="s">
        <v>113</v>
      </c>
      <c r="J495" s="20"/>
    </row>
    <row r="496" spans="1:10" x14ac:dyDescent="0.25">
      <c r="A496" s="22">
        <v>46153</v>
      </c>
      <c r="B496" s="20" t="s">
        <v>112</v>
      </c>
      <c r="C496" s="21">
        <v>51476081252</v>
      </c>
      <c r="D496" s="20" t="s">
        <v>30</v>
      </c>
      <c r="E496" s="20">
        <v>4400</v>
      </c>
      <c r="F496" s="20">
        <v>3287.97</v>
      </c>
      <c r="G496" s="11">
        <f t="shared" si="15"/>
        <v>1112.0300000000002</v>
      </c>
      <c r="H496" s="12">
        <f t="shared" si="16"/>
        <v>0.33821172334297461</v>
      </c>
      <c r="I496" s="20" t="s">
        <v>113</v>
      </c>
      <c r="J496" s="20"/>
    </row>
    <row r="497" spans="1:10" x14ac:dyDescent="0.25">
      <c r="A497" s="22">
        <v>46153</v>
      </c>
      <c r="B497" s="20" t="s">
        <v>112</v>
      </c>
      <c r="C497" s="21">
        <v>51558015406</v>
      </c>
      <c r="D497" s="20" t="s">
        <v>30</v>
      </c>
      <c r="E497" s="20">
        <v>4400</v>
      </c>
      <c r="F497" s="20">
        <v>3287.97</v>
      </c>
      <c r="G497" s="11">
        <f t="shared" si="15"/>
        <v>1112.0300000000002</v>
      </c>
      <c r="H497" s="12">
        <f t="shared" si="16"/>
        <v>0.33821172334297461</v>
      </c>
      <c r="I497" s="20" t="s">
        <v>113</v>
      </c>
      <c r="J497" s="20"/>
    </row>
    <row r="498" spans="1:10" x14ac:dyDescent="0.25">
      <c r="A498" s="22">
        <v>46153</v>
      </c>
      <c r="B498" s="20" t="s">
        <v>112</v>
      </c>
      <c r="C498" s="21">
        <v>51668090339</v>
      </c>
      <c r="D498" s="20" t="s">
        <v>30</v>
      </c>
      <c r="E498" s="20">
        <v>4400</v>
      </c>
      <c r="F498" s="20">
        <v>3287.97</v>
      </c>
      <c r="G498" s="11">
        <f t="shared" si="15"/>
        <v>1112.0300000000002</v>
      </c>
      <c r="H498" s="12">
        <f t="shared" si="16"/>
        <v>0.33821172334297461</v>
      </c>
      <c r="I498" s="20" t="s">
        <v>113</v>
      </c>
      <c r="J498" s="20"/>
    </row>
    <row r="499" spans="1:10" x14ac:dyDescent="0.25">
      <c r="A499" s="22">
        <v>46153</v>
      </c>
      <c r="B499" s="20" t="s">
        <v>112</v>
      </c>
      <c r="C499" s="21">
        <v>51685057331</v>
      </c>
      <c r="D499" s="20" t="s">
        <v>30</v>
      </c>
      <c r="E499" s="20">
        <v>4400</v>
      </c>
      <c r="F499" s="20">
        <v>3287.97</v>
      </c>
      <c r="G499" s="11">
        <f t="shared" si="15"/>
        <v>1112.0300000000002</v>
      </c>
      <c r="H499" s="12">
        <f t="shared" si="16"/>
        <v>0.33821172334297461</v>
      </c>
      <c r="I499" s="20" t="s">
        <v>113</v>
      </c>
      <c r="J499" s="20"/>
    </row>
    <row r="500" spans="1:10" x14ac:dyDescent="0.25">
      <c r="A500" s="22">
        <v>46153</v>
      </c>
      <c r="B500" s="20" t="s">
        <v>112</v>
      </c>
      <c r="C500" s="21">
        <v>59861255545</v>
      </c>
      <c r="D500" s="20" t="s">
        <v>30</v>
      </c>
      <c r="E500" s="20">
        <v>4400</v>
      </c>
      <c r="F500" s="20">
        <v>3287.97</v>
      </c>
      <c r="G500" s="11">
        <f t="shared" si="15"/>
        <v>1112.0300000000002</v>
      </c>
      <c r="H500" s="12">
        <f t="shared" si="16"/>
        <v>0.33821172334297461</v>
      </c>
      <c r="I500" s="20" t="s">
        <v>113</v>
      </c>
      <c r="J500" s="20"/>
    </row>
    <row r="501" spans="1:10" x14ac:dyDescent="0.25">
      <c r="A501" s="22">
        <v>46153</v>
      </c>
      <c r="B501" s="20" t="s">
        <v>112</v>
      </c>
      <c r="C501" s="21">
        <v>79560964264</v>
      </c>
      <c r="D501" s="20" t="s">
        <v>30</v>
      </c>
      <c r="E501" s="20">
        <v>4400</v>
      </c>
      <c r="F501" s="20">
        <v>3287.97</v>
      </c>
      <c r="G501" s="11">
        <f t="shared" si="15"/>
        <v>1112.0300000000002</v>
      </c>
      <c r="H501" s="12">
        <f t="shared" si="16"/>
        <v>0.33821172334297461</v>
      </c>
      <c r="I501" s="20" t="s">
        <v>113</v>
      </c>
      <c r="J501" s="20"/>
    </row>
    <row r="502" spans="1:10" x14ac:dyDescent="0.25">
      <c r="A502" s="22">
        <v>46153</v>
      </c>
      <c r="B502" s="20" t="s">
        <v>112</v>
      </c>
      <c r="C502" s="21">
        <v>49446855957</v>
      </c>
      <c r="D502" s="20" t="s">
        <v>30</v>
      </c>
      <c r="E502" s="20">
        <v>4400</v>
      </c>
      <c r="F502" s="20">
        <v>3209.43</v>
      </c>
      <c r="G502" s="11">
        <f t="shared" si="15"/>
        <v>1190.5700000000002</v>
      </c>
      <c r="H502" s="12">
        <f t="shared" si="16"/>
        <v>0.37095995239029989</v>
      </c>
      <c r="I502" s="20" t="s">
        <v>114</v>
      </c>
      <c r="J502" s="20"/>
    </row>
    <row r="503" spans="1:10" x14ac:dyDescent="0.25">
      <c r="E503" s="25" t="s">
        <v>768</v>
      </c>
      <c r="F503" s="25" t="s">
        <v>769</v>
      </c>
      <c r="G503" s="25" t="s">
        <v>770</v>
      </c>
      <c r="H503" s="26" t="s">
        <v>771</v>
      </c>
    </row>
    <row r="504" spans="1:10" x14ac:dyDescent="0.25">
      <c r="E504" s="23">
        <f t="shared" ref="E504:G504" si="17">SUM(E2:E503)</f>
        <v>1276854.2900000005</v>
      </c>
      <c r="F504" s="23">
        <f t="shared" si="17"/>
        <v>1204428.27</v>
      </c>
      <c r="G504" s="23">
        <f t="shared" si="17"/>
        <v>72426.020000000048</v>
      </c>
      <c r="H504" s="24">
        <f>AVERAGE(H2:H503)</f>
        <v>7.8318867065914205E-2</v>
      </c>
    </row>
    <row r="509" spans="1:10" x14ac:dyDescent="0.25">
      <c r="B509" s="52" t="s">
        <v>795</v>
      </c>
      <c r="C509" s="53">
        <v>6900</v>
      </c>
    </row>
    <row r="510" spans="1:10" x14ac:dyDescent="0.25">
      <c r="B510" s="50" t="s">
        <v>787</v>
      </c>
      <c r="C510" s="54">
        <v>1847.33</v>
      </c>
    </row>
    <row r="511" spans="1:10" x14ac:dyDescent="0.25">
      <c r="B511" s="51" t="s">
        <v>788</v>
      </c>
      <c r="C511" s="54">
        <v>6971.24</v>
      </c>
    </row>
    <row r="512" spans="1:10" x14ac:dyDescent="0.25">
      <c r="B512" s="51" t="s">
        <v>789</v>
      </c>
      <c r="C512" s="54">
        <v>7987.87</v>
      </c>
    </row>
    <row r="513" spans="2:3" s="48" customFormat="1" x14ac:dyDescent="0.25">
      <c r="B513" s="39" t="s">
        <v>790</v>
      </c>
      <c r="C513" s="54">
        <v>10710</v>
      </c>
    </row>
    <row r="514" spans="2:3" s="48" customFormat="1" x14ac:dyDescent="0.25">
      <c r="B514" s="39" t="s">
        <v>791</v>
      </c>
      <c r="C514" s="54">
        <v>1071</v>
      </c>
    </row>
    <row r="515" spans="2:3" x14ac:dyDescent="0.25">
      <c r="B515" s="49"/>
      <c r="C515" s="55"/>
    </row>
    <row r="516" spans="2:3" ht="24" x14ac:dyDescent="0.4">
      <c r="B516" s="47" t="s">
        <v>785</v>
      </c>
      <c r="C516" s="58">
        <f>SUM(C509:C515)</f>
        <v>35487.440000000002</v>
      </c>
    </row>
    <row r="517" spans="2:3" ht="15.75" x14ac:dyDescent="0.25">
      <c r="B517" s="42"/>
      <c r="C517" s="56"/>
    </row>
    <row r="518" spans="2:3" ht="24" x14ac:dyDescent="0.4">
      <c r="B518" s="59" t="s">
        <v>792</v>
      </c>
      <c r="C518" s="60">
        <f>G504-C516</f>
        <v>36938.580000000045</v>
      </c>
    </row>
    <row r="519" spans="2:3" x14ac:dyDescent="0.25">
      <c r="C519" s="35"/>
    </row>
    <row r="520" spans="2:3" x14ac:dyDescent="0.25">
      <c r="C520" s="35"/>
    </row>
    <row r="521" spans="2:3" x14ac:dyDescent="0.25">
      <c r="C521" s="36"/>
    </row>
    <row r="522" spans="2:3" x14ac:dyDescent="0.25">
      <c r="C522" s="35"/>
    </row>
    <row r="523" spans="2:3" x14ac:dyDescent="0.25">
      <c r="C523" s="35"/>
    </row>
    <row r="524" spans="2:3" x14ac:dyDescent="0.25">
      <c r="C524" s="35"/>
    </row>
    <row r="525" spans="2:3" x14ac:dyDescent="0.25">
      <c r="C525" s="35"/>
    </row>
    <row r="526" spans="2:3" x14ac:dyDescent="0.25">
      <c r="C526" s="36"/>
    </row>
    <row r="527" spans="2:3" x14ac:dyDescent="0.25">
      <c r="C527" s="35"/>
    </row>
    <row r="528" spans="2:3" x14ac:dyDescent="0.25">
      <c r="C528" s="36"/>
    </row>
    <row r="529" spans="3:3" x14ac:dyDescent="0.25">
      <c r="C529" s="35"/>
    </row>
    <row r="530" spans="3:3" x14ac:dyDescent="0.25">
      <c r="C530" s="35"/>
    </row>
    <row r="531" spans="3:3" x14ac:dyDescent="0.25">
      <c r="C531" s="36"/>
    </row>
    <row r="532" spans="3:3" x14ac:dyDescent="0.25">
      <c r="C532" s="35"/>
    </row>
    <row r="533" spans="3:3" x14ac:dyDescent="0.25">
      <c r="C533" s="35"/>
    </row>
    <row r="534" spans="3:3" x14ac:dyDescent="0.25">
      <c r="C534" s="35"/>
    </row>
    <row r="535" spans="3:3" x14ac:dyDescent="0.25">
      <c r="C535" s="36"/>
    </row>
    <row r="536" spans="3:3" x14ac:dyDescent="0.25">
      <c r="C536" s="35"/>
    </row>
    <row r="537" spans="3:3" x14ac:dyDescent="0.25">
      <c r="C537" s="35"/>
    </row>
    <row r="538" spans="3:3" x14ac:dyDescent="0.25">
      <c r="C538" s="35"/>
    </row>
    <row r="539" spans="3:3" x14ac:dyDescent="0.25">
      <c r="C539" s="35"/>
    </row>
    <row r="540" spans="3:3" x14ac:dyDescent="0.25">
      <c r="C540" s="36"/>
    </row>
    <row r="541" spans="3:3" x14ac:dyDescent="0.25">
      <c r="C541" s="35"/>
    </row>
    <row r="542" spans="3:3" x14ac:dyDescent="0.25">
      <c r="C542" s="35"/>
    </row>
    <row r="543" spans="3:3" x14ac:dyDescent="0.25">
      <c r="C543" s="36"/>
    </row>
    <row r="544" spans="3:3" x14ac:dyDescent="0.25">
      <c r="C544" s="35"/>
    </row>
    <row r="545" spans="3:3" x14ac:dyDescent="0.25">
      <c r="C545" s="36"/>
    </row>
    <row r="546" spans="3:3" x14ac:dyDescent="0.25">
      <c r="C546" s="35"/>
    </row>
    <row r="547" spans="3:3" x14ac:dyDescent="0.25">
      <c r="C547" s="36"/>
    </row>
    <row r="548" spans="3:3" x14ac:dyDescent="0.25">
      <c r="C548" s="36"/>
    </row>
    <row r="549" spans="3:3" x14ac:dyDescent="0.25">
      <c r="C549" s="35"/>
    </row>
    <row r="550" spans="3:3" x14ac:dyDescent="0.25">
      <c r="C550" s="36"/>
    </row>
    <row r="551" spans="3:3" x14ac:dyDescent="0.25">
      <c r="C551" s="35"/>
    </row>
    <row r="552" spans="3:3" x14ac:dyDescent="0.25">
      <c r="C552" s="36"/>
    </row>
    <row r="553" spans="3:3" x14ac:dyDescent="0.25">
      <c r="C553" s="35"/>
    </row>
    <row r="554" spans="3:3" x14ac:dyDescent="0.25">
      <c r="C554" s="35"/>
    </row>
  </sheetData>
  <autoFilter ref="A1:J504" xr:uid="{5CBA6464-453C-4156-98B3-DE3DF9E93141}"/>
  <conditionalFormatting sqref="C1:C104857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9010-18A4-465B-8221-6C13B1FE47DA}">
  <dimension ref="A1:J169"/>
  <sheetViews>
    <sheetView topLeftCell="A41" workbookViewId="0">
      <selection activeCell="E17" sqref="E17"/>
    </sheetView>
  </sheetViews>
  <sheetFormatPr defaultRowHeight="15" x14ac:dyDescent="0.25"/>
  <cols>
    <col min="1" max="1" width="20.7109375" customWidth="1"/>
    <col min="2" max="2" width="42" customWidth="1"/>
    <col min="3" max="4" width="30.42578125" customWidth="1"/>
    <col min="5" max="10" width="20.7109375" customWidth="1"/>
  </cols>
  <sheetData>
    <row r="1" spans="1:10" x14ac:dyDescent="0.25">
      <c r="A1" s="3" t="s">
        <v>5</v>
      </c>
      <c r="B1" s="3" t="s">
        <v>6</v>
      </c>
      <c r="C1" s="4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</row>
    <row r="2" spans="1:10" x14ac:dyDescent="0.25">
      <c r="A2" s="22">
        <v>46144</v>
      </c>
      <c r="B2" s="20" t="s">
        <v>71</v>
      </c>
      <c r="C2" s="21">
        <v>351317524281634</v>
      </c>
      <c r="D2" s="20" t="s">
        <v>72</v>
      </c>
      <c r="E2" s="20">
        <v>3202.53</v>
      </c>
      <c r="F2" s="20">
        <v>2891.7</v>
      </c>
      <c r="G2" s="11">
        <f>E2-F2</f>
        <v>310.83000000000038</v>
      </c>
      <c r="H2" s="12">
        <v>0.10749040356883507</v>
      </c>
      <c r="I2" s="20" t="s">
        <v>18</v>
      </c>
      <c r="J2" s="20" t="s">
        <v>810</v>
      </c>
    </row>
    <row r="3" spans="1:10" x14ac:dyDescent="0.25">
      <c r="A3" s="22">
        <v>46146</v>
      </c>
      <c r="B3" s="20" t="s">
        <v>73</v>
      </c>
      <c r="C3" s="21">
        <v>351614406649742</v>
      </c>
      <c r="D3" s="20" t="s">
        <v>74</v>
      </c>
      <c r="E3" s="20">
        <v>2405.06</v>
      </c>
      <c r="F3" s="20">
        <v>2154</v>
      </c>
      <c r="G3" s="11">
        <f t="shared" ref="G3:G66" si="0">E3-F3</f>
        <v>251.05999999999995</v>
      </c>
      <c r="H3" s="12">
        <v>0.11655524605385327</v>
      </c>
      <c r="I3" s="20" t="s">
        <v>18</v>
      </c>
      <c r="J3" s="20" t="s">
        <v>776</v>
      </c>
    </row>
    <row r="4" spans="1:10" x14ac:dyDescent="0.25">
      <c r="A4" s="22">
        <v>46147</v>
      </c>
      <c r="B4" s="20" t="s">
        <v>32</v>
      </c>
      <c r="C4" s="21">
        <v>359814717786751</v>
      </c>
      <c r="D4" s="20" t="s">
        <v>33</v>
      </c>
      <c r="E4" s="20">
        <v>3487.34</v>
      </c>
      <c r="F4" s="20">
        <v>3248.7</v>
      </c>
      <c r="G4" s="11">
        <f t="shared" si="0"/>
        <v>238.64000000000033</v>
      </c>
      <c r="H4" s="12">
        <v>7.3457075137747518E-2</v>
      </c>
      <c r="I4" s="20" t="s">
        <v>18</v>
      </c>
      <c r="J4" s="20" t="s">
        <v>776</v>
      </c>
    </row>
    <row r="5" spans="1:10" x14ac:dyDescent="0.25">
      <c r="A5" s="22">
        <v>46148</v>
      </c>
      <c r="B5" s="20" t="s">
        <v>71</v>
      </c>
      <c r="C5" s="21">
        <v>355981559118304</v>
      </c>
      <c r="D5" s="20" t="s">
        <v>33</v>
      </c>
      <c r="E5" s="20">
        <v>3202.51</v>
      </c>
      <c r="F5" s="20">
        <v>2677.5</v>
      </c>
      <c r="G5" s="11">
        <f t="shared" si="0"/>
        <v>525.01000000000022</v>
      </c>
      <c r="H5" s="12">
        <v>0.19608216619981333</v>
      </c>
      <c r="I5" s="20" t="s">
        <v>18</v>
      </c>
      <c r="J5" s="20" t="s">
        <v>776</v>
      </c>
    </row>
    <row r="6" spans="1:10" x14ac:dyDescent="0.25">
      <c r="A6" s="22">
        <v>46148</v>
      </c>
      <c r="B6" s="20" t="s">
        <v>32</v>
      </c>
      <c r="C6" s="21">
        <v>359614542055715</v>
      </c>
      <c r="D6" s="20" t="s">
        <v>72</v>
      </c>
      <c r="E6" s="20">
        <v>3443.03</v>
      </c>
      <c r="F6" s="20">
        <v>3248.7</v>
      </c>
      <c r="G6" s="11">
        <f t="shared" si="0"/>
        <v>194.33000000000038</v>
      </c>
      <c r="H6" s="12">
        <v>5.9817773263151533E-2</v>
      </c>
      <c r="I6" s="20" t="s">
        <v>18</v>
      </c>
      <c r="J6" s="20" t="s">
        <v>776</v>
      </c>
    </row>
    <row r="7" spans="1:10" x14ac:dyDescent="0.25">
      <c r="A7" s="22">
        <v>46148</v>
      </c>
      <c r="B7" s="20" t="s">
        <v>32</v>
      </c>
      <c r="C7" s="21">
        <v>359814713965052</v>
      </c>
      <c r="D7" s="20" t="s">
        <v>34</v>
      </c>
      <c r="E7" s="20">
        <v>3721.51</v>
      </c>
      <c r="F7" s="20">
        <v>3284.4</v>
      </c>
      <c r="G7" s="11">
        <f t="shared" si="0"/>
        <v>437.11000000000013</v>
      </c>
      <c r="H7" s="12">
        <v>0.13308671294604801</v>
      </c>
      <c r="I7" s="20" t="s">
        <v>18</v>
      </c>
      <c r="J7" s="20" t="s">
        <v>776</v>
      </c>
    </row>
    <row r="8" spans="1:10" x14ac:dyDescent="0.25">
      <c r="A8" s="22">
        <v>46148</v>
      </c>
      <c r="B8" s="20" t="s">
        <v>32</v>
      </c>
      <c r="C8" s="21">
        <v>359814714137933</v>
      </c>
      <c r="D8" s="20" t="s">
        <v>34</v>
      </c>
      <c r="E8" s="20">
        <v>3721.51</v>
      </c>
      <c r="F8" s="20">
        <v>3284.4</v>
      </c>
      <c r="G8" s="11">
        <f t="shared" si="0"/>
        <v>437.11000000000013</v>
      </c>
      <c r="H8" s="12">
        <v>0.13308671294604801</v>
      </c>
      <c r="I8" s="20" t="s">
        <v>18</v>
      </c>
      <c r="J8" s="20" t="s">
        <v>776</v>
      </c>
    </row>
    <row r="9" spans="1:10" x14ac:dyDescent="0.25">
      <c r="A9" s="13">
        <v>46149</v>
      </c>
      <c r="B9" s="14" t="s">
        <v>73</v>
      </c>
      <c r="C9" s="17">
        <v>356864569740201</v>
      </c>
      <c r="D9" s="14" t="s">
        <v>30</v>
      </c>
      <c r="E9" s="14">
        <v>2974.65</v>
      </c>
      <c r="F9" s="14">
        <v>3379.3</v>
      </c>
      <c r="G9" s="14">
        <f t="shared" si="0"/>
        <v>-404.65000000000009</v>
      </c>
      <c r="H9" s="16">
        <v>-0.11974373390938954</v>
      </c>
      <c r="I9" s="14" t="s">
        <v>18</v>
      </c>
      <c r="J9" s="20" t="s">
        <v>776</v>
      </c>
    </row>
    <row r="10" spans="1:10" x14ac:dyDescent="0.25">
      <c r="A10" s="22">
        <v>46149</v>
      </c>
      <c r="B10" s="20" t="s">
        <v>32</v>
      </c>
      <c r="C10" s="21">
        <v>350552899384362</v>
      </c>
      <c r="D10" s="20" t="s">
        <v>35</v>
      </c>
      <c r="E10" s="20">
        <v>3405.04</v>
      </c>
      <c r="F10" s="20">
        <v>2856</v>
      </c>
      <c r="G10" s="11">
        <f t="shared" si="0"/>
        <v>549.04</v>
      </c>
      <c r="H10" s="12">
        <v>0.19224089635854341</v>
      </c>
      <c r="I10" s="20" t="s">
        <v>18</v>
      </c>
      <c r="J10" s="20" t="s">
        <v>776</v>
      </c>
    </row>
    <row r="11" spans="1:10" x14ac:dyDescent="0.25">
      <c r="A11" s="22">
        <v>46149</v>
      </c>
      <c r="B11" s="20" t="s">
        <v>32</v>
      </c>
      <c r="C11" s="21">
        <v>357329445885850</v>
      </c>
      <c r="D11" s="20" t="s">
        <v>33</v>
      </c>
      <c r="E11" s="20">
        <v>3487.31</v>
      </c>
      <c r="F11" s="20">
        <v>3034.5</v>
      </c>
      <c r="G11" s="11">
        <f t="shared" si="0"/>
        <v>452.80999999999995</v>
      </c>
      <c r="H11" s="12">
        <v>0.14922062942824188</v>
      </c>
      <c r="I11" s="20" t="s">
        <v>18</v>
      </c>
      <c r="J11" s="20" t="s">
        <v>776</v>
      </c>
    </row>
    <row r="12" spans="1:10" x14ac:dyDescent="0.25">
      <c r="A12" s="22">
        <v>46150</v>
      </c>
      <c r="B12" s="20" t="s">
        <v>86</v>
      </c>
      <c r="C12" s="21">
        <v>357773241392274</v>
      </c>
      <c r="D12" s="20"/>
      <c r="E12" s="20">
        <v>1835.44</v>
      </c>
      <c r="F12" s="20">
        <v>1512</v>
      </c>
      <c r="G12" s="11">
        <f t="shared" si="0"/>
        <v>323.44000000000005</v>
      </c>
      <c r="H12" s="12">
        <v>0.21391534391534395</v>
      </c>
      <c r="I12" s="20" t="s">
        <v>18</v>
      </c>
      <c r="J12" s="20" t="s">
        <v>776</v>
      </c>
    </row>
    <row r="13" spans="1:10" x14ac:dyDescent="0.25">
      <c r="A13" s="22">
        <v>46150</v>
      </c>
      <c r="B13" s="20" t="s">
        <v>90</v>
      </c>
      <c r="C13" s="21">
        <v>359012142968009</v>
      </c>
      <c r="D13" s="20"/>
      <c r="E13" s="20">
        <v>1911.39</v>
      </c>
      <c r="F13" s="20">
        <v>1579.6</v>
      </c>
      <c r="G13" s="11">
        <f t="shared" si="0"/>
        <v>331.79000000000019</v>
      </c>
      <c r="H13" s="12">
        <v>0.21004684730311485</v>
      </c>
      <c r="I13" s="20" t="s">
        <v>18</v>
      </c>
      <c r="J13" s="20" t="s">
        <v>776</v>
      </c>
    </row>
    <row r="14" spans="1:10" x14ac:dyDescent="0.25">
      <c r="A14" s="22">
        <v>46150</v>
      </c>
      <c r="B14" s="20" t="s">
        <v>32</v>
      </c>
      <c r="C14" s="21">
        <v>350035238098323</v>
      </c>
      <c r="D14" s="20" t="s">
        <v>34</v>
      </c>
      <c r="E14" s="20">
        <v>3708.88</v>
      </c>
      <c r="F14" s="20">
        <v>3284.4</v>
      </c>
      <c r="G14" s="11">
        <f t="shared" si="0"/>
        <v>424.48</v>
      </c>
      <c r="H14" s="12">
        <v>0.12924126172208014</v>
      </c>
      <c r="I14" s="20" t="s">
        <v>18</v>
      </c>
      <c r="J14" s="20" t="s">
        <v>776</v>
      </c>
    </row>
    <row r="15" spans="1:10" x14ac:dyDescent="0.25">
      <c r="A15" s="22">
        <v>46150</v>
      </c>
      <c r="B15" s="20" t="s">
        <v>32</v>
      </c>
      <c r="C15" s="21">
        <v>350035239495486</v>
      </c>
      <c r="D15" s="20" t="s">
        <v>72</v>
      </c>
      <c r="E15" s="20">
        <v>3430.37</v>
      </c>
      <c r="F15" s="20">
        <v>3034.5</v>
      </c>
      <c r="G15" s="11">
        <f t="shared" si="0"/>
        <v>395.86999999999989</v>
      </c>
      <c r="H15" s="12">
        <v>0.13045641786126211</v>
      </c>
      <c r="I15" s="20" t="s">
        <v>18</v>
      </c>
      <c r="J15" s="49" t="s">
        <v>810</v>
      </c>
    </row>
    <row r="16" spans="1:10" x14ac:dyDescent="0.25">
      <c r="A16" s="22">
        <v>46150</v>
      </c>
      <c r="B16" s="20" t="s">
        <v>32</v>
      </c>
      <c r="C16" s="21">
        <v>350599860860169</v>
      </c>
      <c r="D16" s="20" t="s">
        <v>97</v>
      </c>
      <c r="E16" s="20">
        <v>3645.53</v>
      </c>
      <c r="F16" s="20">
        <v>3284.4</v>
      </c>
      <c r="G16" s="11">
        <f t="shared" si="0"/>
        <v>361.13000000000011</v>
      </c>
      <c r="H16" s="12">
        <v>0.10995311167945442</v>
      </c>
      <c r="I16" s="20" t="s">
        <v>18</v>
      </c>
      <c r="J16" s="20" t="s">
        <v>810</v>
      </c>
    </row>
    <row r="17" spans="1:10" x14ac:dyDescent="0.25">
      <c r="A17" s="22">
        <v>46150</v>
      </c>
      <c r="B17" s="20" t="s">
        <v>32</v>
      </c>
      <c r="C17" s="21">
        <v>351668144233029</v>
      </c>
      <c r="D17" s="20" t="s">
        <v>35</v>
      </c>
      <c r="E17" s="20">
        <v>3392.4</v>
      </c>
      <c r="F17" s="20">
        <v>2856</v>
      </c>
      <c r="G17" s="11">
        <f t="shared" si="0"/>
        <v>536.40000000000009</v>
      </c>
      <c r="H17" s="12">
        <v>0.18781512605042019</v>
      </c>
      <c r="I17" s="20" t="s">
        <v>18</v>
      </c>
      <c r="J17" s="20" t="s">
        <v>776</v>
      </c>
    </row>
    <row r="18" spans="1:10" x14ac:dyDescent="0.25">
      <c r="A18" s="22">
        <v>46150</v>
      </c>
      <c r="B18" s="20" t="s">
        <v>32</v>
      </c>
      <c r="C18" s="21">
        <v>351668144797411</v>
      </c>
      <c r="D18" s="20" t="s">
        <v>34</v>
      </c>
      <c r="E18" s="20">
        <v>3708.86</v>
      </c>
      <c r="F18" s="20">
        <v>3284.4</v>
      </c>
      <c r="G18" s="11">
        <f t="shared" si="0"/>
        <v>424.46000000000004</v>
      </c>
      <c r="H18" s="12">
        <v>0.1292351723298015</v>
      </c>
      <c r="I18" s="20" t="s">
        <v>18</v>
      </c>
      <c r="J18" s="20" t="s">
        <v>776</v>
      </c>
    </row>
    <row r="19" spans="1:10" x14ac:dyDescent="0.25">
      <c r="A19" s="22">
        <v>46150</v>
      </c>
      <c r="B19" s="20" t="s">
        <v>32</v>
      </c>
      <c r="C19" s="21">
        <v>358434709351851</v>
      </c>
      <c r="D19" s="20" t="s">
        <v>33</v>
      </c>
      <c r="E19" s="20">
        <v>3481.02</v>
      </c>
      <c r="F19" s="20">
        <v>3034.5</v>
      </c>
      <c r="G19" s="11">
        <f t="shared" si="0"/>
        <v>446.52</v>
      </c>
      <c r="H19" s="12">
        <v>0.14714780029658922</v>
      </c>
      <c r="I19" s="20" t="s">
        <v>18</v>
      </c>
      <c r="J19" s="20" t="s">
        <v>776</v>
      </c>
    </row>
    <row r="20" spans="1:10" x14ac:dyDescent="0.25">
      <c r="A20" s="22">
        <v>46151</v>
      </c>
      <c r="B20" s="20" t="s">
        <v>32</v>
      </c>
      <c r="C20" s="21">
        <v>358434703956861</v>
      </c>
      <c r="D20" s="20" t="s">
        <v>34</v>
      </c>
      <c r="E20" s="20">
        <v>3708.86</v>
      </c>
      <c r="F20" s="20">
        <v>3284.4</v>
      </c>
      <c r="G20" s="11">
        <f t="shared" si="0"/>
        <v>424.46000000000004</v>
      </c>
      <c r="H20" s="12">
        <v>0.1292351723298015</v>
      </c>
      <c r="I20" s="20" t="s">
        <v>18</v>
      </c>
      <c r="J20" s="20" t="s">
        <v>776</v>
      </c>
    </row>
    <row r="21" spans="1:10" x14ac:dyDescent="0.25">
      <c r="A21" s="22">
        <v>46151</v>
      </c>
      <c r="B21" s="20" t="s">
        <v>32</v>
      </c>
      <c r="C21" s="21">
        <v>359814718709844</v>
      </c>
      <c r="D21" s="20" t="s">
        <v>33</v>
      </c>
      <c r="E21" s="20">
        <v>3481.01</v>
      </c>
      <c r="F21" s="20">
        <v>3034.5</v>
      </c>
      <c r="G21" s="11">
        <f t="shared" si="0"/>
        <v>446.51000000000022</v>
      </c>
      <c r="H21" s="12">
        <v>0.14714450486076791</v>
      </c>
      <c r="I21" s="20" t="s">
        <v>18</v>
      </c>
      <c r="J21" s="20" t="s">
        <v>776</v>
      </c>
    </row>
    <row r="22" spans="1:10" x14ac:dyDescent="0.25">
      <c r="A22" s="22">
        <v>46152</v>
      </c>
      <c r="B22" s="20" t="s">
        <v>32</v>
      </c>
      <c r="C22" s="21">
        <v>356392246825849</v>
      </c>
      <c r="D22" s="20" t="s">
        <v>72</v>
      </c>
      <c r="E22" s="20">
        <v>3417.71</v>
      </c>
      <c r="F22" s="20">
        <v>3034.5</v>
      </c>
      <c r="G22" s="11">
        <f t="shared" si="0"/>
        <v>383.21000000000004</v>
      </c>
      <c r="H22" s="12">
        <v>0.12628439611138575</v>
      </c>
      <c r="I22" s="20" t="s">
        <v>18</v>
      </c>
      <c r="J22" s="20" t="s">
        <v>776</v>
      </c>
    </row>
    <row r="23" spans="1:10" x14ac:dyDescent="0.25">
      <c r="A23" s="22">
        <v>46153</v>
      </c>
      <c r="B23" s="20" t="s">
        <v>32</v>
      </c>
      <c r="C23" s="21">
        <v>350035236152296</v>
      </c>
      <c r="D23" s="20" t="s">
        <v>35</v>
      </c>
      <c r="E23" s="20">
        <v>3379.74</v>
      </c>
      <c r="F23" s="20">
        <v>2856</v>
      </c>
      <c r="G23" s="11">
        <f t="shared" si="0"/>
        <v>523.73999999999978</v>
      </c>
      <c r="H23" s="12">
        <v>0.18338235294117639</v>
      </c>
      <c r="I23" s="20" t="s">
        <v>18</v>
      </c>
      <c r="J23" s="20" t="s">
        <v>776</v>
      </c>
    </row>
    <row r="24" spans="1:10" x14ac:dyDescent="0.25">
      <c r="A24" s="22">
        <v>46153</v>
      </c>
      <c r="B24" s="20" t="s">
        <v>32</v>
      </c>
      <c r="C24" s="21">
        <v>356392241855841</v>
      </c>
      <c r="D24" s="20" t="s">
        <v>107</v>
      </c>
      <c r="E24" s="20">
        <v>3316.45</v>
      </c>
      <c r="F24" s="20">
        <v>2856</v>
      </c>
      <c r="G24" s="11">
        <f t="shared" si="0"/>
        <v>460.44999999999982</v>
      </c>
      <c r="H24" s="12">
        <v>0.16122198879551813</v>
      </c>
      <c r="I24" s="20" t="s">
        <v>18</v>
      </c>
      <c r="J24" s="20" t="s">
        <v>776</v>
      </c>
    </row>
    <row r="25" spans="1:10" x14ac:dyDescent="0.25">
      <c r="A25" s="22">
        <v>46153</v>
      </c>
      <c r="B25" s="20" t="s">
        <v>32</v>
      </c>
      <c r="C25" s="21">
        <v>359814713176981</v>
      </c>
      <c r="D25" s="20" t="s">
        <v>107</v>
      </c>
      <c r="E25" s="20">
        <v>3341.77</v>
      </c>
      <c r="F25" s="20">
        <v>2856</v>
      </c>
      <c r="G25" s="11">
        <f t="shared" si="0"/>
        <v>485.77</v>
      </c>
      <c r="H25" s="12">
        <v>0.17008753501400559</v>
      </c>
      <c r="I25" s="20" t="s">
        <v>18</v>
      </c>
      <c r="J25" s="20" t="s">
        <v>810</v>
      </c>
    </row>
    <row r="26" spans="1:10" x14ac:dyDescent="0.25">
      <c r="A26" s="22">
        <v>46155</v>
      </c>
      <c r="B26" s="20" t="s">
        <v>32</v>
      </c>
      <c r="C26" s="21">
        <v>350035238858098</v>
      </c>
      <c r="D26" s="20" t="s">
        <v>34</v>
      </c>
      <c r="E26" s="20">
        <v>3708.86</v>
      </c>
      <c r="F26" s="20">
        <v>3284.4</v>
      </c>
      <c r="G26" s="11">
        <f t="shared" si="0"/>
        <v>424.46000000000004</v>
      </c>
      <c r="H26" s="12">
        <v>0.1292351723298015</v>
      </c>
      <c r="I26" s="20" t="s">
        <v>18</v>
      </c>
      <c r="J26" s="20" t="s">
        <v>776</v>
      </c>
    </row>
    <row r="27" spans="1:10" x14ac:dyDescent="0.25">
      <c r="A27" s="22">
        <v>46155</v>
      </c>
      <c r="B27" s="20" t="s">
        <v>32</v>
      </c>
      <c r="C27" s="21">
        <v>356225420186861</v>
      </c>
      <c r="D27" s="20" t="s">
        <v>34</v>
      </c>
      <c r="E27" s="20">
        <v>3683.54</v>
      </c>
      <c r="F27" s="20">
        <v>3284.4</v>
      </c>
      <c r="G27" s="11">
        <f t="shared" si="0"/>
        <v>399.13999999999987</v>
      </c>
      <c r="H27" s="12">
        <v>0.12152600170502979</v>
      </c>
      <c r="I27" s="20" t="s">
        <v>18</v>
      </c>
      <c r="J27" s="20" t="s">
        <v>776</v>
      </c>
    </row>
    <row r="28" spans="1:10" x14ac:dyDescent="0.25">
      <c r="A28" s="22">
        <v>46155</v>
      </c>
      <c r="B28" s="20" t="s">
        <v>75</v>
      </c>
      <c r="C28" s="21">
        <v>359814719579154</v>
      </c>
      <c r="D28" s="20" t="s">
        <v>97</v>
      </c>
      <c r="E28" s="20">
        <v>4050.63</v>
      </c>
      <c r="F28" s="20">
        <v>3712.8</v>
      </c>
      <c r="G28" s="11">
        <f t="shared" si="0"/>
        <v>337.82999999999993</v>
      </c>
      <c r="H28" s="12">
        <v>9.0990627020038767E-2</v>
      </c>
      <c r="I28" s="20" t="s">
        <v>18</v>
      </c>
      <c r="J28" s="20" t="s">
        <v>776</v>
      </c>
    </row>
    <row r="29" spans="1:10" x14ac:dyDescent="0.25">
      <c r="A29" s="22">
        <v>46157</v>
      </c>
      <c r="B29" s="20" t="s">
        <v>328</v>
      </c>
      <c r="C29" s="21" t="s">
        <v>329</v>
      </c>
      <c r="D29" s="20"/>
      <c r="E29" s="20">
        <v>329.11</v>
      </c>
      <c r="F29" s="20">
        <v>287.66000000000003</v>
      </c>
      <c r="G29" s="11">
        <f t="shared" si="0"/>
        <v>41.449999999999989</v>
      </c>
      <c r="H29" s="12">
        <v>0.14409372175484941</v>
      </c>
      <c r="I29" s="20" t="s">
        <v>18</v>
      </c>
      <c r="J29" s="20" t="s">
        <v>776</v>
      </c>
    </row>
    <row r="30" spans="1:10" x14ac:dyDescent="0.25">
      <c r="A30" s="22">
        <v>46157</v>
      </c>
      <c r="B30" s="20" t="s">
        <v>99</v>
      </c>
      <c r="C30" s="21" t="s">
        <v>330</v>
      </c>
      <c r="D30" s="20" t="s">
        <v>30</v>
      </c>
      <c r="E30" s="20">
        <v>797.49</v>
      </c>
      <c r="F30" s="20">
        <v>714</v>
      </c>
      <c r="G30" s="11">
        <f t="shared" si="0"/>
        <v>83.490000000000009</v>
      </c>
      <c r="H30" s="12">
        <v>0.11693277310924372</v>
      </c>
      <c r="I30" s="20" t="s">
        <v>18</v>
      </c>
      <c r="J30" s="20" t="s">
        <v>776</v>
      </c>
    </row>
    <row r="31" spans="1:10" x14ac:dyDescent="0.25">
      <c r="A31" s="22">
        <v>46157</v>
      </c>
      <c r="B31" s="20" t="s">
        <v>99</v>
      </c>
      <c r="C31" s="21" t="s">
        <v>100</v>
      </c>
      <c r="D31" s="20"/>
      <c r="E31" s="20">
        <v>721.51</v>
      </c>
      <c r="F31" s="20">
        <v>716</v>
      </c>
      <c r="G31" s="11">
        <f t="shared" si="0"/>
        <v>5.5099999999999909</v>
      </c>
      <c r="H31" s="12">
        <v>7.6955307262569703E-3</v>
      </c>
      <c r="I31" s="20" t="s">
        <v>18</v>
      </c>
      <c r="J31" s="20" t="s">
        <v>776</v>
      </c>
    </row>
    <row r="32" spans="1:10" x14ac:dyDescent="0.25">
      <c r="A32" s="22">
        <v>46157</v>
      </c>
      <c r="B32" s="20" t="s">
        <v>71</v>
      </c>
      <c r="C32" s="21">
        <v>354289634595970</v>
      </c>
      <c r="D32" s="20" t="s">
        <v>33</v>
      </c>
      <c r="E32" s="20">
        <v>3139.24</v>
      </c>
      <c r="F32" s="20">
        <v>2677.5</v>
      </c>
      <c r="G32" s="11">
        <f t="shared" si="0"/>
        <v>461.73999999999978</v>
      </c>
      <c r="H32" s="12">
        <v>0.17245191409897284</v>
      </c>
      <c r="I32" s="20" t="s">
        <v>18</v>
      </c>
      <c r="J32" s="20" t="s">
        <v>776</v>
      </c>
    </row>
    <row r="33" spans="1:10" x14ac:dyDescent="0.25">
      <c r="A33" s="22">
        <v>46158</v>
      </c>
      <c r="B33" s="20" t="s">
        <v>32</v>
      </c>
      <c r="C33" s="21">
        <v>350035233820630</v>
      </c>
      <c r="D33" s="20" t="s">
        <v>35</v>
      </c>
      <c r="E33" s="20">
        <v>3379.73</v>
      </c>
      <c r="F33" s="20">
        <v>3177.3</v>
      </c>
      <c r="G33" s="11">
        <f t="shared" si="0"/>
        <v>202.42999999999984</v>
      </c>
      <c r="H33" s="12">
        <v>6.3711327227520168E-2</v>
      </c>
      <c r="I33" s="20" t="s">
        <v>18</v>
      </c>
      <c r="J33" s="20" t="s">
        <v>776</v>
      </c>
    </row>
    <row r="34" spans="1:10" x14ac:dyDescent="0.25">
      <c r="A34" s="22">
        <v>46163</v>
      </c>
      <c r="B34" s="20" t="s">
        <v>679</v>
      </c>
      <c r="C34" s="21">
        <v>357762265949689</v>
      </c>
      <c r="D34" s="20" t="s">
        <v>680</v>
      </c>
      <c r="E34" s="20">
        <v>2012.65</v>
      </c>
      <c r="F34" s="20">
        <v>1692</v>
      </c>
      <c r="G34" s="11">
        <f t="shared" si="0"/>
        <v>320.65000000000009</v>
      </c>
      <c r="H34" s="12">
        <v>0.18950945626477547</v>
      </c>
      <c r="I34" s="20" t="s">
        <v>18</v>
      </c>
      <c r="J34" s="20" t="s">
        <v>776</v>
      </c>
    </row>
    <row r="35" spans="1:10" x14ac:dyDescent="0.25">
      <c r="A35" s="22">
        <v>46167</v>
      </c>
      <c r="B35" s="20" t="s">
        <v>32</v>
      </c>
      <c r="C35" s="21">
        <v>353497856334207</v>
      </c>
      <c r="D35" s="20" t="s">
        <v>72</v>
      </c>
      <c r="E35" s="20">
        <v>3379.74</v>
      </c>
      <c r="F35" s="20">
        <v>3034.5</v>
      </c>
      <c r="G35" s="11">
        <f t="shared" si="0"/>
        <v>345.23999999999978</v>
      </c>
      <c r="H35" s="12">
        <v>0.11377162629757778</v>
      </c>
      <c r="I35" s="20" t="s">
        <v>18</v>
      </c>
      <c r="J35" s="20" t="s">
        <v>810</v>
      </c>
    </row>
    <row r="36" spans="1:10" x14ac:dyDescent="0.25">
      <c r="A36" s="22">
        <v>46167</v>
      </c>
      <c r="B36" s="20" t="s">
        <v>32</v>
      </c>
      <c r="C36" s="21">
        <v>358206139332127</v>
      </c>
      <c r="D36" s="20" t="s">
        <v>72</v>
      </c>
      <c r="E36" s="20">
        <v>3392.4</v>
      </c>
      <c r="F36" s="20">
        <v>3213</v>
      </c>
      <c r="G36" s="11">
        <f t="shared" si="0"/>
        <v>179.40000000000009</v>
      </c>
      <c r="H36" s="12">
        <v>5.5835667600373513E-2</v>
      </c>
      <c r="I36" s="20" t="s">
        <v>18</v>
      </c>
      <c r="J36" s="20" t="s">
        <v>776</v>
      </c>
    </row>
    <row r="37" spans="1:10" x14ac:dyDescent="0.25">
      <c r="A37" s="22">
        <v>46149</v>
      </c>
      <c r="B37" s="20" t="s">
        <v>71</v>
      </c>
      <c r="C37" s="21">
        <v>355820206737670</v>
      </c>
      <c r="D37" s="20" t="s">
        <v>34</v>
      </c>
      <c r="E37" s="20">
        <v>3341.77</v>
      </c>
      <c r="F37" s="20">
        <v>2850</v>
      </c>
      <c r="G37" s="11">
        <f t="shared" si="0"/>
        <v>491.77</v>
      </c>
      <c r="H37" s="12">
        <v>0.17255087719298245</v>
      </c>
      <c r="I37" s="20" t="s">
        <v>36</v>
      </c>
      <c r="J37" s="20" t="s">
        <v>810</v>
      </c>
    </row>
    <row r="38" spans="1:10" x14ac:dyDescent="0.25">
      <c r="A38" s="22">
        <v>46154</v>
      </c>
      <c r="B38" s="20" t="s">
        <v>32</v>
      </c>
      <c r="C38" s="21" t="s">
        <v>136</v>
      </c>
      <c r="D38" s="20" t="s">
        <v>137</v>
      </c>
      <c r="E38" s="20">
        <v>3405.05</v>
      </c>
      <c r="F38" s="20">
        <v>3696.2</v>
      </c>
      <c r="G38" s="11">
        <f t="shared" si="0"/>
        <v>-291.14999999999964</v>
      </c>
      <c r="H38" s="20">
        <v>-7.88</v>
      </c>
      <c r="I38" s="20" t="s">
        <v>138</v>
      </c>
      <c r="J38" s="20" t="s">
        <v>776</v>
      </c>
    </row>
    <row r="39" spans="1:10" x14ac:dyDescent="0.25">
      <c r="A39" s="22">
        <v>46156</v>
      </c>
      <c r="B39" s="20" t="s">
        <v>71</v>
      </c>
      <c r="C39" s="21">
        <v>355820209152414</v>
      </c>
      <c r="D39" s="20" t="s">
        <v>35</v>
      </c>
      <c r="E39" s="20">
        <v>3101.26</v>
      </c>
      <c r="F39" s="20">
        <v>2600</v>
      </c>
      <c r="G39" s="11">
        <f t="shared" si="0"/>
        <v>501.26000000000022</v>
      </c>
      <c r="H39" s="12">
        <v>0.19279230769230776</v>
      </c>
      <c r="I39" s="20" t="s">
        <v>36</v>
      </c>
      <c r="J39" s="20" t="s">
        <v>776</v>
      </c>
    </row>
    <row r="40" spans="1:10" x14ac:dyDescent="0.25">
      <c r="A40" s="22">
        <v>46156</v>
      </c>
      <c r="B40" s="20" t="s">
        <v>32</v>
      </c>
      <c r="C40" s="21">
        <v>351668141347491</v>
      </c>
      <c r="D40" s="20" t="s">
        <v>34</v>
      </c>
      <c r="E40" s="20">
        <v>3734.14</v>
      </c>
      <c r="F40" s="20">
        <v>3200</v>
      </c>
      <c r="G40" s="11">
        <f t="shared" si="0"/>
        <v>534.13999999999987</v>
      </c>
      <c r="H40" s="12">
        <v>0.16691874999999995</v>
      </c>
      <c r="I40" s="20" t="s">
        <v>36</v>
      </c>
      <c r="J40" s="20" t="s">
        <v>776</v>
      </c>
    </row>
    <row r="41" spans="1:10" x14ac:dyDescent="0.25">
      <c r="A41" s="22">
        <v>46158</v>
      </c>
      <c r="B41" s="20" t="s">
        <v>32</v>
      </c>
      <c r="C41" s="21">
        <v>358902516895807</v>
      </c>
      <c r="D41" s="20" t="s">
        <v>97</v>
      </c>
      <c r="E41" s="20">
        <v>3670.88</v>
      </c>
      <c r="F41" s="20">
        <v>3420</v>
      </c>
      <c r="G41" s="11">
        <f t="shared" si="0"/>
        <v>250.88000000000011</v>
      </c>
      <c r="H41" s="12">
        <v>7.3356725146198856E-2</v>
      </c>
      <c r="I41" s="20" t="s">
        <v>36</v>
      </c>
      <c r="J41" s="20" t="s">
        <v>810</v>
      </c>
    </row>
    <row r="42" spans="1:10" x14ac:dyDescent="0.25">
      <c r="A42" s="22">
        <v>46161</v>
      </c>
      <c r="B42" s="20" t="s">
        <v>377</v>
      </c>
      <c r="C42" s="21">
        <v>358911632167553</v>
      </c>
      <c r="D42" s="20" t="s">
        <v>30</v>
      </c>
      <c r="E42" s="20">
        <v>1189.8699999999999</v>
      </c>
      <c r="F42" s="20">
        <v>130</v>
      </c>
      <c r="G42" s="11">
        <f t="shared" si="0"/>
        <v>1059.8699999999999</v>
      </c>
      <c r="H42" s="12">
        <v>8.1528461538461539</v>
      </c>
      <c r="I42" s="20" t="s">
        <v>36</v>
      </c>
      <c r="J42" s="20" t="s">
        <v>776</v>
      </c>
    </row>
    <row r="43" spans="1:10" x14ac:dyDescent="0.25">
      <c r="A43" s="22">
        <v>46162</v>
      </c>
      <c r="B43" s="20" t="s">
        <v>75</v>
      </c>
      <c r="C43" s="21">
        <v>350035239807607</v>
      </c>
      <c r="D43" s="20" t="s">
        <v>35</v>
      </c>
      <c r="E43" s="20">
        <v>3759.47</v>
      </c>
      <c r="F43" s="20">
        <v>3200</v>
      </c>
      <c r="G43" s="11">
        <f t="shared" si="0"/>
        <v>559.4699999999998</v>
      </c>
      <c r="H43" s="12">
        <v>0.17483437499999993</v>
      </c>
      <c r="I43" s="20" t="s">
        <v>36</v>
      </c>
      <c r="J43" s="20" t="s">
        <v>810</v>
      </c>
    </row>
    <row r="44" spans="1:10" x14ac:dyDescent="0.25">
      <c r="A44" s="22">
        <v>46165</v>
      </c>
      <c r="B44" s="20" t="s">
        <v>32</v>
      </c>
      <c r="C44" s="21">
        <v>350552890732981</v>
      </c>
      <c r="D44" s="20" t="s">
        <v>35</v>
      </c>
      <c r="E44" s="20">
        <v>3354.43</v>
      </c>
      <c r="F44" s="20">
        <v>2960</v>
      </c>
      <c r="G44" s="11">
        <f t="shared" si="0"/>
        <v>394.42999999999984</v>
      </c>
      <c r="H44" s="12">
        <v>0.13325337837837833</v>
      </c>
      <c r="I44" s="20" t="s">
        <v>36</v>
      </c>
      <c r="J44" s="20" t="s">
        <v>776</v>
      </c>
    </row>
    <row r="45" spans="1:10" x14ac:dyDescent="0.25">
      <c r="A45" s="22">
        <v>46163</v>
      </c>
      <c r="B45" s="20" t="s">
        <v>556</v>
      </c>
      <c r="C45" s="21" t="s">
        <v>570</v>
      </c>
      <c r="D45" s="20" t="s">
        <v>30</v>
      </c>
      <c r="E45" s="20">
        <v>365</v>
      </c>
      <c r="F45" s="20">
        <v>365</v>
      </c>
      <c r="G45" s="11">
        <f t="shared" si="0"/>
        <v>0</v>
      </c>
      <c r="H45" s="20">
        <v>0</v>
      </c>
      <c r="I45" s="20" t="s">
        <v>571</v>
      </c>
      <c r="J45" s="20"/>
    </row>
    <row r="46" spans="1:10" x14ac:dyDescent="0.25">
      <c r="A46" s="22">
        <v>46163</v>
      </c>
      <c r="B46" s="20" t="s">
        <v>556</v>
      </c>
      <c r="C46" s="21" t="s">
        <v>572</v>
      </c>
      <c r="D46" s="20" t="s">
        <v>30</v>
      </c>
      <c r="E46" s="20">
        <v>365</v>
      </c>
      <c r="F46" s="20">
        <v>365</v>
      </c>
      <c r="G46" s="11">
        <f t="shared" si="0"/>
        <v>0</v>
      </c>
      <c r="H46" s="20">
        <v>0</v>
      </c>
      <c r="I46" s="20" t="s">
        <v>571</v>
      </c>
      <c r="J46" s="20"/>
    </row>
    <row r="47" spans="1:10" x14ac:dyDescent="0.25">
      <c r="A47" s="22">
        <v>46163</v>
      </c>
      <c r="B47" s="20" t="s">
        <v>556</v>
      </c>
      <c r="C47" s="21" t="s">
        <v>573</v>
      </c>
      <c r="D47" s="20" t="s">
        <v>30</v>
      </c>
      <c r="E47" s="20">
        <v>365</v>
      </c>
      <c r="F47" s="20">
        <v>365</v>
      </c>
      <c r="G47" s="11">
        <f t="shared" si="0"/>
        <v>0</v>
      </c>
      <c r="H47" s="20">
        <v>0</v>
      </c>
      <c r="I47" s="20" t="s">
        <v>571</v>
      </c>
      <c r="J47" s="20"/>
    </row>
    <row r="48" spans="1:10" x14ac:dyDescent="0.25">
      <c r="A48" s="22">
        <v>46163</v>
      </c>
      <c r="B48" s="20" t="s">
        <v>556</v>
      </c>
      <c r="C48" s="21" t="s">
        <v>582</v>
      </c>
      <c r="D48" s="20" t="s">
        <v>30</v>
      </c>
      <c r="E48" s="20">
        <v>365</v>
      </c>
      <c r="F48" s="20">
        <v>365</v>
      </c>
      <c r="G48" s="11">
        <f t="shared" si="0"/>
        <v>0</v>
      </c>
      <c r="H48" s="20">
        <v>0</v>
      </c>
      <c r="I48" s="20" t="s">
        <v>571</v>
      </c>
      <c r="J48" s="20"/>
    </row>
    <row r="49" spans="1:10" x14ac:dyDescent="0.25">
      <c r="A49" s="22">
        <v>46163</v>
      </c>
      <c r="B49" s="20" t="s">
        <v>556</v>
      </c>
      <c r="C49" s="21" t="s">
        <v>583</v>
      </c>
      <c r="D49" s="20" t="s">
        <v>30</v>
      </c>
      <c r="E49" s="20">
        <v>365</v>
      </c>
      <c r="F49" s="20">
        <v>365</v>
      </c>
      <c r="G49" s="11">
        <f t="shared" si="0"/>
        <v>0</v>
      </c>
      <c r="H49" s="20">
        <v>0</v>
      </c>
      <c r="I49" s="20" t="s">
        <v>571</v>
      </c>
      <c r="J49" s="20"/>
    </row>
    <row r="50" spans="1:10" x14ac:dyDescent="0.25">
      <c r="A50" s="22">
        <v>46163</v>
      </c>
      <c r="B50" s="20" t="s">
        <v>556</v>
      </c>
      <c r="C50" s="21" t="s">
        <v>584</v>
      </c>
      <c r="D50" s="20" t="s">
        <v>30</v>
      </c>
      <c r="E50" s="20">
        <v>365</v>
      </c>
      <c r="F50" s="20">
        <v>365</v>
      </c>
      <c r="G50" s="11">
        <f t="shared" si="0"/>
        <v>0</v>
      </c>
      <c r="H50" s="20">
        <v>0</v>
      </c>
      <c r="I50" s="20" t="s">
        <v>571</v>
      </c>
      <c r="J50" s="20"/>
    </row>
    <row r="51" spans="1:10" x14ac:dyDescent="0.25">
      <c r="A51" s="22">
        <v>46163</v>
      </c>
      <c r="B51" s="20" t="s">
        <v>556</v>
      </c>
      <c r="C51" s="21" t="s">
        <v>585</v>
      </c>
      <c r="D51" s="20" t="s">
        <v>30</v>
      </c>
      <c r="E51" s="20">
        <v>365</v>
      </c>
      <c r="F51" s="20">
        <v>365</v>
      </c>
      <c r="G51" s="11">
        <f t="shared" si="0"/>
        <v>0</v>
      </c>
      <c r="H51" s="20">
        <v>0</v>
      </c>
      <c r="I51" s="20" t="s">
        <v>571</v>
      </c>
      <c r="J51" s="20"/>
    </row>
    <row r="52" spans="1:10" x14ac:dyDescent="0.25">
      <c r="A52" s="22">
        <v>46163</v>
      </c>
      <c r="B52" s="20" t="s">
        <v>556</v>
      </c>
      <c r="C52" s="21" t="s">
        <v>586</v>
      </c>
      <c r="D52" s="20" t="s">
        <v>30</v>
      </c>
      <c r="E52" s="20">
        <v>365</v>
      </c>
      <c r="F52" s="20">
        <v>365</v>
      </c>
      <c r="G52" s="11">
        <f t="shared" si="0"/>
        <v>0</v>
      </c>
      <c r="H52" s="20">
        <v>0</v>
      </c>
      <c r="I52" s="20" t="s">
        <v>571</v>
      </c>
      <c r="J52" s="20"/>
    </row>
    <row r="53" spans="1:10" x14ac:dyDescent="0.25">
      <c r="A53" s="22">
        <v>46163</v>
      </c>
      <c r="B53" s="20" t="s">
        <v>556</v>
      </c>
      <c r="C53" s="21" t="s">
        <v>587</v>
      </c>
      <c r="D53" s="20" t="s">
        <v>30</v>
      </c>
      <c r="E53" s="20">
        <v>365</v>
      </c>
      <c r="F53" s="20">
        <v>365</v>
      </c>
      <c r="G53" s="11">
        <f t="shared" si="0"/>
        <v>0</v>
      </c>
      <c r="H53" s="20">
        <v>0</v>
      </c>
      <c r="I53" s="20" t="s">
        <v>571</v>
      </c>
      <c r="J53" s="20"/>
    </row>
    <row r="54" spans="1:10" x14ac:dyDescent="0.25">
      <c r="A54" s="22">
        <v>46163</v>
      </c>
      <c r="B54" s="20" t="s">
        <v>556</v>
      </c>
      <c r="C54" s="21" t="s">
        <v>588</v>
      </c>
      <c r="D54" s="20" t="s">
        <v>30</v>
      </c>
      <c r="E54" s="20">
        <v>365</v>
      </c>
      <c r="F54" s="20">
        <v>365</v>
      </c>
      <c r="G54" s="11">
        <f t="shared" si="0"/>
        <v>0</v>
      </c>
      <c r="H54" s="20">
        <v>0</v>
      </c>
      <c r="I54" s="20" t="s">
        <v>571</v>
      </c>
      <c r="J54" s="20"/>
    </row>
    <row r="55" spans="1:10" x14ac:dyDescent="0.25">
      <c r="A55" s="22">
        <v>46163</v>
      </c>
      <c r="B55" s="20" t="s">
        <v>556</v>
      </c>
      <c r="C55" s="21" t="s">
        <v>589</v>
      </c>
      <c r="D55" s="20" t="s">
        <v>30</v>
      </c>
      <c r="E55" s="20">
        <v>365</v>
      </c>
      <c r="F55" s="20">
        <v>365</v>
      </c>
      <c r="G55" s="11">
        <f t="shared" si="0"/>
        <v>0</v>
      </c>
      <c r="H55" s="20">
        <v>0</v>
      </c>
      <c r="I55" s="20" t="s">
        <v>571</v>
      </c>
      <c r="J55" s="20"/>
    </row>
    <row r="56" spans="1:10" x14ac:dyDescent="0.25">
      <c r="A56" s="22">
        <v>46163</v>
      </c>
      <c r="B56" s="20" t="s">
        <v>556</v>
      </c>
      <c r="C56" s="21" t="s">
        <v>590</v>
      </c>
      <c r="D56" s="20" t="s">
        <v>30</v>
      </c>
      <c r="E56" s="20">
        <v>365</v>
      </c>
      <c r="F56" s="20">
        <v>365</v>
      </c>
      <c r="G56" s="11">
        <f t="shared" si="0"/>
        <v>0</v>
      </c>
      <c r="H56" s="20">
        <v>0</v>
      </c>
      <c r="I56" s="20" t="s">
        <v>571</v>
      </c>
      <c r="J56" s="20"/>
    </row>
    <row r="57" spans="1:10" x14ac:dyDescent="0.25">
      <c r="A57" s="22">
        <v>46163</v>
      </c>
      <c r="B57" s="20" t="s">
        <v>556</v>
      </c>
      <c r="C57" s="21" t="s">
        <v>591</v>
      </c>
      <c r="D57" s="20" t="s">
        <v>30</v>
      </c>
      <c r="E57" s="20">
        <v>365</v>
      </c>
      <c r="F57" s="20">
        <v>365</v>
      </c>
      <c r="G57" s="11">
        <f t="shared" si="0"/>
        <v>0</v>
      </c>
      <c r="H57" s="20">
        <v>0</v>
      </c>
      <c r="I57" s="20" t="s">
        <v>571</v>
      </c>
      <c r="J57" s="20"/>
    </row>
    <row r="58" spans="1:10" x14ac:dyDescent="0.25">
      <c r="A58" s="22">
        <v>46163</v>
      </c>
      <c r="B58" s="20" t="s">
        <v>556</v>
      </c>
      <c r="C58" s="21" t="s">
        <v>592</v>
      </c>
      <c r="D58" s="20" t="s">
        <v>30</v>
      </c>
      <c r="E58" s="20">
        <v>365</v>
      </c>
      <c r="F58" s="20">
        <v>365</v>
      </c>
      <c r="G58" s="11">
        <f t="shared" si="0"/>
        <v>0</v>
      </c>
      <c r="H58" s="20">
        <v>0</v>
      </c>
      <c r="I58" s="20" t="s">
        <v>571</v>
      </c>
      <c r="J58" s="20"/>
    </row>
    <row r="59" spans="1:10" x14ac:dyDescent="0.25">
      <c r="A59" s="22">
        <v>46163</v>
      </c>
      <c r="B59" s="20" t="s">
        <v>556</v>
      </c>
      <c r="C59" s="21" t="s">
        <v>593</v>
      </c>
      <c r="D59" s="20" t="s">
        <v>30</v>
      </c>
      <c r="E59" s="20">
        <v>365</v>
      </c>
      <c r="F59" s="20">
        <v>365</v>
      </c>
      <c r="G59" s="11">
        <f t="shared" si="0"/>
        <v>0</v>
      </c>
      <c r="H59" s="20">
        <v>0</v>
      </c>
      <c r="I59" s="20" t="s">
        <v>571</v>
      </c>
      <c r="J59" s="20"/>
    </row>
    <row r="60" spans="1:10" x14ac:dyDescent="0.25">
      <c r="A60" s="22">
        <v>46163</v>
      </c>
      <c r="B60" s="20" t="s">
        <v>556</v>
      </c>
      <c r="C60" s="21" t="s">
        <v>594</v>
      </c>
      <c r="D60" s="20" t="s">
        <v>30</v>
      </c>
      <c r="E60" s="20">
        <v>365</v>
      </c>
      <c r="F60" s="20">
        <v>365</v>
      </c>
      <c r="G60" s="11">
        <f t="shared" si="0"/>
        <v>0</v>
      </c>
      <c r="H60" s="20">
        <v>0</v>
      </c>
      <c r="I60" s="20" t="s">
        <v>571</v>
      </c>
      <c r="J60" s="20"/>
    </row>
    <row r="61" spans="1:10" x14ac:dyDescent="0.25">
      <c r="A61" s="22">
        <v>46163</v>
      </c>
      <c r="B61" s="20" t="s">
        <v>556</v>
      </c>
      <c r="C61" s="21" t="s">
        <v>595</v>
      </c>
      <c r="D61" s="20" t="s">
        <v>30</v>
      </c>
      <c r="E61" s="20">
        <v>365</v>
      </c>
      <c r="F61" s="20">
        <v>365</v>
      </c>
      <c r="G61" s="11">
        <f t="shared" si="0"/>
        <v>0</v>
      </c>
      <c r="H61" s="20">
        <v>0</v>
      </c>
      <c r="I61" s="20" t="s">
        <v>571</v>
      </c>
      <c r="J61" s="20"/>
    </row>
    <row r="62" spans="1:10" x14ac:dyDescent="0.25">
      <c r="A62" s="22">
        <v>46163</v>
      </c>
      <c r="B62" s="20" t="s">
        <v>556</v>
      </c>
      <c r="C62" s="21" t="s">
        <v>596</v>
      </c>
      <c r="D62" s="20" t="s">
        <v>30</v>
      </c>
      <c r="E62" s="20">
        <v>365</v>
      </c>
      <c r="F62" s="20">
        <v>365</v>
      </c>
      <c r="G62" s="11">
        <f t="shared" si="0"/>
        <v>0</v>
      </c>
      <c r="H62" s="20">
        <v>0</v>
      </c>
      <c r="I62" s="20" t="s">
        <v>571</v>
      </c>
      <c r="J62" s="20"/>
    </row>
    <row r="63" spans="1:10" x14ac:dyDescent="0.25">
      <c r="A63" s="22">
        <v>46163</v>
      </c>
      <c r="B63" s="20" t="s">
        <v>556</v>
      </c>
      <c r="C63" s="21" t="s">
        <v>597</v>
      </c>
      <c r="D63" s="20" t="s">
        <v>30</v>
      </c>
      <c r="E63" s="20">
        <v>365</v>
      </c>
      <c r="F63" s="20">
        <v>365</v>
      </c>
      <c r="G63" s="11">
        <f t="shared" si="0"/>
        <v>0</v>
      </c>
      <c r="H63" s="20">
        <v>0</v>
      </c>
      <c r="I63" s="20" t="s">
        <v>571</v>
      </c>
      <c r="J63" s="20"/>
    </row>
    <row r="64" spans="1:10" x14ac:dyDescent="0.25">
      <c r="A64" s="22">
        <v>46163</v>
      </c>
      <c r="B64" s="20" t="s">
        <v>556</v>
      </c>
      <c r="C64" s="21" t="s">
        <v>598</v>
      </c>
      <c r="D64" s="20" t="s">
        <v>30</v>
      </c>
      <c r="E64" s="20">
        <v>365</v>
      </c>
      <c r="F64" s="20">
        <v>365</v>
      </c>
      <c r="G64" s="11">
        <f t="shared" si="0"/>
        <v>0</v>
      </c>
      <c r="H64" s="20">
        <v>0</v>
      </c>
      <c r="I64" s="20" t="s">
        <v>571</v>
      </c>
      <c r="J64" s="20"/>
    </row>
    <row r="65" spans="1:10" x14ac:dyDescent="0.25">
      <c r="A65" s="22">
        <v>46163</v>
      </c>
      <c r="B65" s="20" t="s">
        <v>556</v>
      </c>
      <c r="C65" s="21" t="s">
        <v>599</v>
      </c>
      <c r="D65" s="20" t="s">
        <v>30</v>
      </c>
      <c r="E65" s="20">
        <v>365</v>
      </c>
      <c r="F65" s="20">
        <v>365</v>
      </c>
      <c r="G65" s="11">
        <f t="shared" si="0"/>
        <v>0</v>
      </c>
      <c r="H65" s="20">
        <v>0</v>
      </c>
      <c r="I65" s="20" t="s">
        <v>571</v>
      </c>
      <c r="J65" s="20"/>
    </row>
    <row r="66" spans="1:10" x14ac:dyDescent="0.25">
      <c r="A66" s="22">
        <v>46163</v>
      </c>
      <c r="B66" s="20" t="s">
        <v>556</v>
      </c>
      <c r="C66" s="21" t="s">
        <v>600</v>
      </c>
      <c r="D66" s="20" t="s">
        <v>30</v>
      </c>
      <c r="E66" s="20">
        <v>365</v>
      </c>
      <c r="F66" s="20">
        <v>365</v>
      </c>
      <c r="G66" s="11">
        <f t="shared" si="0"/>
        <v>0</v>
      </c>
      <c r="H66" s="20">
        <v>0</v>
      </c>
      <c r="I66" s="20" t="s">
        <v>571</v>
      </c>
      <c r="J66" s="20"/>
    </row>
    <row r="67" spans="1:10" x14ac:dyDescent="0.25">
      <c r="A67" s="22">
        <v>46163</v>
      </c>
      <c r="B67" s="20" t="s">
        <v>556</v>
      </c>
      <c r="C67" s="21" t="s">
        <v>601</v>
      </c>
      <c r="D67" s="20" t="s">
        <v>30</v>
      </c>
      <c r="E67" s="20">
        <v>365</v>
      </c>
      <c r="F67" s="20">
        <v>365</v>
      </c>
      <c r="G67" s="11">
        <f t="shared" ref="G67:G130" si="1">E67-F67</f>
        <v>0</v>
      </c>
      <c r="H67" s="20">
        <v>0</v>
      </c>
      <c r="I67" s="20" t="s">
        <v>571</v>
      </c>
      <c r="J67" s="20"/>
    </row>
    <row r="68" spans="1:10" x14ac:dyDescent="0.25">
      <c r="A68" s="22">
        <v>46163</v>
      </c>
      <c r="B68" s="20" t="s">
        <v>556</v>
      </c>
      <c r="C68" s="21" t="s">
        <v>602</v>
      </c>
      <c r="D68" s="20" t="s">
        <v>30</v>
      </c>
      <c r="E68" s="20">
        <v>365</v>
      </c>
      <c r="F68" s="20">
        <v>365</v>
      </c>
      <c r="G68" s="11">
        <f t="shared" si="1"/>
        <v>0</v>
      </c>
      <c r="H68" s="20">
        <v>0</v>
      </c>
      <c r="I68" s="20" t="s">
        <v>571</v>
      </c>
      <c r="J68" s="20"/>
    </row>
    <row r="69" spans="1:10" x14ac:dyDescent="0.25">
      <c r="A69" s="22">
        <v>46163</v>
      </c>
      <c r="B69" s="20" t="s">
        <v>556</v>
      </c>
      <c r="C69" s="21" t="s">
        <v>603</v>
      </c>
      <c r="D69" s="20" t="s">
        <v>30</v>
      </c>
      <c r="E69" s="20">
        <v>365</v>
      </c>
      <c r="F69" s="20">
        <v>365</v>
      </c>
      <c r="G69" s="11">
        <f t="shared" si="1"/>
        <v>0</v>
      </c>
      <c r="H69" s="20">
        <v>0</v>
      </c>
      <c r="I69" s="20" t="s">
        <v>571</v>
      </c>
      <c r="J69" s="20"/>
    </row>
    <row r="70" spans="1:10" x14ac:dyDescent="0.25">
      <c r="A70" s="22">
        <v>46163</v>
      </c>
      <c r="B70" s="20" t="s">
        <v>556</v>
      </c>
      <c r="C70" s="21" t="s">
        <v>604</v>
      </c>
      <c r="D70" s="20" t="s">
        <v>30</v>
      </c>
      <c r="E70" s="20">
        <v>365</v>
      </c>
      <c r="F70" s="20">
        <v>365</v>
      </c>
      <c r="G70" s="11">
        <f t="shared" si="1"/>
        <v>0</v>
      </c>
      <c r="H70" s="20">
        <v>0</v>
      </c>
      <c r="I70" s="20" t="s">
        <v>571</v>
      </c>
      <c r="J70" s="20"/>
    </row>
    <row r="71" spans="1:10" x14ac:dyDescent="0.25">
      <c r="A71" s="22">
        <v>46163</v>
      </c>
      <c r="B71" s="20" t="s">
        <v>556</v>
      </c>
      <c r="C71" s="21" t="s">
        <v>605</v>
      </c>
      <c r="D71" s="20" t="s">
        <v>30</v>
      </c>
      <c r="E71" s="20">
        <v>365</v>
      </c>
      <c r="F71" s="20">
        <v>365</v>
      </c>
      <c r="G71" s="11">
        <f t="shared" si="1"/>
        <v>0</v>
      </c>
      <c r="H71" s="20">
        <v>0</v>
      </c>
      <c r="I71" s="20" t="s">
        <v>571</v>
      </c>
      <c r="J71" s="20"/>
    </row>
    <row r="72" spans="1:10" x14ac:dyDescent="0.25">
      <c r="A72" s="22">
        <v>46163</v>
      </c>
      <c r="B72" s="20" t="s">
        <v>556</v>
      </c>
      <c r="C72" s="21" t="s">
        <v>606</v>
      </c>
      <c r="D72" s="20" t="s">
        <v>30</v>
      </c>
      <c r="E72" s="20">
        <v>365</v>
      </c>
      <c r="F72" s="20">
        <v>365</v>
      </c>
      <c r="G72" s="11">
        <f t="shared" si="1"/>
        <v>0</v>
      </c>
      <c r="H72" s="20">
        <v>0</v>
      </c>
      <c r="I72" s="20" t="s">
        <v>571</v>
      </c>
      <c r="J72" s="20"/>
    </row>
    <row r="73" spans="1:10" x14ac:dyDescent="0.25">
      <c r="A73" s="22">
        <v>46163</v>
      </c>
      <c r="B73" s="20" t="s">
        <v>556</v>
      </c>
      <c r="C73" s="21" t="s">
        <v>607</v>
      </c>
      <c r="D73" s="20" t="s">
        <v>30</v>
      </c>
      <c r="E73" s="20">
        <v>365</v>
      </c>
      <c r="F73" s="20">
        <v>365</v>
      </c>
      <c r="G73" s="11">
        <f t="shared" si="1"/>
        <v>0</v>
      </c>
      <c r="H73" s="20">
        <v>0</v>
      </c>
      <c r="I73" s="20" t="s">
        <v>571</v>
      </c>
      <c r="J73" s="20"/>
    </row>
    <row r="74" spans="1:10" x14ac:dyDescent="0.25">
      <c r="A74" s="22">
        <v>46163</v>
      </c>
      <c r="B74" s="20" t="s">
        <v>556</v>
      </c>
      <c r="C74" s="21" t="s">
        <v>608</v>
      </c>
      <c r="D74" s="20" t="s">
        <v>30</v>
      </c>
      <c r="E74" s="20">
        <v>365</v>
      </c>
      <c r="F74" s="20">
        <v>365</v>
      </c>
      <c r="G74" s="11">
        <f t="shared" si="1"/>
        <v>0</v>
      </c>
      <c r="H74" s="20">
        <v>0</v>
      </c>
      <c r="I74" s="20" t="s">
        <v>571</v>
      </c>
      <c r="J74" s="20"/>
    </row>
    <row r="75" spans="1:10" x14ac:dyDescent="0.25">
      <c r="A75" s="22">
        <v>46163</v>
      </c>
      <c r="B75" s="20" t="s">
        <v>556</v>
      </c>
      <c r="C75" s="21" t="s">
        <v>609</v>
      </c>
      <c r="D75" s="20" t="s">
        <v>30</v>
      </c>
      <c r="E75" s="20">
        <v>365</v>
      </c>
      <c r="F75" s="20">
        <v>365</v>
      </c>
      <c r="G75" s="11">
        <f t="shared" si="1"/>
        <v>0</v>
      </c>
      <c r="H75" s="20">
        <v>0</v>
      </c>
      <c r="I75" s="20" t="s">
        <v>571</v>
      </c>
      <c r="J75" s="20"/>
    </row>
    <row r="76" spans="1:10" x14ac:dyDescent="0.25">
      <c r="A76" s="22">
        <v>46163</v>
      </c>
      <c r="B76" s="20" t="s">
        <v>556</v>
      </c>
      <c r="C76" s="21" t="s">
        <v>610</v>
      </c>
      <c r="D76" s="20" t="s">
        <v>30</v>
      </c>
      <c r="E76" s="20">
        <v>365</v>
      </c>
      <c r="F76" s="20">
        <v>365</v>
      </c>
      <c r="G76" s="11">
        <f t="shared" si="1"/>
        <v>0</v>
      </c>
      <c r="H76" s="20">
        <v>0</v>
      </c>
      <c r="I76" s="20" t="s">
        <v>571</v>
      </c>
      <c r="J76" s="20"/>
    </row>
    <row r="77" spans="1:10" x14ac:dyDescent="0.25">
      <c r="A77" s="22">
        <v>46163</v>
      </c>
      <c r="B77" s="20" t="s">
        <v>556</v>
      </c>
      <c r="C77" s="21" t="s">
        <v>611</v>
      </c>
      <c r="D77" s="20" t="s">
        <v>30</v>
      </c>
      <c r="E77" s="20">
        <v>365</v>
      </c>
      <c r="F77" s="20">
        <v>365</v>
      </c>
      <c r="G77" s="11">
        <f t="shared" si="1"/>
        <v>0</v>
      </c>
      <c r="H77" s="20">
        <v>0</v>
      </c>
      <c r="I77" s="20" t="s">
        <v>571</v>
      </c>
      <c r="J77" s="20"/>
    </row>
    <row r="78" spans="1:10" x14ac:dyDescent="0.25">
      <c r="A78" s="22">
        <v>46163</v>
      </c>
      <c r="B78" s="20" t="s">
        <v>556</v>
      </c>
      <c r="C78" s="21" t="s">
        <v>612</v>
      </c>
      <c r="D78" s="20" t="s">
        <v>30</v>
      </c>
      <c r="E78" s="20">
        <v>365</v>
      </c>
      <c r="F78" s="20">
        <v>365</v>
      </c>
      <c r="G78" s="11">
        <f t="shared" si="1"/>
        <v>0</v>
      </c>
      <c r="H78" s="20">
        <v>0</v>
      </c>
      <c r="I78" s="20" t="s">
        <v>571</v>
      </c>
      <c r="J78" s="20"/>
    </row>
    <row r="79" spans="1:10" x14ac:dyDescent="0.25">
      <c r="A79" s="22">
        <v>46163</v>
      </c>
      <c r="B79" s="20" t="s">
        <v>556</v>
      </c>
      <c r="C79" s="21" t="s">
        <v>613</v>
      </c>
      <c r="D79" s="20" t="s">
        <v>30</v>
      </c>
      <c r="E79" s="20">
        <v>365</v>
      </c>
      <c r="F79" s="20">
        <v>365</v>
      </c>
      <c r="G79" s="11">
        <f t="shared" si="1"/>
        <v>0</v>
      </c>
      <c r="H79" s="20">
        <v>0</v>
      </c>
      <c r="I79" s="20" t="s">
        <v>571</v>
      </c>
      <c r="J79" s="20"/>
    </row>
    <row r="80" spans="1:10" x14ac:dyDescent="0.25">
      <c r="A80" s="22">
        <v>46163</v>
      </c>
      <c r="B80" s="20" t="s">
        <v>556</v>
      </c>
      <c r="C80" s="21" t="s">
        <v>614</v>
      </c>
      <c r="D80" s="20" t="s">
        <v>30</v>
      </c>
      <c r="E80" s="20">
        <v>365</v>
      </c>
      <c r="F80" s="20">
        <v>365</v>
      </c>
      <c r="G80" s="11">
        <f t="shared" si="1"/>
        <v>0</v>
      </c>
      <c r="H80" s="20">
        <v>0</v>
      </c>
      <c r="I80" s="20" t="s">
        <v>571</v>
      </c>
      <c r="J80" s="20"/>
    </row>
    <row r="81" spans="1:10" x14ac:dyDescent="0.25">
      <c r="A81" s="22">
        <v>46163</v>
      </c>
      <c r="B81" s="20" t="s">
        <v>556</v>
      </c>
      <c r="C81" s="21" t="s">
        <v>615</v>
      </c>
      <c r="D81" s="20" t="s">
        <v>30</v>
      </c>
      <c r="E81" s="20">
        <v>365</v>
      </c>
      <c r="F81" s="20">
        <v>365</v>
      </c>
      <c r="G81" s="11">
        <f t="shared" si="1"/>
        <v>0</v>
      </c>
      <c r="H81" s="20">
        <v>0</v>
      </c>
      <c r="I81" s="20" t="s">
        <v>571</v>
      </c>
      <c r="J81" s="20"/>
    </row>
    <row r="82" spans="1:10" x14ac:dyDescent="0.25">
      <c r="A82" s="22">
        <v>46163</v>
      </c>
      <c r="B82" s="20" t="s">
        <v>556</v>
      </c>
      <c r="C82" s="21" t="s">
        <v>616</v>
      </c>
      <c r="D82" s="20" t="s">
        <v>30</v>
      </c>
      <c r="E82" s="20">
        <v>365</v>
      </c>
      <c r="F82" s="20">
        <v>365</v>
      </c>
      <c r="G82" s="11">
        <f t="shared" si="1"/>
        <v>0</v>
      </c>
      <c r="H82" s="20">
        <v>0</v>
      </c>
      <c r="I82" s="20" t="s">
        <v>571</v>
      </c>
      <c r="J82" s="20"/>
    </row>
    <row r="83" spans="1:10" x14ac:dyDescent="0.25">
      <c r="A83" s="22">
        <v>46163</v>
      </c>
      <c r="B83" s="20" t="s">
        <v>556</v>
      </c>
      <c r="C83" s="21" t="s">
        <v>617</v>
      </c>
      <c r="D83" s="20" t="s">
        <v>30</v>
      </c>
      <c r="E83" s="20">
        <v>365</v>
      </c>
      <c r="F83" s="20">
        <v>365</v>
      </c>
      <c r="G83" s="11">
        <f t="shared" si="1"/>
        <v>0</v>
      </c>
      <c r="H83" s="20">
        <v>0</v>
      </c>
      <c r="I83" s="20" t="s">
        <v>571</v>
      </c>
      <c r="J83" s="20"/>
    </row>
    <row r="84" spans="1:10" x14ac:dyDescent="0.25">
      <c r="A84" s="22">
        <v>46163</v>
      </c>
      <c r="B84" s="20" t="s">
        <v>556</v>
      </c>
      <c r="C84" s="21" t="s">
        <v>618</v>
      </c>
      <c r="D84" s="20" t="s">
        <v>30</v>
      </c>
      <c r="E84" s="20">
        <v>365</v>
      </c>
      <c r="F84" s="20">
        <v>365</v>
      </c>
      <c r="G84" s="11">
        <f t="shared" si="1"/>
        <v>0</v>
      </c>
      <c r="H84" s="20">
        <v>0</v>
      </c>
      <c r="I84" s="20" t="s">
        <v>571</v>
      </c>
      <c r="J84" s="20"/>
    </row>
    <row r="85" spans="1:10" x14ac:dyDescent="0.25">
      <c r="A85" s="22">
        <v>46163</v>
      </c>
      <c r="B85" s="20" t="s">
        <v>556</v>
      </c>
      <c r="C85" s="21" t="s">
        <v>619</v>
      </c>
      <c r="D85" s="20" t="s">
        <v>30</v>
      </c>
      <c r="E85" s="20">
        <v>365</v>
      </c>
      <c r="F85" s="20">
        <v>365</v>
      </c>
      <c r="G85" s="11">
        <f t="shared" si="1"/>
        <v>0</v>
      </c>
      <c r="H85" s="20">
        <v>0</v>
      </c>
      <c r="I85" s="20" t="s">
        <v>571</v>
      </c>
      <c r="J85" s="20"/>
    </row>
    <row r="86" spans="1:10" x14ac:dyDescent="0.25">
      <c r="A86" s="22">
        <v>46163</v>
      </c>
      <c r="B86" s="20" t="s">
        <v>556</v>
      </c>
      <c r="C86" s="21" t="s">
        <v>620</v>
      </c>
      <c r="D86" s="20" t="s">
        <v>30</v>
      </c>
      <c r="E86" s="20">
        <v>365</v>
      </c>
      <c r="F86" s="20">
        <v>365</v>
      </c>
      <c r="G86" s="11">
        <f t="shared" si="1"/>
        <v>0</v>
      </c>
      <c r="H86" s="20">
        <v>0</v>
      </c>
      <c r="I86" s="20" t="s">
        <v>571</v>
      </c>
      <c r="J86" s="20"/>
    </row>
    <row r="87" spans="1:10" x14ac:dyDescent="0.25">
      <c r="A87" s="22">
        <v>46163</v>
      </c>
      <c r="B87" s="20" t="s">
        <v>556</v>
      </c>
      <c r="C87" s="21" t="s">
        <v>621</v>
      </c>
      <c r="D87" s="20" t="s">
        <v>30</v>
      </c>
      <c r="E87" s="20">
        <v>365</v>
      </c>
      <c r="F87" s="20">
        <v>365</v>
      </c>
      <c r="G87" s="11">
        <f t="shared" si="1"/>
        <v>0</v>
      </c>
      <c r="H87" s="20">
        <v>0</v>
      </c>
      <c r="I87" s="20" t="s">
        <v>571</v>
      </c>
      <c r="J87" s="20"/>
    </row>
    <row r="88" spans="1:10" x14ac:dyDescent="0.25">
      <c r="A88" s="22">
        <v>46163</v>
      </c>
      <c r="B88" s="20" t="s">
        <v>556</v>
      </c>
      <c r="C88" s="21" t="s">
        <v>622</v>
      </c>
      <c r="D88" s="20" t="s">
        <v>30</v>
      </c>
      <c r="E88" s="20">
        <v>365</v>
      </c>
      <c r="F88" s="20">
        <v>365</v>
      </c>
      <c r="G88" s="11">
        <f t="shared" si="1"/>
        <v>0</v>
      </c>
      <c r="H88" s="20">
        <v>0</v>
      </c>
      <c r="I88" s="20" t="s">
        <v>571</v>
      </c>
      <c r="J88" s="20"/>
    </row>
    <row r="89" spans="1:10" x14ac:dyDescent="0.25">
      <c r="A89" s="22">
        <v>46163</v>
      </c>
      <c r="B89" s="20" t="s">
        <v>556</v>
      </c>
      <c r="C89" s="21" t="s">
        <v>623</v>
      </c>
      <c r="D89" s="20" t="s">
        <v>30</v>
      </c>
      <c r="E89" s="20">
        <v>365</v>
      </c>
      <c r="F89" s="20">
        <v>365</v>
      </c>
      <c r="G89" s="11">
        <f t="shared" si="1"/>
        <v>0</v>
      </c>
      <c r="H89" s="20">
        <v>0</v>
      </c>
      <c r="I89" s="20" t="s">
        <v>571</v>
      </c>
      <c r="J89" s="20"/>
    </row>
    <row r="90" spans="1:10" x14ac:dyDescent="0.25">
      <c r="A90" s="22">
        <v>46163</v>
      </c>
      <c r="B90" s="20" t="s">
        <v>556</v>
      </c>
      <c r="C90" s="21" t="s">
        <v>624</v>
      </c>
      <c r="D90" s="20" t="s">
        <v>30</v>
      </c>
      <c r="E90" s="20">
        <v>365</v>
      </c>
      <c r="F90" s="20">
        <v>365</v>
      </c>
      <c r="G90" s="11">
        <f t="shared" si="1"/>
        <v>0</v>
      </c>
      <c r="H90" s="20">
        <v>0</v>
      </c>
      <c r="I90" s="20" t="s">
        <v>571</v>
      </c>
      <c r="J90" s="20"/>
    </row>
    <row r="91" spans="1:10" x14ac:dyDescent="0.25">
      <c r="A91" s="22">
        <v>46163</v>
      </c>
      <c r="B91" s="20" t="s">
        <v>556</v>
      </c>
      <c r="C91" s="21" t="s">
        <v>625</v>
      </c>
      <c r="D91" s="20" t="s">
        <v>30</v>
      </c>
      <c r="E91" s="20">
        <v>365</v>
      </c>
      <c r="F91" s="20">
        <v>365</v>
      </c>
      <c r="G91" s="11">
        <f t="shared" si="1"/>
        <v>0</v>
      </c>
      <c r="H91" s="20">
        <v>0</v>
      </c>
      <c r="I91" s="20" t="s">
        <v>571</v>
      </c>
      <c r="J91" s="20"/>
    </row>
    <row r="92" spans="1:10" x14ac:dyDescent="0.25">
      <c r="A92" s="22">
        <v>46163</v>
      </c>
      <c r="B92" s="20" t="s">
        <v>556</v>
      </c>
      <c r="C92" s="21" t="s">
        <v>626</v>
      </c>
      <c r="D92" s="20" t="s">
        <v>30</v>
      </c>
      <c r="E92" s="20">
        <v>365</v>
      </c>
      <c r="F92" s="20">
        <v>365</v>
      </c>
      <c r="G92" s="11">
        <f t="shared" si="1"/>
        <v>0</v>
      </c>
      <c r="H92" s="20">
        <v>0</v>
      </c>
      <c r="I92" s="20" t="s">
        <v>571</v>
      </c>
      <c r="J92" s="20"/>
    </row>
    <row r="93" spans="1:10" x14ac:dyDescent="0.25">
      <c r="A93" s="22">
        <v>46163</v>
      </c>
      <c r="B93" s="20" t="s">
        <v>556</v>
      </c>
      <c r="C93" s="21" t="s">
        <v>627</v>
      </c>
      <c r="D93" s="20" t="s">
        <v>30</v>
      </c>
      <c r="E93" s="20">
        <v>365</v>
      </c>
      <c r="F93" s="20">
        <v>365</v>
      </c>
      <c r="G93" s="11">
        <f t="shared" si="1"/>
        <v>0</v>
      </c>
      <c r="H93" s="20">
        <v>0</v>
      </c>
      <c r="I93" s="20" t="s">
        <v>571</v>
      </c>
      <c r="J93" s="20"/>
    </row>
    <row r="94" spans="1:10" x14ac:dyDescent="0.25">
      <c r="A94" s="22">
        <v>46163</v>
      </c>
      <c r="B94" s="20" t="s">
        <v>556</v>
      </c>
      <c r="C94" s="21" t="s">
        <v>628</v>
      </c>
      <c r="D94" s="20" t="s">
        <v>30</v>
      </c>
      <c r="E94" s="20">
        <v>365</v>
      </c>
      <c r="F94" s="20">
        <v>365</v>
      </c>
      <c r="G94" s="11">
        <f t="shared" si="1"/>
        <v>0</v>
      </c>
      <c r="H94" s="20">
        <v>0</v>
      </c>
      <c r="I94" s="20" t="s">
        <v>571</v>
      </c>
      <c r="J94" s="20"/>
    </row>
    <row r="95" spans="1:10" x14ac:dyDescent="0.25">
      <c r="A95" s="22">
        <v>46163</v>
      </c>
      <c r="B95" s="20" t="s">
        <v>556</v>
      </c>
      <c r="C95" s="21" t="s">
        <v>629</v>
      </c>
      <c r="D95" s="20" t="s">
        <v>30</v>
      </c>
      <c r="E95" s="20">
        <v>365</v>
      </c>
      <c r="F95" s="20">
        <v>365</v>
      </c>
      <c r="G95" s="11">
        <f t="shared" si="1"/>
        <v>0</v>
      </c>
      <c r="H95" s="20">
        <v>0</v>
      </c>
      <c r="I95" s="20" t="s">
        <v>571</v>
      </c>
      <c r="J95" s="20"/>
    </row>
    <row r="96" spans="1:10" x14ac:dyDescent="0.25">
      <c r="A96" s="22">
        <v>46163</v>
      </c>
      <c r="B96" s="20" t="s">
        <v>556</v>
      </c>
      <c r="C96" s="21" t="s">
        <v>630</v>
      </c>
      <c r="D96" s="20" t="s">
        <v>30</v>
      </c>
      <c r="E96" s="20">
        <v>365</v>
      </c>
      <c r="F96" s="20">
        <v>365</v>
      </c>
      <c r="G96" s="11">
        <f t="shared" si="1"/>
        <v>0</v>
      </c>
      <c r="H96" s="20">
        <v>0</v>
      </c>
      <c r="I96" s="20" t="s">
        <v>571</v>
      </c>
      <c r="J96" s="20"/>
    </row>
    <row r="97" spans="1:10" x14ac:dyDescent="0.25">
      <c r="A97" s="22">
        <v>46163</v>
      </c>
      <c r="B97" s="20" t="s">
        <v>556</v>
      </c>
      <c r="C97" s="21" t="s">
        <v>631</v>
      </c>
      <c r="D97" s="20" t="s">
        <v>30</v>
      </c>
      <c r="E97" s="20">
        <v>365</v>
      </c>
      <c r="F97" s="20">
        <v>365</v>
      </c>
      <c r="G97" s="11">
        <f t="shared" si="1"/>
        <v>0</v>
      </c>
      <c r="H97" s="20">
        <v>0</v>
      </c>
      <c r="I97" s="20" t="s">
        <v>571</v>
      </c>
      <c r="J97" s="20"/>
    </row>
    <row r="98" spans="1:10" x14ac:dyDescent="0.25">
      <c r="A98" s="22">
        <v>46163</v>
      </c>
      <c r="B98" s="20" t="s">
        <v>556</v>
      </c>
      <c r="C98" s="21" t="s">
        <v>632</v>
      </c>
      <c r="D98" s="20" t="s">
        <v>30</v>
      </c>
      <c r="E98" s="20">
        <v>365</v>
      </c>
      <c r="F98" s="20">
        <v>365</v>
      </c>
      <c r="G98" s="11">
        <f t="shared" si="1"/>
        <v>0</v>
      </c>
      <c r="H98" s="20">
        <v>0</v>
      </c>
      <c r="I98" s="20" t="s">
        <v>571</v>
      </c>
      <c r="J98" s="20"/>
    </row>
    <row r="99" spans="1:10" x14ac:dyDescent="0.25">
      <c r="A99" s="22">
        <v>46163</v>
      </c>
      <c r="B99" s="20" t="s">
        <v>556</v>
      </c>
      <c r="C99" s="21" t="s">
        <v>633</v>
      </c>
      <c r="D99" s="20" t="s">
        <v>30</v>
      </c>
      <c r="E99" s="20">
        <v>365</v>
      </c>
      <c r="F99" s="20">
        <v>365</v>
      </c>
      <c r="G99" s="11">
        <f t="shared" si="1"/>
        <v>0</v>
      </c>
      <c r="H99" s="20">
        <v>0</v>
      </c>
      <c r="I99" s="20" t="s">
        <v>571</v>
      </c>
      <c r="J99" s="20"/>
    </row>
    <row r="100" spans="1:10" x14ac:dyDescent="0.25">
      <c r="A100" s="22">
        <v>46163</v>
      </c>
      <c r="B100" s="20" t="s">
        <v>556</v>
      </c>
      <c r="C100" s="21" t="s">
        <v>634</v>
      </c>
      <c r="D100" s="20" t="s">
        <v>30</v>
      </c>
      <c r="E100" s="20">
        <v>365</v>
      </c>
      <c r="F100" s="20">
        <v>365</v>
      </c>
      <c r="G100" s="11">
        <f t="shared" si="1"/>
        <v>0</v>
      </c>
      <c r="H100" s="20">
        <v>0</v>
      </c>
      <c r="I100" s="20" t="s">
        <v>571</v>
      </c>
      <c r="J100" s="20"/>
    </row>
    <row r="101" spans="1:10" x14ac:dyDescent="0.25">
      <c r="A101" s="22">
        <v>46163</v>
      </c>
      <c r="B101" s="20" t="s">
        <v>556</v>
      </c>
      <c r="C101" s="21" t="s">
        <v>635</v>
      </c>
      <c r="D101" s="20" t="s">
        <v>30</v>
      </c>
      <c r="E101" s="20">
        <v>365</v>
      </c>
      <c r="F101" s="20">
        <v>365</v>
      </c>
      <c r="G101" s="11">
        <f t="shared" si="1"/>
        <v>0</v>
      </c>
      <c r="H101" s="20">
        <v>0</v>
      </c>
      <c r="I101" s="20" t="s">
        <v>571</v>
      </c>
      <c r="J101" s="20"/>
    </row>
    <row r="102" spans="1:10" x14ac:dyDescent="0.25">
      <c r="A102" s="22">
        <v>46163</v>
      </c>
      <c r="B102" s="20" t="s">
        <v>556</v>
      </c>
      <c r="C102" s="21" t="s">
        <v>636</v>
      </c>
      <c r="D102" s="20" t="s">
        <v>30</v>
      </c>
      <c r="E102" s="20">
        <v>365</v>
      </c>
      <c r="F102" s="20">
        <v>365</v>
      </c>
      <c r="G102" s="11">
        <f t="shared" si="1"/>
        <v>0</v>
      </c>
      <c r="H102" s="20">
        <v>0</v>
      </c>
      <c r="I102" s="20" t="s">
        <v>571</v>
      </c>
      <c r="J102" s="20"/>
    </row>
    <row r="103" spans="1:10" x14ac:dyDescent="0.25">
      <c r="A103" s="22">
        <v>46163</v>
      </c>
      <c r="B103" s="20" t="s">
        <v>556</v>
      </c>
      <c r="C103" s="21" t="s">
        <v>637</v>
      </c>
      <c r="D103" s="20" t="s">
        <v>30</v>
      </c>
      <c r="E103" s="20">
        <v>365</v>
      </c>
      <c r="F103" s="20">
        <v>365</v>
      </c>
      <c r="G103" s="11">
        <f t="shared" si="1"/>
        <v>0</v>
      </c>
      <c r="H103" s="20">
        <v>0</v>
      </c>
      <c r="I103" s="20" t="s">
        <v>571</v>
      </c>
      <c r="J103" s="20"/>
    </row>
    <row r="104" spans="1:10" x14ac:dyDescent="0.25">
      <c r="A104" s="22">
        <v>46163</v>
      </c>
      <c r="B104" s="20" t="s">
        <v>556</v>
      </c>
      <c r="C104" s="21" t="s">
        <v>638</v>
      </c>
      <c r="D104" s="20" t="s">
        <v>30</v>
      </c>
      <c r="E104" s="20">
        <v>365</v>
      </c>
      <c r="F104" s="20">
        <v>365</v>
      </c>
      <c r="G104" s="11">
        <f t="shared" si="1"/>
        <v>0</v>
      </c>
      <c r="H104" s="20">
        <v>0</v>
      </c>
      <c r="I104" s="20" t="s">
        <v>571</v>
      </c>
      <c r="J104" s="20"/>
    </row>
    <row r="105" spans="1:10" x14ac:dyDescent="0.25">
      <c r="A105" s="22">
        <v>46163</v>
      </c>
      <c r="B105" s="20" t="s">
        <v>556</v>
      </c>
      <c r="C105" s="21" t="s">
        <v>639</v>
      </c>
      <c r="D105" s="20" t="s">
        <v>30</v>
      </c>
      <c r="E105" s="20">
        <v>365</v>
      </c>
      <c r="F105" s="20">
        <v>365</v>
      </c>
      <c r="G105" s="11">
        <f t="shared" si="1"/>
        <v>0</v>
      </c>
      <c r="H105" s="20">
        <v>0</v>
      </c>
      <c r="I105" s="20" t="s">
        <v>571</v>
      </c>
      <c r="J105" s="20"/>
    </row>
    <row r="106" spans="1:10" x14ac:dyDescent="0.25">
      <c r="A106" s="22">
        <v>46163</v>
      </c>
      <c r="B106" s="20" t="s">
        <v>556</v>
      </c>
      <c r="C106" s="21" t="s">
        <v>640</v>
      </c>
      <c r="D106" s="20" t="s">
        <v>30</v>
      </c>
      <c r="E106" s="20">
        <v>365</v>
      </c>
      <c r="F106" s="20">
        <v>365</v>
      </c>
      <c r="G106" s="11">
        <f t="shared" si="1"/>
        <v>0</v>
      </c>
      <c r="H106" s="20">
        <v>0</v>
      </c>
      <c r="I106" s="20" t="s">
        <v>571</v>
      </c>
      <c r="J106" s="20"/>
    </row>
    <row r="107" spans="1:10" x14ac:dyDescent="0.25">
      <c r="A107" s="22">
        <v>46163</v>
      </c>
      <c r="B107" s="20" t="s">
        <v>556</v>
      </c>
      <c r="C107" s="21" t="s">
        <v>641</v>
      </c>
      <c r="D107" s="20" t="s">
        <v>30</v>
      </c>
      <c r="E107" s="20">
        <v>365</v>
      </c>
      <c r="F107" s="20">
        <v>365</v>
      </c>
      <c r="G107" s="11">
        <f t="shared" si="1"/>
        <v>0</v>
      </c>
      <c r="H107" s="20">
        <v>0</v>
      </c>
      <c r="I107" s="20" t="s">
        <v>571</v>
      </c>
      <c r="J107" s="20"/>
    </row>
    <row r="108" spans="1:10" x14ac:dyDescent="0.25">
      <c r="A108" s="22">
        <v>46163</v>
      </c>
      <c r="B108" s="20" t="s">
        <v>556</v>
      </c>
      <c r="C108" s="21" t="s">
        <v>642</v>
      </c>
      <c r="D108" s="20" t="s">
        <v>30</v>
      </c>
      <c r="E108" s="20">
        <v>365</v>
      </c>
      <c r="F108" s="20">
        <v>365</v>
      </c>
      <c r="G108" s="11">
        <f t="shared" si="1"/>
        <v>0</v>
      </c>
      <c r="H108" s="20">
        <v>0</v>
      </c>
      <c r="I108" s="20" t="s">
        <v>571</v>
      </c>
      <c r="J108" s="20"/>
    </row>
    <row r="109" spans="1:10" x14ac:dyDescent="0.25">
      <c r="A109" s="22">
        <v>46163</v>
      </c>
      <c r="B109" s="20" t="s">
        <v>556</v>
      </c>
      <c r="C109" s="21" t="s">
        <v>643</v>
      </c>
      <c r="D109" s="20" t="s">
        <v>30</v>
      </c>
      <c r="E109" s="20">
        <v>365</v>
      </c>
      <c r="F109" s="20">
        <v>365</v>
      </c>
      <c r="G109" s="11">
        <f t="shared" si="1"/>
        <v>0</v>
      </c>
      <c r="H109" s="20">
        <v>0</v>
      </c>
      <c r="I109" s="20" t="s">
        <v>571</v>
      </c>
      <c r="J109" s="20"/>
    </row>
    <row r="110" spans="1:10" x14ac:dyDescent="0.25">
      <c r="A110" s="22">
        <v>46163</v>
      </c>
      <c r="B110" s="20" t="s">
        <v>556</v>
      </c>
      <c r="C110" s="21" t="s">
        <v>644</v>
      </c>
      <c r="D110" s="20" t="s">
        <v>30</v>
      </c>
      <c r="E110" s="20">
        <v>365</v>
      </c>
      <c r="F110" s="20">
        <v>365</v>
      </c>
      <c r="G110" s="11">
        <f t="shared" si="1"/>
        <v>0</v>
      </c>
      <c r="H110" s="20">
        <v>0</v>
      </c>
      <c r="I110" s="20" t="s">
        <v>571</v>
      </c>
      <c r="J110" s="20"/>
    </row>
    <row r="111" spans="1:10" x14ac:dyDescent="0.25">
      <c r="A111" s="22">
        <v>46163</v>
      </c>
      <c r="B111" s="20" t="s">
        <v>556</v>
      </c>
      <c r="C111" s="21" t="s">
        <v>645</v>
      </c>
      <c r="D111" s="20" t="s">
        <v>30</v>
      </c>
      <c r="E111" s="20">
        <v>365</v>
      </c>
      <c r="F111" s="20">
        <v>365</v>
      </c>
      <c r="G111" s="11">
        <f t="shared" si="1"/>
        <v>0</v>
      </c>
      <c r="H111" s="20">
        <v>0</v>
      </c>
      <c r="I111" s="20" t="s">
        <v>571</v>
      </c>
      <c r="J111" s="20"/>
    </row>
    <row r="112" spans="1:10" x14ac:dyDescent="0.25">
      <c r="A112" s="22">
        <v>46163</v>
      </c>
      <c r="B112" s="20" t="s">
        <v>556</v>
      </c>
      <c r="C112" s="21" t="s">
        <v>646</v>
      </c>
      <c r="D112" s="20" t="s">
        <v>30</v>
      </c>
      <c r="E112" s="20">
        <v>365</v>
      </c>
      <c r="F112" s="20">
        <v>365</v>
      </c>
      <c r="G112" s="11">
        <f t="shared" si="1"/>
        <v>0</v>
      </c>
      <c r="H112" s="20">
        <v>0</v>
      </c>
      <c r="I112" s="20" t="s">
        <v>571</v>
      </c>
      <c r="J112" s="20"/>
    </row>
    <row r="113" spans="1:10" x14ac:dyDescent="0.25">
      <c r="A113" s="22">
        <v>46163</v>
      </c>
      <c r="B113" s="20" t="s">
        <v>556</v>
      </c>
      <c r="C113" s="21" t="s">
        <v>647</v>
      </c>
      <c r="D113" s="20" t="s">
        <v>30</v>
      </c>
      <c r="E113" s="20">
        <v>365</v>
      </c>
      <c r="F113" s="20">
        <v>365</v>
      </c>
      <c r="G113" s="11">
        <f t="shared" si="1"/>
        <v>0</v>
      </c>
      <c r="H113" s="20">
        <v>0</v>
      </c>
      <c r="I113" s="20" t="s">
        <v>571</v>
      </c>
      <c r="J113" s="20"/>
    </row>
    <row r="114" spans="1:10" x14ac:dyDescent="0.25">
      <c r="A114" s="22">
        <v>46163</v>
      </c>
      <c r="B114" s="20" t="s">
        <v>556</v>
      </c>
      <c r="C114" s="21" t="s">
        <v>648</v>
      </c>
      <c r="D114" s="20" t="s">
        <v>30</v>
      </c>
      <c r="E114" s="20">
        <v>365</v>
      </c>
      <c r="F114" s="20">
        <v>365</v>
      </c>
      <c r="G114" s="11">
        <f t="shared" si="1"/>
        <v>0</v>
      </c>
      <c r="H114" s="20">
        <v>0</v>
      </c>
      <c r="I114" s="20" t="s">
        <v>571</v>
      </c>
      <c r="J114" s="20"/>
    </row>
    <row r="115" spans="1:10" x14ac:dyDescent="0.25">
      <c r="A115" s="22">
        <v>46163</v>
      </c>
      <c r="B115" s="20" t="s">
        <v>556</v>
      </c>
      <c r="C115" s="21" t="s">
        <v>649</v>
      </c>
      <c r="D115" s="20" t="s">
        <v>30</v>
      </c>
      <c r="E115" s="20">
        <v>365</v>
      </c>
      <c r="F115" s="20">
        <v>365</v>
      </c>
      <c r="G115" s="11">
        <f t="shared" si="1"/>
        <v>0</v>
      </c>
      <c r="H115" s="20">
        <v>0</v>
      </c>
      <c r="I115" s="20" t="s">
        <v>571</v>
      </c>
      <c r="J115" s="20"/>
    </row>
    <row r="116" spans="1:10" x14ac:dyDescent="0.25">
      <c r="A116" s="22">
        <v>46163</v>
      </c>
      <c r="B116" s="20" t="s">
        <v>556</v>
      </c>
      <c r="C116" s="21" t="s">
        <v>650</v>
      </c>
      <c r="D116" s="20" t="s">
        <v>30</v>
      </c>
      <c r="E116" s="20">
        <v>365</v>
      </c>
      <c r="F116" s="20">
        <v>365</v>
      </c>
      <c r="G116" s="11">
        <f t="shared" si="1"/>
        <v>0</v>
      </c>
      <c r="H116" s="20">
        <v>0</v>
      </c>
      <c r="I116" s="20" t="s">
        <v>571</v>
      </c>
      <c r="J116" s="20"/>
    </row>
    <row r="117" spans="1:10" x14ac:dyDescent="0.25">
      <c r="A117" s="22">
        <v>46163</v>
      </c>
      <c r="B117" s="20" t="s">
        <v>556</v>
      </c>
      <c r="C117" s="21" t="s">
        <v>651</v>
      </c>
      <c r="D117" s="20" t="s">
        <v>30</v>
      </c>
      <c r="E117" s="20">
        <v>365</v>
      </c>
      <c r="F117" s="20">
        <v>365</v>
      </c>
      <c r="G117" s="11">
        <f t="shared" si="1"/>
        <v>0</v>
      </c>
      <c r="H117" s="20">
        <v>0</v>
      </c>
      <c r="I117" s="20" t="s">
        <v>571</v>
      </c>
      <c r="J117" s="20"/>
    </row>
    <row r="118" spans="1:10" x14ac:dyDescent="0.25">
      <c r="A118" s="22">
        <v>46163</v>
      </c>
      <c r="B118" s="20" t="s">
        <v>556</v>
      </c>
      <c r="C118" s="21" t="s">
        <v>652</v>
      </c>
      <c r="D118" s="20" t="s">
        <v>30</v>
      </c>
      <c r="E118" s="20">
        <v>365</v>
      </c>
      <c r="F118" s="20">
        <v>365</v>
      </c>
      <c r="G118" s="11">
        <f t="shared" si="1"/>
        <v>0</v>
      </c>
      <c r="H118" s="20">
        <v>0</v>
      </c>
      <c r="I118" s="20" t="s">
        <v>571</v>
      </c>
      <c r="J118" s="20"/>
    </row>
    <row r="119" spans="1:10" x14ac:dyDescent="0.25">
      <c r="A119" s="22">
        <v>46163</v>
      </c>
      <c r="B119" s="20" t="s">
        <v>556</v>
      </c>
      <c r="C119" s="21" t="s">
        <v>653</v>
      </c>
      <c r="D119" s="20" t="s">
        <v>30</v>
      </c>
      <c r="E119" s="20">
        <v>365</v>
      </c>
      <c r="F119" s="20">
        <v>365</v>
      </c>
      <c r="G119" s="11">
        <f t="shared" si="1"/>
        <v>0</v>
      </c>
      <c r="H119" s="20">
        <v>0</v>
      </c>
      <c r="I119" s="20" t="s">
        <v>571</v>
      </c>
      <c r="J119" s="20"/>
    </row>
    <row r="120" spans="1:10" x14ac:dyDescent="0.25">
      <c r="A120" s="22">
        <v>46163</v>
      </c>
      <c r="B120" s="20" t="s">
        <v>556</v>
      </c>
      <c r="C120" s="21" t="s">
        <v>654</v>
      </c>
      <c r="D120" s="20" t="s">
        <v>30</v>
      </c>
      <c r="E120" s="20">
        <v>365</v>
      </c>
      <c r="F120" s="20">
        <v>365</v>
      </c>
      <c r="G120" s="11">
        <f t="shared" si="1"/>
        <v>0</v>
      </c>
      <c r="H120" s="20">
        <v>0</v>
      </c>
      <c r="I120" s="20" t="s">
        <v>571</v>
      </c>
      <c r="J120" s="20"/>
    </row>
    <row r="121" spans="1:10" x14ac:dyDescent="0.25">
      <c r="A121" s="22">
        <v>46163</v>
      </c>
      <c r="B121" s="20" t="s">
        <v>556</v>
      </c>
      <c r="C121" s="21" t="s">
        <v>655</v>
      </c>
      <c r="D121" s="20" t="s">
        <v>30</v>
      </c>
      <c r="E121" s="20">
        <v>365</v>
      </c>
      <c r="F121" s="20">
        <v>365</v>
      </c>
      <c r="G121" s="11">
        <f t="shared" si="1"/>
        <v>0</v>
      </c>
      <c r="H121" s="20">
        <v>0</v>
      </c>
      <c r="I121" s="20" t="s">
        <v>571</v>
      </c>
      <c r="J121" s="20"/>
    </row>
    <row r="122" spans="1:10" x14ac:dyDescent="0.25">
      <c r="A122" s="22">
        <v>46163</v>
      </c>
      <c r="B122" s="20" t="s">
        <v>556</v>
      </c>
      <c r="C122" s="21" t="s">
        <v>656</v>
      </c>
      <c r="D122" s="20" t="s">
        <v>30</v>
      </c>
      <c r="E122" s="20">
        <v>365</v>
      </c>
      <c r="F122" s="20">
        <v>365</v>
      </c>
      <c r="G122" s="11">
        <f t="shared" si="1"/>
        <v>0</v>
      </c>
      <c r="H122" s="20">
        <v>0</v>
      </c>
      <c r="I122" s="20" t="s">
        <v>571</v>
      </c>
      <c r="J122" s="20"/>
    </row>
    <row r="123" spans="1:10" x14ac:dyDescent="0.25">
      <c r="A123" s="22">
        <v>46163</v>
      </c>
      <c r="B123" s="20" t="s">
        <v>556</v>
      </c>
      <c r="C123" s="21" t="s">
        <v>657</v>
      </c>
      <c r="D123" s="20" t="s">
        <v>30</v>
      </c>
      <c r="E123" s="20">
        <v>365</v>
      </c>
      <c r="F123" s="20">
        <v>365</v>
      </c>
      <c r="G123" s="11">
        <f t="shared" si="1"/>
        <v>0</v>
      </c>
      <c r="H123" s="20">
        <v>0</v>
      </c>
      <c r="I123" s="20" t="s">
        <v>571</v>
      </c>
      <c r="J123" s="20"/>
    </row>
    <row r="124" spans="1:10" x14ac:dyDescent="0.25">
      <c r="A124" s="22">
        <v>46163</v>
      </c>
      <c r="B124" s="20" t="s">
        <v>556</v>
      </c>
      <c r="C124" s="21" t="s">
        <v>658</v>
      </c>
      <c r="D124" s="20" t="s">
        <v>30</v>
      </c>
      <c r="E124" s="20">
        <v>365</v>
      </c>
      <c r="F124" s="20">
        <v>365</v>
      </c>
      <c r="G124" s="11">
        <f t="shared" si="1"/>
        <v>0</v>
      </c>
      <c r="H124" s="20">
        <v>0</v>
      </c>
      <c r="I124" s="20" t="s">
        <v>571</v>
      </c>
      <c r="J124" s="20"/>
    </row>
    <row r="125" spans="1:10" x14ac:dyDescent="0.25">
      <c r="A125" s="22">
        <v>46163</v>
      </c>
      <c r="B125" s="20" t="s">
        <v>556</v>
      </c>
      <c r="C125" s="21" t="s">
        <v>659</v>
      </c>
      <c r="D125" s="20" t="s">
        <v>30</v>
      </c>
      <c r="E125" s="20">
        <v>365</v>
      </c>
      <c r="F125" s="20">
        <v>365</v>
      </c>
      <c r="G125" s="11">
        <f t="shared" si="1"/>
        <v>0</v>
      </c>
      <c r="H125" s="20">
        <v>0</v>
      </c>
      <c r="I125" s="20" t="s">
        <v>571</v>
      </c>
      <c r="J125" s="20"/>
    </row>
    <row r="126" spans="1:10" x14ac:dyDescent="0.25">
      <c r="A126" s="22">
        <v>46163</v>
      </c>
      <c r="B126" s="20" t="s">
        <v>556</v>
      </c>
      <c r="C126" s="21" t="s">
        <v>660</v>
      </c>
      <c r="D126" s="20" t="s">
        <v>30</v>
      </c>
      <c r="E126" s="20">
        <v>365</v>
      </c>
      <c r="F126" s="20">
        <v>365</v>
      </c>
      <c r="G126" s="11">
        <f t="shared" si="1"/>
        <v>0</v>
      </c>
      <c r="H126" s="20">
        <v>0</v>
      </c>
      <c r="I126" s="20" t="s">
        <v>571</v>
      </c>
      <c r="J126" s="20"/>
    </row>
    <row r="127" spans="1:10" x14ac:dyDescent="0.25">
      <c r="A127" s="22">
        <v>46163</v>
      </c>
      <c r="B127" s="20" t="s">
        <v>556</v>
      </c>
      <c r="C127" s="21" t="s">
        <v>661</v>
      </c>
      <c r="D127" s="20" t="s">
        <v>30</v>
      </c>
      <c r="E127" s="20">
        <v>365</v>
      </c>
      <c r="F127" s="20">
        <v>365</v>
      </c>
      <c r="G127" s="11">
        <f t="shared" si="1"/>
        <v>0</v>
      </c>
      <c r="H127" s="20">
        <v>0</v>
      </c>
      <c r="I127" s="20" t="s">
        <v>571</v>
      </c>
      <c r="J127" s="20"/>
    </row>
    <row r="128" spans="1:10" x14ac:dyDescent="0.25">
      <c r="A128" s="22">
        <v>46163</v>
      </c>
      <c r="B128" s="20" t="s">
        <v>556</v>
      </c>
      <c r="C128" s="21" t="s">
        <v>662</v>
      </c>
      <c r="D128" s="20" t="s">
        <v>30</v>
      </c>
      <c r="E128" s="20">
        <v>365</v>
      </c>
      <c r="F128" s="20">
        <v>365</v>
      </c>
      <c r="G128" s="11">
        <f t="shared" si="1"/>
        <v>0</v>
      </c>
      <c r="H128" s="20">
        <v>0</v>
      </c>
      <c r="I128" s="20" t="s">
        <v>571</v>
      </c>
      <c r="J128" s="20"/>
    </row>
    <row r="129" spans="1:10" x14ac:dyDescent="0.25">
      <c r="A129" s="22">
        <v>46163</v>
      </c>
      <c r="B129" s="20" t="s">
        <v>556</v>
      </c>
      <c r="C129" s="21" t="s">
        <v>663</v>
      </c>
      <c r="D129" s="20" t="s">
        <v>30</v>
      </c>
      <c r="E129" s="20">
        <v>365</v>
      </c>
      <c r="F129" s="20">
        <v>365</v>
      </c>
      <c r="G129" s="11">
        <f t="shared" si="1"/>
        <v>0</v>
      </c>
      <c r="H129" s="20">
        <v>0</v>
      </c>
      <c r="I129" s="20" t="s">
        <v>571</v>
      </c>
      <c r="J129" s="20"/>
    </row>
    <row r="130" spans="1:10" x14ac:dyDescent="0.25">
      <c r="A130" s="22">
        <v>46163</v>
      </c>
      <c r="B130" s="20" t="s">
        <v>556</v>
      </c>
      <c r="C130" s="21" t="s">
        <v>664</v>
      </c>
      <c r="D130" s="20" t="s">
        <v>30</v>
      </c>
      <c r="E130" s="20">
        <v>365</v>
      </c>
      <c r="F130" s="20">
        <v>365</v>
      </c>
      <c r="G130" s="11">
        <f t="shared" si="1"/>
        <v>0</v>
      </c>
      <c r="H130" s="20">
        <v>0</v>
      </c>
      <c r="I130" s="20" t="s">
        <v>571</v>
      </c>
      <c r="J130" s="20"/>
    </row>
    <row r="131" spans="1:10" x14ac:dyDescent="0.25">
      <c r="A131" s="22">
        <v>46163</v>
      </c>
      <c r="B131" s="20" t="s">
        <v>556</v>
      </c>
      <c r="C131" s="21" t="s">
        <v>665</v>
      </c>
      <c r="D131" s="20" t="s">
        <v>30</v>
      </c>
      <c r="E131" s="20">
        <v>365</v>
      </c>
      <c r="F131" s="20">
        <v>365</v>
      </c>
      <c r="G131" s="11">
        <f t="shared" ref="G131:G145" si="2">E131-F131</f>
        <v>0</v>
      </c>
      <c r="H131" s="20">
        <v>0</v>
      </c>
      <c r="I131" s="20" t="s">
        <v>571</v>
      </c>
      <c r="J131" s="20"/>
    </row>
    <row r="132" spans="1:10" x14ac:dyDescent="0.25">
      <c r="A132" s="22">
        <v>46163</v>
      </c>
      <c r="B132" s="20" t="s">
        <v>556</v>
      </c>
      <c r="C132" s="21" t="s">
        <v>666</v>
      </c>
      <c r="D132" s="20" t="s">
        <v>30</v>
      </c>
      <c r="E132" s="20">
        <v>365</v>
      </c>
      <c r="F132" s="20">
        <v>365</v>
      </c>
      <c r="G132" s="11">
        <f t="shared" si="2"/>
        <v>0</v>
      </c>
      <c r="H132" s="20">
        <v>0</v>
      </c>
      <c r="I132" s="20" t="s">
        <v>571</v>
      </c>
      <c r="J132" s="20"/>
    </row>
    <row r="133" spans="1:10" x14ac:dyDescent="0.25">
      <c r="A133" s="22">
        <v>46163</v>
      </c>
      <c r="B133" s="20" t="s">
        <v>556</v>
      </c>
      <c r="C133" s="21" t="s">
        <v>667</v>
      </c>
      <c r="D133" s="20" t="s">
        <v>30</v>
      </c>
      <c r="E133" s="20">
        <v>365</v>
      </c>
      <c r="F133" s="20">
        <v>365</v>
      </c>
      <c r="G133" s="11">
        <f t="shared" si="2"/>
        <v>0</v>
      </c>
      <c r="H133" s="20">
        <v>0</v>
      </c>
      <c r="I133" s="20" t="s">
        <v>571</v>
      </c>
      <c r="J133" s="20"/>
    </row>
    <row r="134" spans="1:10" x14ac:dyDescent="0.25">
      <c r="A134" s="22">
        <v>46163</v>
      </c>
      <c r="B134" s="20" t="s">
        <v>556</v>
      </c>
      <c r="C134" s="21" t="s">
        <v>668</v>
      </c>
      <c r="D134" s="20" t="s">
        <v>30</v>
      </c>
      <c r="E134" s="20">
        <v>365</v>
      </c>
      <c r="F134" s="20">
        <v>365</v>
      </c>
      <c r="G134" s="11">
        <f t="shared" si="2"/>
        <v>0</v>
      </c>
      <c r="H134" s="20">
        <v>0</v>
      </c>
      <c r="I134" s="20" t="s">
        <v>571</v>
      </c>
      <c r="J134" s="20"/>
    </row>
    <row r="135" spans="1:10" x14ac:dyDescent="0.25">
      <c r="A135" s="22">
        <v>46163</v>
      </c>
      <c r="B135" s="20" t="s">
        <v>556</v>
      </c>
      <c r="C135" s="21" t="s">
        <v>669</v>
      </c>
      <c r="D135" s="20" t="s">
        <v>30</v>
      </c>
      <c r="E135" s="20">
        <v>365</v>
      </c>
      <c r="F135" s="20">
        <v>365</v>
      </c>
      <c r="G135" s="11">
        <f t="shared" si="2"/>
        <v>0</v>
      </c>
      <c r="H135" s="20">
        <v>0</v>
      </c>
      <c r="I135" s="20" t="s">
        <v>571</v>
      </c>
      <c r="J135" s="20"/>
    </row>
    <row r="136" spans="1:10" x14ac:dyDescent="0.25">
      <c r="A136" s="22">
        <v>46163</v>
      </c>
      <c r="B136" s="20" t="s">
        <v>556</v>
      </c>
      <c r="C136" s="21" t="s">
        <v>670</v>
      </c>
      <c r="D136" s="20" t="s">
        <v>30</v>
      </c>
      <c r="E136" s="20">
        <v>365</v>
      </c>
      <c r="F136" s="20">
        <v>365</v>
      </c>
      <c r="G136" s="11">
        <f t="shared" si="2"/>
        <v>0</v>
      </c>
      <c r="H136" s="20">
        <v>0</v>
      </c>
      <c r="I136" s="20" t="s">
        <v>571</v>
      </c>
      <c r="J136" s="20"/>
    </row>
    <row r="137" spans="1:10" x14ac:dyDescent="0.25">
      <c r="A137" s="22">
        <v>46163</v>
      </c>
      <c r="B137" s="20" t="s">
        <v>556</v>
      </c>
      <c r="C137" s="21" t="s">
        <v>671</v>
      </c>
      <c r="D137" s="20" t="s">
        <v>30</v>
      </c>
      <c r="E137" s="20">
        <v>365</v>
      </c>
      <c r="F137" s="20">
        <v>365</v>
      </c>
      <c r="G137" s="11">
        <f t="shared" si="2"/>
        <v>0</v>
      </c>
      <c r="H137" s="20">
        <v>0</v>
      </c>
      <c r="I137" s="20" t="s">
        <v>571</v>
      </c>
      <c r="J137" s="20"/>
    </row>
    <row r="138" spans="1:10" x14ac:dyDescent="0.25">
      <c r="A138" s="22">
        <v>46163</v>
      </c>
      <c r="B138" s="20" t="s">
        <v>556</v>
      </c>
      <c r="C138" s="21" t="s">
        <v>672</v>
      </c>
      <c r="D138" s="20" t="s">
        <v>30</v>
      </c>
      <c r="E138" s="20">
        <v>365</v>
      </c>
      <c r="F138" s="20">
        <v>365</v>
      </c>
      <c r="G138" s="11">
        <f t="shared" si="2"/>
        <v>0</v>
      </c>
      <c r="H138" s="20">
        <v>0</v>
      </c>
      <c r="I138" s="20" t="s">
        <v>571</v>
      </c>
      <c r="J138" s="20"/>
    </row>
    <row r="139" spans="1:10" x14ac:dyDescent="0.25">
      <c r="A139" s="22">
        <v>46163</v>
      </c>
      <c r="B139" s="20" t="s">
        <v>556</v>
      </c>
      <c r="C139" s="21" t="s">
        <v>673</v>
      </c>
      <c r="D139" s="20" t="s">
        <v>30</v>
      </c>
      <c r="E139" s="20">
        <v>365</v>
      </c>
      <c r="F139" s="20">
        <v>365</v>
      </c>
      <c r="G139" s="11">
        <f t="shared" si="2"/>
        <v>0</v>
      </c>
      <c r="H139" s="20">
        <v>0</v>
      </c>
      <c r="I139" s="20" t="s">
        <v>571</v>
      </c>
      <c r="J139" s="20"/>
    </row>
    <row r="140" spans="1:10" x14ac:dyDescent="0.25">
      <c r="A140" s="22">
        <v>46163</v>
      </c>
      <c r="B140" s="20" t="s">
        <v>556</v>
      </c>
      <c r="C140" s="21" t="s">
        <v>674</v>
      </c>
      <c r="D140" s="20" t="s">
        <v>30</v>
      </c>
      <c r="E140" s="20">
        <v>365</v>
      </c>
      <c r="F140" s="20">
        <v>365</v>
      </c>
      <c r="G140" s="11">
        <f t="shared" si="2"/>
        <v>0</v>
      </c>
      <c r="H140" s="20">
        <v>0</v>
      </c>
      <c r="I140" s="20" t="s">
        <v>571</v>
      </c>
      <c r="J140" s="20"/>
    </row>
    <row r="141" spans="1:10" x14ac:dyDescent="0.25">
      <c r="A141" s="22">
        <v>46163</v>
      </c>
      <c r="B141" s="20" t="s">
        <v>556</v>
      </c>
      <c r="C141" s="21" t="s">
        <v>675</v>
      </c>
      <c r="D141" s="20" t="s">
        <v>30</v>
      </c>
      <c r="E141" s="20">
        <v>365</v>
      </c>
      <c r="F141" s="20">
        <v>365</v>
      </c>
      <c r="G141" s="11">
        <f t="shared" si="2"/>
        <v>0</v>
      </c>
      <c r="H141" s="20">
        <v>0</v>
      </c>
      <c r="I141" s="20" t="s">
        <v>571</v>
      </c>
      <c r="J141" s="20"/>
    </row>
    <row r="142" spans="1:10" x14ac:dyDescent="0.25">
      <c r="A142" s="22">
        <v>46163</v>
      </c>
      <c r="B142" s="20" t="s">
        <v>556</v>
      </c>
      <c r="C142" s="21" t="s">
        <v>676</v>
      </c>
      <c r="D142" s="20" t="s">
        <v>30</v>
      </c>
      <c r="E142" s="20">
        <v>365</v>
      </c>
      <c r="F142" s="20">
        <v>365</v>
      </c>
      <c r="G142" s="11">
        <f t="shared" si="2"/>
        <v>0</v>
      </c>
      <c r="H142" s="20">
        <v>0</v>
      </c>
      <c r="I142" s="20" t="s">
        <v>571</v>
      </c>
      <c r="J142" s="20"/>
    </row>
    <row r="143" spans="1:10" x14ac:dyDescent="0.25">
      <c r="A143" s="22">
        <v>46163</v>
      </c>
      <c r="B143" s="20" t="s">
        <v>556</v>
      </c>
      <c r="C143" s="21" t="s">
        <v>677</v>
      </c>
      <c r="D143" s="20" t="s">
        <v>30</v>
      </c>
      <c r="E143" s="20">
        <v>365</v>
      </c>
      <c r="F143" s="20">
        <v>365</v>
      </c>
      <c r="G143" s="11">
        <f t="shared" si="2"/>
        <v>0</v>
      </c>
      <c r="H143" s="20">
        <v>0</v>
      </c>
      <c r="I143" s="20" t="s">
        <v>571</v>
      </c>
      <c r="J143" s="20"/>
    </row>
    <row r="144" spans="1:10" x14ac:dyDescent="0.25">
      <c r="A144" s="22">
        <v>46163</v>
      </c>
      <c r="B144" s="20" t="s">
        <v>556</v>
      </c>
      <c r="C144" s="21" t="s">
        <v>678</v>
      </c>
      <c r="D144" s="20" t="s">
        <v>30</v>
      </c>
      <c r="E144" s="20">
        <v>365</v>
      </c>
      <c r="F144" s="20">
        <v>365</v>
      </c>
      <c r="G144" s="11">
        <f t="shared" si="2"/>
        <v>0</v>
      </c>
      <c r="H144" s="20">
        <v>0</v>
      </c>
      <c r="I144" s="20" t="s">
        <v>571</v>
      </c>
      <c r="J144" s="20"/>
    </row>
    <row r="145" spans="1:10" x14ac:dyDescent="0.25">
      <c r="A145" s="22">
        <v>46165</v>
      </c>
      <c r="B145" s="20" t="s">
        <v>722</v>
      </c>
      <c r="C145" s="21" t="s">
        <v>723</v>
      </c>
      <c r="D145" s="20"/>
      <c r="E145" s="20">
        <v>1</v>
      </c>
      <c r="F145" s="20">
        <v>1</v>
      </c>
      <c r="G145" s="11">
        <f t="shared" si="2"/>
        <v>0</v>
      </c>
      <c r="H145" s="20">
        <v>0</v>
      </c>
      <c r="I145" s="20" t="s">
        <v>724</v>
      </c>
      <c r="J145" s="20" t="s">
        <v>68</v>
      </c>
    </row>
    <row r="146" spans="1:10" x14ac:dyDescent="0.25">
      <c r="E146" s="62" t="s">
        <v>768</v>
      </c>
      <c r="F146" s="62" t="s">
        <v>769</v>
      </c>
      <c r="G146" s="62" t="s">
        <v>770</v>
      </c>
      <c r="H146" s="63" t="s">
        <v>771</v>
      </c>
      <c r="I146" s="49"/>
      <c r="J146" s="49"/>
    </row>
    <row r="147" spans="1:10" x14ac:dyDescent="0.25">
      <c r="E147" s="40">
        <f t="shared" ref="E147:G147" si="3">SUM(E2:E146)</f>
        <v>169462.69</v>
      </c>
      <c r="F147" s="40">
        <f t="shared" si="3"/>
        <v>154201.16</v>
      </c>
      <c r="G147" s="40">
        <f t="shared" si="3"/>
        <v>15261.529999999997</v>
      </c>
      <c r="H147" s="61">
        <f>AVERAGE(H2:H146)</f>
        <v>3.8949772906903296E-2</v>
      </c>
      <c r="I147" s="49"/>
      <c r="J147" s="49"/>
    </row>
    <row r="150" spans="1:10" x14ac:dyDescent="0.25">
      <c r="B150" s="49" t="s">
        <v>796</v>
      </c>
      <c r="C150" s="49">
        <v>18500</v>
      </c>
    </row>
    <row r="151" spans="1:10" x14ac:dyDescent="0.25">
      <c r="B151" s="49" t="s">
        <v>797</v>
      </c>
      <c r="C151" s="49">
        <v>1459</v>
      </c>
    </row>
    <row r="152" spans="1:10" x14ac:dyDescent="0.25">
      <c r="B152" s="49" t="s">
        <v>798</v>
      </c>
      <c r="C152" s="49">
        <v>1030</v>
      </c>
    </row>
    <row r="153" spans="1:10" x14ac:dyDescent="0.25">
      <c r="B153" s="49" t="s">
        <v>799</v>
      </c>
      <c r="C153" s="49">
        <v>292.45</v>
      </c>
    </row>
    <row r="154" spans="1:10" x14ac:dyDescent="0.25">
      <c r="B154" s="49" t="s">
        <v>800</v>
      </c>
      <c r="C154" s="49">
        <v>8925.31</v>
      </c>
    </row>
    <row r="155" spans="1:10" x14ac:dyDescent="0.25">
      <c r="B155" s="49" t="s">
        <v>801</v>
      </c>
      <c r="C155" s="49">
        <v>13227.81</v>
      </c>
    </row>
    <row r="156" spans="1:10" x14ac:dyDescent="0.25">
      <c r="B156" s="49"/>
      <c r="C156" s="49"/>
    </row>
    <row r="157" spans="1:10" ht="21" x14ac:dyDescent="0.35">
      <c r="B157" s="43" t="s">
        <v>785</v>
      </c>
      <c r="C157" s="43">
        <f>SUM(C150:C156)</f>
        <v>43434.57</v>
      </c>
    </row>
    <row r="158" spans="1:10" ht="21" x14ac:dyDescent="0.35">
      <c r="B158" s="57"/>
      <c r="C158" s="57"/>
    </row>
    <row r="159" spans="1:10" ht="21" x14ac:dyDescent="0.35">
      <c r="B159" s="43" t="s">
        <v>802</v>
      </c>
      <c r="C159" s="43">
        <f>G147-C157</f>
        <v>-28173.040000000001</v>
      </c>
    </row>
    <row r="163" spans="6:7" x14ac:dyDescent="0.25">
      <c r="F163" t="s">
        <v>811</v>
      </c>
      <c r="G163">
        <v>252875</v>
      </c>
    </row>
    <row r="164" spans="6:7" x14ac:dyDescent="0.25">
      <c r="F164" t="s">
        <v>812</v>
      </c>
      <c r="G164">
        <v>-65000</v>
      </c>
    </row>
    <row r="165" spans="6:7" x14ac:dyDescent="0.25">
      <c r="F165" t="s">
        <v>813</v>
      </c>
      <c r="G165">
        <v>-50000</v>
      </c>
    </row>
    <row r="166" spans="6:7" x14ac:dyDescent="0.25">
      <c r="F166" t="s">
        <v>814</v>
      </c>
      <c r="G166">
        <v>-13000</v>
      </c>
    </row>
    <row r="167" spans="6:7" x14ac:dyDescent="0.25">
      <c r="F167" t="s">
        <v>815</v>
      </c>
      <c r="G167">
        <v>-9000</v>
      </c>
    </row>
    <row r="169" spans="6:7" x14ac:dyDescent="0.25">
      <c r="F169" s="23" t="s">
        <v>816</v>
      </c>
      <c r="G169" s="23">
        <f>SUM(G163:G168)</f>
        <v>115875</v>
      </c>
    </row>
  </sheetData>
  <autoFilter ref="A1:J147" xr:uid="{47A09010-18A4-465B-8221-6C13B1FE47DA}"/>
  <conditionalFormatting sqref="C2:C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Australia</vt:lpstr>
      <vt:lpstr>NewZealand</vt:lpstr>
      <vt:lpstr>USA</vt:lpstr>
      <vt:lpstr>Dxb &amp; 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2026-06-01T10:01:39Z</dcterms:created>
  <dcterms:modified xsi:type="dcterms:W3CDTF">2026-06-06T16:06:49Z</dcterms:modified>
</cp:coreProperties>
</file>