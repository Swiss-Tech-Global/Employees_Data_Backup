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Sales Reports 2025\"/>
    </mc:Choice>
  </mc:AlternateContent>
  <xr:revisionPtr revIDLastSave="0" documentId="13_ncr:1_{E0DB181B-1BE1-4168-AD0C-24F868EA64AB}" xr6:coauthVersionLast="47" xr6:coauthVersionMax="47" xr10:uidLastSave="{00000000-0000-0000-0000-000000000000}"/>
  <bookViews>
    <workbookView xWindow="-120" yWindow="-120" windowWidth="29040" windowHeight="15720" activeTab="4" xr2:uid="{F750B1E1-CF20-4657-B0FA-F63558ABE08E}"/>
  </bookViews>
  <sheets>
    <sheet name="Sheet1" sheetId="1" r:id="rId1"/>
    <sheet name="Australia" sheetId="2" r:id="rId2"/>
    <sheet name="Usa" sheetId="3" r:id="rId3"/>
    <sheet name="Newzealand" sheetId="4" r:id="rId4"/>
    <sheet name="Khi &amp; Dxb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3" i="5" l="1"/>
  <c r="C31" i="5"/>
  <c r="C18" i="4"/>
  <c r="D223" i="3"/>
  <c r="D221" i="3"/>
  <c r="D215" i="3"/>
  <c r="D216" i="3"/>
  <c r="D217" i="3"/>
  <c r="D218" i="3"/>
  <c r="D219" i="3"/>
  <c r="D214" i="3"/>
  <c r="C80" i="2"/>
  <c r="C78" i="2"/>
  <c r="J18" i="5" l="1"/>
  <c r="G18" i="5"/>
  <c r="H18" i="5"/>
  <c r="I18" i="5"/>
  <c r="J17" i="5"/>
  <c r="I17" i="5"/>
  <c r="H17" i="5"/>
  <c r="G17" i="5"/>
  <c r="F17" i="5"/>
  <c r="J16" i="5"/>
  <c r="H16" i="5"/>
  <c r="G16" i="5"/>
  <c r="I16" i="5" s="1"/>
  <c r="F16" i="5"/>
  <c r="J15" i="5"/>
  <c r="H15" i="5"/>
  <c r="G15" i="5"/>
  <c r="I15" i="5" s="1"/>
  <c r="F15" i="5"/>
  <c r="J14" i="5"/>
  <c r="H14" i="5"/>
  <c r="G14" i="5"/>
  <c r="I14" i="5" s="1"/>
  <c r="F14" i="5"/>
  <c r="J13" i="5"/>
  <c r="H13" i="5"/>
  <c r="G13" i="5"/>
  <c r="I13" i="5" s="1"/>
  <c r="F13" i="5"/>
  <c r="J12" i="5"/>
  <c r="I12" i="5"/>
  <c r="H12" i="5"/>
  <c r="G12" i="5"/>
  <c r="F12" i="5"/>
  <c r="J11" i="5"/>
  <c r="I11" i="5"/>
  <c r="H11" i="5"/>
  <c r="G11" i="5"/>
  <c r="F11" i="5"/>
  <c r="J10" i="5"/>
  <c r="H10" i="5"/>
  <c r="I10" i="5" s="1"/>
  <c r="G10" i="5"/>
  <c r="F10" i="5"/>
  <c r="J9" i="5"/>
  <c r="I9" i="5"/>
  <c r="H9" i="5"/>
  <c r="G9" i="5"/>
  <c r="F9" i="5"/>
  <c r="J8" i="5"/>
  <c r="H8" i="5"/>
  <c r="G8" i="5"/>
  <c r="I8" i="5" s="1"/>
  <c r="F8" i="5"/>
  <c r="J7" i="5"/>
  <c r="H7" i="5"/>
  <c r="G7" i="5"/>
  <c r="I7" i="5" s="1"/>
  <c r="F7" i="5"/>
  <c r="J6" i="5"/>
  <c r="H6" i="5"/>
  <c r="G6" i="5"/>
  <c r="I6" i="5" s="1"/>
  <c r="F6" i="5"/>
  <c r="J5" i="5"/>
  <c r="H5" i="5"/>
  <c r="G5" i="5"/>
  <c r="I5" i="5" s="1"/>
  <c r="F5" i="5"/>
  <c r="J4" i="5"/>
  <c r="I4" i="5"/>
  <c r="H4" i="5"/>
  <c r="G4" i="5"/>
  <c r="F4" i="5"/>
  <c r="J3" i="5"/>
  <c r="I3" i="5"/>
  <c r="H3" i="5"/>
  <c r="G3" i="5"/>
  <c r="F3" i="5"/>
  <c r="J2" i="5"/>
  <c r="H2" i="5"/>
  <c r="I2" i="5" s="1"/>
  <c r="G2" i="5"/>
  <c r="F2" i="5"/>
  <c r="J8" i="4"/>
  <c r="G8" i="4"/>
  <c r="H8" i="4"/>
  <c r="I8" i="4"/>
  <c r="J7" i="4"/>
  <c r="I7" i="4"/>
  <c r="H7" i="4"/>
  <c r="G7" i="4"/>
  <c r="F7" i="4"/>
  <c r="J6" i="4"/>
  <c r="H6" i="4"/>
  <c r="I6" i="4" s="1"/>
  <c r="G6" i="4"/>
  <c r="F6" i="4"/>
  <c r="J5" i="4"/>
  <c r="H5" i="4"/>
  <c r="G5" i="4"/>
  <c r="I5" i="4" s="1"/>
  <c r="F5" i="4"/>
  <c r="J4" i="4"/>
  <c r="H4" i="4"/>
  <c r="G4" i="4"/>
  <c r="I4" i="4" s="1"/>
  <c r="F4" i="4"/>
  <c r="J3" i="4"/>
  <c r="I3" i="4"/>
  <c r="H3" i="4"/>
  <c r="G3" i="4"/>
  <c r="F3" i="4"/>
  <c r="J2" i="4"/>
  <c r="H2" i="4"/>
  <c r="G2" i="4"/>
  <c r="I2" i="4" s="1"/>
  <c r="F2" i="4"/>
  <c r="G208" i="3"/>
  <c r="G3" i="3"/>
  <c r="I3" i="3" s="1"/>
  <c r="H3" i="3"/>
  <c r="G4" i="3"/>
  <c r="I4" i="3" s="1"/>
  <c r="H4" i="3"/>
  <c r="G5" i="3"/>
  <c r="H5" i="3"/>
  <c r="I5" i="3" s="1"/>
  <c r="G6" i="3"/>
  <c r="I6" i="3" s="1"/>
  <c r="H6" i="3"/>
  <c r="G7" i="3"/>
  <c r="H7" i="3"/>
  <c r="I7" i="3"/>
  <c r="G8" i="3"/>
  <c r="I8" i="3" s="1"/>
  <c r="H8" i="3"/>
  <c r="G9" i="3"/>
  <c r="I9" i="3" s="1"/>
  <c r="H9" i="3"/>
  <c r="G10" i="3"/>
  <c r="H10" i="3"/>
  <c r="I10" i="3"/>
  <c r="G11" i="3"/>
  <c r="I11" i="3" s="1"/>
  <c r="H11" i="3"/>
  <c r="G12" i="3"/>
  <c r="I12" i="3" s="1"/>
  <c r="H12" i="3"/>
  <c r="G13" i="3"/>
  <c r="H13" i="3"/>
  <c r="I13" i="3" s="1"/>
  <c r="G14" i="3"/>
  <c r="I14" i="3" s="1"/>
  <c r="H14" i="3"/>
  <c r="G15" i="3"/>
  <c r="H15" i="3"/>
  <c r="I15" i="3"/>
  <c r="G16" i="3"/>
  <c r="I16" i="3" s="1"/>
  <c r="H16" i="3"/>
  <c r="G17" i="3"/>
  <c r="I17" i="3" s="1"/>
  <c r="H17" i="3"/>
  <c r="G18" i="3"/>
  <c r="H18" i="3"/>
  <c r="I18" i="3"/>
  <c r="G19" i="3"/>
  <c r="I19" i="3" s="1"/>
  <c r="H19" i="3"/>
  <c r="G20" i="3"/>
  <c r="I20" i="3" s="1"/>
  <c r="H20" i="3"/>
  <c r="G21" i="3"/>
  <c r="H21" i="3"/>
  <c r="I21" i="3" s="1"/>
  <c r="G22" i="3"/>
  <c r="I22" i="3" s="1"/>
  <c r="H22" i="3"/>
  <c r="G23" i="3"/>
  <c r="H23" i="3"/>
  <c r="I23" i="3"/>
  <c r="G24" i="3"/>
  <c r="I24" i="3" s="1"/>
  <c r="H24" i="3"/>
  <c r="G25" i="3"/>
  <c r="I25" i="3" s="1"/>
  <c r="H25" i="3"/>
  <c r="G26" i="3"/>
  <c r="H26" i="3"/>
  <c r="I26" i="3"/>
  <c r="G27" i="3"/>
  <c r="I27" i="3" s="1"/>
  <c r="H27" i="3"/>
  <c r="G28" i="3"/>
  <c r="I28" i="3" s="1"/>
  <c r="H28" i="3"/>
  <c r="G29" i="3"/>
  <c r="H29" i="3"/>
  <c r="I29" i="3" s="1"/>
  <c r="G30" i="3"/>
  <c r="I30" i="3" s="1"/>
  <c r="H30" i="3"/>
  <c r="G31" i="3"/>
  <c r="H31" i="3"/>
  <c r="I31" i="3"/>
  <c r="G32" i="3"/>
  <c r="I32" i="3" s="1"/>
  <c r="H32" i="3"/>
  <c r="G33" i="3"/>
  <c r="I33" i="3" s="1"/>
  <c r="H33" i="3"/>
  <c r="G34" i="3"/>
  <c r="H34" i="3"/>
  <c r="I34" i="3"/>
  <c r="G35" i="3"/>
  <c r="I35" i="3" s="1"/>
  <c r="H35" i="3"/>
  <c r="G36" i="3"/>
  <c r="I36" i="3" s="1"/>
  <c r="H36" i="3"/>
  <c r="G37" i="3"/>
  <c r="H37" i="3"/>
  <c r="I37" i="3" s="1"/>
  <c r="G38" i="3"/>
  <c r="I38" i="3" s="1"/>
  <c r="H38" i="3"/>
  <c r="G39" i="3"/>
  <c r="H39" i="3"/>
  <c r="I39" i="3"/>
  <c r="G40" i="3"/>
  <c r="I40" i="3" s="1"/>
  <c r="H40" i="3"/>
  <c r="G41" i="3"/>
  <c r="H41" i="3"/>
  <c r="I41" i="3"/>
  <c r="G42" i="3"/>
  <c r="H42" i="3"/>
  <c r="I42" i="3"/>
  <c r="G43" i="3"/>
  <c r="I43" i="3" s="1"/>
  <c r="H43" i="3"/>
  <c r="G44" i="3"/>
  <c r="I44" i="3" s="1"/>
  <c r="H44" i="3"/>
  <c r="G45" i="3"/>
  <c r="H45" i="3"/>
  <c r="I45" i="3" s="1"/>
  <c r="G46" i="3"/>
  <c r="I46" i="3" s="1"/>
  <c r="H46" i="3"/>
  <c r="G47" i="3"/>
  <c r="I47" i="3" s="1"/>
  <c r="H47" i="3"/>
  <c r="G48" i="3"/>
  <c r="I48" i="3" s="1"/>
  <c r="H48" i="3"/>
  <c r="G49" i="3"/>
  <c r="I49" i="3" s="1"/>
  <c r="H49" i="3"/>
  <c r="G50" i="3"/>
  <c r="H50" i="3"/>
  <c r="I50" i="3"/>
  <c r="G51" i="3"/>
  <c r="I51" i="3" s="1"/>
  <c r="H51" i="3"/>
  <c r="G52" i="3"/>
  <c r="I52" i="3" s="1"/>
  <c r="H52" i="3"/>
  <c r="G53" i="3"/>
  <c r="H53" i="3"/>
  <c r="I53" i="3" s="1"/>
  <c r="G54" i="3"/>
  <c r="H54" i="3"/>
  <c r="I54" i="3"/>
  <c r="G55" i="3"/>
  <c r="I55" i="3" s="1"/>
  <c r="H55" i="3"/>
  <c r="G56" i="3"/>
  <c r="I56" i="3" s="1"/>
  <c r="H56" i="3"/>
  <c r="G57" i="3"/>
  <c r="H57" i="3"/>
  <c r="I57" i="3" s="1"/>
  <c r="G58" i="3"/>
  <c r="H58" i="3"/>
  <c r="I58" i="3"/>
  <c r="G59" i="3"/>
  <c r="I59" i="3" s="1"/>
  <c r="H59" i="3"/>
  <c r="G60" i="3"/>
  <c r="I60" i="3" s="1"/>
  <c r="H60" i="3"/>
  <c r="G61" i="3"/>
  <c r="H61" i="3"/>
  <c r="I61" i="3" s="1"/>
  <c r="G62" i="3"/>
  <c r="H62" i="3"/>
  <c r="I62" i="3"/>
  <c r="G63" i="3"/>
  <c r="I63" i="3" s="1"/>
  <c r="H63" i="3"/>
  <c r="G64" i="3"/>
  <c r="I64" i="3" s="1"/>
  <c r="H64" i="3"/>
  <c r="G65" i="3"/>
  <c r="H65" i="3"/>
  <c r="I65" i="3" s="1"/>
  <c r="G66" i="3"/>
  <c r="H66" i="3"/>
  <c r="I66" i="3"/>
  <c r="G67" i="3"/>
  <c r="H67" i="3"/>
  <c r="I67" i="3"/>
  <c r="G68" i="3"/>
  <c r="I68" i="3" s="1"/>
  <c r="H68" i="3"/>
  <c r="G69" i="3"/>
  <c r="I69" i="3" s="1"/>
  <c r="H69" i="3"/>
  <c r="G70" i="3"/>
  <c r="H70" i="3"/>
  <c r="I70" i="3"/>
  <c r="G71" i="3"/>
  <c r="H71" i="3"/>
  <c r="I71" i="3"/>
  <c r="G72" i="3"/>
  <c r="I72" i="3" s="1"/>
  <c r="H72" i="3"/>
  <c r="G73" i="3"/>
  <c r="H73" i="3"/>
  <c r="I73" i="3" s="1"/>
  <c r="G74" i="3"/>
  <c r="H74" i="3"/>
  <c r="I74" i="3"/>
  <c r="G75" i="3"/>
  <c r="H75" i="3"/>
  <c r="I75" i="3"/>
  <c r="G76" i="3"/>
  <c r="I76" i="3" s="1"/>
  <c r="H76" i="3"/>
  <c r="G77" i="3"/>
  <c r="I77" i="3" s="1"/>
  <c r="H77" i="3"/>
  <c r="G78" i="3"/>
  <c r="H78" i="3"/>
  <c r="I78" i="3"/>
  <c r="G79" i="3"/>
  <c r="I79" i="3" s="1"/>
  <c r="H79" i="3"/>
  <c r="G80" i="3"/>
  <c r="I80" i="3" s="1"/>
  <c r="H80" i="3"/>
  <c r="G81" i="3"/>
  <c r="I81" i="3" s="1"/>
  <c r="H81" i="3"/>
  <c r="G82" i="3"/>
  <c r="H82" i="3"/>
  <c r="I82" i="3"/>
  <c r="G83" i="3"/>
  <c r="H83" i="3"/>
  <c r="I83" i="3"/>
  <c r="G84" i="3"/>
  <c r="I84" i="3" s="1"/>
  <c r="H84" i="3"/>
  <c r="G85" i="3"/>
  <c r="I85" i="3" s="1"/>
  <c r="H85" i="3"/>
  <c r="G86" i="3"/>
  <c r="H86" i="3"/>
  <c r="I86" i="3"/>
  <c r="G87" i="3"/>
  <c r="I87" i="3" s="1"/>
  <c r="H87" i="3"/>
  <c r="G88" i="3"/>
  <c r="I88" i="3" s="1"/>
  <c r="H88" i="3"/>
  <c r="G89" i="3"/>
  <c r="I89" i="3" s="1"/>
  <c r="H89" i="3"/>
  <c r="G90" i="3"/>
  <c r="H90" i="3"/>
  <c r="I90" i="3"/>
  <c r="G91" i="3"/>
  <c r="I91" i="3" s="1"/>
  <c r="H91" i="3"/>
  <c r="G92" i="3"/>
  <c r="I92" i="3" s="1"/>
  <c r="H92" i="3"/>
  <c r="G93" i="3"/>
  <c r="H93" i="3"/>
  <c r="I93" i="3" s="1"/>
  <c r="G94" i="3"/>
  <c r="I94" i="3" s="1"/>
  <c r="H94" i="3"/>
  <c r="G95" i="3"/>
  <c r="H95" i="3"/>
  <c r="I95" i="3" s="1"/>
  <c r="G96" i="3"/>
  <c r="I96" i="3" s="1"/>
  <c r="H96" i="3"/>
  <c r="G97" i="3"/>
  <c r="I97" i="3" s="1"/>
  <c r="H97" i="3"/>
  <c r="G98" i="3"/>
  <c r="H98" i="3"/>
  <c r="I98" i="3"/>
  <c r="G99" i="3"/>
  <c r="H99" i="3"/>
  <c r="I99" i="3"/>
  <c r="G100" i="3"/>
  <c r="I100" i="3" s="1"/>
  <c r="H100" i="3"/>
  <c r="G101" i="3"/>
  <c r="I101" i="3" s="1"/>
  <c r="H101" i="3"/>
  <c r="G102" i="3"/>
  <c r="H102" i="3"/>
  <c r="I102" i="3" s="1"/>
  <c r="G103" i="3"/>
  <c r="I103" i="3" s="1"/>
  <c r="H103" i="3"/>
  <c r="G104" i="3"/>
  <c r="I104" i="3" s="1"/>
  <c r="H104" i="3"/>
  <c r="G105" i="3"/>
  <c r="I105" i="3" s="1"/>
  <c r="H105" i="3"/>
  <c r="G106" i="3"/>
  <c r="H106" i="3"/>
  <c r="I106" i="3"/>
  <c r="G107" i="3"/>
  <c r="H107" i="3"/>
  <c r="I107" i="3"/>
  <c r="G108" i="3"/>
  <c r="I108" i="3" s="1"/>
  <c r="H108" i="3"/>
  <c r="G109" i="3"/>
  <c r="I109" i="3" s="1"/>
  <c r="H109" i="3"/>
  <c r="G110" i="3"/>
  <c r="I110" i="3" s="1"/>
  <c r="H110" i="3"/>
  <c r="G111" i="3"/>
  <c r="I111" i="3" s="1"/>
  <c r="H111" i="3"/>
  <c r="G112" i="3"/>
  <c r="I112" i="3" s="1"/>
  <c r="H112" i="3"/>
  <c r="G113" i="3"/>
  <c r="H113" i="3"/>
  <c r="I113" i="3" s="1"/>
  <c r="G114" i="3"/>
  <c r="H114" i="3"/>
  <c r="I114" i="3" s="1"/>
  <c r="G115" i="3"/>
  <c r="I115" i="3" s="1"/>
  <c r="H115" i="3"/>
  <c r="G116" i="3"/>
  <c r="H116" i="3"/>
  <c r="I116" i="3"/>
  <c r="G117" i="3"/>
  <c r="H117" i="3"/>
  <c r="I117" i="3" s="1"/>
  <c r="G118" i="3"/>
  <c r="I118" i="3" s="1"/>
  <c r="H118" i="3"/>
  <c r="G119" i="3"/>
  <c r="H119" i="3"/>
  <c r="I119" i="3" s="1"/>
  <c r="G120" i="3"/>
  <c r="I120" i="3" s="1"/>
  <c r="H120" i="3"/>
  <c r="G121" i="3"/>
  <c r="I121" i="3" s="1"/>
  <c r="H121" i="3"/>
  <c r="G122" i="3"/>
  <c r="H122" i="3"/>
  <c r="I122" i="3"/>
  <c r="G123" i="3"/>
  <c r="I123" i="3" s="1"/>
  <c r="H123" i="3"/>
  <c r="G124" i="3"/>
  <c r="H124" i="3"/>
  <c r="I124" i="3"/>
  <c r="G125" i="3"/>
  <c r="I125" i="3" s="1"/>
  <c r="H125" i="3"/>
  <c r="G126" i="3"/>
  <c r="H126" i="3"/>
  <c r="I126" i="3" s="1"/>
  <c r="G127" i="3"/>
  <c r="H127" i="3"/>
  <c r="I127" i="3" s="1"/>
  <c r="G128" i="3"/>
  <c r="I128" i="3" s="1"/>
  <c r="H128" i="3"/>
  <c r="G129" i="3"/>
  <c r="I129" i="3" s="1"/>
  <c r="H129" i="3"/>
  <c r="G130" i="3"/>
  <c r="H130" i="3"/>
  <c r="I130" i="3"/>
  <c r="G131" i="3"/>
  <c r="I131" i="3" s="1"/>
  <c r="H131" i="3"/>
  <c r="G132" i="3"/>
  <c r="I132" i="3" s="1"/>
  <c r="H132" i="3"/>
  <c r="G133" i="3"/>
  <c r="H133" i="3"/>
  <c r="I133" i="3" s="1"/>
  <c r="G134" i="3"/>
  <c r="H134" i="3"/>
  <c r="I134" i="3"/>
  <c r="G135" i="3"/>
  <c r="I135" i="3" s="1"/>
  <c r="H135" i="3"/>
  <c r="G136" i="3"/>
  <c r="I136" i="3" s="1"/>
  <c r="H136" i="3"/>
  <c r="G137" i="3"/>
  <c r="H137" i="3"/>
  <c r="I137" i="3"/>
  <c r="G138" i="3"/>
  <c r="H138" i="3"/>
  <c r="I138" i="3"/>
  <c r="G139" i="3"/>
  <c r="H139" i="3"/>
  <c r="I139" i="3"/>
  <c r="G140" i="3"/>
  <c r="H140" i="3"/>
  <c r="I140" i="3" s="1"/>
  <c r="G141" i="3"/>
  <c r="I141" i="3" s="1"/>
  <c r="H141" i="3"/>
  <c r="G142" i="3"/>
  <c r="I142" i="3" s="1"/>
  <c r="H142" i="3"/>
  <c r="G143" i="3"/>
  <c r="H143" i="3"/>
  <c r="I143" i="3" s="1"/>
  <c r="G144" i="3"/>
  <c r="I144" i="3" s="1"/>
  <c r="H144" i="3"/>
  <c r="G145" i="3"/>
  <c r="I145" i="3" s="1"/>
  <c r="H145" i="3"/>
  <c r="G146" i="3"/>
  <c r="H146" i="3"/>
  <c r="I146" i="3"/>
  <c r="G147" i="3"/>
  <c r="H147" i="3"/>
  <c r="I147" i="3" s="1"/>
  <c r="G148" i="3"/>
  <c r="I148" i="3" s="1"/>
  <c r="H148" i="3"/>
  <c r="G149" i="3"/>
  <c r="I149" i="3" s="1"/>
  <c r="H149" i="3"/>
  <c r="G150" i="3"/>
  <c r="H150" i="3"/>
  <c r="I150" i="3"/>
  <c r="G151" i="3"/>
  <c r="I151" i="3" s="1"/>
  <c r="H151" i="3"/>
  <c r="G152" i="3"/>
  <c r="I152" i="3" s="1"/>
  <c r="H152" i="3"/>
  <c r="G153" i="3"/>
  <c r="H153" i="3"/>
  <c r="I153" i="3" s="1"/>
  <c r="G154" i="3"/>
  <c r="H154" i="3"/>
  <c r="I154" i="3"/>
  <c r="G155" i="3"/>
  <c r="I155" i="3" s="1"/>
  <c r="H155" i="3"/>
  <c r="G156" i="3"/>
  <c r="I156" i="3" s="1"/>
  <c r="H156" i="3"/>
  <c r="G157" i="3"/>
  <c r="H157" i="3"/>
  <c r="I157" i="3" s="1"/>
  <c r="G158" i="3"/>
  <c r="I158" i="3" s="1"/>
  <c r="H158" i="3"/>
  <c r="G159" i="3"/>
  <c r="I159" i="3" s="1"/>
  <c r="H159" i="3"/>
  <c r="G160" i="3"/>
  <c r="I160" i="3" s="1"/>
  <c r="H160" i="3"/>
  <c r="G161" i="3"/>
  <c r="H161" i="3"/>
  <c r="I161" i="3"/>
  <c r="G162" i="3"/>
  <c r="H162" i="3"/>
  <c r="I162" i="3"/>
  <c r="G163" i="3"/>
  <c r="I163" i="3" s="1"/>
  <c r="H163" i="3"/>
  <c r="G164" i="3"/>
  <c r="H164" i="3"/>
  <c r="G165" i="3"/>
  <c r="I165" i="3" s="1"/>
  <c r="H165" i="3"/>
  <c r="G166" i="3"/>
  <c r="I166" i="3" s="1"/>
  <c r="H166" i="3"/>
  <c r="G167" i="3"/>
  <c r="H167" i="3"/>
  <c r="I167" i="3"/>
  <c r="G168" i="3"/>
  <c r="I168" i="3" s="1"/>
  <c r="H168" i="3"/>
  <c r="G169" i="3"/>
  <c r="H169" i="3"/>
  <c r="I169" i="3"/>
  <c r="G170" i="3"/>
  <c r="H170" i="3"/>
  <c r="I170" i="3"/>
  <c r="G171" i="3"/>
  <c r="I171" i="3" s="1"/>
  <c r="H171" i="3"/>
  <c r="G172" i="3"/>
  <c r="H172" i="3"/>
  <c r="I172" i="3"/>
  <c r="G173" i="3"/>
  <c r="I173" i="3" s="1"/>
  <c r="H173" i="3"/>
  <c r="G174" i="3"/>
  <c r="H174" i="3"/>
  <c r="I174" i="3"/>
  <c r="G175" i="3"/>
  <c r="H175" i="3"/>
  <c r="I175" i="3"/>
  <c r="G176" i="3"/>
  <c r="I176" i="3" s="1"/>
  <c r="H176" i="3"/>
  <c r="G177" i="3"/>
  <c r="I177" i="3" s="1"/>
  <c r="H177" i="3"/>
  <c r="G178" i="3"/>
  <c r="H178" i="3"/>
  <c r="I178" i="3"/>
  <c r="G179" i="3"/>
  <c r="H179" i="3"/>
  <c r="I179" i="3"/>
  <c r="G180" i="3"/>
  <c r="I180" i="3" s="1"/>
  <c r="H180" i="3"/>
  <c r="G181" i="3"/>
  <c r="I181" i="3" s="1"/>
  <c r="H181" i="3"/>
  <c r="G182" i="3"/>
  <c r="H182" i="3"/>
  <c r="I182" i="3" s="1"/>
  <c r="G183" i="3"/>
  <c r="I183" i="3" s="1"/>
  <c r="H183" i="3"/>
  <c r="G184" i="3"/>
  <c r="I184" i="3" s="1"/>
  <c r="H184" i="3"/>
  <c r="G185" i="3"/>
  <c r="I185" i="3" s="1"/>
  <c r="H185" i="3"/>
  <c r="G186" i="3"/>
  <c r="H186" i="3"/>
  <c r="I186" i="3" s="1"/>
  <c r="G187" i="3"/>
  <c r="H187" i="3"/>
  <c r="I187" i="3"/>
  <c r="G188" i="3"/>
  <c r="I188" i="3" s="1"/>
  <c r="H188" i="3"/>
  <c r="G189" i="3"/>
  <c r="I189" i="3" s="1"/>
  <c r="H189" i="3"/>
  <c r="G190" i="3"/>
  <c r="H190" i="3"/>
  <c r="I190" i="3"/>
  <c r="G191" i="3"/>
  <c r="H191" i="3"/>
  <c r="I191" i="3"/>
  <c r="G192" i="3"/>
  <c r="I192" i="3" s="1"/>
  <c r="H192" i="3"/>
  <c r="G193" i="3"/>
  <c r="I193" i="3" s="1"/>
  <c r="H193" i="3"/>
  <c r="G194" i="3"/>
  <c r="H194" i="3"/>
  <c r="I194" i="3"/>
  <c r="G195" i="3"/>
  <c r="H195" i="3"/>
  <c r="I195" i="3"/>
  <c r="G196" i="3"/>
  <c r="I196" i="3" s="1"/>
  <c r="H196" i="3"/>
  <c r="G197" i="3"/>
  <c r="I197" i="3" s="1"/>
  <c r="H197" i="3"/>
  <c r="G198" i="3"/>
  <c r="H198" i="3"/>
  <c r="I198" i="3" s="1"/>
  <c r="G199" i="3"/>
  <c r="H199" i="3"/>
  <c r="I199" i="3" s="1"/>
  <c r="G200" i="3"/>
  <c r="I200" i="3" s="1"/>
  <c r="H200" i="3"/>
  <c r="G201" i="3"/>
  <c r="I201" i="3" s="1"/>
  <c r="H201" i="3"/>
  <c r="G202" i="3"/>
  <c r="H202" i="3"/>
  <c r="I202" i="3" s="1"/>
  <c r="G203" i="3"/>
  <c r="H203" i="3"/>
  <c r="I203" i="3" s="1"/>
  <c r="G204" i="3"/>
  <c r="H204" i="3"/>
  <c r="I204" i="3"/>
  <c r="G205" i="3"/>
  <c r="H205" i="3"/>
  <c r="I205" i="3" s="1"/>
  <c r="G206" i="3"/>
  <c r="I206" i="3" s="1"/>
  <c r="H206" i="3"/>
  <c r="G207" i="3"/>
  <c r="I207" i="3" s="1"/>
  <c r="H207" i="3"/>
  <c r="J207" i="3"/>
  <c r="F207" i="3"/>
  <c r="J206" i="3"/>
  <c r="F206" i="3"/>
  <c r="J205" i="3"/>
  <c r="F205" i="3"/>
  <c r="J204" i="3"/>
  <c r="F204" i="3"/>
  <c r="J203" i="3"/>
  <c r="F203" i="3"/>
  <c r="J202" i="3"/>
  <c r="F202" i="3"/>
  <c r="J201" i="3"/>
  <c r="F201" i="3"/>
  <c r="J200" i="3"/>
  <c r="F200" i="3"/>
  <c r="J199" i="3"/>
  <c r="F199" i="3"/>
  <c r="J198" i="3"/>
  <c r="F198" i="3"/>
  <c r="J197" i="3"/>
  <c r="F197" i="3"/>
  <c r="J196" i="3"/>
  <c r="F196" i="3"/>
  <c r="J195" i="3"/>
  <c r="F195" i="3"/>
  <c r="J194" i="3"/>
  <c r="F194" i="3"/>
  <c r="J193" i="3"/>
  <c r="F193" i="3"/>
  <c r="J192" i="3"/>
  <c r="F192" i="3"/>
  <c r="J191" i="3"/>
  <c r="F191" i="3"/>
  <c r="J190" i="3"/>
  <c r="F190" i="3"/>
  <c r="J189" i="3"/>
  <c r="F189" i="3"/>
  <c r="J188" i="3"/>
  <c r="F188" i="3"/>
  <c r="J187" i="3"/>
  <c r="F187" i="3"/>
  <c r="J186" i="3"/>
  <c r="F186" i="3"/>
  <c r="J185" i="3"/>
  <c r="F185" i="3"/>
  <c r="J184" i="3"/>
  <c r="F184" i="3"/>
  <c r="J183" i="3"/>
  <c r="F183" i="3"/>
  <c r="J182" i="3"/>
  <c r="F182" i="3"/>
  <c r="J181" i="3"/>
  <c r="F181" i="3"/>
  <c r="J180" i="3"/>
  <c r="F180" i="3"/>
  <c r="J179" i="3"/>
  <c r="F179" i="3"/>
  <c r="J178" i="3"/>
  <c r="F178" i="3"/>
  <c r="J177" i="3"/>
  <c r="F177" i="3"/>
  <c r="J176" i="3"/>
  <c r="F176" i="3"/>
  <c r="J175" i="3"/>
  <c r="F175" i="3"/>
  <c r="J174" i="3"/>
  <c r="F174" i="3"/>
  <c r="J173" i="3"/>
  <c r="F173" i="3"/>
  <c r="J172" i="3"/>
  <c r="F172" i="3"/>
  <c r="J171" i="3"/>
  <c r="F171" i="3"/>
  <c r="J170" i="3"/>
  <c r="F170" i="3"/>
  <c r="J169" i="3"/>
  <c r="F169" i="3"/>
  <c r="J168" i="3"/>
  <c r="F168" i="3"/>
  <c r="J167" i="3"/>
  <c r="F167" i="3"/>
  <c r="J166" i="3"/>
  <c r="F166" i="3"/>
  <c r="J165" i="3"/>
  <c r="F165" i="3"/>
  <c r="J164" i="3"/>
  <c r="F164" i="3"/>
  <c r="J163" i="3"/>
  <c r="F163" i="3"/>
  <c r="J162" i="3"/>
  <c r="F162" i="3"/>
  <c r="J161" i="3"/>
  <c r="F161" i="3"/>
  <c r="J160" i="3"/>
  <c r="F160" i="3"/>
  <c r="J159" i="3"/>
  <c r="F159" i="3"/>
  <c r="J158" i="3"/>
  <c r="F158" i="3"/>
  <c r="J157" i="3"/>
  <c r="F157" i="3"/>
  <c r="J156" i="3"/>
  <c r="F156" i="3"/>
  <c r="J155" i="3"/>
  <c r="F155" i="3"/>
  <c r="J154" i="3"/>
  <c r="F154" i="3"/>
  <c r="J153" i="3"/>
  <c r="F153" i="3"/>
  <c r="J152" i="3"/>
  <c r="F152" i="3"/>
  <c r="J151" i="3"/>
  <c r="F151" i="3"/>
  <c r="J150" i="3"/>
  <c r="F150" i="3"/>
  <c r="J149" i="3"/>
  <c r="F149" i="3"/>
  <c r="J148" i="3"/>
  <c r="F148" i="3"/>
  <c r="J147" i="3"/>
  <c r="F147" i="3"/>
  <c r="J146" i="3"/>
  <c r="F146" i="3"/>
  <c r="J145" i="3"/>
  <c r="F145" i="3"/>
  <c r="J144" i="3"/>
  <c r="F144" i="3"/>
  <c r="J143" i="3"/>
  <c r="F143" i="3"/>
  <c r="J142" i="3"/>
  <c r="F142" i="3"/>
  <c r="J141" i="3"/>
  <c r="F141" i="3"/>
  <c r="J140" i="3"/>
  <c r="F140" i="3"/>
  <c r="J139" i="3"/>
  <c r="F139" i="3"/>
  <c r="J138" i="3"/>
  <c r="F138" i="3"/>
  <c r="J137" i="3"/>
  <c r="F137" i="3"/>
  <c r="J136" i="3"/>
  <c r="F136" i="3"/>
  <c r="J135" i="3"/>
  <c r="F135" i="3"/>
  <c r="J134" i="3"/>
  <c r="F134" i="3"/>
  <c r="J133" i="3"/>
  <c r="F133" i="3"/>
  <c r="J132" i="3"/>
  <c r="F132" i="3"/>
  <c r="J131" i="3"/>
  <c r="F131" i="3"/>
  <c r="J130" i="3"/>
  <c r="F130" i="3"/>
  <c r="J129" i="3"/>
  <c r="F129" i="3"/>
  <c r="J128" i="3"/>
  <c r="F128" i="3"/>
  <c r="J127" i="3"/>
  <c r="F127" i="3"/>
  <c r="J126" i="3"/>
  <c r="F126" i="3"/>
  <c r="J125" i="3"/>
  <c r="F125" i="3"/>
  <c r="J124" i="3"/>
  <c r="F124" i="3"/>
  <c r="J123" i="3"/>
  <c r="F123" i="3"/>
  <c r="J122" i="3"/>
  <c r="F122" i="3"/>
  <c r="J121" i="3"/>
  <c r="F121" i="3"/>
  <c r="J120" i="3"/>
  <c r="F120" i="3"/>
  <c r="J119" i="3"/>
  <c r="F119" i="3"/>
  <c r="J118" i="3"/>
  <c r="F118" i="3"/>
  <c r="J117" i="3"/>
  <c r="F117" i="3"/>
  <c r="J116" i="3"/>
  <c r="F116" i="3"/>
  <c r="J115" i="3"/>
  <c r="F115" i="3"/>
  <c r="J114" i="3"/>
  <c r="J208" i="3" s="1"/>
  <c r="F114" i="3"/>
  <c r="J113" i="3"/>
  <c r="F113" i="3"/>
  <c r="J112" i="3"/>
  <c r="F112" i="3"/>
  <c r="J111" i="3"/>
  <c r="F111" i="3"/>
  <c r="J110" i="3"/>
  <c r="F110" i="3"/>
  <c r="J109" i="3"/>
  <c r="F109" i="3"/>
  <c r="J108" i="3"/>
  <c r="F108" i="3"/>
  <c r="J107" i="3"/>
  <c r="F107" i="3"/>
  <c r="J106" i="3"/>
  <c r="F106" i="3"/>
  <c r="J105" i="3"/>
  <c r="F105" i="3"/>
  <c r="J104" i="3"/>
  <c r="F104" i="3"/>
  <c r="J103" i="3"/>
  <c r="F103" i="3"/>
  <c r="J102" i="3"/>
  <c r="F102" i="3"/>
  <c r="J101" i="3"/>
  <c r="F101" i="3"/>
  <c r="J100" i="3"/>
  <c r="F100" i="3"/>
  <c r="J99" i="3"/>
  <c r="F99" i="3"/>
  <c r="J98" i="3"/>
  <c r="F98" i="3"/>
  <c r="J97" i="3"/>
  <c r="F97" i="3"/>
  <c r="J96" i="3"/>
  <c r="F96" i="3"/>
  <c r="J95" i="3"/>
  <c r="F95" i="3"/>
  <c r="J94" i="3"/>
  <c r="F94" i="3"/>
  <c r="J93" i="3"/>
  <c r="F93" i="3"/>
  <c r="J92" i="3"/>
  <c r="F92" i="3"/>
  <c r="J91" i="3"/>
  <c r="F91" i="3"/>
  <c r="J90" i="3"/>
  <c r="F90" i="3"/>
  <c r="J89" i="3"/>
  <c r="F89" i="3"/>
  <c r="J88" i="3"/>
  <c r="F88" i="3"/>
  <c r="J87" i="3"/>
  <c r="F87" i="3"/>
  <c r="J86" i="3"/>
  <c r="F86" i="3"/>
  <c r="J85" i="3"/>
  <c r="F85" i="3"/>
  <c r="J84" i="3"/>
  <c r="F84" i="3"/>
  <c r="J83" i="3"/>
  <c r="F83" i="3"/>
  <c r="J82" i="3"/>
  <c r="F82" i="3"/>
  <c r="J81" i="3"/>
  <c r="F81" i="3"/>
  <c r="J80" i="3"/>
  <c r="F80" i="3"/>
  <c r="J79" i="3"/>
  <c r="F79" i="3"/>
  <c r="J78" i="3"/>
  <c r="F78" i="3"/>
  <c r="J77" i="3"/>
  <c r="F77" i="3"/>
  <c r="J76" i="3"/>
  <c r="F76" i="3"/>
  <c r="J75" i="3"/>
  <c r="F75" i="3"/>
  <c r="J74" i="3"/>
  <c r="F74" i="3"/>
  <c r="J73" i="3"/>
  <c r="F73" i="3"/>
  <c r="J72" i="3"/>
  <c r="F72" i="3"/>
  <c r="J71" i="3"/>
  <c r="F71" i="3"/>
  <c r="J70" i="3"/>
  <c r="F70" i="3"/>
  <c r="J69" i="3"/>
  <c r="F69" i="3"/>
  <c r="J68" i="3"/>
  <c r="F68" i="3"/>
  <c r="J67" i="3"/>
  <c r="F67" i="3"/>
  <c r="J66" i="3"/>
  <c r="F66" i="3"/>
  <c r="J65" i="3"/>
  <c r="F65" i="3"/>
  <c r="J64" i="3"/>
  <c r="F64" i="3"/>
  <c r="J63" i="3"/>
  <c r="F63" i="3"/>
  <c r="J62" i="3"/>
  <c r="F62" i="3"/>
  <c r="J61" i="3"/>
  <c r="F61" i="3"/>
  <c r="J60" i="3"/>
  <c r="F60" i="3"/>
  <c r="J59" i="3"/>
  <c r="F59" i="3"/>
  <c r="J58" i="3"/>
  <c r="F58" i="3"/>
  <c r="J57" i="3"/>
  <c r="F57" i="3"/>
  <c r="J56" i="3"/>
  <c r="F56" i="3"/>
  <c r="J55" i="3"/>
  <c r="F55" i="3"/>
  <c r="J54" i="3"/>
  <c r="F54" i="3"/>
  <c r="J53" i="3"/>
  <c r="F53" i="3"/>
  <c r="J52" i="3"/>
  <c r="F52" i="3"/>
  <c r="J51" i="3"/>
  <c r="F51" i="3"/>
  <c r="J50" i="3"/>
  <c r="F50" i="3"/>
  <c r="J49" i="3"/>
  <c r="F49" i="3"/>
  <c r="J48" i="3"/>
  <c r="F48" i="3"/>
  <c r="J47" i="3"/>
  <c r="F47" i="3"/>
  <c r="J46" i="3"/>
  <c r="F46" i="3"/>
  <c r="J45" i="3"/>
  <c r="F45" i="3"/>
  <c r="J44" i="3"/>
  <c r="F44" i="3"/>
  <c r="J43" i="3"/>
  <c r="F43" i="3"/>
  <c r="J42" i="3"/>
  <c r="F42" i="3"/>
  <c r="J41" i="3"/>
  <c r="F41" i="3"/>
  <c r="J40" i="3"/>
  <c r="F40" i="3"/>
  <c r="J39" i="3"/>
  <c r="F39" i="3"/>
  <c r="J38" i="3"/>
  <c r="F38" i="3"/>
  <c r="J37" i="3"/>
  <c r="F37" i="3"/>
  <c r="J36" i="3"/>
  <c r="F36" i="3"/>
  <c r="J35" i="3"/>
  <c r="F35" i="3"/>
  <c r="J34" i="3"/>
  <c r="F34" i="3"/>
  <c r="J33" i="3"/>
  <c r="F33" i="3"/>
  <c r="J32" i="3"/>
  <c r="F32" i="3"/>
  <c r="J31" i="3"/>
  <c r="F31" i="3"/>
  <c r="J30" i="3"/>
  <c r="F30" i="3"/>
  <c r="J29" i="3"/>
  <c r="F29" i="3"/>
  <c r="J28" i="3"/>
  <c r="F28" i="3"/>
  <c r="J27" i="3"/>
  <c r="F27" i="3"/>
  <c r="J26" i="3"/>
  <c r="F26" i="3"/>
  <c r="J25" i="3"/>
  <c r="F25" i="3"/>
  <c r="J24" i="3"/>
  <c r="F24" i="3"/>
  <c r="J23" i="3"/>
  <c r="F23" i="3"/>
  <c r="J22" i="3"/>
  <c r="F22" i="3"/>
  <c r="J21" i="3"/>
  <c r="F21" i="3"/>
  <c r="J20" i="3"/>
  <c r="F20" i="3"/>
  <c r="J19" i="3"/>
  <c r="F19" i="3"/>
  <c r="J18" i="3"/>
  <c r="F18" i="3"/>
  <c r="J17" i="3"/>
  <c r="F17" i="3"/>
  <c r="J16" i="3"/>
  <c r="F16" i="3"/>
  <c r="J15" i="3"/>
  <c r="F15" i="3"/>
  <c r="J14" i="3"/>
  <c r="F14" i="3"/>
  <c r="J13" i="3"/>
  <c r="F13" i="3"/>
  <c r="J12" i="3"/>
  <c r="F12" i="3"/>
  <c r="J11" i="3"/>
  <c r="F11" i="3"/>
  <c r="J10" i="3"/>
  <c r="F10" i="3"/>
  <c r="J9" i="3"/>
  <c r="F9" i="3"/>
  <c r="J8" i="3"/>
  <c r="F8" i="3"/>
  <c r="J7" i="3"/>
  <c r="F7" i="3"/>
  <c r="J6" i="3"/>
  <c r="F6" i="3"/>
  <c r="J5" i="3"/>
  <c r="F5" i="3"/>
  <c r="J4" i="3"/>
  <c r="F4" i="3"/>
  <c r="J3" i="3"/>
  <c r="F3" i="3"/>
  <c r="J2" i="3"/>
  <c r="H2" i="3"/>
  <c r="G2" i="3"/>
  <c r="I2" i="3" s="1"/>
  <c r="F2" i="3"/>
  <c r="J65" i="2"/>
  <c r="G65" i="2"/>
  <c r="J64" i="2"/>
  <c r="I64" i="2"/>
  <c r="H64" i="2"/>
  <c r="G64" i="2"/>
  <c r="F64" i="2"/>
  <c r="J63" i="2"/>
  <c r="H63" i="2"/>
  <c r="H65" i="2" s="1"/>
  <c r="G63" i="2"/>
  <c r="I63" i="2" s="1"/>
  <c r="F63" i="2"/>
  <c r="J62" i="2"/>
  <c r="H62" i="2"/>
  <c r="G62" i="2"/>
  <c r="I62" i="2" s="1"/>
  <c r="F62" i="2"/>
  <c r="J61" i="2"/>
  <c r="I61" i="2"/>
  <c r="H61" i="2"/>
  <c r="G61" i="2"/>
  <c r="F61" i="2"/>
  <c r="J60" i="2"/>
  <c r="H60" i="2"/>
  <c r="G60" i="2"/>
  <c r="I60" i="2" s="1"/>
  <c r="F60" i="2"/>
  <c r="J59" i="2"/>
  <c r="H59" i="2"/>
  <c r="G59" i="2"/>
  <c r="I59" i="2" s="1"/>
  <c r="F59" i="2"/>
  <c r="J58" i="2"/>
  <c r="I58" i="2"/>
  <c r="H58" i="2"/>
  <c r="G58" i="2"/>
  <c r="F58" i="2"/>
  <c r="J57" i="2"/>
  <c r="H57" i="2"/>
  <c r="G57" i="2"/>
  <c r="I57" i="2" s="1"/>
  <c r="F57" i="2"/>
  <c r="J56" i="2"/>
  <c r="I56" i="2"/>
  <c r="H56" i="2"/>
  <c r="G56" i="2"/>
  <c r="F56" i="2"/>
  <c r="J55" i="2"/>
  <c r="H55" i="2"/>
  <c r="G55" i="2"/>
  <c r="I55" i="2" s="1"/>
  <c r="F55" i="2"/>
  <c r="J54" i="2"/>
  <c r="H54" i="2"/>
  <c r="G54" i="2"/>
  <c r="I54" i="2" s="1"/>
  <c r="F54" i="2"/>
  <c r="J53" i="2"/>
  <c r="I53" i="2"/>
  <c r="H53" i="2"/>
  <c r="G53" i="2"/>
  <c r="F53" i="2"/>
  <c r="J52" i="2"/>
  <c r="H52" i="2"/>
  <c r="G52" i="2"/>
  <c r="I52" i="2" s="1"/>
  <c r="F52" i="2"/>
  <c r="J51" i="2"/>
  <c r="H51" i="2"/>
  <c r="G51" i="2"/>
  <c r="I51" i="2" s="1"/>
  <c r="F51" i="2"/>
  <c r="J50" i="2"/>
  <c r="I50" i="2"/>
  <c r="H50" i="2"/>
  <c r="G50" i="2"/>
  <c r="F50" i="2"/>
  <c r="J49" i="2"/>
  <c r="I49" i="2"/>
  <c r="H49" i="2"/>
  <c r="G49" i="2"/>
  <c r="F49" i="2"/>
  <c r="J48" i="2"/>
  <c r="I48" i="2"/>
  <c r="H48" i="2"/>
  <c r="G48" i="2"/>
  <c r="F48" i="2"/>
  <c r="J47" i="2"/>
  <c r="H47" i="2"/>
  <c r="G47" i="2"/>
  <c r="I47" i="2" s="1"/>
  <c r="F47" i="2"/>
  <c r="J46" i="2"/>
  <c r="H46" i="2"/>
  <c r="G46" i="2"/>
  <c r="I46" i="2" s="1"/>
  <c r="F46" i="2"/>
  <c r="J45" i="2"/>
  <c r="H45" i="2"/>
  <c r="I45" i="2" s="1"/>
  <c r="G45" i="2"/>
  <c r="F45" i="2"/>
  <c r="J44" i="2"/>
  <c r="H44" i="2"/>
  <c r="G44" i="2"/>
  <c r="I44" i="2" s="1"/>
  <c r="F44" i="2"/>
  <c r="J43" i="2"/>
  <c r="H43" i="2"/>
  <c r="G43" i="2"/>
  <c r="I43" i="2" s="1"/>
  <c r="F43" i="2"/>
  <c r="J42" i="2"/>
  <c r="I42" i="2"/>
  <c r="H42" i="2"/>
  <c r="G42" i="2"/>
  <c r="F42" i="2"/>
  <c r="J41" i="2"/>
  <c r="H41" i="2"/>
  <c r="I41" i="2" s="1"/>
  <c r="G41" i="2"/>
  <c r="F41" i="2"/>
  <c r="J40" i="2"/>
  <c r="I40" i="2"/>
  <c r="H40" i="2"/>
  <c r="G40" i="2"/>
  <c r="F40" i="2"/>
  <c r="J39" i="2"/>
  <c r="H39" i="2"/>
  <c r="G39" i="2"/>
  <c r="I39" i="2" s="1"/>
  <c r="F39" i="2"/>
  <c r="J38" i="2"/>
  <c r="H38" i="2"/>
  <c r="G38" i="2"/>
  <c r="I38" i="2" s="1"/>
  <c r="F38" i="2"/>
  <c r="J37" i="2"/>
  <c r="I37" i="2"/>
  <c r="H37" i="2"/>
  <c r="G37" i="2"/>
  <c r="F37" i="2"/>
  <c r="J36" i="2"/>
  <c r="H36" i="2"/>
  <c r="G36" i="2"/>
  <c r="I36" i="2" s="1"/>
  <c r="F36" i="2"/>
  <c r="J35" i="2"/>
  <c r="H35" i="2"/>
  <c r="G35" i="2"/>
  <c r="I35" i="2" s="1"/>
  <c r="F35" i="2"/>
  <c r="J34" i="2"/>
  <c r="I34" i="2"/>
  <c r="H34" i="2"/>
  <c r="G34" i="2"/>
  <c r="F34" i="2"/>
  <c r="J33" i="2"/>
  <c r="H33" i="2"/>
  <c r="G33" i="2"/>
  <c r="I33" i="2" s="1"/>
  <c r="F33" i="2"/>
  <c r="J32" i="2"/>
  <c r="I32" i="2"/>
  <c r="H32" i="2"/>
  <c r="G32" i="2"/>
  <c r="F32" i="2"/>
  <c r="J31" i="2"/>
  <c r="H31" i="2"/>
  <c r="G31" i="2"/>
  <c r="I31" i="2" s="1"/>
  <c r="F31" i="2"/>
  <c r="J30" i="2"/>
  <c r="H30" i="2"/>
  <c r="G30" i="2"/>
  <c r="I30" i="2" s="1"/>
  <c r="F30" i="2"/>
  <c r="J29" i="2"/>
  <c r="I29" i="2"/>
  <c r="H29" i="2"/>
  <c r="G29" i="2"/>
  <c r="F29" i="2"/>
  <c r="J28" i="2"/>
  <c r="H28" i="2"/>
  <c r="G28" i="2"/>
  <c r="I28" i="2" s="1"/>
  <c r="F28" i="2"/>
  <c r="J27" i="2"/>
  <c r="H27" i="2"/>
  <c r="G27" i="2"/>
  <c r="I27" i="2" s="1"/>
  <c r="F27" i="2"/>
  <c r="J26" i="2"/>
  <c r="I26" i="2"/>
  <c r="H26" i="2"/>
  <c r="G26" i="2"/>
  <c r="F26" i="2"/>
  <c r="J25" i="2"/>
  <c r="H25" i="2"/>
  <c r="G25" i="2"/>
  <c r="I25" i="2" s="1"/>
  <c r="F25" i="2"/>
  <c r="J24" i="2"/>
  <c r="I24" i="2"/>
  <c r="H24" i="2"/>
  <c r="G24" i="2"/>
  <c r="F24" i="2"/>
  <c r="J23" i="2"/>
  <c r="H23" i="2"/>
  <c r="G23" i="2"/>
  <c r="I23" i="2" s="1"/>
  <c r="F23" i="2"/>
  <c r="J22" i="2"/>
  <c r="H22" i="2"/>
  <c r="G22" i="2"/>
  <c r="I22" i="2" s="1"/>
  <c r="F22" i="2"/>
  <c r="J21" i="2"/>
  <c r="I21" i="2"/>
  <c r="H21" i="2"/>
  <c r="G21" i="2"/>
  <c r="F21" i="2"/>
  <c r="J20" i="2"/>
  <c r="H20" i="2"/>
  <c r="G20" i="2"/>
  <c r="I20" i="2" s="1"/>
  <c r="F20" i="2"/>
  <c r="J19" i="2"/>
  <c r="H19" i="2"/>
  <c r="G19" i="2"/>
  <c r="I19" i="2" s="1"/>
  <c r="F19" i="2"/>
  <c r="J18" i="2"/>
  <c r="I18" i="2"/>
  <c r="H18" i="2"/>
  <c r="G18" i="2"/>
  <c r="F18" i="2"/>
  <c r="J17" i="2"/>
  <c r="I17" i="2"/>
  <c r="H17" i="2"/>
  <c r="G17" i="2"/>
  <c r="F17" i="2"/>
  <c r="J16" i="2"/>
  <c r="I16" i="2"/>
  <c r="H16" i="2"/>
  <c r="G16" i="2"/>
  <c r="F16" i="2"/>
  <c r="J15" i="2"/>
  <c r="H15" i="2"/>
  <c r="G15" i="2"/>
  <c r="I15" i="2" s="1"/>
  <c r="F15" i="2"/>
  <c r="J14" i="2"/>
  <c r="H14" i="2"/>
  <c r="G14" i="2"/>
  <c r="I14" i="2" s="1"/>
  <c r="F14" i="2"/>
  <c r="J13" i="2"/>
  <c r="H13" i="2"/>
  <c r="I13" i="2" s="1"/>
  <c r="G13" i="2"/>
  <c r="F13" i="2"/>
  <c r="J12" i="2"/>
  <c r="H12" i="2"/>
  <c r="G12" i="2"/>
  <c r="I12" i="2" s="1"/>
  <c r="F12" i="2"/>
  <c r="J11" i="2"/>
  <c r="H11" i="2"/>
  <c r="G11" i="2"/>
  <c r="I11" i="2" s="1"/>
  <c r="F11" i="2"/>
  <c r="J10" i="2"/>
  <c r="I10" i="2"/>
  <c r="H10" i="2"/>
  <c r="G10" i="2"/>
  <c r="F10" i="2"/>
  <c r="J9" i="2"/>
  <c r="H9" i="2"/>
  <c r="G9" i="2"/>
  <c r="I9" i="2" s="1"/>
  <c r="F9" i="2"/>
  <c r="J8" i="2"/>
  <c r="I8" i="2"/>
  <c r="H8" i="2"/>
  <c r="G8" i="2"/>
  <c r="F8" i="2"/>
  <c r="J7" i="2"/>
  <c r="H7" i="2"/>
  <c r="G7" i="2"/>
  <c r="I7" i="2" s="1"/>
  <c r="F7" i="2"/>
  <c r="J6" i="2"/>
  <c r="H6" i="2"/>
  <c r="I6" i="2" s="1"/>
  <c r="G6" i="2"/>
  <c r="F6" i="2"/>
  <c r="J5" i="2"/>
  <c r="H5" i="2"/>
  <c r="I5" i="2" s="1"/>
  <c r="G5" i="2"/>
  <c r="F5" i="2"/>
  <c r="J4" i="2"/>
  <c r="H4" i="2"/>
  <c r="G4" i="2"/>
  <c r="I4" i="2" s="1"/>
  <c r="F4" i="2"/>
  <c r="J3" i="2"/>
  <c r="H3" i="2"/>
  <c r="G3" i="2"/>
  <c r="I3" i="2" s="1"/>
  <c r="F3" i="2"/>
  <c r="J2" i="2"/>
  <c r="I2" i="2"/>
  <c r="H2" i="2"/>
  <c r="G2" i="2"/>
  <c r="F2" i="2"/>
  <c r="G299" i="1"/>
  <c r="F180" i="1"/>
  <c r="G180" i="1"/>
  <c r="H180" i="1"/>
  <c r="I180" i="1" s="1"/>
  <c r="J180" i="1"/>
  <c r="F181" i="1"/>
  <c r="G181" i="1"/>
  <c r="I181" i="1" s="1"/>
  <c r="H181" i="1"/>
  <c r="J181" i="1"/>
  <c r="F182" i="1"/>
  <c r="G182" i="1"/>
  <c r="H182" i="1"/>
  <c r="J182" i="1"/>
  <c r="F183" i="1"/>
  <c r="G183" i="1"/>
  <c r="H183" i="1"/>
  <c r="I183" i="1"/>
  <c r="J183" i="1"/>
  <c r="F184" i="1"/>
  <c r="G184" i="1"/>
  <c r="I184" i="1" s="1"/>
  <c r="H184" i="1"/>
  <c r="J184" i="1"/>
  <c r="F185" i="1"/>
  <c r="G185" i="1"/>
  <c r="I185" i="1" s="1"/>
  <c r="H185" i="1"/>
  <c r="J185" i="1"/>
  <c r="F186" i="1"/>
  <c r="G186" i="1"/>
  <c r="H186" i="1"/>
  <c r="J186" i="1"/>
  <c r="F187" i="1"/>
  <c r="G187" i="1"/>
  <c r="H187" i="1"/>
  <c r="I187" i="1"/>
  <c r="J187" i="1"/>
  <c r="F188" i="1"/>
  <c r="G188" i="1"/>
  <c r="H188" i="1"/>
  <c r="I188" i="1"/>
  <c r="J188" i="1"/>
  <c r="F189" i="1"/>
  <c r="G189" i="1"/>
  <c r="I189" i="1" s="1"/>
  <c r="H189" i="1"/>
  <c r="J189" i="1"/>
  <c r="F88" i="1"/>
  <c r="G88" i="1"/>
  <c r="H88" i="1"/>
  <c r="I88" i="1" s="1"/>
  <c r="J88" i="1"/>
  <c r="F190" i="1"/>
  <c r="G190" i="1"/>
  <c r="H190" i="1"/>
  <c r="I190" i="1"/>
  <c r="J190" i="1"/>
  <c r="F89" i="1"/>
  <c r="G89" i="1"/>
  <c r="I89" i="1" s="1"/>
  <c r="H89" i="1"/>
  <c r="J89" i="1"/>
  <c r="F90" i="1"/>
  <c r="G90" i="1"/>
  <c r="H90" i="1"/>
  <c r="I90" i="1"/>
  <c r="J90" i="1"/>
  <c r="F91" i="1"/>
  <c r="G91" i="1"/>
  <c r="I91" i="1" s="1"/>
  <c r="H91" i="1"/>
  <c r="J91" i="1"/>
  <c r="F92" i="1"/>
  <c r="G92" i="1"/>
  <c r="H92" i="1"/>
  <c r="I92" i="1" s="1"/>
  <c r="J92" i="1"/>
  <c r="F93" i="1"/>
  <c r="G93" i="1"/>
  <c r="H93" i="1"/>
  <c r="I93" i="1"/>
  <c r="J93" i="1"/>
  <c r="F191" i="1"/>
  <c r="G191" i="1"/>
  <c r="I191" i="1" s="1"/>
  <c r="H191" i="1"/>
  <c r="J191" i="1"/>
  <c r="F94" i="1"/>
  <c r="G94" i="1"/>
  <c r="I94" i="1" s="1"/>
  <c r="H94" i="1"/>
  <c r="J94" i="1"/>
  <c r="F192" i="1"/>
  <c r="G192" i="1"/>
  <c r="I192" i="1" s="1"/>
  <c r="H192" i="1"/>
  <c r="J192" i="1"/>
  <c r="F95" i="1"/>
  <c r="G95" i="1"/>
  <c r="H95" i="1"/>
  <c r="I95" i="1" s="1"/>
  <c r="J95" i="1"/>
  <c r="F2" i="1"/>
  <c r="G2" i="1"/>
  <c r="H2" i="1"/>
  <c r="I2" i="1"/>
  <c r="J2" i="1"/>
  <c r="F193" i="1"/>
  <c r="G193" i="1"/>
  <c r="I193" i="1" s="1"/>
  <c r="H193" i="1"/>
  <c r="J193" i="1"/>
  <c r="F194" i="1"/>
  <c r="G194" i="1"/>
  <c r="I194" i="1" s="1"/>
  <c r="H194" i="1"/>
  <c r="J194" i="1"/>
  <c r="F96" i="1"/>
  <c r="G96" i="1"/>
  <c r="I96" i="1" s="1"/>
  <c r="H96" i="1"/>
  <c r="J96" i="1"/>
  <c r="F195" i="1"/>
  <c r="G195" i="1"/>
  <c r="H195" i="1"/>
  <c r="J195" i="1"/>
  <c r="F3" i="1"/>
  <c r="G3" i="1"/>
  <c r="I3" i="1" s="1"/>
  <c r="H3" i="1"/>
  <c r="J3" i="1"/>
  <c r="F196" i="1"/>
  <c r="G196" i="1"/>
  <c r="I196" i="1" s="1"/>
  <c r="H196" i="1"/>
  <c r="J196" i="1"/>
  <c r="F197" i="1"/>
  <c r="G197" i="1"/>
  <c r="I197" i="1" s="1"/>
  <c r="H197" i="1"/>
  <c r="J197" i="1"/>
  <c r="F97" i="1"/>
  <c r="G97" i="1"/>
  <c r="I97" i="1" s="1"/>
  <c r="H97" i="1"/>
  <c r="J97" i="1"/>
  <c r="F98" i="1"/>
  <c r="G98" i="1"/>
  <c r="H98" i="1"/>
  <c r="J98" i="1"/>
  <c r="F99" i="1"/>
  <c r="G99" i="1"/>
  <c r="I99" i="1" s="1"/>
  <c r="H99" i="1"/>
  <c r="J99" i="1"/>
  <c r="F100" i="1"/>
  <c r="G100" i="1"/>
  <c r="I100" i="1" s="1"/>
  <c r="H100" i="1"/>
  <c r="J100" i="1"/>
  <c r="F70" i="1"/>
  <c r="G70" i="1"/>
  <c r="H70" i="1"/>
  <c r="J70" i="1"/>
  <c r="F4" i="1"/>
  <c r="G4" i="1"/>
  <c r="H4" i="1"/>
  <c r="I4" i="1"/>
  <c r="J4" i="1"/>
  <c r="F81" i="1"/>
  <c r="G81" i="1"/>
  <c r="H81" i="1"/>
  <c r="I81" i="1"/>
  <c r="J81" i="1"/>
  <c r="F198" i="1"/>
  <c r="G198" i="1"/>
  <c r="I198" i="1" s="1"/>
  <c r="H198" i="1"/>
  <c r="J198" i="1"/>
  <c r="F199" i="1"/>
  <c r="G199" i="1"/>
  <c r="H199" i="1"/>
  <c r="J199" i="1"/>
  <c r="F200" i="1"/>
  <c r="G200" i="1"/>
  <c r="H200" i="1"/>
  <c r="J200" i="1"/>
  <c r="F201" i="1"/>
  <c r="G201" i="1"/>
  <c r="H201" i="1"/>
  <c r="I201" i="1"/>
  <c r="J201" i="1"/>
  <c r="F202" i="1"/>
  <c r="G202" i="1"/>
  <c r="H202" i="1"/>
  <c r="I202" i="1"/>
  <c r="J202" i="1"/>
  <c r="F5" i="1"/>
  <c r="G5" i="1"/>
  <c r="I5" i="1" s="1"/>
  <c r="H5" i="1"/>
  <c r="J5" i="1"/>
  <c r="F203" i="1"/>
  <c r="G203" i="1"/>
  <c r="H203" i="1"/>
  <c r="I203" i="1" s="1"/>
  <c r="J203" i="1"/>
  <c r="F6" i="1"/>
  <c r="G6" i="1"/>
  <c r="H6" i="1"/>
  <c r="I6" i="1"/>
  <c r="J6" i="1"/>
  <c r="F7" i="1"/>
  <c r="G7" i="1"/>
  <c r="H7" i="1"/>
  <c r="I7" i="1"/>
  <c r="J7" i="1"/>
  <c r="F8" i="1"/>
  <c r="G8" i="1"/>
  <c r="H8" i="1"/>
  <c r="I8" i="1"/>
  <c r="J8" i="1"/>
  <c r="F9" i="1"/>
  <c r="G9" i="1"/>
  <c r="I9" i="1" s="1"/>
  <c r="H9" i="1"/>
  <c r="J9" i="1"/>
  <c r="F101" i="1"/>
  <c r="G101" i="1"/>
  <c r="H101" i="1"/>
  <c r="I101" i="1" s="1"/>
  <c r="J101" i="1"/>
  <c r="F102" i="1"/>
  <c r="G102" i="1"/>
  <c r="H102" i="1"/>
  <c r="I102" i="1"/>
  <c r="J102" i="1"/>
  <c r="F204" i="1"/>
  <c r="G204" i="1"/>
  <c r="I204" i="1" s="1"/>
  <c r="H204" i="1"/>
  <c r="J204" i="1"/>
  <c r="F103" i="1"/>
  <c r="G103" i="1"/>
  <c r="I103" i="1" s="1"/>
  <c r="H103" i="1"/>
  <c r="J103" i="1"/>
  <c r="F292" i="1"/>
  <c r="G292" i="1"/>
  <c r="I292" i="1" s="1"/>
  <c r="H292" i="1"/>
  <c r="J292" i="1"/>
  <c r="F104" i="1"/>
  <c r="G104" i="1"/>
  <c r="H104" i="1"/>
  <c r="I104" i="1" s="1"/>
  <c r="J104" i="1"/>
  <c r="F205" i="1"/>
  <c r="G205" i="1"/>
  <c r="H205" i="1"/>
  <c r="I205" i="1"/>
  <c r="J205" i="1"/>
  <c r="F10" i="1"/>
  <c r="G10" i="1"/>
  <c r="I10" i="1" s="1"/>
  <c r="H10" i="1"/>
  <c r="J10" i="1"/>
  <c r="F11" i="1"/>
  <c r="G11" i="1"/>
  <c r="I11" i="1" s="1"/>
  <c r="H11" i="1"/>
  <c r="J11" i="1"/>
  <c r="F12" i="1"/>
  <c r="G12" i="1"/>
  <c r="I12" i="1" s="1"/>
  <c r="H12" i="1"/>
  <c r="J12" i="1"/>
  <c r="F13" i="1"/>
  <c r="G13" i="1"/>
  <c r="H13" i="1"/>
  <c r="J13" i="1"/>
  <c r="F82" i="1"/>
  <c r="G82" i="1"/>
  <c r="I82" i="1" s="1"/>
  <c r="H82" i="1"/>
  <c r="J82" i="1"/>
  <c r="F14" i="1"/>
  <c r="G14" i="1"/>
  <c r="I14" i="1" s="1"/>
  <c r="H14" i="1"/>
  <c r="J14" i="1"/>
  <c r="F15" i="1"/>
  <c r="G15" i="1"/>
  <c r="I15" i="1" s="1"/>
  <c r="H15" i="1"/>
  <c r="J15" i="1"/>
  <c r="F206" i="1"/>
  <c r="G206" i="1"/>
  <c r="I206" i="1" s="1"/>
  <c r="H206" i="1"/>
  <c r="J206" i="1"/>
  <c r="F207" i="1"/>
  <c r="G207" i="1"/>
  <c r="H207" i="1"/>
  <c r="J207" i="1"/>
  <c r="F105" i="1"/>
  <c r="G105" i="1"/>
  <c r="I105" i="1" s="1"/>
  <c r="H105" i="1"/>
  <c r="J105" i="1"/>
  <c r="F106" i="1"/>
  <c r="G106" i="1"/>
  <c r="I106" i="1" s="1"/>
  <c r="H106" i="1"/>
  <c r="J106" i="1"/>
  <c r="F208" i="1"/>
  <c r="G208" i="1"/>
  <c r="H208" i="1"/>
  <c r="J208" i="1"/>
  <c r="F209" i="1"/>
  <c r="G209" i="1"/>
  <c r="H209" i="1"/>
  <c r="I209" i="1"/>
  <c r="J209" i="1"/>
  <c r="F107" i="1"/>
  <c r="G107" i="1"/>
  <c r="H107" i="1"/>
  <c r="I107" i="1"/>
  <c r="J107" i="1"/>
  <c r="F108" i="1"/>
  <c r="G108" i="1"/>
  <c r="I108" i="1" s="1"/>
  <c r="H108" i="1"/>
  <c r="J108" i="1"/>
  <c r="F210" i="1"/>
  <c r="G210" i="1"/>
  <c r="I210" i="1" s="1"/>
  <c r="H210" i="1"/>
  <c r="J210" i="1"/>
  <c r="F16" i="1"/>
  <c r="G16" i="1"/>
  <c r="H16" i="1"/>
  <c r="J16" i="1"/>
  <c r="F211" i="1"/>
  <c r="G211" i="1"/>
  <c r="H211" i="1"/>
  <c r="I211" i="1"/>
  <c r="J211" i="1"/>
  <c r="F212" i="1"/>
  <c r="G212" i="1"/>
  <c r="H212" i="1"/>
  <c r="I212" i="1"/>
  <c r="J212" i="1"/>
  <c r="F213" i="1"/>
  <c r="G213" i="1"/>
  <c r="I213" i="1" s="1"/>
  <c r="H213" i="1"/>
  <c r="J213" i="1"/>
  <c r="F214" i="1"/>
  <c r="G214" i="1"/>
  <c r="H214" i="1"/>
  <c r="I214" i="1" s="1"/>
  <c r="J214" i="1"/>
  <c r="F215" i="1"/>
  <c r="G215" i="1"/>
  <c r="H215" i="1"/>
  <c r="I215" i="1"/>
  <c r="J215" i="1"/>
  <c r="F216" i="1"/>
  <c r="G216" i="1"/>
  <c r="H216" i="1"/>
  <c r="I216" i="1"/>
  <c r="J216" i="1"/>
  <c r="F217" i="1"/>
  <c r="G217" i="1"/>
  <c r="H217" i="1"/>
  <c r="I217" i="1"/>
  <c r="J217" i="1"/>
  <c r="F293" i="1"/>
  <c r="G293" i="1"/>
  <c r="I293" i="1" s="1"/>
  <c r="H293" i="1"/>
  <c r="J293" i="1"/>
  <c r="F218" i="1"/>
  <c r="G218" i="1"/>
  <c r="H218" i="1"/>
  <c r="I218" i="1" s="1"/>
  <c r="J218" i="1"/>
  <c r="F219" i="1"/>
  <c r="G219" i="1"/>
  <c r="H219" i="1"/>
  <c r="I219" i="1"/>
  <c r="J219" i="1"/>
  <c r="F220" i="1"/>
  <c r="G220" i="1"/>
  <c r="I220" i="1" s="1"/>
  <c r="H220" i="1"/>
  <c r="J220" i="1"/>
  <c r="F221" i="1"/>
  <c r="G221" i="1"/>
  <c r="I221" i="1" s="1"/>
  <c r="H221" i="1"/>
  <c r="J221" i="1"/>
  <c r="F109" i="1"/>
  <c r="G109" i="1"/>
  <c r="I109" i="1" s="1"/>
  <c r="H109" i="1"/>
  <c r="J109" i="1"/>
  <c r="F110" i="1"/>
  <c r="G110" i="1"/>
  <c r="H110" i="1"/>
  <c r="I110" i="1" s="1"/>
  <c r="J110" i="1"/>
  <c r="F222" i="1"/>
  <c r="G222" i="1"/>
  <c r="H222" i="1"/>
  <c r="I222" i="1"/>
  <c r="J222" i="1"/>
  <c r="F223" i="1"/>
  <c r="G223" i="1"/>
  <c r="I223" i="1" s="1"/>
  <c r="H223" i="1"/>
  <c r="J223" i="1"/>
  <c r="F224" i="1"/>
  <c r="G224" i="1"/>
  <c r="I224" i="1" s="1"/>
  <c r="H224" i="1"/>
  <c r="J224" i="1"/>
  <c r="F225" i="1"/>
  <c r="G225" i="1"/>
  <c r="I225" i="1" s="1"/>
  <c r="H225" i="1"/>
  <c r="J225" i="1"/>
  <c r="F111" i="1"/>
  <c r="G111" i="1"/>
  <c r="H111" i="1"/>
  <c r="J111" i="1"/>
  <c r="F226" i="1"/>
  <c r="G226" i="1"/>
  <c r="I226" i="1" s="1"/>
  <c r="H226" i="1"/>
  <c r="J226" i="1"/>
  <c r="F227" i="1"/>
  <c r="G227" i="1"/>
  <c r="I227" i="1" s="1"/>
  <c r="H227" i="1"/>
  <c r="J227" i="1"/>
  <c r="F228" i="1"/>
  <c r="G228" i="1"/>
  <c r="I228" i="1" s="1"/>
  <c r="H228" i="1"/>
  <c r="J228" i="1"/>
  <c r="F112" i="1"/>
  <c r="G112" i="1"/>
  <c r="I112" i="1" s="1"/>
  <c r="H112" i="1"/>
  <c r="J112" i="1"/>
  <c r="F113" i="1"/>
  <c r="G113" i="1"/>
  <c r="H113" i="1"/>
  <c r="J113" i="1"/>
  <c r="F229" i="1"/>
  <c r="G229" i="1"/>
  <c r="I229" i="1" s="1"/>
  <c r="H229" i="1"/>
  <c r="J229" i="1"/>
  <c r="F230" i="1"/>
  <c r="G230" i="1"/>
  <c r="I230" i="1" s="1"/>
  <c r="H230" i="1"/>
  <c r="J230" i="1"/>
  <c r="F291" i="1"/>
  <c r="G291" i="1"/>
  <c r="H291" i="1"/>
  <c r="J291" i="1"/>
  <c r="F114" i="1"/>
  <c r="G114" i="1"/>
  <c r="H114" i="1"/>
  <c r="I114" i="1"/>
  <c r="J114" i="1"/>
  <c r="F115" i="1"/>
  <c r="G115" i="1"/>
  <c r="H115" i="1"/>
  <c r="I115" i="1"/>
  <c r="J115" i="1"/>
  <c r="F116" i="1"/>
  <c r="G116" i="1"/>
  <c r="I116" i="1" s="1"/>
  <c r="H116" i="1"/>
  <c r="J116" i="1"/>
  <c r="F231" i="1"/>
  <c r="G231" i="1"/>
  <c r="I231" i="1" s="1"/>
  <c r="H231" i="1"/>
  <c r="J231" i="1"/>
  <c r="F232" i="1"/>
  <c r="G232" i="1"/>
  <c r="H232" i="1"/>
  <c r="J232" i="1"/>
  <c r="F117" i="1"/>
  <c r="G117" i="1"/>
  <c r="H117" i="1"/>
  <c r="I117" i="1"/>
  <c r="J117" i="1"/>
  <c r="F233" i="1"/>
  <c r="G233" i="1"/>
  <c r="H233" i="1"/>
  <c r="I233" i="1"/>
  <c r="J233" i="1"/>
  <c r="F234" i="1"/>
  <c r="G234" i="1"/>
  <c r="I234" i="1" s="1"/>
  <c r="H234" i="1"/>
  <c r="J234" i="1"/>
  <c r="F235" i="1"/>
  <c r="G235" i="1"/>
  <c r="H235" i="1"/>
  <c r="I235" i="1" s="1"/>
  <c r="J235" i="1"/>
  <c r="F118" i="1"/>
  <c r="G118" i="1"/>
  <c r="H118" i="1"/>
  <c r="I118" i="1"/>
  <c r="J118" i="1"/>
  <c r="F236" i="1"/>
  <c r="G236" i="1"/>
  <c r="H236" i="1"/>
  <c r="I236" i="1"/>
  <c r="J236" i="1"/>
  <c r="F237" i="1"/>
  <c r="G237" i="1"/>
  <c r="H237" i="1"/>
  <c r="I237" i="1"/>
  <c r="J237" i="1"/>
  <c r="F238" i="1"/>
  <c r="G238" i="1"/>
  <c r="I238" i="1" s="1"/>
  <c r="H238" i="1"/>
  <c r="J238" i="1"/>
  <c r="F239" i="1"/>
  <c r="G239" i="1"/>
  <c r="H239" i="1"/>
  <c r="I239" i="1" s="1"/>
  <c r="J239" i="1"/>
  <c r="F240" i="1"/>
  <c r="G240" i="1"/>
  <c r="H240" i="1"/>
  <c r="I240" i="1"/>
  <c r="J240" i="1"/>
  <c r="F119" i="1"/>
  <c r="G119" i="1"/>
  <c r="I119" i="1" s="1"/>
  <c r="H119" i="1"/>
  <c r="J119" i="1"/>
  <c r="F241" i="1"/>
  <c r="G241" i="1"/>
  <c r="I241" i="1" s="1"/>
  <c r="H241" i="1"/>
  <c r="J241" i="1"/>
  <c r="F242" i="1"/>
  <c r="G242" i="1"/>
  <c r="I242" i="1" s="1"/>
  <c r="H242" i="1"/>
  <c r="J242" i="1"/>
  <c r="F178" i="1"/>
  <c r="G178" i="1"/>
  <c r="H178" i="1"/>
  <c r="I178" i="1" s="1"/>
  <c r="J178" i="1"/>
  <c r="F179" i="1"/>
  <c r="G179" i="1"/>
  <c r="H179" i="1"/>
  <c r="I179" i="1"/>
  <c r="J179" i="1"/>
  <c r="F120" i="1"/>
  <c r="G120" i="1"/>
  <c r="I120" i="1" s="1"/>
  <c r="H120" i="1"/>
  <c r="J120" i="1"/>
  <c r="F243" i="1"/>
  <c r="G243" i="1"/>
  <c r="I243" i="1" s="1"/>
  <c r="H243" i="1"/>
  <c r="J243" i="1"/>
  <c r="F244" i="1"/>
  <c r="G244" i="1"/>
  <c r="I244" i="1" s="1"/>
  <c r="H244" i="1"/>
  <c r="J244" i="1"/>
  <c r="F245" i="1"/>
  <c r="G245" i="1"/>
  <c r="H245" i="1"/>
  <c r="J245" i="1"/>
  <c r="F121" i="1"/>
  <c r="G121" i="1"/>
  <c r="I121" i="1" s="1"/>
  <c r="H121" i="1"/>
  <c r="J121" i="1"/>
  <c r="F246" i="1"/>
  <c r="G246" i="1"/>
  <c r="I246" i="1" s="1"/>
  <c r="H246" i="1"/>
  <c r="J246" i="1"/>
  <c r="F247" i="1"/>
  <c r="G247" i="1"/>
  <c r="I247" i="1" s="1"/>
  <c r="H247" i="1"/>
  <c r="J247" i="1"/>
  <c r="F248" i="1"/>
  <c r="G248" i="1"/>
  <c r="I248" i="1" s="1"/>
  <c r="H248" i="1"/>
  <c r="J248" i="1"/>
  <c r="F249" i="1"/>
  <c r="G249" i="1"/>
  <c r="H249" i="1"/>
  <c r="J249" i="1"/>
  <c r="F250" i="1"/>
  <c r="G250" i="1"/>
  <c r="H250" i="1"/>
  <c r="J250" i="1"/>
  <c r="F251" i="1"/>
  <c r="G251" i="1"/>
  <c r="I251" i="1" s="1"/>
  <c r="H251" i="1"/>
  <c r="J251" i="1"/>
  <c r="F252" i="1"/>
  <c r="G252" i="1"/>
  <c r="H252" i="1"/>
  <c r="J252" i="1"/>
  <c r="F253" i="1"/>
  <c r="G253" i="1"/>
  <c r="H253" i="1"/>
  <c r="I253" i="1"/>
  <c r="J253" i="1"/>
  <c r="F122" i="1"/>
  <c r="G122" i="1"/>
  <c r="H122" i="1"/>
  <c r="I122" i="1"/>
  <c r="J122" i="1"/>
  <c r="F123" i="1"/>
  <c r="G123" i="1"/>
  <c r="I123" i="1" s="1"/>
  <c r="H123" i="1"/>
  <c r="J123" i="1"/>
  <c r="F124" i="1"/>
  <c r="G124" i="1"/>
  <c r="I124" i="1" s="1"/>
  <c r="H124" i="1"/>
  <c r="J124" i="1"/>
  <c r="F125" i="1"/>
  <c r="G125" i="1"/>
  <c r="H125" i="1"/>
  <c r="J125" i="1"/>
  <c r="F126" i="1"/>
  <c r="G126" i="1"/>
  <c r="H126" i="1"/>
  <c r="I126" i="1"/>
  <c r="J126" i="1"/>
  <c r="F127" i="1"/>
  <c r="G127" i="1"/>
  <c r="H127" i="1"/>
  <c r="I127" i="1"/>
  <c r="J127" i="1"/>
  <c r="F128" i="1"/>
  <c r="G128" i="1"/>
  <c r="I128" i="1" s="1"/>
  <c r="H128" i="1"/>
  <c r="J128" i="1"/>
  <c r="F254" i="1"/>
  <c r="G254" i="1"/>
  <c r="H254" i="1"/>
  <c r="I254" i="1" s="1"/>
  <c r="J254" i="1"/>
  <c r="F255" i="1"/>
  <c r="G255" i="1"/>
  <c r="H255" i="1"/>
  <c r="I255" i="1"/>
  <c r="J255" i="1"/>
  <c r="F256" i="1"/>
  <c r="G256" i="1"/>
  <c r="H256" i="1"/>
  <c r="I256" i="1"/>
  <c r="J256" i="1"/>
  <c r="F257" i="1"/>
  <c r="G257" i="1"/>
  <c r="H257" i="1"/>
  <c r="I257" i="1"/>
  <c r="J257" i="1"/>
  <c r="F258" i="1"/>
  <c r="G258" i="1"/>
  <c r="I258" i="1" s="1"/>
  <c r="H258" i="1"/>
  <c r="J258" i="1"/>
  <c r="F17" i="1"/>
  <c r="G17" i="1"/>
  <c r="H17" i="1"/>
  <c r="I17" i="1" s="1"/>
  <c r="J17" i="1"/>
  <c r="F18" i="1"/>
  <c r="G18" i="1"/>
  <c r="H18" i="1"/>
  <c r="I18" i="1"/>
  <c r="J18" i="1"/>
  <c r="F259" i="1"/>
  <c r="G259" i="1"/>
  <c r="I259" i="1" s="1"/>
  <c r="H259" i="1"/>
  <c r="J259" i="1"/>
  <c r="F294" i="1"/>
  <c r="G294" i="1"/>
  <c r="I294" i="1" s="1"/>
  <c r="H294" i="1"/>
  <c r="J294" i="1"/>
  <c r="F260" i="1"/>
  <c r="G260" i="1"/>
  <c r="I260" i="1" s="1"/>
  <c r="H260" i="1"/>
  <c r="J260" i="1"/>
  <c r="F261" i="1"/>
  <c r="G261" i="1"/>
  <c r="H261" i="1"/>
  <c r="I261" i="1" s="1"/>
  <c r="J261" i="1"/>
  <c r="F129" i="1"/>
  <c r="G129" i="1"/>
  <c r="H129" i="1"/>
  <c r="I129" i="1"/>
  <c r="J129" i="1"/>
  <c r="F130" i="1"/>
  <c r="G130" i="1"/>
  <c r="I130" i="1" s="1"/>
  <c r="H130" i="1"/>
  <c r="J130" i="1"/>
  <c r="F131" i="1"/>
  <c r="G131" i="1"/>
  <c r="I131" i="1" s="1"/>
  <c r="H131" i="1"/>
  <c r="J131" i="1"/>
  <c r="F262" i="1"/>
  <c r="G262" i="1"/>
  <c r="I262" i="1" s="1"/>
  <c r="H262" i="1"/>
  <c r="J262" i="1"/>
  <c r="F263" i="1"/>
  <c r="G263" i="1"/>
  <c r="H263" i="1"/>
  <c r="J263" i="1"/>
  <c r="F264" i="1"/>
  <c r="G264" i="1"/>
  <c r="I264" i="1" s="1"/>
  <c r="H264" i="1"/>
  <c r="J264" i="1"/>
  <c r="F68" i="1"/>
  <c r="G68" i="1"/>
  <c r="I68" i="1" s="1"/>
  <c r="H68" i="1"/>
  <c r="J68" i="1"/>
  <c r="F265" i="1"/>
  <c r="G265" i="1"/>
  <c r="I265" i="1" s="1"/>
  <c r="H265" i="1"/>
  <c r="J265" i="1"/>
  <c r="F295" i="1"/>
  <c r="G295" i="1"/>
  <c r="I295" i="1" s="1"/>
  <c r="H295" i="1"/>
  <c r="J295" i="1"/>
  <c r="F77" i="1"/>
  <c r="G77" i="1"/>
  <c r="H77" i="1"/>
  <c r="J77" i="1"/>
  <c r="F78" i="1"/>
  <c r="G78" i="1"/>
  <c r="H78" i="1"/>
  <c r="J78" i="1"/>
  <c r="F79" i="1"/>
  <c r="G79" i="1"/>
  <c r="I79" i="1" s="1"/>
  <c r="H79" i="1"/>
  <c r="J79" i="1"/>
  <c r="F80" i="1"/>
  <c r="G80" i="1"/>
  <c r="H80" i="1"/>
  <c r="J80" i="1"/>
  <c r="F266" i="1"/>
  <c r="G266" i="1"/>
  <c r="I266" i="1" s="1"/>
  <c r="H266" i="1"/>
  <c r="J266" i="1"/>
  <c r="F69" i="1"/>
  <c r="G69" i="1"/>
  <c r="H69" i="1"/>
  <c r="I69" i="1"/>
  <c r="J69" i="1"/>
  <c r="F267" i="1"/>
  <c r="G267" i="1"/>
  <c r="I267" i="1" s="1"/>
  <c r="H267" i="1"/>
  <c r="J267" i="1"/>
  <c r="F132" i="1"/>
  <c r="G132" i="1"/>
  <c r="I132" i="1" s="1"/>
  <c r="H132" i="1"/>
  <c r="J132" i="1"/>
  <c r="F268" i="1"/>
  <c r="G268" i="1"/>
  <c r="H268" i="1"/>
  <c r="J268" i="1"/>
  <c r="F269" i="1"/>
  <c r="G269" i="1"/>
  <c r="I269" i="1" s="1"/>
  <c r="H269" i="1"/>
  <c r="J269" i="1"/>
  <c r="F19" i="1"/>
  <c r="G19" i="1"/>
  <c r="H19" i="1"/>
  <c r="I19" i="1"/>
  <c r="J19" i="1"/>
  <c r="F20" i="1"/>
  <c r="G20" i="1"/>
  <c r="I20" i="1" s="1"/>
  <c r="H20" i="1"/>
  <c r="J20" i="1"/>
  <c r="F21" i="1"/>
  <c r="G21" i="1"/>
  <c r="H21" i="1"/>
  <c r="I21" i="1" s="1"/>
  <c r="J21" i="1"/>
  <c r="F133" i="1"/>
  <c r="G133" i="1"/>
  <c r="H133" i="1"/>
  <c r="I133" i="1"/>
  <c r="J133" i="1"/>
  <c r="F270" i="1"/>
  <c r="G270" i="1"/>
  <c r="I270" i="1" s="1"/>
  <c r="H270" i="1"/>
  <c r="J270" i="1"/>
  <c r="F271" i="1"/>
  <c r="G271" i="1"/>
  <c r="H271" i="1"/>
  <c r="I271" i="1" s="1"/>
  <c r="J271" i="1"/>
  <c r="F134" i="1"/>
  <c r="G134" i="1"/>
  <c r="I134" i="1" s="1"/>
  <c r="H134" i="1"/>
  <c r="J134" i="1"/>
  <c r="F135" i="1"/>
  <c r="G135" i="1"/>
  <c r="H135" i="1"/>
  <c r="I135" i="1" s="1"/>
  <c r="J135" i="1"/>
  <c r="F136" i="1"/>
  <c r="G136" i="1"/>
  <c r="H136" i="1"/>
  <c r="I136" i="1"/>
  <c r="J136" i="1"/>
  <c r="F137" i="1"/>
  <c r="G137" i="1"/>
  <c r="I137" i="1" s="1"/>
  <c r="H137" i="1"/>
  <c r="J137" i="1"/>
  <c r="F272" i="1"/>
  <c r="G272" i="1"/>
  <c r="I272" i="1" s="1"/>
  <c r="H272" i="1"/>
  <c r="J272" i="1"/>
  <c r="F273" i="1"/>
  <c r="G273" i="1"/>
  <c r="I273" i="1" s="1"/>
  <c r="H273" i="1"/>
  <c r="J273" i="1"/>
  <c r="F274" i="1"/>
  <c r="G274" i="1"/>
  <c r="H274" i="1"/>
  <c r="I274" i="1" s="1"/>
  <c r="J274" i="1"/>
  <c r="F138" i="1"/>
  <c r="G138" i="1"/>
  <c r="H138" i="1"/>
  <c r="I138" i="1"/>
  <c r="J138" i="1"/>
  <c r="F139" i="1"/>
  <c r="G139" i="1"/>
  <c r="I139" i="1" s="1"/>
  <c r="H139" i="1"/>
  <c r="J139" i="1"/>
  <c r="F140" i="1"/>
  <c r="G140" i="1"/>
  <c r="I140" i="1" s="1"/>
  <c r="H140" i="1"/>
  <c r="J140" i="1"/>
  <c r="F141" i="1"/>
  <c r="G141" i="1"/>
  <c r="I141" i="1" s="1"/>
  <c r="H141" i="1"/>
  <c r="J141" i="1"/>
  <c r="F22" i="1"/>
  <c r="G22" i="1"/>
  <c r="H22" i="1"/>
  <c r="J22" i="1"/>
  <c r="F23" i="1"/>
  <c r="G23" i="1"/>
  <c r="I23" i="1" s="1"/>
  <c r="H23" i="1"/>
  <c r="J23" i="1"/>
  <c r="F24" i="1"/>
  <c r="G24" i="1"/>
  <c r="I24" i="1" s="1"/>
  <c r="H24" i="1"/>
  <c r="J24" i="1"/>
  <c r="F25" i="1"/>
  <c r="G25" i="1"/>
  <c r="I25" i="1" s="1"/>
  <c r="H25" i="1"/>
  <c r="J25" i="1"/>
  <c r="F26" i="1"/>
  <c r="G26" i="1"/>
  <c r="I26" i="1" s="1"/>
  <c r="H26" i="1"/>
  <c r="J26" i="1"/>
  <c r="F142" i="1"/>
  <c r="G142" i="1"/>
  <c r="H142" i="1"/>
  <c r="J142" i="1"/>
  <c r="F143" i="1"/>
  <c r="G143" i="1"/>
  <c r="I143" i="1" s="1"/>
  <c r="H143" i="1"/>
  <c r="J143" i="1"/>
  <c r="F27" i="1"/>
  <c r="G27" i="1"/>
  <c r="I27" i="1" s="1"/>
  <c r="H27" i="1"/>
  <c r="J27" i="1"/>
  <c r="F28" i="1"/>
  <c r="G28" i="1"/>
  <c r="H28" i="1"/>
  <c r="J28" i="1"/>
  <c r="F144" i="1"/>
  <c r="G144" i="1"/>
  <c r="H144" i="1"/>
  <c r="I144" i="1"/>
  <c r="J144" i="1"/>
  <c r="F145" i="1"/>
  <c r="G145" i="1"/>
  <c r="H145" i="1"/>
  <c r="I145" i="1"/>
  <c r="J145" i="1"/>
  <c r="F146" i="1"/>
  <c r="G146" i="1"/>
  <c r="I146" i="1" s="1"/>
  <c r="H146" i="1"/>
  <c r="J146" i="1"/>
  <c r="F147" i="1"/>
  <c r="G147" i="1"/>
  <c r="I147" i="1" s="1"/>
  <c r="H147" i="1"/>
  <c r="J147" i="1"/>
  <c r="F148" i="1"/>
  <c r="G148" i="1"/>
  <c r="H148" i="1"/>
  <c r="J148" i="1"/>
  <c r="F149" i="1"/>
  <c r="G149" i="1"/>
  <c r="H149" i="1"/>
  <c r="I149" i="1"/>
  <c r="J149" i="1"/>
  <c r="F29" i="1"/>
  <c r="G29" i="1"/>
  <c r="H29" i="1"/>
  <c r="I29" i="1"/>
  <c r="J29" i="1"/>
  <c r="F30" i="1"/>
  <c r="G30" i="1"/>
  <c r="I30" i="1" s="1"/>
  <c r="H30" i="1"/>
  <c r="J30" i="1"/>
  <c r="F31" i="1"/>
  <c r="G31" i="1"/>
  <c r="H31" i="1"/>
  <c r="I31" i="1" s="1"/>
  <c r="J31" i="1"/>
  <c r="F32" i="1"/>
  <c r="G32" i="1"/>
  <c r="H32" i="1"/>
  <c r="I32" i="1"/>
  <c r="J32" i="1"/>
  <c r="F83" i="1"/>
  <c r="G83" i="1"/>
  <c r="H83" i="1"/>
  <c r="I83" i="1"/>
  <c r="J83" i="1"/>
  <c r="F150" i="1"/>
  <c r="G150" i="1"/>
  <c r="H150" i="1"/>
  <c r="I150" i="1"/>
  <c r="J150" i="1"/>
  <c r="F151" i="1"/>
  <c r="G151" i="1"/>
  <c r="I151" i="1" s="1"/>
  <c r="H151" i="1"/>
  <c r="J151" i="1"/>
  <c r="F152" i="1"/>
  <c r="G152" i="1"/>
  <c r="H152" i="1"/>
  <c r="I152" i="1" s="1"/>
  <c r="J152" i="1"/>
  <c r="F153" i="1"/>
  <c r="G153" i="1"/>
  <c r="H153" i="1"/>
  <c r="I153" i="1"/>
  <c r="J153" i="1"/>
  <c r="F154" i="1"/>
  <c r="G154" i="1"/>
  <c r="I154" i="1" s="1"/>
  <c r="H154" i="1"/>
  <c r="J154" i="1"/>
  <c r="F155" i="1"/>
  <c r="G155" i="1"/>
  <c r="I155" i="1" s="1"/>
  <c r="H155" i="1"/>
  <c r="J155" i="1"/>
  <c r="F33" i="1"/>
  <c r="G33" i="1"/>
  <c r="I33" i="1" s="1"/>
  <c r="H33" i="1"/>
  <c r="J33" i="1"/>
  <c r="F156" i="1"/>
  <c r="G156" i="1"/>
  <c r="H156" i="1"/>
  <c r="I156" i="1" s="1"/>
  <c r="J156" i="1"/>
  <c r="F34" i="1"/>
  <c r="G34" i="1"/>
  <c r="H34" i="1"/>
  <c r="I34" i="1"/>
  <c r="J34" i="1"/>
  <c r="F35" i="1"/>
  <c r="G35" i="1"/>
  <c r="I35" i="1" s="1"/>
  <c r="H35" i="1"/>
  <c r="J35" i="1"/>
  <c r="F36" i="1"/>
  <c r="G36" i="1"/>
  <c r="I36" i="1" s="1"/>
  <c r="H36" i="1"/>
  <c r="J36" i="1"/>
  <c r="F37" i="1"/>
  <c r="G37" i="1"/>
  <c r="I37" i="1" s="1"/>
  <c r="H37" i="1"/>
  <c r="J37" i="1"/>
  <c r="F275" i="1"/>
  <c r="G275" i="1"/>
  <c r="H275" i="1"/>
  <c r="J275" i="1"/>
  <c r="F38" i="1"/>
  <c r="G38" i="1"/>
  <c r="I38" i="1" s="1"/>
  <c r="H38" i="1"/>
  <c r="J38" i="1"/>
  <c r="F276" i="1"/>
  <c r="G276" i="1"/>
  <c r="I276" i="1" s="1"/>
  <c r="H276" i="1"/>
  <c r="J276" i="1"/>
  <c r="F157" i="1"/>
  <c r="G157" i="1"/>
  <c r="I157" i="1" s="1"/>
  <c r="H157" i="1"/>
  <c r="J157" i="1"/>
  <c r="F158" i="1"/>
  <c r="G158" i="1"/>
  <c r="I158" i="1" s="1"/>
  <c r="H158" i="1"/>
  <c r="J158" i="1"/>
  <c r="F39" i="1"/>
  <c r="G39" i="1"/>
  <c r="H39" i="1"/>
  <c r="J39" i="1"/>
  <c r="F40" i="1"/>
  <c r="G40" i="1"/>
  <c r="I40" i="1" s="1"/>
  <c r="H40" i="1"/>
  <c r="J40" i="1"/>
  <c r="F41" i="1"/>
  <c r="G41" i="1"/>
  <c r="I41" i="1" s="1"/>
  <c r="H41" i="1"/>
  <c r="J41" i="1"/>
  <c r="F42" i="1"/>
  <c r="G42" i="1"/>
  <c r="H42" i="1"/>
  <c r="J42" i="1"/>
  <c r="F43" i="1"/>
  <c r="G43" i="1"/>
  <c r="I43" i="1" s="1"/>
  <c r="H43" i="1"/>
  <c r="J43" i="1"/>
  <c r="F44" i="1"/>
  <c r="G44" i="1"/>
  <c r="H44" i="1"/>
  <c r="I44" i="1"/>
  <c r="J44" i="1"/>
  <c r="F277" i="1"/>
  <c r="G277" i="1"/>
  <c r="I277" i="1" s="1"/>
  <c r="H277" i="1"/>
  <c r="J277" i="1"/>
  <c r="F159" i="1"/>
  <c r="G159" i="1"/>
  <c r="I159" i="1" s="1"/>
  <c r="H159" i="1"/>
  <c r="J159" i="1"/>
  <c r="F160" i="1"/>
  <c r="G160" i="1"/>
  <c r="H160" i="1"/>
  <c r="J160" i="1"/>
  <c r="F278" i="1"/>
  <c r="G278" i="1"/>
  <c r="I278" i="1" s="1"/>
  <c r="H278" i="1"/>
  <c r="J278" i="1"/>
  <c r="F279" i="1"/>
  <c r="G279" i="1"/>
  <c r="H279" i="1"/>
  <c r="I279" i="1"/>
  <c r="J279" i="1"/>
  <c r="F161" i="1"/>
  <c r="G161" i="1"/>
  <c r="I161" i="1" s="1"/>
  <c r="H161" i="1"/>
  <c r="J161" i="1"/>
  <c r="F162" i="1"/>
  <c r="G162" i="1"/>
  <c r="H162" i="1"/>
  <c r="I162" i="1" s="1"/>
  <c r="J162" i="1"/>
  <c r="F84" i="1"/>
  <c r="G84" i="1"/>
  <c r="H84" i="1"/>
  <c r="I84" i="1"/>
  <c r="J84" i="1"/>
  <c r="F85" i="1"/>
  <c r="G85" i="1"/>
  <c r="H85" i="1"/>
  <c r="I85" i="1"/>
  <c r="J85" i="1"/>
  <c r="F45" i="1"/>
  <c r="G45" i="1"/>
  <c r="H45" i="1"/>
  <c r="I45" i="1"/>
  <c r="J45" i="1"/>
  <c r="F163" i="1"/>
  <c r="G163" i="1"/>
  <c r="I163" i="1" s="1"/>
  <c r="H163" i="1"/>
  <c r="J163" i="1"/>
  <c r="F46" i="1"/>
  <c r="G46" i="1"/>
  <c r="H46" i="1"/>
  <c r="I46" i="1" s="1"/>
  <c r="J46" i="1"/>
  <c r="F47" i="1"/>
  <c r="G47" i="1"/>
  <c r="H47" i="1"/>
  <c r="I47" i="1"/>
  <c r="J47" i="1"/>
  <c r="F48" i="1"/>
  <c r="G48" i="1"/>
  <c r="I48" i="1" s="1"/>
  <c r="H48" i="1"/>
  <c r="J48" i="1"/>
  <c r="F49" i="1"/>
  <c r="G49" i="1"/>
  <c r="H49" i="1"/>
  <c r="I49" i="1" s="1"/>
  <c r="J49" i="1"/>
  <c r="F164" i="1"/>
  <c r="G164" i="1"/>
  <c r="I164" i="1" s="1"/>
  <c r="H164" i="1"/>
  <c r="J164" i="1"/>
  <c r="F165" i="1"/>
  <c r="G165" i="1"/>
  <c r="H165" i="1"/>
  <c r="I165" i="1" s="1"/>
  <c r="J165" i="1"/>
  <c r="F166" i="1"/>
  <c r="G166" i="1"/>
  <c r="H166" i="1"/>
  <c r="I166" i="1"/>
  <c r="J166" i="1"/>
  <c r="F65" i="1"/>
  <c r="G65" i="1"/>
  <c r="I65" i="1" s="1"/>
  <c r="H65" i="1"/>
  <c r="J65" i="1"/>
  <c r="F50" i="1"/>
  <c r="G50" i="1"/>
  <c r="H50" i="1"/>
  <c r="I50" i="1" s="1"/>
  <c r="J50" i="1"/>
  <c r="F167" i="1"/>
  <c r="G167" i="1"/>
  <c r="I167" i="1" s="1"/>
  <c r="H167" i="1"/>
  <c r="J167" i="1"/>
  <c r="F51" i="1"/>
  <c r="G51" i="1"/>
  <c r="H51" i="1"/>
  <c r="J51" i="1"/>
  <c r="F52" i="1"/>
  <c r="G52" i="1"/>
  <c r="I52" i="1" s="1"/>
  <c r="H52" i="1"/>
  <c r="J52" i="1"/>
  <c r="F53" i="1"/>
  <c r="G53" i="1"/>
  <c r="I53" i="1" s="1"/>
  <c r="H53" i="1"/>
  <c r="J53" i="1"/>
  <c r="F86" i="1"/>
  <c r="G86" i="1"/>
  <c r="H86" i="1"/>
  <c r="I86" i="1" s="1"/>
  <c r="J86" i="1"/>
  <c r="F54" i="1"/>
  <c r="G54" i="1"/>
  <c r="I54" i="1" s="1"/>
  <c r="H54" i="1"/>
  <c r="J54" i="1"/>
  <c r="F55" i="1"/>
  <c r="G55" i="1"/>
  <c r="H55" i="1"/>
  <c r="J55" i="1"/>
  <c r="F280" i="1"/>
  <c r="G280" i="1"/>
  <c r="I280" i="1" s="1"/>
  <c r="H280" i="1"/>
  <c r="J280" i="1"/>
  <c r="F281" i="1"/>
  <c r="G281" i="1"/>
  <c r="I281" i="1" s="1"/>
  <c r="H281" i="1"/>
  <c r="J281" i="1"/>
  <c r="F71" i="1"/>
  <c r="G71" i="1"/>
  <c r="H71" i="1"/>
  <c r="J71" i="1"/>
  <c r="F72" i="1"/>
  <c r="G72" i="1"/>
  <c r="I72" i="1" s="1"/>
  <c r="H72" i="1"/>
  <c r="J72" i="1"/>
  <c r="F73" i="1"/>
  <c r="G73" i="1"/>
  <c r="H73" i="1"/>
  <c r="I73" i="1" s="1"/>
  <c r="J73" i="1"/>
  <c r="F74" i="1"/>
  <c r="G74" i="1"/>
  <c r="H74" i="1"/>
  <c r="J74" i="1"/>
  <c r="F66" i="1"/>
  <c r="G66" i="1"/>
  <c r="I66" i="1" s="1"/>
  <c r="H66" i="1"/>
  <c r="J66" i="1"/>
  <c r="F67" i="1"/>
  <c r="G67" i="1"/>
  <c r="H67" i="1"/>
  <c r="J67" i="1"/>
  <c r="F56" i="1"/>
  <c r="G56" i="1"/>
  <c r="I56" i="1" s="1"/>
  <c r="H56" i="1"/>
  <c r="J56" i="1"/>
  <c r="F168" i="1"/>
  <c r="G168" i="1"/>
  <c r="H168" i="1"/>
  <c r="I168" i="1"/>
  <c r="J168" i="1"/>
  <c r="F57" i="1"/>
  <c r="G57" i="1"/>
  <c r="I57" i="1" s="1"/>
  <c r="H57" i="1"/>
  <c r="J57" i="1"/>
  <c r="F169" i="1"/>
  <c r="G169" i="1"/>
  <c r="H169" i="1"/>
  <c r="I169" i="1" s="1"/>
  <c r="J169" i="1"/>
  <c r="F170" i="1"/>
  <c r="G170" i="1"/>
  <c r="H170" i="1"/>
  <c r="I170" i="1"/>
  <c r="J170" i="1"/>
  <c r="F171" i="1"/>
  <c r="G171" i="1"/>
  <c r="I171" i="1" s="1"/>
  <c r="H171" i="1"/>
  <c r="J171" i="1"/>
  <c r="F172" i="1"/>
  <c r="G172" i="1"/>
  <c r="H172" i="1"/>
  <c r="I172" i="1"/>
  <c r="J172" i="1"/>
  <c r="F58" i="1"/>
  <c r="G58" i="1"/>
  <c r="I58" i="1" s="1"/>
  <c r="H58" i="1"/>
  <c r="J58" i="1"/>
  <c r="F173" i="1"/>
  <c r="G173" i="1"/>
  <c r="H173" i="1"/>
  <c r="I173" i="1" s="1"/>
  <c r="J173" i="1"/>
  <c r="F282" i="1"/>
  <c r="G282" i="1"/>
  <c r="H282" i="1"/>
  <c r="I282" i="1"/>
  <c r="J282" i="1"/>
  <c r="F59" i="1"/>
  <c r="G59" i="1"/>
  <c r="I59" i="1" s="1"/>
  <c r="H59" i="1"/>
  <c r="J59" i="1"/>
  <c r="F174" i="1"/>
  <c r="G174" i="1"/>
  <c r="I174" i="1" s="1"/>
  <c r="H174" i="1"/>
  <c r="J174" i="1"/>
  <c r="F175" i="1"/>
  <c r="G175" i="1"/>
  <c r="I175" i="1" s="1"/>
  <c r="H175" i="1"/>
  <c r="J175" i="1"/>
  <c r="F176" i="1"/>
  <c r="G176" i="1"/>
  <c r="H176" i="1"/>
  <c r="I176" i="1" s="1"/>
  <c r="J176" i="1"/>
  <c r="F177" i="1"/>
  <c r="G177" i="1"/>
  <c r="H177" i="1"/>
  <c r="I177" i="1"/>
  <c r="J177" i="1"/>
  <c r="F60" i="1"/>
  <c r="G60" i="1"/>
  <c r="I60" i="1" s="1"/>
  <c r="H60" i="1"/>
  <c r="J60" i="1"/>
  <c r="F61" i="1"/>
  <c r="G61" i="1"/>
  <c r="I61" i="1" s="1"/>
  <c r="H61" i="1"/>
  <c r="J61" i="1"/>
  <c r="F62" i="1"/>
  <c r="G62" i="1"/>
  <c r="I62" i="1" s="1"/>
  <c r="H62" i="1"/>
  <c r="J62" i="1"/>
  <c r="F283" i="1"/>
  <c r="G283" i="1"/>
  <c r="H283" i="1"/>
  <c r="J283" i="1"/>
  <c r="F63" i="1"/>
  <c r="G63" i="1"/>
  <c r="I63" i="1" s="1"/>
  <c r="H63" i="1"/>
  <c r="J63" i="1"/>
  <c r="F284" i="1"/>
  <c r="G284" i="1"/>
  <c r="H284" i="1"/>
  <c r="J284" i="1"/>
  <c r="F285" i="1"/>
  <c r="G285" i="1"/>
  <c r="H285" i="1"/>
  <c r="I285" i="1"/>
  <c r="J285" i="1"/>
  <c r="F286" i="1"/>
  <c r="G286" i="1"/>
  <c r="I286" i="1" s="1"/>
  <c r="H286" i="1"/>
  <c r="J286" i="1"/>
  <c r="F75" i="1"/>
  <c r="G75" i="1"/>
  <c r="H75" i="1"/>
  <c r="J75" i="1"/>
  <c r="F76" i="1"/>
  <c r="G76" i="1"/>
  <c r="H76" i="1"/>
  <c r="J76" i="1"/>
  <c r="F287" i="1"/>
  <c r="G287" i="1"/>
  <c r="H287" i="1"/>
  <c r="I287" i="1" s="1"/>
  <c r="J287" i="1"/>
  <c r="F64" i="1"/>
  <c r="G64" i="1"/>
  <c r="I64" i="1" s="1"/>
  <c r="H64" i="1"/>
  <c r="J64" i="1"/>
  <c r="F288" i="1"/>
  <c r="G288" i="1"/>
  <c r="I288" i="1" s="1"/>
  <c r="H288" i="1"/>
  <c r="J288" i="1"/>
  <c r="F289" i="1"/>
  <c r="G289" i="1"/>
  <c r="H289" i="1"/>
  <c r="I289" i="1" s="1"/>
  <c r="J289" i="1"/>
  <c r="F290" i="1"/>
  <c r="G290" i="1"/>
  <c r="I290" i="1" s="1"/>
  <c r="H290" i="1"/>
  <c r="J290" i="1"/>
  <c r="J87" i="1"/>
  <c r="H87" i="1"/>
  <c r="F87" i="1"/>
  <c r="I199" i="1" l="1"/>
  <c r="H299" i="1"/>
  <c r="I250" i="1"/>
  <c r="I164" i="3"/>
  <c r="I208" i="3"/>
  <c r="H208" i="3"/>
  <c r="I65" i="2"/>
  <c r="I78" i="1"/>
  <c r="I76" i="1"/>
  <c r="I75" i="1"/>
  <c r="I74" i="1"/>
  <c r="I283" i="1"/>
  <c r="I55" i="1"/>
  <c r="I51" i="1"/>
  <c r="I39" i="1"/>
  <c r="I275" i="1"/>
  <c r="I142" i="1"/>
  <c r="I22" i="1"/>
  <c r="I77" i="1"/>
  <c r="I263" i="1"/>
  <c r="I249" i="1"/>
  <c r="I299" i="1" s="1"/>
  <c r="I245" i="1"/>
  <c r="I113" i="1"/>
  <c r="I111" i="1"/>
  <c r="I207" i="1"/>
  <c r="I13" i="1"/>
  <c r="I98" i="1"/>
  <c r="I195" i="1"/>
  <c r="I67" i="1"/>
  <c r="I71" i="1"/>
  <c r="I160" i="1"/>
  <c r="I42" i="1"/>
  <c r="I148" i="1"/>
  <c r="I28" i="1"/>
  <c r="I268" i="1"/>
  <c r="I80" i="1"/>
  <c r="I125" i="1"/>
  <c r="I252" i="1"/>
  <c r="I232" i="1"/>
  <c r="I291" i="1"/>
  <c r="I16" i="1"/>
  <c r="I208" i="1"/>
  <c r="I200" i="1"/>
  <c r="I70" i="1"/>
  <c r="I186" i="1"/>
  <c r="I182" i="1"/>
  <c r="I284" i="1"/>
  <c r="G87" i="1"/>
  <c r="I87" i="1" s="1"/>
</calcChain>
</file>

<file path=xl/sharedStrings.xml><?xml version="1.0" encoding="utf-8"?>
<sst xmlns="http://schemas.openxmlformats.org/spreadsheetml/2006/main" count="1257" uniqueCount="141">
  <si>
    <t>DATE</t>
  </si>
  <si>
    <t>Product Name</t>
  </si>
  <si>
    <t>Qty</t>
  </si>
  <si>
    <t>Per Unit Sale</t>
  </si>
  <si>
    <t>Per unit Purchase</t>
  </si>
  <si>
    <t>Per Unit Profit</t>
  </si>
  <si>
    <t>Total Sale</t>
  </si>
  <si>
    <t>Total Purhcase</t>
  </si>
  <si>
    <t>Total Profit</t>
  </si>
  <si>
    <t>Percentage</t>
  </si>
  <si>
    <t>Country</t>
  </si>
  <si>
    <t>iphone 17 pro max 256gb</t>
  </si>
  <si>
    <t>iphone 17 pro 256gb</t>
  </si>
  <si>
    <t>iphone 17 pro 512gb</t>
  </si>
  <si>
    <t>Apple TV 4k</t>
  </si>
  <si>
    <t>Meta Quest Pro 256gb</t>
  </si>
  <si>
    <t>Meta Quest 3 512gb</t>
  </si>
  <si>
    <t>Nintendo Mario Kart</t>
  </si>
  <si>
    <t>ipad pro 13 M4 256gb W+C</t>
  </si>
  <si>
    <t xml:space="preserve">ipad Air 11 M3 128gb </t>
  </si>
  <si>
    <t>ipad A16 128gb</t>
  </si>
  <si>
    <t>Watch Ultra 3 49mm</t>
  </si>
  <si>
    <t>Usa O</t>
  </si>
  <si>
    <t>ipad pro 13 M5 512gb W+C</t>
  </si>
  <si>
    <t>Airpods Pro 3</t>
  </si>
  <si>
    <t>iphone 17 pro max 2TB</t>
  </si>
  <si>
    <t>iphone Air 17 256gb</t>
  </si>
  <si>
    <t>iphone 17 256gb</t>
  </si>
  <si>
    <t>iphone 16 pro 256gb</t>
  </si>
  <si>
    <t>Usa M</t>
  </si>
  <si>
    <t>iphone 16 pro max 256gb</t>
  </si>
  <si>
    <t>Starlink HP Kit</t>
  </si>
  <si>
    <t>Dji Mavic 4 pro</t>
  </si>
  <si>
    <t>Australia</t>
  </si>
  <si>
    <t>Rayban Wayfarar</t>
  </si>
  <si>
    <t>iphone 16 pro 128gb</t>
  </si>
  <si>
    <t>iphone 16 128gb</t>
  </si>
  <si>
    <t>iphone 13 pro max 512gb</t>
  </si>
  <si>
    <t xml:space="preserve">Dubai </t>
  </si>
  <si>
    <t>iphone 16 pro max 1tb</t>
  </si>
  <si>
    <t>Karachi O</t>
  </si>
  <si>
    <t>Dji Mavic 4 pro Combo</t>
  </si>
  <si>
    <t>Dji Mini 5 pro FMC</t>
  </si>
  <si>
    <t>Watch Ultra 2 49mm</t>
  </si>
  <si>
    <t>Watch Series 11 46mm</t>
  </si>
  <si>
    <t>Watch Series 11 42mm</t>
  </si>
  <si>
    <t>Galaxy Tab S10+ 256gb</t>
  </si>
  <si>
    <t>Airpods 4</t>
  </si>
  <si>
    <t>Airpods 4 ANC</t>
  </si>
  <si>
    <t>Starlink V4</t>
  </si>
  <si>
    <t>Dji Mic 3 FMC</t>
  </si>
  <si>
    <t xml:space="preserve">Dji Mavic 4 pro </t>
  </si>
  <si>
    <t>Canon G7X Mark III</t>
  </si>
  <si>
    <t>Samsung S25 Ultra 256gb</t>
  </si>
  <si>
    <t>Samsung Z Fold 7 512gb</t>
  </si>
  <si>
    <t>ipad pro 13 M5 256gb W+C</t>
  </si>
  <si>
    <t>NewZealand</t>
  </si>
  <si>
    <t>Dji Mini 4 pro</t>
  </si>
  <si>
    <t>Dji Mic Mini</t>
  </si>
  <si>
    <t>Meta Quest 3s 256gb</t>
  </si>
  <si>
    <t>JBL Charge 6</t>
  </si>
  <si>
    <t>Dji Osmo Pocket 3 Combo</t>
  </si>
  <si>
    <t>iphone 17 pro max 512gb</t>
  </si>
  <si>
    <t>iphone 17 pro max 2tb</t>
  </si>
  <si>
    <t>Canon SX 740</t>
  </si>
  <si>
    <t>iphone 16 pro max 512gb</t>
  </si>
  <si>
    <t>iphone 14 128gb</t>
  </si>
  <si>
    <t>Ps5 pro</t>
  </si>
  <si>
    <t>iphone 17 pro max 1tb</t>
  </si>
  <si>
    <t>iphone 17 pro 1tb</t>
  </si>
  <si>
    <t>iphone 16-E 128gb</t>
  </si>
  <si>
    <t>Macbook pro M4 Max chip 16'' 36-1tb</t>
  </si>
  <si>
    <t>ipad Air 13 M3 256gb</t>
  </si>
  <si>
    <t>ipad Air 11 M3 128gb</t>
  </si>
  <si>
    <t>Karachi</t>
  </si>
  <si>
    <t xml:space="preserve">Instax Mini Evo </t>
  </si>
  <si>
    <t>Meta Quest 3s 128gb</t>
  </si>
  <si>
    <t>Rayban Glasses</t>
  </si>
  <si>
    <t>iphone 15 pro max 512gb</t>
  </si>
  <si>
    <t>Essential Flip</t>
  </si>
  <si>
    <t>Apple Watch Series 11 42mm</t>
  </si>
  <si>
    <t>Apple Watch Series 11 46mm</t>
  </si>
  <si>
    <t>Watch SE 3 40mm</t>
  </si>
  <si>
    <t>ipad pro 13 M5 1tb W+C</t>
  </si>
  <si>
    <t>Google pixel 10 pro 256gb</t>
  </si>
  <si>
    <t>Google pixel 10 pro 128gb</t>
  </si>
  <si>
    <t>Google pixel 8 pro 128gb</t>
  </si>
  <si>
    <t>Samsung Z Fold 7 256gb</t>
  </si>
  <si>
    <t>Meta Quest pro 256gb</t>
  </si>
  <si>
    <t>iphone 15 plus 128gb</t>
  </si>
  <si>
    <t xml:space="preserve">Dji Osmo Pocket 3 </t>
  </si>
  <si>
    <t>Samsung S25 Ultra 512gb</t>
  </si>
  <si>
    <t>Dji Mini 4K FMC</t>
  </si>
  <si>
    <t>Samsung S25 Plus 256gb</t>
  </si>
  <si>
    <t>Samsung S25 Edge</t>
  </si>
  <si>
    <t>Ps5 Disc</t>
  </si>
  <si>
    <t>Xbox X Series 1tb</t>
  </si>
  <si>
    <t>Meta Quest 3 elite strap</t>
  </si>
  <si>
    <t>Ps5 Controller</t>
  </si>
  <si>
    <t>iphone 15 pro max 256gb</t>
  </si>
  <si>
    <t>Newzealand</t>
  </si>
  <si>
    <t>Dubai</t>
  </si>
  <si>
    <t>Usa S</t>
  </si>
  <si>
    <t>Usa R</t>
  </si>
  <si>
    <t>ipad pro 11 M5 256gb W+C</t>
  </si>
  <si>
    <t xml:space="preserve">Usa M </t>
  </si>
  <si>
    <t>SanDisk Portable G-Drive</t>
  </si>
  <si>
    <t xml:space="preserve">San Disk 64 GB SD card </t>
  </si>
  <si>
    <t>WD-Black P10 G-Drive 4TB</t>
  </si>
  <si>
    <t>WD-Black P10 G-Drive 5TB</t>
  </si>
  <si>
    <t>Rad 700i Radar &amp; Detector</t>
  </si>
  <si>
    <t>AUSTRALIA EXPANSE</t>
  </si>
  <si>
    <t>AMOUNT</t>
  </si>
  <si>
    <t>4000 AU$ @2.3715</t>
  </si>
  <si>
    <t>5000 AU$ @2.3718 paid Megatop charges by WB</t>
  </si>
  <si>
    <t>329 AU$ @2.3718 company registration</t>
  </si>
  <si>
    <t>Van Hire 11+ Petrol 105AU$ @2.415 paid</t>
  </si>
  <si>
    <t>200AU$ @2.3623 paid Delivery Expense Bunnings</t>
  </si>
  <si>
    <t>{ 470$ @2.3715 Collection Commision Waleed</t>
  </si>
  <si>
    <t>Paid Megatop 10122.66 AU$ @2.3715</t>
  </si>
  <si>
    <t>Total Exp</t>
  </si>
  <si>
    <t>TOTAL PROFIT IN AUSTRALIA</t>
  </si>
  <si>
    <t>885824396623 Master</t>
  </si>
  <si>
    <t>886165323555 Master</t>
  </si>
  <si>
    <t>886248827028 Master</t>
  </si>
  <si>
    <t>USA EXPANSE</t>
  </si>
  <si>
    <t>500 US$ @3.67 for USA Office by Noman AMGT</t>
  </si>
  <si>
    <t>TOTAL</t>
  </si>
  <si>
    <t>TOTAL PROFIT IN USA</t>
  </si>
  <si>
    <t>60 camera commision to A.Khan 600NZ$ @2.15</t>
  </si>
  <si>
    <t>TOTAL PROFIT IN NEWZEALAND</t>
  </si>
  <si>
    <t>NEWZEALAND EXPANSE</t>
  </si>
  <si>
    <t>KHI &amp; DXB EXPANSE</t>
  </si>
  <si>
    <t>Salary Exp UAE</t>
  </si>
  <si>
    <t>Mis.exp</t>
  </si>
  <si>
    <t>Shipping &amp; Clearance</t>
  </si>
  <si>
    <t>Commision Charges</t>
  </si>
  <si>
    <t>Discount</t>
  </si>
  <si>
    <t>Karachi Office Exp</t>
  </si>
  <si>
    <t>Dubai Office Exp</t>
  </si>
  <si>
    <t>TOTAL PROFIT IN KHI &amp; DXB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</si>
</sst>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AED&quot;* #,##0.00_-;\-&quot;AED&quot;* #,##0.00_-;_-&quot;AED&quot;* &quot;-&quot;??_-;_-@_-"/>
    <numFmt numFmtId="164" formatCode="0_ ;\-0\ "/>
  </numFmts>
  <fonts count="4" x14ac:knownFonts="1"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44" fontId="1" fillId="2" borderId="1" xfId="0" applyNumberFormat="1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/>
    <xf numFmtId="10" fontId="0" fillId="0" borderId="0" xfId="0" applyNumberFormat="1"/>
    <xf numFmtId="14" fontId="0" fillId="0" borderId="1" xfId="0" applyNumberFormat="1" applyBorder="1"/>
    <xf numFmtId="0" fontId="0" fillId="0" borderId="1" xfId="0" applyBorder="1"/>
    <xf numFmtId="10" fontId="0" fillId="0" borderId="1" xfId="0" applyNumberFormat="1" applyBorder="1"/>
    <xf numFmtId="0" fontId="0" fillId="0" borderId="1" xfId="0" applyFill="1" applyBorder="1"/>
    <xf numFmtId="14" fontId="0" fillId="3" borderId="1" xfId="0" applyNumberFormat="1" applyFill="1" applyBorder="1"/>
    <xf numFmtId="0" fontId="0" fillId="3" borderId="1" xfId="0" applyFill="1" applyBorder="1"/>
    <xf numFmtId="10" fontId="0" fillId="3" borderId="1" xfId="0" applyNumberFormat="1" applyFill="1" applyBorder="1"/>
    <xf numFmtId="14" fontId="0" fillId="4" borderId="1" xfId="0" applyNumberFormat="1" applyFill="1" applyBorder="1"/>
    <xf numFmtId="0" fontId="0" fillId="4" borderId="1" xfId="0" applyFill="1" applyBorder="1"/>
    <xf numFmtId="14" fontId="0" fillId="5" borderId="1" xfId="0" applyNumberFormat="1" applyFill="1" applyBorder="1"/>
    <xf numFmtId="0" fontId="0" fillId="5" borderId="1" xfId="0" applyFill="1" applyBorder="1"/>
    <xf numFmtId="10" fontId="0" fillId="5" borderId="1" xfId="0" applyNumberFormat="1" applyFill="1" applyBorder="1"/>
    <xf numFmtId="0" fontId="0" fillId="0" borderId="1" xfId="0" applyFont="1" applyBorder="1" applyAlignment="1">
      <alignment horizontal="left"/>
    </xf>
    <xf numFmtId="0" fontId="2" fillId="0" borderId="1" xfId="0" applyFont="1" applyBorder="1"/>
    <xf numFmtId="0" fontId="0" fillId="0" borderId="2" xfId="0" applyBorder="1"/>
    <xf numFmtId="44" fontId="0" fillId="4" borderId="1" xfId="0" applyNumberFormat="1" applyFill="1" applyBorder="1"/>
    <xf numFmtId="44" fontId="0" fillId="0" borderId="1" xfId="0" applyNumberFormat="1" applyBorder="1"/>
    <xf numFmtId="44" fontId="0" fillId="3" borderId="1" xfId="0" applyNumberFormat="1" applyFill="1" applyBorder="1"/>
    <xf numFmtId="44" fontId="0" fillId="5" borderId="1" xfId="0" applyNumberFormat="1" applyFill="1" applyBorder="1"/>
    <xf numFmtId="44" fontId="0" fillId="0" borderId="0" xfId="0" applyNumberFormat="1"/>
    <xf numFmtId="44" fontId="3" fillId="0" borderId="1" xfId="0" applyNumberFormat="1" applyFont="1" applyBorder="1"/>
    <xf numFmtId="10" fontId="3" fillId="0" borderId="1" xfId="0" applyNumberFormat="1" applyFont="1" applyBorder="1"/>
    <xf numFmtId="0" fontId="0" fillId="6" borderId="1" xfId="0" applyFill="1" applyBorder="1"/>
    <xf numFmtId="44" fontId="0" fillId="6" borderId="1" xfId="0" applyNumberFormat="1" applyFill="1" applyBorder="1"/>
    <xf numFmtId="0" fontId="0" fillId="7" borderId="1" xfId="0" applyFill="1" applyBorder="1"/>
    <xf numFmtId="0" fontId="3" fillId="7" borderId="1" xfId="0" applyFont="1" applyFill="1" applyBorder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/>
    <xf numFmtId="1" fontId="0" fillId="7" borderId="1" xfId="0" applyNumberFormat="1" applyFill="1" applyBorder="1" applyAlignment="1">
      <alignment horizontal="center" vertical="center"/>
    </xf>
    <xf numFmtId="1" fontId="3" fillId="7" borderId="1" xfId="0" applyNumberFormat="1" applyFont="1" applyFill="1" applyBorder="1"/>
    <xf numFmtId="44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B8B30-DCE2-4AF5-9B7D-08ECADD69F59}">
  <dimension ref="A1:K299"/>
  <sheetViews>
    <sheetView topLeftCell="A36" workbookViewId="0">
      <selection activeCell="B100" sqref="B100"/>
    </sheetView>
  </sheetViews>
  <sheetFormatPr defaultRowHeight="15" x14ac:dyDescent="0.25"/>
  <cols>
    <col min="1" max="1" width="11.7109375" customWidth="1"/>
    <col min="2" max="2" width="31.7109375" customWidth="1"/>
    <col min="3" max="3" width="13.42578125" customWidth="1"/>
    <col min="4" max="4" width="16.7109375" customWidth="1"/>
    <col min="5" max="5" width="22.7109375" customWidth="1"/>
    <col min="6" max="6" width="17.5703125" customWidth="1"/>
    <col min="7" max="7" width="20.85546875" style="26" customWidth="1"/>
    <col min="8" max="8" width="16.7109375" style="26" customWidth="1"/>
    <col min="9" max="9" width="17.7109375" style="26" customWidth="1"/>
    <col min="10" max="10" width="17" style="6" customWidth="1"/>
    <col min="11" max="11" width="13.28515625" customWidth="1"/>
  </cols>
  <sheetData>
    <row r="1" spans="1:11" ht="18.75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10</v>
      </c>
    </row>
    <row r="2" spans="1:11" x14ac:dyDescent="0.25">
      <c r="A2" s="7">
        <v>45965</v>
      </c>
      <c r="B2" s="10" t="s">
        <v>51</v>
      </c>
      <c r="C2" s="15">
        <v>1</v>
      </c>
      <c r="D2" s="15">
        <v>6300</v>
      </c>
      <c r="E2" s="8">
        <v>5346.67</v>
      </c>
      <c r="F2" s="8">
        <f t="shared" ref="F2:F65" si="0">D2-E2</f>
        <v>953.32999999999993</v>
      </c>
      <c r="G2" s="22">
        <f t="shared" ref="G2:G65" si="1">D2*C2</f>
        <v>6300</v>
      </c>
      <c r="H2" s="23">
        <f t="shared" ref="H2:H65" si="2">E2*C2</f>
        <v>5346.67</v>
      </c>
      <c r="I2" s="23">
        <f t="shared" ref="I2:I65" si="3">G2-H2</f>
        <v>953.32999999999993</v>
      </c>
      <c r="J2" s="9">
        <f t="shared" ref="J2:J65" si="4">(D2-E2)/E2</f>
        <v>0.17830350479831369</v>
      </c>
      <c r="K2" s="8" t="s">
        <v>33</v>
      </c>
    </row>
    <row r="3" spans="1:11" x14ac:dyDescent="0.25">
      <c r="A3" s="7">
        <v>45966</v>
      </c>
      <c r="B3" s="10" t="s">
        <v>31</v>
      </c>
      <c r="C3" s="15">
        <v>1</v>
      </c>
      <c r="D3" s="15">
        <v>5000</v>
      </c>
      <c r="E3" s="10">
        <v>3340.73</v>
      </c>
      <c r="F3" s="8">
        <f t="shared" si="0"/>
        <v>1659.27</v>
      </c>
      <c r="G3" s="22">
        <f t="shared" si="1"/>
        <v>5000</v>
      </c>
      <c r="H3" s="23">
        <f t="shared" si="2"/>
        <v>3340.73</v>
      </c>
      <c r="I3" s="23">
        <f t="shared" si="3"/>
        <v>1659.27</v>
      </c>
      <c r="J3" s="9">
        <f t="shared" si="4"/>
        <v>0.49667886958838336</v>
      </c>
      <c r="K3" s="8" t="s">
        <v>33</v>
      </c>
    </row>
    <row r="4" spans="1:11" x14ac:dyDescent="0.25">
      <c r="A4" s="7">
        <v>45966</v>
      </c>
      <c r="B4" s="10" t="s">
        <v>51</v>
      </c>
      <c r="C4" s="15">
        <v>1</v>
      </c>
      <c r="D4" s="15">
        <v>6300</v>
      </c>
      <c r="E4" s="8">
        <v>5346.67</v>
      </c>
      <c r="F4" s="8">
        <f t="shared" si="0"/>
        <v>953.32999999999993</v>
      </c>
      <c r="G4" s="22">
        <f t="shared" si="1"/>
        <v>6300</v>
      </c>
      <c r="H4" s="23">
        <f t="shared" si="2"/>
        <v>5346.67</v>
      </c>
      <c r="I4" s="23">
        <f t="shared" si="3"/>
        <v>953.32999999999993</v>
      </c>
      <c r="J4" s="9">
        <f t="shared" si="4"/>
        <v>0.17830350479831369</v>
      </c>
      <c r="K4" s="8" t="s">
        <v>33</v>
      </c>
    </row>
    <row r="5" spans="1:11" x14ac:dyDescent="0.25">
      <c r="A5" s="11">
        <v>45967</v>
      </c>
      <c r="B5" s="12" t="s">
        <v>77</v>
      </c>
      <c r="C5" s="12">
        <v>6</v>
      </c>
      <c r="D5" s="12">
        <v>992</v>
      </c>
      <c r="E5" s="12">
        <v>1120.5999999999999</v>
      </c>
      <c r="F5" s="12">
        <f t="shared" si="0"/>
        <v>-128.59999999999991</v>
      </c>
      <c r="G5" s="24">
        <f t="shared" si="1"/>
        <v>5952</v>
      </c>
      <c r="H5" s="24">
        <f t="shared" si="2"/>
        <v>6723.5999999999995</v>
      </c>
      <c r="I5" s="24">
        <f t="shared" si="3"/>
        <v>-771.59999999999945</v>
      </c>
      <c r="J5" s="13">
        <f t="shared" si="4"/>
        <v>-0.11475995002677131</v>
      </c>
      <c r="K5" s="12" t="s">
        <v>33</v>
      </c>
    </row>
    <row r="6" spans="1:11" x14ac:dyDescent="0.25">
      <c r="A6" s="11">
        <v>45967</v>
      </c>
      <c r="B6" s="12" t="s">
        <v>77</v>
      </c>
      <c r="C6" s="12">
        <v>2</v>
      </c>
      <c r="D6" s="12">
        <v>1040</v>
      </c>
      <c r="E6" s="12">
        <v>1120.5999999999999</v>
      </c>
      <c r="F6" s="12">
        <f t="shared" si="0"/>
        <v>-80.599999999999909</v>
      </c>
      <c r="G6" s="24">
        <f t="shared" si="1"/>
        <v>2080</v>
      </c>
      <c r="H6" s="24">
        <f t="shared" si="2"/>
        <v>2241.1999999999998</v>
      </c>
      <c r="I6" s="24">
        <f t="shared" si="3"/>
        <v>-161.19999999999982</v>
      </c>
      <c r="J6" s="13">
        <f t="shared" si="4"/>
        <v>-7.1925754060324754E-2</v>
      </c>
      <c r="K6" s="12" t="s">
        <v>33</v>
      </c>
    </row>
    <row r="7" spans="1:11" x14ac:dyDescent="0.25">
      <c r="A7" s="7">
        <v>45967</v>
      </c>
      <c r="B7" s="10" t="s">
        <v>77</v>
      </c>
      <c r="C7" s="15">
        <v>1</v>
      </c>
      <c r="D7" s="15">
        <v>1280</v>
      </c>
      <c r="E7" s="8">
        <v>1120.5999999999999</v>
      </c>
      <c r="F7" s="8">
        <f t="shared" si="0"/>
        <v>159.40000000000009</v>
      </c>
      <c r="G7" s="22">
        <f t="shared" si="1"/>
        <v>1280</v>
      </c>
      <c r="H7" s="23">
        <f t="shared" si="2"/>
        <v>1120.5999999999999</v>
      </c>
      <c r="I7" s="23">
        <f t="shared" si="3"/>
        <v>159.40000000000009</v>
      </c>
      <c r="J7" s="9">
        <f t="shared" si="4"/>
        <v>0.14224522577190801</v>
      </c>
      <c r="K7" s="8" t="s">
        <v>33</v>
      </c>
    </row>
    <row r="8" spans="1:11" x14ac:dyDescent="0.25">
      <c r="A8" s="7">
        <v>45967</v>
      </c>
      <c r="B8" s="10" t="s">
        <v>41</v>
      </c>
      <c r="C8" s="15">
        <v>2</v>
      </c>
      <c r="D8" s="15">
        <v>8275</v>
      </c>
      <c r="E8" s="8">
        <v>7809.57</v>
      </c>
      <c r="F8" s="8">
        <f t="shared" si="0"/>
        <v>465.43000000000029</v>
      </c>
      <c r="G8" s="22">
        <f t="shared" si="1"/>
        <v>16550</v>
      </c>
      <c r="H8" s="23">
        <f t="shared" si="2"/>
        <v>15619.14</v>
      </c>
      <c r="I8" s="23">
        <f t="shared" si="3"/>
        <v>930.86000000000058</v>
      </c>
      <c r="J8" s="9">
        <f t="shared" si="4"/>
        <v>5.9597391405672821E-2</v>
      </c>
      <c r="K8" s="8" t="s">
        <v>33</v>
      </c>
    </row>
    <row r="9" spans="1:11" x14ac:dyDescent="0.25">
      <c r="A9" s="7">
        <v>45967</v>
      </c>
      <c r="B9" s="10" t="s">
        <v>42</v>
      </c>
      <c r="C9" s="15">
        <v>4</v>
      </c>
      <c r="D9" s="15">
        <v>3525</v>
      </c>
      <c r="E9" s="8">
        <v>3005.61</v>
      </c>
      <c r="F9" s="8">
        <f t="shared" si="0"/>
        <v>519.38999999999987</v>
      </c>
      <c r="G9" s="22">
        <f t="shared" si="1"/>
        <v>14100</v>
      </c>
      <c r="H9" s="23">
        <f t="shared" si="2"/>
        <v>12022.44</v>
      </c>
      <c r="I9" s="23">
        <f t="shared" si="3"/>
        <v>2077.5599999999995</v>
      </c>
      <c r="J9" s="9">
        <f t="shared" si="4"/>
        <v>0.17280685118827788</v>
      </c>
      <c r="K9" s="8" t="s">
        <v>33</v>
      </c>
    </row>
    <row r="10" spans="1:11" x14ac:dyDescent="0.25">
      <c r="A10" s="7">
        <v>45968</v>
      </c>
      <c r="B10" s="10" t="s">
        <v>50</v>
      </c>
      <c r="C10" s="8">
        <v>5</v>
      </c>
      <c r="D10" s="8">
        <v>1025</v>
      </c>
      <c r="E10" s="8">
        <v>855.7</v>
      </c>
      <c r="F10" s="8">
        <f t="shared" si="0"/>
        <v>169.29999999999995</v>
      </c>
      <c r="G10" s="22">
        <f t="shared" si="1"/>
        <v>5125</v>
      </c>
      <c r="H10" s="23">
        <f t="shared" si="2"/>
        <v>4278.5</v>
      </c>
      <c r="I10" s="23">
        <f t="shared" si="3"/>
        <v>846.5</v>
      </c>
      <c r="J10" s="9">
        <f t="shared" si="4"/>
        <v>0.19784971368470253</v>
      </c>
      <c r="K10" s="8" t="s">
        <v>33</v>
      </c>
    </row>
    <row r="11" spans="1:11" x14ac:dyDescent="0.25">
      <c r="A11" s="7">
        <v>45968</v>
      </c>
      <c r="B11" s="10" t="s">
        <v>50</v>
      </c>
      <c r="C11" s="15">
        <v>5</v>
      </c>
      <c r="D11" s="15">
        <v>1025</v>
      </c>
      <c r="E11" s="8">
        <v>855.7</v>
      </c>
      <c r="F11" s="8">
        <f t="shared" si="0"/>
        <v>169.29999999999995</v>
      </c>
      <c r="G11" s="22">
        <f t="shared" si="1"/>
        <v>5125</v>
      </c>
      <c r="H11" s="23">
        <f t="shared" si="2"/>
        <v>4278.5</v>
      </c>
      <c r="I11" s="23">
        <f t="shared" si="3"/>
        <v>846.5</v>
      </c>
      <c r="J11" s="9">
        <f t="shared" si="4"/>
        <v>0.19784971368470253</v>
      </c>
      <c r="K11" s="8" t="s">
        <v>33</v>
      </c>
    </row>
    <row r="12" spans="1:11" x14ac:dyDescent="0.25">
      <c r="A12" s="7">
        <v>45968</v>
      </c>
      <c r="B12" s="10" t="s">
        <v>61</v>
      </c>
      <c r="C12" s="15">
        <v>5</v>
      </c>
      <c r="D12" s="15">
        <v>1800</v>
      </c>
      <c r="E12" s="8">
        <v>1753.12</v>
      </c>
      <c r="F12" s="8">
        <f t="shared" si="0"/>
        <v>46.880000000000109</v>
      </c>
      <c r="G12" s="22">
        <f t="shared" si="1"/>
        <v>9000</v>
      </c>
      <c r="H12" s="23">
        <f t="shared" si="2"/>
        <v>8765.5999999999985</v>
      </c>
      <c r="I12" s="23">
        <f t="shared" si="3"/>
        <v>234.40000000000146</v>
      </c>
      <c r="J12" s="9">
        <f t="shared" si="4"/>
        <v>2.6740896230720151E-2</v>
      </c>
      <c r="K12" s="8" t="s">
        <v>33</v>
      </c>
    </row>
    <row r="13" spans="1:11" x14ac:dyDescent="0.25">
      <c r="A13" s="7">
        <v>45968</v>
      </c>
      <c r="B13" s="10" t="s">
        <v>42</v>
      </c>
      <c r="C13" s="15">
        <v>7</v>
      </c>
      <c r="D13" s="15">
        <v>3525</v>
      </c>
      <c r="E13" s="8">
        <v>3005.61</v>
      </c>
      <c r="F13" s="8">
        <f t="shared" si="0"/>
        <v>519.38999999999987</v>
      </c>
      <c r="G13" s="22">
        <f t="shared" si="1"/>
        <v>24675</v>
      </c>
      <c r="H13" s="23">
        <f t="shared" si="2"/>
        <v>21039.27</v>
      </c>
      <c r="I13" s="23">
        <f t="shared" si="3"/>
        <v>3635.7299999999996</v>
      </c>
      <c r="J13" s="9">
        <f t="shared" si="4"/>
        <v>0.17280685118827788</v>
      </c>
      <c r="K13" s="8" t="s">
        <v>33</v>
      </c>
    </row>
    <row r="14" spans="1:11" x14ac:dyDescent="0.25">
      <c r="A14" s="7">
        <v>45968</v>
      </c>
      <c r="B14" s="10" t="s">
        <v>60</v>
      </c>
      <c r="C14" s="15">
        <v>24</v>
      </c>
      <c r="D14" s="15">
        <v>340</v>
      </c>
      <c r="E14" s="8">
        <v>313.05</v>
      </c>
      <c r="F14" s="8">
        <f t="shared" si="0"/>
        <v>26.949999999999989</v>
      </c>
      <c r="G14" s="22">
        <f t="shared" si="1"/>
        <v>8160</v>
      </c>
      <c r="H14" s="23">
        <f t="shared" si="2"/>
        <v>7513.2000000000007</v>
      </c>
      <c r="I14" s="23">
        <f t="shared" si="3"/>
        <v>646.79999999999927</v>
      </c>
      <c r="J14" s="9">
        <f t="shared" si="4"/>
        <v>8.6088484267688822E-2</v>
      </c>
      <c r="K14" s="8" t="s">
        <v>33</v>
      </c>
    </row>
    <row r="15" spans="1:11" x14ac:dyDescent="0.25">
      <c r="A15" s="7">
        <v>45968</v>
      </c>
      <c r="B15" s="10" t="s">
        <v>79</v>
      </c>
      <c r="C15" s="15">
        <v>2</v>
      </c>
      <c r="D15" s="15">
        <v>165</v>
      </c>
      <c r="E15" s="8">
        <v>142.04</v>
      </c>
      <c r="F15" s="8">
        <f t="shared" si="0"/>
        <v>22.960000000000008</v>
      </c>
      <c r="G15" s="22">
        <f t="shared" si="1"/>
        <v>330</v>
      </c>
      <c r="H15" s="23">
        <f t="shared" si="2"/>
        <v>284.08</v>
      </c>
      <c r="I15" s="23">
        <f t="shared" si="3"/>
        <v>45.920000000000016</v>
      </c>
      <c r="J15" s="9">
        <f t="shared" si="4"/>
        <v>0.16164460715291473</v>
      </c>
      <c r="K15" s="8" t="s">
        <v>33</v>
      </c>
    </row>
    <row r="16" spans="1:11" x14ac:dyDescent="0.25">
      <c r="A16" s="7">
        <v>45969</v>
      </c>
      <c r="B16" s="10" t="s">
        <v>42</v>
      </c>
      <c r="C16" s="8">
        <v>1</v>
      </c>
      <c r="D16" s="15">
        <v>3575</v>
      </c>
      <c r="E16" s="8">
        <v>3005.61</v>
      </c>
      <c r="F16" s="8">
        <f t="shared" si="0"/>
        <v>569.38999999999987</v>
      </c>
      <c r="G16" s="22">
        <f t="shared" si="1"/>
        <v>3575</v>
      </c>
      <c r="H16" s="23">
        <f t="shared" si="2"/>
        <v>3005.61</v>
      </c>
      <c r="I16" s="23">
        <f t="shared" si="3"/>
        <v>569.38999999999987</v>
      </c>
      <c r="J16" s="9">
        <f t="shared" si="4"/>
        <v>0.18944240936116125</v>
      </c>
      <c r="K16" s="8" t="s">
        <v>33</v>
      </c>
    </row>
    <row r="17" spans="1:11" x14ac:dyDescent="0.25">
      <c r="A17" s="7">
        <v>45976</v>
      </c>
      <c r="B17" s="10" t="s">
        <v>31</v>
      </c>
      <c r="C17" s="10">
        <v>2</v>
      </c>
      <c r="D17" s="10">
        <v>4950</v>
      </c>
      <c r="E17" s="10">
        <v>3340.73</v>
      </c>
      <c r="F17" s="8">
        <f t="shared" si="0"/>
        <v>1609.27</v>
      </c>
      <c r="G17" s="22">
        <f t="shared" si="1"/>
        <v>9900</v>
      </c>
      <c r="H17" s="23">
        <f t="shared" si="2"/>
        <v>6681.46</v>
      </c>
      <c r="I17" s="23">
        <f t="shared" si="3"/>
        <v>3218.54</v>
      </c>
      <c r="J17" s="9">
        <f t="shared" si="4"/>
        <v>0.48171208089249956</v>
      </c>
      <c r="K17" s="8" t="s">
        <v>33</v>
      </c>
    </row>
    <row r="18" spans="1:11" x14ac:dyDescent="0.25">
      <c r="A18" s="7">
        <v>45976</v>
      </c>
      <c r="B18" s="10" t="s">
        <v>32</v>
      </c>
      <c r="C18" s="10">
        <v>1</v>
      </c>
      <c r="D18" s="10">
        <v>6275</v>
      </c>
      <c r="E18" s="10">
        <v>5426.15</v>
      </c>
      <c r="F18" s="8">
        <f t="shared" si="0"/>
        <v>848.85000000000036</v>
      </c>
      <c r="G18" s="22">
        <f t="shared" si="1"/>
        <v>6275</v>
      </c>
      <c r="H18" s="23">
        <f t="shared" si="2"/>
        <v>5426.15</v>
      </c>
      <c r="I18" s="23">
        <f t="shared" si="3"/>
        <v>848.85000000000036</v>
      </c>
      <c r="J18" s="9">
        <f t="shared" si="4"/>
        <v>0.15643688434709702</v>
      </c>
      <c r="K18" s="10" t="s">
        <v>33</v>
      </c>
    </row>
    <row r="19" spans="1:11" x14ac:dyDescent="0.25">
      <c r="A19" s="7">
        <v>45980</v>
      </c>
      <c r="B19" s="10" t="s">
        <v>41</v>
      </c>
      <c r="C19" s="10">
        <v>2</v>
      </c>
      <c r="D19" s="15">
        <v>8250</v>
      </c>
      <c r="E19" s="15">
        <v>7809.57</v>
      </c>
      <c r="F19" s="8">
        <f t="shared" si="0"/>
        <v>440.43000000000029</v>
      </c>
      <c r="G19" s="22">
        <f t="shared" si="1"/>
        <v>16500</v>
      </c>
      <c r="H19" s="23">
        <f t="shared" si="2"/>
        <v>15619.14</v>
      </c>
      <c r="I19" s="23">
        <f t="shared" si="3"/>
        <v>880.86000000000058</v>
      </c>
      <c r="J19" s="9">
        <f t="shared" si="4"/>
        <v>5.6396190827407953E-2</v>
      </c>
      <c r="K19" s="8" t="s">
        <v>33</v>
      </c>
    </row>
    <row r="20" spans="1:11" x14ac:dyDescent="0.25">
      <c r="A20" s="7">
        <v>45980</v>
      </c>
      <c r="B20" s="10" t="s">
        <v>42</v>
      </c>
      <c r="C20" s="10">
        <v>1</v>
      </c>
      <c r="D20" s="15">
        <v>3540</v>
      </c>
      <c r="E20" s="15">
        <v>3005.61</v>
      </c>
      <c r="F20" s="8">
        <f t="shared" si="0"/>
        <v>534.38999999999987</v>
      </c>
      <c r="G20" s="22">
        <f t="shared" si="1"/>
        <v>3540</v>
      </c>
      <c r="H20" s="23">
        <f t="shared" si="2"/>
        <v>3005.61</v>
      </c>
      <c r="I20" s="23">
        <f t="shared" si="3"/>
        <v>534.38999999999987</v>
      </c>
      <c r="J20" s="9">
        <f t="shared" si="4"/>
        <v>0.17779751864014287</v>
      </c>
      <c r="K20" s="8" t="s">
        <v>33</v>
      </c>
    </row>
    <row r="21" spans="1:11" x14ac:dyDescent="0.25">
      <c r="A21" s="7">
        <v>45980</v>
      </c>
      <c r="B21" s="10" t="s">
        <v>41</v>
      </c>
      <c r="C21" s="10">
        <v>1</v>
      </c>
      <c r="D21" s="15">
        <v>8250</v>
      </c>
      <c r="E21" s="8">
        <v>7809.57</v>
      </c>
      <c r="F21" s="8">
        <f t="shared" si="0"/>
        <v>440.43000000000029</v>
      </c>
      <c r="G21" s="22">
        <f t="shared" si="1"/>
        <v>8250</v>
      </c>
      <c r="H21" s="23">
        <f t="shared" si="2"/>
        <v>7809.57</v>
      </c>
      <c r="I21" s="23">
        <f t="shared" si="3"/>
        <v>440.43000000000029</v>
      </c>
      <c r="J21" s="9">
        <f t="shared" si="4"/>
        <v>5.6396190827407953E-2</v>
      </c>
      <c r="K21" s="8" t="s">
        <v>33</v>
      </c>
    </row>
    <row r="22" spans="1:11" x14ac:dyDescent="0.25">
      <c r="A22" s="14">
        <v>45981</v>
      </c>
      <c r="B22" s="15" t="s">
        <v>49</v>
      </c>
      <c r="C22" s="15">
        <v>6</v>
      </c>
      <c r="D22" s="15">
        <v>1100</v>
      </c>
      <c r="E22" s="15">
        <v>943.4</v>
      </c>
      <c r="F22" s="8">
        <f t="shared" si="0"/>
        <v>156.60000000000002</v>
      </c>
      <c r="G22" s="22">
        <f t="shared" si="1"/>
        <v>6600</v>
      </c>
      <c r="H22" s="23">
        <f t="shared" si="2"/>
        <v>5660.4</v>
      </c>
      <c r="I22" s="23">
        <f t="shared" si="3"/>
        <v>939.60000000000036</v>
      </c>
      <c r="J22" s="9">
        <f t="shared" si="4"/>
        <v>0.16599533601865596</v>
      </c>
      <c r="K22" s="15" t="s">
        <v>33</v>
      </c>
    </row>
    <row r="23" spans="1:11" x14ac:dyDescent="0.25">
      <c r="A23" s="14">
        <v>45981</v>
      </c>
      <c r="B23" s="15" t="s">
        <v>49</v>
      </c>
      <c r="C23" s="15">
        <v>14</v>
      </c>
      <c r="D23" s="15">
        <v>1100</v>
      </c>
      <c r="E23" s="15">
        <v>571.97</v>
      </c>
      <c r="F23" s="8">
        <f t="shared" si="0"/>
        <v>528.03</v>
      </c>
      <c r="G23" s="22">
        <f t="shared" si="1"/>
        <v>15400</v>
      </c>
      <c r="H23" s="23">
        <f t="shared" si="2"/>
        <v>8007.58</v>
      </c>
      <c r="I23" s="23">
        <f t="shared" si="3"/>
        <v>7392.42</v>
      </c>
      <c r="J23" s="9">
        <f t="shared" si="4"/>
        <v>0.9231777890448799</v>
      </c>
      <c r="K23" s="15" t="s">
        <v>33</v>
      </c>
    </row>
    <row r="24" spans="1:11" x14ac:dyDescent="0.25">
      <c r="A24" s="14">
        <v>45981</v>
      </c>
      <c r="B24" s="15" t="s">
        <v>49</v>
      </c>
      <c r="C24" s="15">
        <v>1</v>
      </c>
      <c r="D24" s="15">
        <v>1100</v>
      </c>
      <c r="E24" s="15">
        <v>943.4</v>
      </c>
      <c r="F24" s="8">
        <f t="shared" si="0"/>
        <v>156.60000000000002</v>
      </c>
      <c r="G24" s="22">
        <f t="shared" si="1"/>
        <v>1100</v>
      </c>
      <c r="H24" s="23">
        <f t="shared" si="2"/>
        <v>943.4</v>
      </c>
      <c r="I24" s="23">
        <f t="shared" si="3"/>
        <v>156.60000000000002</v>
      </c>
      <c r="J24" s="9">
        <f t="shared" si="4"/>
        <v>0.16599533601865596</v>
      </c>
      <c r="K24" s="15" t="s">
        <v>33</v>
      </c>
    </row>
    <row r="25" spans="1:11" x14ac:dyDescent="0.25">
      <c r="A25" s="14">
        <v>45981</v>
      </c>
      <c r="B25" s="15" t="s">
        <v>42</v>
      </c>
      <c r="C25" s="15">
        <v>2</v>
      </c>
      <c r="D25" s="15">
        <v>3540</v>
      </c>
      <c r="E25" s="15">
        <v>2955.24</v>
      </c>
      <c r="F25" s="8">
        <f t="shared" si="0"/>
        <v>584.76000000000022</v>
      </c>
      <c r="G25" s="22">
        <f t="shared" si="1"/>
        <v>7080</v>
      </c>
      <c r="H25" s="23">
        <f t="shared" si="2"/>
        <v>5910.48</v>
      </c>
      <c r="I25" s="23">
        <f t="shared" si="3"/>
        <v>1169.5200000000004</v>
      </c>
      <c r="J25" s="9">
        <f t="shared" si="4"/>
        <v>0.19787225403012962</v>
      </c>
      <c r="K25" s="15" t="s">
        <v>33</v>
      </c>
    </row>
    <row r="26" spans="1:11" x14ac:dyDescent="0.25">
      <c r="A26" s="14">
        <v>45981</v>
      </c>
      <c r="B26" s="15" t="s">
        <v>49</v>
      </c>
      <c r="C26" s="15">
        <v>15</v>
      </c>
      <c r="D26" s="15">
        <v>1100</v>
      </c>
      <c r="E26" s="15">
        <v>943.4</v>
      </c>
      <c r="F26" s="8">
        <f t="shared" si="0"/>
        <v>156.60000000000002</v>
      </c>
      <c r="G26" s="22">
        <f t="shared" si="1"/>
        <v>16500</v>
      </c>
      <c r="H26" s="23">
        <f t="shared" si="2"/>
        <v>14151</v>
      </c>
      <c r="I26" s="23">
        <f t="shared" si="3"/>
        <v>2349</v>
      </c>
      <c r="J26" s="9">
        <f t="shared" si="4"/>
        <v>0.16599533601865596</v>
      </c>
      <c r="K26" s="15" t="s">
        <v>33</v>
      </c>
    </row>
    <row r="27" spans="1:11" x14ac:dyDescent="0.25">
      <c r="A27" s="14">
        <v>45982</v>
      </c>
      <c r="B27" s="15" t="s">
        <v>50</v>
      </c>
      <c r="C27" s="15">
        <v>3</v>
      </c>
      <c r="D27" s="15">
        <v>1000</v>
      </c>
      <c r="E27" s="15">
        <v>852.62</v>
      </c>
      <c r="F27" s="8">
        <f t="shared" si="0"/>
        <v>147.38</v>
      </c>
      <c r="G27" s="22">
        <f t="shared" si="1"/>
        <v>3000</v>
      </c>
      <c r="H27" s="23">
        <f t="shared" si="2"/>
        <v>2557.86</v>
      </c>
      <c r="I27" s="23">
        <f t="shared" si="3"/>
        <v>442.13999999999987</v>
      </c>
      <c r="J27" s="9">
        <f t="shared" si="4"/>
        <v>0.17285543383922497</v>
      </c>
      <c r="K27" s="15" t="s">
        <v>33</v>
      </c>
    </row>
    <row r="28" spans="1:11" x14ac:dyDescent="0.25">
      <c r="A28" s="14">
        <v>45982</v>
      </c>
      <c r="B28" s="15" t="s">
        <v>50</v>
      </c>
      <c r="C28" s="15">
        <v>20</v>
      </c>
      <c r="D28" s="15">
        <v>995</v>
      </c>
      <c r="E28" s="15">
        <v>852.62</v>
      </c>
      <c r="F28" s="8">
        <f t="shared" si="0"/>
        <v>142.38</v>
      </c>
      <c r="G28" s="22">
        <f t="shared" si="1"/>
        <v>19900</v>
      </c>
      <c r="H28" s="23">
        <f t="shared" si="2"/>
        <v>17052.400000000001</v>
      </c>
      <c r="I28" s="23">
        <f t="shared" si="3"/>
        <v>2847.5999999999985</v>
      </c>
      <c r="J28" s="9">
        <f t="shared" si="4"/>
        <v>0.16699115667002884</v>
      </c>
      <c r="K28" s="15" t="s">
        <v>33</v>
      </c>
    </row>
    <row r="29" spans="1:11" x14ac:dyDescent="0.25">
      <c r="A29" s="14">
        <v>45983</v>
      </c>
      <c r="B29" s="15" t="s">
        <v>50</v>
      </c>
      <c r="C29" s="15">
        <v>5</v>
      </c>
      <c r="D29" s="15">
        <v>1000</v>
      </c>
      <c r="E29" s="15">
        <v>852.62</v>
      </c>
      <c r="F29" s="8">
        <f t="shared" si="0"/>
        <v>147.38</v>
      </c>
      <c r="G29" s="22">
        <f t="shared" si="1"/>
        <v>5000</v>
      </c>
      <c r="H29" s="23">
        <f t="shared" si="2"/>
        <v>4263.1000000000004</v>
      </c>
      <c r="I29" s="23">
        <f t="shared" si="3"/>
        <v>736.89999999999964</v>
      </c>
      <c r="J29" s="9">
        <f t="shared" si="4"/>
        <v>0.17285543383922497</v>
      </c>
      <c r="K29" s="15" t="s">
        <v>33</v>
      </c>
    </row>
    <row r="30" spans="1:11" x14ac:dyDescent="0.25">
      <c r="A30" s="14">
        <v>45983</v>
      </c>
      <c r="B30" s="15" t="s">
        <v>42</v>
      </c>
      <c r="C30" s="15">
        <v>1</v>
      </c>
      <c r="D30" s="15">
        <v>3540</v>
      </c>
      <c r="E30" s="15">
        <v>2955.24</v>
      </c>
      <c r="F30" s="8">
        <f t="shared" si="0"/>
        <v>584.76000000000022</v>
      </c>
      <c r="G30" s="22">
        <f t="shared" si="1"/>
        <v>3540</v>
      </c>
      <c r="H30" s="23">
        <f t="shared" si="2"/>
        <v>2955.24</v>
      </c>
      <c r="I30" s="23">
        <f t="shared" si="3"/>
        <v>584.76000000000022</v>
      </c>
      <c r="J30" s="9">
        <f t="shared" si="4"/>
        <v>0.19787225403012962</v>
      </c>
      <c r="K30" s="15" t="s">
        <v>33</v>
      </c>
    </row>
    <row r="31" spans="1:11" x14ac:dyDescent="0.25">
      <c r="A31" s="14">
        <v>45983</v>
      </c>
      <c r="B31" s="15" t="s">
        <v>51</v>
      </c>
      <c r="C31" s="15">
        <v>1</v>
      </c>
      <c r="D31" s="15">
        <v>6250</v>
      </c>
      <c r="E31" s="15">
        <v>5505.71</v>
      </c>
      <c r="F31" s="8">
        <f t="shared" si="0"/>
        <v>744.29</v>
      </c>
      <c r="G31" s="22">
        <f t="shared" si="1"/>
        <v>6250</v>
      </c>
      <c r="H31" s="23">
        <f t="shared" si="2"/>
        <v>5505.71</v>
      </c>
      <c r="I31" s="23">
        <f t="shared" si="3"/>
        <v>744.29</v>
      </c>
      <c r="J31" s="9">
        <f t="shared" si="4"/>
        <v>0.13518510782442228</v>
      </c>
      <c r="K31" s="8" t="s">
        <v>33</v>
      </c>
    </row>
    <row r="32" spans="1:11" x14ac:dyDescent="0.25">
      <c r="A32" s="14">
        <v>45983</v>
      </c>
      <c r="B32" s="10" t="s">
        <v>42</v>
      </c>
      <c r="C32" s="15">
        <v>1</v>
      </c>
      <c r="D32" s="15">
        <v>3540</v>
      </c>
      <c r="E32" s="10">
        <v>2955.24</v>
      </c>
      <c r="F32" s="8">
        <f t="shared" si="0"/>
        <v>584.76000000000022</v>
      </c>
      <c r="G32" s="22">
        <f t="shared" si="1"/>
        <v>3540</v>
      </c>
      <c r="H32" s="23">
        <f t="shared" si="2"/>
        <v>2955.24</v>
      </c>
      <c r="I32" s="23">
        <f t="shared" si="3"/>
        <v>584.76000000000022</v>
      </c>
      <c r="J32" s="9">
        <f t="shared" si="4"/>
        <v>0.19787225403012962</v>
      </c>
      <c r="K32" s="8" t="s">
        <v>33</v>
      </c>
    </row>
    <row r="33" spans="1:11" x14ac:dyDescent="0.25">
      <c r="A33" s="14">
        <v>45983</v>
      </c>
      <c r="B33" s="8" t="s">
        <v>11</v>
      </c>
      <c r="C33" s="15">
        <v>23</v>
      </c>
      <c r="D33" s="15">
        <v>5080</v>
      </c>
      <c r="E33" s="15">
        <v>4432.8900000000003</v>
      </c>
      <c r="F33" s="8">
        <f t="shared" si="0"/>
        <v>647.10999999999967</v>
      </c>
      <c r="G33" s="22">
        <f t="shared" si="1"/>
        <v>116840</v>
      </c>
      <c r="H33" s="23">
        <f t="shared" si="2"/>
        <v>101956.47</v>
      </c>
      <c r="I33" s="23">
        <f t="shared" si="3"/>
        <v>14883.529999999999</v>
      </c>
      <c r="J33" s="9">
        <f t="shared" si="4"/>
        <v>0.14597925958009325</v>
      </c>
      <c r="K33" s="8" t="s">
        <v>33</v>
      </c>
    </row>
    <row r="34" spans="1:11" x14ac:dyDescent="0.25">
      <c r="A34" s="14">
        <v>45984</v>
      </c>
      <c r="B34" s="8" t="s">
        <v>11</v>
      </c>
      <c r="C34" s="15">
        <v>1</v>
      </c>
      <c r="D34" s="15">
        <v>4432.8900000000003</v>
      </c>
      <c r="E34" s="15">
        <v>4432.8900000000003</v>
      </c>
      <c r="F34" s="8">
        <f t="shared" si="0"/>
        <v>0</v>
      </c>
      <c r="G34" s="22">
        <f t="shared" si="1"/>
        <v>4432.8900000000003</v>
      </c>
      <c r="H34" s="23">
        <f t="shared" si="2"/>
        <v>4432.8900000000003</v>
      </c>
      <c r="I34" s="23">
        <f t="shared" si="3"/>
        <v>0</v>
      </c>
      <c r="J34" s="9">
        <f t="shared" si="4"/>
        <v>0</v>
      </c>
      <c r="K34" s="8" t="s">
        <v>33</v>
      </c>
    </row>
    <row r="35" spans="1:11" x14ac:dyDescent="0.25">
      <c r="A35" s="14">
        <v>45985</v>
      </c>
      <c r="B35" s="10" t="s">
        <v>49</v>
      </c>
      <c r="C35" s="15">
        <v>29</v>
      </c>
      <c r="D35" s="15">
        <v>1115</v>
      </c>
      <c r="E35" s="10">
        <v>842.25</v>
      </c>
      <c r="F35" s="8">
        <f t="shared" si="0"/>
        <v>272.75</v>
      </c>
      <c r="G35" s="22">
        <f t="shared" si="1"/>
        <v>32335</v>
      </c>
      <c r="H35" s="23">
        <f t="shared" si="2"/>
        <v>24425.25</v>
      </c>
      <c r="I35" s="23">
        <f t="shared" si="3"/>
        <v>7909.75</v>
      </c>
      <c r="J35" s="9">
        <f t="shared" si="4"/>
        <v>0.32383496586524191</v>
      </c>
      <c r="K35" s="8" t="s">
        <v>33</v>
      </c>
    </row>
    <row r="36" spans="1:11" x14ac:dyDescent="0.25">
      <c r="A36" s="14">
        <v>45985</v>
      </c>
      <c r="B36" s="10" t="s">
        <v>49</v>
      </c>
      <c r="C36" s="15">
        <v>2</v>
      </c>
      <c r="D36" s="15">
        <v>1115</v>
      </c>
      <c r="E36" s="10">
        <v>947.77</v>
      </c>
      <c r="F36" s="8">
        <f t="shared" si="0"/>
        <v>167.23000000000002</v>
      </c>
      <c r="G36" s="22">
        <f t="shared" si="1"/>
        <v>2230</v>
      </c>
      <c r="H36" s="23">
        <f t="shared" si="2"/>
        <v>1895.54</v>
      </c>
      <c r="I36" s="23">
        <f t="shared" si="3"/>
        <v>334.46000000000004</v>
      </c>
      <c r="J36" s="9">
        <f t="shared" si="4"/>
        <v>0.17644576215748548</v>
      </c>
      <c r="K36" s="8" t="s">
        <v>33</v>
      </c>
    </row>
    <row r="37" spans="1:11" x14ac:dyDescent="0.25">
      <c r="A37" s="14">
        <v>45985</v>
      </c>
      <c r="B37" s="15" t="s">
        <v>50</v>
      </c>
      <c r="C37" s="15">
        <v>20</v>
      </c>
      <c r="D37" s="15">
        <v>995</v>
      </c>
      <c r="E37" s="15">
        <v>852.62</v>
      </c>
      <c r="F37" s="8">
        <f t="shared" si="0"/>
        <v>142.38</v>
      </c>
      <c r="G37" s="22">
        <f t="shared" si="1"/>
        <v>19900</v>
      </c>
      <c r="H37" s="23">
        <f t="shared" si="2"/>
        <v>17052.400000000001</v>
      </c>
      <c r="I37" s="23">
        <f t="shared" si="3"/>
        <v>2847.5999999999985</v>
      </c>
      <c r="J37" s="9">
        <f t="shared" si="4"/>
        <v>0.16699115667002884</v>
      </c>
      <c r="K37" s="8" t="s">
        <v>33</v>
      </c>
    </row>
    <row r="38" spans="1:11" x14ac:dyDescent="0.25">
      <c r="A38" s="14">
        <v>45985</v>
      </c>
      <c r="B38" s="10" t="s">
        <v>57</v>
      </c>
      <c r="C38" s="15">
        <v>2</v>
      </c>
      <c r="D38" s="15">
        <v>2500</v>
      </c>
      <c r="E38" s="10">
        <v>2168.3000000000002</v>
      </c>
      <c r="F38" s="8">
        <f t="shared" si="0"/>
        <v>331.69999999999982</v>
      </c>
      <c r="G38" s="22">
        <f t="shared" si="1"/>
        <v>5000</v>
      </c>
      <c r="H38" s="23">
        <f t="shared" si="2"/>
        <v>4336.6000000000004</v>
      </c>
      <c r="I38" s="23">
        <f t="shared" si="3"/>
        <v>663.39999999999964</v>
      </c>
      <c r="J38" s="9">
        <f t="shared" si="4"/>
        <v>0.15297698657934777</v>
      </c>
      <c r="K38" s="8" t="s">
        <v>33</v>
      </c>
    </row>
    <row r="39" spans="1:11" x14ac:dyDescent="0.25">
      <c r="A39" s="14">
        <v>45985</v>
      </c>
      <c r="B39" s="15" t="s">
        <v>50</v>
      </c>
      <c r="C39" s="15">
        <v>14</v>
      </c>
      <c r="D39" s="15">
        <v>995</v>
      </c>
      <c r="E39" s="15">
        <v>852.62</v>
      </c>
      <c r="F39" s="8">
        <f t="shared" si="0"/>
        <v>142.38</v>
      </c>
      <c r="G39" s="22">
        <f t="shared" si="1"/>
        <v>13930</v>
      </c>
      <c r="H39" s="23">
        <f t="shared" si="2"/>
        <v>11936.68</v>
      </c>
      <c r="I39" s="23">
        <f t="shared" si="3"/>
        <v>1993.3199999999997</v>
      </c>
      <c r="J39" s="9">
        <f t="shared" si="4"/>
        <v>0.16699115667002884</v>
      </c>
      <c r="K39" s="8" t="s">
        <v>33</v>
      </c>
    </row>
    <row r="40" spans="1:11" x14ac:dyDescent="0.25">
      <c r="A40" s="14">
        <v>45985</v>
      </c>
      <c r="B40" s="8" t="s">
        <v>58</v>
      </c>
      <c r="C40" s="15">
        <v>10</v>
      </c>
      <c r="D40" s="15">
        <v>260</v>
      </c>
      <c r="E40" s="10">
        <v>217.42</v>
      </c>
      <c r="F40" s="8">
        <f t="shared" si="0"/>
        <v>42.580000000000013</v>
      </c>
      <c r="G40" s="22">
        <f t="shared" si="1"/>
        <v>2600</v>
      </c>
      <c r="H40" s="23">
        <f t="shared" si="2"/>
        <v>2174.1999999999998</v>
      </c>
      <c r="I40" s="23">
        <f t="shared" si="3"/>
        <v>425.80000000000018</v>
      </c>
      <c r="J40" s="9">
        <f t="shared" si="4"/>
        <v>0.19584214883635367</v>
      </c>
      <c r="K40" s="8" t="s">
        <v>33</v>
      </c>
    </row>
    <row r="41" spans="1:11" x14ac:dyDescent="0.25">
      <c r="A41" s="14">
        <v>45985</v>
      </c>
      <c r="B41" s="8" t="s">
        <v>59</v>
      </c>
      <c r="C41" s="15">
        <v>4</v>
      </c>
      <c r="D41" s="15">
        <v>1150</v>
      </c>
      <c r="E41" s="10">
        <v>958.53</v>
      </c>
      <c r="F41" s="8">
        <f t="shared" si="0"/>
        <v>191.47000000000003</v>
      </c>
      <c r="G41" s="22">
        <f t="shared" si="1"/>
        <v>4600</v>
      </c>
      <c r="H41" s="23">
        <f t="shared" si="2"/>
        <v>3834.12</v>
      </c>
      <c r="I41" s="23">
        <f t="shared" si="3"/>
        <v>765.88000000000011</v>
      </c>
      <c r="J41" s="9">
        <f t="shared" si="4"/>
        <v>0.1997537896570791</v>
      </c>
      <c r="K41" s="8" t="s">
        <v>33</v>
      </c>
    </row>
    <row r="42" spans="1:11" x14ac:dyDescent="0.25">
      <c r="A42" s="14">
        <v>45985</v>
      </c>
      <c r="B42" s="8" t="s">
        <v>60</v>
      </c>
      <c r="C42" s="15">
        <v>16</v>
      </c>
      <c r="D42" s="15">
        <v>340</v>
      </c>
      <c r="E42" s="10">
        <v>263.85000000000002</v>
      </c>
      <c r="F42" s="8">
        <f t="shared" si="0"/>
        <v>76.149999999999977</v>
      </c>
      <c r="G42" s="22">
        <f t="shared" si="1"/>
        <v>5440</v>
      </c>
      <c r="H42" s="23">
        <f t="shared" si="2"/>
        <v>4221.6000000000004</v>
      </c>
      <c r="I42" s="23">
        <f t="shared" si="3"/>
        <v>1218.3999999999996</v>
      </c>
      <c r="J42" s="9">
        <f t="shared" si="4"/>
        <v>0.28861095319310204</v>
      </c>
      <c r="K42" s="8" t="s">
        <v>33</v>
      </c>
    </row>
    <row r="43" spans="1:11" x14ac:dyDescent="0.25">
      <c r="A43" s="14">
        <v>45986</v>
      </c>
      <c r="B43" s="8" t="s">
        <v>61</v>
      </c>
      <c r="C43" s="15">
        <v>5</v>
      </c>
      <c r="D43" s="15">
        <v>1730</v>
      </c>
      <c r="E43" s="10">
        <v>1640.18</v>
      </c>
      <c r="F43" s="8">
        <f t="shared" si="0"/>
        <v>89.819999999999936</v>
      </c>
      <c r="G43" s="22">
        <f t="shared" si="1"/>
        <v>8650</v>
      </c>
      <c r="H43" s="23">
        <f t="shared" si="2"/>
        <v>8200.9</v>
      </c>
      <c r="I43" s="23">
        <f t="shared" si="3"/>
        <v>449.10000000000036</v>
      </c>
      <c r="J43" s="9">
        <f t="shared" si="4"/>
        <v>5.4762282188540241E-2</v>
      </c>
      <c r="K43" s="8" t="s">
        <v>33</v>
      </c>
    </row>
    <row r="44" spans="1:11" x14ac:dyDescent="0.25">
      <c r="A44" s="14">
        <v>45986</v>
      </c>
      <c r="B44" s="8" t="s">
        <v>61</v>
      </c>
      <c r="C44" s="15">
        <v>5</v>
      </c>
      <c r="D44" s="15">
        <v>1730</v>
      </c>
      <c r="E44" s="10">
        <v>1640.18</v>
      </c>
      <c r="F44" s="8">
        <f t="shared" si="0"/>
        <v>89.819999999999936</v>
      </c>
      <c r="G44" s="22">
        <f t="shared" si="1"/>
        <v>8650</v>
      </c>
      <c r="H44" s="23">
        <f t="shared" si="2"/>
        <v>8200.9</v>
      </c>
      <c r="I44" s="23">
        <f t="shared" si="3"/>
        <v>449.10000000000036</v>
      </c>
      <c r="J44" s="9">
        <f t="shared" si="4"/>
        <v>5.4762282188540241E-2</v>
      </c>
      <c r="K44" s="8" t="s">
        <v>33</v>
      </c>
    </row>
    <row r="45" spans="1:11" x14ac:dyDescent="0.25">
      <c r="A45" s="14">
        <v>45986</v>
      </c>
      <c r="B45" s="8" t="s">
        <v>11</v>
      </c>
      <c r="C45" s="15">
        <v>4</v>
      </c>
      <c r="D45" s="15">
        <v>5000</v>
      </c>
      <c r="E45" s="8">
        <v>4432.8900000000003</v>
      </c>
      <c r="F45" s="8">
        <f t="shared" si="0"/>
        <v>567.10999999999967</v>
      </c>
      <c r="G45" s="22">
        <f t="shared" si="1"/>
        <v>20000</v>
      </c>
      <c r="H45" s="23">
        <f t="shared" si="2"/>
        <v>17731.560000000001</v>
      </c>
      <c r="I45" s="23">
        <f t="shared" si="3"/>
        <v>2268.4399999999987</v>
      </c>
      <c r="J45" s="9">
        <f t="shared" si="4"/>
        <v>0.12793234210639101</v>
      </c>
      <c r="K45" s="8" t="s">
        <v>33</v>
      </c>
    </row>
    <row r="46" spans="1:11" x14ac:dyDescent="0.25">
      <c r="A46" s="7">
        <v>45987</v>
      </c>
      <c r="B46" s="10" t="s">
        <v>84</v>
      </c>
      <c r="C46" s="15">
        <v>3</v>
      </c>
      <c r="D46" s="15">
        <v>3070</v>
      </c>
      <c r="E46" s="8">
        <v>2774.42</v>
      </c>
      <c r="F46" s="8">
        <f t="shared" si="0"/>
        <v>295.57999999999993</v>
      </c>
      <c r="G46" s="22">
        <f t="shared" si="1"/>
        <v>9210</v>
      </c>
      <c r="H46" s="23">
        <f t="shared" si="2"/>
        <v>8323.26</v>
      </c>
      <c r="I46" s="23">
        <f t="shared" si="3"/>
        <v>886.73999999999978</v>
      </c>
      <c r="J46" s="9">
        <f t="shared" si="4"/>
        <v>0.10653758262988297</v>
      </c>
      <c r="K46" s="8" t="s">
        <v>33</v>
      </c>
    </row>
    <row r="47" spans="1:11" x14ac:dyDescent="0.25">
      <c r="A47" s="7">
        <v>45987</v>
      </c>
      <c r="B47" s="10" t="s">
        <v>84</v>
      </c>
      <c r="C47" s="15">
        <v>7</v>
      </c>
      <c r="D47" s="15">
        <v>3070</v>
      </c>
      <c r="E47" s="8">
        <v>2928.1</v>
      </c>
      <c r="F47" s="8">
        <f t="shared" si="0"/>
        <v>141.90000000000009</v>
      </c>
      <c r="G47" s="22">
        <f t="shared" si="1"/>
        <v>21490</v>
      </c>
      <c r="H47" s="23">
        <f t="shared" si="2"/>
        <v>20496.7</v>
      </c>
      <c r="I47" s="23">
        <f t="shared" si="3"/>
        <v>993.29999999999927</v>
      </c>
      <c r="J47" s="9">
        <f t="shared" si="4"/>
        <v>4.8461459649602162E-2</v>
      </c>
      <c r="K47" s="8" t="s">
        <v>33</v>
      </c>
    </row>
    <row r="48" spans="1:11" x14ac:dyDescent="0.25">
      <c r="A48" s="7">
        <v>45987</v>
      </c>
      <c r="B48" s="10" t="s">
        <v>85</v>
      </c>
      <c r="C48" s="15">
        <v>4</v>
      </c>
      <c r="D48" s="15">
        <v>2670</v>
      </c>
      <c r="E48" s="8">
        <v>2550.7399999999998</v>
      </c>
      <c r="F48" s="8">
        <f t="shared" si="0"/>
        <v>119.26000000000022</v>
      </c>
      <c r="G48" s="22">
        <f t="shared" si="1"/>
        <v>10680</v>
      </c>
      <c r="H48" s="23">
        <f t="shared" si="2"/>
        <v>10202.959999999999</v>
      </c>
      <c r="I48" s="23">
        <f t="shared" si="3"/>
        <v>477.04000000000087</v>
      </c>
      <c r="J48" s="9">
        <f t="shared" si="4"/>
        <v>4.6755059316120118E-2</v>
      </c>
      <c r="K48" s="8" t="s">
        <v>33</v>
      </c>
    </row>
    <row r="49" spans="1:11" x14ac:dyDescent="0.25">
      <c r="A49" s="7">
        <v>45987</v>
      </c>
      <c r="B49" s="10" t="s">
        <v>86</v>
      </c>
      <c r="C49" s="15">
        <v>9</v>
      </c>
      <c r="D49" s="15">
        <v>1350</v>
      </c>
      <c r="E49" s="8">
        <v>1187.3499999999999</v>
      </c>
      <c r="F49" s="8">
        <f t="shared" si="0"/>
        <v>162.65000000000009</v>
      </c>
      <c r="G49" s="22">
        <f t="shared" si="1"/>
        <v>12150</v>
      </c>
      <c r="H49" s="23">
        <f t="shared" si="2"/>
        <v>10686.15</v>
      </c>
      <c r="I49" s="23">
        <f t="shared" si="3"/>
        <v>1463.8500000000004</v>
      </c>
      <c r="J49" s="9">
        <f t="shared" si="4"/>
        <v>0.1369857245125701</v>
      </c>
      <c r="K49" s="8" t="s">
        <v>33</v>
      </c>
    </row>
    <row r="50" spans="1:11" x14ac:dyDescent="0.25">
      <c r="A50" s="7">
        <v>45987</v>
      </c>
      <c r="B50" s="10" t="s">
        <v>61</v>
      </c>
      <c r="C50" s="15">
        <v>2</v>
      </c>
      <c r="D50" s="15">
        <v>1735</v>
      </c>
      <c r="E50" s="10">
        <v>1640.18</v>
      </c>
      <c r="F50" s="8">
        <f t="shared" si="0"/>
        <v>94.819999999999936</v>
      </c>
      <c r="G50" s="22">
        <f t="shared" si="1"/>
        <v>3470</v>
      </c>
      <c r="H50" s="23">
        <f t="shared" si="2"/>
        <v>3280.36</v>
      </c>
      <c r="I50" s="23">
        <f t="shared" si="3"/>
        <v>189.63999999999987</v>
      </c>
      <c r="J50" s="9">
        <f t="shared" si="4"/>
        <v>5.7810728090819261E-2</v>
      </c>
      <c r="K50" s="8" t="s">
        <v>33</v>
      </c>
    </row>
    <row r="51" spans="1:11" x14ac:dyDescent="0.25">
      <c r="A51" s="7">
        <v>45988</v>
      </c>
      <c r="B51" s="10" t="s">
        <v>49</v>
      </c>
      <c r="C51" s="15">
        <v>50</v>
      </c>
      <c r="D51" s="15">
        <v>1115</v>
      </c>
      <c r="E51" s="8">
        <v>855.45</v>
      </c>
      <c r="F51" s="8">
        <f t="shared" si="0"/>
        <v>259.54999999999995</v>
      </c>
      <c r="G51" s="22">
        <f t="shared" si="1"/>
        <v>55750</v>
      </c>
      <c r="H51" s="23">
        <f t="shared" si="2"/>
        <v>42772.5</v>
      </c>
      <c r="I51" s="23">
        <f t="shared" si="3"/>
        <v>12977.5</v>
      </c>
      <c r="J51" s="9">
        <f t="shared" si="4"/>
        <v>0.3034075632707931</v>
      </c>
      <c r="K51" s="8" t="s">
        <v>33</v>
      </c>
    </row>
    <row r="52" spans="1:11" x14ac:dyDescent="0.25">
      <c r="A52" s="7">
        <v>45988</v>
      </c>
      <c r="B52" s="10" t="s">
        <v>49</v>
      </c>
      <c r="C52" s="15">
        <v>32</v>
      </c>
      <c r="D52" s="15">
        <v>1120</v>
      </c>
      <c r="E52" s="8">
        <v>842.16</v>
      </c>
      <c r="F52" s="8">
        <f t="shared" si="0"/>
        <v>277.84000000000003</v>
      </c>
      <c r="G52" s="22">
        <f t="shared" si="1"/>
        <v>35840</v>
      </c>
      <c r="H52" s="23">
        <f t="shared" si="2"/>
        <v>26949.119999999999</v>
      </c>
      <c r="I52" s="23">
        <f t="shared" si="3"/>
        <v>8890.880000000001</v>
      </c>
      <c r="J52" s="9">
        <f t="shared" si="4"/>
        <v>0.3299135556188848</v>
      </c>
      <c r="K52" s="8" t="s">
        <v>33</v>
      </c>
    </row>
    <row r="53" spans="1:11" x14ac:dyDescent="0.25">
      <c r="A53" s="7">
        <v>45988</v>
      </c>
      <c r="B53" s="10" t="s">
        <v>49</v>
      </c>
      <c r="C53" s="15">
        <v>2</v>
      </c>
      <c r="D53" s="15">
        <v>1120</v>
      </c>
      <c r="E53" s="8">
        <v>855.45</v>
      </c>
      <c r="F53" s="8">
        <f t="shared" si="0"/>
        <v>264.54999999999995</v>
      </c>
      <c r="G53" s="22">
        <f t="shared" si="1"/>
        <v>2240</v>
      </c>
      <c r="H53" s="23">
        <f t="shared" si="2"/>
        <v>1710.9</v>
      </c>
      <c r="I53" s="23">
        <f t="shared" si="3"/>
        <v>529.09999999999991</v>
      </c>
      <c r="J53" s="9">
        <f t="shared" si="4"/>
        <v>0.30925244023613296</v>
      </c>
      <c r="K53" s="8" t="s">
        <v>33</v>
      </c>
    </row>
    <row r="54" spans="1:11" x14ac:dyDescent="0.25">
      <c r="A54" s="7">
        <v>45988</v>
      </c>
      <c r="B54" s="10" t="s">
        <v>49</v>
      </c>
      <c r="C54" s="15">
        <v>36</v>
      </c>
      <c r="D54" s="15">
        <v>1115</v>
      </c>
      <c r="E54" s="8">
        <v>855.45</v>
      </c>
      <c r="F54" s="8">
        <f t="shared" si="0"/>
        <v>259.54999999999995</v>
      </c>
      <c r="G54" s="22">
        <f t="shared" si="1"/>
        <v>40140</v>
      </c>
      <c r="H54" s="23">
        <f t="shared" si="2"/>
        <v>30796.2</v>
      </c>
      <c r="I54" s="23">
        <f t="shared" si="3"/>
        <v>9343.7999999999993</v>
      </c>
      <c r="J54" s="9">
        <f t="shared" si="4"/>
        <v>0.3034075632707931</v>
      </c>
      <c r="K54" s="8" t="s">
        <v>33</v>
      </c>
    </row>
    <row r="55" spans="1:11" x14ac:dyDescent="0.25">
      <c r="A55" s="7">
        <v>45988</v>
      </c>
      <c r="B55" s="10" t="s">
        <v>49</v>
      </c>
      <c r="C55" s="15">
        <v>9</v>
      </c>
      <c r="D55" s="15">
        <v>1120</v>
      </c>
      <c r="E55" s="8">
        <v>855.45</v>
      </c>
      <c r="F55" s="8">
        <f t="shared" si="0"/>
        <v>264.54999999999995</v>
      </c>
      <c r="G55" s="22">
        <f t="shared" si="1"/>
        <v>10080</v>
      </c>
      <c r="H55" s="23">
        <f t="shared" si="2"/>
        <v>7699.05</v>
      </c>
      <c r="I55" s="23">
        <f t="shared" si="3"/>
        <v>2380.9499999999998</v>
      </c>
      <c r="J55" s="9">
        <f t="shared" si="4"/>
        <v>0.30925244023613296</v>
      </c>
      <c r="K55" s="8" t="s">
        <v>33</v>
      </c>
    </row>
    <row r="56" spans="1:11" x14ac:dyDescent="0.25">
      <c r="A56" s="7">
        <v>45988</v>
      </c>
      <c r="B56" s="10" t="s">
        <v>90</v>
      </c>
      <c r="C56" s="15">
        <v>1</v>
      </c>
      <c r="D56" s="15">
        <v>1430</v>
      </c>
      <c r="E56" s="8">
        <v>1180</v>
      </c>
      <c r="F56" s="8">
        <f t="shared" si="0"/>
        <v>250</v>
      </c>
      <c r="G56" s="22">
        <f t="shared" si="1"/>
        <v>1430</v>
      </c>
      <c r="H56" s="23">
        <f t="shared" si="2"/>
        <v>1180</v>
      </c>
      <c r="I56" s="23">
        <f t="shared" si="3"/>
        <v>250</v>
      </c>
      <c r="J56" s="9">
        <f t="shared" si="4"/>
        <v>0.21186440677966101</v>
      </c>
      <c r="K56" s="8" t="s">
        <v>33</v>
      </c>
    </row>
    <row r="57" spans="1:11" x14ac:dyDescent="0.25">
      <c r="A57" s="7">
        <v>45988</v>
      </c>
      <c r="B57" s="10" t="s">
        <v>41</v>
      </c>
      <c r="C57" s="15">
        <v>2</v>
      </c>
      <c r="D57" s="15">
        <v>8275</v>
      </c>
      <c r="E57" s="8">
        <v>7043.83</v>
      </c>
      <c r="F57" s="8">
        <f t="shared" si="0"/>
        <v>1231.17</v>
      </c>
      <c r="G57" s="22">
        <f t="shared" si="1"/>
        <v>16550</v>
      </c>
      <c r="H57" s="23">
        <f t="shared" si="2"/>
        <v>14087.66</v>
      </c>
      <c r="I57" s="23">
        <f t="shared" si="3"/>
        <v>2462.34</v>
      </c>
      <c r="J57" s="9">
        <f t="shared" si="4"/>
        <v>0.17478701217945353</v>
      </c>
      <c r="K57" s="8" t="s">
        <v>33</v>
      </c>
    </row>
    <row r="58" spans="1:11" x14ac:dyDescent="0.25">
      <c r="A58" s="7">
        <v>45989</v>
      </c>
      <c r="B58" s="10" t="s">
        <v>92</v>
      </c>
      <c r="C58" s="15">
        <v>2</v>
      </c>
      <c r="D58" s="15">
        <v>1350</v>
      </c>
      <c r="E58" s="8">
        <v>1141.97</v>
      </c>
      <c r="F58" s="8">
        <f t="shared" si="0"/>
        <v>208.02999999999997</v>
      </c>
      <c r="G58" s="22">
        <f t="shared" si="1"/>
        <v>2700</v>
      </c>
      <c r="H58" s="23">
        <f t="shared" si="2"/>
        <v>2283.94</v>
      </c>
      <c r="I58" s="23">
        <f t="shared" si="3"/>
        <v>416.05999999999995</v>
      </c>
      <c r="J58" s="9">
        <f t="shared" si="4"/>
        <v>0.18216765764424631</v>
      </c>
      <c r="K58" s="8" t="s">
        <v>33</v>
      </c>
    </row>
    <row r="59" spans="1:11" x14ac:dyDescent="0.25">
      <c r="A59" s="7">
        <v>45989</v>
      </c>
      <c r="B59" s="8" t="s">
        <v>11</v>
      </c>
      <c r="C59" s="15">
        <v>1</v>
      </c>
      <c r="D59" s="15">
        <v>4432.8900000000003</v>
      </c>
      <c r="E59" s="15">
        <v>4432.8900000000003</v>
      </c>
      <c r="F59" s="8">
        <f t="shared" si="0"/>
        <v>0</v>
      </c>
      <c r="G59" s="22">
        <f t="shared" si="1"/>
        <v>4432.8900000000003</v>
      </c>
      <c r="H59" s="23">
        <f t="shared" si="2"/>
        <v>4432.8900000000003</v>
      </c>
      <c r="I59" s="23">
        <f t="shared" si="3"/>
        <v>0</v>
      </c>
      <c r="J59" s="9">
        <f t="shared" si="4"/>
        <v>0</v>
      </c>
      <c r="K59" s="8" t="s">
        <v>33</v>
      </c>
    </row>
    <row r="60" spans="1:11" x14ac:dyDescent="0.25">
      <c r="A60" s="7">
        <v>45990</v>
      </c>
      <c r="B60" s="10" t="s">
        <v>49</v>
      </c>
      <c r="C60" s="15">
        <v>1</v>
      </c>
      <c r="D60" s="15">
        <v>1120</v>
      </c>
      <c r="E60" s="8">
        <v>855.45</v>
      </c>
      <c r="F60" s="8">
        <f t="shared" si="0"/>
        <v>264.54999999999995</v>
      </c>
      <c r="G60" s="22">
        <f t="shared" si="1"/>
        <v>1120</v>
      </c>
      <c r="H60" s="23">
        <f t="shared" si="2"/>
        <v>855.45</v>
      </c>
      <c r="I60" s="23">
        <f t="shared" si="3"/>
        <v>264.54999999999995</v>
      </c>
      <c r="J60" s="9">
        <f t="shared" si="4"/>
        <v>0.30925244023613296</v>
      </c>
      <c r="K60" s="8" t="s">
        <v>33</v>
      </c>
    </row>
    <row r="61" spans="1:11" x14ac:dyDescent="0.25">
      <c r="A61" s="11">
        <v>45990</v>
      </c>
      <c r="B61" s="12" t="s">
        <v>49</v>
      </c>
      <c r="C61" s="12">
        <v>5</v>
      </c>
      <c r="D61" s="12">
        <v>500</v>
      </c>
      <c r="E61" s="12">
        <v>855.45</v>
      </c>
      <c r="F61" s="12">
        <f t="shared" si="0"/>
        <v>-355.45000000000005</v>
      </c>
      <c r="G61" s="24">
        <f t="shared" si="1"/>
        <v>2500</v>
      </c>
      <c r="H61" s="24">
        <f t="shared" si="2"/>
        <v>4277.25</v>
      </c>
      <c r="I61" s="24">
        <f t="shared" si="3"/>
        <v>-1777.25</v>
      </c>
      <c r="J61" s="13">
        <f t="shared" si="4"/>
        <v>-0.41551230346601209</v>
      </c>
      <c r="K61" s="12" t="s">
        <v>33</v>
      </c>
    </row>
    <row r="62" spans="1:11" x14ac:dyDescent="0.25">
      <c r="A62" s="7">
        <v>45990</v>
      </c>
      <c r="B62" s="10" t="s">
        <v>49</v>
      </c>
      <c r="C62" s="15">
        <v>50</v>
      </c>
      <c r="D62" s="15">
        <v>1120</v>
      </c>
      <c r="E62" s="8">
        <v>855.45</v>
      </c>
      <c r="F62" s="8">
        <f t="shared" si="0"/>
        <v>264.54999999999995</v>
      </c>
      <c r="G62" s="22">
        <f t="shared" si="1"/>
        <v>56000</v>
      </c>
      <c r="H62" s="23">
        <f t="shared" si="2"/>
        <v>42772.5</v>
      </c>
      <c r="I62" s="23">
        <f t="shared" si="3"/>
        <v>13227.5</v>
      </c>
      <c r="J62" s="9">
        <f t="shared" si="4"/>
        <v>0.30925244023613296</v>
      </c>
      <c r="K62" s="8" t="s">
        <v>33</v>
      </c>
    </row>
    <row r="63" spans="1:11" x14ac:dyDescent="0.25">
      <c r="A63" s="7">
        <v>45990</v>
      </c>
      <c r="B63" s="10" t="s">
        <v>95</v>
      </c>
      <c r="C63" s="15">
        <v>1</v>
      </c>
      <c r="D63" s="15">
        <v>1</v>
      </c>
      <c r="E63" s="8"/>
      <c r="F63" s="8">
        <f t="shared" si="0"/>
        <v>1</v>
      </c>
      <c r="G63" s="22">
        <f t="shared" si="1"/>
        <v>1</v>
      </c>
      <c r="H63" s="23">
        <f t="shared" si="2"/>
        <v>0</v>
      </c>
      <c r="I63" s="23">
        <f t="shared" si="3"/>
        <v>1</v>
      </c>
      <c r="J63" s="9" t="e">
        <f t="shared" si="4"/>
        <v>#DIV/0!</v>
      </c>
      <c r="K63" s="8" t="s">
        <v>33</v>
      </c>
    </row>
    <row r="64" spans="1:11" x14ac:dyDescent="0.25">
      <c r="A64" s="7">
        <v>45991</v>
      </c>
      <c r="B64" s="19" t="s">
        <v>107</v>
      </c>
      <c r="C64" s="15">
        <v>5</v>
      </c>
      <c r="D64" s="15">
        <v>1</v>
      </c>
      <c r="E64" s="8"/>
      <c r="F64" s="8">
        <f t="shared" si="0"/>
        <v>1</v>
      </c>
      <c r="G64" s="22">
        <f t="shared" si="1"/>
        <v>5</v>
      </c>
      <c r="H64" s="23">
        <f t="shared" si="2"/>
        <v>0</v>
      </c>
      <c r="I64" s="23">
        <f t="shared" si="3"/>
        <v>5</v>
      </c>
      <c r="J64" s="9" t="e">
        <f t="shared" si="4"/>
        <v>#DIV/0!</v>
      </c>
      <c r="K64" s="8" t="s">
        <v>33</v>
      </c>
    </row>
    <row r="65" spans="1:11" x14ac:dyDescent="0.25">
      <c r="A65" s="7">
        <v>45987</v>
      </c>
      <c r="B65" s="10" t="s">
        <v>61</v>
      </c>
      <c r="C65" s="15">
        <v>10</v>
      </c>
      <c r="D65" s="15">
        <v>1735</v>
      </c>
      <c r="E65" s="8">
        <v>1720</v>
      </c>
      <c r="F65" s="8">
        <f t="shared" si="0"/>
        <v>15</v>
      </c>
      <c r="G65" s="22">
        <f t="shared" si="1"/>
        <v>17350</v>
      </c>
      <c r="H65" s="23">
        <f t="shared" si="2"/>
        <v>17200</v>
      </c>
      <c r="I65" s="23">
        <f t="shared" si="3"/>
        <v>150</v>
      </c>
      <c r="J65" s="9">
        <f t="shared" si="4"/>
        <v>8.7209302325581394E-3</v>
      </c>
      <c r="K65" s="8" t="s">
        <v>101</v>
      </c>
    </row>
    <row r="66" spans="1:11" x14ac:dyDescent="0.25">
      <c r="A66" s="11">
        <v>45988</v>
      </c>
      <c r="B66" s="12" t="s">
        <v>50</v>
      </c>
      <c r="C66" s="12">
        <v>30</v>
      </c>
      <c r="D66" s="12">
        <v>1000</v>
      </c>
      <c r="E66" s="12">
        <v>1010</v>
      </c>
      <c r="F66" s="12">
        <f t="shared" ref="F66:F129" si="5">D66-E66</f>
        <v>-10</v>
      </c>
      <c r="G66" s="24">
        <f t="shared" ref="G66:G129" si="6">D66*C66</f>
        <v>30000</v>
      </c>
      <c r="H66" s="24">
        <f t="shared" ref="H66:H129" si="7">E66*C66</f>
        <v>30300</v>
      </c>
      <c r="I66" s="24">
        <f t="shared" ref="I66:I129" si="8">G66-H66</f>
        <v>-300</v>
      </c>
      <c r="J66" s="13">
        <f t="shared" ref="J66:J129" si="9">(D66-E66)/E66</f>
        <v>-9.9009900990099011E-3</v>
      </c>
      <c r="K66" s="12" t="s">
        <v>101</v>
      </c>
    </row>
    <row r="67" spans="1:11" x14ac:dyDescent="0.25">
      <c r="A67" s="7">
        <v>45988</v>
      </c>
      <c r="B67" s="10" t="s">
        <v>61</v>
      </c>
      <c r="C67" s="15">
        <v>30</v>
      </c>
      <c r="D67" s="15">
        <v>1745</v>
      </c>
      <c r="E67" s="8">
        <v>1720</v>
      </c>
      <c r="F67" s="8">
        <f t="shared" si="5"/>
        <v>25</v>
      </c>
      <c r="G67" s="22">
        <f t="shared" si="6"/>
        <v>52350</v>
      </c>
      <c r="H67" s="23">
        <f t="shared" si="7"/>
        <v>51600</v>
      </c>
      <c r="I67" s="23">
        <f t="shared" si="8"/>
        <v>750</v>
      </c>
      <c r="J67" s="9">
        <f t="shared" si="9"/>
        <v>1.4534883720930232E-2</v>
      </c>
      <c r="K67" s="8" t="s">
        <v>101</v>
      </c>
    </row>
    <row r="68" spans="1:11" x14ac:dyDescent="0.25">
      <c r="A68" s="7">
        <v>45978</v>
      </c>
      <c r="B68" s="8" t="s">
        <v>11</v>
      </c>
      <c r="C68" s="10">
        <v>3</v>
      </c>
      <c r="D68" s="15">
        <v>4320</v>
      </c>
      <c r="E68" s="15">
        <v>4280</v>
      </c>
      <c r="F68" s="8">
        <f t="shared" si="5"/>
        <v>40</v>
      </c>
      <c r="G68" s="22">
        <f t="shared" si="6"/>
        <v>12960</v>
      </c>
      <c r="H68" s="23">
        <f t="shared" si="7"/>
        <v>12840</v>
      </c>
      <c r="I68" s="23">
        <f t="shared" si="8"/>
        <v>120</v>
      </c>
      <c r="J68" s="9">
        <f t="shared" si="9"/>
        <v>9.3457943925233638E-3</v>
      </c>
      <c r="K68" s="15" t="s">
        <v>38</v>
      </c>
    </row>
    <row r="69" spans="1:11" x14ac:dyDescent="0.25">
      <c r="A69" s="7">
        <v>45979</v>
      </c>
      <c r="B69" s="8" t="s">
        <v>11</v>
      </c>
      <c r="C69" s="10">
        <v>6</v>
      </c>
      <c r="D69" s="15">
        <v>3770</v>
      </c>
      <c r="E69" s="15">
        <v>3750</v>
      </c>
      <c r="F69" s="8">
        <f t="shared" si="5"/>
        <v>20</v>
      </c>
      <c r="G69" s="22">
        <f t="shared" si="6"/>
        <v>22620</v>
      </c>
      <c r="H69" s="23">
        <f t="shared" si="7"/>
        <v>22500</v>
      </c>
      <c r="I69" s="23">
        <f t="shared" si="8"/>
        <v>120</v>
      </c>
      <c r="J69" s="9">
        <f t="shared" si="9"/>
        <v>5.3333333333333332E-3</v>
      </c>
      <c r="K69" s="15" t="s">
        <v>38</v>
      </c>
    </row>
    <row r="70" spans="1:11" x14ac:dyDescent="0.25">
      <c r="A70" s="7">
        <v>45966</v>
      </c>
      <c r="B70" s="8" t="s">
        <v>11</v>
      </c>
      <c r="C70" s="15">
        <v>1</v>
      </c>
      <c r="D70" s="15">
        <v>4126.58</v>
      </c>
      <c r="E70" s="8">
        <v>3374.62</v>
      </c>
      <c r="F70" s="8">
        <f t="shared" si="5"/>
        <v>751.96</v>
      </c>
      <c r="G70" s="22">
        <f t="shared" si="6"/>
        <v>4126.58</v>
      </c>
      <c r="H70" s="23">
        <f t="shared" si="7"/>
        <v>3374.62</v>
      </c>
      <c r="I70" s="23">
        <f t="shared" si="8"/>
        <v>751.96</v>
      </c>
      <c r="J70" s="9">
        <f t="shared" si="9"/>
        <v>0.22282805175101197</v>
      </c>
      <c r="K70" s="8" t="s">
        <v>74</v>
      </c>
    </row>
    <row r="71" spans="1:11" x14ac:dyDescent="0.25">
      <c r="A71" s="16">
        <v>45988</v>
      </c>
      <c r="B71" s="17" t="s">
        <v>30</v>
      </c>
      <c r="C71" s="17">
        <v>1</v>
      </c>
      <c r="D71" s="17">
        <v>2594.9299999999998</v>
      </c>
      <c r="E71" s="17">
        <v>2400</v>
      </c>
      <c r="F71" s="17">
        <f t="shared" si="5"/>
        <v>194.92999999999984</v>
      </c>
      <c r="G71" s="25">
        <f t="shared" si="6"/>
        <v>2594.9299999999998</v>
      </c>
      <c r="H71" s="25">
        <f t="shared" si="7"/>
        <v>2400</v>
      </c>
      <c r="I71" s="25">
        <f t="shared" si="8"/>
        <v>194.92999999999984</v>
      </c>
      <c r="J71" s="18">
        <f t="shared" si="9"/>
        <v>8.122083333333327E-2</v>
      </c>
      <c r="K71" s="17" t="s">
        <v>74</v>
      </c>
    </row>
    <row r="72" spans="1:11" x14ac:dyDescent="0.25">
      <c r="A72" s="16">
        <v>45988</v>
      </c>
      <c r="B72" s="17" t="s">
        <v>89</v>
      </c>
      <c r="C72" s="17">
        <v>1</v>
      </c>
      <c r="D72" s="17">
        <v>1367.08</v>
      </c>
      <c r="E72" s="17">
        <v>1250</v>
      </c>
      <c r="F72" s="17">
        <f t="shared" si="5"/>
        <v>117.07999999999993</v>
      </c>
      <c r="G72" s="25">
        <f t="shared" si="6"/>
        <v>1367.08</v>
      </c>
      <c r="H72" s="25">
        <f t="shared" si="7"/>
        <v>1250</v>
      </c>
      <c r="I72" s="25">
        <f t="shared" si="8"/>
        <v>117.07999999999993</v>
      </c>
      <c r="J72" s="18">
        <f t="shared" si="9"/>
        <v>9.3663999999999942E-2</v>
      </c>
      <c r="K72" s="17" t="s">
        <v>74</v>
      </c>
    </row>
    <row r="73" spans="1:11" x14ac:dyDescent="0.25">
      <c r="A73" s="16">
        <v>45988</v>
      </c>
      <c r="B73" s="17" t="s">
        <v>70</v>
      </c>
      <c r="C73" s="17">
        <v>1</v>
      </c>
      <c r="D73" s="17">
        <v>886.07</v>
      </c>
      <c r="E73" s="17">
        <v>750</v>
      </c>
      <c r="F73" s="17">
        <f t="shared" si="5"/>
        <v>136.07000000000005</v>
      </c>
      <c r="G73" s="25">
        <f t="shared" si="6"/>
        <v>886.07</v>
      </c>
      <c r="H73" s="25">
        <f t="shared" si="7"/>
        <v>750</v>
      </c>
      <c r="I73" s="25">
        <f t="shared" si="8"/>
        <v>136.07000000000005</v>
      </c>
      <c r="J73" s="18">
        <f t="shared" si="9"/>
        <v>0.18142666666666674</v>
      </c>
      <c r="K73" s="17" t="s">
        <v>74</v>
      </c>
    </row>
    <row r="74" spans="1:11" x14ac:dyDescent="0.25">
      <c r="A74" s="16">
        <v>45988</v>
      </c>
      <c r="B74" s="17" t="s">
        <v>30</v>
      </c>
      <c r="C74" s="17">
        <v>1</v>
      </c>
      <c r="D74" s="17">
        <v>2632.91</v>
      </c>
      <c r="E74" s="17">
        <v>2400</v>
      </c>
      <c r="F74" s="17">
        <f t="shared" si="5"/>
        <v>232.90999999999985</v>
      </c>
      <c r="G74" s="25">
        <f t="shared" si="6"/>
        <v>2632.91</v>
      </c>
      <c r="H74" s="25">
        <f t="shared" si="7"/>
        <v>2400</v>
      </c>
      <c r="I74" s="25">
        <f t="shared" si="8"/>
        <v>232.90999999999985</v>
      </c>
      <c r="J74" s="18">
        <f t="shared" si="9"/>
        <v>9.7045833333333276E-2</v>
      </c>
      <c r="K74" s="17" t="s">
        <v>74</v>
      </c>
    </row>
    <row r="75" spans="1:11" x14ac:dyDescent="0.25">
      <c r="A75" s="16">
        <v>45990</v>
      </c>
      <c r="B75" s="17" t="s">
        <v>30</v>
      </c>
      <c r="C75" s="17">
        <v>1</v>
      </c>
      <c r="D75" s="17">
        <v>2430.37</v>
      </c>
      <c r="E75" s="17">
        <v>2350</v>
      </c>
      <c r="F75" s="17">
        <f t="shared" si="5"/>
        <v>80.369999999999891</v>
      </c>
      <c r="G75" s="25">
        <f t="shared" si="6"/>
        <v>2430.37</v>
      </c>
      <c r="H75" s="25">
        <f t="shared" si="7"/>
        <v>2350</v>
      </c>
      <c r="I75" s="25">
        <f t="shared" si="8"/>
        <v>80.369999999999891</v>
      </c>
      <c r="J75" s="18">
        <f t="shared" si="9"/>
        <v>3.4199999999999953E-2</v>
      </c>
      <c r="K75" s="17" t="s">
        <v>74</v>
      </c>
    </row>
    <row r="76" spans="1:11" x14ac:dyDescent="0.25">
      <c r="A76" s="16">
        <v>45990</v>
      </c>
      <c r="B76" s="17" t="s">
        <v>99</v>
      </c>
      <c r="C76" s="17">
        <v>1</v>
      </c>
      <c r="D76" s="17">
        <v>2025.31</v>
      </c>
      <c r="E76" s="17">
        <v>1950</v>
      </c>
      <c r="F76" s="17">
        <f t="shared" si="5"/>
        <v>75.309999999999945</v>
      </c>
      <c r="G76" s="25">
        <f t="shared" si="6"/>
        <v>2025.31</v>
      </c>
      <c r="H76" s="25">
        <f t="shared" si="7"/>
        <v>1950</v>
      </c>
      <c r="I76" s="25">
        <f t="shared" si="8"/>
        <v>75.309999999999945</v>
      </c>
      <c r="J76" s="18">
        <f t="shared" si="9"/>
        <v>3.8620512820512792E-2</v>
      </c>
      <c r="K76" s="17" t="s">
        <v>74</v>
      </c>
    </row>
    <row r="77" spans="1:11" x14ac:dyDescent="0.25">
      <c r="A77" s="16">
        <v>45978</v>
      </c>
      <c r="B77" s="17" t="s">
        <v>11</v>
      </c>
      <c r="C77" s="17">
        <v>1</v>
      </c>
      <c r="D77" s="17">
        <v>4025.31</v>
      </c>
      <c r="E77" s="17">
        <v>3075</v>
      </c>
      <c r="F77" s="17">
        <f t="shared" si="5"/>
        <v>950.31</v>
      </c>
      <c r="G77" s="25">
        <f t="shared" si="6"/>
        <v>4025.31</v>
      </c>
      <c r="H77" s="25">
        <f t="shared" si="7"/>
        <v>3075</v>
      </c>
      <c r="I77" s="25">
        <f t="shared" si="8"/>
        <v>950.31</v>
      </c>
      <c r="J77" s="18">
        <f t="shared" si="9"/>
        <v>0.30904390243902435</v>
      </c>
      <c r="K77" s="17" t="s">
        <v>40</v>
      </c>
    </row>
    <row r="78" spans="1:11" x14ac:dyDescent="0.25">
      <c r="A78" s="16">
        <v>45978</v>
      </c>
      <c r="B78" s="17" t="s">
        <v>12</v>
      </c>
      <c r="C78" s="17">
        <v>1</v>
      </c>
      <c r="D78" s="17">
        <v>2949.36</v>
      </c>
      <c r="E78" s="17">
        <v>2750</v>
      </c>
      <c r="F78" s="17">
        <f t="shared" si="5"/>
        <v>199.36000000000013</v>
      </c>
      <c r="G78" s="25">
        <f t="shared" si="6"/>
        <v>2949.36</v>
      </c>
      <c r="H78" s="25">
        <f t="shared" si="7"/>
        <v>2750</v>
      </c>
      <c r="I78" s="25">
        <f t="shared" si="8"/>
        <v>199.36000000000013</v>
      </c>
      <c r="J78" s="18">
        <f t="shared" si="9"/>
        <v>7.2494545454545506E-2</v>
      </c>
      <c r="K78" s="17" t="s">
        <v>40</v>
      </c>
    </row>
    <row r="79" spans="1:11" x14ac:dyDescent="0.25">
      <c r="A79" s="16">
        <v>45978</v>
      </c>
      <c r="B79" s="17" t="s">
        <v>39</v>
      </c>
      <c r="C79" s="17">
        <v>1</v>
      </c>
      <c r="D79" s="17">
        <v>2784.81</v>
      </c>
      <c r="E79" s="17">
        <v>2600</v>
      </c>
      <c r="F79" s="17">
        <f t="shared" si="5"/>
        <v>184.80999999999995</v>
      </c>
      <c r="G79" s="25">
        <f t="shared" si="6"/>
        <v>2784.81</v>
      </c>
      <c r="H79" s="25">
        <f t="shared" si="7"/>
        <v>2600</v>
      </c>
      <c r="I79" s="25">
        <f t="shared" si="8"/>
        <v>184.80999999999995</v>
      </c>
      <c r="J79" s="18">
        <f t="shared" si="9"/>
        <v>7.1080769230769211E-2</v>
      </c>
      <c r="K79" s="17" t="s">
        <v>40</v>
      </c>
    </row>
    <row r="80" spans="1:11" x14ac:dyDescent="0.25">
      <c r="A80" s="16">
        <v>45978</v>
      </c>
      <c r="B80" s="17" t="s">
        <v>30</v>
      </c>
      <c r="C80" s="17">
        <v>1</v>
      </c>
      <c r="D80" s="17">
        <v>2367.08</v>
      </c>
      <c r="E80" s="17">
        <v>2250</v>
      </c>
      <c r="F80" s="17">
        <f t="shared" si="5"/>
        <v>117.07999999999993</v>
      </c>
      <c r="G80" s="25">
        <f t="shared" si="6"/>
        <v>2367.08</v>
      </c>
      <c r="H80" s="25">
        <f t="shared" si="7"/>
        <v>2250</v>
      </c>
      <c r="I80" s="25">
        <f t="shared" si="8"/>
        <v>117.07999999999993</v>
      </c>
      <c r="J80" s="18">
        <f t="shared" si="9"/>
        <v>5.2035555555555522E-2</v>
      </c>
      <c r="K80" s="17" t="s">
        <v>40</v>
      </c>
    </row>
    <row r="81" spans="1:11" x14ac:dyDescent="0.25">
      <c r="A81" s="7">
        <v>45967</v>
      </c>
      <c r="B81" s="10" t="s">
        <v>75</v>
      </c>
      <c r="C81" s="15">
        <v>23</v>
      </c>
      <c r="D81" s="15">
        <v>660</v>
      </c>
      <c r="E81" s="8">
        <v>623.98</v>
      </c>
      <c r="F81" s="8">
        <f t="shared" si="5"/>
        <v>36.019999999999982</v>
      </c>
      <c r="G81" s="22">
        <f t="shared" si="6"/>
        <v>15180</v>
      </c>
      <c r="H81" s="23">
        <f t="shared" si="7"/>
        <v>14351.54</v>
      </c>
      <c r="I81" s="23">
        <f t="shared" si="8"/>
        <v>828.45999999999913</v>
      </c>
      <c r="J81" s="9">
        <f t="shared" si="9"/>
        <v>5.7726209173370908E-2</v>
      </c>
      <c r="K81" s="8" t="s">
        <v>56</v>
      </c>
    </row>
    <row r="82" spans="1:11" x14ac:dyDescent="0.25">
      <c r="A82" s="7">
        <v>45968</v>
      </c>
      <c r="B82" s="10" t="s">
        <v>64</v>
      </c>
      <c r="C82" s="15">
        <v>2</v>
      </c>
      <c r="D82" s="15">
        <v>2030</v>
      </c>
      <c r="E82" s="8">
        <v>1426.36</v>
      </c>
      <c r="F82" s="8">
        <f t="shared" si="5"/>
        <v>603.6400000000001</v>
      </c>
      <c r="G82" s="22">
        <f t="shared" si="6"/>
        <v>4060</v>
      </c>
      <c r="H82" s="23">
        <f t="shared" si="7"/>
        <v>2852.72</v>
      </c>
      <c r="I82" s="23">
        <f t="shared" si="8"/>
        <v>1207.2800000000002</v>
      </c>
      <c r="J82" s="9">
        <f t="shared" si="9"/>
        <v>0.42320311842732561</v>
      </c>
      <c r="K82" s="8" t="s">
        <v>100</v>
      </c>
    </row>
    <row r="83" spans="1:11" x14ac:dyDescent="0.25">
      <c r="A83" s="14">
        <v>45983</v>
      </c>
      <c r="B83" s="15" t="s">
        <v>52</v>
      </c>
      <c r="C83" s="15">
        <v>5</v>
      </c>
      <c r="D83" s="15">
        <v>3700</v>
      </c>
      <c r="E83" s="10">
        <v>2671.55</v>
      </c>
      <c r="F83" s="8">
        <f t="shared" si="5"/>
        <v>1028.4499999999998</v>
      </c>
      <c r="G83" s="22">
        <f t="shared" si="6"/>
        <v>18500</v>
      </c>
      <c r="H83" s="23">
        <f t="shared" si="7"/>
        <v>13357.75</v>
      </c>
      <c r="I83" s="23">
        <f t="shared" si="8"/>
        <v>5142.25</v>
      </c>
      <c r="J83" s="9">
        <f t="shared" si="9"/>
        <v>0.38496378506859302</v>
      </c>
      <c r="K83" s="10" t="s">
        <v>56</v>
      </c>
    </row>
    <row r="84" spans="1:11" x14ac:dyDescent="0.25">
      <c r="A84" s="14">
        <v>45986</v>
      </c>
      <c r="B84" s="8" t="s">
        <v>52</v>
      </c>
      <c r="C84" s="15">
        <v>10</v>
      </c>
      <c r="D84" s="15">
        <v>3600</v>
      </c>
      <c r="E84" s="10">
        <v>2671.55</v>
      </c>
      <c r="F84" s="8">
        <f t="shared" si="5"/>
        <v>928.44999999999982</v>
      </c>
      <c r="G84" s="22">
        <f t="shared" si="6"/>
        <v>36000</v>
      </c>
      <c r="H84" s="23">
        <f t="shared" si="7"/>
        <v>26715.5</v>
      </c>
      <c r="I84" s="23">
        <f t="shared" si="8"/>
        <v>9284.5</v>
      </c>
      <c r="J84" s="9">
        <f t="shared" si="9"/>
        <v>0.34753233141809053</v>
      </c>
      <c r="K84" s="10" t="s">
        <v>56</v>
      </c>
    </row>
    <row r="85" spans="1:11" x14ac:dyDescent="0.25">
      <c r="A85" s="14">
        <v>45986</v>
      </c>
      <c r="B85" s="8" t="s">
        <v>64</v>
      </c>
      <c r="C85" s="15">
        <v>10</v>
      </c>
      <c r="D85" s="15">
        <v>1770</v>
      </c>
      <c r="E85" s="8">
        <v>1396.87</v>
      </c>
      <c r="F85" s="8">
        <f t="shared" si="5"/>
        <v>373.13000000000011</v>
      </c>
      <c r="G85" s="22">
        <f t="shared" si="6"/>
        <v>17700</v>
      </c>
      <c r="H85" s="23">
        <f t="shared" si="7"/>
        <v>13968.699999999999</v>
      </c>
      <c r="I85" s="23">
        <f t="shared" si="8"/>
        <v>3731.3000000000011</v>
      </c>
      <c r="J85" s="9">
        <f t="shared" si="9"/>
        <v>0.26711862950739879</v>
      </c>
      <c r="K85" s="10" t="s">
        <v>56</v>
      </c>
    </row>
    <row r="86" spans="1:11" x14ac:dyDescent="0.25">
      <c r="A86" s="7">
        <v>45988</v>
      </c>
      <c r="B86" s="10" t="s">
        <v>64</v>
      </c>
      <c r="C86" s="15">
        <v>12</v>
      </c>
      <c r="D86" s="15">
        <v>1750</v>
      </c>
      <c r="E86" s="8">
        <v>1431.75</v>
      </c>
      <c r="F86" s="8">
        <f t="shared" si="5"/>
        <v>318.25</v>
      </c>
      <c r="G86" s="22">
        <f t="shared" si="6"/>
        <v>21000</v>
      </c>
      <c r="H86" s="23">
        <f t="shared" si="7"/>
        <v>17181</v>
      </c>
      <c r="I86" s="23">
        <f t="shared" si="8"/>
        <v>3819</v>
      </c>
      <c r="J86" s="9">
        <f t="shared" si="9"/>
        <v>0.22228042605203421</v>
      </c>
      <c r="K86" s="8" t="s">
        <v>56</v>
      </c>
    </row>
    <row r="87" spans="1:11" x14ac:dyDescent="0.25">
      <c r="A87" s="7">
        <v>45962</v>
      </c>
      <c r="B87" s="8" t="s">
        <v>18</v>
      </c>
      <c r="C87" s="15">
        <v>1</v>
      </c>
      <c r="D87" s="15">
        <v>3880</v>
      </c>
      <c r="E87" s="8">
        <v>3600</v>
      </c>
      <c r="F87" s="8">
        <f t="shared" si="5"/>
        <v>280</v>
      </c>
      <c r="G87" s="22">
        <f t="shared" si="6"/>
        <v>3880</v>
      </c>
      <c r="H87" s="23">
        <f t="shared" si="7"/>
        <v>3600</v>
      </c>
      <c r="I87" s="23">
        <f t="shared" si="8"/>
        <v>280</v>
      </c>
      <c r="J87" s="9">
        <f t="shared" si="9"/>
        <v>7.7777777777777779E-2</v>
      </c>
      <c r="K87" s="8" t="s">
        <v>29</v>
      </c>
    </row>
    <row r="88" spans="1:11" x14ac:dyDescent="0.25">
      <c r="A88" s="7">
        <v>45964</v>
      </c>
      <c r="B88" s="10" t="s">
        <v>27</v>
      </c>
      <c r="C88" s="15">
        <v>1</v>
      </c>
      <c r="D88" s="15">
        <v>2100</v>
      </c>
      <c r="E88" s="8">
        <v>2100</v>
      </c>
      <c r="F88" s="8">
        <f t="shared" si="5"/>
        <v>0</v>
      </c>
      <c r="G88" s="22">
        <f t="shared" si="6"/>
        <v>2100</v>
      </c>
      <c r="H88" s="23">
        <f t="shared" si="7"/>
        <v>2100</v>
      </c>
      <c r="I88" s="23">
        <f t="shared" si="8"/>
        <v>0</v>
      </c>
      <c r="J88" s="9">
        <f t="shared" si="9"/>
        <v>0</v>
      </c>
      <c r="K88" s="8" t="s">
        <v>29</v>
      </c>
    </row>
    <row r="89" spans="1:11" x14ac:dyDescent="0.25">
      <c r="A89" s="7">
        <v>45964</v>
      </c>
      <c r="B89" s="10" t="s">
        <v>28</v>
      </c>
      <c r="C89" s="15">
        <v>2</v>
      </c>
      <c r="D89" s="15">
        <v>2300</v>
      </c>
      <c r="E89" s="8">
        <v>2120</v>
      </c>
      <c r="F89" s="8">
        <f t="shared" si="5"/>
        <v>180</v>
      </c>
      <c r="G89" s="22">
        <f t="shared" si="6"/>
        <v>4600</v>
      </c>
      <c r="H89" s="23">
        <f t="shared" si="7"/>
        <v>4240</v>
      </c>
      <c r="I89" s="23">
        <f t="shared" si="8"/>
        <v>360</v>
      </c>
      <c r="J89" s="9">
        <f t="shared" si="9"/>
        <v>8.4905660377358486E-2</v>
      </c>
      <c r="K89" s="8" t="s">
        <v>29</v>
      </c>
    </row>
    <row r="90" spans="1:11" x14ac:dyDescent="0.25">
      <c r="A90" s="7">
        <v>45964</v>
      </c>
      <c r="B90" s="10" t="s">
        <v>28</v>
      </c>
      <c r="C90" s="15">
        <v>5</v>
      </c>
      <c r="D90" s="15">
        <v>2340</v>
      </c>
      <c r="E90" s="8">
        <v>2130</v>
      </c>
      <c r="F90" s="8">
        <f t="shared" si="5"/>
        <v>210</v>
      </c>
      <c r="G90" s="22">
        <f t="shared" si="6"/>
        <v>11700</v>
      </c>
      <c r="H90" s="23">
        <f t="shared" si="7"/>
        <v>10650</v>
      </c>
      <c r="I90" s="23">
        <f t="shared" si="8"/>
        <v>1050</v>
      </c>
      <c r="J90" s="9">
        <f t="shared" si="9"/>
        <v>9.8591549295774641E-2</v>
      </c>
      <c r="K90" s="8" t="s">
        <v>29</v>
      </c>
    </row>
    <row r="91" spans="1:11" x14ac:dyDescent="0.25">
      <c r="A91" s="7">
        <v>45964</v>
      </c>
      <c r="B91" s="10" t="s">
        <v>28</v>
      </c>
      <c r="C91" s="15">
        <v>1</v>
      </c>
      <c r="D91" s="15">
        <v>2340</v>
      </c>
      <c r="E91" s="8">
        <v>2250</v>
      </c>
      <c r="F91" s="8">
        <f t="shared" si="5"/>
        <v>90</v>
      </c>
      <c r="G91" s="22">
        <f t="shared" si="6"/>
        <v>2340</v>
      </c>
      <c r="H91" s="23">
        <f t="shared" si="7"/>
        <v>2250</v>
      </c>
      <c r="I91" s="23">
        <f t="shared" si="8"/>
        <v>90</v>
      </c>
      <c r="J91" s="9">
        <f t="shared" si="9"/>
        <v>0.04</v>
      </c>
      <c r="K91" s="8" t="s">
        <v>29</v>
      </c>
    </row>
    <row r="92" spans="1:11" x14ac:dyDescent="0.25">
      <c r="A92" s="7">
        <v>45964</v>
      </c>
      <c r="B92" s="10" t="s">
        <v>35</v>
      </c>
      <c r="C92" s="15">
        <v>2</v>
      </c>
      <c r="D92" s="15">
        <v>2130</v>
      </c>
      <c r="E92" s="8">
        <v>2020</v>
      </c>
      <c r="F92" s="8">
        <f t="shared" si="5"/>
        <v>110</v>
      </c>
      <c r="G92" s="22">
        <f t="shared" si="6"/>
        <v>4260</v>
      </c>
      <c r="H92" s="23">
        <f t="shared" si="7"/>
        <v>4040</v>
      </c>
      <c r="I92" s="23">
        <f t="shared" si="8"/>
        <v>220</v>
      </c>
      <c r="J92" s="9">
        <f t="shared" si="9"/>
        <v>5.4455445544554455E-2</v>
      </c>
      <c r="K92" s="8" t="s">
        <v>29</v>
      </c>
    </row>
    <row r="93" spans="1:11" x14ac:dyDescent="0.25">
      <c r="A93" s="7">
        <v>45964</v>
      </c>
      <c r="B93" s="10" t="s">
        <v>70</v>
      </c>
      <c r="C93" s="15">
        <v>1</v>
      </c>
      <c r="D93" s="15">
        <v>800</v>
      </c>
      <c r="E93" s="8">
        <v>780</v>
      </c>
      <c r="F93" s="8">
        <f t="shared" si="5"/>
        <v>20</v>
      </c>
      <c r="G93" s="22">
        <f t="shared" si="6"/>
        <v>800</v>
      </c>
      <c r="H93" s="23">
        <f t="shared" si="7"/>
        <v>780</v>
      </c>
      <c r="I93" s="23">
        <f t="shared" si="8"/>
        <v>20</v>
      </c>
      <c r="J93" s="9">
        <f t="shared" si="9"/>
        <v>2.564102564102564E-2</v>
      </c>
      <c r="K93" s="8" t="s">
        <v>29</v>
      </c>
    </row>
    <row r="94" spans="1:11" x14ac:dyDescent="0.25">
      <c r="A94" s="7">
        <v>45964</v>
      </c>
      <c r="B94" s="10" t="s">
        <v>30</v>
      </c>
      <c r="C94" s="15">
        <v>1</v>
      </c>
      <c r="D94" s="15">
        <v>2640</v>
      </c>
      <c r="E94" s="8">
        <v>2530</v>
      </c>
      <c r="F94" s="8">
        <f t="shared" si="5"/>
        <v>110</v>
      </c>
      <c r="G94" s="22">
        <f t="shared" si="6"/>
        <v>2640</v>
      </c>
      <c r="H94" s="23">
        <f t="shared" si="7"/>
        <v>2530</v>
      </c>
      <c r="I94" s="23">
        <f t="shared" si="8"/>
        <v>110</v>
      </c>
      <c r="J94" s="9">
        <f t="shared" si="9"/>
        <v>4.3478260869565216E-2</v>
      </c>
      <c r="K94" s="8" t="s">
        <v>29</v>
      </c>
    </row>
    <row r="95" spans="1:11" x14ac:dyDescent="0.25">
      <c r="A95" s="7">
        <v>45965</v>
      </c>
      <c r="B95" s="10" t="s">
        <v>53</v>
      </c>
      <c r="C95" s="15">
        <v>6</v>
      </c>
      <c r="D95" s="15">
        <v>2091.67</v>
      </c>
      <c r="E95" s="8">
        <v>1920</v>
      </c>
      <c r="F95" s="8">
        <f t="shared" si="5"/>
        <v>171.67000000000007</v>
      </c>
      <c r="G95" s="22">
        <f t="shared" si="6"/>
        <v>12550.02</v>
      </c>
      <c r="H95" s="23">
        <f t="shared" si="7"/>
        <v>11520</v>
      </c>
      <c r="I95" s="23">
        <f t="shared" si="8"/>
        <v>1030.0200000000004</v>
      </c>
      <c r="J95" s="9">
        <f t="shared" si="9"/>
        <v>8.9411458333333374E-2</v>
      </c>
      <c r="K95" s="8" t="s">
        <v>29</v>
      </c>
    </row>
    <row r="96" spans="1:11" x14ac:dyDescent="0.25">
      <c r="A96" s="11">
        <v>45965</v>
      </c>
      <c r="B96" s="12" t="s">
        <v>26</v>
      </c>
      <c r="C96" s="12">
        <v>3</v>
      </c>
      <c r="D96" s="12">
        <v>2125</v>
      </c>
      <c r="E96" s="12">
        <v>2130</v>
      </c>
      <c r="F96" s="12">
        <f t="shared" si="5"/>
        <v>-5</v>
      </c>
      <c r="G96" s="24">
        <f t="shared" si="6"/>
        <v>6375</v>
      </c>
      <c r="H96" s="24">
        <f t="shared" si="7"/>
        <v>6390</v>
      </c>
      <c r="I96" s="24">
        <f t="shared" si="8"/>
        <v>-15</v>
      </c>
      <c r="J96" s="13">
        <f t="shared" si="9"/>
        <v>-2.3474178403755869E-3</v>
      </c>
      <c r="K96" s="12" t="s">
        <v>29</v>
      </c>
    </row>
    <row r="97" spans="1:11" x14ac:dyDescent="0.25">
      <c r="A97" s="7">
        <v>45966</v>
      </c>
      <c r="B97" s="10" t="s">
        <v>72</v>
      </c>
      <c r="C97" s="15">
        <v>1</v>
      </c>
      <c r="D97" s="15">
        <v>2850</v>
      </c>
      <c r="E97" s="8">
        <v>2600</v>
      </c>
      <c r="F97" s="8">
        <f t="shared" si="5"/>
        <v>250</v>
      </c>
      <c r="G97" s="22">
        <f t="shared" si="6"/>
        <v>2850</v>
      </c>
      <c r="H97" s="23">
        <f t="shared" si="7"/>
        <v>2600</v>
      </c>
      <c r="I97" s="23">
        <f t="shared" si="8"/>
        <v>250</v>
      </c>
      <c r="J97" s="9">
        <f t="shared" si="9"/>
        <v>9.6153846153846159E-2</v>
      </c>
      <c r="K97" s="8" t="s">
        <v>29</v>
      </c>
    </row>
    <row r="98" spans="1:11" x14ac:dyDescent="0.25">
      <c r="A98" s="7">
        <v>45966</v>
      </c>
      <c r="B98" s="10" t="s">
        <v>20</v>
      </c>
      <c r="C98" s="15">
        <v>2</v>
      </c>
      <c r="D98" s="15">
        <v>1350</v>
      </c>
      <c r="E98" s="8">
        <v>1250</v>
      </c>
      <c r="F98" s="8">
        <f t="shared" si="5"/>
        <v>100</v>
      </c>
      <c r="G98" s="22">
        <f t="shared" si="6"/>
        <v>2700</v>
      </c>
      <c r="H98" s="23">
        <f t="shared" si="7"/>
        <v>2500</v>
      </c>
      <c r="I98" s="23">
        <f t="shared" si="8"/>
        <v>200</v>
      </c>
      <c r="J98" s="9">
        <f t="shared" si="9"/>
        <v>0.08</v>
      </c>
      <c r="K98" s="8" t="s">
        <v>29</v>
      </c>
    </row>
    <row r="99" spans="1:11" x14ac:dyDescent="0.25">
      <c r="A99" s="7">
        <v>45966</v>
      </c>
      <c r="B99" s="10" t="s">
        <v>20</v>
      </c>
      <c r="C99" s="15">
        <v>1</v>
      </c>
      <c r="D99" s="15">
        <v>1200</v>
      </c>
      <c r="E99" s="8">
        <v>1200</v>
      </c>
      <c r="F99" s="8">
        <f t="shared" si="5"/>
        <v>0</v>
      </c>
      <c r="G99" s="22">
        <f t="shared" si="6"/>
        <v>1200</v>
      </c>
      <c r="H99" s="23">
        <f t="shared" si="7"/>
        <v>1200</v>
      </c>
      <c r="I99" s="23">
        <f t="shared" si="8"/>
        <v>0</v>
      </c>
      <c r="J99" s="9">
        <f t="shared" si="9"/>
        <v>0</v>
      </c>
      <c r="K99" s="8" t="s">
        <v>29</v>
      </c>
    </row>
    <row r="100" spans="1:11" x14ac:dyDescent="0.25">
      <c r="A100" s="7">
        <v>45966</v>
      </c>
      <c r="B100" s="10" t="s">
        <v>73</v>
      </c>
      <c r="C100" s="15">
        <v>1</v>
      </c>
      <c r="D100" s="15">
        <v>2150</v>
      </c>
      <c r="E100" s="8">
        <v>2000</v>
      </c>
      <c r="F100" s="8">
        <f t="shared" si="5"/>
        <v>150</v>
      </c>
      <c r="G100" s="22">
        <f t="shared" si="6"/>
        <v>2150</v>
      </c>
      <c r="H100" s="23">
        <f t="shared" si="7"/>
        <v>2000</v>
      </c>
      <c r="I100" s="23">
        <f t="shared" si="8"/>
        <v>150</v>
      </c>
      <c r="J100" s="9">
        <f t="shared" si="9"/>
        <v>7.4999999999999997E-2</v>
      </c>
      <c r="K100" s="8" t="s">
        <v>29</v>
      </c>
    </row>
    <row r="101" spans="1:11" x14ac:dyDescent="0.25">
      <c r="A101" s="7">
        <v>45967</v>
      </c>
      <c r="B101" s="8" t="s">
        <v>11</v>
      </c>
      <c r="C101" s="15">
        <v>1</v>
      </c>
      <c r="D101" s="15">
        <v>3825</v>
      </c>
      <c r="E101" s="8">
        <v>3750</v>
      </c>
      <c r="F101" s="8">
        <f t="shared" si="5"/>
        <v>75</v>
      </c>
      <c r="G101" s="22">
        <f t="shared" si="6"/>
        <v>3825</v>
      </c>
      <c r="H101" s="23">
        <f t="shared" si="7"/>
        <v>3750</v>
      </c>
      <c r="I101" s="23">
        <f t="shared" si="8"/>
        <v>75</v>
      </c>
      <c r="J101" s="9">
        <f t="shared" si="9"/>
        <v>0.02</v>
      </c>
      <c r="K101" s="8" t="s">
        <v>29</v>
      </c>
    </row>
    <row r="102" spans="1:11" x14ac:dyDescent="0.25">
      <c r="A102" s="11">
        <v>45967</v>
      </c>
      <c r="B102" s="12" t="s">
        <v>12</v>
      </c>
      <c r="C102" s="12">
        <v>2</v>
      </c>
      <c r="D102" s="12">
        <v>2825</v>
      </c>
      <c r="E102" s="12">
        <v>2900</v>
      </c>
      <c r="F102" s="12">
        <f t="shared" si="5"/>
        <v>-75</v>
      </c>
      <c r="G102" s="24">
        <f t="shared" si="6"/>
        <v>5650</v>
      </c>
      <c r="H102" s="24">
        <f t="shared" si="7"/>
        <v>5800</v>
      </c>
      <c r="I102" s="24">
        <f t="shared" si="8"/>
        <v>-150</v>
      </c>
      <c r="J102" s="13">
        <f t="shared" si="9"/>
        <v>-2.5862068965517241E-2</v>
      </c>
      <c r="K102" s="12" t="s">
        <v>29</v>
      </c>
    </row>
    <row r="103" spans="1:11" x14ac:dyDescent="0.25">
      <c r="A103" s="7">
        <v>45967</v>
      </c>
      <c r="B103" s="10" t="s">
        <v>28</v>
      </c>
      <c r="C103" s="15">
        <v>1</v>
      </c>
      <c r="D103" s="15">
        <v>2350</v>
      </c>
      <c r="E103" s="8">
        <v>2250</v>
      </c>
      <c r="F103" s="8">
        <f t="shared" si="5"/>
        <v>100</v>
      </c>
      <c r="G103" s="22">
        <f t="shared" si="6"/>
        <v>2350</v>
      </c>
      <c r="H103" s="23">
        <f t="shared" si="7"/>
        <v>2250</v>
      </c>
      <c r="I103" s="23">
        <f t="shared" si="8"/>
        <v>100</v>
      </c>
      <c r="J103" s="9">
        <f t="shared" si="9"/>
        <v>4.4444444444444446E-2</v>
      </c>
      <c r="K103" s="8" t="s">
        <v>29</v>
      </c>
    </row>
    <row r="104" spans="1:11" x14ac:dyDescent="0.25">
      <c r="A104" s="7">
        <v>45967</v>
      </c>
      <c r="B104" s="10" t="s">
        <v>36</v>
      </c>
      <c r="C104" s="15">
        <v>1</v>
      </c>
      <c r="D104" s="15">
        <v>1550</v>
      </c>
      <c r="E104" s="8">
        <v>1400</v>
      </c>
      <c r="F104" s="8">
        <f t="shared" si="5"/>
        <v>150</v>
      </c>
      <c r="G104" s="22">
        <f t="shared" si="6"/>
        <v>1550</v>
      </c>
      <c r="H104" s="23">
        <f t="shared" si="7"/>
        <v>1400</v>
      </c>
      <c r="I104" s="23">
        <f t="shared" si="8"/>
        <v>150</v>
      </c>
      <c r="J104" s="9">
        <f t="shared" si="9"/>
        <v>0.10714285714285714</v>
      </c>
      <c r="K104" s="8" t="s">
        <v>29</v>
      </c>
    </row>
    <row r="105" spans="1:11" x14ac:dyDescent="0.25">
      <c r="A105" s="7">
        <v>45969</v>
      </c>
      <c r="B105" s="10" t="s">
        <v>81</v>
      </c>
      <c r="C105" s="15">
        <v>6</v>
      </c>
      <c r="D105" s="15">
        <v>1480</v>
      </c>
      <c r="E105" s="8">
        <v>1400</v>
      </c>
      <c r="F105" s="8">
        <f t="shared" si="5"/>
        <v>80</v>
      </c>
      <c r="G105" s="22">
        <f t="shared" si="6"/>
        <v>8880</v>
      </c>
      <c r="H105" s="23">
        <f t="shared" si="7"/>
        <v>8400</v>
      </c>
      <c r="I105" s="23">
        <f t="shared" si="8"/>
        <v>480</v>
      </c>
      <c r="J105" s="9">
        <f t="shared" si="9"/>
        <v>5.7142857142857141E-2</v>
      </c>
      <c r="K105" s="8" t="s">
        <v>29</v>
      </c>
    </row>
    <row r="106" spans="1:11" x14ac:dyDescent="0.25">
      <c r="A106" s="7">
        <v>45969</v>
      </c>
      <c r="B106" s="10" t="s">
        <v>82</v>
      </c>
      <c r="C106" s="15">
        <v>1</v>
      </c>
      <c r="D106" s="15">
        <v>790</v>
      </c>
      <c r="E106" s="8">
        <v>740</v>
      </c>
      <c r="F106" s="8">
        <f t="shared" si="5"/>
        <v>50</v>
      </c>
      <c r="G106" s="22">
        <f t="shared" si="6"/>
        <v>790</v>
      </c>
      <c r="H106" s="23">
        <f t="shared" si="7"/>
        <v>740</v>
      </c>
      <c r="I106" s="23">
        <f t="shared" si="8"/>
        <v>50</v>
      </c>
      <c r="J106" s="9">
        <f t="shared" si="9"/>
        <v>6.7567567567567571E-2</v>
      </c>
      <c r="K106" s="8" t="s">
        <v>29</v>
      </c>
    </row>
    <row r="107" spans="1:11" x14ac:dyDescent="0.25">
      <c r="A107" s="7">
        <v>45969</v>
      </c>
      <c r="B107" s="10" t="s">
        <v>81</v>
      </c>
      <c r="C107" s="15">
        <v>1</v>
      </c>
      <c r="D107" s="15">
        <v>1520</v>
      </c>
      <c r="E107" s="8">
        <v>1400</v>
      </c>
      <c r="F107" s="8">
        <f t="shared" si="5"/>
        <v>120</v>
      </c>
      <c r="G107" s="22">
        <f t="shared" si="6"/>
        <v>1520</v>
      </c>
      <c r="H107" s="23">
        <f t="shared" si="7"/>
        <v>1400</v>
      </c>
      <c r="I107" s="23">
        <f t="shared" si="8"/>
        <v>120</v>
      </c>
      <c r="J107" s="9">
        <f t="shared" si="9"/>
        <v>8.5714285714285715E-2</v>
      </c>
      <c r="K107" s="8" t="s">
        <v>29</v>
      </c>
    </row>
    <row r="108" spans="1:11" x14ac:dyDescent="0.25">
      <c r="A108" s="7">
        <v>45969</v>
      </c>
      <c r="B108" s="10" t="s">
        <v>80</v>
      </c>
      <c r="C108" s="15">
        <v>1</v>
      </c>
      <c r="D108" s="15">
        <v>1400</v>
      </c>
      <c r="E108" s="8">
        <v>1300</v>
      </c>
      <c r="F108" s="8">
        <f t="shared" si="5"/>
        <v>100</v>
      </c>
      <c r="G108" s="22">
        <f t="shared" si="6"/>
        <v>1400</v>
      </c>
      <c r="H108" s="23">
        <f t="shared" si="7"/>
        <v>1300</v>
      </c>
      <c r="I108" s="23">
        <f t="shared" si="8"/>
        <v>100</v>
      </c>
      <c r="J108" s="9">
        <f t="shared" si="9"/>
        <v>7.6923076923076927E-2</v>
      </c>
      <c r="K108" s="8" t="s">
        <v>29</v>
      </c>
    </row>
    <row r="109" spans="1:11" x14ac:dyDescent="0.25">
      <c r="A109" s="7">
        <v>45971</v>
      </c>
      <c r="B109" s="8" t="s">
        <v>19</v>
      </c>
      <c r="C109" s="8">
        <v>2</v>
      </c>
      <c r="D109" s="8">
        <v>2150</v>
      </c>
      <c r="E109" s="8">
        <v>2000</v>
      </c>
      <c r="F109" s="8">
        <f t="shared" si="5"/>
        <v>150</v>
      </c>
      <c r="G109" s="22">
        <f t="shared" si="6"/>
        <v>4300</v>
      </c>
      <c r="H109" s="23">
        <f t="shared" si="7"/>
        <v>4000</v>
      </c>
      <c r="I109" s="23">
        <f t="shared" si="8"/>
        <v>300</v>
      </c>
      <c r="J109" s="9">
        <f t="shared" si="9"/>
        <v>7.4999999999999997E-2</v>
      </c>
      <c r="K109" s="8" t="s">
        <v>29</v>
      </c>
    </row>
    <row r="110" spans="1:11" x14ac:dyDescent="0.25">
      <c r="A110" s="7">
        <v>45971</v>
      </c>
      <c r="B110" s="8" t="s">
        <v>20</v>
      </c>
      <c r="C110" s="8">
        <v>4</v>
      </c>
      <c r="D110" s="8">
        <v>1330</v>
      </c>
      <c r="E110" s="8">
        <v>1250</v>
      </c>
      <c r="F110" s="8">
        <f t="shared" si="5"/>
        <v>80</v>
      </c>
      <c r="G110" s="22">
        <f t="shared" si="6"/>
        <v>5320</v>
      </c>
      <c r="H110" s="23">
        <f t="shared" si="7"/>
        <v>5000</v>
      </c>
      <c r="I110" s="23">
        <f t="shared" si="8"/>
        <v>320</v>
      </c>
      <c r="J110" s="9">
        <f t="shared" si="9"/>
        <v>6.4000000000000001E-2</v>
      </c>
      <c r="K110" s="8" t="s">
        <v>29</v>
      </c>
    </row>
    <row r="111" spans="1:11" x14ac:dyDescent="0.25">
      <c r="A111" s="11">
        <v>45972</v>
      </c>
      <c r="B111" s="12" t="s">
        <v>12</v>
      </c>
      <c r="C111" s="12">
        <v>2</v>
      </c>
      <c r="D111" s="12">
        <v>2770</v>
      </c>
      <c r="E111" s="12">
        <v>2810</v>
      </c>
      <c r="F111" s="12">
        <f t="shared" si="5"/>
        <v>-40</v>
      </c>
      <c r="G111" s="24">
        <f t="shared" si="6"/>
        <v>5540</v>
      </c>
      <c r="H111" s="24">
        <f t="shared" si="7"/>
        <v>5620</v>
      </c>
      <c r="I111" s="24">
        <f t="shared" si="8"/>
        <v>-80</v>
      </c>
      <c r="J111" s="13">
        <f t="shared" si="9"/>
        <v>-1.4234875444839857E-2</v>
      </c>
      <c r="K111" s="12" t="s">
        <v>29</v>
      </c>
    </row>
    <row r="112" spans="1:11" x14ac:dyDescent="0.25">
      <c r="A112" s="11">
        <v>45972</v>
      </c>
      <c r="B112" s="12" t="s">
        <v>12</v>
      </c>
      <c r="C112" s="12">
        <v>1</v>
      </c>
      <c r="D112" s="12">
        <v>2740</v>
      </c>
      <c r="E112" s="12">
        <v>2810</v>
      </c>
      <c r="F112" s="12">
        <f t="shared" si="5"/>
        <v>-70</v>
      </c>
      <c r="G112" s="24">
        <f t="shared" si="6"/>
        <v>2740</v>
      </c>
      <c r="H112" s="24">
        <f t="shared" si="7"/>
        <v>2810</v>
      </c>
      <c r="I112" s="24">
        <f t="shared" si="8"/>
        <v>-70</v>
      </c>
      <c r="J112" s="13">
        <f t="shared" si="9"/>
        <v>-2.491103202846975E-2</v>
      </c>
      <c r="K112" s="12" t="s">
        <v>29</v>
      </c>
    </row>
    <row r="113" spans="1:11" x14ac:dyDescent="0.25">
      <c r="A113" s="7">
        <v>45972</v>
      </c>
      <c r="B113" s="10" t="s">
        <v>27</v>
      </c>
      <c r="C113" s="15">
        <v>5</v>
      </c>
      <c r="D113" s="15">
        <v>2100</v>
      </c>
      <c r="E113" s="8">
        <v>2070</v>
      </c>
      <c r="F113" s="8">
        <f t="shared" si="5"/>
        <v>30</v>
      </c>
      <c r="G113" s="22">
        <f t="shared" si="6"/>
        <v>10500</v>
      </c>
      <c r="H113" s="23">
        <f t="shared" si="7"/>
        <v>10350</v>
      </c>
      <c r="I113" s="23">
        <f t="shared" si="8"/>
        <v>150</v>
      </c>
      <c r="J113" s="9">
        <f t="shared" si="9"/>
        <v>1.4492753623188406E-2</v>
      </c>
      <c r="K113" s="8" t="s">
        <v>29</v>
      </c>
    </row>
    <row r="114" spans="1:11" x14ac:dyDescent="0.25">
      <c r="A114" s="7">
        <v>45972</v>
      </c>
      <c r="B114" s="10" t="s">
        <v>28</v>
      </c>
      <c r="C114" s="15">
        <v>2</v>
      </c>
      <c r="D114" s="15">
        <v>2340</v>
      </c>
      <c r="E114" s="8">
        <v>2150</v>
      </c>
      <c r="F114" s="8">
        <f t="shared" si="5"/>
        <v>190</v>
      </c>
      <c r="G114" s="22">
        <f t="shared" si="6"/>
        <v>4680</v>
      </c>
      <c r="H114" s="23">
        <f t="shared" si="7"/>
        <v>4300</v>
      </c>
      <c r="I114" s="23">
        <f t="shared" si="8"/>
        <v>380</v>
      </c>
      <c r="J114" s="9">
        <f t="shared" si="9"/>
        <v>8.8372093023255813E-2</v>
      </c>
      <c r="K114" s="8" t="s">
        <v>29</v>
      </c>
    </row>
    <row r="115" spans="1:11" x14ac:dyDescent="0.25">
      <c r="A115" s="7">
        <v>45972</v>
      </c>
      <c r="B115" s="10" t="s">
        <v>28</v>
      </c>
      <c r="C115" s="15">
        <v>1</v>
      </c>
      <c r="D115" s="15">
        <v>2300</v>
      </c>
      <c r="E115" s="8">
        <v>2150</v>
      </c>
      <c r="F115" s="8">
        <f t="shared" si="5"/>
        <v>150</v>
      </c>
      <c r="G115" s="22">
        <f t="shared" si="6"/>
        <v>2300</v>
      </c>
      <c r="H115" s="23">
        <f t="shared" si="7"/>
        <v>2150</v>
      </c>
      <c r="I115" s="23">
        <f t="shared" si="8"/>
        <v>150</v>
      </c>
      <c r="J115" s="9">
        <f t="shared" si="9"/>
        <v>6.9767441860465115E-2</v>
      </c>
      <c r="K115" s="8" t="s">
        <v>29</v>
      </c>
    </row>
    <row r="116" spans="1:11" x14ac:dyDescent="0.25">
      <c r="A116" s="7">
        <v>45972</v>
      </c>
      <c r="B116" s="10" t="s">
        <v>35</v>
      </c>
      <c r="C116" s="15">
        <v>5</v>
      </c>
      <c r="D116" s="15">
        <v>2130</v>
      </c>
      <c r="E116" s="8">
        <v>2020</v>
      </c>
      <c r="F116" s="8">
        <f t="shared" si="5"/>
        <v>110</v>
      </c>
      <c r="G116" s="22">
        <f t="shared" si="6"/>
        <v>10650</v>
      </c>
      <c r="H116" s="23">
        <f t="shared" si="7"/>
        <v>10100</v>
      </c>
      <c r="I116" s="23">
        <f t="shared" si="8"/>
        <v>550</v>
      </c>
      <c r="J116" s="9">
        <f t="shared" si="9"/>
        <v>5.4455445544554455E-2</v>
      </c>
      <c r="K116" s="8" t="s">
        <v>29</v>
      </c>
    </row>
    <row r="117" spans="1:11" x14ac:dyDescent="0.25">
      <c r="A117" s="11">
        <v>45972</v>
      </c>
      <c r="B117" s="12" t="s">
        <v>26</v>
      </c>
      <c r="C117" s="12">
        <v>8</v>
      </c>
      <c r="D117" s="12">
        <v>2000</v>
      </c>
      <c r="E117" s="12">
        <v>2130</v>
      </c>
      <c r="F117" s="12">
        <f t="shared" si="5"/>
        <v>-130</v>
      </c>
      <c r="G117" s="24">
        <f t="shared" si="6"/>
        <v>16000</v>
      </c>
      <c r="H117" s="24">
        <f t="shared" si="7"/>
        <v>17040</v>
      </c>
      <c r="I117" s="24">
        <f t="shared" si="8"/>
        <v>-1040</v>
      </c>
      <c r="J117" s="13">
        <f t="shared" si="9"/>
        <v>-6.1032863849765258E-2</v>
      </c>
      <c r="K117" s="12" t="s">
        <v>29</v>
      </c>
    </row>
    <row r="118" spans="1:11" x14ac:dyDescent="0.25">
      <c r="A118" s="11">
        <v>45972</v>
      </c>
      <c r="B118" s="12" t="s">
        <v>55</v>
      </c>
      <c r="C118" s="12">
        <v>3</v>
      </c>
      <c r="D118" s="12">
        <v>4450</v>
      </c>
      <c r="E118" s="12">
        <v>4500</v>
      </c>
      <c r="F118" s="12">
        <f t="shared" si="5"/>
        <v>-50</v>
      </c>
      <c r="G118" s="24">
        <f t="shared" si="6"/>
        <v>13350</v>
      </c>
      <c r="H118" s="24">
        <f t="shared" si="7"/>
        <v>13500</v>
      </c>
      <c r="I118" s="24">
        <f t="shared" si="8"/>
        <v>-150</v>
      </c>
      <c r="J118" s="13">
        <f t="shared" si="9"/>
        <v>-1.1111111111111112E-2</v>
      </c>
      <c r="K118" s="12" t="s">
        <v>29</v>
      </c>
    </row>
    <row r="119" spans="1:11" x14ac:dyDescent="0.25">
      <c r="A119" s="11">
        <v>45972</v>
      </c>
      <c r="B119" s="12" t="s">
        <v>12</v>
      </c>
      <c r="C119" s="12">
        <v>3</v>
      </c>
      <c r="D119" s="12">
        <v>2770</v>
      </c>
      <c r="E119" s="12">
        <v>2810</v>
      </c>
      <c r="F119" s="12">
        <f t="shared" si="5"/>
        <v>-40</v>
      </c>
      <c r="G119" s="24">
        <f t="shared" si="6"/>
        <v>8310</v>
      </c>
      <c r="H119" s="24">
        <f t="shared" si="7"/>
        <v>8430</v>
      </c>
      <c r="I119" s="24">
        <f t="shared" si="8"/>
        <v>-120</v>
      </c>
      <c r="J119" s="13">
        <f t="shared" si="9"/>
        <v>-1.4234875444839857E-2</v>
      </c>
      <c r="K119" s="12" t="s">
        <v>29</v>
      </c>
    </row>
    <row r="120" spans="1:11" x14ac:dyDescent="0.25">
      <c r="A120" s="11">
        <v>45974</v>
      </c>
      <c r="B120" s="12" t="s">
        <v>21</v>
      </c>
      <c r="C120" s="12">
        <v>4</v>
      </c>
      <c r="D120" s="12">
        <v>2450</v>
      </c>
      <c r="E120" s="12">
        <v>2550</v>
      </c>
      <c r="F120" s="12">
        <f t="shared" si="5"/>
        <v>-100</v>
      </c>
      <c r="G120" s="24">
        <f t="shared" si="6"/>
        <v>9800</v>
      </c>
      <c r="H120" s="24">
        <f t="shared" si="7"/>
        <v>10200</v>
      </c>
      <c r="I120" s="24">
        <f t="shared" si="8"/>
        <v>-400</v>
      </c>
      <c r="J120" s="13">
        <f t="shared" si="9"/>
        <v>-3.9215686274509803E-2</v>
      </c>
      <c r="K120" s="12" t="s">
        <v>29</v>
      </c>
    </row>
    <row r="121" spans="1:11" x14ac:dyDescent="0.25">
      <c r="A121" s="11">
        <v>45974</v>
      </c>
      <c r="B121" s="12" t="s">
        <v>12</v>
      </c>
      <c r="C121" s="12">
        <v>1</v>
      </c>
      <c r="D121" s="12">
        <v>2760</v>
      </c>
      <c r="E121" s="12">
        <v>2810</v>
      </c>
      <c r="F121" s="12">
        <f t="shared" si="5"/>
        <v>-50</v>
      </c>
      <c r="G121" s="24">
        <f t="shared" si="6"/>
        <v>2760</v>
      </c>
      <c r="H121" s="24">
        <f t="shared" si="7"/>
        <v>2810</v>
      </c>
      <c r="I121" s="24">
        <f t="shared" si="8"/>
        <v>-50</v>
      </c>
      <c r="J121" s="13">
        <f t="shared" si="9"/>
        <v>-1.7793594306049824E-2</v>
      </c>
      <c r="K121" s="12" t="s">
        <v>29</v>
      </c>
    </row>
    <row r="122" spans="1:11" x14ac:dyDescent="0.25">
      <c r="A122" s="11">
        <v>45974</v>
      </c>
      <c r="B122" s="12" t="s">
        <v>26</v>
      </c>
      <c r="C122" s="12">
        <v>4</v>
      </c>
      <c r="D122" s="12">
        <v>1975</v>
      </c>
      <c r="E122" s="12">
        <v>2000</v>
      </c>
      <c r="F122" s="12">
        <f t="shared" si="5"/>
        <v>-25</v>
      </c>
      <c r="G122" s="24">
        <f t="shared" si="6"/>
        <v>7900</v>
      </c>
      <c r="H122" s="24">
        <f t="shared" si="7"/>
        <v>8000</v>
      </c>
      <c r="I122" s="24">
        <f t="shared" si="8"/>
        <v>-100</v>
      </c>
      <c r="J122" s="13">
        <f t="shared" si="9"/>
        <v>-1.2500000000000001E-2</v>
      </c>
      <c r="K122" s="12" t="s">
        <v>29</v>
      </c>
    </row>
    <row r="123" spans="1:11" x14ac:dyDescent="0.25">
      <c r="A123" s="11">
        <v>45974</v>
      </c>
      <c r="B123" s="12" t="s">
        <v>26</v>
      </c>
      <c r="C123" s="12">
        <v>5</v>
      </c>
      <c r="D123" s="12">
        <v>1920</v>
      </c>
      <c r="E123" s="12">
        <v>2000</v>
      </c>
      <c r="F123" s="12">
        <f t="shared" si="5"/>
        <v>-80</v>
      </c>
      <c r="G123" s="24">
        <f t="shared" si="6"/>
        <v>9600</v>
      </c>
      <c r="H123" s="24">
        <f t="shared" si="7"/>
        <v>10000</v>
      </c>
      <c r="I123" s="24">
        <f t="shared" si="8"/>
        <v>-400</v>
      </c>
      <c r="J123" s="13">
        <f t="shared" si="9"/>
        <v>-0.04</v>
      </c>
      <c r="K123" s="12" t="s">
        <v>29</v>
      </c>
    </row>
    <row r="124" spans="1:11" x14ac:dyDescent="0.25">
      <c r="A124" s="11">
        <v>45974</v>
      </c>
      <c r="B124" s="12" t="s">
        <v>26</v>
      </c>
      <c r="C124" s="12">
        <v>1</v>
      </c>
      <c r="D124" s="12">
        <v>1980</v>
      </c>
      <c r="E124" s="12">
        <v>2000</v>
      </c>
      <c r="F124" s="12">
        <f t="shared" si="5"/>
        <v>-20</v>
      </c>
      <c r="G124" s="24">
        <f t="shared" si="6"/>
        <v>1980</v>
      </c>
      <c r="H124" s="24">
        <f t="shared" si="7"/>
        <v>2000</v>
      </c>
      <c r="I124" s="24">
        <f t="shared" si="8"/>
        <v>-20</v>
      </c>
      <c r="J124" s="13">
        <f t="shared" si="9"/>
        <v>-0.01</v>
      </c>
      <c r="K124" s="12" t="s">
        <v>29</v>
      </c>
    </row>
    <row r="125" spans="1:11" x14ac:dyDescent="0.25">
      <c r="A125" s="7">
        <v>45974</v>
      </c>
      <c r="B125" s="10" t="s">
        <v>27</v>
      </c>
      <c r="C125" s="10">
        <v>1</v>
      </c>
      <c r="D125" s="8">
        <v>2120</v>
      </c>
      <c r="E125" s="8">
        <v>2070</v>
      </c>
      <c r="F125" s="8">
        <f t="shared" si="5"/>
        <v>50</v>
      </c>
      <c r="G125" s="22">
        <f t="shared" si="6"/>
        <v>2120</v>
      </c>
      <c r="H125" s="23">
        <f t="shared" si="7"/>
        <v>2070</v>
      </c>
      <c r="I125" s="23">
        <f t="shared" si="8"/>
        <v>50</v>
      </c>
      <c r="J125" s="9">
        <f t="shared" si="9"/>
        <v>2.4154589371980676E-2</v>
      </c>
      <c r="K125" s="8" t="s">
        <v>29</v>
      </c>
    </row>
    <row r="126" spans="1:11" x14ac:dyDescent="0.25">
      <c r="A126" s="7">
        <v>45974</v>
      </c>
      <c r="B126" s="10" t="s">
        <v>27</v>
      </c>
      <c r="C126" s="10">
        <v>2</v>
      </c>
      <c r="D126" s="8">
        <v>2080</v>
      </c>
      <c r="E126" s="8">
        <v>2070</v>
      </c>
      <c r="F126" s="8">
        <f t="shared" si="5"/>
        <v>10</v>
      </c>
      <c r="G126" s="22">
        <f t="shared" si="6"/>
        <v>4160</v>
      </c>
      <c r="H126" s="23">
        <f t="shared" si="7"/>
        <v>4140</v>
      </c>
      <c r="I126" s="23">
        <f t="shared" si="8"/>
        <v>20</v>
      </c>
      <c r="J126" s="9">
        <f t="shared" si="9"/>
        <v>4.830917874396135E-3</v>
      </c>
      <c r="K126" s="8" t="s">
        <v>29</v>
      </c>
    </row>
    <row r="127" spans="1:11" x14ac:dyDescent="0.25">
      <c r="A127" s="7">
        <v>45974</v>
      </c>
      <c r="B127" s="10" t="s">
        <v>28</v>
      </c>
      <c r="C127" s="10">
        <v>1</v>
      </c>
      <c r="D127" s="8">
        <v>2300</v>
      </c>
      <c r="E127" s="8">
        <v>2080</v>
      </c>
      <c r="F127" s="8">
        <f t="shared" si="5"/>
        <v>220</v>
      </c>
      <c r="G127" s="22">
        <f t="shared" si="6"/>
        <v>2300</v>
      </c>
      <c r="H127" s="23">
        <f t="shared" si="7"/>
        <v>2080</v>
      </c>
      <c r="I127" s="23">
        <f t="shared" si="8"/>
        <v>220</v>
      </c>
      <c r="J127" s="9">
        <f t="shared" si="9"/>
        <v>0.10576923076923077</v>
      </c>
      <c r="K127" s="8" t="s">
        <v>29</v>
      </c>
    </row>
    <row r="128" spans="1:11" x14ac:dyDescent="0.25">
      <c r="A128" s="11">
        <v>45974</v>
      </c>
      <c r="B128" s="12" t="s">
        <v>26</v>
      </c>
      <c r="C128" s="12">
        <v>1</v>
      </c>
      <c r="D128" s="12">
        <v>1920</v>
      </c>
      <c r="E128" s="12">
        <v>2000</v>
      </c>
      <c r="F128" s="12">
        <f t="shared" si="5"/>
        <v>-80</v>
      </c>
      <c r="G128" s="24">
        <f t="shared" si="6"/>
        <v>1920</v>
      </c>
      <c r="H128" s="24">
        <f t="shared" si="7"/>
        <v>2000</v>
      </c>
      <c r="I128" s="24">
        <f t="shared" si="8"/>
        <v>-80</v>
      </c>
      <c r="J128" s="13">
        <f t="shared" si="9"/>
        <v>-0.04</v>
      </c>
      <c r="K128" s="12" t="s">
        <v>29</v>
      </c>
    </row>
    <row r="129" spans="1:11" x14ac:dyDescent="0.25">
      <c r="A129" s="7">
        <v>45976</v>
      </c>
      <c r="B129" s="10" t="s">
        <v>35</v>
      </c>
      <c r="C129" s="10">
        <v>1</v>
      </c>
      <c r="D129" s="10">
        <v>2140</v>
      </c>
      <c r="E129" s="10">
        <v>2130</v>
      </c>
      <c r="F129" s="8">
        <f t="shared" si="5"/>
        <v>10</v>
      </c>
      <c r="G129" s="22">
        <f t="shared" si="6"/>
        <v>2140</v>
      </c>
      <c r="H129" s="23">
        <f t="shared" si="7"/>
        <v>2130</v>
      </c>
      <c r="I129" s="23">
        <f t="shared" si="8"/>
        <v>10</v>
      </c>
      <c r="J129" s="9">
        <f t="shared" si="9"/>
        <v>4.6948356807511738E-3</v>
      </c>
      <c r="K129" s="8" t="s">
        <v>29</v>
      </c>
    </row>
    <row r="130" spans="1:11" x14ac:dyDescent="0.25">
      <c r="A130" s="14">
        <v>45976</v>
      </c>
      <c r="B130" s="15" t="s">
        <v>36</v>
      </c>
      <c r="C130" s="15">
        <v>1</v>
      </c>
      <c r="D130" s="15">
        <v>1550</v>
      </c>
      <c r="E130" s="15">
        <v>1500</v>
      </c>
      <c r="F130" s="8">
        <f t="shared" ref="F130:F193" si="10">D130-E130</f>
        <v>50</v>
      </c>
      <c r="G130" s="22">
        <f t="shared" ref="G130:G193" si="11">D130*C130</f>
        <v>1550</v>
      </c>
      <c r="H130" s="23">
        <f t="shared" ref="H130:H193" si="12">E130*C130</f>
        <v>1500</v>
      </c>
      <c r="I130" s="23">
        <f t="shared" ref="I130:I193" si="13">G130-H130</f>
        <v>50</v>
      </c>
      <c r="J130" s="9">
        <f t="shared" ref="J130:J193" si="14">(D130-E130)/E130</f>
        <v>3.3333333333333333E-2</v>
      </c>
      <c r="K130" s="15" t="s">
        <v>29</v>
      </c>
    </row>
    <row r="131" spans="1:11" x14ac:dyDescent="0.25">
      <c r="A131" s="7">
        <v>45976</v>
      </c>
      <c r="B131" s="10" t="s">
        <v>36</v>
      </c>
      <c r="C131" s="10">
        <v>1</v>
      </c>
      <c r="D131" s="10">
        <v>1550</v>
      </c>
      <c r="E131" s="10">
        <v>1400</v>
      </c>
      <c r="F131" s="8">
        <f t="shared" si="10"/>
        <v>150</v>
      </c>
      <c r="G131" s="22">
        <f t="shared" si="11"/>
        <v>1550</v>
      </c>
      <c r="H131" s="23">
        <f t="shared" si="12"/>
        <v>1400</v>
      </c>
      <c r="I131" s="23">
        <f t="shared" si="13"/>
        <v>150</v>
      </c>
      <c r="J131" s="9">
        <f t="shared" si="14"/>
        <v>0.10714285714285714</v>
      </c>
      <c r="K131" s="8" t="s">
        <v>29</v>
      </c>
    </row>
    <row r="132" spans="1:11" x14ac:dyDescent="0.25">
      <c r="A132" s="11">
        <v>45979</v>
      </c>
      <c r="B132" s="12" t="s">
        <v>12</v>
      </c>
      <c r="C132" s="12">
        <v>1</v>
      </c>
      <c r="D132" s="12">
        <v>2750</v>
      </c>
      <c r="E132" s="12">
        <v>2810</v>
      </c>
      <c r="F132" s="12">
        <f t="shared" si="10"/>
        <v>-60</v>
      </c>
      <c r="G132" s="24">
        <f t="shared" si="11"/>
        <v>2750</v>
      </c>
      <c r="H132" s="24">
        <f t="shared" si="12"/>
        <v>2810</v>
      </c>
      <c r="I132" s="24">
        <f t="shared" si="13"/>
        <v>-60</v>
      </c>
      <c r="J132" s="13">
        <f t="shared" si="14"/>
        <v>-2.1352313167259787E-2</v>
      </c>
      <c r="K132" s="12" t="s">
        <v>29</v>
      </c>
    </row>
    <row r="133" spans="1:11" x14ac:dyDescent="0.25">
      <c r="A133" s="11">
        <v>45980</v>
      </c>
      <c r="B133" s="12" t="s">
        <v>21</v>
      </c>
      <c r="C133" s="12">
        <v>5</v>
      </c>
      <c r="D133" s="12">
        <v>2400</v>
      </c>
      <c r="E133" s="12">
        <v>2550</v>
      </c>
      <c r="F133" s="12">
        <f t="shared" si="10"/>
        <v>-150</v>
      </c>
      <c r="G133" s="24">
        <f t="shared" si="11"/>
        <v>12000</v>
      </c>
      <c r="H133" s="24">
        <f t="shared" si="12"/>
        <v>12750</v>
      </c>
      <c r="I133" s="24">
        <f t="shared" si="13"/>
        <v>-750</v>
      </c>
      <c r="J133" s="13">
        <f t="shared" si="14"/>
        <v>-5.8823529411764705E-2</v>
      </c>
      <c r="K133" s="12" t="s">
        <v>29</v>
      </c>
    </row>
    <row r="134" spans="1:11" x14ac:dyDescent="0.25">
      <c r="A134" s="11">
        <v>45980</v>
      </c>
      <c r="B134" s="12" t="s">
        <v>43</v>
      </c>
      <c r="C134" s="12">
        <v>1</v>
      </c>
      <c r="D134" s="12">
        <v>1910</v>
      </c>
      <c r="E134" s="12">
        <v>2100</v>
      </c>
      <c r="F134" s="12">
        <f t="shared" si="10"/>
        <v>-190</v>
      </c>
      <c r="G134" s="24">
        <f t="shared" si="11"/>
        <v>1910</v>
      </c>
      <c r="H134" s="24">
        <f t="shared" si="12"/>
        <v>2100</v>
      </c>
      <c r="I134" s="24">
        <f t="shared" si="13"/>
        <v>-190</v>
      </c>
      <c r="J134" s="13">
        <f t="shared" si="14"/>
        <v>-9.0476190476190474E-2</v>
      </c>
      <c r="K134" s="12" t="s">
        <v>29</v>
      </c>
    </row>
    <row r="135" spans="1:11" x14ac:dyDescent="0.25">
      <c r="A135" s="7">
        <v>45980</v>
      </c>
      <c r="B135" s="10" t="s">
        <v>44</v>
      </c>
      <c r="C135" s="10">
        <v>6</v>
      </c>
      <c r="D135" s="15">
        <v>1410</v>
      </c>
      <c r="E135" s="15">
        <v>1380</v>
      </c>
      <c r="F135" s="8">
        <f t="shared" si="10"/>
        <v>30</v>
      </c>
      <c r="G135" s="22">
        <f t="shared" si="11"/>
        <v>8460</v>
      </c>
      <c r="H135" s="23">
        <f t="shared" si="12"/>
        <v>8280</v>
      </c>
      <c r="I135" s="23">
        <f t="shared" si="13"/>
        <v>180</v>
      </c>
      <c r="J135" s="9">
        <f t="shared" si="14"/>
        <v>2.1739130434782608E-2</v>
      </c>
      <c r="K135" s="8" t="s">
        <v>29</v>
      </c>
    </row>
    <row r="136" spans="1:11" x14ac:dyDescent="0.25">
      <c r="A136" s="7">
        <v>45980</v>
      </c>
      <c r="B136" s="10" t="s">
        <v>45</v>
      </c>
      <c r="C136" s="10">
        <v>4</v>
      </c>
      <c r="D136" s="15">
        <v>1310</v>
      </c>
      <c r="E136" s="15">
        <v>1300</v>
      </c>
      <c r="F136" s="8">
        <f t="shared" si="10"/>
        <v>10</v>
      </c>
      <c r="G136" s="22">
        <f t="shared" si="11"/>
        <v>5240</v>
      </c>
      <c r="H136" s="23">
        <f t="shared" si="12"/>
        <v>5200</v>
      </c>
      <c r="I136" s="23">
        <f t="shared" si="13"/>
        <v>40</v>
      </c>
      <c r="J136" s="9">
        <f t="shared" si="14"/>
        <v>7.6923076923076927E-3</v>
      </c>
      <c r="K136" s="8" t="s">
        <v>29</v>
      </c>
    </row>
    <row r="137" spans="1:11" x14ac:dyDescent="0.25">
      <c r="A137" s="7">
        <v>45981</v>
      </c>
      <c r="B137" s="8" t="s">
        <v>46</v>
      </c>
      <c r="C137" s="8">
        <v>2</v>
      </c>
      <c r="D137" s="8">
        <v>1600</v>
      </c>
      <c r="E137" s="8">
        <v>1500</v>
      </c>
      <c r="F137" s="8">
        <f t="shared" si="10"/>
        <v>100</v>
      </c>
      <c r="G137" s="22">
        <f t="shared" si="11"/>
        <v>3200</v>
      </c>
      <c r="H137" s="23">
        <f t="shared" si="12"/>
        <v>3000</v>
      </c>
      <c r="I137" s="23">
        <f t="shared" si="13"/>
        <v>200</v>
      </c>
      <c r="J137" s="9">
        <f t="shared" si="14"/>
        <v>6.6666666666666666E-2</v>
      </c>
      <c r="K137" s="8" t="s">
        <v>29</v>
      </c>
    </row>
    <row r="138" spans="1:11" x14ac:dyDescent="0.25">
      <c r="A138" s="11">
        <v>45981</v>
      </c>
      <c r="B138" s="12" t="s">
        <v>26</v>
      </c>
      <c r="C138" s="12">
        <v>3</v>
      </c>
      <c r="D138" s="12">
        <v>1900</v>
      </c>
      <c r="E138" s="12">
        <v>1930</v>
      </c>
      <c r="F138" s="12">
        <f t="shared" si="10"/>
        <v>-30</v>
      </c>
      <c r="G138" s="24">
        <f t="shared" si="11"/>
        <v>5700</v>
      </c>
      <c r="H138" s="24">
        <f t="shared" si="12"/>
        <v>5790</v>
      </c>
      <c r="I138" s="24">
        <f t="shared" si="13"/>
        <v>-90</v>
      </c>
      <c r="J138" s="13">
        <f t="shared" si="14"/>
        <v>-1.5544041450777202E-2</v>
      </c>
      <c r="K138" s="12" t="s">
        <v>29</v>
      </c>
    </row>
    <row r="139" spans="1:11" x14ac:dyDescent="0.25">
      <c r="A139" s="11">
        <v>45981</v>
      </c>
      <c r="B139" s="12" t="s">
        <v>26</v>
      </c>
      <c r="C139" s="12">
        <v>2</v>
      </c>
      <c r="D139" s="12">
        <v>1870</v>
      </c>
      <c r="E139" s="12">
        <v>1880</v>
      </c>
      <c r="F139" s="12">
        <f t="shared" si="10"/>
        <v>-10</v>
      </c>
      <c r="G139" s="24">
        <f t="shared" si="11"/>
        <v>3740</v>
      </c>
      <c r="H139" s="24">
        <f t="shared" si="12"/>
        <v>3760</v>
      </c>
      <c r="I139" s="24">
        <f t="shared" si="13"/>
        <v>-20</v>
      </c>
      <c r="J139" s="13">
        <f t="shared" si="14"/>
        <v>-5.3191489361702126E-3</v>
      </c>
      <c r="K139" s="12" t="s">
        <v>29</v>
      </c>
    </row>
    <row r="140" spans="1:11" x14ac:dyDescent="0.25">
      <c r="A140" s="14">
        <v>45981</v>
      </c>
      <c r="B140" s="15" t="s">
        <v>26</v>
      </c>
      <c r="C140" s="15">
        <v>1</v>
      </c>
      <c r="D140" s="15">
        <v>1990</v>
      </c>
      <c r="E140" s="15">
        <v>1930</v>
      </c>
      <c r="F140" s="8">
        <f t="shared" si="10"/>
        <v>60</v>
      </c>
      <c r="G140" s="22">
        <f t="shared" si="11"/>
        <v>1990</v>
      </c>
      <c r="H140" s="23">
        <f t="shared" si="12"/>
        <v>1930</v>
      </c>
      <c r="I140" s="23">
        <f t="shared" si="13"/>
        <v>60</v>
      </c>
      <c r="J140" s="9">
        <f t="shared" si="14"/>
        <v>3.1088082901554404E-2</v>
      </c>
      <c r="K140" s="15" t="s">
        <v>29</v>
      </c>
    </row>
    <row r="141" spans="1:11" x14ac:dyDescent="0.25">
      <c r="A141" s="14">
        <v>45981</v>
      </c>
      <c r="B141" s="15" t="s">
        <v>21</v>
      </c>
      <c r="C141" s="15">
        <v>3</v>
      </c>
      <c r="D141" s="15">
        <v>2400</v>
      </c>
      <c r="E141" s="15">
        <v>2400</v>
      </c>
      <c r="F141" s="8">
        <f t="shared" si="10"/>
        <v>0</v>
      </c>
      <c r="G141" s="22">
        <f t="shared" si="11"/>
        <v>7200</v>
      </c>
      <c r="H141" s="23">
        <f t="shared" si="12"/>
        <v>7200</v>
      </c>
      <c r="I141" s="23">
        <f t="shared" si="13"/>
        <v>0</v>
      </c>
      <c r="J141" s="9">
        <f t="shared" si="14"/>
        <v>0</v>
      </c>
      <c r="K141" s="15" t="s">
        <v>29</v>
      </c>
    </row>
    <row r="142" spans="1:11" x14ac:dyDescent="0.25">
      <c r="A142" s="14">
        <v>45981</v>
      </c>
      <c r="B142" s="15" t="s">
        <v>26</v>
      </c>
      <c r="C142" s="15">
        <v>1</v>
      </c>
      <c r="D142" s="15">
        <v>2000</v>
      </c>
      <c r="E142" s="15">
        <v>1930</v>
      </c>
      <c r="F142" s="8">
        <f t="shared" si="10"/>
        <v>70</v>
      </c>
      <c r="G142" s="22">
        <f t="shared" si="11"/>
        <v>2000</v>
      </c>
      <c r="H142" s="23">
        <f t="shared" si="12"/>
        <v>1930</v>
      </c>
      <c r="I142" s="23">
        <f t="shared" si="13"/>
        <v>70</v>
      </c>
      <c r="J142" s="9">
        <f t="shared" si="14"/>
        <v>3.6269430051813469E-2</v>
      </c>
      <c r="K142" s="15" t="s">
        <v>29</v>
      </c>
    </row>
    <row r="143" spans="1:11" x14ac:dyDescent="0.25">
      <c r="A143" s="14">
        <v>45982</v>
      </c>
      <c r="B143" s="15" t="s">
        <v>12</v>
      </c>
      <c r="C143" s="15">
        <v>4</v>
      </c>
      <c r="D143" s="15">
        <v>2760</v>
      </c>
      <c r="E143" s="15">
        <v>2700</v>
      </c>
      <c r="F143" s="8">
        <f t="shared" si="10"/>
        <v>60</v>
      </c>
      <c r="G143" s="22">
        <f t="shared" si="11"/>
        <v>11040</v>
      </c>
      <c r="H143" s="23">
        <f t="shared" si="12"/>
        <v>10800</v>
      </c>
      <c r="I143" s="23">
        <f t="shared" si="13"/>
        <v>240</v>
      </c>
      <c r="J143" s="9">
        <f t="shared" si="14"/>
        <v>2.2222222222222223E-2</v>
      </c>
      <c r="K143" s="15" t="s">
        <v>29</v>
      </c>
    </row>
    <row r="144" spans="1:11" x14ac:dyDescent="0.25">
      <c r="A144" s="14">
        <v>45982</v>
      </c>
      <c r="B144" s="15" t="s">
        <v>26</v>
      </c>
      <c r="C144" s="15">
        <v>4</v>
      </c>
      <c r="D144" s="15">
        <v>1980</v>
      </c>
      <c r="E144" s="15">
        <v>1930</v>
      </c>
      <c r="F144" s="8">
        <f t="shared" si="10"/>
        <v>50</v>
      </c>
      <c r="G144" s="22">
        <f t="shared" si="11"/>
        <v>7920</v>
      </c>
      <c r="H144" s="23">
        <f t="shared" si="12"/>
        <v>7720</v>
      </c>
      <c r="I144" s="23">
        <f t="shared" si="13"/>
        <v>200</v>
      </c>
      <c r="J144" s="9">
        <f t="shared" si="14"/>
        <v>2.5906735751295335E-2</v>
      </c>
      <c r="K144" s="15" t="s">
        <v>29</v>
      </c>
    </row>
    <row r="145" spans="1:11" x14ac:dyDescent="0.25">
      <c r="A145" s="14">
        <v>45982</v>
      </c>
      <c r="B145" s="15" t="s">
        <v>12</v>
      </c>
      <c r="C145" s="15">
        <v>1</v>
      </c>
      <c r="D145" s="15">
        <v>2760</v>
      </c>
      <c r="E145" s="15">
        <v>2700</v>
      </c>
      <c r="F145" s="8">
        <f t="shared" si="10"/>
        <v>60</v>
      </c>
      <c r="G145" s="22">
        <f t="shared" si="11"/>
        <v>2760</v>
      </c>
      <c r="H145" s="23">
        <f t="shared" si="12"/>
        <v>2700</v>
      </c>
      <c r="I145" s="23">
        <f t="shared" si="13"/>
        <v>60</v>
      </c>
      <c r="J145" s="9">
        <f t="shared" si="14"/>
        <v>2.2222222222222223E-2</v>
      </c>
      <c r="K145" s="15" t="s">
        <v>29</v>
      </c>
    </row>
    <row r="146" spans="1:11" x14ac:dyDescent="0.25">
      <c r="A146" s="14">
        <v>45983</v>
      </c>
      <c r="B146" s="15" t="s">
        <v>27</v>
      </c>
      <c r="C146" s="15">
        <v>12</v>
      </c>
      <c r="D146" s="15">
        <v>2035</v>
      </c>
      <c r="E146" s="15">
        <v>1950</v>
      </c>
      <c r="F146" s="8">
        <f t="shared" si="10"/>
        <v>85</v>
      </c>
      <c r="G146" s="22">
        <f t="shared" si="11"/>
        <v>24420</v>
      </c>
      <c r="H146" s="23">
        <f t="shared" si="12"/>
        <v>23400</v>
      </c>
      <c r="I146" s="23">
        <f t="shared" si="13"/>
        <v>1020</v>
      </c>
      <c r="J146" s="9">
        <f t="shared" si="14"/>
        <v>4.3589743589743588E-2</v>
      </c>
      <c r="K146" s="15" t="s">
        <v>29</v>
      </c>
    </row>
    <row r="147" spans="1:11" x14ac:dyDescent="0.25">
      <c r="A147" s="14">
        <v>45983</v>
      </c>
      <c r="B147" s="15" t="s">
        <v>26</v>
      </c>
      <c r="C147" s="15">
        <v>1</v>
      </c>
      <c r="D147" s="15">
        <v>2000</v>
      </c>
      <c r="E147" s="15">
        <v>1930</v>
      </c>
      <c r="F147" s="8">
        <f t="shared" si="10"/>
        <v>70</v>
      </c>
      <c r="G147" s="22">
        <f t="shared" si="11"/>
        <v>2000</v>
      </c>
      <c r="H147" s="23">
        <f t="shared" si="12"/>
        <v>1930</v>
      </c>
      <c r="I147" s="23">
        <f t="shared" si="13"/>
        <v>70</v>
      </c>
      <c r="J147" s="9">
        <f t="shared" si="14"/>
        <v>3.6269430051813469E-2</v>
      </c>
      <c r="K147" s="15" t="s">
        <v>29</v>
      </c>
    </row>
    <row r="148" spans="1:11" x14ac:dyDescent="0.25">
      <c r="A148" s="14">
        <v>45983</v>
      </c>
      <c r="B148" s="15" t="s">
        <v>26</v>
      </c>
      <c r="C148" s="15">
        <v>1</v>
      </c>
      <c r="D148" s="15">
        <v>2000</v>
      </c>
      <c r="E148" s="15">
        <v>1930</v>
      </c>
      <c r="F148" s="8">
        <f t="shared" si="10"/>
        <v>70</v>
      </c>
      <c r="G148" s="22">
        <f t="shared" si="11"/>
        <v>2000</v>
      </c>
      <c r="H148" s="23">
        <f t="shared" si="12"/>
        <v>1930</v>
      </c>
      <c r="I148" s="23">
        <f t="shared" si="13"/>
        <v>70</v>
      </c>
      <c r="J148" s="9">
        <f t="shared" si="14"/>
        <v>3.6269430051813469E-2</v>
      </c>
      <c r="K148" s="15" t="s">
        <v>29</v>
      </c>
    </row>
    <row r="149" spans="1:11" x14ac:dyDescent="0.25">
      <c r="A149" s="14">
        <v>45983</v>
      </c>
      <c r="B149" s="15" t="s">
        <v>27</v>
      </c>
      <c r="C149" s="15">
        <v>6</v>
      </c>
      <c r="D149" s="15">
        <v>1980</v>
      </c>
      <c r="E149" s="15">
        <v>1950</v>
      </c>
      <c r="F149" s="8">
        <f t="shared" si="10"/>
        <v>30</v>
      </c>
      <c r="G149" s="22">
        <f t="shared" si="11"/>
        <v>11880</v>
      </c>
      <c r="H149" s="23">
        <f t="shared" si="12"/>
        <v>11700</v>
      </c>
      <c r="I149" s="23">
        <f t="shared" si="13"/>
        <v>180</v>
      </c>
      <c r="J149" s="9">
        <f t="shared" si="14"/>
        <v>1.5384615384615385E-2</v>
      </c>
      <c r="K149" s="15" t="s">
        <v>29</v>
      </c>
    </row>
    <row r="150" spans="1:11" x14ac:dyDescent="0.25">
      <c r="A150" s="14">
        <v>45983</v>
      </c>
      <c r="B150" s="10" t="s">
        <v>53</v>
      </c>
      <c r="C150" s="15">
        <v>2</v>
      </c>
      <c r="D150" s="15">
        <v>2025</v>
      </c>
      <c r="E150" s="8">
        <v>1930</v>
      </c>
      <c r="F150" s="8">
        <f t="shared" si="10"/>
        <v>95</v>
      </c>
      <c r="G150" s="22">
        <f t="shared" si="11"/>
        <v>4050</v>
      </c>
      <c r="H150" s="23">
        <f t="shared" si="12"/>
        <v>3860</v>
      </c>
      <c r="I150" s="23">
        <f t="shared" si="13"/>
        <v>190</v>
      </c>
      <c r="J150" s="9">
        <f t="shared" si="14"/>
        <v>4.9222797927461141E-2</v>
      </c>
      <c r="K150" s="8" t="s">
        <v>29</v>
      </c>
    </row>
    <row r="151" spans="1:11" x14ac:dyDescent="0.25">
      <c r="A151" s="11">
        <v>45983</v>
      </c>
      <c r="B151" s="12" t="s">
        <v>54</v>
      </c>
      <c r="C151" s="12">
        <v>1</v>
      </c>
      <c r="D151" s="12">
        <v>3400</v>
      </c>
      <c r="E151" s="12">
        <v>3450</v>
      </c>
      <c r="F151" s="12">
        <f t="shared" si="10"/>
        <v>-50</v>
      </c>
      <c r="G151" s="24">
        <f t="shared" si="11"/>
        <v>3400</v>
      </c>
      <c r="H151" s="24">
        <f t="shared" si="12"/>
        <v>3450</v>
      </c>
      <c r="I151" s="24">
        <f t="shared" si="13"/>
        <v>-50</v>
      </c>
      <c r="J151" s="13">
        <f t="shared" si="14"/>
        <v>-1.4492753623188406E-2</v>
      </c>
      <c r="K151" s="12" t="s">
        <v>29</v>
      </c>
    </row>
    <row r="152" spans="1:11" x14ac:dyDescent="0.25">
      <c r="A152" s="14">
        <v>45983</v>
      </c>
      <c r="B152" s="15" t="s">
        <v>12</v>
      </c>
      <c r="C152" s="15">
        <v>1</v>
      </c>
      <c r="D152" s="15">
        <v>2760</v>
      </c>
      <c r="E152" s="15">
        <v>2700</v>
      </c>
      <c r="F152" s="8">
        <f t="shared" si="10"/>
        <v>60</v>
      </c>
      <c r="G152" s="22">
        <f t="shared" si="11"/>
        <v>2760</v>
      </c>
      <c r="H152" s="23">
        <f t="shared" si="12"/>
        <v>2700</v>
      </c>
      <c r="I152" s="23">
        <f t="shared" si="13"/>
        <v>60</v>
      </c>
      <c r="J152" s="9">
        <f t="shared" si="14"/>
        <v>2.2222222222222223E-2</v>
      </c>
      <c r="K152" s="8" t="s">
        <v>29</v>
      </c>
    </row>
    <row r="153" spans="1:11" x14ac:dyDescent="0.25">
      <c r="A153" s="14">
        <v>45983</v>
      </c>
      <c r="B153" s="10" t="s">
        <v>55</v>
      </c>
      <c r="C153" s="15">
        <v>1</v>
      </c>
      <c r="D153" s="15">
        <v>4400</v>
      </c>
      <c r="E153" s="8">
        <v>4200</v>
      </c>
      <c r="F153" s="8">
        <f t="shared" si="10"/>
        <v>200</v>
      </c>
      <c r="G153" s="22">
        <f t="shared" si="11"/>
        <v>4400</v>
      </c>
      <c r="H153" s="23">
        <f t="shared" si="12"/>
        <v>4200</v>
      </c>
      <c r="I153" s="23">
        <f t="shared" si="13"/>
        <v>200</v>
      </c>
      <c r="J153" s="9">
        <f t="shared" si="14"/>
        <v>4.7619047619047616E-2</v>
      </c>
      <c r="K153" s="8" t="s">
        <v>29</v>
      </c>
    </row>
    <row r="154" spans="1:11" x14ac:dyDescent="0.25">
      <c r="A154" s="14">
        <v>45983</v>
      </c>
      <c r="B154" s="8" t="s">
        <v>18</v>
      </c>
      <c r="C154" s="15">
        <v>1</v>
      </c>
      <c r="D154" s="15">
        <v>3700</v>
      </c>
      <c r="E154" s="8">
        <v>3600</v>
      </c>
      <c r="F154" s="8">
        <f t="shared" si="10"/>
        <v>100</v>
      </c>
      <c r="G154" s="22">
        <f t="shared" si="11"/>
        <v>3700</v>
      </c>
      <c r="H154" s="23">
        <f t="shared" si="12"/>
        <v>3600</v>
      </c>
      <c r="I154" s="23">
        <f t="shared" si="13"/>
        <v>100</v>
      </c>
      <c r="J154" s="9">
        <f t="shared" si="14"/>
        <v>2.7777777777777776E-2</v>
      </c>
      <c r="K154" s="8" t="s">
        <v>29</v>
      </c>
    </row>
    <row r="155" spans="1:11" x14ac:dyDescent="0.25">
      <c r="A155" s="14">
        <v>45983</v>
      </c>
      <c r="B155" s="10" t="s">
        <v>20</v>
      </c>
      <c r="C155" s="15">
        <v>4</v>
      </c>
      <c r="D155" s="15">
        <v>1310</v>
      </c>
      <c r="E155" s="8">
        <v>1250</v>
      </c>
      <c r="F155" s="8">
        <f t="shared" si="10"/>
        <v>60</v>
      </c>
      <c r="G155" s="22">
        <f t="shared" si="11"/>
        <v>5240</v>
      </c>
      <c r="H155" s="23">
        <f t="shared" si="12"/>
        <v>5000</v>
      </c>
      <c r="I155" s="23">
        <f t="shared" si="13"/>
        <v>240</v>
      </c>
      <c r="J155" s="9">
        <f t="shared" si="14"/>
        <v>4.8000000000000001E-2</v>
      </c>
      <c r="K155" s="8" t="s">
        <v>29</v>
      </c>
    </row>
    <row r="156" spans="1:11" x14ac:dyDescent="0.25">
      <c r="A156" s="14">
        <v>45983</v>
      </c>
      <c r="B156" s="8" t="s">
        <v>46</v>
      </c>
      <c r="C156" s="15">
        <v>1</v>
      </c>
      <c r="D156" s="15">
        <v>1550</v>
      </c>
      <c r="E156" s="8">
        <v>1400</v>
      </c>
      <c r="F156" s="8">
        <f t="shared" si="10"/>
        <v>150</v>
      </c>
      <c r="G156" s="22">
        <f t="shared" si="11"/>
        <v>1550</v>
      </c>
      <c r="H156" s="23">
        <f t="shared" si="12"/>
        <v>1400</v>
      </c>
      <c r="I156" s="23">
        <f t="shared" si="13"/>
        <v>150</v>
      </c>
      <c r="J156" s="9">
        <f t="shared" si="14"/>
        <v>0.10714285714285714</v>
      </c>
      <c r="K156" s="8" t="s">
        <v>29</v>
      </c>
    </row>
    <row r="157" spans="1:11" x14ac:dyDescent="0.25">
      <c r="A157" s="14">
        <v>45985</v>
      </c>
      <c r="B157" s="15" t="s">
        <v>26</v>
      </c>
      <c r="C157" s="15">
        <v>1</v>
      </c>
      <c r="D157" s="15">
        <v>1980</v>
      </c>
      <c r="E157" s="15">
        <v>1930</v>
      </c>
      <c r="F157" s="8">
        <f t="shared" si="10"/>
        <v>50</v>
      </c>
      <c r="G157" s="22">
        <f t="shared" si="11"/>
        <v>1980</v>
      </c>
      <c r="H157" s="23">
        <f t="shared" si="12"/>
        <v>1930</v>
      </c>
      <c r="I157" s="23">
        <f t="shared" si="13"/>
        <v>50</v>
      </c>
      <c r="J157" s="9">
        <f t="shared" si="14"/>
        <v>2.5906735751295335E-2</v>
      </c>
      <c r="K157" s="15" t="s">
        <v>29</v>
      </c>
    </row>
    <row r="158" spans="1:11" x14ac:dyDescent="0.25">
      <c r="A158" s="14">
        <v>45985</v>
      </c>
      <c r="B158" s="15" t="s">
        <v>26</v>
      </c>
      <c r="C158" s="15">
        <v>1</v>
      </c>
      <c r="D158" s="15">
        <v>1930</v>
      </c>
      <c r="E158" s="15">
        <v>1920</v>
      </c>
      <c r="F158" s="8">
        <f t="shared" si="10"/>
        <v>10</v>
      </c>
      <c r="G158" s="22">
        <f t="shared" si="11"/>
        <v>1930</v>
      </c>
      <c r="H158" s="23">
        <f t="shared" si="12"/>
        <v>1920</v>
      </c>
      <c r="I158" s="23">
        <f t="shared" si="13"/>
        <v>10</v>
      </c>
      <c r="J158" s="9">
        <f t="shared" si="14"/>
        <v>5.208333333333333E-3</v>
      </c>
      <c r="K158" s="15" t="s">
        <v>29</v>
      </c>
    </row>
    <row r="159" spans="1:11" x14ac:dyDescent="0.25">
      <c r="A159" s="14">
        <v>45986</v>
      </c>
      <c r="B159" s="15" t="s">
        <v>62</v>
      </c>
      <c r="C159" s="15">
        <v>1</v>
      </c>
      <c r="D159" s="15">
        <v>3425</v>
      </c>
      <c r="E159" s="15">
        <v>3300</v>
      </c>
      <c r="F159" s="8">
        <f t="shared" si="10"/>
        <v>125</v>
      </c>
      <c r="G159" s="22">
        <f t="shared" si="11"/>
        <v>3425</v>
      </c>
      <c r="H159" s="23">
        <f t="shared" si="12"/>
        <v>3300</v>
      </c>
      <c r="I159" s="23">
        <f t="shared" si="13"/>
        <v>125</v>
      </c>
      <c r="J159" s="9">
        <f t="shared" si="14"/>
        <v>3.787878787878788E-2</v>
      </c>
      <c r="K159" s="15" t="s">
        <v>29</v>
      </c>
    </row>
    <row r="160" spans="1:11" x14ac:dyDescent="0.25">
      <c r="A160" s="14">
        <v>45986</v>
      </c>
      <c r="B160" s="15" t="s">
        <v>63</v>
      </c>
      <c r="C160" s="15">
        <v>1</v>
      </c>
      <c r="D160" s="15">
        <v>4275</v>
      </c>
      <c r="E160" s="15">
        <v>4100</v>
      </c>
      <c r="F160" s="8">
        <f t="shared" si="10"/>
        <v>175</v>
      </c>
      <c r="G160" s="22">
        <f t="shared" si="11"/>
        <v>4275</v>
      </c>
      <c r="H160" s="23">
        <f t="shared" si="12"/>
        <v>4100</v>
      </c>
      <c r="I160" s="23">
        <f t="shared" si="13"/>
        <v>175</v>
      </c>
      <c r="J160" s="9">
        <f t="shared" si="14"/>
        <v>4.2682926829268296E-2</v>
      </c>
      <c r="K160" s="15" t="s">
        <v>29</v>
      </c>
    </row>
    <row r="161" spans="1:11" x14ac:dyDescent="0.25">
      <c r="A161" s="14">
        <v>45986</v>
      </c>
      <c r="B161" s="15" t="s">
        <v>26</v>
      </c>
      <c r="C161" s="15">
        <v>3</v>
      </c>
      <c r="D161" s="15">
        <v>1980</v>
      </c>
      <c r="E161" s="15">
        <v>1930</v>
      </c>
      <c r="F161" s="8">
        <f t="shared" si="10"/>
        <v>50</v>
      </c>
      <c r="G161" s="22">
        <f t="shared" si="11"/>
        <v>5940</v>
      </c>
      <c r="H161" s="23">
        <f t="shared" si="12"/>
        <v>5790</v>
      </c>
      <c r="I161" s="23">
        <f t="shared" si="13"/>
        <v>150</v>
      </c>
      <c r="J161" s="9">
        <f t="shared" si="14"/>
        <v>2.5906735751295335E-2</v>
      </c>
      <c r="K161" s="15" t="s">
        <v>29</v>
      </c>
    </row>
    <row r="162" spans="1:11" x14ac:dyDescent="0.25">
      <c r="A162" s="14">
        <v>45986</v>
      </c>
      <c r="B162" s="15" t="s">
        <v>26</v>
      </c>
      <c r="C162" s="15">
        <v>2</v>
      </c>
      <c r="D162" s="15">
        <v>1950</v>
      </c>
      <c r="E162" s="15">
        <v>1920</v>
      </c>
      <c r="F162" s="8">
        <f t="shared" si="10"/>
        <v>30</v>
      </c>
      <c r="G162" s="22">
        <f t="shared" si="11"/>
        <v>3900</v>
      </c>
      <c r="H162" s="23">
        <f t="shared" si="12"/>
        <v>3840</v>
      </c>
      <c r="I162" s="23">
        <f t="shared" si="13"/>
        <v>60</v>
      </c>
      <c r="J162" s="9">
        <f t="shared" si="14"/>
        <v>1.5625E-2</v>
      </c>
      <c r="K162" s="15" t="s">
        <v>29</v>
      </c>
    </row>
    <row r="163" spans="1:11" x14ac:dyDescent="0.25">
      <c r="A163" s="11">
        <v>45987</v>
      </c>
      <c r="B163" s="12" t="s">
        <v>11</v>
      </c>
      <c r="C163" s="12">
        <v>2</v>
      </c>
      <c r="D163" s="12">
        <v>3520</v>
      </c>
      <c r="E163" s="12">
        <v>3600</v>
      </c>
      <c r="F163" s="12">
        <f t="shared" si="10"/>
        <v>-80</v>
      </c>
      <c r="G163" s="24">
        <f t="shared" si="11"/>
        <v>7040</v>
      </c>
      <c r="H163" s="24">
        <f t="shared" si="12"/>
        <v>7200</v>
      </c>
      <c r="I163" s="24">
        <f t="shared" si="13"/>
        <v>-160</v>
      </c>
      <c r="J163" s="13">
        <f t="shared" si="14"/>
        <v>-2.2222222222222223E-2</v>
      </c>
      <c r="K163" s="12" t="s">
        <v>29</v>
      </c>
    </row>
    <row r="164" spans="1:11" x14ac:dyDescent="0.25">
      <c r="A164" s="7">
        <v>45987</v>
      </c>
      <c r="B164" s="10" t="s">
        <v>81</v>
      </c>
      <c r="C164" s="15">
        <v>1</v>
      </c>
      <c r="D164" s="15">
        <v>1410</v>
      </c>
      <c r="E164" s="8">
        <v>1350</v>
      </c>
      <c r="F164" s="8">
        <f t="shared" si="10"/>
        <v>60</v>
      </c>
      <c r="G164" s="22">
        <f t="shared" si="11"/>
        <v>1410</v>
      </c>
      <c r="H164" s="23">
        <f t="shared" si="12"/>
        <v>1350</v>
      </c>
      <c r="I164" s="23">
        <f t="shared" si="13"/>
        <v>60</v>
      </c>
      <c r="J164" s="9">
        <f t="shared" si="14"/>
        <v>4.4444444444444446E-2</v>
      </c>
      <c r="K164" s="8" t="s">
        <v>29</v>
      </c>
    </row>
    <row r="165" spans="1:11" x14ac:dyDescent="0.25">
      <c r="A165" s="7">
        <v>45987</v>
      </c>
      <c r="B165" s="8" t="s">
        <v>11</v>
      </c>
      <c r="C165" s="15">
        <v>1</v>
      </c>
      <c r="D165" s="15">
        <v>3700</v>
      </c>
      <c r="E165" s="8">
        <v>3600</v>
      </c>
      <c r="F165" s="8">
        <f t="shared" si="10"/>
        <v>100</v>
      </c>
      <c r="G165" s="22">
        <f t="shared" si="11"/>
        <v>3700</v>
      </c>
      <c r="H165" s="23">
        <f t="shared" si="12"/>
        <v>3600</v>
      </c>
      <c r="I165" s="23">
        <f t="shared" si="13"/>
        <v>100</v>
      </c>
      <c r="J165" s="9">
        <f t="shared" si="14"/>
        <v>2.7777777777777776E-2</v>
      </c>
      <c r="K165" s="8" t="s">
        <v>29</v>
      </c>
    </row>
    <row r="166" spans="1:11" x14ac:dyDescent="0.25">
      <c r="A166" s="11">
        <v>45987</v>
      </c>
      <c r="B166" s="12" t="s">
        <v>12</v>
      </c>
      <c r="C166" s="12">
        <v>1</v>
      </c>
      <c r="D166" s="12">
        <v>2580</v>
      </c>
      <c r="E166" s="12">
        <v>2650</v>
      </c>
      <c r="F166" s="12">
        <f t="shared" si="10"/>
        <v>-70</v>
      </c>
      <c r="G166" s="24">
        <f t="shared" si="11"/>
        <v>2580</v>
      </c>
      <c r="H166" s="24">
        <f t="shared" si="12"/>
        <v>2650</v>
      </c>
      <c r="I166" s="24">
        <f t="shared" si="13"/>
        <v>-70</v>
      </c>
      <c r="J166" s="13">
        <f t="shared" si="14"/>
        <v>-2.6415094339622643E-2</v>
      </c>
      <c r="K166" s="12" t="s">
        <v>29</v>
      </c>
    </row>
    <row r="167" spans="1:11" x14ac:dyDescent="0.25">
      <c r="A167" s="7">
        <v>45987</v>
      </c>
      <c r="B167" s="10" t="s">
        <v>87</v>
      </c>
      <c r="C167" s="15">
        <v>1</v>
      </c>
      <c r="D167" s="15">
        <v>3300</v>
      </c>
      <c r="E167" s="8">
        <v>3270</v>
      </c>
      <c r="F167" s="8">
        <f t="shared" si="10"/>
        <v>30</v>
      </c>
      <c r="G167" s="22">
        <f t="shared" si="11"/>
        <v>3300</v>
      </c>
      <c r="H167" s="23">
        <f t="shared" si="12"/>
        <v>3270</v>
      </c>
      <c r="I167" s="23">
        <f t="shared" si="13"/>
        <v>30</v>
      </c>
      <c r="J167" s="9">
        <f t="shared" si="14"/>
        <v>9.1743119266055051E-3</v>
      </c>
      <c r="K167" s="8" t="s">
        <v>29</v>
      </c>
    </row>
    <row r="168" spans="1:11" x14ac:dyDescent="0.25">
      <c r="A168" s="7">
        <v>45988</v>
      </c>
      <c r="B168" s="10" t="s">
        <v>26</v>
      </c>
      <c r="C168" s="15">
        <v>1</v>
      </c>
      <c r="D168" s="15">
        <v>1970</v>
      </c>
      <c r="E168" s="8">
        <v>1930</v>
      </c>
      <c r="F168" s="8">
        <f t="shared" si="10"/>
        <v>40</v>
      </c>
      <c r="G168" s="22">
        <f t="shared" si="11"/>
        <v>1970</v>
      </c>
      <c r="H168" s="23">
        <f t="shared" si="12"/>
        <v>1930</v>
      </c>
      <c r="I168" s="23">
        <f t="shared" si="13"/>
        <v>40</v>
      </c>
      <c r="J168" s="9">
        <f t="shared" si="14"/>
        <v>2.072538860103627E-2</v>
      </c>
      <c r="K168" s="8" t="s">
        <v>29</v>
      </c>
    </row>
    <row r="169" spans="1:11" x14ac:dyDescent="0.25">
      <c r="A169" s="7">
        <v>45988</v>
      </c>
      <c r="B169" s="10" t="s">
        <v>12</v>
      </c>
      <c r="C169" s="15">
        <v>1</v>
      </c>
      <c r="D169" s="15">
        <v>2600</v>
      </c>
      <c r="E169" s="8">
        <v>2580</v>
      </c>
      <c r="F169" s="8">
        <f t="shared" si="10"/>
        <v>20</v>
      </c>
      <c r="G169" s="22">
        <f t="shared" si="11"/>
        <v>2600</v>
      </c>
      <c r="H169" s="23">
        <f t="shared" si="12"/>
        <v>2580</v>
      </c>
      <c r="I169" s="23">
        <f t="shared" si="13"/>
        <v>20</v>
      </c>
      <c r="J169" s="9">
        <f t="shared" si="14"/>
        <v>7.7519379844961239E-3</v>
      </c>
      <c r="K169" s="8" t="s">
        <v>29</v>
      </c>
    </row>
    <row r="170" spans="1:11" x14ac:dyDescent="0.25">
      <c r="A170" s="7">
        <v>45988</v>
      </c>
      <c r="B170" s="10" t="s">
        <v>53</v>
      </c>
      <c r="C170" s="15">
        <v>3</v>
      </c>
      <c r="D170" s="15">
        <v>2000</v>
      </c>
      <c r="E170" s="8">
        <v>1930</v>
      </c>
      <c r="F170" s="8">
        <f t="shared" si="10"/>
        <v>70</v>
      </c>
      <c r="G170" s="22">
        <f t="shared" si="11"/>
        <v>6000</v>
      </c>
      <c r="H170" s="23">
        <f t="shared" si="12"/>
        <v>5790</v>
      </c>
      <c r="I170" s="23">
        <f t="shared" si="13"/>
        <v>210</v>
      </c>
      <c r="J170" s="9">
        <f t="shared" si="14"/>
        <v>3.6269430051813469E-2</v>
      </c>
      <c r="K170" s="8" t="s">
        <v>29</v>
      </c>
    </row>
    <row r="171" spans="1:11" x14ac:dyDescent="0.25">
      <c r="A171" s="7">
        <v>45988</v>
      </c>
      <c r="B171" s="10" t="s">
        <v>91</v>
      </c>
      <c r="C171" s="15">
        <v>2</v>
      </c>
      <c r="D171" s="15">
        <v>2100</v>
      </c>
      <c r="E171" s="8">
        <v>2000</v>
      </c>
      <c r="F171" s="8">
        <f t="shared" si="10"/>
        <v>100</v>
      </c>
      <c r="G171" s="22">
        <f t="shared" si="11"/>
        <v>4200</v>
      </c>
      <c r="H171" s="23">
        <f t="shared" si="12"/>
        <v>4000</v>
      </c>
      <c r="I171" s="23">
        <f t="shared" si="13"/>
        <v>200</v>
      </c>
      <c r="J171" s="9">
        <f t="shared" si="14"/>
        <v>0.05</v>
      </c>
      <c r="K171" s="8" t="s">
        <v>29</v>
      </c>
    </row>
    <row r="172" spans="1:11" x14ac:dyDescent="0.25">
      <c r="A172" s="7">
        <v>45988</v>
      </c>
      <c r="B172" s="10" t="s">
        <v>28</v>
      </c>
      <c r="C172" s="15">
        <v>1</v>
      </c>
      <c r="D172" s="15">
        <v>2280</v>
      </c>
      <c r="E172" s="8">
        <v>2250</v>
      </c>
      <c r="F172" s="8">
        <f t="shared" si="10"/>
        <v>30</v>
      </c>
      <c r="G172" s="22">
        <f t="shared" si="11"/>
        <v>2280</v>
      </c>
      <c r="H172" s="23">
        <f t="shared" si="12"/>
        <v>2250</v>
      </c>
      <c r="I172" s="23">
        <f t="shared" si="13"/>
        <v>30</v>
      </c>
      <c r="J172" s="9">
        <f t="shared" si="14"/>
        <v>1.3333333333333334E-2</v>
      </c>
      <c r="K172" s="8" t="s">
        <v>29</v>
      </c>
    </row>
    <row r="173" spans="1:11" x14ac:dyDescent="0.25">
      <c r="A173" s="7">
        <v>45989</v>
      </c>
      <c r="B173" s="10" t="s">
        <v>12</v>
      </c>
      <c r="C173" s="15">
        <v>2</v>
      </c>
      <c r="D173" s="15">
        <v>2730</v>
      </c>
      <c r="E173" s="8">
        <v>2670</v>
      </c>
      <c r="F173" s="8">
        <f t="shared" si="10"/>
        <v>60</v>
      </c>
      <c r="G173" s="22">
        <f t="shared" si="11"/>
        <v>5460</v>
      </c>
      <c r="H173" s="23">
        <f t="shared" si="12"/>
        <v>5340</v>
      </c>
      <c r="I173" s="23">
        <f t="shared" si="13"/>
        <v>120</v>
      </c>
      <c r="J173" s="9">
        <f t="shared" si="14"/>
        <v>2.247191011235955E-2</v>
      </c>
      <c r="K173" s="8" t="s">
        <v>29</v>
      </c>
    </row>
    <row r="174" spans="1:11" x14ac:dyDescent="0.25">
      <c r="A174" s="7">
        <v>45989</v>
      </c>
      <c r="B174" s="10" t="s">
        <v>12</v>
      </c>
      <c r="C174" s="15">
        <v>2</v>
      </c>
      <c r="D174" s="15">
        <v>2600</v>
      </c>
      <c r="E174" s="8">
        <v>2580</v>
      </c>
      <c r="F174" s="8">
        <f t="shared" si="10"/>
        <v>20</v>
      </c>
      <c r="G174" s="22">
        <f t="shared" si="11"/>
        <v>5200</v>
      </c>
      <c r="H174" s="23">
        <f t="shared" si="12"/>
        <v>5160</v>
      </c>
      <c r="I174" s="23">
        <f t="shared" si="13"/>
        <v>40</v>
      </c>
      <c r="J174" s="9">
        <f t="shared" si="14"/>
        <v>7.7519379844961239E-3</v>
      </c>
      <c r="K174" s="8" t="s">
        <v>29</v>
      </c>
    </row>
    <row r="175" spans="1:11" x14ac:dyDescent="0.25">
      <c r="A175" s="7">
        <v>45989</v>
      </c>
      <c r="B175" s="10" t="s">
        <v>26</v>
      </c>
      <c r="C175" s="15">
        <v>3</v>
      </c>
      <c r="D175" s="15">
        <v>1980</v>
      </c>
      <c r="E175" s="8">
        <v>1930</v>
      </c>
      <c r="F175" s="8">
        <f t="shared" si="10"/>
        <v>50</v>
      </c>
      <c r="G175" s="22">
        <f t="shared" si="11"/>
        <v>5940</v>
      </c>
      <c r="H175" s="23">
        <f t="shared" si="12"/>
        <v>5790</v>
      </c>
      <c r="I175" s="23">
        <f t="shared" si="13"/>
        <v>150</v>
      </c>
      <c r="J175" s="9">
        <f t="shared" si="14"/>
        <v>2.5906735751295335E-2</v>
      </c>
      <c r="K175" s="8" t="s">
        <v>29</v>
      </c>
    </row>
    <row r="176" spans="1:11" x14ac:dyDescent="0.25">
      <c r="A176" s="7">
        <v>45990</v>
      </c>
      <c r="B176" s="10" t="s">
        <v>93</v>
      </c>
      <c r="C176" s="15">
        <v>1</v>
      </c>
      <c r="D176" s="15">
        <v>1220</v>
      </c>
      <c r="E176" s="8">
        <v>1200</v>
      </c>
      <c r="F176" s="8">
        <f t="shared" si="10"/>
        <v>20</v>
      </c>
      <c r="G176" s="22">
        <f t="shared" si="11"/>
        <v>1220</v>
      </c>
      <c r="H176" s="23">
        <f t="shared" si="12"/>
        <v>1200</v>
      </c>
      <c r="I176" s="23">
        <f t="shared" si="13"/>
        <v>20</v>
      </c>
      <c r="J176" s="9">
        <f t="shared" si="14"/>
        <v>1.6666666666666666E-2</v>
      </c>
      <c r="K176" s="8" t="s">
        <v>29</v>
      </c>
    </row>
    <row r="177" spans="1:11" x14ac:dyDescent="0.25">
      <c r="A177" s="11">
        <v>45990</v>
      </c>
      <c r="B177" s="12" t="s">
        <v>94</v>
      </c>
      <c r="C177" s="12">
        <v>1</v>
      </c>
      <c r="D177" s="12">
        <v>1220</v>
      </c>
      <c r="E177" s="12">
        <v>1250</v>
      </c>
      <c r="F177" s="12">
        <f t="shared" si="10"/>
        <v>-30</v>
      </c>
      <c r="G177" s="24">
        <f t="shared" si="11"/>
        <v>1220</v>
      </c>
      <c r="H177" s="24">
        <f t="shared" si="12"/>
        <v>1250</v>
      </c>
      <c r="I177" s="24">
        <f t="shared" si="13"/>
        <v>-30</v>
      </c>
      <c r="J177" s="13">
        <f t="shared" si="14"/>
        <v>-2.4E-2</v>
      </c>
      <c r="K177" s="12" t="s">
        <v>29</v>
      </c>
    </row>
    <row r="178" spans="1:11" x14ac:dyDescent="0.25">
      <c r="A178" s="11">
        <v>45973</v>
      </c>
      <c r="B178" s="12" t="s">
        <v>26</v>
      </c>
      <c r="C178" s="12">
        <v>2</v>
      </c>
      <c r="D178" s="12">
        <v>1950</v>
      </c>
      <c r="E178" s="12">
        <v>2150</v>
      </c>
      <c r="F178" s="12">
        <f t="shared" si="10"/>
        <v>-200</v>
      </c>
      <c r="G178" s="24">
        <f t="shared" si="11"/>
        <v>3900</v>
      </c>
      <c r="H178" s="24">
        <f t="shared" si="12"/>
        <v>4300</v>
      </c>
      <c r="I178" s="24">
        <f t="shared" si="13"/>
        <v>-400</v>
      </c>
      <c r="J178" s="13">
        <f t="shared" si="14"/>
        <v>-9.3023255813953487E-2</v>
      </c>
      <c r="K178" s="12" t="s">
        <v>105</v>
      </c>
    </row>
    <row r="179" spans="1:11" x14ac:dyDescent="0.25">
      <c r="A179" s="11">
        <v>45973</v>
      </c>
      <c r="B179" s="12" t="s">
        <v>26</v>
      </c>
      <c r="C179" s="12">
        <v>3</v>
      </c>
      <c r="D179" s="12">
        <v>1950</v>
      </c>
      <c r="E179" s="12">
        <v>2150</v>
      </c>
      <c r="F179" s="12">
        <f t="shared" si="10"/>
        <v>-200</v>
      </c>
      <c r="G179" s="24">
        <f t="shared" si="11"/>
        <v>5850</v>
      </c>
      <c r="H179" s="24">
        <f t="shared" si="12"/>
        <v>6450</v>
      </c>
      <c r="I179" s="24">
        <f t="shared" si="13"/>
        <v>-600</v>
      </c>
      <c r="J179" s="13">
        <f t="shared" si="14"/>
        <v>-9.3023255813953487E-2</v>
      </c>
      <c r="K179" s="12" t="s">
        <v>105</v>
      </c>
    </row>
    <row r="180" spans="1:11" x14ac:dyDescent="0.25">
      <c r="A180" s="7">
        <v>45962</v>
      </c>
      <c r="B180" s="10" t="s">
        <v>47</v>
      </c>
      <c r="C180" s="15">
        <v>12</v>
      </c>
      <c r="D180" s="15">
        <v>345</v>
      </c>
      <c r="E180" s="8">
        <v>341.05</v>
      </c>
      <c r="F180" s="8">
        <f t="shared" si="10"/>
        <v>3.9499999999999886</v>
      </c>
      <c r="G180" s="22">
        <f t="shared" si="11"/>
        <v>4140</v>
      </c>
      <c r="H180" s="23">
        <f t="shared" si="12"/>
        <v>4092.6000000000004</v>
      </c>
      <c r="I180" s="23">
        <f t="shared" si="13"/>
        <v>47.399999999999636</v>
      </c>
      <c r="J180" s="9">
        <f t="shared" si="14"/>
        <v>1.1581879489810844E-2</v>
      </c>
      <c r="K180" s="8" t="s">
        <v>22</v>
      </c>
    </row>
    <row r="181" spans="1:11" x14ac:dyDescent="0.25">
      <c r="A181" s="7">
        <v>45962</v>
      </c>
      <c r="B181" s="10" t="s">
        <v>48</v>
      </c>
      <c r="C181" s="15">
        <v>1</v>
      </c>
      <c r="D181" s="15">
        <v>500</v>
      </c>
      <c r="E181" s="8">
        <v>457.72</v>
      </c>
      <c r="F181" s="8">
        <f t="shared" si="10"/>
        <v>42.279999999999973</v>
      </c>
      <c r="G181" s="22">
        <f t="shared" si="11"/>
        <v>500</v>
      </c>
      <c r="H181" s="23">
        <f t="shared" si="12"/>
        <v>457.72</v>
      </c>
      <c r="I181" s="23">
        <f t="shared" si="13"/>
        <v>42.279999999999973</v>
      </c>
      <c r="J181" s="9">
        <f t="shared" si="14"/>
        <v>9.2370881761775686E-2</v>
      </c>
      <c r="K181" s="8" t="s">
        <v>22</v>
      </c>
    </row>
    <row r="182" spans="1:11" x14ac:dyDescent="0.25">
      <c r="A182" s="11">
        <v>45962</v>
      </c>
      <c r="B182" s="12" t="s">
        <v>65</v>
      </c>
      <c r="C182" s="12">
        <v>1</v>
      </c>
      <c r="D182" s="12">
        <v>2940</v>
      </c>
      <c r="E182" s="12">
        <v>3051.5</v>
      </c>
      <c r="F182" s="12">
        <f t="shared" si="10"/>
        <v>-111.5</v>
      </c>
      <c r="G182" s="24">
        <f t="shared" si="11"/>
        <v>2940</v>
      </c>
      <c r="H182" s="24">
        <f t="shared" si="12"/>
        <v>3051.5</v>
      </c>
      <c r="I182" s="24">
        <f t="shared" si="13"/>
        <v>-111.5</v>
      </c>
      <c r="J182" s="13">
        <f t="shared" si="14"/>
        <v>-3.6539406849090614E-2</v>
      </c>
      <c r="K182" s="12" t="s">
        <v>22</v>
      </c>
    </row>
    <row r="183" spans="1:11" x14ac:dyDescent="0.25">
      <c r="A183" s="7">
        <v>45962</v>
      </c>
      <c r="B183" s="10" t="s">
        <v>66</v>
      </c>
      <c r="C183" s="15">
        <v>5</v>
      </c>
      <c r="D183" s="15">
        <v>1450</v>
      </c>
      <c r="E183" s="8">
        <v>1436</v>
      </c>
      <c r="F183" s="8">
        <f t="shared" si="10"/>
        <v>14</v>
      </c>
      <c r="G183" s="22">
        <f t="shared" si="11"/>
        <v>7250</v>
      </c>
      <c r="H183" s="23">
        <f t="shared" si="12"/>
        <v>7180</v>
      </c>
      <c r="I183" s="23">
        <f t="shared" si="13"/>
        <v>70</v>
      </c>
      <c r="J183" s="9">
        <f t="shared" si="14"/>
        <v>9.7493036211699167E-3</v>
      </c>
      <c r="K183" s="8" t="s">
        <v>22</v>
      </c>
    </row>
    <row r="184" spans="1:11" x14ac:dyDescent="0.25">
      <c r="A184" s="7">
        <v>45964</v>
      </c>
      <c r="B184" s="10" t="s">
        <v>67</v>
      </c>
      <c r="C184" s="15">
        <v>1</v>
      </c>
      <c r="D184" s="15">
        <v>2500</v>
      </c>
      <c r="E184" s="8">
        <v>2223</v>
      </c>
      <c r="F184" s="8">
        <f t="shared" si="10"/>
        <v>277</v>
      </c>
      <c r="G184" s="22">
        <f t="shared" si="11"/>
        <v>2500</v>
      </c>
      <c r="H184" s="23">
        <f t="shared" si="12"/>
        <v>2223</v>
      </c>
      <c r="I184" s="23">
        <f t="shared" si="13"/>
        <v>277</v>
      </c>
      <c r="J184" s="9">
        <f t="shared" si="14"/>
        <v>0.1246063877642825</v>
      </c>
      <c r="K184" s="8" t="s">
        <v>22</v>
      </c>
    </row>
    <row r="185" spans="1:11" x14ac:dyDescent="0.25">
      <c r="A185" s="7">
        <v>45964</v>
      </c>
      <c r="B185" s="8" t="s">
        <v>62</v>
      </c>
      <c r="C185" s="15">
        <v>2</v>
      </c>
      <c r="D185" s="15">
        <v>3750</v>
      </c>
      <c r="E185" s="8">
        <v>3518.2</v>
      </c>
      <c r="F185" s="8">
        <f t="shared" si="10"/>
        <v>231.80000000000018</v>
      </c>
      <c r="G185" s="22">
        <f t="shared" si="11"/>
        <v>7500</v>
      </c>
      <c r="H185" s="23">
        <f t="shared" si="12"/>
        <v>7036.4</v>
      </c>
      <c r="I185" s="23">
        <f t="shared" si="13"/>
        <v>463.60000000000036</v>
      </c>
      <c r="J185" s="9">
        <f t="shared" si="14"/>
        <v>6.5885964413620657E-2</v>
      </c>
      <c r="K185" s="8" t="s">
        <v>22</v>
      </c>
    </row>
    <row r="186" spans="1:11" x14ac:dyDescent="0.25">
      <c r="A186" s="11">
        <v>45964</v>
      </c>
      <c r="B186" s="12" t="s">
        <v>68</v>
      </c>
      <c r="C186" s="12">
        <v>1</v>
      </c>
      <c r="D186" s="12">
        <v>3850</v>
      </c>
      <c r="E186" s="12">
        <v>3877</v>
      </c>
      <c r="F186" s="12">
        <f t="shared" si="10"/>
        <v>-27</v>
      </c>
      <c r="G186" s="24">
        <f t="shared" si="11"/>
        <v>3850</v>
      </c>
      <c r="H186" s="24">
        <f t="shared" si="12"/>
        <v>3877</v>
      </c>
      <c r="I186" s="24">
        <f t="shared" si="13"/>
        <v>-27</v>
      </c>
      <c r="J186" s="13">
        <f t="shared" si="14"/>
        <v>-6.9641475367552231E-3</v>
      </c>
      <c r="K186" s="12" t="s">
        <v>22</v>
      </c>
    </row>
    <row r="187" spans="1:11" x14ac:dyDescent="0.25">
      <c r="A187" s="11">
        <v>45964</v>
      </c>
      <c r="B187" s="12" t="s">
        <v>69</v>
      </c>
      <c r="C187" s="12">
        <v>2</v>
      </c>
      <c r="D187" s="12">
        <v>3100</v>
      </c>
      <c r="E187" s="12">
        <v>3141.25</v>
      </c>
      <c r="F187" s="12">
        <f t="shared" si="10"/>
        <v>-41.25</v>
      </c>
      <c r="G187" s="24">
        <f t="shared" si="11"/>
        <v>6200</v>
      </c>
      <c r="H187" s="24">
        <f t="shared" si="12"/>
        <v>6282.5</v>
      </c>
      <c r="I187" s="24">
        <f t="shared" si="13"/>
        <v>-82.5</v>
      </c>
      <c r="J187" s="13">
        <f t="shared" si="14"/>
        <v>-1.3131715081575806E-2</v>
      </c>
      <c r="K187" s="12" t="s">
        <v>22</v>
      </c>
    </row>
    <row r="188" spans="1:11" x14ac:dyDescent="0.25">
      <c r="A188" s="7">
        <v>45964</v>
      </c>
      <c r="B188" s="10" t="s">
        <v>13</v>
      </c>
      <c r="C188" s="15">
        <v>1</v>
      </c>
      <c r="D188" s="15">
        <v>3000</v>
      </c>
      <c r="E188" s="8">
        <v>2872</v>
      </c>
      <c r="F188" s="8">
        <f t="shared" si="10"/>
        <v>128</v>
      </c>
      <c r="G188" s="22">
        <f t="shared" si="11"/>
        <v>3000</v>
      </c>
      <c r="H188" s="23">
        <f t="shared" si="12"/>
        <v>2872</v>
      </c>
      <c r="I188" s="23">
        <f t="shared" si="13"/>
        <v>128</v>
      </c>
      <c r="J188" s="9">
        <f t="shared" si="14"/>
        <v>4.456824512534819E-2</v>
      </c>
      <c r="K188" s="8" t="s">
        <v>22</v>
      </c>
    </row>
    <row r="189" spans="1:11" x14ac:dyDescent="0.25">
      <c r="A189" s="7">
        <v>45964</v>
      </c>
      <c r="B189" s="10" t="s">
        <v>69</v>
      </c>
      <c r="C189" s="15">
        <v>1</v>
      </c>
      <c r="D189" s="15">
        <v>3200</v>
      </c>
      <c r="E189" s="8">
        <v>3141.25</v>
      </c>
      <c r="F189" s="8">
        <f t="shared" si="10"/>
        <v>58.75</v>
      </c>
      <c r="G189" s="22">
        <f t="shared" si="11"/>
        <v>3200</v>
      </c>
      <c r="H189" s="23">
        <f t="shared" si="12"/>
        <v>3141.25</v>
      </c>
      <c r="I189" s="23">
        <f t="shared" si="13"/>
        <v>58.75</v>
      </c>
      <c r="J189" s="9">
        <f t="shared" si="14"/>
        <v>1.870274572224433E-2</v>
      </c>
      <c r="K189" s="8" t="s">
        <v>22</v>
      </c>
    </row>
    <row r="190" spans="1:11" x14ac:dyDescent="0.25">
      <c r="A190" s="7">
        <v>45964</v>
      </c>
      <c r="B190" s="10" t="s">
        <v>27</v>
      </c>
      <c r="C190" s="15">
        <v>4</v>
      </c>
      <c r="D190" s="15">
        <v>2140</v>
      </c>
      <c r="E190" s="8">
        <v>2064.33</v>
      </c>
      <c r="F190" s="8">
        <f t="shared" si="10"/>
        <v>75.670000000000073</v>
      </c>
      <c r="G190" s="22">
        <f t="shared" si="11"/>
        <v>8560</v>
      </c>
      <c r="H190" s="23">
        <f t="shared" si="12"/>
        <v>8257.32</v>
      </c>
      <c r="I190" s="23">
        <f t="shared" si="13"/>
        <v>302.68000000000029</v>
      </c>
      <c r="J190" s="9">
        <f t="shared" si="14"/>
        <v>3.6655961013985203E-2</v>
      </c>
      <c r="K190" s="8" t="s">
        <v>22</v>
      </c>
    </row>
    <row r="191" spans="1:11" x14ac:dyDescent="0.25">
      <c r="A191" s="7">
        <v>45964</v>
      </c>
      <c r="B191" s="10" t="s">
        <v>13</v>
      </c>
      <c r="C191" s="15">
        <v>1</v>
      </c>
      <c r="D191" s="15">
        <v>2950</v>
      </c>
      <c r="E191" s="8">
        <v>2872</v>
      </c>
      <c r="F191" s="8">
        <f t="shared" si="10"/>
        <v>78</v>
      </c>
      <c r="G191" s="22">
        <f t="shared" si="11"/>
        <v>2950</v>
      </c>
      <c r="H191" s="23">
        <f t="shared" si="12"/>
        <v>2872</v>
      </c>
      <c r="I191" s="23">
        <f t="shared" si="13"/>
        <v>78</v>
      </c>
      <c r="J191" s="9">
        <f t="shared" si="14"/>
        <v>2.7158774373259052E-2</v>
      </c>
      <c r="K191" s="8" t="s">
        <v>22</v>
      </c>
    </row>
    <row r="192" spans="1:11" x14ac:dyDescent="0.25">
      <c r="A192" s="7">
        <v>45964</v>
      </c>
      <c r="B192" s="10" t="s">
        <v>30</v>
      </c>
      <c r="C192" s="15">
        <v>1</v>
      </c>
      <c r="D192" s="15">
        <v>2640</v>
      </c>
      <c r="E192" s="8">
        <v>2603</v>
      </c>
      <c r="F192" s="8">
        <f t="shared" si="10"/>
        <v>37</v>
      </c>
      <c r="G192" s="22">
        <f t="shared" si="11"/>
        <v>2640</v>
      </c>
      <c r="H192" s="23">
        <f t="shared" si="12"/>
        <v>2603</v>
      </c>
      <c r="I192" s="23">
        <f t="shared" si="13"/>
        <v>37</v>
      </c>
      <c r="J192" s="9">
        <f t="shared" si="14"/>
        <v>1.4214368036880523E-2</v>
      </c>
      <c r="K192" s="8" t="s">
        <v>22</v>
      </c>
    </row>
    <row r="193" spans="1:11" x14ac:dyDescent="0.25">
      <c r="A193" s="7">
        <v>45965</v>
      </c>
      <c r="B193" s="10" t="s">
        <v>24</v>
      </c>
      <c r="C193" s="15">
        <v>13</v>
      </c>
      <c r="D193" s="15">
        <v>862</v>
      </c>
      <c r="E193" s="8">
        <v>825.7</v>
      </c>
      <c r="F193" s="8">
        <f t="shared" si="10"/>
        <v>36.299999999999955</v>
      </c>
      <c r="G193" s="22">
        <f t="shared" si="11"/>
        <v>11206</v>
      </c>
      <c r="H193" s="23">
        <f t="shared" si="12"/>
        <v>10734.1</v>
      </c>
      <c r="I193" s="23">
        <f t="shared" si="13"/>
        <v>471.89999999999964</v>
      </c>
      <c r="J193" s="9">
        <f t="shared" si="14"/>
        <v>4.3962698316579812E-2</v>
      </c>
      <c r="K193" s="8" t="s">
        <v>22</v>
      </c>
    </row>
    <row r="194" spans="1:11" x14ac:dyDescent="0.25">
      <c r="A194" s="7">
        <v>45965</v>
      </c>
      <c r="B194" s="10" t="s">
        <v>12</v>
      </c>
      <c r="C194" s="15">
        <v>5</v>
      </c>
      <c r="D194" s="15">
        <v>2725</v>
      </c>
      <c r="E194" s="8">
        <v>2620.6999999999998</v>
      </c>
      <c r="F194" s="8">
        <f t="shared" ref="F194:F257" si="15">D194-E194</f>
        <v>104.30000000000018</v>
      </c>
      <c r="G194" s="22">
        <f t="shared" ref="G194:G257" si="16">D194*C194</f>
        <v>13625</v>
      </c>
      <c r="H194" s="23">
        <f t="shared" ref="H194:H257" si="17">E194*C194</f>
        <v>13103.5</v>
      </c>
      <c r="I194" s="23">
        <f t="shared" ref="I194:I257" si="18">G194-H194</f>
        <v>521.5</v>
      </c>
      <c r="J194" s="9">
        <f t="shared" ref="J194:J257" si="19">(D194-E194)/E194</f>
        <v>3.9798527111077266E-2</v>
      </c>
      <c r="K194" s="8" t="s">
        <v>22</v>
      </c>
    </row>
    <row r="195" spans="1:11" x14ac:dyDescent="0.25">
      <c r="A195" s="7">
        <v>45965</v>
      </c>
      <c r="B195" s="10" t="s">
        <v>71</v>
      </c>
      <c r="C195" s="15">
        <v>1</v>
      </c>
      <c r="D195" s="15">
        <v>10650</v>
      </c>
      <c r="E195" s="8">
        <v>9944</v>
      </c>
      <c r="F195" s="8">
        <f t="shared" si="15"/>
        <v>706</v>
      </c>
      <c r="G195" s="22">
        <f t="shared" si="16"/>
        <v>10650</v>
      </c>
      <c r="H195" s="23">
        <f t="shared" si="17"/>
        <v>9944</v>
      </c>
      <c r="I195" s="23">
        <f t="shared" si="18"/>
        <v>706</v>
      </c>
      <c r="J195" s="9">
        <f t="shared" si="19"/>
        <v>7.0997586484312147E-2</v>
      </c>
      <c r="K195" s="8" t="s">
        <v>22</v>
      </c>
    </row>
    <row r="196" spans="1:11" x14ac:dyDescent="0.25">
      <c r="A196" s="7">
        <v>45966</v>
      </c>
      <c r="B196" s="10" t="s">
        <v>55</v>
      </c>
      <c r="C196" s="15">
        <v>1</v>
      </c>
      <c r="D196" s="15">
        <v>4600</v>
      </c>
      <c r="E196" s="8">
        <v>4129</v>
      </c>
      <c r="F196" s="8">
        <f t="shared" si="15"/>
        <v>471</v>
      </c>
      <c r="G196" s="22">
        <f t="shared" si="16"/>
        <v>4600</v>
      </c>
      <c r="H196" s="23">
        <f t="shared" si="17"/>
        <v>4129</v>
      </c>
      <c r="I196" s="23">
        <f t="shared" si="18"/>
        <v>471</v>
      </c>
      <c r="J196" s="9">
        <f t="shared" si="19"/>
        <v>0.11407120368127877</v>
      </c>
      <c r="K196" s="8" t="s">
        <v>22</v>
      </c>
    </row>
    <row r="197" spans="1:11" x14ac:dyDescent="0.25">
      <c r="A197" s="7">
        <v>45966</v>
      </c>
      <c r="B197" s="10" t="s">
        <v>55</v>
      </c>
      <c r="C197" s="15">
        <v>1</v>
      </c>
      <c r="D197" s="15">
        <v>4600</v>
      </c>
      <c r="E197" s="8">
        <v>4308</v>
      </c>
      <c r="F197" s="8">
        <f t="shared" si="15"/>
        <v>292</v>
      </c>
      <c r="G197" s="22">
        <f t="shared" si="16"/>
        <v>4600</v>
      </c>
      <c r="H197" s="23">
        <f t="shared" si="17"/>
        <v>4308</v>
      </c>
      <c r="I197" s="23">
        <f t="shared" si="18"/>
        <v>292</v>
      </c>
      <c r="J197" s="9">
        <f t="shared" si="19"/>
        <v>6.778087279480037E-2</v>
      </c>
      <c r="K197" s="8" t="s">
        <v>22</v>
      </c>
    </row>
    <row r="198" spans="1:11" x14ac:dyDescent="0.25">
      <c r="A198" s="7">
        <v>45967</v>
      </c>
      <c r="B198" s="10" t="s">
        <v>59</v>
      </c>
      <c r="C198" s="15">
        <v>2</v>
      </c>
      <c r="D198" s="15">
        <v>1170</v>
      </c>
      <c r="E198" s="8">
        <v>1005.2</v>
      </c>
      <c r="F198" s="8">
        <f t="shared" si="15"/>
        <v>164.79999999999995</v>
      </c>
      <c r="G198" s="22">
        <f t="shared" si="16"/>
        <v>2340</v>
      </c>
      <c r="H198" s="23">
        <f t="shared" si="17"/>
        <v>2010.4</v>
      </c>
      <c r="I198" s="23">
        <f t="shared" si="18"/>
        <v>329.59999999999991</v>
      </c>
      <c r="J198" s="9">
        <f t="shared" si="19"/>
        <v>0.16394747313967364</v>
      </c>
      <c r="K198" s="8" t="s">
        <v>22</v>
      </c>
    </row>
    <row r="199" spans="1:11" x14ac:dyDescent="0.25">
      <c r="A199" s="16">
        <v>45967</v>
      </c>
      <c r="B199" s="17" t="s">
        <v>59</v>
      </c>
      <c r="C199" s="17">
        <v>1</v>
      </c>
      <c r="D199" s="17">
        <v>1170</v>
      </c>
      <c r="E199" s="17">
        <v>1005.2</v>
      </c>
      <c r="F199" s="17">
        <f t="shared" si="15"/>
        <v>164.79999999999995</v>
      </c>
      <c r="G199" s="25">
        <f t="shared" si="16"/>
        <v>1170</v>
      </c>
      <c r="H199" s="25">
        <f t="shared" si="17"/>
        <v>1005.2</v>
      </c>
      <c r="I199" s="25">
        <f t="shared" si="18"/>
        <v>164.79999999999995</v>
      </c>
      <c r="J199" s="18">
        <f t="shared" si="19"/>
        <v>0.16394747313967364</v>
      </c>
      <c r="K199" s="17" t="s">
        <v>22</v>
      </c>
    </row>
    <row r="200" spans="1:11" x14ac:dyDescent="0.25">
      <c r="A200" s="7">
        <v>45967</v>
      </c>
      <c r="B200" s="10" t="s">
        <v>76</v>
      </c>
      <c r="C200" s="15">
        <v>4</v>
      </c>
      <c r="D200" s="15">
        <v>950</v>
      </c>
      <c r="E200" s="8">
        <v>788.7</v>
      </c>
      <c r="F200" s="8">
        <f t="shared" si="15"/>
        <v>161.29999999999995</v>
      </c>
      <c r="G200" s="22">
        <f t="shared" si="16"/>
        <v>3800</v>
      </c>
      <c r="H200" s="23">
        <f t="shared" si="17"/>
        <v>3154.8</v>
      </c>
      <c r="I200" s="23">
        <f t="shared" si="18"/>
        <v>645.19999999999982</v>
      </c>
      <c r="J200" s="9">
        <f t="shared" si="19"/>
        <v>0.20451375681501197</v>
      </c>
      <c r="K200" s="8" t="s">
        <v>22</v>
      </c>
    </row>
    <row r="201" spans="1:11" x14ac:dyDescent="0.25">
      <c r="A201" s="7">
        <v>45967</v>
      </c>
      <c r="B201" s="10" t="s">
        <v>76</v>
      </c>
      <c r="C201" s="15">
        <v>2</v>
      </c>
      <c r="D201" s="15">
        <v>950</v>
      </c>
      <c r="E201" s="8">
        <v>807.75</v>
      </c>
      <c r="F201" s="8">
        <f t="shared" si="15"/>
        <v>142.25</v>
      </c>
      <c r="G201" s="22">
        <f t="shared" si="16"/>
        <v>1900</v>
      </c>
      <c r="H201" s="23">
        <f t="shared" si="17"/>
        <v>1615.5</v>
      </c>
      <c r="I201" s="23">
        <f t="shared" si="18"/>
        <v>284.5</v>
      </c>
      <c r="J201" s="9">
        <f t="shared" si="19"/>
        <v>0.17610646858557721</v>
      </c>
      <c r="K201" s="8" t="s">
        <v>22</v>
      </c>
    </row>
    <row r="202" spans="1:11" x14ac:dyDescent="0.25">
      <c r="A202" s="7">
        <v>45967</v>
      </c>
      <c r="B202" s="10" t="s">
        <v>16</v>
      </c>
      <c r="C202" s="15">
        <v>11</v>
      </c>
      <c r="D202" s="15">
        <v>1735</v>
      </c>
      <c r="E202" s="8">
        <v>1525.75</v>
      </c>
      <c r="F202" s="8">
        <f t="shared" si="15"/>
        <v>209.25</v>
      </c>
      <c r="G202" s="22">
        <f t="shared" si="16"/>
        <v>19085</v>
      </c>
      <c r="H202" s="23">
        <f t="shared" si="17"/>
        <v>16783.25</v>
      </c>
      <c r="I202" s="23">
        <f t="shared" si="18"/>
        <v>2301.75</v>
      </c>
      <c r="J202" s="9">
        <f t="shared" si="19"/>
        <v>0.13714566606586925</v>
      </c>
      <c r="K202" s="8" t="s">
        <v>22</v>
      </c>
    </row>
    <row r="203" spans="1:11" x14ac:dyDescent="0.25">
      <c r="A203" s="7">
        <v>45967</v>
      </c>
      <c r="B203" s="10" t="s">
        <v>16</v>
      </c>
      <c r="C203" s="15">
        <v>7</v>
      </c>
      <c r="D203" s="15">
        <v>1760</v>
      </c>
      <c r="E203" s="8">
        <v>1525.75</v>
      </c>
      <c r="F203" s="8">
        <f t="shared" si="15"/>
        <v>234.25</v>
      </c>
      <c r="G203" s="22">
        <f t="shared" si="16"/>
        <v>12320</v>
      </c>
      <c r="H203" s="23">
        <f t="shared" si="17"/>
        <v>10680.25</v>
      </c>
      <c r="I203" s="23">
        <f t="shared" si="18"/>
        <v>1639.75</v>
      </c>
      <c r="J203" s="9">
        <f t="shared" si="19"/>
        <v>0.15353105030312961</v>
      </c>
      <c r="K203" s="8" t="s">
        <v>22</v>
      </c>
    </row>
    <row r="204" spans="1:11" x14ac:dyDescent="0.25">
      <c r="A204" s="7">
        <v>45967</v>
      </c>
      <c r="B204" s="8" t="s">
        <v>11</v>
      </c>
      <c r="C204" s="15">
        <v>3</v>
      </c>
      <c r="D204" s="15">
        <v>3600</v>
      </c>
      <c r="E204" s="8">
        <v>3374.6</v>
      </c>
      <c r="F204" s="8">
        <f t="shared" si="15"/>
        <v>225.40000000000009</v>
      </c>
      <c r="G204" s="22">
        <f t="shared" si="16"/>
        <v>10800</v>
      </c>
      <c r="H204" s="23">
        <f t="shared" si="17"/>
        <v>10123.799999999999</v>
      </c>
      <c r="I204" s="23">
        <f t="shared" si="18"/>
        <v>676.20000000000073</v>
      </c>
      <c r="J204" s="9">
        <f t="shared" si="19"/>
        <v>6.6793101404610949E-2</v>
      </c>
      <c r="K204" s="8" t="s">
        <v>22</v>
      </c>
    </row>
    <row r="205" spans="1:11" x14ac:dyDescent="0.25">
      <c r="A205" s="11">
        <v>45967</v>
      </c>
      <c r="B205" s="12" t="s">
        <v>78</v>
      </c>
      <c r="C205" s="12">
        <v>1</v>
      </c>
      <c r="D205" s="12">
        <v>2250</v>
      </c>
      <c r="E205" s="12">
        <v>2334</v>
      </c>
      <c r="F205" s="12">
        <f t="shared" si="15"/>
        <v>-84</v>
      </c>
      <c r="G205" s="24">
        <f t="shared" si="16"/>
        <v>2250</v>
      </c>
      <c r="H205" s="24">
        <f t="shared" si="17"/>
        <v>2334</v>
      </c>
      <c r="I205" s="24">
        <f t="shared" si="18"/>
        <v>-84</v>
      </c>
      <c r="J205" s="13">
        <f t="shared" si="19"/>
        <v>-3.5989717223650387E-2</v>
      </c>
      <c r="K205" s="12" t="s">
        <v>22</v>
      </c>
    </row>
    <row r="206" spans="1:11" x14ac:dyDescent="0.25">
      <c r="A206" s="7">
        <v>45969</v>
      </c>
      <c r="B206" s="10" t="s">
        <v>24</v>
      </c>
      <c r="C206" s="15">
        <v>35</v>
      </c>
      <c r="D206" s="15">
        <v>830</v>
      </c>
      <c r="E206" s="8">
        <v>807.74</v>
      </c>
      <c r="F206" s="8">
        <f t="shared" si="15"/>
        <v>22.259999999999991</v>
      </c>
      <c r="G206" s="22">
        <f t="shared" si="16"/>
        <v>29050</v>
      </c>
      <c r="H206" s="23">
        <f t="shared" si="17"/>
        <v>28270.9</v>
      </c>
      <c r="I206" s="23">
        <f t="shared" si="18"/>
        <v>779.09999999999854</v>
      </c>
      <c r="J206" s="9">
        <f t="shared" si="19"/>
        <v>2.7558372743704648E-2</v>
      </c>
      <c r="K206" s="8" t="s">
        <v>22</v>
      </c>
    </row>
    <row r="207" spans="1:11" x14ac:dyDescent="0.25">
      <c r="A207" s="7">
        <v>45969</v>
      </c>
      <c r="B207" s="10" t="s">
        <v>12</v>
      </c>
      <c r="C207" s="15">
        <v>1</v>
      </c>
      <c r="D207" s="15">
        <v>2725</v>
      </c>
      <c r="E207" s="8">
        <v>2620.6999999999998</v>
      </c>
      <c r="F207" s="8">
        <f t="shared" si="15"/>
        <v>104.30000000000018</v>
      </c>
      <c r="G207" s="22">
        <f t="shared" si="16"/>
        <v>2725</v>
      </c>
      <c r="H207" s="23">
        <f t="shared" si="17"/>
        <v>2620.6999999999998</v>
      </c>
      <c r="I207" s="23">
        <f t="shared" si="18"/>
        <v>104.30000000000018</v>
      </c>
      <c r="J207" s="9">
        <f t="shared" si="19"/>
        <v>3.9798527111077266E-2</v>
      </c>
      <c r="K207" s="8" t="s">
        <v>22</v>
      </c>
    </row>
    <row r="208" spans="1:11" x14ac:dyDescent="0.25">
      <c r="A208" s="7">
        <v>45969</v>
      </c>
      <c r="B208" s="10" t="s">
        <v>12</v>
      </c>
      <c r="C208" s="15">
        <v>1</v>
      </c>
      <c r="D208" s="15">
        <v>2840</v>
      </c>
      <c r="E208" s="8">
        <v>2656.6</v>
      </c>
      <c r="F208" s="8">
        <f t="shared" si="15"/>
        <v>183.40000000000009</v>
      </c>
      <c r="G208" s="22">
        <f t="shared" si="16"/>
        <v>2840</v>
      </c>
      <c r="H208" s="23">
        <f t="shared" si="17"/>
        <v>2656.6</v>
      </c>
      <c r="I208" s="23">
        <f t="shared" si="18"/>
        <v>183.40000000000009</v>
      </c>
      <c r="J208" s="9">
        <f t="shared" si="19"/>
        <v>6.9035609425581609E-2</v>
      </c>
      <c r="K208" s="8" t="s">
        <v>22</v>
      </c>
    </row>
    <row r="209" spans="1:11" x14ac:dyDescent="0.25">
      <c r="A209" s="7">
        <v>45969</v>
      </c>
      <c r="B209" s="10" t="s">
        <v>21</v>
      </c>
      <c r="C209" s="15">
        <v>2</v>
      </c>
      <c r="D209" s="15">
        <v>2720</v>
      </c>
      <c r="E209" s="8">
        <v>2513</v>
      </c>
      <c r="F209" s="8">
        <f t="shared" si="15"/>
        <v>207</v>
      </c>
      <c r="G209" s="22">
        <f t="shared" si="16"/>
        <v>5440</v>
      </c>
      <c r="H209" s="23">
        <f t="shared" si="17"/>
        <v>5026</v>
      </c>
      <c r="I209" s="23">
        <f t="shared" si="18"/>
        <v>414</v>
      </c>
      <c r="J209" s="9">
        <f t="shared" si="19"/>
        <v>8.2371667329884601E-2</v>
      </c>
      <c r="K209" s="8" t="s">
        <v>22</v>
      </c>
    </row>
    <row r="210" spans="1:11" x14ac:dyDescent="0.25">
      <c r="A210" s="7">
        <v>45969</v>
      </c>
      <c r="B210" s="10" t="s">
        <v>12</v>
      </c>
      <c r="C210" s="15">
        <v>3</v>
      </c>
      <c r="D210" s="15">
        <v>2700</v>
      </c>
      <c r="E210" s="8">
        <v>2656.6</v>
      </c>
      <c r="F210" s="8">
        <f t="shared" si="15"/>
        <v>43.400000000000091</v>
      </c>
      <c r="G210" s="22">
        <f t="shared" si="16"/>
        <v>8100</v>
      </c>
      <c r="H210" s="23">
        <f t="shared" si="17"/>
        <v>7969.7999999999993</v>
      </c>
      <c r="I210" s="23">
        <f t="shared" si="18"/>
        <v>130.20000000000073</v>
      </c>
      <c r="J210" s="9">
        <f t="shared" si="19"/>
        <v>1.6336670932771247E-2</v>
      </c>
      <c r="K210" s="8" t="s">
        <v>22</v>
      </c>
    </row>
    <row r="211" spans="1:11" x14ac:dyDescent="0.25">
      <c r="A211" s="7">
        <v>45970</v>
      </c>
      <c r="B211" s="8" t="s">
        <v>11</v>
      </c>
      <c r="C211" s="15">
        <v>8</v>
      </c>
      <c r="D211" s="15">
        <v>3740</v>
      </c>
      <c r="E211" s="8">
        <v>3482.3</v>
      </c>
      <c r="F211" s="8">
        <f t="shared" si="15"/>
        <v>257.69999999999982</v>
      </c>
      <c r="G211" s="22">
        <f t="shared" si="16"/>
        <v>29920</v>
      </c>
      <c r="H211" s="23">
        <f t="shared" si="17"/>
        <v>27858.400000000001</v>
      </c>
      <c r="I211" s="23">
        <f t="shared" si="18"/>
        <v>2061.5999999999985</v>
      </c>
      <c r="J211" s="9">
        <f t="shared" si="19"/>
        <v>7.4002814231973066E-2</v>
      </c>
      <c r="K211" s="8" t="s">
        <v>22</v>
      </c>
    </row>
    <row r="212" spans="1:11" x14ac:dyDescent="0.25">
      <c r="A212" s="7">
        <v>45971</v>
      </c>
      <c r="B212" s="8" t="s">
        <v>11</v>
      </c>
      <c r="C212" s="8">
        <v>5</v>
      </c>
      <c r="D212" s="8">
        <v>3745</v>
      </c>
      <c r="E212" s="8">
        <v>3482.3</v>
      </c>
      <c r="F212" s="8">
        <f t="shared" si="15"/>
        <v>262.69999999999982</v>
      </c>
      <c r="G212" s="22">
        <f t="shared" si="16"/>
        <v>18725</v>
      </c>
      <c r="H212" s="23">
        <f t="shared" si="17"/>
        <v>17411.5</v>
      </c>
      <c r="I212" s="23">
        <f t="shared" si="18"/>
        <v>1313.5</v>
      </c>
      <c r="J212" s="9">
        <f t="shared" si="19"/>
        <v>7.5438646871320625E-2</v>
      </c>
      <c r="K212" s="8" t="s">
        <v>22</v>
      </c>
    </row>
    <row r="213" spans="1:11" x14ac:dyDescent="0.25">
      <c r="A213" s="7">
        <v>45971</v>
      </c>
      <c r="B213" s="8" t="s">
        <v>11</v>
      </c>
      <c r="C213" s="8">
        <v>1</v>
      </c>
      <c r="D213" s="8">
        <v>3750</v>
      </c>
      <c r="E213" s="8">
        <v>3482.3</v>
      </c>
      <c r="F213" s="8">
        <f t="shared" si="15"/>
        <v>267.69999999999982</v>
      </c>
      <c r="G213" s="22">
        <f t="shared" si="16"/>
        <v>3750</v>
      </c>
      <c r="H213" s="23">
        <f t="shared" si="17"/>
        <v>3482.3</v>
      </c>
      <c r="I213" s="23">
        <f t="shared" si="18"/>
        <v>267.69999999999982</v>
      </c>
      <c r="J213" s="9">
        <f t="shared" si="19"/>
        <v>7.6874479510668184E-2</v>
      </c>
      <c r="K213" s="8" t="s">
        <v>22</v>
      </c>
    </row>
    <row r="214" spans="1:11" x14ac:dyDescent="0.25">
      <c r="A214" s="7">
        <v>45971</v>
      </c>
      <c r="B214" s="8" t="s">
        <v>11</v>
      </c>
      <c r="C214" s="8">
        <v>2</v>
      </c>
      <c r="D214" s="8">
        <v>3710</v>
      </c>
      <c r="E214" s="8">
        <v>3482.3</v>
      </c>
      <c r="F214" s="8">
        <f t="shared" si="15"/>
        <v>227.69999999999982</v>
      </c>
      <c r="G214" s="22">
        <f t="shared" si="16"/>
        <v>7420</v>
      </c>
      <c r="H214" s="23">
        <f t="shared" si="17"/>
        <v>6964.6</v>
      </c>
      <c r="I214" s="23">
        <f t="shared" si="18"/>
        <v>455.39999999999964</v>
      </c>
      <c r="J214" s="9">
        <f t="shared" si="19"/>
        <v>6.5387818395887726E-2</v>
      </c>
      <c r="K214" s="8" t="s">
        <v>22</v>
      </c>
    </row>
    <row r="215" spans="1:11" x14ac:dyDescent="0.25">
      <c r="A215" s="7">
        <v>45971</v>
      </c>
      <c r="B215" s="8" t="s">
        <v>11</v>
      </c>
      <c r="C215" s="8">
        <v>1</v>
      </c>
      <c r="D215" s="8">
        <v>3750</v>
      </c>
      <c r="E215" s="8">
        <v>3482.3</v>
      </c>
      <c r="F215" s="8">
        <f t="shared" si="15"/>
        <v>267.69999999999982</v>
      </c>
      <c r="G215" s="22">
        <f t="shared" si="16"/>
        <v>3750</v>
      </c>
      <c r="H215" s="23">
        <f t="shared" si="17"/>
        <v>3482.3</v>
      </c>
      <c r="I215" s="23">
        <f t="shared" si="18"/>
        <v>267.69999999999982</v>
      </c>
      <c r="J215" s="9">
        <f t="shared" si="19"/>
        <v>7.6874479510668184E-2</v>
      </c>
      <c r="K215" s="8" t="s">
        <v>22</v>
      </c>
    </row>
    <row r="216" spans="1:11" x14ac:dyDescent="0.25">
      <c r="A216" s="7">
        <v>45971</v>
      </c>
      <c r="B216" s="8" t="s">
        <v>12</v>
      </c>
      <c r="C216" s="8">
        <v>1</v>
      </c>
      <c r="D216" s="8">
        <v>2800</v>
      </c>
      <c r="E216" s="8">
        <v>2656.6</v>
      </c>
      <c r="F216" s="8">
        <f t="shared" si="15"/>
        <v>143.40000000000009</v>
      </c>
      <c r="G216" s="22">
        <f t="shared" si="16"/>
        <v>2800</v>
      </c>
      <c r="H216" s="23">
        <f t="shared" si="17"/>
        <v>2656.6</v>
      </c>
      <c r="I216" s="23">
        <f t="shared" si="18"/>
        <v>143.40000000000009</v>
      </c>
      <c r="J216" s="9">
        <f t="shared" si="19"/>
        <v>5.3978769856207219E-2</v>
      </c>
      <c r="K216" s="8" t="s">
        <v>22</v>
      </c>
    </row>
    <row r="217" spans="1:11" x14ac:dyDescent="0.25">
      <c r="A217" s="7">
        <v>45971</v>
      </c>
      <c r="B217" s="8" t="s">
        <v>14</v>
      </c>
      <c r="C217" s="8">
        <v>1</v>
      </c>
      <c r="D217" s="8">
        <v>359</v>
      </c>
      <c r="E217" s="8">
        <v>359</v>
      </c>
      <c r="F217" s="8">
        <f t="shared" si="15"/>
        <v>0</v>
      </c>
      <c r="G217" s="22">
        <f t="shared" si="16"/>
        <v>359</v>
      </c>
      <c r="H217" s="23">
        <f t="shared" si="17"/>
        <v>359</v>
      </c>
      <c r="I217" s="23">
        <f t="shared" si="18"/>
        <v>0</v>
      </c>
      <c r="J217" s="9">
        <f t="shared" si="19"/>
        <v>0</v>
      </c>
      <c r="K217" s="8" t="s">
        <v>22</v>
      </c>
    </row>
    <row r="218" spans="1:11" x14ac:dyDescent="0.25">
      <c r="A218" s="7">
        <v>45971</v>
      </c>
      <c r="B218" s="8" t="s">
        <v>16</v>
      </c>
      <c r="C218" s="8">
        <v>2</v>
      </c>
      <c r="D218" s="8">
        <v>1735</v>
      </c>
      <c r="E218" s="8">
        <v>1525.66</v>
      </c>
      <c r="F218" s="8">
        <f t="shared" si="15"/>
        <v>209.33999999999992</v>
      </c>
      <c r="G218" s="22">
        <f t="shared" si="16"/>
        <v>3470</v>
      </c>
      <c r="H218" s="23">
        <f t="shared" si="17"/>
        <v>3051.32</v>
      </c>
      <c r="I218" s="23">
        <f t="shared" si="18"/>
        <v>418.67999999999984</v>
      </c>
      <c r="J218" s="9">
        <f t="shared" si="19"/>
        <v>0.13721274727003388</v>
      </c>
      <c r="K218" s="8" t="s">
        <v>22</v>
      </c>
    </row>
    <row r="219" spans="1:11" x14ac:dyDescent="0.25">
      <c r="A219" s="7">
        <v>45971</v>
      </c>
      <c r="B219" s="8" t="s">
        <v>17</v>
      </c>
      <c r="C219" s="8">
        <v>5</v>
      </c>
      <c r="D219" s="8">
        <v>1650</v>
      </c>
      <c r="E219" s="8">
        <v>1471.9</v>
      </c>
      <c r="F219" s="8">
        <f t="shared" si="15"/>
        <v>178.09999999999991</v>
      </c>
      <c r="G219" s="22">
        <f t="shared" si="16"/>
        <v>8250</v>
      </c>
      <c r="H219" s="23">
        <f t="shared" si="17"/>
        <v>7359.5</v>
      </c>
      <c r="I219" s="23">
        <f t="shared" si="18"/>
        <v>890.5</v>
      </c>
      <c r="J219" s="9">
        <f t="shared" si="19"/>
        <v>0.12100006793939799</v>
      </c>
      <c r="K219" s="8" t="s">
        <v>22</v>
      </c>
    </row>
    <row r="220" spans="1:11" x14ac:dyDescent="0.25">
      <c r="A220" s="7">
        <v>45971</v>
      </c>
      <c r="B220" s="8" t="s">
        <v>16</v>
      </c>
      <c r="C220" s="8">
        <v>1</v>
      </c>
      <c r="D220" s="8">
        <v>1760</v>
      </c>
      <c r="E220" s="8">
        <v>1525.66</v>
      </c>
      <c r="F220" s="8">
        <f t="shared" si="15"/>
        <v>234.33999999999992</v>
      </c>
      <c r="G220" s="22">
        <f t="shared" si="16"/>
        <v>1760</v>
      </c>
      <c r="H220" s="23">
        <f t="shared" si="17"/>
        <v>1525.66</v>
      </c>
      <c r="I220" s="23">
        <f t="shared" si="18"/>
        <v>234.33999999999992</v>
      </c>
      <c r="J220" s="9">
        <f t="shared" si="19"/>
        <v>0.15359909809525052</v>
      </c>
      <c r="K220" s="8" t="s">
        <v>22</v>
      </c>
    </row>
    <row r="221" spans="1:11" x14ac:dyDescent="0.25">
      <c r="A221" s="7">
        <v>45971</v>
      </c>
      <c r="B221" s="8" t="s">
        <v>18</v>
      </c>
      <c r="C221" s="8">
        <v>3</v>
      </c>
      <c r="D221" s="8">
        <v>3880</v>
      </c>
      <c r="E221" s="8">
        <v>3590</v>
      </c>
      <c r="F221" s="8">
        <f t="shared" si="15"/>
        <v>290</v>
      </c>
      <c r="G221" s="22">
        <f t="shared" si="16"/>
        <v>11640</v>
      </c>
      <c r="H221" s="23">
        <f t="shared" si="17"/>
        <v>10770</v>
      </c>
      <c r="I221" s="23">
        <f t="shared" si="18"/>
        <v>870</v>
      </c>
      <c r="J221" s="9">
        <f t="shared" si="19"/>
        <v>8.0779944289693595E-2</v>
      </c>
      <c r="K221" s="8" t="s">
        <v>22</v>
      </c>
    </row>
    <row r="222" spans="1:11" x14ac:dyDescent="0.25">
      <c r="A222" s="7">
        <v>45971</v>
      </c>
      <c r="B222" s="8" t="s">
        <v>18</v>
      </c>
      <c r="C222" s="8">
        <v>1</v>
      </c>
      <c r="D222" s="8">
        <v>3600</v>
      </c>
      <c r="E222" s="8">
        <v>3590</v>
      </c>
      <c r="F222" s="8">
        <f t="shared" si="15"/>
        <v>10</v>
      </c>
      <c r="G222" s="22">
        <f t="shared" si="16"/>
        <v>3600</v>
      </c>
      <c r="H222" s="23">
        <f t="shared" si="17"/>
        <v>3590</v>
      </c>
      <c r="I222" s="23">
        <f t="shared" si="18"/>
        <v>10</v>
      </c>
      <c r="J222" s="9">
        <f t="shared" si="19"/>
        <v>2.7855153203342618E-3</v>
      </c>
      <c r="K222" s="8" t="s">
        <v>22</v>
      </c>
    </row>
    <row r="223" spans="1:11" x14ac:dyDescent="0.25">
      <c r="A223" s="11">
        <v>45971</v>
      </c>
      <c r="B223" s="12" t="s">
        <v>21</v>
      </c>
      <c r="C223" s="12">
        <v>7</v>
      </c>
      <c r="D223" s="12">
        <v>2490</v>
      </c>
      <c r="E223" s="12">
        <v>2513</v>
      </c>
      <c r="F223" s="12">
        <f t="shared" si="15"/>
        <v>-23</v>
      </c>
      <c r="G223" s="24">
        <f t="shared" si="16"/>
        <v>17430</v>
      </c>
      <c r="H223" s="24">
        <f t="shared" si="17"/>
        <v>17591</v>
      </c>
      <c r="I223" s="24">
        <f t="shared" si="18"/>
        <v>-161</v>
      </c>
      <c r="J223" s="13">
        <f t="shared" si="19"/>
        <v>-9.1524074810982892E-3</v>
      </c>
      <c r="K223" s="12" t="s">
        <v>22</v>
      </c>
    </row>
    <row r="224" spans="1:11" x14ac:dyDescent="0.25">
      <c r="A224" s="7">
        <v>45971</v>
      </c>
      <c r="B224" s="8" t="s">
        <v>11</v>
      </c>
      <c r="C224" s="8">
        <v>7</v>
      </c>
      <c r="D224" s="8">
        <v>3755</v>
      </c>
      <c r="E224" s="8">
        <v>3482.3</v>
      </c>
      <c r="F224" s="8">
        <f t="shared" si="15"/>
        <v>272.69999999999982</v>
      </c>
      <c r="G224" s="22">
        <f t="shared" si="16"/>
        <v>26285</v>
      </c>
      <c r="H224" s="23">
        <f t="shared" si="17"/>
        <v>24376.100000000002</v>
      </c>
      <c r="I224" s="23">
        <f t="shared" si="18"/>
        <v>1908.8999999999978</v>
      </c>
      <c r="J224" s="9">
        <f t="shared" si="19"/>
        <v>7.8310312150015743E-2</v>
      </c>
      <c r="K224" s="8" t="s">
        <v>22</v>
      </c>
    </row>
    <row r="225" spans="1:11" x14ac:dyDescent="0.25">
      <c r="A225" s="7">
        <v>45971</v>
      </c>
      <c r="B225" s="8" t="s">
        <v>11</v>
      </c>
      <c r="C225" s="8">
        <v>6</v>
      </c>
      <c r="D225" s="8">
        <v>3715</v>
      </c>
      <c r="E225" s="8">
        <v>3482.3</v>
      </c>
      <c r="F225" s="8">
        <f t="shared" si="15"/>
        <v>232.69999999999982</v>
      </c>
      <c r="G225" s="22">
        <f t="shared" si="16"/>
        <v>22290</v>
      </c>
      <c r="H225" s="23">
        <f t="shared" si="17"/>
        <v>20893.800000000003</v>
      </c>
      <c r="I225" s="23">
        <f t="shared" si="18"/>
        <v>1396.1999999999971</v>
      </c>
      <c r="J225" s="9">
        <f t="shared" si="19"/>
        <v>6.6823651035235271E-2</v>
      </c>
      <c r="K225" s="8" t="s">
        <v>22</v>
      </c>
    </row>
    <row r="226" spans="1:11" x14ac:dyDescent="0.25">
      <c r="A226" s="11">
        <v>45972</v>
      </c>
      <c r="B226" s="12" t="s">
        <v>12</v>
      </c>
      <c r="C226" s="12">
        <v>4</v>
      </c>
      <c r="D226" s="12">
        <v>2590</v>
      </c>
      <c r="E226" s="12">
        <v>2620.6999999999998</v>
      </c>
      <c r="F226" s="12">
        <f t="shared" si="15"/>
        <v>-30.699999999999818</v>
      </c>
      <c r="G226" s="24">
        <f t="shared" si="16"/>
        <v>10360</v>
      </c>
      <c r="H226" s="24">
        <f t="shared" si="17"/>
        <v>10482.799999999999</v>
      </c>
      <c r="I226" s="24">
        <f t="shared" si="18"/>
        <v>-122.79999999999927</v>
      </c>
      <c r="J226" s="13">
        <f t="shared" si="19"/>
        <v>-1.1714427443049498E-2</v>
      </c>
      <c r="K226" s="12" t="s">
        <v>22</v>
      </c>
    </row>
    <row r="227" spans="1:11" x14ac:dyDescent="0.25">
      <c r="A227" s="7">
        <v>45972</v>
      </c>
      <c r="B227" s="10" t="s">
        <v>12</v>
      </c>
      <c r="C227" s="15">
        <v>2</v>
      </c>
      <c r="D227" s="15">
        <v>2680</v>
      </c>
      <c r="E227" s="8">
        <v>2656.6</v>
      </c>
      <c r="F227" s="8">
        <f t="shared" si="15"/>
        <v>23.400000000000091</v>
      </c>
      <c r="G227" s="22">
        <f t="shared" si="16"/>
        <v>5360</v>
      </c>
      <c r="H227" s="23">
        <f t="shared" si="17"/>
        <v>5313.2</v>
      </c>
      <c r="I227" s="23">
        <f t="shared" si="18"/>
        <v>46.800000000000182</v>
      </c>
      <c r="J227" s="9">
        <f t="shared" si="19"/>
        <v>8.8082511480840515E-3</v>
      </c>
      <c r="K227" s="8" t="s">
        <v>22</v>
      </c>
    </row>
    <row r="228" spans="1:11" x14ac:dyDescent="0.25">
      <c r="A228" s="11">
        <v>45972</v>
      </c>
      <c r="B228" s="12" t="s">
        <v>12</v>
      </c>
      <c r="C228" s="12">
        <v>3</v>
      </c>
      <c r="D228" s="12">
        <v>2650</v>
      </c>
      <c r="E228" s="12">
        <v>2656.6</v>
      </c>
      <c r="F228" s="12">
        <f t="shared" si="15"/>
        <v>-6.5999999999999091</v>
      </c>
      <c r="G228" s="24">
        <f t="shared" si="16"/>
        <v>7950</v>
      </c>
      <c r="H228" s="24">
        <f t="shared" si="17"/>
        <v>7969.7999999999993</v>
      </c>
      <c r="I228" s="24">
        <f t="shared" si="18"/>
        <v>-19.799999999999272</v>
      </c>
      <c r="J228" s="13">
        <f t="shared" si="19"/>
        <v>-2.4843785289467399E-3</v>
      </c>
      <c r="K228" s="12" t="s">
        <v>22</v>
      </c>
    </row>
    <row r="229" spans="1:11" x14ac:dyDescent="0.25">
      <c r="A229" s="7">
        <v>45972</v>
      </c>
      <c r="B229" s="10" t="s">
        <v>27</v>
      </c>
      <c r="C229" s="15">
        <v>2</v>
      </c>
      <c r="D229" s="15">
        <v>2100</v>
      </c>
      <c r="E229" s="8">
        <v>2064.33</v>
      </c>
      <c r="F229" s="8">
        <f t="shared" si="15"/>
        <v>35.670000000000073</v>
      </c>
      <c r="G229" s="22">
        <f t="shared" si="16"/>
        <v>4200</v>
      </c>
      <c r="H229" s="23">
        <f t="shared" si="17"/>
        <v>4128.66</v>
      </c>
      <c r="I229" s="23">
        <f t="shared" si="18"/>
        <v>71.340000000000146</v>
      </c>
      <c r="J229" s="9">
        <f t="shared" si="19"/>
        <v>1.7279214079144359E-2</v>
      </c>
      <c r="K229" s="8" t="s">
        <v>22</v>
      </c>
    </row>
    <row r="230" spans="1:11" x14ac:dyDescent="0.25">
      <c r="A230" s="7">
        <v>45972</v>
      </c>
      <c r="B230" s="8" t="s">
        <v>62</v>
      </c>
      <c r="C230" s="15">
        <v>2</v>
      </c>
      <c r="D230" s="15">
        <v>3850</v>
      </c>
      <c r="E230" s="8">
        <v>3733.5</v>
      </c>
      <c r="F230" s="8">
        <f t="shared" si="15"/>
        <v>116.5</v>
      </c>
      <c r="G230" s="22">
        <f t="shared" si="16"/>
        <v>7700</v>
      </c>
      <c r="H230" s="23">
        <f t="shared" si="17"/>
        <v>7467</v>
      </c>
      <c r="I230" s="23">
        <f t="shared" si="18"/>
        <v>233</v>
      </c>
      <c r="J230" s="9">
        <f t="shared" si="19"/>
        <v>3.1203964108745146E-2</v>
      </c>
      <c r="K230" s="8" t="s">
        <v>22</v>
      </c>
    </row>
    <row r="231" spans="1:11" x14ac:dyDescent="0.25">
      <c r="A231" s="7">
        <v>45972</v>
      </c>
      <c r="B231" s="10" t="s">
        <v>63</v>
      </c>
      <c r="C231" s="15">
        <v>1</v>
      </c>
      <c r="D231" s="15">
        <v>4250</v>
      </c>
      <c r="E231" s="8">
        <v>3949</v>
      </c>
      <c r="F231" s="8">
        <f t="shared" si="15"/>
        <v>301</v>
      </c>
      <c r="G231" s="22">
        <f t="shared" si="16"/>
        <v>4250</v>
      </c>
      <c r="H231" s="23">
        <f t="shared" si="17"/>
        <v>3949</v>
      </c>
      <c r="I231" s="23">
        <f t="shared" si="18"/>
        <v>301</v>
      </c>
      <c r="J231" s="9">
        <f t="shared" si="19"/>
        <v>7.6221828310964801E-2</v>
      </c>
      <c r="K231" s="8" t="s">
        <v>22</v>
      </c>
    </row>
    <row r="232" spans="1:11" x14ac:dyDescent="0.25">
      <c r="A232" s="11">
        <v>45972</v>
      </c>
      <c r="B232" s="12" t="s">
        <v>66</v>
      </c>
      <c r="C232" s="12">
        <v>2</v>
      </c>
      <c r="D232" s="12">
        <v>1450</v>
      </c>
      <c r="E232" s="12">
        <v>1471.9</v>
      </c>
      <c r="F232" s="12">
        <f t="shared" si="15"/>
        <v>-21.900000000000091</v>
      </c>
      <c r="G232" s="24">
        <f t="shared" si="16"/>
        <v>2900</v>
      </c>
      <c r="H232" s="24">
        <f t="shared" si="17"/>
        <v>2943.8</v>
      </c>
      <c r="I232" s="24">
        <f t="shared" si="18"/>
        <v>-43.800000000000182</v>
      </c>
      <c r="J232" s="13">
        <f t="shared" si="19"/>
        <v>-1.4878728174468435E-2</v>
      </c>
      <c r="K232" s="12" t="s">
        <v>22</v>
      </c>
    </row>
    <row r="233" spans="1:11" x14ac:dyDescent="0.25">
      <c r="A233" s="7">
        <v>45972</v>
      </c>
      <c r="B233" s="10" t="s">
        <v>12</v>
      </c>
      <c r="C233" s="15">
        <v>1</v>
      </c>
      <c r="D233" s="15">
        <v>2750</v>
      </c>
      <c r="E233" s="8">
        <v>2656.6</v>
      </c>
      <c r="F233" s="8">
        <f t="shared" si="15"/>
        <v>93.400000000000091</v>
      </c>
      <c r="G233" s="22">
        <f t="shared" si="16"/>
        <v>2750</v>
      </c>
      <c r="H233" s="23">
        <f t="shared" si="17"/>
        <v>2656.6</v>
      </c>
      <c r="I233" s="23">
        <f t="shared" si="18"/>
        <v>93.400000000000091</v>
      </c>
      <c r="J233" s="9">
        <f t="shared" si="19"/>
        <v>3.5157720394489229E-2</v>
      </c>
      <c r="K233" s="8" t="s">
        <v>22</v>
      </c>
    </row>
    <row r="234" spans="1:11" x14ac:dyDescent="0.25">
      <c r="A234" s="7">
        <v>45972</v>
      </c>
      <c r="B234" s="10" t="s">
        <v>12</v>
      </c>
      <c r="C234" s="15">
        <v>1</v>
      </c>
      <c r="D234" s="8">
        <v>2700</v>
      </c>
      <c r="E234" s="8">
        <v>2656.6</v>
      </c>
      <c r="F234" s="8">
        <f t="shared" si="15"/>
        <v>43.400000000000091</v>
      </c>
      <c r="G234" s="22">
        <f t="shared" si="16"/>
        <v>2700</v>
      </c>
      <c r="H234" s="23">
        <f t="shared" si="17"/>
        <v>2656.6</v>
      </c>
      <c r="I234" s="23">
        <f t="shared" si="18"/>
        <v>43.400000000000091</v>
      </c>
      <c r="J234" s="9">
        <f t="shared" si="19"/>
        <v>1.6336670932771247E-2</v>
      </c>
      <c r="K234" s="8" t="s">
        <v>22</v>
      </c>
    </row>
    <row r="235" spans="1:11" x14ac:dyDescent="0.25">
      <c r="A235" s="7">
        <v>45972</v>
      </c>
      <c r="B235" s="10" t="s">
        <v>55</v>
      </c>
      <c r="C235" s="15">
        <v>8</v>
      </c>
      <c r="D235" s="15">
        <v>4450</v>
      </c>
      <c r="E235" s="8">
        <v>4308</v>
      </c>
      <c r="F235" s="8">
        <f t="shared" si="15"/>
        <v>142</v>
      </c>
      <c r="G235" s="22">
        <f t="shared" si="16"/>
        <v>35600</v>
      </c>
      <c r="H235" s="23">
        <f t="shared" si="17"/>
        <v>34464</v>
      </c>
      <c r="I235" s="23">
        <f t="shared" si="18"/>
        <v>1136</v>
      </c>
      <c r="J235" s="9">
        <f t="shared" si="19"/>
        <v>3.2961931290622096E-2</v>
      </c>
      <c r="K235" s="8" t="s">
        <v>22</v>
      </c>
    </row>
    <row r="236" spans="1:11" x14ac:dyDescent="0.25">
      <c r="A236" s="11">
        <v>45972</v>
      </c>
      <c r="B236" s="12" t="s">
        <v>23</v>
      </c>
      <c r="C236" s="12">
        <v>1</v>
      </c>
      <c r="D236" s="12">
        <v>4500</v>
      </c>
      <c r="E236" s="12">
        <v>4846.66</v>
      </c>
      <c r="F236" s="12">
        <f t="shared" si="15"/>
        <v>-346.65999999999985</v>
      </c>
      <c r="G236" s="24">
        <f t="shared" si="16"/>
        <v>4500</v>
      </c>
      <c r="H236" s="24">
        <f t="shared" si="17"/>
        <v>4846.66</v>
      </c>
      <c r="I236" s="24">
        <f t="shared" si="18"/>
        <v>-346.65999999999985</v>
      </c>
      <c r="J236" s="13">
        <f t="shared" si="19"/>
        <v>-7.1525545427160123E-2</v>
      </c>
      <c r="K236" s="12" t="s">
        <v>22</v>
      </c>
    </row>
    <row r="237" spans="1:11" x14ac:dyDescent="0.25">
      <c r="A237" s="11">
        <v>45972</v>
      </c>
      <c r="B237" s="12" t="s">
        <v>104</v>
      </c>
      <c r="C237" s="12">
        <v>3</v>
      </c>
      <c r="D237" s="12">
        <v>4200</v>
      </c>
      <c r="E237" s="12">
        <v>4308</v>
      </c>
      <c r="F237" s="12">
        <f t="shared" si="15"/>
        <v>-108</v>
      </c>
      <c r="G237" s="24">
        <f t="shared" si="16"/>
        <v>12600</v>
      </c>
      <c r="H237" s="24">
        <f t="shared" si="17"/>
        <v>12924</v>
      </c>
      <c r="I237" s="24">
        <f t="shared" si="18"/>
        <v>-324</v>
      </c>
      <c r="J237" s="13">
        <f t="shared" si="19"/>
        <v>-2.5069637883008356E-2</v>
      </c>
      <c r="K237" s="12" t="s">
        <v>22</v>
      </c>
    </row>
    <row r="238" spans="1:11" x14ac:dyDescent="0.25">
      <c r="A238" s="7">
        <v>45972</v>
      </c>
      <c r="B238" s="10" t="s">
        <v>83</v>
      </c>
      <c r="C238" s="15">
        <v>2</v>
      </c>
      <c r="D238" s="15">
        <v>5700</v>
      </c>
      <c r="E238" s="8">
        <v>5564.5</v>
      </c>
      <c r="F238" s="8">
        <f t="shared" si="15"/>
        <v>135.5</v>
      </c>
      <c r="G238" s="22">
        <f t="shared" si="16"/>
        <v>11400</v>
      </c>
      <c r="H238" s="23">
        <f t="shared" si="17"/>
        <v>11129</v>
      </c>
      <c r="I238" s="23">
        <f t="shared" si="18"/>
        <v>271</v>
      </c>
      <c r="J238" s="9">
        <f t="shared" si="19"/>
        <v>2.435079521969629E-2</v>
      </c>
      <c r="K238" s="8" t="s">
        <v>22</v>
      </c>
    </row>
    <row r="239" spans="1:11" x14ac:dyDescent="0.25">
      <c r="A239" s="11">
        <v>45972</v>
      </c>
      <c r="B239" s="12" t="s">
        <v>55</v>
      </c>
      <c r="C239" s="12">
        <v>1</v>
      </c>
      <c r="D239" s="12">
        <v>4150</v>
      </c>
      <c r="E239" s="12">
        <v>4308</v>
      </c>
      <c r="F239" s="12">
        <f t="shared" si="15"/>
        <v>-158</v>
      </c>
      <c r="G239" s="24">
        <f t="shared" si="16"/>
        <v>4150</v>
      </c>
      <c r="H239" s="24">
        <f t="shared" si="17"/>
        <v>4308</v>
      </c>
      <c r="I239" s="24">
        <f t="shared" si="18"/>
        <v>-158</v>
      </c>
      <c r="J239" s="13">
        <f t="shared" si="19"/>
        <v>-3.6675951717734447E-2</v>
      </c>
      <c r="K239" s="12" t="s">
        <v>22</v>
      </c>
    </row>
    <row r="240" spans="1:11" x14ac:dyDescent="0.25">
      <c r="A240" s="7">
        <v>45972</v>
      </c>
      <c r="B240" s="10" t="s">
        <v>13</v>
      </c>
      <c r="C240" s="15">
        <v>1</v>
      </c>
      <c r="D240" s="15">
        <v>2950</v>
      </c>
      <c r="E240" s="8">
        <v>2872</v>
      </c>
      <c r="F240" s="8">
        <f t="shared" si="15"/>
        <v>78</v>
      </c>
      <c r="G240" s="22">
        <f t="shared" si="16"/>
        <v>2950</v>
      </c>
      <c r="H240" s="23">
        <f t="shared" si="17"/>
        <v>2872</v>
      </c>
      <c r="I240" s="23">
        <f t="shared" si="18"/>
        <v>78</v>
      </c>
      <c r="J240" s="9">
        <f t="shared" si="19"/>
        <v>2.7158774373259052E-2</v>
      </c>
      <c r="K240" s="8" t="s">
        <v>22</v>
      </c>
    </row>
    <row r="241" spans="1:11" x14ac:dyDescent="0.25">
      <c r="A241" s="11">
        <v>45972</v>
      </c>
      <c r="B241" s="12" t="s">
        <v>12</v>
      </c>
      <c r="C241" s="12">
        <v>3</v>
      </c>
      <c r="D241" s="12">
        <v>2630</v>
      </c>
      <c r="E241" s="12">
        <v>2656.6</v>
      </c>
      <c r="F241" s="12">
        <f t="shared" si="15"/>
        <v>-26.599999999999909</v>
      </c>
      <c r="G241" s="24">
        <f t="shared" si="16"/>
        <v>7890</v>
      </c>
      <c r="H241" s="24">
        <f t="shared" si="17"/>
        <v>7969.7999999999993</v>
      </c>
      <c r="I241" s="24">
        <f t="shared" si="18"/>
        <v>-79.799999999999272</v>
      </c>
      <c r="J241" s="13">
        <f t="shared" si="19"/>
        <v>-1.0012798313633935E-2</v>
      </c>
      <c r="K241" s="12" t="s">
        <v>22</v>
      </c>
    </row>
    <row r="242" spans="1:11" x14ac:dyDescent="0.25">
      <c r="A242" s="7">
        <v>45972</v>
      </c>
      <c r="B242" s="10" t="s">
        <v>12</v>
      </c>
      <c r="C242" s="15">
        <v>1</v>
      </c>
      <c r="D242" s="15">
        <v>2700</v>
      </c>
      <c r="E242" s="8">
        <v>2656.6</v>
      </c>
      <c r="F242" s="8">
        <f t="shared" si="15"/>
        <v>43.400000000000091</v>
      </c>
      <c r="G242" s="22">
        <f t="shared" si="16"/>
        <v>2700</v>
      </c>
      <c r="H242" s="23">
        <f t="shared" si="17"/>
        <v>2656.6</v>
      </c>
      <c r="I242" s="23">
        <f t="shared" si="18"/>
        <v>43.400000000000091</v>
      </c>
      <c r="J242" s="9">
        <f t="shared" si="19"/>
        <v>1.6336670932771247E-2</v>
      </c>
      <c r="K242" s="8" t="s">
        <v>22</v>
      </c>
    </row>
    <row r="243" spans="1:11" x14ac:dyDescent="0.25">
      <c r="A243" s="11">
        <v>45974</v>
      </c>
      <c r="B243" s="12" t="s">
        <v>21</v>
      </c>
      <c r="C243" s="12">
        <v>6</v>
      </c>
      <c r="D243" s="12">
        <v>2450</v>
      </c>
      <c r="E243" s="12">
        <v>2513</v>
      </c>
      <c r="F243" s="12">
        <f t="shared" si="15"/>
        <v>-63</v>
      </c>
      <c r="G243" s="24">
        <f t="shared" si="16"/>
        <v>14700</v>
      </c>
      <c r="H243" s="24">
        <f t="shared" si="17"/>
        <v>15078</v>
      </c>
      <c r="I243" s="24">
        <f t="shared" si="18"/>
        <v>-378</v>
      </c>
      <c r="J243" s="13">
        <f t="shared" si="19"/>
        <v>-2.5069637883008356E-2</v>
      </c>
      <c r="K243" s="12" t="s">
        <v>22</v>
      </c>
    </row>
    <row r="244" spans="1:11" x14ac:dyDescent="0.25">
      <c r="A244" s="7">
        <v>45974</v>
      </c>
      <c r="B244" s="10" t="s">
        <v>24</v>
      </c>
      <c r="C244" s="10">
        <v>15</v>
      </c>
      <c r="D244" s="8">
        <v>805</v>
      </c>
      <c r="E244" s="8">
        <v>780.8</v>
      </c>
      <c r="F244" s="8">
        <f t="shared" si="15"/>
        <v>24.200000000000045</v>
      </c>
      <c r="G244" s="22">
        <f t="shared" si="16"/>
        <v>12075</v>
      </c>
      <c r="H244" s="23">
        <f t="shared" si="17"/>
        <v>11712</v>
      </c>
      <c r="I244" s="23">
        <f t="shared" si="18"/>
        <v>363</v>
      </c>
      <c r="J244" s="9">
        <f t="shared" si="19"/>
        <v>3.0993852459016452E-2</v>
      </c>
      <c r="K244" s="8" t="s">
        <v>22</v>
      </c>
    </row>
    <row r="245" spans="1:11" x14ac:dyDescent="0.25">
      <c r="A245" s="7">
        <v>45974</v>
      </c>
      <c r="B245" s="8" t="s">
        <v>12</v>
      </c>
      <c r="C245" s="10">
        <v>7</v>
      </c>
      <c r="D245" s="8">
        <v>2760</v>
      </c>
      <c r="E245" s="8">
        <v>2656.6</v>
      </c>
      <c r="F245" s="8">
        <f t="shared" si="15"/>
        <v>103.40000000000009</v>
      </c>
      <c r="G245" s="22">
        <f t="shared" si="16"/>
        <v>19320</v>
      </c>
      <c r="H245" s="23">
        <f t="shared" si="17"/>
        <v>18596.2</v>
      </c>
      <c r="I245" s="23">
        <f t="shared" si="18"/>
        <v>723.79999999999927</v>
      </c>
      <c r="J245" s="9">
        <f t="shared" si="19"/>
        <v>3.8921930286832829E-2</v>
      </c>
      <c r="K245" s="8" t="s">
        <v>22</v>
      </c>
    </row>
    <row r="246" spans="1:11" x14ac:dyDescent="0.25">
      <c r="A246" s="7">
        <v>45974</v>
      </c>
      <c r="B246" s="8" t="s">
        <v>12</v>
      </c>
      <c r="C246" s="10">
        <v>2</v>
      </c>
      <c r="D246" s="8">
        <v>2610</v>
      </c>
      <c r="E246" s="8">
        <v>2584.8000000000002</v>
      </c>
      <c r="F246" s="8">
        <f t="shared" si="15"/>
        <v>25.199999999999818</v>
      </c>
      <c r="G246" s="22">
        <f t="shared" si="16"/>
        <v>5220</v>
      </c>
      <c r="H246" s="23">
        <f t="shared" si="17"/>
        <v>5169.6000000000004</v>
      </c>
      <c r="I246" s="23">
        <f t="shared" si="18"/>
        <v>50.399999999999636</v>
      </c>
      <c r="J246" s="9">
        <f t="shared" si="19"/>
        <v>9.7493036211698456E-3</v>
      </c>
      <c r="K246" s="8" t="s">
        <v>22</v>
      </c>
    </row>
    <row r="247" spans="1:11" x14ac:dyDescent="0.25">
      <c r="A247" s="7">
        <v>45974</v>
      </c>
      <c r="B247" s="8" t="s">
        <v>12</v>
      </c>
      <c r="C247" s="10">
        <v>2</v>
      </c>
      <c r="D247" s="8">
        <v>2620</v>
      </c>
      <c r="E247" s="8">
        <v>2584.8000000000002</v>
      </c>
      <c r="F247" s="8">
        <f t="shared" si="15"/>
        <v>35.199999999999818</v>
      </c>
      <c r="G247" s="22">
        <f t="shared" si="16"/>
        <v>5240</v>
      </c>
      <c r="H247" s="23">
        <f t="shared" si="17"/>
        <v>5169.6000000000004</v>
      </c>
      <c r="I247" s="23">
        <f t="shared" si="18"/>
        <v>70.399999999999636</v>
      </c>
      <c r="J247" s="9">
        <f t="shared" si="19"/>
        <v>1.3618074899411876E-2</v>
      </c>
      <c r="K247" s="8" t="s">
        <v>22</v>
      </c>
    </row>
    <row r="248" spans="1:11" x14ac:dyDescent="0.25">
      <c r="A248" s="7">
        <v>45974</v>
      </c>
      <c r="B248" s="8" t="s">
        <v>12</v>
      </c>
      <c r="C248" s="10">
        <v>2</v>
      </c>
      <c r="D248" s="8">
        <v>2770</v>
      </c>
      <c r="E248" s="8">
        <v>2656.6</v>
      </c>
      <c r="F248" s="8">
        <f t="shared" si="15"/>
        <v>113.40000000000009</v>
      </c>
      <c r="G248" s="22">
        <f t="shared" si="16"/>
        <v>5540</v>
      </c>
      <c r="H248" s="23">
        <f t="shared" si="17"/>
        <v>5313.2</v>
      </c>
      <c r="I248" s="23">
        <f t="shared" si="18"/>
        <v>226.80000000000018</v>
      </c>
      <c r="J248" s="9">
        <f t="shared" si="19"/>
        <v>4.2686140179176428E-2</v>
      </c>
      <c r="K248" s="8" t="s">
        <v>22</v>
      </c>
    </row>
    <row r="249" spans="1:11" x14ac:dyDescent="0.25">
      <c r="A249" s="16">
        <v>45974</v>
      </c>
      <c r="B249" s="17" t="s">
        <v>25</v>
      </c>
      <c r="C249" s="17">
        <v>1</v>
      </c>
      <c r="D249" s="17">
        <v>4325</v>
      </c>
      <c r="E249" s="17">
        <v>3950</v>
      </c>
      <c r="F249" s="17">
        <f t="shared" si="15"/>
        <v>375</v>
      </c>
      <c r="G249" s="25">
        <f t="shared" si="16"/>
        <v>4325</v>
      </c>
      <c r="H249" s="25">
        <f t="shared" si="17"/>
        <v>3950</v>
      </c>
      <c r="I249" s="25">
        <f t="shared" si="18"/>
        <v>375</v>
      </c>
      <c r="J249" s="18">
        <f t="shared" si="19"/>
        <v>9.49367088607595E-2</v>
      </c>
      <c r="K249" s="17" t="s">
        <v>22</v>
      </c>
    </row>
    <row r="250" spans="1:11" x14ac:dyDescent="0.25">
      <c r="A250" s="16">
        <v>45974</v>
      </c>
      <c r="B250" s="17" t="s">
        <v>25</v>
      </c>
      <c r="C250" s="17">
        <v>1</v>
      </c>
      <c r="D250" s="17">
        <v>4250</v>
      </c>
      <c r="E250" s="17">
        <v>3950</v>
      </c>
      <c r="F250" s="17">
        <f t="shared" si="15"/>
        <v>300</v>
      </c>
      <c r="G250" s="25">
        <f t="shared" si="16"/>
        <v>4250</v>
      </c>
      <c r="H250" s="25">
        <f t="shared" si="17"/>
        <v>3950</v>
      </c>
      <c r="I250" s="25">
        <f t="shared" si="18"/>
        <v>300</v>
      </c>
      <c r="J250" s="18">
        <f t="shared" si="19"/>
        <v>7.5949367088607597E-2</v>
      </c>
      <c r="K250" s="17" t="s">
        <v>22</v>
      </c>
    </row>
    <row r="251" spans="1:11" x14ac:dyDescent="0.25">
      <c r="A251" s="11">
        <v>45974</v>
      </c>
      <c r="B251" s="12" t="s">
        <v>13</v>
      </c>
      <c r="C251" s="12">
        <v>2</v>
      </c>
      <c r="D251" s="12">
        <v>2900</v>
      </c>
      <c r="E251" s="12">
        <v>2907.9</v>
      </c>
      <c r="F251" s="12">
        <f t="shared" si="15"/>
        <v>-7.9000000000000909</v>
      </c>
      <c r="G251" s="24">
        <f t="shared" si="16"/>
        <v>5800</v>
      </c>
      <c r="H251" s="24">
        <f t="shared" si="17"/>
        <v>5815.8</v>
      </c>
      <c r="I251" s="24">
        <f t="shared" si="18"/>
        <v>-15.800000000000182</v>
      </c>
      <c r="J251" s="13">
        <f t="shared" si="19"/>
        <v>-2.7167371642766568E-3</v>
      </c>
      <c r="K251" s="12" t="s">
        <v>22</v>
      </c>
    </row>
    <row r="252" spans="1:11" x14ac:dyDescent="0.25">
      <c r="A252" s="11">
        <v>45974</v>
      </c>
      <c r="B252" s="12" t="s">
        <v>12</v>
      </c>
      <c r="C252" s="12">
        <v>5</v>
      </c>
      <c r="D252" s="12">
        <v>2580</v>
      </c>
      <c r="E252" s="12">
        <v>2584.8000000000002</v>
      </c>
      <c r="F252" s="12">
        <f t="shared" si="15"/>
        <v>-4.8000000000001819</v>
      </c>
      <c r="G252" s="24">
        <f t="shared" si="16"/>
        <v>12900</v>
      </c>
      <c r="H252" s="24">
        <f t="shared" si="17"/>
        <v>12924</v>
      </c>
      <c r="I252" s="24">
        <f t="shared" si="18"/>
        <v>-24</v>
      </c>
      <c r="J252" s="13">
        <f t="shared" si="19"/>
        <v>-1.8570102135562448E-3</v>
      </c>
      <c r="K252" s="12" t="s">
        <v>22</v>
      </c>
    </row>
    <row r="253" spans="1:11" x14ac:dyDescent="0.25">
      <c r="A253" s="7">
        <v>45974</v>
      </c>
      <c r="B253" s="8" t="s">
        <v>13</v>
      </c>
      <c r="C253" s="10">
        <v>1</v>
      </c>
      <c r="D253" s="8">
        <v>2830</v>
      </c>
      <c r="E253" s="8">
        <v>2800.2</v>
      </c>
      <c r="F253" s="8">
        <f t="shared" si="15"/>
        <v>29.800000000000182</v>
      </c>
      <c r="G253" s="22">
        <f t="shared" si="16"/>
        <v>2830</v>
      </c>
      <c r="H253" s="23">
        <f t="shared" si="17"/>
        <v>2800.2</v>
      </c>
      <c r="I253" s="23">
        <f t="shared" si="18"/>
        <v>29.800000000000182</v>
      </c>
      <c r="J253" s="9">
        <f t="shared" si="19"/>
        <v>1.0642096993071989E-2</v>
      </c>
      <c r="K253" s="8" t="s">
        <v>22</v>
      </c>
    </row>
    <row r="254" spans="1:11" x14ac:dyDescent="0.25">
      <c r="A254" s="7">
        <v>45975</v>
      </c>
      <c r="B254" s="8" t="s">
        <v>17</v>
      </c>
      <c r="C254" s="10">
        <v>44</v>
      </c>
      <c r="D254" s="10">
        <v>1640</v>
      </c>
      <c r="E254" s="10">
        <v>1471.9</v>
      </c>
      <c r="F254" s="8">
        <f t="shared" si="15"/>
        <v>168.09999999999991</v>
      </c>
      <c r="G254" s="22">
        <f t="shared" si="16"/>
        <v>72160</v>
      </c>
      <c r="H254" s="23">
        <f t="shared" si="17"/>
        <v>64763.600000000006</v>
      </c>
      <c r="I254" s="23">
        <f t="shared" si="18"/>
        <v>7396.3999999999942</v>
      </c>
      <c r="J254" s="9">
        <f t="shared" si="19"/>
        <v>0.11420612813370466</v>
      </c>
      <c r="K254" s="8" t="s">
        <v>22</v>
      </c>
    </row>
    <row r="255" spans="1:11" x14ac:dyDescent="0.25">
      <c r="A255" s="7">
        <v>45975</v>
      </c>
      <c r="B255" s="10" t="s">
        <v>30</v>
      </c>
      <c r="C255" s="10">
        <v>2</v>
      </c>
      <c r="D255" s="10">
        <v>2650</v>
      </c>
      <c r="E255" s="10">
        <v>2602.75</v>
      </c>
      <c r="F255" s="8">
        <f t="shared" si="15"/>
        <v>47.25</v>
      </c>
      <c r="G255" s="22">
        <f t="shared" si="16"/>
        <v>5300</v>
      </c>
      <c r="H255" s="23">
        <f t="shared" si="17"/>
        <v>5205.5</v>
      </c>
      <c r="I255" s="23">
        <f t="shared" si="18"/>
        <v>94.5</v>
      </c>
      <c r="J255" s="9">
        <f t="shared" si="19"/>
        <v>1.8153875708385361E-2</v>
      </c>
      <c r="K255" s="8" t="s">
        <v>22</v>
      </c>
    </row>
    <row r="256" spans="1:11" x14ac:dyDescent="0.25">
      <c r="A256" s="11">
        <v>45975</v>
      </c>
      <c r="B256" s="12" t="s">
        <v>21</v>
      </c>
      <c r="C256" s="12">
        <v>1</v>
      </c>
      <c r="D256" s="12">
        <v>2480</v>
      </c>
      <c r="E256" s="12">
        <v>2513</v>
      </c>
      <c r="F256" s="12">
        <f t="shared" si="15"/>
        <v>-33</v>
      </c>
      <c r="G256" s="24">
        <f t="shared" si="16"/>
        <v>2480</v>
      </c>
      <c r="H256" s="24">
        <f t="shared" si="17"/>
        <v>2513</v>
      </c>
      <c r="I256" s="24">
        <f t="shared" si="18"/>
        <v>-33</v>
      </c>
      <c r="J256" s="13">
        <f t="shared" si="19"/>
        <v>-1.3131715081575806E-2</v>
      </c>
      <c r="K256" s="12" t="s">
        <v>22</v>
      </c>
    </row>
    <row r="257" spans="1:11" x14ac:dyDescent="0.25">
      <c r="A257" s="7">
        <v>45975</v>
      </c>
      <c r="B257" s="10" t="s">
        <v>24</v>
      </c>
      <c r="C257" s="10">
        <v>2</v>
      </c>
      <c r="D257" s="10">
        <v>795</v>
      </c>
      <c r="E257" s="10">
        <v>753.9</v>
      </c>
      <c r="F257" s="8">
        <f t="shared" si="15"/>
        <v>41.100000000000023</v>
      </c>
      <c r="G257" s="22">
        <f t="shared" si="16"/>
        <v>1590</v>
      </c>
      <c r="H257" s="23">
        <f t="shared" si="17"/>
        <v>1507.8</v>
      </c>
      <c r="I257" s="23">
        <f t="shared" si="18"/>
        <v>82.200000000000045</v>
      </c>
      <c r="J257" s="9">
        <f t="shared" si="19"/>
        <v>5.4516514126542015E-2</v>
      </c>
      <c r="K257" s="8" t="s">
        <v>22</v>
      </c>
    </row>
    <row r="258" spans="1:11" x14ac:dyDescent="0.25">
      <c r="A258" s="7">
        <v>45975</v>
      </c>
      <c r="B258" s="10" t="s">
        <v>24</v>
      </c>
      <c r="C258" s="10">
        <v>25</v>
      </c>
      <c r="D258" s="10">
        <v>780</v>
      </c>
      <c r="E258" s="10">
        <v>753.9</v>
      </c>
      <c r="F258" s="8">
        <f t="shared" ref="F258:F295" si="20">D258-E258</f>
        <v>26.100000000000023</v>
      </c>
      <c r="G258" s="22">
        <f t="shared" ref="G258:G295" si="21">D258*C258</f>
        <v>19500</v>
      </c>
      <c r="H258" s="23">
        <f t="shared" ref="H258:H295" si="22">E258*C258</f>
        <v>18847.5</v>
      </c>
      <c r="I258" s="23">
        <f t="shared" ref="I258:I295" si="23">G258-H258</f>
        <v>652.5</v>
      </c>
      <c r="J258" s="9">
        <f t="shared" ref="J258:J295" si="24">(D258-E258)/E258</f>
        <v>3.4619976124154427E-2</v>
      </c>
      <c r="K258" s="8" t="s">
        <v>22</v>
      </c>
    </row>
    <row r="259" spans="1:11" x14ac:dyDescent="0.25">
      <c r="A259" s="7">
        <v>45976</v>
      </c>
      <c r="B259" s="10" t="s">
        <v>23</v>
      </c>
      <c r="C259" s="10">
        <v>2</v>
      </c>
      <c r="D259" s="10">
        <v>4800</v>
      </c>
      <c r="E259" s="10">
        <v>4846.66</v>
      </c>
      <c r="F259" s="8">
        <f t="shared" si="20"/>
        <v>-46.659999999999854</v>
      </c>
      <c r="G259" s="22">
        <f t="shared" si="21"/>
        <v>9600</v>
      </c>
      <c r="H259" s="23">
        <f t="shared" si="22"/>
        <v>9693.32</v>
      </c>
      <c r="I259" s="23">
        <f t="shared" si="23"/>
        <v>-93.319999999999709</v>
      </c>
      <c r="J259" s="9">
        <f t="shared" si="24"/>
        <v>-9.6272484556374615E-3</v>
      </c>
      <c r="K259" s="8" t="s">
        <v>22</v>
      </c>
    </row>
    <row r="260" spans="1:11" x14ac:dyDescent="0.25">
      <c r="A260" s="11">
        <v>45976</v>
      </c>
      <c r="B260" s="12" t="s">
        <v>11</v>
      </c>
      <c r="C260" s="12">
        <v>2</v>
      </c>
      <c r="D260" s="12">
        <v>3300</v>
      </c>
      <c r="E260" s="12">
        <v>3338.7</v>
      </c>
      <c r="F260" s="12">
        <f t="shared" si="20"/>
        <v>-38.699999999999818</v>
      </c>
      <c r="G260" s="24">
        <f t="shared" si="21"/>
        <v>6600</v>
      </c>
      <c r="H260" s="24">
        <f t="shared" si="22"/>
        <v>6677.4</v>
      </c>
      <c r="I260" s="24">
        <f t="shared" si="23"/>
        <v>-77.399999999999636</v>
      </c>
      <c r="J260" s="13">
        <f t="shared" si="24"/>
        <v>-1.1591337945907035E-2</v>
      </c>
      <c r="K260" s="12" t="s">
        <v>22</v>
      </c>
    </row>
    <row r="261" spans="1:11" x14ac:dyDescent="0.25">
      <c r="A261" s="11">
        <v>45976</v>
      </c>
      <c r="B261" s="12" t="s">
        <v>12</v>
      </c>
      <c r="C261" s="12">
        <v>2</v>
      </c>
      <c r="D261" s="12">
        <v>2620</v>
      </c>
      <c r="E261" s="12">
        <v>2620.6999999999998</v>
      </c>
      <c r="F261" s="12">
        <f t="shared" si="20"/>
        <v>-0.6999999999998181</v>
      </c>
      <c r="G261" s="24">
        <f t="shared" si="21"/>
        <v>5240</v>
      </c>
      <c r="H261" s="24">
        <f t="shared" si="22"/>
        <v>5241.3999999999996</v>
      </c>
      <c r="I261" s="24">
        <f t="shared" si="23"/>
        <v>-1.3999999999996362</v>
      </c>
      <c r="J261" s="13">
        <f t="shared" si="24"/>
        <v>-2.6710420879910642E-4</v>
      </c>
      <c r="K261" s="12" t="s">
        <v>22</v>
      </c>
    </row>
    <row r="262" spans="1:11" x14ac:dyDescent="0.25">
      <c r="A262" s="11">
        <v>45977</v>
      </c>
      <c r="B262" s="12" t="s">
        <v>12</v>
      </c>
      <c r="C262" s="12">
        <v>1</v>
      </c>
      <c r="D262" s="12">
        <v>2580</v>
      </c>
      <c r="E262" s="12">
        <v>2584.8000000000002</v>
      </c>
      <c r="F262" s="12">
        <f t="shared" si="20"/>
        <v>-4.8000000000001819</v>
      </c>
      <c r="G262" s="24">
        <f t="shared" si="21"/>
        <v>2580</v>
      </c>
      <c r="H262" s="24">
        <f t="shared" si="22"/>
        <v>2584.8000000000002</v>
      </c>
      <c r="I262" s="24">
        <f t="shared" si="23"/>
        <v>-4.8000000000001819</v>
      </c>
      <c r="J262" s="13">
        <f t="shared" si="24"/>
        <v>-1.8570102135562448E-3</v>
      </c>
      <c r="K262" s="12" t="s">
        <v>22</v>
      </c>
    </row>
    <row r="263" spans="1:11" x14ac:dyDescent="0.25">
      <c r="A263" s="11">
        <v>45977</v>
      </c>
      <c r="B263" s="12" t="s">
        <v>12</v>
      </c>
      <c r="C263" s="12">
        <v>1</v>
      </c>
      <c r="D263" s="12">
        <v>2620</v>
      </c>
      <c r="E263" s="12">
        <v>2620.6999999999998</v>
      </c>
      <c r="F263" s="12">
        <f t="shared" si="20"/>
        <v>-0.6999999999998181</v>
      </c>
      <c r="G263" s="24">
        <f t="shared" si="21"/>
        <v>2620</v>
      </c>
      <c r="H263" s="24">
        <f t="shared" si="22"/>
        <v>2620.6999999999998</v>
      </c>
      <c r="I263" s="24">
        <f t="shared" si="23"/>
        <v>-0.6999999999998181</v>
      </c>
      <c r="J263" s="13">
        <f t="shared" si="24"/>
        <v>-2.6710420879910642E-4</v>
      </c>
      <c r="K263" s="12" t="s">
        <v>22</v>
      </c>
    </row>
    <row r="264" spans="1:11" x14ac:dyDescent="0.25">
      <c r="A264" s="7">
        <v>45978</v>
      </c>
      <c r="B264" s="8" t="s">
        <v>11</v>
      </c>
      <c r="C264" s="10">
        <v>2</v>
      </c>
      <c r="D264" s="15">
        <v>4320</v>
      </c>
      <c r="E264" s="15">
        <v>4236.2</v>
      </c>
      <c r="F264" s="8">
        <f t="shared" si="20"/>
        <v>83.800000000000182</v>
      </c>
      <c r="G264" s="22">
        <f t="shared" si="21"/>
        <v>8640</v>
      </c>
      <c r="H264" s="23">
        <f t="shared" si="22"/>
        <v>8472.4</v>
      </c>
      <c r="I264" s="23">
        <f t="shared" si="23"/>
        <v>167.60000000000036</v>
      </c>
      <c r="J264" s="9">
        <f t="shared" si="24"/>
        <v>1.9781879986780649E-2</v>
      </c>
      <c r="K264" s="15" t="s">
        <v>22</v>
      </c>
    </row>
    <row r="265" spans="1:11" x14ac:dyDescent="0.25">
      <c r="A265" s="7">
        <v>45978</v>
      </c>
      <c r="B265" s="8" t="s">
        <v>12</v>
      </c>
      <c r="C265" s="10">
        <v>4</v>
      </c>
      <c r="D265" s="15">
        <v>2600</v>
      </c>
      <c r="E265" s="15">
        <v>2584.8000000000002</v>
      </c>
      <c r="F265" s="8">
        <f t="shared" si="20"/>
        <v>15.199999999999818</v>
      </c>
      <c r="G265" s="22">
        <f t="shared" si="21"/>
        <v>10400</v>
      </c>
      <c r="H265" s="23">
        <f t="shared" si="22"/>
        <v>10339.200000000001</v>
      </c>
      <c r="I265" s="23">
        <f t="shared" si="23"/>
        <v>60.799999999999272</v>
      </c>
      <c r="J265" s="9">
        <f t="shared" si="24"/>
        <v>5.8805323429278154E-3</v>
      </c>
      <c r="K265" s="15" t="s">
        <v>22</v>
      </c>
    </row>
    <row r="266" spans="1:11" x14ac:dyDescent="0.25">
      <c r="A266" s="7">
        <v>45979</v>
      </c>
      <c r="B266" s="8" t="s">
        <v>13</v>
      </c>
      <c r="C266" s="10">
        <v>1</v>
      </c>
      <c r="D266" s="15">
        <v>3000</v>
      </c>
      <c r="E266" s="15">
        <v>2907.9</v>
      </c>
      <c r="F266" s="8">
        <f t="shared" si="20"/>
        <v>92.099999999999909</v>
      </c>
      <c r="G266" s="22">
        <f t="shared" si="21"/>
        <v>3000</v>
      </c>
      <c r="H266" s="23">
        <f t="shared" si="22"/>
        <v>2907.9</v>
      </c>
      <c r="I266" s="23">
        <f t="shared" si="23"/>
        <v>92.099999999999909</v>
      </c>
      <c r="J266" s="9">
        <f t="shared" si="24"/>
        <v>3.167234086454139E-2</v>
      </c>
      <c r="K266" s="15" t="s">
        <v>22</v>
      </c>
    </row>
    <row r="267" spans="1:11" x14ac:dyDescent="0.25">
      <c r="A267" s="11">
        <v>45979</v>
      </c>
      <c r="B267" s="12" t="s">
        <v>21</v>
      </c>
      <c r="C267" s="12">
        <v>10</v>
      </c>
      <c r="D267" s="12">
        <v>2420</v>
      </c>
      <c r="E267" s="12">
        <v>2513</v>
      </c>
      <c r="F267" s="12">
        <f t="shared" si="20"/>
        <v>-93</v>
      </c>
      <c r="G267" s="24">
        <f t="shared" si="21"/>
        <v>24200</v>
      </c>
      <c r="H267" s="24">
        <f t="shared" si="22"/>
        <v>25130</v>
      </c>
      <c r="I267" s="24">
        <f t="shared" si="23"/>
        <v>-930</v>
      </c>
      <c r="J267" s="13">
        <f t="shared" si="24"/>
        <v>-3.7007560684440909E-2</v>
      </c>
      <c r="K267" s="12" t="s">
        <v>22</v>
      </c>
    </row>
    <row r="268" spans="1:11" x14ac:dyDescent="0.25">
      <c r="A268" s="7">
        <v>45979</v>
      </c>
      <c r="B268" s="8" t="s">
        <v>13</v>
      </c>
      <c r="C268" s="10">
        <v>1</v>
      </c>
      <c r="D268" s="15">
        <v>3000</v>
      </c>
      <c r="E268" s="15">
        <v>2907.9</v>
      </c>
      <c r="F268" s="8">
        <f t="shared" si="20"/>
        <v>92.099999999999909</v>
      </c>
      <c r="G268" s="22">
        <f t="shared" si="21"/>
        <v>3000</v>
      </c>
      <c r="H268" s="23">
        <f t="shared" si="22"/>
        <v>2907.9</v>
      </c>
      <c r="I268" s="23">
        <f t="shared" si="23"/>
        <v>92.099999999999909</v>
      </c>
      <c r="J268" s="9">
        <f t="shared" si="24"/>
        <v>3.167234086454139E-2</v>
      </c>
      <c r="K268" s="15" t="s">
        <v>22</v>
      </c>
    </row>
    <row r="269" spans="1:11" x14ac:dyDescent="0.25">
      <c r="A269" s="7">
        <v>45979</v>
      </c>
      <c r="B269" s="8" t="s">
        <v>13</v>
      </c>
      <c r="C269" s="10">
        <v>1</v>
      </c>
      <c r="D269" s="15">
        <v>3000</v>
      </c>
      <c r="E269" s="15">
        <v>2800.2</v>
      </c>
      <c r="F269" s="8">
        <f t="shared" si="20"/>
        <v>199.80000000000018</v>
      </c>
      <c r="G269" s="22">
        <f t="shared" si="21"/>
        <v>3000</v>
      </c>
      <c r="H269" s="23">
        <f t="shared" si="22"/>
        <v>2800.2</v>
      </c>
      <c r="I269" s="23">
        <f t="shared" si="23"/>
        <v>199.80000000000018</v>
      </c>
      <c r="J269" s="9">
        <f t="shared" si="24"/>
        <v>7.1352046282408474E-2</v>
      </c>
      <c r="K269" s="15" t="s">
        <v>22</v>
      </c>
    </row>
    <row r="270" spans="1:11" x14ac:dyDescent="0.25">
      <c r="A270" s="11">
        <v>45980</v>
      </c>
      <c r="B270" s="12" t="s">
        <v>21</v>
      </c>
      <c r="C270" s="12">
        <v>2</v>
      </c>
      <c r="D270" s="12">
        <v>2400</v>
      </c>
      <c r="E270" s="12">
        <v>2513</v>
      </c>
      <c r="F270" s="12">
        <f t="shared" si="20"/>
        <v>-113</v>
      </c>
      <c r="G270" s="24">
        <f t="shared" si="21"/>
        <v>4800</v>
      </c>
      <c r="H270" s="24">
        <f t="shared" si="22"/>
        <v>5026</v>
      </c>
      <c r="I270" s="24">
        <f t="shared" si="23"/>
        <v>-226</v>
      </c>
      <c r="J270" s="13">
        <f t="shared" si="24"/>
        <v>-4.4966175885395941E-2</v>
      </c>
      <c r="K270" s="12" t="s">
        <v>22</v>
      </c>
    </row>
    <row r="271" spans="1:11" x14ac:dyDescent="0.25">
      <c r="A271" s="16">
        <v>45980</v>
      </c>
      <c r="B271" s="17" t="s">
        <v>43</v>
      </c>
      <c r="C271" s="17">
        <v>2</v>
      </c>
      <c r="D271" s="17">
        <v>1910</v>
      </c>
      <c r="E271" s="17">
        <v>1800</v>
      </c>
      <c r="F271" s="17">
        <f t="shared" si="20"/>
        <v>110</v>
      </c>
      <c r="G271" s="25">
        <f t="shared" si="21"/>
        <v>3820</v>
      </c>
      <c r="H271" s="25">
        <f t="shared" si="22"/>
        <v>3600</v>
      </c>
      <c r="I271" s="25">
        <f t="shared" si="23"/>
        <v>220</v>
      </c>
      <c r="J271" s="18">
        <f t="shared" si="24"/>
        <v>6.1111111111111109E-2</v>
      </c>
      <c r="K271" s="17" t="s">
        <v>22</v>
      </c>
    </row>
    <row r="272" spans="1:11" x14ac:dyDescent="0.25">
      <c r="A272" s="7">
        <v>45981</v>
      </c>
      <c r="B272" s="8" t="s">
        <v>24</v>
      </c>
      <c r="C272" s="8">
        <v>13</v>
      </c>
      <c r="D272" s="8">
        <v>780</v>
      </c>
      <c r="E272" s="8">
        <v>753.9</v>
      </c>
      <c r="F272" s="8">
        <f t="shared" si="20"/>
        <v>26.100000000000023</v>
      </c>
      <c r="G272" s="22">
        <f t="shared" si="21"/>
        <v>10140</v>
      </c>
      <c r="H272" s="23">
        <f t="shared" si="22"/>
        <v>9800.6999999999989</v>
      </c>
      <c r="I272" s="23">
        <f t="shared" si="23"/>
        <v>339.30000000000109</v>
      </c>
      <c r="J272" s="9">
        <f t="shared" si="24"/>
        <v>3.4619976124154427E-2</v>
      </c>
      <c r="K272" s="15" t="s">
        <v>22</v>
      </c>
    </row>
    <row r="273" spans="1:11" x14ac:dyDescent="0.25">
      <c r="A273" s="7">
        <v>45981</v>
      </c>
      <c r="B273" s="8" t="s">
        <v>47</v>
      </c>
      <c r="C273" s="8">
        <v>2</v>
      </c>
      <c r="D273" s="8">
        <v>345</v>
      </c>
      <c r="E273" s="8">
        <v>305.14999999999998</v>
      </c>
      <c r="F273" s="8">
        <f t="shared" si="20"/>
        <v>39.850000000000023</v>
      </c>
      <c r="G273" s="22">
        <f t="shared" si="21"/>
        <v>690</v>
      </c>
      <c r="H273" s="23">
        <f t="shared" si="22"/>
        <v>610.29999999999995</v>
      </c>
      <c r="I273" s="23">
        <f t="shared" si="23"/>
        <v>79.700000000000045</v>
      </c>
      <c r="J273" s="9">
        <f t="shared" si="24"/>
        <v>0.1305915123709652</v>
      </c>
      <c r="K273" s="15" t="s">
        <v>22</v>
      </c>
    </row>
    <row r="274" spans="1:11" x14ac:dyDescent="0.25">
      <c r="A274" s="7">
        <v>45981</v>
      </c>
      <c r="B274" s="8" t="s">
        <v>48</v>
      </c>
      <c r="C274" s="8">
        <v>1</v>
      </c>
      <c r="D274" s="8">
        <v>495</v>
      </c>
      <c r="E274" s="8">
        <v>448.75</v>
      </c>
      <c r="F274" s="8">
        <f t="shared" si="20"/>
        <v>46.25</v>
      </c>
      <c r="G274" s="22">
        <f t="shared" si="21"/>
        <v>495</v>
      </c>
      <c r="H274" s="23">
        <f t="shared" si="22"/>
        <v>448.75</v>
      </c>
      <c r="I274" s="23">
        <f t="shared" si="23"/>
        <v>46.25</v>
      </c>
      <c r="J274" s="9">
        <f t="shared" si="24"/>
        <v>0.10306406685236769</v>
      </c>
      <c r="K274" s="15" t="s">
        <v>22</v>
      </c>
    </row>
    <row r="275" spans="1:11" x14ac:dyDescent="0.25">
      <c r="A275" s="14">
        <v>45985</v>
      </c>
      <c r="B275" s="10" t="s">
        <v>17</v>
      </c>
      <c r="C275" s="15">
        <v>16</v>
      </c>
      <c r="D275" s="15">
        <v>1625</v>
      </c>
      <c r="E275" s="10">
        <v>1471.9</v>
      </c>
      <c r="F275" s="8">
        <f t="shared" si="20"/>
        <v>153.09999999999991</v>
      </c>
      <c r="G275" s="22">
        <f t="shared" si="21"/>
        <v>26000</v>
      </c>
      <c r="H275" s="23">
        <f t="shared" si="22"/>
        <v>23550.400000000001</v>
      </c>
      <c r="I275" s="23">
        <f t="shared" si="23"/>
        <v>2449.5999999999985</v>
      </c>
      <c r="J275" s="9">
        <f t="shared" si="24"/>
        <v>0.10401521842516469</v>
      </c>
      <c r="K275" s="10" t="s">
        <v>22</v>
      </c>
    </row>
    <row r="276" spans="1:11" x14ac:dyDescent="0.25">
      <c r="A276" s="11">
        <v>45985</v>
      </c>
      <c r="B276" s="12" t="s">
        <v>12</v>
      </c>
      <c r="C276" s="12">
        <v>1</v>
      </c>
      <c r="D276" s="12">
        <v>2620</v>
      </c>
      <c r="E276" s="12">
        <v>2656.6</v>
      </c>
      <c r="F276" s="12">
        <f t="shared" si="20"/>
        <v>-36.599999999999909</v>
      </c>
      <c r="G276" s="24">
        <f t="shared" si="21"/>
        <v>2620</v>
      </c>
      <c r="H276" s="24">
        <f t="shared" si="22"/>
        <v>2656.6</v>
      </c>
      <c r="I276" s="24">
        <f t="shared" si="23"/>
        <v>-36.599999999999909</v>
      </c>
      <c r="J276" s="13">
        <f t="shared" si="24"/>
        <v>-1.3777008205977532E-2</v>
      </c>
      <c r="K276" s="12" t="s">
        <v>22</v>
      </c>
    </row>
    <row r="277" spans="1:11" x14ac:dyDescent="0.25">
      <c r="A277" s="11">
        <v>45986</v>
      </c>
      <c r="B277" s="12" t="s">
        <v>62</v>
      </c>
      <c r="C277" s="12">
        <v>1</v>
      </c>
      <c r="D277" s="12">
        <v>3475</v>
      </c>
      <c r="E277" s="12">
        <v>3625.9</v>
      </c>
      <c r="F277" s="12">
        <f t="shared" si="20"/>
        <v>-150.90000000000009</v>
      </c>
      <c r="G277" s="24">
        <f t="shared" si="21"/>
        <v>3475</v>
      </c>
      <c r="H277" s="24">
        <f t="shared" si="22"/>
        <v>3625.9</v>
      </c>
      <c r="I277" s="24">
        <f t="shared" si="23"/>
        <v>-150.90000000000009</v>
      </c>
      <c r="J277" s="13">
        <f t="shared" si="24"/>
        <v>-4.1617253647370331E-2</v>
      </c>
      <c r="K277" s="12" t="s">
        <v>22</v>
      </c>
    </row>
    <row r="278" spans="1:11" x14ac:dyDescent="0.25">
      <c r="A278" s="14">
        <v>45986</v>
      </c>
      <c r="B278" s="8" t="s">
        <v>13</v>
      </c>
      <c r="C278" s="15">
        <v>1</v>
      </c>
      <c r="D278" s="15">
        <v>2800</v>
      </c>
      <c r="E278" s="8">
        <v>2800</v>
      </c>
      <c r="F278" s="8">
        <f t="shared" si="20"/>
        <v>0</v>
      </c>
      <c r="G278" s="22">
        <f t="shared" si="21"/>
        <v>2800</v>
      </c>
      <c r="H278" s="23">
        <f t="shared" si="22"/>
        <v>2800</v>
      </c>
      <c r="I278" s="23">
        <f t="shared" si="23"/>
        <v>0</v>
      </c>
      <c r="J278" s="9">
        <f t="shared" si="24"/>
        <v>0</v>
      </c>
      <c r="K278" s="10" t="s">
        <v>22</v>
      </c>
    </row>
    <row r="279" spans="1:11" x14ac:dyDescent="0.25">
      <c r="A279" s="11">
        <v>45986</v>
      </c>
      <c r="B279" s="12" t="s">
        <v>13</v>
      </c>
      <c r="C279" s="12">
        <v>1</v>
      </c>
      <c r="D279" s="12">
        <v>2850</v>
      </c>
      <c r="E279" s="12">
        <v>2907.9</v>
      </c>
      <c r="F279" s="12">
        <f t="shared" si="20"/>
        <v>-57.900000000000091</v>
      </c>
      <c r="G279" s="24">
        <f t="shared" si="21"/>
        <v>2850</v>
      </c>
      <c r="H279" s="24">
        <f t="shared" si="22"/>
        <v>2907.9</v>
      </c>
      <c r="I279" s="24">
        <f t="shared" si="23"/>
        <v>-57.900000000000091</v>
      </c>
      <c r="J279" s="13">
        <f t="shared" si="24"/>
        <v>-1.9911276178685679E-2</v>
      </c>
      <c r="K279" s="12" t="s">
        <v>22</v>
      </c>
    </row>
    <row r="280" spans="1:11" x14ac:dyDescent="0.25">
      <c r="A280" s="7">
        <v>45988</v>
      </c>
      <c r="B280" s="10" t="s">
        <v>88</v>
      </c>
      <c r="C280" s="15">
        <v>12</v>
      </c>
      <c r="D280" s="15">
        <v>2300</v>
      </c>
      <c r="E280" s="21">
        <v>2242.16</v>
      </c>
      <c r="F280" s="8">
        <f t="shared" si="20"/>
        <v>57.840000000000146</v>
      </c>
      <c r="G280" s="22">
        <f t="shared" si="21"/>
        <v>27600</v>
      </c>
      <c r="H280" s="23">
        <f t="shared" si="22"/>
        <v>26905.919999999998</v>
      </c>
      <c r="I280" s="23">
        <f t="shared" si="23"/>
        <v>694.08000000000175</v>
      </c>
      <c r="J280" s="9">
        <f t="shared" si="24"/>
        <v>2.5796553323580898E-2</v>
      </c>
      <c r="K280" s="8" t="s">
        <v>22</v>
      </c>
    </row>
    <row r="281" spans="1:11" x14ac:dyDescent="0.25">
      <c r="A281" s="11">
        <v>45988</v>
      </c>
      <c r="B281" s="12" t="s">
        <v>88</v>
      </c>
      <c r="C281" s="12">
        <v>1</v>
      </c>
      <c r="D281" s="12">
        <v>2300</v>
      </c>
      <c r="E281" s="12">
        <v>2685</v>
      </c>
      <c r="F281" s="12">
        <f t="shared" si="20"/>
        <v>-385</v>
      </c>
      <c r="G281" s="24">
        <f t="shared" si="21"/>
        <v>2300</v>
      </c>
      <c r="H281" s="24">
        <f t="shared" si="22"/>
        <v>2685</v>
      </c>
      <c r="I281" s="24">
        <f t="shared" si="23"/>
        <v>-385</v>
      </c>
      <c r="J281" s="13">
        <f t="shared" si="24"/>
        <v>-0.14338919925512103</v>
      </c>
      <c r="K281" s="12" t="s">
        <v>22</v>
      </c>
    </row>
    <row r="282" spans="1:11" x14ac:dyDescent="0.25">
      <c r="A282" s="11">
        <v>45989</v>
      </c>
      <c r="B282" s="12" t="s">
        <v>11</v>
      </c>
      <c r="C282" s="12">
        <v>2</v>
      </c>
      <c r="D282" s="12">
        <v>3200</v>
      </c>
      <c r="E282" s="12">
        <v>3338.7</v>
      </c>
      <c r="F282" s="12">
        <f t="shared" si="20"/>
        <v>-138.69999999999982</v>
      </c>
      <c r="G282" s="24">
        <f t="shared" si="21"/>
        <v>6400</v>
      </c>
      <c r="H282" s="24">
        <f t="shared" si="22"/>
        <v>6677.4</v>
      </c>
      <c r="I282" s="24">
        <f t="shared" si="23"/>
        <v>-277.39999999999964</v>
      </c>
      <c r="J282" s="13">
        <f t="shared" si="24"/>
        <v>-4.154311558390985E-2</v>
      </c>
      <c r="K282" s="12" t="s">
        <v>22</v>
      </c>
    </row>
    <row r="283" spans="1:11" x14ac:dyDescent="0.25">
      <c r="A283" s="7">
        <v>45990</v>
      </c>
      <c r="B283" s="10" t="s">
        <v>95</v>
      </c>
      <c r="C283" s="15">
        <v>1</v>
      </c>
      <c r="D283" s="15">
        <v>1</v>
      </c>
      <c r="E283" s="8"/>
      <c r="F283" s="8">
        <f t="shared" si="20"/>
        <v>1</v>
      </c>
      <c r="G283" s="22">
        <f t="shared" si="21"/>
        <v>1</v>
      </c>
      <c r="H283" s="23">
        <f t="shared" si="22"/>
        <v>0</v>
      </c>
      <c r="I283" s="23">
        <f t="shared" si="23"/>
        <v>1</v>
      </c>
      <c r="J283" s="9" t="e">
        <f t="shared" si="24"/>
        <v>#DIV/0!</v>
      </c>
      <c r="K283" s="8" t="s">
        <v>22</v>
      </c>
    </row>
    <row r="284" spans="1:11" x14ac:dyDescent="0.25">
      <c r="A284" s="7">
        <v>45990</v>
      </c>
      <c r="B284" s="10" t="s">
        <v>96</v>
      </c>
      <c r="C284" s="15">
        <v>1</v>
      </c>
      <c r="D284" s="15">
        <v>1</v>
      </c>
      <c r="E284" s="8"/>
      <c r="F284" s="8">
        <f t="shared" si="20"/>
        <v>1</v>
      </c>
      <c r="G284" s="22">
        <f t="shared" si="21"/>
        <v>1</v>
      </c>
      <c r="H284" s="23">
        <f t="shared" si="22"/>
        <v>0</v>
      </c>
      <c r="I284" s="23">
        <f t="shared" si="23"/>
        <v>1</v>
      </c>
      <c r="J284" s="9" t="e">
        <f t="shared" si="24"/>
        <v>#DIV/0!</v>
      </c>
      <c r="K284" s="8" t="s">
        <v>22</v>
      </c>
    </row>
    <row r="285" spans="1:11" x14ac:dyDescent="0.25">
      <c r="A285" s="7">
        <v>45990</v>
      </c>
      <c r="B285" s="10" t="s">
        <v>97</v>
      </c>
      <c r="C285" s="15">
        <v>1</v>
      </c>
      <c r="D285" s="15">
        <v>1</v>
      </c>
      <c r="E285" s="8"/>
      <c r="F285" s="8">
        <f t="shared" si="20"/>
        <v>1</v>
      </c>
      <c r="G285" s="22">
        <f t="shared" si="21"/>
        <v>1</v>
      </c>
      <c r="H285" s="23">
        <f t="shared" si="22"/>
        <v>0</v>
      </c>
      <c r="I285" s="23">
        <f t="shared" si="23"/>
        <v>1</v>
      </c>
      <c r="J285" s="9" t="e">
        <f t="shared" si="24"/>
        <v>#DIV/0!</v>
      </c>
      <c r="K285" s="8" t="s">
        <v>22</v>
      </c>
    </row>
    <row r="286" spans="1:11" x14ac:dyDescent="0.25">
      <c r="A286" s="7">
        <v>45990</v>
      </c>
      <c r="B286" s="10" t="s">
        <v>98</v>
      </c>
      <c r="C286" s="15">
        <v>1</v>
      </c>
      <c r="D286" s="15">
        <v>1</v>
      </c>
      <c r="E286" s="8"/>
      <c r="F286" s="8">
        <f t="shared" si="20"/>
        <v>1</v>
      </c>
      <c r="G286" s="22">
        <f t="shared" si="21"/>
        <v>1</v>
      </c>
      <c r="H286" s="23">
        <f t="shared" si="22"/>
        <v>0</v>
      </c>
      <c r="I286" s="23">
        <f t="shared" si="23"/>
        <v>1</v>
      </c>
      <c r="J286" s="9" t="e">
        <f t="shared" si="24"/>
        <v>#DIV/0!</v>
      </c>
      <c r="K286" s="8" t="s">
        <v>22</v>
      </c>
    </row>
    <row r="287" spans="1:11" x14ac:dyDescent="0.25">
      <c r="A287" s="7">
        <v>45991</v>
      </c>
      <c r="B287" s="20" t="s">
        <v>106</v>
      </c>
      <c r="C287" s="15">
        <v>1</v>
      </c>
      <c r="D287" s="15">
        <v>1</v>
      </c>
      <c r="E287" s="8"/>
      <c r="F287" s="8">
        <f t="shared" si="20"/>
        <v>1</v>
      </c>
      <c r="G287" s="22">
        <f t="shared" si="21"/>
        <v>1</v>
      </c>
      <c r="H287" s="23">
        <f t="shared" si="22"/>
        <v>0</v>
      </c>
      <c r="I287" s="23">
        <f t="shared" si="23"/>
        <v>1</v>
      </c>
      <c r="J287" s="9" t="e">
        <f t="shared" si="24"/>
        <v>#DIV/0!</v>
      </c>
      <c r="K287" s="8" t="s">
        <v>22</v>
      </c>
    </row>
    <row r="288" spans="1:11" x14ac:dyDescent="0.25">
      <c r="A288" s="7">
        <v>45991</v>
      </c>
      <c r="B288" s="19" t="s">
        <v>108</v>
      </c>
      <c r="C288" s="15">
        <v>1</v>
      </c>
      <c r="D288" s="15">
        <v>1</v>
      </c>
      <c r="E288" s="8"/>
      <c r="F288" s="8">
        <f t="shared" si="20"/>
        <v>1</v>
      </c>
      <c r="G288" s="22">
        <f t="shared" si="21"/>
        <v>1</v>
      </c>
      <c r="H288" s="23">
        <f t="shared" si="22"/>
        <v>0</v>
      </c>
      <c r="I288" s="23">
        <f t="shared" si="23"/>
        <v>1</v>
      </c>
      <c r="J288" s="9" t="e">
        <f t="shared" si="24"/>
        <v>#DIV/0!</v>
      </c>
      <c r="K288" s="8" t="s">
        <v>22</v>
      </c>
    </row>
    <row r="289" spans="1:11" x14ac:dyDescent="0.25">
      <c r="A289" s="7">
        <v>45991</v>
      </c>
      <c r="B289" s="19" t="s">
        <v>109</v>
      </c>
      <c r="C289" s="15">
        <v>4</v>
      </c>
      <c r="D289" s="15">
        <v>1</v>
      </c>
      <c r="E289" s="8"/>
      <c r="F289" s="8">
        <f t="shared" si="20"/>
        <v>1</v>
      </c>
      <c r="G289" s="22">
        <f t="shared" si="21"/>
        <v>4</v>
      </c>
      <c r="H289" s="23">
        <f t="shared" si="22"/>
        <v>0</v>
      </c>
      <c r="I289" s="23">
        <f t="shared" si="23"/>
        <v>4</v>
      </c>
      <c r="J289" s="9" t="e">
        <f t="shared" si="24"/>
        <v>#DIV/0!</v>
      </c>
      <c r="K289" s="8" t="s">
        <v>22</v>
      </c>
    </row>
    <row r="290" spans="1:11" x14ac:dyDescent="0.25">
      <c r="A290" s="7">
        <v>45991</v>
      </c>
      <c r="B290" s="19" t="s">
        <v>110</v>
      </c>
      <c r="C290" s="15">
        <v>2</v>
      </c>
      <c r="D290" s="15">
        <v>1</v>
      </c>
      <c r="E290" s="8"/>
      <c r="F290" s="8">
        <f t="shared" si="20"/>
        <v>1</v>
      </c>
      <c r="G290" s="22">
        <f t="shared" si="21"/>
        <v>2</v>
      </c>
      <c r="H290" s="23">
        <f t="shared" si="22"/>
        <v>0</v>
      </c>
      <c r="I290" s="23">
        <f t="shared" si="23"/>
        <v>2</v>
      </c>
      <c r="J290" s="9" t="e">
        <f t="shared" si="24"/>
        <v>#DIV/0!</v>
      </c>
      <c r="K290" s="8" t="s">
        <v>22</v>
      </c>
    </row>
    <row r="291" spans="1:11" x14ac:dyDescent="0.25">
      <c r="A291" s="7">
        <v>45972</v>
      </c>
      <c r="B291" s="8" t="s">
        <v>11</v>
      </c>
      <c r="C291" s="15">
        <v>1</v>
      </c>
      <c r="D291" s="15">
        <v>3550</v>
      </c>
      <c r="E291" s="8">
        <v>3266.9</v>
      </c>
      <c r="F291" s="8">
        <f t="shared" si="20"/>
        <v>283.09999999999991</v>
      </c>
      <c r="G291" s="22">
        <f t="shared" si="21"/>
        <v>3550</v>
      </c>
      <c r="H291" s="23">
        <f t="shared" si="22"/>
        <v>3266.9</v>
      </c>
      <c r="I291" s="23">
        <f t="shared" si="23"/>
        <v>283.09999999999991</v>
      </c>
      <c r="J291" s="9">
        <f t="shared" si="24"/>
        <v>8.6657075515014198E-2</v>
      </c>
      <c r="K291" s="8" t="s">
        <v>103</v>
      </c>
    </row>
    <row r="292" spans="1:11" x14ac:dyDescent="0.25">
      <c r="A292" s="7">
        <v>45967</v>
      </c>
      <c r="B292" s="10" t="s">
        <v>36</v>
      </c>
      <c r="C292" s="15">
        <v>4</v>
      </c>
      <c r="D292" s="15">
        <v>1500</v>
      </c>
      <c r="E292" s="8">
        <v>1400.2</v>
      </c>
      <c r="F292" s="8">
        <f t="shared" si="20"/>
        <v>99.799999999999955</v>
      </c>
      <c r="G292" s="22">
        <f t="shared" si="21"/>
        <v>6000</v>
      </c>
      <c r="H292" s="23">
        <f t="shared" si="22"/>
        <v>5600.8</v>
      </c>
      <c r="I292" s="23">
        <f t="shared" si="23"/>
        <v>399.19999999999982</v>
      </c>
      <c r="J292" s="9">
        <f t="shared" si="24"/>
        <v>7.1275532066847558E-2</v>
      </c>
      <c r="K292" s="8" t="s">
        <v>102</v>
      </c>
    </row>
    <row r="293" spans="1:11" x14ac:dyDescent="0.25">
      <c r="A293" s="7">
        <v>45971</v>
      </c>
      <c r="B293" s="8" t="s">
        <v>15</v>
      </c>
      <c r="C293" s="8">
        <v>1</v>
      </c>
      <c r="D293" s="8">
        <v>1</v>
      </c>
      <c r="E293" s="8">
        <v>1</v>
      </c>
      <c r="F293" s="8">
        <f t="shared" si="20"/>
        <v>0</v>
      </c>
      <c r="G293" s="22">
        <f t="shared" si="21"/>
        <v>1</v>
      </c>
      <c r="H293" s="23">
        <f t="shared" si="22"/>
        <v>1</v>
      </c>
      <c r="I293" s="23">
        <f t="shared" si="23"/>
        <v>0</v>
      </c>
      <c r="J293" s="9">
        <f t="shared" si="24"/>
        <v>0</v>
      </c>
      <c r="K293" s="8"/>
    </row>
    <row r="294" spans="1:11" x14ac:dyDescent="0.25">
      <c r="A294" s="7">
        <v>45976</v>
      </c>
      <c r="B294" s="10" t="s">
        <v>34</v>
      </c>
      <c r="C294" s="10">
        <v>1</v>
      </c>
      <c r="D294" s="10">
        <v>1</v>
      </c>
      <c r="E294" s="10">
        <v>1</v>
      </c>
      <c r="F294" s="8">
        <f t="shared" si="20"/>
        <v>0</v>
      </c>
      <c r="G294" s="22">
        <f t="shared" si="21"/>
        <v>1</v>
      </c>
      <c r="H294" s="23">
        <f t="shared" si="22"/>
        <v>1</v>
      </c>
      <c r="I294" s="23">
        <f t="shared" si="23"/>
        <v>0</v>
      </c>
      <c r="J294" s="9">
        <f t="shared" si="24"/>
        <v>0</v>
      </c>
      <c r="K294" s="8"/>
    </row>
    <row r="295" spans="1:11" x14ac:dyDescent="0.25">
      <c r="A295" s="7">
        <v>45978</v>
      </c>
      <c r="B295" s="10" t="s">
        <v>37</v>
      </c>
      <c r="C295" s="10">
        <v>1</v>
      </c>
      <c r="D295" s="15">
        <v>1</v>
      </c>
      <c r="E295" s="15">
        <v>1</v>
      </c>
      <c r="F295" s="8">
        <f t="shared" si="20"/>
        <v>0</v>
      </c>
      <c r="G295" s="22">
        <f t="shared" si="21"/>
        <v>1</v>
      </c>
      <c r="H295" s="23">
        <f t="shared" si="22"/>
        <v>1</v>
      </c>
      <c r="I295" s="23">
        <f t="shared" si="23"/>
        <v>0</v>
      </c>
      <c r="J295" s="9">
        <f t="shared" si="24"/>
        <v>0</v>
      </c>
      <c r="K295" s="15"/>
    </row>
    <row r="299" spans="1:11" x14ac:dyDescent="0.25">
      <c r="G299" s="26">
        <f>SUM(G2:G298)</f>
        <v>2365248.6100000003</v>
      </c>
      <c r="H299" s="26">
        <f>SUM(H2:H298)</f>
        <v>2171235.46</v>
      </c>
      <c r="I299" s="26">
        <f>SUM(I2:I298)</f>
        <v>194013.15000000002</v>
      </c>
    </row>
  </sheetData>
  <sortState xmlns:xlrd2="http://schemas.microsoft.com/office/spreadsheetml/2017/richdata2" ref="A2:K295">
    <sortCondition ref="K2:K29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28AAA-883F-4A6D-8D65-D1CEA49CAB92}">
  <dimension ref="A1:K80"/>
  <sheetViews>
    <sheetView topLeftCell="A48" workbookViewId="0">
      <selection activeCell="C80" sqref="C80"/>
    </sheetView>
  </sheetViews>
  <sheetFormatPr defaultRowHeight="15" x14ac:dyDescent="0.25"/>
  <cols>
    <col min="1" max="1" width="12.7109375" customWidth="1"/>
    <col min="2" max="2" width="40.28515625" customWidth="1"/>
    <col min="3" max="3" width="24" customWidth="1"/>
    <col min="4" max="4" width="16.42578125" customWidth="1"/>
    <col min="5" max="5" width="22.85546875" customWidth="1"/>
    <col min="6" max="6" width="17.7109375" customWidth="1"/>
    <col min="7" max="7" width="16.28515625" customWidth="1"/>
    <col min="8" max="8" width="24" customWidth="1"/>
    <col min="9" max="9" width="17.85546875" customWidth="1"/>
    <col min="10" max="10" width="14.28515625" customWidth="1"/>
    <col min="11" max="11" width="14" customWidth="1"/>
  </cols>
  <sheetData>
    <row r="1" spans="1:11" ht="18.75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10</v>
      </c>
    </row>
    <row r="2" spans="1:11" x14ac:dyDescent="0.25">
      <c r="A2" s="7">
        <v>45965</v>
      </c>
      <c r="B2" s="10" t="s">
        <v>51</v>
      </c>
      <c r="C2" s="15">
        <v>1</v>
      </c>
      <c r="D2" s="15">
        <v>6300</v>
      </c>
      <c r="E2" s="8">
        <v>5346.67</v>
      </c>
      <c r="F2" s="8">
        <f t="shared" ref="F2:F33" si="0">D2-E2</f>
        <v>953.32999999999993</v>
      </c>
      <c r="G2" s="22">
        <f t="shared" ref="G2:G33" si="1">D2*C2</f>
        <v>6300</v>
      </c>
      <c r="H2" s="23">
        <f t="shared" ref="H2:H33" si="2">E2*C2</f>
        <v>5346.67</v>
      </c>
      <c r="I2" s="23">
        <f t="shared" ref="I2:I33" si="3">G2-H2</f>
        <v>953.32999999999993</v>
      </c>
      <c r="J2" s="9">
        <f t="shared" ref="J2:J33" si="4">(D2-E2)/E2</f>
        <v>0.17830350479831369</v>
      </c>
      <c r="K2" s="8" t="s">
        <v>33</v>
      </c>
    </row>
    <row r="3" spans="1:11" x14ac:dyDescent="0.25">
      <c r="A3" s="7">
        <v>45966</v>
      </c>
      <c r="B3" s="10" t="s">
        <v>31</v>
      </c>
      <c r="C3" s="15">
        <v>1</v>
      </c>
      <c r="D3" s="15">
        <v>5000</v>
      </c>
      <c r="E3" s="10">
        <v>3340.73</v>
      </c>
      <c r="F3" s="8">
        <f t="shared" si="0"/>
        <v>1659.27</v>
      </c>
      <c r="G3" s="22">
        <f t="shared" si="1"/>
        <v>5000</v>
      </c>
      <c r="H3" s="23">
        <f t="shared" si="2"/>
        <v>3340.73</v>
      </c>
      <c r="I3" s="23">
        <f t="shared" si="3"/>
        <v>1659.27</v>
      </c>
      <c r="J3" s="9">
        <f t="shared" si="4"/>
        <v>0.49667886958838336</v>
      </c>
      <c r="K3" s="8" t="s">
        <v>33</v>
      </c>
    </row>
    <row r="4" spans="1:11" x14ac:dyDescent="0.25">
      <c r="A4" s="7">
        <v>45966</v>
      </c>
      <c r="B4" s="10" t="s">
        <v>51</v>
      </c>
      <c r="C4" s="15">
        <v>1</v>
      </c>
      <c r="D4" s="15">
        <v>6300</v>
      </c>
      <c r="E4" s="8">
        <v>5346.67</v>
      </c>
      <c r="F4" s="8">
        <f t="shared" si="0"/>
        <v>953.32999999999993</v>
      </c>
      <c r="G4" s="22">
        <f t="shared" si="1"/>
        <v>6300</v>
      </c>
      <c r="H4" s="23">
        <f t="shared" si="2"/>
        <v>5346.67</v>
      </c>
      <c r="I4" s="23">
        <f t="shared" si="3"/>
        <v>953.32999999999993</v>
      </c>
      <c r="J4" s="9">
        <f t="shared" si="4"/>
        <v>0.17830350479831369</v>
      </c>
      <c r="K4" s="8" t="s">
        <v>33</v>
      </c>
    </row>
    <row r="5" spans="1:11" x14ac:dyDescent="0.25">
      <c r="A5" s="11">
        <v>45967</v>
      </c>
      <c r="B5" s="12" t="s">
        <v>77</v>
      </c>
      <c r="C5" s="12">
        <v>6</v>
      </c>
      <c r="D5" s="12">
        <v>992</v>
      </c>
      <c r="E5" s="12">
        <v>1120.5999999999999</v>
      </c>
      <c r="F5" s="12">
        <f t="shared" si="0"/>
        <v>-128.59999999999991</v>
      </c>
      <c r="G5" s="24">
        <f t="shared" si="1"/>
        <v>5952</v>
      </c>
      <c r="H5" s="24">
        <f t="shared" si="2"/>
        <v>6723.5999999999995</v>
      </c>
      <c r="I5" s="24">
        <f t="shared" si="3"/>
        <v>-771.59999999999945</v>
      </c>
      <c r="J5" s="13">
        <f t="shared" si="4"/>
        <v>-0.11475995002677131</v>
      </c>
      <c r="K5" s="12" t="s">
        <v>33</v>
      </c>
    </row>
    <row r="6" spans="1:11" x14ac:dyDescent="0.25">
      <c r="A6" s="11">
        <v>45967</v>
      </c>
      <c r="B6" s="12" t="s">
        <v>77</v>
      </c>
      <c r="C6" s="12">
        <v>2</v>
      </c>
      <c r="D6" s="12">
        <v>1040</v>
      </c>
      <c r="E6" s="12">
        <v>1120.5999999999999</v>
      </c>
      <c r="F6" s="12">
        <f t="shared" si="0"/>
        <v>-80.599999999999909</v>
      </c>
      <c r="G6" s="24">
        <f t="shared" si="1"/>
        <v>2080</v>
      </c>
      <c r="H6" s="24">
        <f t="shared" si="2"/>
        <v>2241.1999999999998</v>
      </c>
      <c r="I6" s="24">
        <f t="shared" si="3"/>
        <v>-161.19999999999982</v>
      </c>
      <c r="J6" s="13">
        <f t="shared" si="4"/>
        <v>-7.1925754060324754E-2</v>
      </c>
      <c r="K6" s="12" t="s">
        <v>33</v>
      </c>
    </row>
    <row r="7" spans="1:11" x14ac:dyDescent="0.25">
      <c r="A7" s="7">
        <v>45967</v>
      </c>
      <c r="B7" s="10" t="s">
        <v>77</v>
      </c>
      <c r="C7" s="15">
        <v>1</v>
      </c>
      <c r="D7" s="15">
        <v>1280</v>
      </c>
      <c r="E7" s="8">
        <v>1120.5999999999999</v>
      </c>
      <c r="F7" s="8">
        <f t="shared" si="0"/>
        <v>159.40000000000009</v>
      </c>
      <c r="G7" s="22">
        <f t="shared" si="1"/>
        <v>1280</v>
      </c>
      <c r="H7" s="23">
        <f t="shared" si="2"/>
        <v>1120.5999999999999</v>
      </c>
      <c r="I7" s="23">
        <f t="shared" si="3"/>
        <v>159.40000000000009</v>
      </c>
      <c r="J7" s="9">
        <f t="shared" si="4"/>
        <v>0.14224522577190801</v>
      </c>
      <c r="K7" s="8" t="s">
        <v>33</v>
      </c>
    </row>
    <row r="8" spans="1:11" x14ac:dyDescent="0.25">
      <c r="A8" s="7">
        <v>45967</v>
      </c>
      <c r="B8" s="10" t="s">
        <v>41</v>
      </c>
      <c r="C8" s="15">
        <v>2</v>
      </c>
      <c r="D8" s="15">
        <v>8275</v>
      </c>
      <c r="E8" s="8">
        <v>7809.57</v>
      </c>
      <c r="F8" s="8">
        <f t="shared" si="0"/>
        <v>465.43000000000029</v>
      </c>
      <c r="G8" s="22">
        <f t="shared" si="1"/>
        <v>16550</v>
      </c>
      <c r="H8" s="23">
        <f t="shared" si="2"/>
        <v>15619.14</v>
      </c>
      <c r="I8" s="23">
        <f t="shared" si="3"/>
        <v>930.86000000000058</v>
      </c>
      <c r="J8" s="9">
        <f t="shared" si="4"/>
        <v>5.9597391405672821E-2</v>
      </c>
      <c r="K8" s="8" t="s">
        <v>33</v>
      </c>
    </row>
    <row r="9" spans="1:11" x14ac:dyDescent="0.25">
      <c r="A9" s="7">
        <v>45967</v>
      </c>
      <c r="B9" s="10" t="s">
        <v>42</v>
      </c>
      <c r="C9" s="15">
        <v>4</v>
      </c>
      <c r="D9" s="15">
        <v>3525</v>
      </c>
      <c r="E9" s="8">
        <v>3005.61</v>
      </c>
      <c r="F9" s="8">
        <f t="shared" si="0"/>
        <v>519.38999999999987</v>
      </c>
      <c r="G9" s="22">
        <f t="shared" si="1"/>
        <v>14100</v>
      </c>
      <c r="H9" s="23">
        <f t="shared" si="2"/>
        <v>12022.44</v>
      </c>
      <c r="I9" s="23">
        <f t="shared" si="3"/>
        <v>2077.5599999999995</v>
      </c>
      <c r="J9" s="9">
        <f t="shared" si="4"/>
        <v>0.17280685118827788</v>
      </c>
      <c r="K9" s="8" t="s">
        <v>33</v>
      </c>
    </row>
    <row r="10" spans="1:11" x14ac:dyDescent="0.25">
      <c r="A10" s="7">
        <v>45968</v>
      </c>
      <c r="B10" s="10" t="s">
        <v>50</v>
      </c>
      <c r="C10" s="8">
        <v>5</v>
      </c>
      <c r="D10" s="8">
        <v>1025</v>
      </c>
      <c r="E10" s="8">
        <v>855.7</v>
      </c>
      <c r="F10" s="8">
        <f t="shared" si="0"/>
        <v>169.29999999999995</v>
      </c>
      <c r="G10" s="22">
        <f t="shared" si="1"/>
        <v>5125</v>
      </c>
      <c r="H10" s="23">
        <f t="shared" si="2"/>
        <v>4278.5</v>
      </c>
      <c r="I10" s="23">
        <f t="shared" si="3"/>
        <v>846.5</v>
      </c>
      <c r="J10" s="9">
        <f t="shared" si="4"/>
        <v>0.19784971368470253</v>
      </c>
      <c r="K10" s="8" t="s">
        <v>33</v>
      </c>
    </row>
    <row r="11" spans="1:11" x14ac:dyDescent="0.25">
      <c r="A11" s="7">
        <v>45968</v>
      </c>
      <c r="B11" s="10" t="s">
        <v>50</v>
      </c>
      <c r="C11" s="15">
        <v>5</v>
      </c>
      <c r="D11" s="15">
        <v>1025</v>
      </c>
      <c r="E11" s="8">
        <v>855.7</v>
      </c>
      <c r="F11" s="8">
        <f t="shared" si="0"/>
        <v>169.29999999999995</v>
      </c>
      <c r="G11" s="22">
        <f t="shared" si="1"/>
        <v>5125</v>
      </c>
      <c r="H11" s="23">
        <f t="shared" si="2"/>
        <v>4278.5</v>
      </c>
      <c r="I11" s="23">
        <f t="shared" si="3"/>
        <v>846.5</v>
      </c>
      <c r="J11" s="9">
        <f t="shared" si="4"/>
        <v>0.19784971368470253</v>
      </c>
      <c r="K11" s="8" t="s">
        <v>33</v>
      </c>
    </row>
    <row r="12" spans="1:11" x14ac:dyDescent="0.25">
      <c r="A12" s="7">
        <v>45968</v>
      </c>
      <c r="B12" s="10" t="s">
        <v>61</v>
      </c>
      <c r="C12" s="15">
        <v>5</v>
      </c>
      <c r="D12" s="15">
        <v>1800</v>
      </c>
      <c r="E12" s="8">
        <v>1753.12</v>
      </c>
      <c r="F12" s="8">
        <f t="shared" si="0"/>
        <v>46.880000000000109</v>
      </c>
      <c r="G12" s="22">
        <f t="shared" si="1"/>
        <v>9000</v>
      </c>
      <c r="H12" s="23">
        <f t="shared" si="2"/>
        <v>8765.5999999999985</v>
      </c>
      <c r="I12" s="23">
        <f t="shared" si="3"/>
        <v>234.40000000000146</v>
      </c>
      <c r="J12" s="9">
        <f t="shared" si="4"/>
        <v>2.6740896230720151E-2</v>
      </c>
      <c r="K12" s="8" t="s">
        <v>33</v>
      </c>
    </row>
    <row r="13" spans="1:11" x14ac:dyDescent="0.25">
      <c r="A13" s="7">
        <v>45968</v>
      </c>
      <c r="B13" s="10" t="s">
        <v>42</v>
      </c>
      <c r="C13" s="15">
        <v>7</v>
      </c>
      <c r="D13" s="15">
        <v>3525</v>
      </c>
      <c r="E13" s="8">
        <v>3005.61</v>
      </c>
      <c r="F13" s="8">
        <f t="shared" si="0"/>
        <v>519.38999999999987</v>
      </c>
      <c r="G13" s="22">
        <f t="shared" si="1"/>
        <v>24675</v>
      </c>
      <c r="H13" s="23">
        <f t="shared" si="2"/>
        <v>21039.27</v>
      </c>
      <c r="I13" s="23">
        <f t="shared" si="3"/>
        <v>3635.7299999999996</v>
      </c>
      <c r="J13" s="9">
        <f t="shared" si="4"/>
        <v>0.17280685118827788</v>
      </c>
      <c r="K13" s="8" t="s">
        <v>33</v>
      </c>
    </row>
    <row r="14" spans="1:11" x14ac:dyDescent="0.25">
      <c r="A14" s="7">
        <v>45968</v>
      </c>
      <c r="B14" s="10" t="s">
        <v>60</v>
      </c>
      <c r="C14" s="15">
        <v>24</v>
      </c>
      <c r="D14" s="15">
        <v>340</v>
      </c>
      <c r="E14" s="8">
        <v>313.05</v>
      </c>
      <c r="F14" s="8">
        <f t="shared" si="0"/>
        <v>26.949999999999989</v>
      </c>
      <c r="G14" s="22">
        <f t="shared" si="1"/>
        <v>8160</v>
      </c>
      <c r="H14" s="23">
        <f t="shared" si="2"/>
        <v>7513.2000000000007</v>
      </c>
      <c r="I14" s="23">
        <f t="shared" si="3"/>
        <v>646.79999999999927</v>
      </c>
      <c r="J14" s="9">
        <f t="shared" si="4"/>
        <v>8.6088484267688822E-2</v>
      </c>
      <c r="K14" s="8" t="s">
        <v>33</v>
      </c>
    </row>
    <row r="15" spans="1:11" x14ac:dyDescent="0.25">
      <c r="A15" s="7">
        <v>45968</v>
      </c>
      <c r="B15" s="10" t="s">
        <v>79</v>
      </c>
      <c r="C15" s="15">
        <v>2</v>
      </c>
      <c r="D15" s="15">
        <v>165</v>
      </c>
      <c r="E15" s="8">
        <v>142.04</v>
      </c>
      <c r="F15" s="8">
        <f t="shared" si="0"/>
        <v>22.960000000000008</v>
      </c>
      <c r="G15" s="22">
        <f t="shared" si="1"/>
        <v>330</v>
      </c>
      <c r="H15" s="23">
        <f t="shared" si="2"/>
        <v>284.08</v>
      </c>
      <c r="I15" s="23">
        <f t="shared" si="3"/>
        <v>45.920000000000016</v>
      </c>
      <c r="J15" s="9">
        <f t="shared" si="4"/>
        <v>0.16164460715291473</v>
      </c>
      <c r="K15" s="8" t="s">
        <v>33</v>
      </c>
    </row>
    <row r="16" spans="1:11" x14ac:dyDescent="0.25">
      <c r="A16" s="7">
        <v>45969</v>
      </c>
      <c r="B16" s="10" t="s">
        <v>42</v>
      </c>
      <c r="C16" s="8">
        <v>1</v>
      </c>
      <c r="D16" s="15">
        <v>3575</v>
      </c>
      <c r="E16" s="8">
        <v>3005.61</v>
      </c>
      <c r="F16" s="8">
        <f t="shared" si="0"/>
        <v>569.38999999999987</v>
      </c>
      <c r="G16" s="22">
        <f t="shared" si="1"/>
        <v>3575</v>
      </c>
      <c r="H16" s="23">
        <f t="shared" si="2"/>
        <v>3005.61</v>
      </c>
      <c r="I16" s="23">
        <f t="shared" si="3"/>
        <v>569.38999999999987</v>
      </c>
      <c r="J16" s="9">
        <f t="shared" si="4"/>
        <v>0.18944240936116125</v>
      </c>
      <c r="K16" s="8" t="s">
        <v>33</v>
      </c>
    </row>
    <row r="17" spans="1:11" x14ac:dyDescent="0.25">
      <c r="A17" s="7">
        <v>45976</v>
      </c>
      <c r="B17" s="10" t="s">
        <v>31</v>
      </c>
      <c r="C17" s="10">
        <v>2</v>
      </c>
      <c r="D17" s="10">
        <v>4950</v>
      </c>
      <c r="E17" s="10">
        <v>3340.73</v>
      </c>
      <c r="F17" s="8">
        <f t="shared" si="0"/>
        <v>1609.27</v>
      </c>
      <c r="G17" s="22">
        <f t="shared" si="1"/>
        <v>9900</v>
      </c>
      <c r="H17" s="23">
        <f t="shared" si="2"/>
        <v>6681.46</v>
      </c>
      <c r="I17" s="23">
        <f t="shared" si="3"/>
        <v>3218.54</v>
      </c>
      <c r="J17" s="9">
        <f t="shared" si="4"/>
        <v>0.48171208089249956</v>
      </c>
      <c r="K17" s="8" t="s">
        <v>33</v>
      </c>
    </row>
    <row r="18" spans="1:11" x14ac:dyDescent="0.25">
      <c r="A18" s="7">
        <v>45976</v>
      </c>
      <c r="B18" s="10" t="s">
        <v>32</v>
      </c>
      <c r="C18" s="10">
        <v>1</v>
      </c>
      <c r="D18" s="10">
        <v>6275</v>
      </c>
      <c r="E18" s="10">
        <v>5426.15</v>
      </c>
      <c r="F18" s="8">
        <f t="shared" si="0"/>
        <v>848.85000000000036</v>
      </c>
      <c r="G18" s="22">
        <f t="shared" si="1"/>
        <v>6275</v>
      </c>
      <c r="H18" s="23">
        <f t="shared" si="2"/>
        <v>5426.15</v>
      </c>
      <c r="I18" s="23">
        <f t="shared" si="3"/>
        <v>848.85000000000036</v>
      </c>
      <c r="J18" s="9">
        <f t="shared" si="4"/>
        <v>0.15643688434709702</v>
      </c>
      <c r="K18" s="10" t="s">
        <v>33</v>
      </c>
    </row>
    <row r="19" spans="1:11" x14ac:dyDescent="0.25">
      <c r="A19" s="7">
        <v>45980</v>
      </c>
      <c r="B19" s="10" t="s">
        <v>41</v>
      </c>
      <c r="C19" s="10">
        <v>2</v>
      </c>
      <c r="D19" s="15">
        <v>8250</v>
      </c>
      <c r="E19" s="15">
        <v>7809.57</v>
      </c>
      <c r="F19" s="8">
        <f t="shared" si="0"/>
        <v>440.43000000000029</v>
      </c>
      <c r="G19" s="22">
        <f t="shared" si="1"/>
        <v>16500</v>
      </c>
      <c r="H19" s="23">
        <f t="shared" si="2"/>
        <v>15619.14</v>
      </c>
      <c r="I19" s="23">
        <f t="shared" si="3"/>
        <v>880.86000000000058</v>
      </c>
      <c r="J19" s="9">
        <f t="shared" si="4"/>
        <v>5.6396190827407953E-2</v>
      </c>
      <c r="K19" s="8" t="s">
        <v>33</v>
      </c>
    </row>
    <row r="20" spans="1:11" x14ac:dyDescent="0.25">
      <c r="A20" s="7">
        <v>45980</v>
      </c>
      <c r="B20" s="10" t="s">
        <v>42</v>
      </c>
      <c r="C20" s="10">
        <v>1</v>
      </c>
      <c r="D20" s="15">
        <v>3540</v>
      </c>
      <c r="E20" s="15">
        <v>3005.61</v>
      </c>
      <c r="F20" s="8">
        <f t="shared" si="0"/>
        <v>534.38999999999987</v>
      </c>
      <c r="G20" s="22">
        <f t="shared" si="1"/>
        <v>3540</v>
      </c>
      <c r="H20" s="23">
        <f t="shared" si="2"/>
        <v>3005.61</v>
      </c>
      <c r="I20" s="23">
        <f t="shared" si="3"/>
        <v>534.38999999999987</v>
      </c>
      <c r="J20" s="9">
        <f t="shared" si="4"/>
        <v>0.17779751864014287</v>
      </c>
      <c r="K20" s="8" t="s">
        <v>33</v>
      </c>
    </row>
    <row r="21" spans="1:11" x14ac:dyDescent="0.25">
      <c r="A21" s="7">
        <v>45980</v>
      </c>
      <c r="B21" s="10" t="s">
        <v>41</v>
      </c>
      <c r="C21" s="10">
        <v>1</v>
      </c>
      <c r="D21" s="15">
        <v>8250</v>
      </c>
      <c r="E21" s="8">
        <v>7809.57</v>
      </c>
      <c r="F21" s="8">
        <f t="shared" si="0"/>
        <v>440.43000000000029</v>
      </c>
      <c r="G21" s="22">
        <f t="shared" si="1"/>
        <v>8250</v>
      </c>
      <c r="H21" s="23">
        <f t="shared" si="2"/>
        <v>7809.57</v>
      </c>
      <c r="I21" s="23">
        <f t="shared" si="3"/>
        <v>440.43000000000029</v>
      </c>
      <c r="J21" s="9">
        <f t="shared" si="4"/>
        <v>5.6396190827407953E-2</v>
      </c>
      <c r="K21" s="8" t="s">
        <v>33</v>
      </c>
    </row>
    <row r="22" spans="1:11" x14ac:dyDescent="0.25">
      <c r="A22" s="14">
        <v>45981</v>
      </c>
      <c r="B22" s="15" t="s">
        <v>49</v>
      </c>
      <c r="C22" s="15">
        <v>6</v>
      </c>
      <c r="D22" s="15">
        <v>1100</v>
      </c>
      <c r="E22" s="15">
        <v>943.4</v>
      </c>
      <c r="F22" s="8">
        <f t="shared" si="0"/>
        <v>156.60000000000002</v>
      </c>
      <c r="G22" s="22">
        <f t="shared" si="1"/>
        <v>6600</v>
      </c>
      <c r="H22" s="23">
        <f t="shared" si="2"/>
        <v>5660.4</v>
      </c>
      <c r="I22" s="23">
        <f t="shared" si="3"/>
        <v>939.60000000000036</v>
      </c>
      <c r="J22" s="9">
        <f t="shared" si="4"/>
        <v>0.16599533601865596</v>
      </c>
      <c r="K22" s="15" t="s">
        <v>33</v>
      </c>
    </row>
    <row r="23" spans="1:11" x14ac:dyDescent="0.25">
      <c r="A23" s="14">
        <v>45981</v>
      </c>
      <c r="B23" s="15" t="s">
        <v>49</v>
      </c>
      <c r="C23" s="15">
        <v>14</v>
      </c>
      <c r="D23" s="15">
        <v>1100</v>
      </c>
      <c r="E23" s="15">
        <v>571.97</v>
      </c>
      <c r="F23" s="8">
        <f t="shared" si="0"/>
        <v>528.03</v>
      </c>
      <c r="G23" s="22">
        <f t="shared" si="1"/>
        <v>15400</v>
      </c>
      <c r="H23" s="23">
        <f t="shared" si="2"/>
        <v>8007.58</v>
      </c>
      <c r="I23" s="23">
        <f t="shared" si="3"/>
        <v>7392.42</v>
      </c>
      <c r="J23" s="9">
        <f t="shared" si="4"/>
        <v>0.9231777890448799</v>
      </c>
      <c r="K23" s="15" t="s">
        <v>33</v>
      </c>
    </row>
    <row r="24" spans="1:11" x14ac:dyDescent="0.25">
      <c r="A24" s="14">
        <v>45981</v>
      </c>
      <c r="B24" s="15" t="s">
        <v>49</v>
      </c>
      <c r="C24" s="15">
        <v>1</v>
      </c>
      <c r="D24" s="15">
        <v>1100</v>
      </c>
      <c r="E24" s="15">
        <v>943.4</v>
      </c>
      <c r="F24" s="8">
        <f t="shared" si="0"/>
        <v>156.60000000000002</v>
      </c>
      <c r="G24" s="22">
        <f t="shared" si="1"/>
        <v>1100</v>
      </c>
      <c r="H24" s="23">
        <f t="shared" si="2"/>
        <v>943.4</v>
      </c>
      <c r="I24" s="23">
        <f t="shared" si="3"/>
        <v>156.60000000000002</v>
      </c>
      <c r="J24" s="9">
        <f t="shared" si="4"/>
        <v>0.16599533601865596</v>
      </c>
      <c r="K24" s="15" t="s">
        <v>33</v>
      </c>
    </row>
    <row r="25" spans="1:11" x14ac:dyDescent="0.25">
      <c r="A25" s="14">
        <v>45981</v>
      </c>
      <c r="B25" s="15" t="s">
        <v>42</v>
      </c>
      <c r="C25" s="15">
        <v>2</v>
      </c>
      <c r="D25" s="15">
        <v>3540</v>
      </c>
      <c r="E25" s="15">
        <v>2955.24</v>
      </c>
      <c r="F25" s="8">
        <f t="shared" si="0"/>
        <v>584.76000000000022</v>
      </c>
      <c r="G25" s="22">
        <f t="shared" si="1"/>
        <v>7080</v>
      </c>
      <c r="H25" s="23">
        <f t="shared" si="2"/>
        <v>5910.48</v>
      </c>
      <c r="I25" s="23">
        <f t="shared" si="3"/>
        <v>1169.5200000000004</v>
      </c>
      <c r="J25" s="9">
        <f t="shared" si="4"/>
        <v>0.19787225403012962</v>
      </c>
      <c r="K25" s="15" t="s">
        <v>33</v>
      </c>
    </row>
    <row r="26" spans="1:11" x14ac:dyDescent="0.25">
      <c r="A26" s="14">
        <v>45981</v>
      </c>
      <c r="B26" s="15" t="s">
        <v>49</v>
      </c>
      <c r="C26" s="15">
        <v>15</v>
      </c>
      <c r="D26" s="15">
        <v>1100</v>
      </c>
      <c r="E26" s="15">
        <v>943.4</v>
      </c>
      <c r="F26" s="8">
        <f t="shared" si="0"/>
        <v>156.60000000000002</v>
      </c>
      <c r="G26" s="22">
        <f t="shared" si="1"/>
        <v>16500</v>
      </c>
      <c r="H26" s="23">
        <f t="shared" si="2"/>
        <v>14151</v>
      </c>
      <c r="I26" s="23">
        <f t="shared" si="3"/>
        <v>2349</v>
      </c>
      <c r="J26" s="9">
        <f t="shared" si="4"/>
        <v>0.16599533601865596</v>
      </c>
      <c r="K26" s="15" t="s">
        <v>33</v>
      </c>
    </row>
    <row r="27" spans="1:11" x14ac:dyDescent="0.25">
      <c r="A27" s="14">
        <v>45982</v>
      </c>
      <c r="B27" s="15" t="s">
        <v>50</v>
      </c>
      <c r="C27" s="15">
        <v>3</v>
      </c>
      <c r="D27" s="15">
        <v>1000</v>
      </c>
      <c r="E27" s="15">
        <v>852.62</v>
      </c>
      <c r="F27" s="8">
        <f t="shared" si="0"/>
        <v>147.38</v>
      </c>
      <c r="G27" s="22">
        <f t="shared" si="1"/>
        <v>3000</v>
      </c>
      <c r="H27" s="23">
        <f t="shared" si="2"/>
        <v>2557.86</v>
      </c>
      <c r="I27" s="23">
        <f t="shared" si="3"/>
        <v>442.13999999999987</v>
      </c>
      <c r="J27" s="9">
        <f t="shared" si="4"/>
        <v>0.17285543383922497</v>
      </c>
      <c r="K27" s="15" t="s">
        <v>33</v>
      </c>
    </row>
    <row r="28" spans="1:11" x14ac:dyDescent="0.25">
      <c r="A28" s="14">
        <v>45982</v>
      </c>
      <c r="B28" s="15" t="s">
        <v>50</v>
      </c>
      <c r="C28" s="15">
        <v>20</v>
      </c>
      <c r="D28" s="15">
        <v>995</v>
      </c>
      <c r="E28" s="15">
        <v>852.62</v>
      </c>
      <c r="F28" s="8">
        <f t="shared" si="0"/>
        <v>142.38</v>
      </c>
      <c r="G28" s="22">
        <f t="shared" si="1"/>
        <v>19900</v>
      </c>
      <c r="H28" s="23">
        <f t="shared" si="2"/>
        <v>17052.400000000001</v>
      </c>
      <c r="I28" s="23">
        <f t="shared" si="3"/>
        <v>2847.5999999999985</v>
      </c>
      <c r="J28" s="9">
        <f t="shared" si="4"/>
        <v>0.16699115667002884</v>
      </c>
      <c r="K28" s="15" t="s">
        <v>33</v>
      </c>
    </row>
    <row r="29" spans="1:11" x14ac:dyDescent="0.25">
      <c r="A29" s="14">
        <v>45983</v>
      </c>
      <c r="B29" s="15" t="s">
        <v>50</v>
      </c>
      <c r="C29" s="15">
        <v>5</v>
      </c>
      <c r="D29" s="15">
        <v>1000</v>
      </c>
      <c r="E29" s="15">
        <v>852.62</v>
      </c>
      <c r="F29" s="8">
        <f t="shared" si="0"/>
        <v>147.38</v>
      </c>
      <c r="G29" s="22">
        <f t="shared" si="1"/>
        <v>5000</v>
      </c>
      <c r="H29" s="23">
        <f t="shared" si="2"/>
        <v>4263.1000000000004</v>
      </c>
      <c r="I29" s="23">
        <f t="shared" si="3"/>
        <v>736.89999999999964</v>
      </c>
      <c r="J29" s="9">
        <f t="shared" si="4"/>
        <v>0.17285543383922497</v>
      </c>
      <c r="K29" s="15" t="s">
        <v>33</v>
      </c>
    </row>
    <row r="30" spans="1:11" x14ac:dyDescent="0.25">
      <c r="A30" s="14">
        <v>45983</v>
      </c>
      <c r="B30" s="15" t="s">
        <v>42</v>
      </c>
      <c r="C30" s="15">
        <v>1</v>
      </c>
      <c r="D30" s="15">
        <v>3540</v>
      </c>
      <c r="E30" s="15">
        <v>2955.24</v>
      </c>
      <c r="F30" s="8">
        <f t="shared" si="0"/>
        <v>584.76000000000022</v>
      </c>
      <c r="G30" s="22">
        <f t="shared" si="1"/>
        <v>3540</v>
      </c>
      <c r="H30" s="23">
        <f t="shared" si="2"/>
        <v>2955.24</v>
      </c>
      <c r="I30" s="23">
        <f t="shared" si="3"/>
        <v>584.76000000000022</v>
      </c>
      <c r="J30" s="9">
        <f t="shared" si="4"/>
        <v>0.19787225403012962</v>
      </c>
      <c r="K30" s="15" t="s">
        <v>33</v>
      </c>
    </row>
    <row r="31" spans="1:11" x14ac:dyDescent="0.25">
      <c r="A31" s="14">
        <v>45983</v>
      </c>
      <c r="B31" s="15" t="s">
        <v>51</v>
      </c>
      <c r="C31" s="15">
        <v>1</v>
      </c>
      <c r="D31" s="15">
        <v>6250</v>
      </c>
      <c r="E31" s="15">
        <v>5505.71</v>
      </c>
      <c r="F31" s="8">
        <f t="shared" si="0"/>
        <v>744.29</v>
      </c>
      <c r="G31" s="22">
        <f t="shared" si="1"/>
        <v>6250</v>
      </c>
      <c r="H31" s="23">
        <f t="shared" si="2"/>
        <v>5505.71</v>
      </c>
      <c r="I31" s="23">
        <f t="shared" si="3"/>
        <v>744.29</v>
      </c>
      <c r="J31" s="9">
        <f t="shared" si="4"/>
        <v>0.13518510782442228</v>
      </c>
      <c r="K31" s="8" t="s">
        <v>33</v>
      </c>
    </row>
    <row r="32" spans="1:11" x14ac:dyDescent="0.25">
      <c r="A32" s="14">
        <v>45983</v>
      </c>
      <c r="B32" s="10" t="s">
        <v>42</v>
      </c>
      <c r="C32" s="15">
        <v>1</v>
      </c>
      <c r="D32" s="15">
        <v>3540</v>
      </c>
      <c r="E32" s="10">
        <v>2955.24</v>
      </c>
      <c r="F32" s="8">
        <f t="shared" si="0"/>
        <v>584.76000000000022</v>
      </c>
      <c r="G32" s="22">
        <f t="shared" si="1"/>
        <v>3540</v>
      </c>
      <c r="H32" s="23">
        <f t="shared" si="2"/>
        <v>2955.24</v>
      </c>
      <c r="I32" s="23">
        <f t="shared" si="3"/>
        <v>584.76000000000022</v>
      </c>
      <c r="J32" s="9">
        <f t="shared" si="4"/>
        <v>0.19787225403012962</v>
      </c>
      <c r="K32" s="8" t="s">
        <v>33</v>
      </c>
    </row>
    <row r="33" spans="1:11" x14ac:dyDescent="0.25">
      <c r="A33" s="14">
        <v>45983</v>
      </c>
      <c r="B33" s="8" t="s">
        <v>11</v>
      </c>
      <c r="C33" s="15">
        <v>23</v>
      </c>
      <c r="D33" s="15">
        <v>5080</v>
      </c>
      <c r="E33" s="15">
        <v>4432.8900000000003</v>
      </c>
      <c r="F33" s="8">
        <f t="shared" si="0"/>
        <v>647.10999999999967</v>
      </c>
      <c r="G33" s="22">
        <f t="shared" si="1"/>
        <v>116840</v>
      </c>
      <c r="H33" s="23">
        <f t="shared" si="2"/>
        <v>101956.47</v>
      </c>
      <c r="I33" s="23">
        <f t="shared" si="3"/>
        <v>14883.529999999999</v>
      </c>
      <c r="J33" s="9">
        <f t="shared" si="4"/>
        <v>0.14597925958009325</v>
      </c>
      <c r="K33" s="8" t="s">
        <v>33</v>
      </c>
    </row>
    <row r="34" spans="1:11" x14ac:dyDescent="0.25">
      <c r="A34" s="14">
        <v>45984</v>
      </c>
      <c r="B34" s="8" t="s">
        <v>11</v>
      </c>
      <c r="C34" s="15">
        <v>1</v>
      </c>
      <c r="D34" s="15">
        <v>4432.8900000000003</v>
      </c>
      <c r="E34" s="15">
        <v>4432.8900000000003</v>
      </c>
      <c r="F34" s="8">
        <f t="shared" ref="F34:F64" si="5">D34-E34</f>
        <v>0</v>
      </c>
      <c r="G34" s="22">
        <f t="shared" ref="G34:G64" si="6">D34*C34</f>
        <v>4432.8900000000003</v>
      </c>
      <c r="H34" s="23">
        <f t="shared" ref="H34:H64" si="7">E34*C34</f>
        <v>4432.8900000000003</v>
      </c>
      <c r="I34" s="23">
        <f t="shared" ref="I34:I64" si="8">G34-H34</f>
        <v>0</v>
      </c>
      <c r="J34" s="9">
        <f t="shared" ref="J34:J64" si="9">(D34-E34)/E34</f>
        <v>0</v>
      </c>
      <c r="K34" s="8" t="s">
        <v>33</v>
      </c>
    </row>
    <row r="35" spans="1:11" x14ac:dyDescent="0.25">
      <c r="A35" s="14">
        <v>45985</v>
      </c>
      <c r="B35" s="10" t="s">
        <v>49</v>
      </c>
      <c r="C35" s="15">
        <v>29</v>
      </c>
      <c r="D35" s="15">
        <v>1115</v>
      </c>
      <c r="E35" s="10">
        <v>842.25</v>
      </c>
      <c r="F35" s="8">
        <f t="shared" si="5"/>
        <v>272.75</v>
      </c>
      <c r="G35" s="22">
        <f t="shared" si="6"/>
        <v>32335</v>
      </c>
      <c r="H35" s="23">
        <f t="shared" si="7"/>
        <v>24425.25</v>
      </c>
      <c r="I35" s="23">
        <f t="shared" si="8"/>
        <v>7909.75</v>
      </c>
      <c r="J35" s="9">
        <f t="shared" si="9"/>
        <v>0.32383496586524191</v>
      </c>
      <c r="K35" s="8" t="s">
        <v>33</v>
      </c>
    </row>
    <row r="36" spans="1:11" x14ac:dyDescent="0.25">
      <c r="A36" s="14">
        <v>45985</v>
      </c>
      <c r="B36" s="10" t="s">
        <v>49</v>
      </c>
      <c r="C36" s="15">
        <v>2</v>
      </c>
      <c r="D36" s="15">
        <v>1115</v>
      </c>
      <c r="E36" s="10">
        <v>947.77</v>
      </c>
      <c r="F36" s="8">
        <f t="shared" si="5"/>
        <v>167.23000000000002</v>
      </c>
      <c r="G36" s="22">
        <f t="shared" si="6"/>
        <v>2230</v>
      </c>
      <c r="H36" s="23">
        <f t="shared" si="7"/>
        <v>1895.54</v>
      </c>
      <c r="I36" s="23">
        <f t="shared" si="8"/>
        <v>334.46000000000004</v>
      </c>
      <c r="J36" s="9">
        <f t="shared" si="9"/>
        <v>0.17644576215748548</v>
      </c>
      <c r="K36" s="8" t="s">
        <v>33</v>
      </c>
    </row>
    <row r="37" spans="1:11" x14ac:dyDescent="0.25">
      <c r="A37" s="14">
        <v>45985</v>
      </c>
      <c r="B37" s="15" t="s">
        <v>50</v>
      </c>
      <c r="C37" s="15">
        <v>20</v>
      </c>
      <c r="D37" s="15">
        <v>995</v>
      </c>
      <c r="E37" s="15">
        <v>852.62</v>
      </c>
      <c r="F37" s="8">
        <f t="shared" si="5"/>
        <v>142.38</v>
      </c>
      <c r="G37" s="22">
        <f t="shared" si="6"/>
        <v>19900</v>
      </c>
      <c r="H37" s="23">
        <f t="shared" si="7"/>
        <v>17052.400000000001</v>
      </c>
      <c r="I37" s="23">
        <f t="shared" si="8"/>
        <v>2847.5999999999985</v>
      </c>
      <c r="J37" s="9">
        <f t="shared" si="9"/>
        <v>0.16699115667002884</v>
      </c>
      <c r="K37" s="8" t="s">
        <v>33</v>
      </c>
    </row>
    <row r="38" spans="1:11" x14ac:dyDescent="0.25">
      <c r="A38" s="14">
        <v>45985</v>
      </c>
      <c r="B38" s="10" t="s">
        <v>57</v>
      </c>
      <c r="C38" s="15">
        <v>2</v>
      </c>
      <c r="D38" s="15">
        <v>2500</v>
      </c>
      <c r="E38" s="10">
        <v>2168.3000000000002</v>
      </c>
      <c r="F38" s="8">
        <f t="shared" si="5"/>
        <v>331.69999999999982</v>
      </c>
      <c r="G38" s="22">
        <f t="shared" si="6"/>
        <v>5000</v>
      </c>
      <c r="H38" s="23">
        <f t="shared" si="7"/>
        <v>4336.6000000000004</v>
      </c>
      <c r="I38" s="23">
        <f t="shared" si="8"/>
        <v>663.39999999999964</v>
      </c>
      <c r="J38" s="9">
        <f t="shared" si="9"/>
        <v>0.15297698657934777</v>
      </c>
      <c r="K38" s="8" t="s">
        <v>33</v>
      </c>
    </row>
    <row r="39" spans="1:11" x14ac:dyDescent="0.25">
      <c r="A39" s="14">
        <v>45985</v>
      </c>
      <c r="B39" s="15" t="s">
        <v>50</v>
      </c>
      <c r="C39" s="15">
        <v>14</v>
      </c>
      <c r="D39" s="15">
        <v>995</v>
      </c>
      <c r="E39" s="15">
        <v>852.62</v>
      </c>
      <c r="F39" s="8">
        <f t="shared" si="5"/>
        <v>142.38</v>
      </c>
      <c r="G39" s="22">
        <f t="shared" si="6"/>
        <v>13930</v>
      </c>
      <c r="H39" s="23">
        <f t="shared" si="7"/>
        <v>11936.68</v>
      </c>
      <c r="I39" s="23">
        <f t="shared" si="8"/>
        <v>1993.3199999999997</v>
      </c>
      <c r="J39" s="9">
        <f t="shared" si="9"/>
        <v>0.16699115667002884</v>
      </c>
      <c r="K39" s="8" t="s">
        <v>33</v>
      </c>
    </row>
    <row r="40" spans="1:11" x14ac:dyDescent="0.25">
      <c r="A40" s="14">
        <v>45985</v>
      </c>
      <c r="B40" s="8" t="s">
        <v>58</v>
      </c>
      <c r="C40" s="15">
        <v>10</v>
      </c>
      <c r="D40" s="15">
        <v>260</v>
      </c>
      <c r="E40" s="10">
        <v>217.42</v>
      </c>
      <c r="F40" s="8">
        <f t="shared" si="5"/>
        <v>42.580000000000013</v>
      </c>
      <c r="G40" s="22">
        <f t="shared" si="6"/>
        <v>2600</v>
      </c>
      <c r="H40" s="23">
        <f t="shared" si="7"/>
        <v>2174.1999999999998</v>
      </c>
      <c r="I40" s="23">
        <f t="shared" si="8"/>
        <v>425.80000000000018</v>
      </c>
      <c r="J40" s="9">
        <f t="shared" si="9"/>
        <v>0.19584214883635367</v>
      </c>
      <c r="K40" s="8" t="s">
        <v>33</v>
      </c>
    </row>
    <row r="41" spans="1:11" x14ac:dyDescent="0.25">
      <c r="A41" s="14">
        <v>45985</v>
      </c>
      <c r="B41" s="8" t="s">
        <v>59</v>
      </c>
      <c r="C41" s="15">
        <v>4</v>
      </c>
      <c r="D41" s="15">
        <v>1150</v>
      </c>
      <c r="E41" s="10">
        <v>958.53</v>
      </c>
      <c r="F41" s="8">
        <f t="shared" si="5"/>
        <v>191.47000000000003</v>
      </c>
      <c r="G41" s="22">
        <f t="shared" si="6"/>
        <v>4600</v>
      </c>
      <c r="H41" s="23">
        <f t="shared" si="7"/>
        <v>3834.12</v>
      </c>
      <c r="I41" s="23">
        <f t="shared" si="8"/>
        <v>765.88000000000011</v>
      </c>
      <c r="J41" s="9">
        <f t="shared" si="9"/>
        <v>0.1997537896570791</v>
      </c>
      <c r="K41" s="8" t="s">
        <v>33</v>
      </c>
    </row>
    <row r="42" spans="1:11" x14ac:dyDescent="0.25">
      <c r="A42" s="14">
        <v>45985</v>
      </c>
      <c r="B42" s="8" t="s">
        <v>60</v>
      </c>
      <c r="C42" s="15">
        <v>16</v>
      </c>
      <c r="D42" s="15">
        <v>340</v>
      </c>
      <c r="E42" s="10">
        <v>263.85000000000002</v>
      </c>
      <c r="F42" s="8">
        <f t="shared" si="5"/>
        <v>76.149999999999977</v>
      </c>
      <c r="G42" s="22">
        <f t="shared" si="6"/>
        <v>5440</v>
      </c>
      <c r="H42" s="23">
        <f t="shared" si="7"/>
        <v>4221.6000000000004</v>
      </c>
      <c r="I42" s="23">
        <f t="shared" si="8"/>
        <v>1218.3999999999996</v>
      </c>
      <c r="J42" s="9">
        <f t="shared" si="9"/>
        <v>0.28861095319310204</v>
      </c>
      <c r="K42" s="8" t="s">
        <v>33</v>
      </c>
    </row>
    <row r="43" spans="1:11" x14ac:dyDescent="0.25">
      <c r="A43" s="14">
        <v>45986</v>
      </c>
      <c r="B43" s="8" t="s">
        <v>61</v>
      </c>
      <c r="C43" s="15">
        <v>5</v>
      </c>
      <c r="D43" s="15">
        <v>1730</v>
      </c>
      <c r="E43" s="10">
        <v>1640.18</v>
      </c>
      <c r="F43" s="8">
        <f t="shared" si="5"/>
        <v>89.819999999999936</v>
      </c>
      <c r="G43" s="22">
        <f t="shared" si="6"/>
        <v>8650</v>
      </c>
      <c r="H43" s="23">
        <f t="shared" si="7"/>
        <v>8200.9</v>
      </c>
      <c r="I43" s="23">
        <f t="shared" si="8"/>
        <v>449.10000000000036</v>
      </c>
      <c r="J43" s="9">
        <f t="shared" si="9"/>
        <v>5.4762282188540241E-2</v>
      </c>
      <c r="K43" s="8" t="s">
        <v>33</v>
      </c>
    </row>
    <row r="44" spans="1:11" x14ac:dyDescent="0.25">
      <c r="A44" s="14">
        <v>45986</v>
      </c>
      <c r="B44" s="8" t="s">
        <v>61</v>
      </c>
      <c r="C44" s="15">
        <v>5</v>
      </c>
      <c r="D44" s="15">
        <v>1730</v>
      </c>
      <c r="E44" s="10">
        <v>1640.18</v>
      </c>
      <c r="F44" s="8">
        <f t="shared" si="5"/>
        <v>89.819999999999936</v>
      </c>
      <c r="G44" s="22">
        <f t="shared" si="6"/>
        <v>8650</v>
      </c>
      <c r="H44" s="23">
        <f t="shared" si="7"/>
        <v>8200.9</v>
      </c>
      <c r="I44" s="23">
        <f t="shared" si="8"/>
        <v>449.10000000000036</v>
      </c>
      <c r="J44" s="9">
        <f t="shared" si="9"/>
        <v>5.4762282188540241E-2</v>
      </c>
      <c r="K44" s="8" t="s">
        <v>33</v>
      </c>
    </row>
    <row r="45" spans="1:11" x14ac:dyDescent="0.25">
      <c r="A45" s="14">
        <v>45986</v>
      </c>
      <c r="B45" s="8" t="s">
        <v>11</v>
      </c>
      <c r="C45" s="15">
        <v>4</v>
      </c>
      <c r="D45" s="15">
        <v>5000</v>
      </c>
      <c r="E45" s="8">
        <v>4432.8900000000003</v>
      </c>
      <c r="F45" s="8">
        <f t="shared" si="5"/>
        <v>567.10999999999967</v>
      </c>
      <c r="G45" s="22">
        <f t="shared" si="6"/>
        <v>20000</v>
      </c>
      <c r="H45" s="23">
        <f t="shared" si="7"/>
        <v>17731.560000000001</v>
      </c>
      <c r="I45" s="23">
        <f t="shared" si="8"/>
        <v>2268.4399999999987</v>
      </c>
      <c r="J45" s="9">
        <f t="shared" si="9"/>
        <v>0.12793234210639101</v>
      </c>
      <c r="K45" s="8" t="s">
        <v>33</v>
      </c>
    </row>
    <row r="46" spans="1:11" x14ac:dyDescent="0.25">
      <c r="A46" s="7">
        <v>45987</v>
      </c>
      <c r="B46" s="10" t="s">
        <v>84</v>
      </c>
      <c r="C46" s="15">
        <v>3</v>
      </c>
      <c r="D46" s="15">
        <v>3070</v>
      </c>
      <c r="E46" s="8">
        <v>2774.42</v>
      </c>
      <c r="F46" s="8">
        <f t="shared" si="5"/>
        <v>295.57999999999993</v>
      </c>
      <c r="G46" s="22">
        <f t="shared" si="6"/>
        <v>9210</v>
      </c>
      <c r="H46" s="23">
        <f t="shared" si="7"/>
        <v>8323.26</v>
      </c>
      <c r="I46" s="23">
        <f t="shared" si="8"/>
        <v>886.73999999999978</v>
      </c>
      <c r="J46" s="9">
        <f t="shared" si="9"/>
        <v>0.10653758262988297</v>
      </c>
      <c r="K46" s="8" t="s">
        <v>33</v>
      </c>
    </row>
    <row r="47" spans="1:11" x14ac:dyDescent="0.25">
      <c r="A47" s="7">
        <v>45987</v>
      </c>
      <c r="B47" s="10" t="s">
        <v>84</v>
      </c>
      <c r="C47" s="15">
        <v>7</v>
      </c>
      <c r="D47" s="15">
        <v>3070</v>
      </c>
      <c r="E47" s="8">
        <v>2928.1</v>
      </c>
      <c r="F47" s="8">
        <f t="shared" si="5"/>
        <v>141.90000000000009</v>
      </c>
      <c r="G47" s="22">
        <f t="shared" si="6"/>
        <v>21490</v>
      </c>
      <c r="H47" s="23">
        <f t="shared" si="7"/>
        <v>20496.7</v>
      </c>
      <c r="I47" s="23">
        <f t="shared" si="8"/>
        <v>993.29999999999927</v>
      </c>
      <c r="J47" s="9">
        <f t="shared" si="9"/>
        <v>4.8461459649602162E-2</v>
      </c>
      <c r="K47" s="8" t="s">
        <v>33</v>
      </c>
    </row>
    <row r="48" spans="1:11" x14ac:dyDescent="0.25">
      <c r="A48" s="7">
        <v>45987</v>
      </c>
      <c r="B48" s="10" t="s">
        <v>85</v>
      </c>
      <c r="C48" s="15">
        <v>4</v>
      </c>
      <c r="D48" s="15">
        <v>2670</v>
      </c>
      <c r="E48" s="8">
        <v>2550.7399999999998</v>
      </c>
      <c r="F48" s="8">
        <f t="shared" si="5"/>
        <v>119.26000000000022</v>
      </c>
      <c r="G48" s="22">
        <f t="shared" si="6"/>
        <v>10680</v>
      </c>
      <c r="H48" s="23">
        <f t="shared" si="7"/>
        <v>10202.959999999999</v>
      </c>
      <c r="I48" s="23">
        <f t="shared" si="8"/>
        <v>477.04000000000087</v>
      </c>
      <c r="J48" s="9">
        <f t="shared" si="9"/>
        <v>4.6755059316120118E-2</v>
      </c>
      <c r="K48" s="8" t="s">
        <v>33</v>
      </c>
    </row>
    <row r="49" spans="1:11" x14ac:dyDescent="0.25">
      <c r="A49" s="7">
        <v>45987</v>
      </c>
      <c r="B49" s="10" t="s">
        <v>86</v>
      </c>
      <c r="C49" s="15">
        <v>9</v>
      </c>
      <c r="D49" s="15">
        <v>1350</v>
      </c>
      <c r="E49" s="8">
        <v>1187.3499999999999</v>
      </c>
      <c r="F49" s="8">
        <f t="shared" si="5"/>
        <v>162.65000000000009</v>
      </c>
      <c r="G49" s="22">
        <f t="shared" si="6"/>
        <v>12150</v>
      </c>
      <c r="H49" s="23">
        <f t="shared" si="7"/>
        <v>10686.15</v>
      </c>
      <c r="I49" s="23">
        <f t="shared" si="8"/>
        <v>1463.8500000000004</v>
      </c>
      <c r="J49" s="9">
        <f t="shared" si="9"/>
        <v>0.1369857245125701</v>
      </c>
      <c r="K49" s="8" t="s">
        <v>33</v>
      </c>
    </row>
    <row r="50" spans="1:11" x14ac:dyDescent="0.25">
      <c r="A50" s="7">
        <v>45987</v>
      </c>
      <c r="B50" s="10" t="s">
        <v>61</v>
      </c>
      <c r="C50" s="15">
        <v>2</v>
      </c>
      <c r="D50" s="15">
        <v>1735</v>
      </c>
      <c r="E50" s="10">
        <v>1640.18</v>
      </c>
      <c r="F50" s="8">
        <f t="shared" si="5"/>
        <v>94.819999999999936</v>
      </c>
      <c r="G50" s="22">
        <f t="shared" si="6"/>
        <v>3470</v>
      </c>
      <c r="H50" s="23">
        <f t="shared" si="7"/>
        <v>3280.36</v>
      </c>
      <c r="I50" s="23">
        <f t="shared" si="8"/>
        <v>189.63999999999987</v>
      </c>
      <c r="J50" s="9">
        <f t="shared" si="9"/>
        <v>5.7810728090819261E-2</v>
      </c>
      <c r="K50" s="8" t="s">
        <v>33</v>
      </c>
    </row>
    <row r="51" spans="1:11" x14ac:dyDescent="0.25">
      <c r="A51" s="7">
        <v>45988</v>
      </c>
      <c r="B51" s="10" t="s">
        <v>49</v>
      </c>
      <c r="C51" s="15">
        <v>50</v>
      </c>
      <c r="D51" s="15">
        <v>1115</v>
      </c>
      <c r="E51" s="8">
        <v>855.45</v>
      </c>
      <c r="F51" s="8">
        <f t="shared" si="5"/>
        <v>259.54999999999995</v>
      </c>
      <c r="G51" s="22">
        <f t="shared" si="6"/>
        <v>55750</v>
      </c>
      <c r="H51" s="23">
        <f t="shared" si="7"/>
        <v>42772.5</v>
      </c>
      <c r="I51" s="23">
        <f t="shared" si="8"/>
        <v>12977.5</v>
      </c>
      <c r="J51" s="9">
        <f t="shared" si="9"/>
        <v>0.3034075632707931</v>
      </c>
      <c r="K51" s="8" t="s">
        <v>33</v>
      </c>
    </row>
    <row r="52" spans="1:11" x14ac:dyDescent="0.25">
      <c r="A52" s="7">
        <v>45988</v>
      </c>
      <c r="B52" s="10" t="s">
        <v>49</v>
      </c>
      <c r="C52" s="15">
        <v>32</v>
      </c>
      <c r="D52" s="15">
        <v>1120</v>
      </c>
      <c r="E52" s="8">
        <v>842.16</v>
      </c>
      <c r="F52" s="8">
        <f t="shared" si="5"/>
        <v>277.84000000000003</v>
      </c>
      <c r="G52" s="22">
        <f t="shared" si="6"/>
        <v>35840</v>
      </c>
      <c r="H52" s="23">
        <f t="shared" si="7"/>
        <v>26949.119999999999</v>
      </c>
      <c r="I52" s="23">
        <f t="shared" si="8"/>
        <v>8890.880000000001</v>
      </c>
      <c r="J52" s="9">
        <f t="shared" si="9"/>
        <v>0.3299135556188848</v>
      </c>
      <c r="K52" s="8" t="s">
        <v>33</v>
      </c>
    </row>
    <row r="53" spans="1:11" x14ac:dyDescent="0.25">
      <c r="A53" s="7">
        <v>45988</v>
      </c>
      <c r="B53" s="10" t="s">
        <v>49</v>
      </c>
      <c r="C53" s="15">
        <v>2</v>
      </c>
      <c r="D53" s="15">
        <v>1120</v>
      </c>
      <c r="E53" s="8">
        <v>855.45</v>
      </c>
      <c r="F53" s="8">
        <f t="shared" si="5"/>
        <v>264.54999999999995</v>
      </c>
      <c r="G53" s="22">
        <f t="shared" si="6"/>
        <v>2240</v>
      </c>
      <c r="H53" s="23">
        <f t="shared" si="7"/>
        <v>1710.9</v>
      </c>
      <c r="I53" s="23">
        <f t="shared" si="8"/>
        <v>529.09999999999991</v>
      </c>
      <c r="J53" s="9">
        <f t="shared" si="9"/>
        <v>0.30925244023613296</v>
      </c>
      <c r="K53" s="8" t="s">
        <v>33</v>
      </c>
    </row>
    <row r="54" spans="1:11" x14ac:dyDescent="0.25">
      <c r="A54" s="7">
        <v>45988</v>
      </c>
      <c r="B54" s="10" t="s">
        <v>49</v>
      </c>
      <c r="C54" s="15">
        <v>36</v>
      </c>
      <c r="D54" s="15">
        <v>1115</v>
      </c>
      <c r="E54" s="8">
        <v>855.45</v>
      </c>
      <c r="F54" s="8">
        <f t="shared" si="5"/>
        <v>259.54999999999995</v>
      </c>
      <c r="G54" s="22">
        <f t="shared" si="6"/>
        <v>40140</v>
      </c>
      <c r="H54" s="23">
        <f t="shared" si="7"/>
        <v>30796.2</v>
      </c>
      <c r="I54" s="23">
        <f t="shared" si="8"/>
        <v>9343.7999999999993</v>
      </c>
      <c r="J54" s="9">
        <f t="shared" si="9"/>
        <v>0.3034075632707931</v>
      </c>
      <c r="K54" s="8" t="s">
        <v>33</v>
      </c>
    </row>
    <row r="55" spans="1:11" x14ac:dyDescent="0.25">
      <c r="A55" s="7">
        <v>45988</v>
      </c>
      <c r="B55" s="10" t="s">
        <v>49</v>
      </c>
      <c r="C55" s="15">
        <v>9</v>
      </c>
      <c r="D55" s="15">
        <v>1120</v>
      </c>
      <c r="E55" s="8">
        <v>855.45</v>
      </c>
      <c r="F55" s="8">
        <f t="shared" si="5"/>
        <v>264.54999999999995</v>
      </c>
      <c r="G55" s="22">
        <f t="shared" si="6"/>
        <v>10080</v>
      </c>
      <c r="H55" s="23">
        <f t="shared" si="7"/>
        <v>7699.05</v>
      </c>
      <c r="I55" s="23">
        <f t="shared" si="8"/>
        <v>2380.9499999999998</v>
      </c>
      <c r="J55" s="9">
        <f t="shared" si="9"/>
        <v>0.30925244023613296</v>
      </c>
      <c r="K55" s="8" t="s">
        <v>33</v>
      </c>
    </row>
    <row r="56" spans="1:11" x14ac:dyDescent="0.25">
      <c r="A56" s="7">
        <v>45988</v>
      </c>
      <c r="B56" s="10" t="s">
        <v>90</v>
      </c>
      <c r="C56" s="15">
        <v>1</v>
      </c>
      <c r="D56" s="15">
        <v>1430</v>
      </c>
      <c r="E56" s="8">
        <v>1180</v>
      </c>
      <c r="F56" s="8">
        <f t="shared" si="5"/>
        <v>250</v>
      </c>
      <c r="G56" s="22">
        <f t="shared" si="6"/>
        <v>1430</v>
      </c>
      <c r="H56" s="23">
        <f t="shared" si="7"/>
        <v>1180</v>
      </c>
      <c r="I56" s="23">
        <f t="shared" si="8"/>
        <v>250</v>
      </c>
      <c r="J56" s="9">
        <f t="shared" si="9"/>
        <v>0.21186440677966101</v>
      </c>
      <c r="K56" s="8" t="s">
        <v>33</v>
      </c>
    </row>
    <row r="57" spans="1:11" x14ac:dyDescent="0.25">
      <c r="A57" s="7">
        <v>45988</v>
      </c>
      <c r="B57" s="10" t="s">
        <v>41</v>
      </c>
      <c r="C57" s="15">
        <v>2</v>
      </c>
      <c r="D57" s="15">
        <v>8275</v>
      </c>
      <c r="E57" s="8">
        <v>7043.83</v>
      </c>
      <c r="F57" s="8">
        <f t="shared" si="5"/>
        <v>1231.17</v>
      </c>
      <c r="G57" s="22">
        <f t="shared" si="6"/>
        <v>16550</v>
      </c>
      <c r="H57" s="23">
        <f t="shared" si="7"/>
        <v>14087.66</v>
      </c>
      <c r="I57" s="23">
        <f t="shared" si="8"/>
        <v>2462.34</v>
      </c>
      <c r="J57" s="9">
        <f t="shared" si="9"/>
        <v>0.17478701217945353</v>
      </c>
      <c r="K57" s="8" t="s">
        <v>33</v>
      </c>
    </row>
    <row r="58" spans="1:11" x14ac:dyDescent="0.25">
      <c r="A58" s="7">
        <v>45989</v>
      </c>
      <c r="B58" s="10" t="s">
        <v>92</v>
      </c>
      <c r="C58" s="15">
        <v>2</v>
      </c>
      <c r="D58" s="15">
        <v>1350</v>
      </c>
      <c r="E58" s="8">
        <v>1141.97</v>
      </c>
      <c r="F58" s="8">
        <f t="shared" si="5"/>
        <v>208.02999999999997</v>
      </c>
      <c r="G58" s="22">
        <f t="shared" si="6"/>
        <v>2700</v>
      </c>
      <c r="H58" s="23">
        <f t="shared" si="7"/>
        <v>2283.94</v>
      </c>
      <c r="I58" s="23">
        <f t="shared" si="8"/>
        <v>416.05999999999995</v>
      </c>
      <c r="J58" s="9">
        <f t="shared" si="9"/>
        <v>0.18216765764424631</v>
      </c>
      <c r="K58" s="8" t="s">
        <v>33</v>
      </c>
    </row>
    <row r="59" spans="1:11" x14ac:dyDescent="0.25">
      <c r="A59" s="7">
        <v>45989</v>
      </c>
      <c r="B59" s="8" t="s">
        <v>11</v>
      </c>
      <c r="C59" s="15">
        <v>1</v>
      </c>
      <c r="D59" s="15">
        <v>4432.8900000000003</v>
      </c>
      <c r="E59" s="15">
        <v>4432.8900000000003</v>
      </c>
      <c r="F59" s="8">
        <f t="shared" si="5"/>
        <v>0</v>
      </c>
      <c r="G59" s="22">
        <f t="shared" si="6"/>
        <v>4432.8900000000003</v>
      </c>
      <c r="H59" s="23">
        <f t="shared" si="7"/>
        <v>4432.8900000000003</v>
      </c>
      <c r="I59" s="23">
        <f t="shared" si="8"/>
        <v>0</v>
      </c>
      <c r="J59" s="9">
        <f t="shared" si="9"/>
        <v>0</v>
      </c>
      <c r="K59" s="8" t="s">
        <v>33</v>
      </c>
    </row>
    <row r="60" spans="1:11" x14ac:dyDescent="0.25">
      <c r="A60" s="7">
        <v>45990</v>
      </c>
      <c r="B60" s="10" t="s">
        <v>49</v>
      </c>
      <c r="C60" s="15">
        <v>1</v>
      </c>
      <c r="D60" s="15">
        <v>1120</v>
      </c>
      <c r="E60" s="8">
        <v>855.45</v>
      </c>
      <c r="F60" s="8">
        <f t="shared" si="5"/>
        <v>264.54999999999995</v>
      </c>
      <c r="G60" s="22">
        <f t="shared" si="6"/>
        <v>1120</v>
      </c>
      <c r="H60" s="23">
        <f t="shared" si="7"/>
        <v>855.45</v>
      </c>
      <c r="I60" s="23">
        <f t="shared" si="8"/>
        <v>264.54999999999995</v>
      </c>
      <c r="J60" s="9">
        <f t="shared" si="9"/>
        <v>0.30925244023613296</v>
      </c>
      <c r="K60" s="8" t="s">
        <v>33</v>
      </c>
    </row>
    <row r="61" spans="1:11" x14ac:dyDescent="0.25">
      <c r="A61" s="11">
        <v>45990</v>
      </c>
      <c r="B61" s="12" t="s">
        <v>49</v>
      </c>
      <c r="C61" s="12">
        <v>5</v>
      </c>
      <c r="D61" s="12">
        <v>500</v>
      </c>
      <c r="E61" s="12">
        <v>855.45</v>
      </c>
      <c r="F61" s="12">
        <f t="shared" si="5"/>
        <v>-355.45000000000005</v>
      </c>
      <c r="G61" s="24">
        <f t="shared" si="6"/>
        <v>2500</v>
      </c>
      <c r="H61" s="24">
        <f t="shared" si="7"/>
        <v>4277.25</v>
      </c>
      <c r="I61" s="24">
        <f t="shared" si="8"/>
        <v>-1777.25</v>
      </c>
      <c r="J61" s="13">
        <f t="shared" si="9"/>
        <v>-0.41551230346601209</v>
      </c>
      <c r="K61" s="12" t="s">
        <v>33</v>
      </c>
    </row>
    <row r="62" spans="1:11" x14ac:dyDescent="0.25">
      <c r="A62" s="7">
        <v>45990</v>
      </c>
      <c r="B62" s="10" t="s">
        <v>49</v>
      </c>
      <c r="C62" s="15">
        <v>50</v>
      </c>
      <c r="D62" s="15">
        <v>1120</v>
      </c>
      <c r="E62" s="8">
        <v>855.45</v>
      </c>
      <c r="F62" s="8">
        <f t="shared" si="5"/>
        <v>264.54999999999995</v>
      </c>
      <c r="G62" s="22">
        <f t="shared" si="6"/>
        <v>56000</v>
      </c>
      <c r="H62" s="23">
        <f t="shared" si="7"/>
        <v>42772.5</v>
      </c>
      <c r="I62" s="23">
        <f t="shared" si="8"/>
        <v>13227.5</v>
      </c>
      <c r="J62" s="9">
        <f t="shared" si="9"/>
        <v>0.30925244023613296</v>
      </c>
      <c r="K62" s="8" t="s">
        <v>33</v>
      </c>
    </row>
    <row r="63" spans="1:11" x14ac:dyDescent="0.25">
      <c r="A63" s="7">
        <v>45990</v>
      </c>
      <c r="B63" s="10" t="s">
        <v>95</v>
      </c>
      <c r="C63" s="15">
        <v>1</v>
      </c>
      <c r="D63" s="15">
        <v>1</v>
      </c>
      <c r="E63" s="8">
        <v>1</v>
      </c>
      <c r="F63" s="8">
        <f t="shared" si="5"/>
        <v>0</v>
      </c>
      <c r="G63" s="22">
        <f t="shared" si="6"/>
        <v>1</v>
      </c>
      <c r="H63" s="23">
        <f t="shared" si="7"/>
        <v>1</v>
      </c>
      <c r="I63" s="23">
        <f t="shared" si="8"/>
        <v>0</v>
      </c>
      <c r="J63" s="9">
        <f t="shared" si="9"/>
        <v>0</v>
      </c>
      <c r="K63" s="8" t="s">
        <v>33</v>
      </c>
    </row>
    <row r="64" spans="1:11" x14ac:dyDescent="0.25">
      <c r="A64" s="7">
        <v>45991</v>
      </c>
      <c r="B64" s="19" t="s">
        <v>107</v>
      </c>
      <c r="C64" s="15">
        <v>5</v>
      </c>
      <c r="D64" s="15">
        <v>1</v>
      </c>
      <c r="E64" s="8">
        <v>1</v>
      </c>
      <c r="F64" s="8">
        <f t="shared" si="5"/>
        <v>0</v>
      </c>
      <c r="G64" s="22">
        <f t="shared" si="6"/>
        <v>5</v>
      </c>
      <c r="H64" s="23">
        <f t="shared" si="7"/>
        <v>5</v>
      </c>
      <c r="I64" s="23">
        <f t="shared" si="8"/>
        <v>0</v>
      </c>
      <c r="J64" s="9">
        <f t="shared" si="9"/>
        <v>0</v>
      </c>
      <c r="K64" s="8" t="s">
        <v>33</v>
      </c>
    </row>
    <row r="65" spans="2:11" x14ac:dyDescent="0.25">
      <c r="G65" s="27">
        <f t="shared" ref="G65:I65" si="10">SUM(G2:G64)</f>
        <v>776323.78</v>
      </c>
      <c r="H65" s="27">
        <f t="shared" si="10"/>
        <v>652642.15</v>
      </c>
      <c r="I65" s="27">
        <f t="shared" si="10"/>
        <v>123681.63000000003</v>
      </c>
      <c r="J65" s="28">
        <f>AVERAGE(J2:J64)</f>
        <v>0.16577075765184468</v>
      </c>
      <c r="K65" s="8"/>
    </row>
    <row r="70" spans="2:11" x14ac:dyDescent="0.25">
      <c r="B70" s="29" t="s">
        <v>111</v>
      </c>
      <c r="C70" s="30" t="s">
        <v>112</v>
      </c>
    </row>
    <row r="71" spans="2:11" x14ac:dyDescent="0.25">
      <c r="B71" s="8" t="s">
        <v>113</v>
      </c>
      <c r="C71" s="8">
        <v>9486</v>
      </c>
    </row>
    <row r="72" spans="2:11" x14ac:dyDescent="0.25">
      <c r="B72" s="8" t="s">
        <v>114</v>
      </c>
      <c r="C72" s="8">
        <v>11859</v>
      </c>
    </row>
    <row r="73" spans="2:11" x14ac:dyDescent="0.25">
      <c r="B73" s="8" t="s">
        <v>115</v>
      </c>
      <c r="C73" s="8">
        <v>780</v>
      </c>
    </row>
    <row r="74" spans="2:11" x14ac:dyDescent="0.25">
      <c r="B74" s="8" t="s">
        <v>116</v>
      </c>
      <c r="C74" s="8">
        <v>254</v>
      </c>
    </row>
    <row r="75" spans="2:11" x14ac:dyDescent="0.25">
      <c r="B75" s="8" t="s">
        <v>117</v>
      </c>
      <c r="C75" s="8">
        <v>472</v>
      </c>
    </row>
    <row r="76" spans="2:11" x14ac:dyDescent="0.25">
      <c r="B76" s="8" t="s">
        <v>118</v>
      </c>
      <c r="C76" s="8">
        <v>1115</v>
      </c>
    </row>
    <row r="77" spans="2:11" x14ac:dyDescent="0.25">
      <c r="B77" s="8" t="s">
        <v>119</v>
      </c>
      <c r="C77" s="8">
        <v>24006</v>
      </c>
    </row>
    <row r="78" spans="2:11" x14ac:dyDescent="0.25">
      <c r="B78" s="31" t="s">
        <v>120</v>
      </c>
      <c r="C78" s="32">
        <f>SUM(C71:C77)</f>
        <v>47972</v>
      </c>
    </row>
    <row r="79" spans="2:11" x14ac:dyDescent="0.25">
      <c r="B79" s="8"/>
      <c r="C79" s="8"/>
    </row>
    <row r="80" spans="2:11" ht="18.75" x14ac:dyDescent="0.3">
      <c r="B80" s="5" t="s">
        <v>121</v>
      </c>
      <c r="C80" s="40">
        <f>I65-C78</f>
        <v>75709.630000000034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ED702-038B-4006-A027-AA6F230C4A46}">
  <dimension ref="A1:K223"/>
  <sheetViews>
    <sheetView topLeftCell="A199" workbookViewId="0">
      <selection activeCell="D223" sqref="D223"/>
    </sheetView>
  </sheetViews>
  <sheetFormatPr defaultRowHeight="15" x14ac:dyDescent="0.25"/>
  <cols>
    <col min="1" max="1" width="11.7109375" customWidth="1"/>
    <col min="2" max="2" width="39.140625" customWidth="1"/>
    <col min="3" max="3" width="17.85546875" customWidth="1"/>
    <col min="4" max="4" width="20.140625" customWidth="1"/>
    <col min="5" max="5" width="21.7109375" customWidth="1"/>
    <col min="6" max="13" width="17.85546875" customWidth="1"/>
  </cols>
  <sheetData>
    <row r="1" spans="1:11" ht="18.75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10</v>
      </c>
    </row>
    <row r="2" spans="1:11" x14ac:dyDescent="0.25">
      <c r="A2" s="7">
        <v>45962</v>
      </c>
      <c r="B2" s="8" t="s">
        <v>18</v>
      </c>
      <c r="C2" s="15">
        <v>1</v>
      </c>
      <c r="D2" s="15">
        <v>3880</v>
      </c>
      <c r="E2" s="8">
        <v>3600</v>
      </c>
      <c r="F2" s="8">
        <f t="shared" ref="F2:F65" si="0">D2-E2</f>
        <v>280</v>
      </c>
      <c r="G2" s="22">
        <f t="shared" ref="G2:G65" si="1">D2*C2</f>
        <v>3880</v>
      </c>
      <c r="H2" s="23">
        <f t="shared" ref="H2:H65" si="2">E2*C2</f>
        <v>3600</v>
      </c>
      <c r="I2" s="23">
        <f t="shared" ref="I2:I65" si="3">G2-H2</f>
        <v>280</v>
      </c>
      <c r="J2" s="9">
        <f t="shared" ref="J2:J65" si="4">(D2-E2)/E2</f>
        <v>7.7777777777777779E-2</v>
      </c>
      <c r="K2" s="8" t="s">
        <v>29</v>
      </c>
    </row>
    <row r="3" spans="1:11" x14ac:dyDescent="0.25">
      <c r="A3" s="7">
        <v>45964</v>
      </c>
      <c r="B3" s="10" t="s">
        <v>27</v>
      </c>
      <c r="C3" s="15">
        <v>1</v>
      </c>
      <c r="D3" s="15">
        <v>2100</v>
      </c>
      <c r="E3" s="8">
        <v>2100</v>
      </c>
      <c r="F3" s="8">
        <f t="shared" si="0"/>
        <v>0</v>
      </c>
      <c r="G3" s="22">
        <f t="shared" si="1"/>
        <v>2100</v>
      </c>
      <c r="H3" s="23">
        <f t="shared" si="2"/>
        <v>2100</v>
      </c>
      <c r="I3" s="23">
        <f t="shared" si="3"/>
        <v>0</v>
      </c>
      <c r="J3" s="9">
        <f t="shared" si="4"/>
        <v>0</v>
      </c>
      <c r="K3" s="8" t="s">
        <v>29</v>
      </c>
    </row>
    <row r="4" spans="1:11" x14ac:dyDescent="0.25">
      <c r="A4" s="7">
        <v>45964</v>
      </c>
      <c r="B4" s="10" t="s">
        <v>28</v>
      </c>
      <c r="C4" s="15">
        <v>2</v>
      </c>
      <c r="D4" s="15">
        <v>2300</v>
      </c>
      <c r="E4" s="8">
        <v>2120</v>
      </c>
      <c r="F4" s="8">
        <f t="shared" si="0"/>
        <v>180</v>
      </c>
      <c r="G4" s="22">
        <f t="shared" si="1"/>
        <v>4600</v>
      </c>
      <c r="H4" s="23">
        <f t="shared" si="2"/>
        <v>4240</v>
      </c>
      <c r="I4" s="23">
        <f t="shared" si="3"/>
        <v>360</v>
      </c>
      <c r="J4" s="9">
        <f t="shared" si="4"/>
        <v>8.4905660377358486E-2</v>
      </c>
      <c r="K4" s="8" t="s">
        <v>29</v>
      </c>
    </row>
    <row r="5" spans="1:11" x14ac:dyDescent="0.25">
      <c r="A5" s="7">
        <v>45964</v>
      </c>
      <c r="B5" s="10" t="s">
        <v>28</v>
      </c>
      <c r="C5" s="15">
        <v>5</v>
      </c>
      <c r="D5" s="15">
        <v>2340</v>
      </c>
      <c r="E5" s="8">
        <v>2130</v>
      </c>
      <c r="F5" s="8">
        <f t="shared" si="0"/>
        <v>210</v>
      </c>
      <c r="G5" s="22">
        <f t="shared" si="1"/>
        <v>11700</v>
      </c>
      <c r="H5" s="23">
        <f t="shared" si="2"/>
        <v>10650</v>
      </c>
      <c r="I5" s="23">
        <f t="shared" si="3"/>
        <v>1050</v>
      </c>
      <c r="J5" s="9">
        <f t="shared" si="4"/>
        <v>9.8591549295774641E-2</v>
      </c>
      <c r="K5" s="8" t="s">
        <v>29</v>
      </c>
    </row>
    <row r="6" spans="1:11" x14ac:dyDescent="0.25">
      <c r="A6" s="7">
        <v>45964</v>
      </c>
      <c r="B6" s="10" t="s">
        <v>28</v>
      </c>
      <c r="C6" s="15">
        <v>1</v>
      </c>
      <c r="D6" s="15">
        <v>2340</v>
      </c>
      <c r="E6" s="8">
        <v>2250</v>
      </c>
      <c r="F6" s="8">
        <f t="shared" si="0"/>
        <v>90</v>
      </c>
      <c r="G6" s="22">
        <f t="shared" si="1"/>
        <v>2340</v>
      </c>
      <c r="H6" s="23">
        <f t="shared" si="2"/>
        <v>2250</v>
      </c>
      <c r="I6" s="23">
        <f t="shared" si="3"/>
        <v>90</v>
      </c>
      <c r="J6" s="9">
        <f t="shared" si="4"/>
        <v>0.04</v>
      </c>
      <c r="K6" s="8" t="s">
        <v>29</v>
      </c>
    </row>
    <row r="7" spans="1:11" x14ac:dyDescent="0.25">
      <c r="A7" s="7">
        <v>45964</v>
      </c>
      <c r="B7" s="10" t="s">
        <v>35</v>
      </c>
      <c r="C7" s="15">
        <v>2</v>
      </c>
      <c r="D7" s="15">
        <v>2130</v>
      </c>
      <c r="E7" s="8">
        <v>2020</v>
      </c>
      <c r="F7" s="8">
        <f t="shared" si="0"/>
        <v>110</v>
      </c>
      <c r="G7" s="22">
        <f t="shared" si="1"/>
        <v>4260</v>
      </c>
      <c r="H7" s="23">
        <f t="shared" si="2"/>
        <v>4040</v>
      </c>
      <c r="I7" s="23">
        <f t="shared" si="3"/>
        <v>220</v>
      </c>
      <c r="J7" s="9">
        <f t="shared" si="4"/>
        <v>5.4455445544554455E-2</v>
      </c>
      <c r="K7" s="8" t="s">
        <v>29</v>
      </c>
    </row>
    <row r="8" spans="1:11" x14ac:dyDescent="0.25">
      <c r="A8" s="7">
        <v>45964</v>
      </c>
      <c r="B8" s="10" t="s">
        <v>70</v>
      </c>
      <c r="C8" s="15">
        <v>1</v>
      </c>
      <c r="D8" s="15">
        <v>800</v>
      </c>
      <c r="E8" s="8">
        <v>780</v>
      </c>
      <c r="F8" s="8">
        <f t="shared" si="0"/>
        <v>20</v>
      </c>
      <c r="G8" s="22">
        <f t="shared" si="1"/>
        <v>800</v>
      </c>
      <c r="H8" s="23">
        <f t="shared" si="2"/>
        <v>780</v>
      </c>
      <c r="I8" s="23">
        <f t="shared" si="3"/>
        <v>20</v>
      </c>
      <c r="J8" s="9">
        <f t="shared" si="4"/>
        <v>2.564102564102564E-2</v>
      </c>
      <c r="K8" s="8" t="s">
        <v>29</v>
      </c>
    </row>
    <row r="9" spans="1:11" x14ac:dyDescent="0.25">
      <c r="A9" s="7">
        <v>45964</v>
      </c>
      <c r="B9" s="10" t="s">
        <v>30</v>
      </c>
      <c r="C9" s="15">
        <v>1</v>
      </c>
      <c r="D9" s="15">
        <v>2640</v>
      </c>
      <c r="E9" s="8">
        <v>2530</v>
      </c>
      <c r="F9" s="8">
        <f t="shared" si="0"/>
        <v>110</v>
      </c>
      <c r="G9" s="22">
        <f t="shared" si="1"/>
        <v>2640</v>
      </c>
      <c r="H9" s="23">
        <f t="shared" si="2"/>
        <v>2530</v>
      </c>
      <c r="I9" s="23">
        <f t="shared" si="3"/>
        <v>110</v>
      </c>
      <c r="J9" s="9">
        <f t="shared" si="4"/>
        <v>4.3478260869565216E-2</v>
      </c>
      <c r="K9" s="8" t="s">
        <v>29</v>
      </c>
    </row>
    <row r="10" spans="1:11" x14ac:dyDescent="0.25">
      <c r="A10" s="7">
        <v>45965</v>
      </c>
      <c r="B10" s="10" t="s">
        <v>53</v>
      </c>
      <c r="C10" s="15">
        <v>6</v>
      </c>
      <c r="D10" s="15">
        <v>2091.67</v>
      </c>
      <c r="E10" s="8">
        <v>1920</v>
      </c>
      <c r="F10" s="8">
        <f t="shared" si="0"/>
        <v>171.67000000000007</v>
      </c>
      <c r="G10" s="22">
        <f t="shared" si="1"/>
        <v>12550.02</v>
      </c>
      <c r="H10" s="23">
        <f t="shared" si="2"/>
        <v>11520</v>
      </c>
      <c r="I10" s="23">
        <f t="shared" si="3"/>
        <v>1030.0200000000004</v>
      </c>
      <c r="J10" s="9">
        <f t="shared" si="4"/>
        <v>8.9411458333333374E-2</v>
      </c>
      <c r="K10" s="8" t="s">
        <v>29</v>
      </c>
    </row>
    <row r="11" spans="1:11" x14ac:dyDescent="0.25">
      <c r="A11" s="11">
        <v>45965</v>
      </c>
      <c r="B11" s="12" t="s">
        <v>26</v>
      </c>
      <c r="C11" s="12">
        <v>3</v>
      </c>
      <c r="D11" s="12">
        <v>2125</v>
      </c>
      <c r="E11" s="12">
        <v>2130</v>
      </c>
      <c r="F11" s="12">
        <f t="shared" si="0"/>
        <v>-5</v>
      </c>
      <c r="G11" s="24">
        <f t="shared" si="1"/>
        <v>6375</v>
      </c>
      <c r="H11" s="24">
        <f t="shared" si="2"/>
        <v>6390</v>
      </c>
      <c r="I11" s="24">
        <f t="shared" si="3"/>
        <v>-15</v>
      </c>
      <c r="J11" s="13">
        <f t="shared" si="4"/>
        <v>-2.3474178403755869E-3</v>
      </c>
      <c r="K11" s="12" t="s">
        <v>29</v>
      </c>
    </row>
    <row r="12" spans="1:11" x14ac:dyDescent="0.25">
      <c r="A12" s="7">
        <v>45966</v>
      </c>
      <c r="B12" s="10" t="s">
        <v>72</v>
      </c>
      <c r="C12" s="15">
        <v>1</v>
      </c>
      <c r="D12" s="15">
        <v>2850</v>
      </c>
      <c r="E12" s="8">
        <v>2600</v>
      </c>
      <c r="F12" s="8">
        <f t="shared" si="0"/>
        <v>250</v>
      </c>
      <c r="G12" s="22">
        <f t="shared" si="1"/>
        <v>2850</v>
      </c>
      <c r="H12" s="23">
        <f t="shared" si="2"/>
        <v>2600</v>
      </c>
      <c r="I12" s="23">
        <f t="shared" si="3"/>
        <v>250</v>
      </c>
      <c r="J12" s="9">
        <f t="shared" si="4"/>
        <v>9.6153846153846159E-2</v>
      </c>
      <c r="K12" s="8" t="s">
        <v>29</v>
      </c>
    </row>
    <row r="13" spans="1:11" x14ac:dyDescent="0.25">
      <c r="A13" s="7">
        <v>45966</v>
      </c>
      <c r="B13" s="10" t="s">
        <v>20</v>
      </c>
      <c r="C13" s="15">
        <v>2</v>
      </c>
      <c r="D13" s="15">
        <v>1350</v>
      </c>
      <c r="E13" s="8">
        <v>1250</v>
      </c>
      <c r="F13" s="8">
        <f t="shared" si="0"/>
        <v>100</v>
      </c>
      <c r="G13" s="22">
        <f t="shared" si="1"/>
        <v>2700</v>
      </c>
      <c r="H13" s="23">
        <f t="shared" si="2"/>
        <v>2500</v>
      </c>
      <c r="I13" s="23">
        <f t="shared" si="3"/>
        <v>200</v>
      </c>
      <c r="J13" s="9">
        <f t="shared" si="4"/>
        <v>0.08</v>
      </c>
      <c r="K13" s="8" t="s">
        <v>29</v>
      </c>
    </row>
    <row r="14" spans="1:11" x14ac:dyDescent="0.25">
      <c r="A14" s="7">
        <v>45966</v>
      </c>
      <c r="B14" s="10" t="s">
        <v>20</v>
      </c>
      <c r="C14" s="15">
        <v>1</v>
      </c>
      <c r="D14" s="15">
        <v>1200</v>
      </c>
      <c r="E14" s="8">
        <v>1200</v>
      </c>
      <c r="F14" s="8">
        <f t="shared" si="0"/>
        <v>0</v>
      </c>
      <c r="G14" s="22">
        <f t="shared" si="1"/>
        <v>1200</v>
      </c>
      <c r="H14" s="23">
        <f t="shared" si="2"/>
        <v>1200</v>
      </c>
      <c r="I14" s="23">
        <f t="shared" si="3"/>
        <v>0</v>
      </c>
      <c r="J14" s="9">
        <f t="shared" si="4"/>
        <v>0</v>
      </c>
      <c r="K14" s="8" t="s">
        <v>29</v>
      </c>
    </row>
    <row r="15" spans="1:11" x14ac:dyDescent="0.25">
      <c r="A15" s="7">
        <v>45966</v>
      </c>
      <c r="B15" s="10" t="s">
        <v>73</v>
      </c>
      <c r="C15" s="15">
        <v>1</v>
      </c>
      <c r="D15" s="15">
        <v>2150</v>
      </c>
      <c r="E15" s="8">
        <v>2000</v>
      </c>
      <c r="F15" s="8">
        <f t="shared" si="0"/>
        <v>150</v>
      </c>
      <c r="G15" s="22">
        <f t="shared" si="1"/>
        <v>2150</v>
      </c>
      <c r="H15" s="23">
        <f t="shared" si="2"/>
        <v>2000</v>
      </c>
      <c r="I15" s="23">
        <f t="shared" si="3"/>
        <v>150</v>
      </c>
      <c r="J15" s="9">
        <f t="shared" si="4"/>
        <v>7.4999999999999997E-2</v>
      </c>
      <c r="K15" s="8" t="s">
        <v>29</v>
      </c>
    </row>
    <row r="16" spans="1:11" x14ac:dyDescent="0.25">
      <c r="A16" s="7">
        <v>45967</v>
      </c>
      <c r="B16" s="8" t="s">
        <v>11</v>
      </c>
      <c r="C16" s="15">
        <v>1</v>
      </c>
      <c r="D16" s="15">
        <v>3825</v>
      </c>
      <c r="E16" s="8">
        <v>3750</v>
      </c>
      <c r="F16" s="8">
        <f t="shared" si="0"/>
        <v>75</v>
      </c>
      <c r="G16" s="22">
        <f t="shared" si="1"/>
        <v>3825</v>
      </c>
      <c r="H16" s="23">
        <f t="shared" si="2"/>
        <v>3750</v>
      </c>
      <c r="I16" s="23">
        <f t="shared" si="3"/>
        <v>75</v>
      </c>
      <c r="J16" s="9">
        <f t="shared" si="4"/>
        <v>0.02</v>
      </c>
      <c r="K16" s="8" t="s">
        <v>29</v>
      </c>
    </row>
    <row r="17" spans="1:11" x14ac:dyDescent="0.25">
      <c r="A17" s="11">
        <v>45967</v>
      </c>
      <c r="B17" s="12" t="s">
        <v>12</v>
      </c>
      <c r="C17" s="12">
        <v>2</v>
      </c>
      <c r="D17" s="12">
        <v>2825</v>
      </c>
      <c r="E17" s="12">
        <v>2900</v>
      </c>
      <c r="F17" s="12">
        <f t="shared" si="0"/>
        <v>-75</v>
      </c>
      <c r="G17" s="24">
        <f t="shared" si="1"/>
        <v>5650</v>
      </c>
      <c r="H17" s="24">
        <f t="shared" si="2"/>
        <v>5800</v>
      </c>
      <c r="I17" s="24">
        <f t="shared" si="3"/>
        <v>-150</v>
      </c>
      <c r="J17" s="13">
        <f t="shared" si="4"/>
        <v>-2.5862068965517241E-2</v>
      </c>
      <c r="K17" s="12" t="s">
        <v>29</v>
      </c>
    </row>
    <row r="18" spans="1:11" x14ac:dyDescent="0.25">
      <c r="A18" s="7">
        <v>45967</v>
      </c>
      <c r="B18" s="10" t="s">
        <v>28</v>
      </c>
      <c r="C18" s="15">
        <v>1</v>
      </c>
      <c r="D18" s="15">
        <v>2350</v>
      </c>
      <c r="E18" s="8">
        <v>2250</v>
      </c>
      <c r="F18" s="8">
        <f t="shared" si="0"/>
        <v>100</v>
      </c>
      <c r="G18" s="22">
        <f t="shared" si="1"/>
        <v>2350</v>
      </c>
      <c r="H18" s="23">
        <f t="shared" si="2"/>
        <v>2250</v>
      </c>
      <c r="I18" s="23">
        <f t="shared" si="3"/>
        <v>100</v>
      </c>
      <c r="J18" s="9">
        <f t="shared" si="4"/>
        <v>4.4444444444444446E-2</v>
      </c>
      <c r="K18" s="8" t="s">
        <v>29</v>
      </c>
    </row>
    <row r="19" spans="1:11" x14ac:dyDescent="0.25">
      <c r="A19" s="7">
        <v>45967</v>
      </c>
      <c r="B19" s="10" t="s">
        <v>36</v>
      </c>
      <c r="C19" s="15">
        <v>1</v>
      </c>
      <c r="D19" s="15">
        <v>1550</v>
      </c>
      <c r="E19" s="8">
        <v>1400</v>
      </c>
      <c r="F19" s="8">
        <f t="shared" si="0"/>
        <v>150</v>
      </c>
      <c r="G19" s="22">
        <f t="shared" si="1"/>
        <v>1550</v>
      </c>
      <c r="H19" s="23">
        <f t="shared" si="2"/>
        <v>1400</v>
      </c>
      <c r="I19" s="23">
        <f t="shared" si="3"/>
        <v>150</v>
      </c>
      <c r="J19" s="9">
        <f t="shared" si="4"/>
        <v>0.10714285714285714</v>
      </c>
      <c r="K19" s="8" t="s">
        <v>29</v>
      </c>
    </row>
    <row r="20" spans="1:11" x14ac:dyDescent="0.25">
      <c r="A20" s="7">
        <v>45969</v>
      </c>
      <c r="B20" s="10" t="s">
        <v>81</v>
      </c>
      <c r="C20" s="15">
        <v>6</v>
      </c>
      <c r="D20" s="15">
        <v>1480</v>
      </c>
      <c r="E20" s="8">
        <v>1400</v>
      </c>
      <c r="F20" s="8">
        <f t="shared" si="0"/>
        <v>80</v>
      </c>
      <c r="G20" s="22">
        <f t="shared" si="1"/>
        <v>8880</v>
      </c>
      <c r="H20" s="23">
        <f t="shared" si="2"/>
        <v>8400</v>
      </c>
      <c r="I20" s="23">
        <f t="shared" si="3"/>
        <v>480</v>
      </c>
      <c r="J20" s="9">
        <f t="shared" si="4"/>
        <v>5.7142857142857141E-2</v>
      </c>
      <c r="K20" s="8" t="s">
        <v>29</v>
      </c>
    </row>
    <row r="21" spans="1:11" x14ac:dyDescent="0.25">
      <c r="A21" s="7">
        <v>45969</v>
      </c>
      <c r="B21" s="10" t="s">
        <v>82</v>
      </c>
      <c r="C21" s="15">
        <v>1</v>
      </c>
      <c r="D21" s="15">
        <v>790</v>
      </c>
      <c r="E21" s="8">
        <v>740</v>
      </c>
      <c r="F21" s="8">
        <f t="shared" si="0"/>
        <v>50</v>
      </c>
      <c r="G21" s="22">
        <f t="shared" si="1"/>
        <v>790</v>
      </c>
      <c r="H21" s="23">
        <f t="shared" si="2"/>
        <v>740</v>
      </c>
      <c r="I21" s="23">
        <f t="shared" si="3"/>
        <v>50</v>
      </c>
      <c r="J21" s="9">
        <f t="shared" si="4"/>
        <v>6.7567567567567571E-2</v>
      </c>
      <c r="K21" s="8" t="s">
        <v>29</v>
      </c>
    </row>
    <row r="22" spans="1:11" x14ac:dyDescent="0.25">
      <c r="A22" s="7">
        <v>45969</v>
      </c>
      <c r="B22" s="10" t="s">
        <v>81</v>
      </c>
      <c r="C22" s="15">
        <v>1</v>
      </c>
      <c r="D22" s="15">
        <v>1520</v>
      </c>
      <c r="E22" s="8">
        <v>1400</v>
      </c>
      <c r="F22" s="8">
        <f t="shared" si="0"/>
        <v>120</v>
      </c>
      <c r="G22" s="22">
        <f t="shared" si="1"/>
        <v>1520</v>
      </c>
      <c r="H22" s="23">
        <f t="shared" si="2"/>
        <v>1400</v>
      </c>
      <c r="I22" s="23">
        <f t="shared" si="3"/>
        <v>120</v>
      </c>
      <c r="J22" s="9">
        <f t="shared" si="4"/>
        <v>8.5714285714285715E-2</v>
      </c>
      <c r="K22" s="8" t="s">
        <v>29</v>
      </c>
    </row>
    <row r="23" spans="1:11" x14ac:dyDescent="0.25">
      <c r="A23" s="7">
        <v>45969</v>
      </c>
      <c r="B23" s="10" t="s">
        <v>80</v>
      </c>
      <c r="C23" s="15">
        <v>1</v>
      </c>
      <c r="D23" s="15">
        <v>1400</v>
      </c>
      <c r="E23" s="8">
        <v>1300</v>
      </c>
      <c r="F23" s="8">
        <f t="shared" si="0"/>
        <v>100</v>
      </c>
      <c r="G23" s="22">
        <f t="shared" si="1"/>
        <v>1400</v>
      </c>
      <c r="H23" s="23">
        <f t="shared" si="2"/>
        <v>1300</v>
      </c>
      <c r="I23" s="23">
        <f t="shared" si="3"/>
        <v>100</v>
      </c>
      <c r="J23" s="9">
        <f t="shared" si="4"/>
        <v>7.6923076923076927E-2</v>
      </c>
      <c r="K23" s="8" t="s">
        <v>29</v>
      </c>
    </row>
    <row r="24" spans="1:11" x14ac:dyDescent="0.25">
      <c r="A24" s="7">
        <v>45971</v>
      </c>
      <c r="B24" s="8" t="s">
        <v>19</v>
      </c>
      <c r="C24" s="8">
        <v>2</v>
      </c>
      <c r="D24" s="8">
        <v>2150</v>
      </c>
      <c r="E24" s="8">
        <v>2000</v>
      </c>
      <c r="F24" s="8">
        <f t="shared" si="0"/>
        <v>150</v>
      </c>
      <c r="G24" s="22">
        <f t="shared" si="1"/>
        <v>4300</v>
      </c>
      <c r="H24" s="23">
        <f t="shared" si="2"/>
        <v>4000</v>
      </c>
      <c r="I24" s="23">
        <f t="shared" si="3"/>
        <v>300</v>
      </c>
      <c r="J24" s="9">
        <f t="shared" si="4"/>
        <v>7.4999999999999997E-2</v>
      </c>
      <c r="K24" s="8" t="s">
        <v>29</v>
      </c>
    </row>
    <row r="25" spans="1:11" x14ac:dyDescent="0.25">
      <c r="A25" s="7">
        <v>45971</v>
      </c>
      <c r="B25" s="8" t="s">
        <v>20</v>
      </c>
      <c r="C25" s="8">
        <v>4</v>
      </c>
      <c r="D25" s="8">
        <v>1330</v>
      </c>
      <c r="E25" s="8">
        <v>1250</v>
      </c>
      <c r="F25" s="8">
        <f t="shared" si="0"/>
        <v>80</v>
      </c>
      <c r="G25" s="22">
        <f t="shared" si="1"/>
        <v>5320</v>
      </c>
      <c r="H25" s="23">
        <f t="shared" si="2"/>
        <v>5000</v>
      </c>
      <c r="I25" s="23">
        <f t="shared" si="3"/>
        <v>320</v>
      </c>
      <c r="J25" s="9">
        <f t="shared" si="4"/>
        <v>6.4000000000000001E-2</v>
      </c>
      <c r="K25" s="8" t="s">
        <v>29</v>
      </c>
    </row>
    <row r="26" spans="1:11" x14ac:dyDescent="0.25">
      <c r="A26" s="11">
        <v>45972</v>
      </c>
      <c r="B26" s="12" t="s">
        <v>12</v>
      </c>
      <c r="C26" s="12">
        <v>2</v>
      </c>
      <c r="D26" s="12">
        <v>2770</v>
      </c>
      <c r="E26" s="12">
        <v>2810</v>
      </c>
      <c r="F26" s="12">
        <f t="shared" si="0"/>
        <v>-40</v>
      </c>
      <c r="G26" s="24">
        <f t="shared" si="1"/>
        <v>5540</v>
      </c>
      <c r="H26" s="24">
        <f t="shared" si="2"/>
        <v>5620</v>
      </c>
      <c r="I26" s="24">
        <f t="shared" si="3"/>
        <v>-80</v>
      </c>
      <c r="J26" s="13">
        <f t="shared" si="4"/>
        <v>-1.4234875444839857E-2</v>
      </c>
      <c r="K26" s="12" t="s">
        <v>29</v>
      </c>
    </row>
    <row r="27" spans="1:11" x14ac:dyDescent="0.25">
      <c r="A27" s="11">
        <v>45972</v>
      </c>
      <c r="B27" s="12" t="s">
        <v>12</v>
      </c>
      <c r="C27" s="12">
        <v>1</v>
      </c>
      <c r="D27" s="12">
        <v>2740</v>
      </c>
      <c r="E27" s="12">
        <v>2810</v>
      </c>
      <c r="F27" s="12">
        <f t="shared" si="0"/>
        <v>-70</v>
      </c>
      <c r="G27" s="24">
        <f t="shared" si="1"/>
        <v>2740</v>
      </c>
      <c r="H27" s="24">
        <f t="shared" si="2"/>
        <v>2810</v>
      </c>
      <c r="I27" s="24">
        <f t="shared" si="3"/>
        <v>-70</v>
      </c>
      <c r="J27" s="13">
        <f t="shared" si="4"/>
        <v>-2.491103202846975E-2</v>
      </c>
      <c r="K27" s="12" t="s">
        <v>29</v>
      </c>
    </row>
    <row r="28" spans="1:11" x14ac:dyDescent="0.25">
      <c r="A28" s="7">
        <v>45972</v>
      </c>
      <c r="B28" s="10" t="s">
        <v>27</v>
      </c>
      <c r="C28" s="15">
        <v>5</v>
      </c>
      <c r="D28" s="15">
        <v>2100</v>
      </c>
      <c r="E28" s="8">
        <v>2070</v>
      </c>
      <c r="F28" s="8">
        <f t="shared" si="0"/>
        <v>30</v>
      </c>
      <c r="G28" s="22">
        <f t="shared" si="1"/>
        <v>10500</v>
      </c>
      <c r="H28" s="23">
        <f t="shared" si="2"/>
        <v>10350</v>
      </c>
      <c r="I28" s="23">
        <f t="shared" si="3"/>
        <v>150</v>
      </c>
      <c r="J28" s="9">
        <f t="shared" si="4"/>
        <v>1.4492753623188406E-2</v>
      </c>
      <c r="K28" s="8" t="s">
        <v>29</v>
      </c>
    </row>
    <row r="29" spans="1:11" x14ac:dyDescent="0.25">
      <c r="A29" s="7">
        <v>45972</v>
      </c>
      <c r="B29" s="10" t="s">
        <v>28</v>
      </c>
      <c r="C29" s="15">
        <v>2</v>
      </c>
      <c r="D29" s="15">
        <v>2340</v>
      </c>
      <c r="E29" s="8">
        <v>2150</v>
      </c>
      <c r="F29" s="8">
        <f t="shared" si="0"/>
        <v>190</v>
      </c>
      <c r="G29" s="22">
        <f t="shared" si="1"/>
        <v>4680</v>
      </c>
      <c r="H29" s="23">
        <f t="shared" si="2"/>
        <v>4300</v>
      </c>
      <c r="I29" s="23">
        <f t="shared" si="3"/>
        <v>380</v>
      </c>
      <c r="J29" s="9">
        <f t="shared" si="4"/>
        <v>8.8372093023255813E-2</v>
      </c>
      <c r="K29" s="8" t="s">
        <v>29</v>
      </c>
    </row>
    <row r="30" spans="1:11" x14ac:dyDescent="0.25">
      <c r="A30" s="7">
        <v>45972</v>
      </c>
      <c r="B30" s="10" t="s">
        <v>28</v>
      </c>
      <c r="C30" s="15">
        <v>1</v>
      </c>
      <c r="D30" s="15">
        <v>2300</v>
      </c>
      <c r="E30" s="8">
        <v>2150</v>
      </c>
      <c r="F30" s="8">
        <f t="shared" si="0"/>
        <v>150</v>
      </c>
      <c r="G30" s="22">
        <f t="shared" si="1"/>
        <v>2300</v>
      </c>
      <c r="H30" s="23">
        <f t="shared" si="2"/>
        <v>2150</v>
      </c>
      <c r="I30" s="23">
        <f t="shared" si="3"/>
        <v>150</v>
      </c>
      <c r="J30" s="9">
        <f t="shared" si="4"/>
        <v>6.9767441860465115E-2</v>
      </c>
      <c r="K30" s="8" t="s">
        <v>29</v>
      </c>
    </row>
    <row r="31" spans="1:11" x14ac:dyDescent="0.25">
      <c r="A31" s="7">
        <v>45972</v>
      </c>
      <c r="B31" s="10" t="s">
        <v>35</v>
      </c>
      <c r="C31" s="15">
        <v>5</v>
      </c>
      <c r="D31" s="15">
        <v>2130</v>
      </c>
      <c r="E31" s="8">
        <v>2020</v>
      </c>
      <c r="F31" s="8">
        <f t="shared" si="0"/>
        <v>110</v>
      </c>
      <c r="G31" s="22">
        <f t="shared" si="1"/>
        <v>10650</v>
      </c>
      <c r="H31" s="23">
        <f t="shared" si="2"/>
        <v>10100</v>
      </c>
      <c r="I31" s="23">
        <f t="shared" si="3"/>
        <v>550</v>
      </c>
      <c r="J31" s="9">
        <f t="shared" si="4"/>
        <v>5.4455445544554455E-2</v>
      </c>
      <c r="K31" s="8" t="s">
        <v>29</v>
      </c>
    </row>
    <row r="32" spans="1:11" x14ac:dyDescent="0.25">
      <c r="A32" s="11">
        <v>45972</v>
      </c>
      <c r="B32" s="12" t="s">
        <v>26</v>
      </c>
      <c r="C32" s="12">
        <v>8</v>
      </c>
      <c r="D32" s="12">
        <v>2000</v>
      </c>
      <c r="E32" s="12">
        <v>2130</v>
      </c>
      <c r="F32" s="12">
        <f t="shared" si="0"/>
        <v>-130</v>
      </c>
      <c r="G32" s="24">
        <f t="shared" si="1"/>
        <v>16000</v>
      </c>
      <c r="H32" s="24">
        <f t="shared" si="2"/>
        <v>17040</v>
      </c>
      <c r="I32" s="24">
        <f t="shared" si="3"/>
        <v>-1040</v>
      </c>
      <c r="J32" s="13">
        <f t="shared" si="4"/>
        <v>-6.1032863849765258E-2</v>
      </c>
      <c r="K32" s="12" t="s">
        <v>29</v>
      </c>
    </row>
    <row r="33" spans="1:11" x14ac:dyDescent="0.25">
      <c r="A33" s="11">
        <v>45972</v>
      </c>
      <c r="B33" s="12" t="s">
        <v>55</v>
      </c>
      <c r="C33" s="12">
        <v>3</v>
      </c>
      <c r="D33" s="12">
        <v>4450</v>
      </c>
      <c r="E33" s="12">
        <v>4500</v>
      </c>
      <c r="F33" s="12">
        <f t="shared" si="0"/>
        <v>-50</v>
      </c>
      <c r="G33" s="24">
        <f t="shared" si="1"/>
        <v>13350</v>
      </c>
      <c r="H33" s="24">
        <f t="shared" si="2"/>
        <v>13500</v>
      </c>
      <c r="I33" s="24">
        <f t="shared" si="3"/>
        <v>-150</v>
      </c>
      <c r="J33" s="13">
        <f t="shared" si="4"/>
        <v>-1.1111111111111112E-2</v>
      </c>
      <c r="K33" s="12" t="s">
        <v>29</v>
      </c>
    </row>
    <row r="34" spans="1:11" x14ac:dyDescent="0.25">
      <c r="A34" s="11">
        <v>45972</v>
      </c>
      <c r="B34" s="12" t="s">
        <v>12</v>
      </c>
      <c r="C34" s="12">
        <v>3</v>
      </c>
      <c r="D34" s="12">
        <v>2770</v>
      </c>
      <c r="E34" s="12">
        <v>2810</v>
      </c>
      <c r="F34" s="12">
        <f t="shared" si="0"/>
        <v>-40</v>
      </c>
      <c r="G34" s="24">
        <f t="shared" si="1"/>
        <v>8310</v>
      </c>
      <c r="H34" s="24">
        <f t="shared" si="2"/>
        <v>8430</v>
      </c>
      <c r="I34" s="24">
        <f t="shared" si="3"/>
        <v>-120</v>
      </c>
      <c r="J34" s="13">
        <f t="shared" si="4"/>
        <v>-1.4234875444839857E-2</v>
      </c>
      <c r="K34" s="12" t="s">
        <v>29</v>
      </c>
    </row>
    <row r="35" spans="1:11" x14ac:dyDescent="0.25">
      <c r="A35" s="11">
        <v>45974</v>
      </c>
      <c r="B35" s="12" t="s">
        <v>21</v>
      </c>
      <c r="C35" s="12">
        <v>4</v>
      </c>
      <c r="D35" s="12">
        <v>2450</v>
      </c>
      <c r="E35" s="12">
        <v>2550</v>
      </c>
      <c r="F35" s="12">
        <f t="shared" si="0"/>
        <v>-100</v>
      </c>
      <c r="G35" s="24">
        <f t="shared" si="1"/>
        <v>9800</v>
      </c>
      <c r="H35" s="24">
        <f t="shared" si="2"/>
        <v>10200</v>
      </c>
      <c r="I35" s="24">
        <f t="shared" si="3"/>
        <v>-400</v>
      </c>
      <c r="J35" s="13">
        <f t="shared" si="4"/>
        <v>-3.9215686274509803E-2</v>
      </c>
      <c r="K35" s="12" t="s">
        <v>29</v>
      </c>
    </row>
    <row r="36" spans="1:11" x14ac:dyDescent="0.25">
      <c r="A36" s="11">
        <v>45974</v>
      </c>
      <c r="B36" s="12" t="s">
        <v>12</v>
      </c>
      <c r="C36" s="12">
        <v>1</v>
      </c>
      <c r="D36" s="12">
        <v>2760</v>
      </c>
      <c r="E36" s="12">
        <v>2810</v>
      </c>
      <c r="F36" s="12">
        <f t="shared" si="0"/>
        <v>-50</v>
      </c>
      <c r="G36" s="24">
        <f t="shared" si="1"/>
        <v>2760</v>
      </c>
      <c r="H36" s="24">
        <f t="shared" si="2"/>
        <v>2810</v>
      </c>
      <c r="I36" s="24">
        <f t="shared" si="3"/>
        <v>-50</v>
      </c>
      <c r="J36" s="13">
        <f t="shared" si="4"/>
        <v>-1.7793594306049824E-2</v>
      </c>
      <c r="K36" s="12" t="s">
        <v>29</v>
      </c>
    </row>
    <row r="37" spans="1:11" x14ac:dyDescent="0.25">
      <c r="A37" s="11">
        <v>45974</v>
      </c>
      <c r="B37" s="12" t="s">
        <v>26</v>
      </c>
      <c r="C37" s="12">
        <v>4</v>
      </c>
      <c r="D37" s="12">
        <v>1975</v>
      </c>
      <c r="E37" s="12">
        <v>2000</v>
      </c>
      <c r="F37" s="12">
        <f t="shared" si="0"/>
        <v>-25</v>
      </c>
      <c r="G37" s="24">
        <f t="shared" si="1"/>
        <v>7900</v>
      </c>
      <c r="H37" s="24">
        <f t="shared" si="2"/>
        <v>8000</v>
      </c>
      <c r="I37" s="24">
        <f t="shared" si="3"/>
        <v>-100</v>
      </c>
      <c r="J37" s="13">
        <f t="shared" si="4"/>
        <v>-1.2500000000000001E-2</v>
      </c>
      <c r="K37" s="12" t="s">
        <v>29</v>
      </c>
    </row>
    <row r="38" spans="1:11" x14ac:dyDescent="0.25">
      <c r="A38" s="11">
        <v>45974</v>
      </c>
      <c r="B38" s="12" t="s">
        <v>26</v>
      </c>
      <c r="C38" s="12">
        <v>5</v>
      </c>
      <c r="D38" s="12">
        <v>1920</v>
      </c>
      <c r="E38" s="12">
        <v>2000</v>
      </c>
      <c r="F38" s="12">
        <f t="shared" si="0"/>
        <v>-80</v>
      </c>
      <c r="G38" s="24">
        <f t="shared" si="1"/>
        <v>9600</v>
      </c>
      <c r="H38" s="24">
        <f t="shared" si="2"/>
        <v>10000</v>
      </c>
      <c r="I38" s="24">
        <f t="shared" si="3"/>
        <v>-400</v>
      </c>
      <c r="J38" s="13">
        <f t="shared" si="4"/>
        <v>-0.04</v>
      </c>
      <c r="K38" s="12" t="s">
        <v>29</v>
      </c>
    </row>
    <row r="39" spans="1:11" x14ac:dyDescent="0.25">
      <c r="A39" s="11">
        <v>45974</v>
      </c>
      <c r="B39" s="12" t="s">
        <v>26</v>
      </c>
      <c r="C39" s="12">
        <v>1</v>
      </c>
      <c r="D39" s="12">
        <v>1980</v>
      </c>
      <c r="E39" s="12">
        <v>2000</v>
      </c>
      <c r="F39" s="12">
        <f t="shared" si="0"/>
        <v>-20</v>
      </c>
      <c r="G39" s="24">
        <f t="shared" si="1"/>
        <v>1980</v>
      </c>
      <c r="H39" s="24">
        <f t="shared" si="2"/>
        <v>2000</v>
      </c>
      <c r="I39" s="24">
        <f t="shared" si="3"/>
        <v>-20</v>
      </c>
      <c r="J39" s="13">
        <f t="shared" si="4"/>
        <v>-0.01</v>
      </c>
      <c r="K39" s="12" t="s">
        <v>29</v>
      </c>
    </row>
    <row r="40" spans="1:11" x14ac:dyDescent="0.25">
      <c r="A40" s="7">
        <v>45974</v>
      </c>
      <c r="B40" s="10" t="s">
        <v>27</v>
      </c>
      <c r="C40" s="10">
        <v>1</v>
      </c>
      <c r="D40" s="8">
        <v>2120</v>
      </c>
      <c r="E40" s="8">
        <v>2070</v>
      </c>
      <c r="F40" s="8">
        <f t="shared" si="0"/>
        <v>50</v>
      </c>
      <c r="G40" s="22">
        <f t="shared" si="1"/>
        <v>2120</v>
      </c>
      <c r="H40" s="23">
        <f t="shared" si="2"/>
        <v>2070</v>
      </c>
      <c r="I40" s="23">
        <f t="shared" si="3"/>
        <v>50</v>
      </c>
      <c r="J40" s="9">
        <f t="shared" si="4"/>
        <v>2.4154589371980676E-2</v>
      </c>
      <c r="K40" s="8" t="s">
        <v>29</v>
      </c>
    </row>
    <row r="41" spans="1:11" x14ac:dyDescent="0.25">
      <c r="A41" s="7">
        <v>45974</v>
      </c>
      <c r="B41" s="10" t="s">
        <v>27</v>
      </c>
      <c r="C41" s="10">
        <v>2</v>
      </c>
      <c r="D41" s="8">
        <v>2080</v>
      </c>
      <c r="E41" s="8">
        <v>2070</v>
      </c>
      <c r="F41" s="8">
        <f t="shared" si="0"/>
        <v>10</v>
      </c>
      <c r="G41" s="22">
        <f t="shared" si="1"/>
        <v>4160</v>
      </c>
      <c r="H41" s="23">
        <f t="shared" si="2"/>
        <v>4140</v>
      </c>
      <c r="I41" s="23">
        <f t="shared" si="3"/>
        <v>20</v>
      </c>
      <c r="J41" s="9">
        <f t="shared" si="4"/>
        <v>4.830917874396135E-3</v>
      </c>
      <c r="K41" s="8" t="s">
        <v>29</v>
      </c>
    </row>
    <row r="42" spans="1:11" x14ac:dyDescent="0.25">
      <c r="A42" s="7">
        <v>45974</v>
      </c>
      <c r="B42" s="10" t="s">
        <v>28</v>
      </c>
      <c r="C42" s="10">
        <v>1</v>
      </c>
      <c r="D42" s="8">
        <v>2300</v>
      </c>
      <c r="E42" s="8">
        <v>2080</v>
      </c>
      <c r="F42" s="8">
        <f t="shared" si="0"/>
        <v>220</v>
      </c>
      <c r="G42" s="22">
        <f t="shared" si="1"/>
        <v>2300</v>
      </c>
      <c r="H42" s="23">
        <f t="shared" si="2"/>
        <v>2080</v>
      </c>
      <c r="I42" s="23">
        <f t="shared" si="3"/>
        <v>220</v>
      </c>
      <c r="J42" s="9">
        <f t="shared" si="4"/>
        <v>0.10576923076923077</v>
      </c>
      <c r="K42" s="8" t="s">
        <v>29</v>
      </c>
    </row>
    <row r="43" spans="1:11" x14ac:dyDescent="0.25">
      <c r="A43" s="11">
        <v>45974</v>
      </c>
      <c r="B43" s="12" t="s">
        <v>26</v>
      </c>
      <c r="C43" s="12">
        <v>1</v>
      </c>
      <c r="D43" s="12">
        <v>1920</v>
      </c>
      <c r="E43" s="12">
        <v>2000</v>
      </c>
      <c r="F43" s="12">
        <f t="shared" si="0"/>
        <v>-80</v>
      </c>
      <c r="G43" s="24">
        <f t="shared" si="1"/>
        <v>1920</v>
      </c>
      <c r="H43" s="24">
        <f t="shared" si="2"/>
        <v>2000</v>
      </c>
      <c r="I43" s="24">
        <f t="shared" si="3"/>
        <v>-80</v>
      </c>
      <c r="J43" s="13">
        <f t="shared" si="4"/>
        <v>-0.04</v>
      </c>
      <c r="K43" s="12" t="s">
        <v>29</v>
      </c>
    </row>
    <row r="44" spans="1:11" x14ac:dyDescent="0.25">
      <c r="A44" s="7">
        <v>45976</v>
      </c>
      <c r="B44" s="10" t="s">
        <v>35</v>
      </c>
      <c r="C44" s="10">
        <v>1</v>
      </c>
      <c r="D44" s="10">
        <v>2140</v>
      </c>
      <c r="E44" s="10">
        <v>2130</v>
      </c>
      <c r="F44" s="8">
        <f t="shared" si="0"/>
        <v>10</v>
      </c>
      <c r="G44" s="22">
        <f t="shared" si="1"/>
        <v>2140</v>
      </c>
      <c r="H44" s="23">
        <f t="shared" si="2"/>
        <v>2130</v>
      </c>
      <c r="I44" s="23">
        <f t="shared" si="3"/>
        <v>10</v>
      </c>
      <c r="J44" s="9">
        <f t="shared" si="4"/>
        <v>4.6948356807511738E-3</v>
      </c>
      <c r="K44" s="8" t="s">
        <v>29</v>
      </c>
    </row>
    <row r="45" spans="1:11" x14ac:dyDescent="0.25">
      <c r="A45" s="14">
        <v>45976</v>
      </c>
      <c r="B45" s="15" t="s">
        <v>36</v>
      </c>
      <c r="C45" s="15">
        <v>1</v>
      </c>
      <c r="D45" s="15">
        <v>1550</v>
      </c>
      <c r="E45" s="15">
        <v>1500</v>
      </c>
      <c r="F45" s="8">
        <f t="shared" si="0"/>
        <v>50</v>
      </c>
      <c r="G45" s="22">
        <f t="shared" si="1"/>
        <v>1550</v>
      </c>
      <c r="H45" s="23">
        <f t="shared" si="2"/>
        <v>1500</v>
      </c>
      <c r="I45" s="23">
        <f t="shared" si="3"/>
        <v>50</v>
      </c>
      <c r="J45" s="9">
        <f t="shared" si="4"/>
        <v>3.3333333333333333E-2</v>
      </c>
      <c r="K45" s="15" t="s">
        <v>29</v>
      </c>
    </row>
    <row r="46" spans="1:11" x14ac:dyDescent="0.25">
      <c r="A46" s="7">
        <v>45976</v>
      </c>
      <c r="B46" s="10" t="s">
        <v>36</v>
      </c>
      <c r="C46" s="10">
        <v>1</v>
      </c>
      <c r="D46" s="10">
        <v>1550</v>
      </c>
      <c r="E46" s="10">
        <v>1400</v>
      </c>
      <c r="F46" s="8">
        <f t="shared" si="0"/>
        <v>150</v>
      </c>
      <c r="G46" s="22">
        <f t="shared" si="1"/>
        <v>1550</v>
      </c>
      <c r="H46" s="23">
        <f t="shared" si="2"/>
        <v>1400</v>
      </c>
      <c r="I46" s="23">
        <f t="shared" si="3"/>
        <v>150</v>
      </c>
      <c r="J46" s="9">
        <f t="shared" si="4"/>
        <v>0.10714285714285714</v>
      </c>
      <c r="K46" s="8" t="s">
        <v>29</v>
      </c>
    </row>
    <row r="47" spans="1:11" x14ac:dyDescent="0.25">
      <c r="A47" s="11">
        <v>45979</v>
      </c>
      <c r="B47" s="12" t="s">
        <v>12</v>
      </c>
      <c r="C47" s="12">
        <v>1</v>
      </c>
      <c r="D47" s="12">
        <v>2750</v>
      </c>
      <c r="E47" s="12">
        <v>2810</v>
      </c>
      <c r="F47" s="12">
        <f t="shared" si="0"/>
        <v>-60</v>
      </c>
      <c r="G47" s="24">
        <f t="shared" si="1"/>
        <v>2750</v>
      </c>
      <c r="H47" s="24">
        <f t="shared" si="2"/>
        <v>2810</v>
      </c>
      <c r="I47" s="24">
        <f t="shared" si="3"/>
        <v>-60</v>
      </c>
      <c r="J47" s="13">
        <f t="shared" si="4"/>
        <v>-2.1352313167259787E-2</v>
      </c>
      <c r="K47" s="12" t="s">
        <v>29</v>
      </c>
    </row>
    <row r="48" spans="1:11" x14ac:dyDescent="0.25">
      <c r="A48" s="11">
        <v>45980</v>
      </c>
      <c r="B48" s="12" t="s">
        <v>21</v>
      </c>
      <c r="C48" s="12">
        <v>5</v>
      </c>
      <c r="D48" s="12">
        <v>2400</v>
      </c>
      <c r="E48" s="12">
        <v>2550</v>
      </c>
      <c r="F48" s="12">
        <f t="shared" si="0"/>
        <v>-150</v>
      </c>
      <c r="G48" s="24">
        <f t="shared" si="1"/>
        <v>12000</v>
      </c>
      <c r="H48" s="24">
        <f t="shared" si="2"/>
        <v>12750</v>
      </c>
      <c r="I48" s="24">
        <f t="shared" si="3"/>
        <v>-750</v>
      </c>
      <c r="J48" s="13">
        <f t="shared" si="4"/>
        <v>-5.8823529411764705E-2</v>
      </c>
      <c r="K48" s="12" t="s">
        <v>29</v>
      </c>
    </row>
    <row r="49" spans="1:11" x14ac:dyDescent="0.25">
      <c r="A49" s="11">
        <v>45980</v>
      </c>
      <c r="B49" s="12" t="s">
        <v>43</v>
      </c>
      <c r="C49" s="12">
        <v>1</v>
      </c>
      <c r="D49" s="12">
        <v>1910</v>
      </c>
      <c r="E49" s="12">
        <v>2100</v>
      </c>
      <c r="F49" s="12">
        <f t="shared" si="0"/>
        <v>-190</v>
      </c>
      <c r="G49" s="24">
        <f t="shared" si="1"/>
        <v>1910</v>
      </c>
      <c r="H49" s="24">
        <f t="shared" si="2"/>
        <v>2100</v>
      </c>
      <c r="I49" s="24">
        <f t="shared" si="3"/>
        <v>-190</v>
      </c>
      <c r="J49" s="13">
        <f t="shared" si="4"/>
        <v>-9.0476190476190474E-2</v>
      </c>
      <c r="K49" s="12" t="s">
        <v>29</v>
      </c>
    </row>
    <row r="50" spans="1:11" x14ac:dyDescent="0.25">
      <c r="A50" s="7">
        <v>45980</v>
      </c>
      <c r="B50" s="10" t="s">
        <v>44</v>
      </c>
      <c r="C50" s="10">
        <v>6</v>
      </c>
      <c r="D50" s="15">
        <v>1410</v>
      </c>
      <c r="E50" s="15">
        <v>1380</v>
      </c>
      <c r="F50" s="8">
        <f t="shared" si="0"/>
        <v>30</v>
      </c>
      <c r="G50" s="22">
        <f t="shared" si="1"/>
        <v>8460</v>
      </c>
      <c r="H50" s="23">
        <f t="shared" si="2"/>
        <v>8280</v>
      </c>
      <c r="I50" s="23">
        <f t="shared" si="3"/>
        <v>180</v>
      </c>
      <c r="J50" s="9">
        <f t="shared" si="4"/>
        <v>2.1739130434782608E-2</v>
      </c>
      <c r="K50" s="8" t="s">
        <v>29</v>
      </c>
    </row>
    <row r="51" spans="1:11" x14ac:dyDescent="0.25">
      <c r="A51" s="7">
        <v>45980</v>
      </c>
      <c r="B51" s="10" t="s">
        <v>45</v>
      </c>
      <c r="C51" s="10">
        <v>4</v>
      </c>
      <c r="D51" s="15">
        <v>1310</v>
      </c>
      <c r="E51" s="15">
        <v>1300</v>
      </c>
      <c r="F51" s="8">
        <f t="shared" si="0"/>
        <v>10</v>
      </c>
      <c r="G51" s="22">
        <f t="shared" si="1"/>
        <v>5240</v>
      </c>
      <c r="H51" s="23">
        <f t="shared" si="2"/>
        <v>5200</v>
      </c>
      <c r="I51" s="23">
        <f t="shared" si="3"/>
        <v>40</v>
      </c>
      <c r="J51" s="9">
        <f t="shared" si="4"/>
        <v>7.6923076923076927E-3</v>
      </c>
      <c r="K51" s="8" t="s">
        <v>29</v>
      </c>
    </row>
    <row r="52" spans="1:11" x14ac:dyDescent="0.25">
      <c r="A52" s="7">
        <v>45981</v>
      </c>
      <c r="B52" s="8" t="s">
        <v>46</v>
      </c>
      <c r="C52" s="8">
        <v>2</v>
      </c>
      <c r="D52" s="8">
        <v>1600</v>
      </c>
      <c r="E52" s="8">
        <v>1500</v>
      </c>
      <c r="F52" s="8">
        <f t="shared" si="0"/>
        <v>100</v>
      </c>
      <c r="G52" s="22">
        <f t="shared" si="1"/>
        <v>3200</v>
      </c>
      <c r="H52" s="23">
        <f t="shared" si="2"/>
        <v>3000</v>
      </c>
      <c r="I52" s="23">
        <f t="shared" si="3"/>
        <v>200</v>
      </c>
      <c r="J52" s="9">
        <f t="shared" si="4"/>
        <v>6.6666666666666666E-2</v>
      </c>
      <c r="K52" s="8" t="s">
        <v>29</v>
      </c>
    </row>
    <row r="53" spans="1:11" x14ac:dyDescent="0.25">
      <c r="A53" s="11">
        <v>45981</v>
      </c>
      <c r="B53" s="12" t="s">
        <v>26</v>
      </c>
      <c r="C53" s="12">
        <v>3</v>
      </c>
      <c r="D53" s="12">
        <v>1900</v>
      </c>
      <c r="E53" s="12">
        <v>1930</v>
      </c>
      <c r="F53" s="12">
        <f t="shared" si="0"/>
        <v>-30</v>
      </c>
      <c r="G53" s="24">
        <f t="shared" si="1"/>
        <v>5700</v>
      </c>
      <c r="H53" s="24">
        <f t="shared" si="2"/>
        <v>5790</v>
      </c>
      <c r="I53" s="24">
        <f t="shared" si="3"/>
        <v>-90</v>
      </c>
      <c r="J53" s="13">
        <f t="shared" si="4"/>
        <v>-1.5544041450777202E-2</v>
      </c>
      <c r="K53" s="12" t="s">
        <v>29</v>
      </c>
    </row>
    <row r="54" spans="1:11" x14ac:dyDescent="0.25">
      <c r="A54" s="11">
        <v>45981</v>
      </c>
      <c r="B54" s="12" t="s">
        <v>26</v>
      </c>
      <c r="C54" s="12">
        <v>2</v>
      </c>
      <c r="D54" s="12">
        <v>1870</v>
      </c>
      <c r="E54" s="12">
        <v>1880</v>
      </c>
      <c r="F54" s="12">
        <f t="shared" si="0"/>
        <v>-10</v>
      </c>
      <c r="G54" s="24">
        <f t="shared" si="1"/>
        <v>3740</v>
      </c>
      <c r="H54" s="24">
        <f t="shared" si="2"/>
        <v>3760</v>
      </c>
      <c r="I54" s="24">
        <f t="shared" si="3"/>
        <v>-20</v>
      </c>
      <c r="J54" s="13">
        <f t="shared" si="4"/>
        <v>-5.3191489361702126E-3</v>
      </c>
      <c r="K54" s="12" t="s">
        <v>29</v>
      </c>
    </row>
    <row r="55" spans="1:11" x14ac:dyDescent="0.25">
      <c r="A55" s="14">
        <v>45981</v>
      </c>
      <c r="B55" s="15" t="s">
        <v>26</v>
      </c>
      <c r="C55" s="15">
        <v>1</v>
      </c>
      <c r="D55" s="15">
        <v>1990</v>
      </c>
      <c r="E55" s="15">
        <v>1930</v>
      </c>
      <c r="F55" s="8">
        <f t="shared" si="0"/>
        <v>60</v>
      </c>
      <c r="G55" s="22">
        <f t="shared" si="1"/>
        <v>1990</v>
      </c>
      <c r="H55" s="23">
        <f t="shared" si="2"/>
        <v>1930</v>
      </c>
      <c r="I55" s="23">
        <f t="shared" si="3"/>
        <v>60</v>
      </c>
      <c r="J55" s="9">
        <f t="shared" si="4"/>
        <v>3.1088082901554404E-2</v>
      </c>
      <c r="K55" s="15" t="s">
        <v>29</v>
      </c>
    </row>
    <row r="56" spans="1:11" x14ac:dyDescent="0.25">
      <c r="A56" s="14">
        <v>45981</v>
      </c>
      <c r="B56" s="15" t="s">
        <v>21</v>
      </c>
      <c r="C56" s="15">
        <v>3</v>
      </c>
      <c r="D56" s="15">
        <v>2400</v>
      </c>
      <c r="E56" s="15">
        <v>2400</v>
      </c>
      <c r="F56" s="8">
        <f t="shared" si="0"/>
        <v>0</v>
      </c>
      <c r="G56" s="22">
        <f t="shared" si="1"/>
        <v>7200</v>
      </c>
      <c r="H56" s="23">
        <f t="shared" si="2"/>
        <v>7200</v>
      </c>
      <c r="I56" s="23">
        <f t="shared" si="3"/>
        <v>0</v>
      </c>
      <c r="J56" s="9">
        <f t="shared" si="4"/>
        <v>0</v>
      </c>
      <c r="K56" s="15" t="s">
        <v>29</v>
      </c>
    </row>
    <row r="57" spans="1:11" x14ac:dyDescent="0.25">
      <c r="A57" s="14">
        <v>45981</v>
      </c>
      <c r="B57" s="15" t="s">
        <v>26</v>
      </c>
      <c r="C57" s="15">
        <v>1</v>
      </c>
      <c r="D57" s="15">
        <v>2000</v>
      </c>
      <c r="E57" s="15">
        <v>1930</v>
      </c>
      <c r="F57" s="8">
        <f t="shared" si="0"/>
        <v>70</v>
      </c>
      <c r="G57" s="22">
        <f t="shared" si="1"/>
        <v>2000</v>
      </c>
      <c r="H57" s="23">
        <f t="shared" si="2"/>
        <v>1930</v>
      </c>
      <c r="I57" s="23">
        <f t="shared" si="3"/>
        <v>70</v>
      </c>
      <c r="J57" s="9">
        <f t="shared" si="4"/>
        <v>3.6269430051813469E-2</v>
      </c>
      <c r="K57" s="15" t="s">
        <v>29</v>
      </c>
    </row>
    <row r="58" spans="1:11" x14ac:dyDescent="0.25">
      <c r="A58" s="14">
        <v>45982</v>
      </c>
      <c r="B58" s="15" t="s">
        <v>12</v>
      </c>
      <c r="C58" s="15">
        <v>4</v>
      </c>
      <c r="D58" s="15">
        <v>2760</v>
      </c>
      <c r="E58" s="15">
        <v>2700</v>
      </c>
      <c r="F58" s="8">
        <f t="shared" si="0"/>
        <v>60</v>
      </c>
      <c r="G58" s="22">
        <f t="shared" si="1"/>
        <v>11040</v>
      </c>
      <c r="H58" s="23">
        <f t="shared" si="2"/>
        <v>10800</v>
      </c>
      <c r="I58" s="23">
        <f t="shared" si="3"/>
        <v>240</v>
      </c>
      <c r="J58" s="9">
        <f t="shared" si="4"/>
        <v>2.2222222222222223E-2</v>
      </c>
      <c r="K58" s="15" t="s">
        <v>29</v>
      </c>
    </row>
    <row r="59" spans="1:11" x14ac:dyDescent="0.25">
      <c r="A59" s="14">
        <v>45982</v>
      </c>
      <c r="B59" s="15" t="s">
        <v>26</v>
      </c>
      <c r="C59" s="15">
        <v>4</v>
      </c>
      <c r="D59" s="15">
        <v>1980</v>
      </c>
      <c r="E59" s="15">
        <v>1930</v>
      </c>
      <c r="F59" s="8">
        <f t="shared" si="0"/>
        <v>50</v>
      </c>
      <c r="G59" s="22">
        <f t="shared" si="1"/>
        <v>7920</v>
      </c>
      <c r="H59" s="23">
        <f t="shared" si="2"/>
        <v>7720</v>
      </c>
      <c r="I59" s="23">
        <f t="shared" si="3"/>
        <v>200</v>
      </c>
      <c r="J59" s="9">
        <f t="shared" si="4"/>
        <v>2.5906735751295335E-2</v>
      </c>
      <c r="K59" s="15" t="s">
        <v>29</v>
      </c>
    </row>
    <row r="60" spans="1:11" x14ac:dyDescent="0.25">
      <c r="A60" s="14">
        <v>45982</v>
      </c>
      <c r="B60" s="15" t="s">
        <v>12</v>
      </c>
      <c r="C60" s="15">
        <v>1</v>
      </c>
      <c r="D60" s="15">
        <v>2760</v>
      </c>
      <c r="E60" s="15">
        <v>2700</v>
      </c>
      <c r="F60" s="8">
        <f t="shared" si="0"/>
        <v>60</v>
      </c>
      <c r="G60" s="22">
        <f t="shared" si="1"/>
        <v>2760</v>
      </c>
      <c r="H60" s="23">
        <f t="shared" si="2"/>
        <v>2700</v>
      </c>
      <c r="I60" s="23">
        <f t="shared" si="3"/>
        <v>60</v>
      </c>
      <c r="J60" s="9">
        <f t="shared" si="4"/>
        <v>2.2222222222222223E-2</v>
      </c>
      <c r="K60" s="15" t="s">
        <v>29</v>
      </c>
    </row>
    <row r="61" spans="1:11" x14ac:dyDescent="0.25">
      <c r="A61" s="14">
        <v>45983</v>
      </c>
      <c r="B61" s="15" t="s">
        <v>27</v>
      </c>
      <c r="C61" s="15">
        <v>12</v>
      </c>
      <c r="D61" s="15">
        <v>2035</v>
      </c>
      <c r="E61" s="15">
        <v>1950</v>
      </c>
      <c r="F61" s="8">
        <f t="shared" si="0"/>
        <v>85</v>
      </c>
      <c r="G61" s="22">
        <f t="shared" si="1"/>
        <v>24420</v>
      </c>
      <c r="H61" s="23">
        <f t="shared" si="2"/>
        <v>23400</v>
      </c>
      <c r="I61" s="23">
        <f t="shared" si="3"/>
        <v>1020</v>
      </c>
      <c r="J61" s="9">
        <f t="shared" si="4"/>
        <v>4.3589743589743588E-2</v>
      </c>
      <c r="K61" s="15" t="s">
        <v>29</v>
      </c>
    </row>
    <row r="62" spans="1:11" x14ac:dyDescent="0.25">
      <c r="A62" s="14">
        <v>45983</v>
      </c>
      <c r="B62" s="15" t="s">
        <v>26</v>
      </c>
      <c r="C62" s="15">
        <v>1</v>
      </c>
      <c r="D62" s="15">
        <v>2000</v>
      </c>
      <c r="E62" s="15">
        <v>1930</v>
      </c>
      <c r="F62" s="8">
        <f t="shared" si="0"/>
        <v>70</v>
      </c>
      <c r="G62" s="22">
        <f t="shared" si="1"/>
        <v>2000</v>
      </c>
      <c r="H62" s="23">
        <f t="shared" si="2"/>
        <v>1930</v>
      </c>
      <c r="I62" s="23">
        <f t="shared" si="3"/>
        <v>70</v>
      </c>
      <c r="J62" s="9">
        <f t="shared" si="4"/>
        <v>3.6269430051813469E-2</v>
      </c>
      <c r="K62" s="15" t="s">
        <v>29</v>
      </c>
    </row>
    <row r="63" spans="1:11" x14ac:dyDescent="0.25">
      <c r="A63" s="14">
        <v>45983</v>
      </c>
      <c r="B63" s="15" t="s">
        <v>26</v>
      </c>
      <c r="C63" s="15">
        <v>1</v>
      </c>
      <c r="D63" s="15">
        <v>2000</v>
      </c>
      <c r="E63" s="15">
        <v>1930</v>
      </c>
      <c r="F63" s="8">
        <f t="shared" si="0"/>
        <v>70</v>
      </c>
      <c r="G63" s="22">
        <f t="shared" si="1"/>
        <v>2000</v>
      </c>
      <c r="H63" s="23">
        <f t="shared" si="2"/>
        <v>1930</v>
      </c>
      <c r="I63" s="23">
        <f t="shared" si="3"/>
        <v>70</v>
      </c>
      <c r="J63" s="9">
        <f t="shared" si="4"/>
        <v>3.6269430051813469E-2</v>
      </c>
      <c r="K63" s="15" t="s">
        <v>29</v>
      </c>
    </row>
    <row r="64" spans="1:11" x14ac:dyDescent="0.25">
      <c r="A64" s="14">
        <v>45983</v>
      </c>
      <c r="B64" s="15" t="s">
        <v>27</v>
      </c>
      <c r="C64" s="15">
        <v>6</v>
      </c>
      <c r="D64" s="15">
        <v>1980</v>
      </c>
      <c r="E64" s="15">
        <v>1950</v>
      </c>
      <c r="F64" s="8">
        <f t="shared" si="0"/>
        <v>30</v>
      </c>
      <c r="G64" s="22">
        <f t="shared" si="1"/>
        <v>11880</v>
      </c>
      <c r="H64" s="23">
        <f t="shared" si="2"/>
        <v>11700</v>
      </c>
      <c r="I64" s="23">
        <f t="shared" si="3"/>
        <v>180</v>
      </c>
      <c r="J64" s="9">
        <f t="shared" si="4"/>
        <v>1.5384615384615385E-2</v>
      </c>
      <c r="K64" s="15" t="s">
        <v>29</v>
      </c>
    </row>
    <row r="65" spans="1:11" x14ac:dyDescent="0.25">
      <c r="A65" s="14">
        <v>45983</v>
      </c>
      <c r="B65" s="10" t="s">
        <v>53</v>
      </c>
      <c r="C65" s="15">
        <v>2</v>
      </c>
      <c r="D65" s="15">
        <v>2025</v>
      </c>
      <c r="E65" s="8">
        <v>1930</v>
      </c>
      <c r="F65" s="8">
        <f t="shared" si="0"/>
        <v>95</v>
      </c>
      <c r="G65" s="22">
        <f t="shared" si="1"/>
        <v>4050</v>
      </c>
      <c r="H65" s="23">
        <f t="shared" si="2"/>
        <v>3860</v>
      </c>
      <c r="I65" s="23">
        <f t="shared" si="3"/>
        <v>190</v>
      </c>
      <c r="J65" s="9">
        <f t="shared" si="4"/>
        <v>4.9222797927461141E-2</v>
      </c>
      <c r="K65" s="8" t="s">
        <v>29</v>
      </c>
    </row>
    <row r="66" spans="1:11" x14ac:dyDescent="0.25">
      <c r="A66" s="11">
        <v>45983</v>
      </c>
      <c r="B66" s="12" t="s">
        <v>54</v>
      </c>
      <c r="C66" s="12">
        <v>1</v>
      </c>
      <c r="D66" s="12">
        <v>3400</v>
      </c>
      <c r="E66" s="12">
        <v>3450</v>
      </c>
      <c r="F66" s="12">
        <f t="shared" ref="F66:F129" si="5">D66-E66</f>
        <v>-50</v>
      </c>
      <c r="G66" s="24">
        <f t="shared" ref="G66:G129" si="6">D66*C66</f>
        <v>3400</v>
      </c>
      <c r="H66" s="24">
        <f t="shared" ref="H66:H129" si="7">E66*C66</f>
        <v>3450</v>
      </c>
      <c r="I66" s="24">
        <f t="shared" ref="I66:I129" si="8">G66-H66</f>
        <v>-50</v>
      </c>
      <c r="J66" s="13">
        <f t="shared" ref="J66:J129" si="9">(D66-E66)/E66</f>
        <v>-1.4492753623188406E-2</v>
      </c>
      <c r="K66" s="12" t="s">
        <v>29</v>
      </c>
    </row>
    <row r="67" spans="1:11" x14ac:dyDescent="0.25">
      <c r="A67" s="14">
        <v>45983</v>
      </c>
      <c r="B67" s="15" t="s">
        <v>12</v>
      </c>
      <c r="C67" s="15">
        <v>1</v>
      </c>
      <c r="D67" s="15">
        <v>2760</v>
      </c>
      <c r="E67" s="15">
        <v>2700</v>
      </c>
      <c r="F67" s="8">
        <f t="shared" si="5"/>
        <v>60</v>
      </c>
      <c r="G67" s="22">
        <f t="shared" si="6"/>
        <v>2760</v>
      </c>
      <c r="H67" s="23">
        <f t="shared" si="7"/>
        <v>2700</v>
      </c>
      <c r="I67" s="23">
        <f t="shared" si="8"/>
        <v>60</v>
      </c>
      <c r="J67" s="9">
        <f t="shared" si="9"/>
        <v>2.2222222222222223E-2</v>
      </c>
      <c r="K67" s="8" t="s">
        <v>29</v>
      </c>
    </row>
    <row r="68" spans="1:11" x14ac:dyDescent="0.25">
      <c r="A68" s="14">
        <v>45983</v>
      </c>
      <c r="B68" s="10" t="s">
        <v>55</v>
      </c>
      <c r="C68" s="15">
        <v>1</v>
      </c>
      <c r="D68" s="15">
        <v>4400</v>
      </c>
      <c r="E68" s="8">
        <v>4200</v>
      </c>
      <c r="F68" s="8">
        <f t="shared" si="5"/>
        <v>200</v>
      </c>
      <c r="G68" s="22">
        <f t="shared" si="6"/>
        <v>4400</v>
      </c>
      <c r="H68" s="23">
        <f t="shared" si="7"/>
        <v>4200</v>
      </c>
      <c r="I68" s="23">
        <f t="shared" si="8"/>
        <v>200</v>
      </c>
      <c r="J68" s="9">
        <f t="shared" si="9"/>
        <v>4.7619047619047616E-2</v>
      </c>
      <c r="K68" s="8" t="s">
        <v>29</v>
      </c>
    </row>
    <row r="69" spans="1:11" x14ac:dyDescent="0.25">
      <c r="A69" s="14">
        <v>45983</v>
      </c>
      <c r="B69" s="8" t="s">
        <v>18</v>
      </c>
      <c r="C69" s="15">
        <v>1</v>
      </c>
      <c r="D69" s="15">
        <v>3700</v>
      </c>
      <c r="E69" s="8">
        <v>3600</v>
      </c>
      <c r="F69" s="8">
        <f t="shared" si="5"/>
        <v>100</v>
      </c>
      <c r="G69" s="22">
        <f t="shared" si="6"/>
        <v>3700</v>
      </c>
      <c r="H69" s="23">
        <f t="shared" si="7"/>
        <v>3600</v>
      </c>
      <c r="I69" s="23">
        <f t="shared" si="8"/>
        <v>100</v>
      </c>
      <c r="J69" s="9">
        <f t="shared" si="9"/>
        <v>2.7777777777777776E-2</v>
      </c>
      <c r="K69" s="8" t="s">
        <v>29</v>
      </c>
    </row>
    <row r="70" spans="1:11" x14ac:dyDescent="0.25">
      <c r="A70" s="14">
        <v>45983</v>
      </c>
      <c r="B70" s="10" t="s">
        <v>20</v>
      </c>
      <c r="C70" s="15">
        <v>4</v>
      </c>
      <c r="D70" s="15">
        <v>1310</v>
      </c>
      <c r="E70" s="8">
        <v>1250</v>
      </c>
      <c r="F70" s="8">
        <f t="shared" si="5"/>
        <v>60</v>
      </c>
      <c r="G70" s="22">
        <f t="shared" si="6"/>
        <v>5240</v>
      </c>
      <c r="H70" s="23">
        <f t="shared" si="7"/>
        <v>5000</v>
      </c>
      <c r="I70" s="23">
        <f t="shared" si="8"/>
        <v>240</v>
      </c>
      <c r="J70" s="9">
        <f t="shared" si="9"/>
        <v>4.8000000000000001E-2</v>
      </c>
      <c r="K70" s="8" t="s">
        <v>29</v>
      </c>
    </row>
    <row r="71" spans="1:11" x14ac:dyDescent="0.25">
      <c r="A71" s="14">
        <v>45983</v>
      </c>
      <c r="B71" s="8" t="s">
        <v>46</v>
      </c>
      <c r="C71" s="15">
        <v>1</v>
      </c>
      <c r="D71" s="15">
        <v>1550</v>
      </c>
      <c r="E71" s="8">
        <v>1400</v>
      </c>
      <c r="F71" s="8">
        <f t="shared" si="5"/>
        <v>150</v>
      </c>
      <c r="G71" s="22">
        <f t="shared" si="6"/>
        <v>1550</v>
      </c>
      <c r="H71" s="23">
        <f t="shared" si="7"/>
        <v>1400</v>
      </c>
      <c r="I71" s="23">
        <f t="shared" si="8"/>
        <v>150</v>
      </c>
      <c r="J71" s="9">
        <f t="shared" si="9"/>
        <v>0.10714285714285714</v>
      </c>
      <c r="K71" s="8" t="s">
        <v>29</v>
      </c>
    </row>
    <row r="72" spans="1:11" x14ac:dyDescent="0.25">
      <c r="A72" s="14">
        <v>45985</v>
      </c>
      <c r="B72" s="15" t="s">
        <v>26</v>
      </c>
      <c r="C72" s="15">
        <v>1</v>
      </c>
      <c r="D72" s="15">
        <v>1980</v>
      </c>
      <c r="E72" s="15">
        <v>1930</v>
      </c>
      <c r="F72" s="8">
        <f t="shared" si="5"/>
        <v>50</v>
      </c>
      <c r="G72" s="22">
        <f t="shared" si="6"/>
        <v>1980</v>
      </c>
      <c r="H72" s="23">
        <f t="shared" si="7"/>
        <v>1930</v>
      </c>
      <c r="I72" s="23">
        <f t="shared" si="8"/>
        <v>50</v>
      </c>
      <c r="J72" s="9">
        <f t="shared" si="9"/>
        <v>2.5906735751295335E-2</v>
      </c>
      <c r="K72" s="15" t="s">
        <v>29</v>
      </c>
    </row>
    <row r="73" spans="1:11" x14ac:dyDescent="0.25">
      <c r="A73" s="14">
        <v>45985</v>
      </c>
      <c r="B73" s="15" t="s">
        <v>26</v>
      </c>
      <c r="C73" s="15">
        <v>1</v>
      </c>
      <c r="D73" s="15">
        <v>1930</v>
      </c>
      <c r="E73" s="15">
        <v>1920</v>
      </c>
      <c r="F73" s="8">
        <f t="shared" si="5"/>
        <v>10</v>
      </c>
      <c r="G73" s="22">
        <f t="shared" si="6"/>
        <v>1930</v>
      </c>
      <c r="H73" s="23">
        <f t="shared" si="7"/>
        <v>1920</v>
      </c>
      <c r="I73" s="23">
        <f t="shared" si="8"/>
        <v>10</v>
      </c>
      <c r="J73" s="9">
        <f t="shared" si="9"/>
        <v>5.208333333333333E-3</v>
      </c>
      <c r="K73" s="15" t="s">
        <v>29</v>
      </c>
    </row>
    <row r="74" spans="1:11" x14ac:dyDescent="0.25">
      <c r="A74" s="14">
        <v>45986</v>
      </c>
      <c r="B74" s="15" t="s">
        <v>62</v>
      </c>
      <c r="C74" s="15">
        <v>1</v>
      </c>
      <c r="D74" s="15">
        <v>3425</v>
      </c>
      <c r="E74" s="15">
        <v>3300</v>
      </c>
      <c r="F74" s="8">
        <f t="shared" si="5"/>
        <v>125</v>
      </c>
      <c r="G74" s="22">
        <f t="shared" si="6"/>
        <v>3425</v>
      </c>
      <c r="H74" s="23">
        <f t="shared" si="7"/>
        <v>3300</v>
      </c>
      <c r="I74" s="23">
        <f t="shared" si="8"/>
        <v>125</v>
      </c>
      <c r="J74" s="9">
        <f t="shared" si="9"/>
        <v>3.787878787878788E-2</v>
      </c>
      <c r="K74" s="15" t="s">
        <v>29</v>
      </c>
    </row>
    <row r="75" spans="1:11" x14ac:dyDescent="0.25">
      <c r="A75" s="14">
        <v>45986</v>
      </c>
      <c r="B75" s="15" t="s">
        <v>63</v>
      </c>
      <c r="C75" s="15">
        <v>1</v>
      </c>
      <c r="D75" s="15">
        <v>4275</v>
      </c>
      <c r="E75" s="15">
        <v>4100</v>
      </c>
      <c r="F75" s="8">
        <f t="shared" si="5"/>
        <v>175</v>
      </c>
      <c r="G75" s="22">
        <f t="shared" si="6"/>
        <v>4275</v>
      </c>
      <c r="H75" s="23">
        <f t="shared" si="7"/>
        <v>4100</v>
      </c>
      <c r="I75" s="23">
        <f t="shared" si="8"/>
        <v>175</v>
      </c>
      <c r="J75" s="9">
        <f t="shared" si="9"/>
        <v>4.2682926829268296E-2</v>
      </c>
      <c r="K75" s="15" t="s">
        <v>29</v>
      </c>
    </row>
    <row r="76" spans="1:11" x14ac:dyDescent="0.25">
      <c r="A76" s="14">
        <v>45986</v>
      </c>
      <c r="B76" s="15" t="s">
        <v>26</v>
      </c>
      <c r="C76" s="15">
        <v>3</v>
      </c>
      <c r="D76" s="15">
        <v>1980</v>
      </c>
      <c r="E76" s="15">
        <v>1930</v>
      </c>
      <c r="F76" s="8">
        <f t="shared" si="5"/>
        <v>50</v>
      </c>
      <c r="G76" s="22">
        <f t="shared" si="6"/>
        <v>5940</v>
      </c>
      <c r="H76" s="23">
        <f t="shared" si="7"/>
        <v>5790</v>
      </c>
      <c r="I76" s="23">
        <f t="shared" si="8"/>
        <v>150</v>
      </c>
      <c r="J76" s="9">
        <f t="shared" si="9"/>
        <v>2.5906735751295335E-2</v>
      </c>
      <c r="K76" s="15" t="s">
        <v>29</v>
      </c>
    </row>
    <row r="77" spans="1:11" x14ac:dyDescent="0.25">
      <c r="A77" s="14">
        <v>45986</v>
      </c>
      <c r="B77" s="15" t="s">
        <v>26</v>
      </c>
      <c r="C77" s="15">
        <v>2</v>
      </c>
      <c r="D77" s="15">
        <v>1950</v>
      </c>
      <c r="E77" s="15">
        <v>1920</v>
      </c>
      <c r="F77" s="8">
        <f t="shared" si="5"/>
        <v>30</v>
      </c>
      <c r="G77" s="22">
        <f t="shared" si="6"/>
        <v>3900</v>
      </c>
      <c r="H77" s="23">
        <f t="shared" si="7"/>
        <v>3840</v>
      </c>
      <c r="I77" s="23">
        <f t="shared" si="8"/>
        <v>60</v>
      </c>
      <c r="J77" s="9">
        <f t="shared" si="9"/>
        <v>1.5625E-2</v>
      </c>
      <c r="K77" s="15" t="s">
        <v>29</v>
      </c>
    </row>
    <row r="78" spans="1:11" x14ac:dyDescent="0.25">
      <c r="A78" s="11">
        <v>45987</v>
      </c>
      <c r="B78" s="12" t="s">
        <v>11</v>
      </c>
      <c r="C78" s="12">
        <v>2</v>
      </c>
      <c r="D78" s="12">
        <v>3520</v>
      </c>
      <c r="E78" s="12">
        <v>3600</v>
      </c>
      <c r="F78" s="12">
        <f t="shared" si="5"/>
        <v>-80</v>
      </c>
      <c r="G78" s="24">
        <f t="shared" si="6"/>
        <v>7040</v>
      </c>
      <c r="H78" s="24">
        <f t="shared" si="7"/>
        <v>7200</v>
      </c>
      <c r="I78" s="24">
        <f t="shared" si="8"/>
        <v>-160</v>
      </c>
      <c r="J78" s="13">
        <f t="shared" si="9"/>
        <v>-2.2222222222222223E-2</v>
      </c>
      <c r="K78" s="12" t="s">
        <v>29</v>
      </c>
    </row>
    <row r="79" spans="1:11" x14ac:dyDescent="0.25">
      <c r="A79" s="7">
        <v>45987</v>
      </c>
      <c r="B79" s="10" t="s">
        <v>81</v>
      </c>
      <c r="C79" s="15">
        <v>1</v>
      </c>
      <c r="D79" s="15">
        <v>1410</v>
      </c>
      <c r="E79" s="8">
        <v>1350</v>
      </c>
      <c r="F79" s="8">
        <f t="shared" si="5"/>
        <v>60</v>
      </c>
      <c r="G79" s="22">
        <f t="shared" si="6"/>
        <v>1410</v>
      </c>
      <c r="H79" s="23">
        <f t="shared" si="7"/>
        <v>1350</v>
      </c>
      <c r="I79" s="23">
        <f t="shared" si="8"/>
        <v>60</v>
      </c>
      <c r="J79" s="9">
        <f t="shared" si="9"/>
        <v>4.4444444444444446E-2</v>
      </c>
      <c r="K79" s="8" t="s">
        <v>29</v>
      </c>
    </row>
    <row r="80" spans="1:11" x14ac:dyDescent="0.25">
      <c r="A80" s="7">
        <v>45987</v>
      </c>
      <c r="B80" s="8" t="s">
        <v>11</v>
      </c>
      <c r="C80" s="15">
        <v>1</v>
      </c>
      <c r="D80" s="15">
        <v>3700</v>
      </c>
      <c r="E80" s="8">
        <v>3600</v>
      </c>
      <c r="F80" s="8">
        <f t="shared" si="5"/>
        <v>100</v>
      </c>
      <c r="G80" s="22">
        <f t="shared" si="6"/>
        <v>3700</v>
      </c>
      <c r="H80" s="23">
        <f t="shared" si="7"/>
        <v>3600</v>
      </c>
      <c r="I80" s="23">
        <f t="shared" si="8"/>
        <v>100</v>
      </c>
      <c r="J80" s="9">
        <f t="shared" si="9"/>
        <v>2.7777777777777776E-2</v>
      </c>
      <c r="K80" s="8" t="s">
        <v>29</v>
      </c>
    </row>
    <row r="81" spans="1:11" x14ac:dyDescent="0.25">
      <c r="A81" s="11">
        <v>45987</v>
      </c>
      <c r="B81" s="12" t="s">
        <v>12</v>
      </c>
      <c r="C81" s="12">
        <v>1</v>
      </c>
      <c r="D81" s="12">
        <v>2580</v>
      </c>
      <c r="E81" s="12">
        <v>2650</v>
      </c>
      <c r="F81" s="12">
        <f t="shared" si="5"/>
        <v>-70</v>
      </c>
      <c r="G81" s="24">
        <f t="shared" si="6"/>
        <v>2580</v>
      </c>
      <c r="H81" s="24">
        <f t="shared" si="7"/>
        <v>2650</v>
      </c>
      <c r="I81" s="24">
        <f t="shared" si="8"/>
        <v>-70</v>
      </c>
      <c r="J81" s="13">
        <f t="shared" si="9"/>
        <v>-2.6415094339622643E-2</v>
      </c>
      <c r="K81" s="12" t="s">
        <v>29</v>
      </c>
    </row>
    <row r="82" spans="1:11" x14ac:dyDescent="0.25">
      <c r="A82" s="7">
        <v>45987</v>
      </c>
      <c r="B82" s="10" t="s">
        <v>87</v>
      </c>
      <c r="C82" s="15">
        <v>1</v>
      </c>
      <c r="D82" s="15">
        <v>3300</v>
      </c>
      <c r="E82" s="8">
        <v>3270</v>
      </c>
      <c r="F82" s="8">
        <f t="shared" si="5"/>
        <v>30</v>
      </c>
      <c r="G82" s="22">
        <f t="shared" si="6"/>
        <v>3300</v>
      </c>
      <c r="H82" s="23">
        <f t="shared" si="7"/>
        <v>3270</v>
      </c>
      <c r="I82" s="23">
        <f t="shared" si="8"/>
        <v>30</v>
      </c>
      <c r="J82" s="9">
        <f t="shared" si="9"/>
        <v>9.1743119266055051E-3</v>
      </c>
      <c r="K82" s="8" t="s">
        <v>29</v>
      </c>
    </row>
    <row r="83" spans="1:11" x14ac:dyDescent="0.25">
      <c r="A83" s="7">
        <v>45988</v>
      </c>
      <c r="B83" s="10" t="s">
        <v>26</v>
      </c>
      <c r="C83" s="15">
        <v>1</v>
      </c>
      <c r="D83" s="15">
        <v>1970</v>
      </c>
      <c r="E83" s="8">
        <v>1930</v>
      </c>
      <c r="F83" s="8">
        <f t="shared" si="5"/>
        <v>40</v>
      </c>
      <c r="G83" s="22">
        <f t="shared" si="6"/>
        <v>1970</v>
      </c>
      <c r="H83" s="23">
        <f t="shared" si="7"/>
        <v>1930</v>
      </c>
      <c r="I83" s="23">
        <f t="shared" si="8"/>
        <v>40</v>
      </c>
      <c r="J83" s="9">
        <f t="shared" si="9"/>
        <v>2.072538860103627E-2</v>
      </c>
      <c r="K83" s="8" t="s">
        <v>29</v>
      </c>
    </row>
    <row r="84" spans="1:11" x14ac:dyDescent="0.25">
      <c r="A84" s="7">
        <v>45988</v>
      </c>
      <c r="B84" s="10" t="s">
        <v>12</v>
      </c>
      <c r="C84" s="15">
        <v>1</v>
      </c>
      <c r="D84" s="15">
        <v>2600</v>
      </c>
      <c r="E84" s="8">
        <v>2580</v>
      </c>
      <c r="F84" s="8">
        <f t="shared" si="5"/>
        <v>20</v>
      </c>
      <c r="G84" s="22">
        <f t="shared" si="6"/>
        <v>2600</v>
      </c>
      <c r="H84" s="23">
        <f t="shared" si="7"/>
        <v>2580</v>
      </c>
      <c r="I84" s="23">
        <f t="shared" si="8"/>
        <v>20</v>
      </c>
      <c r="J84" s="9">
        <f t="shared" si="9"/>
        <v>7.7519379844961239E-3</v>
      </c>
      <c r="K84" s="8" t="s">
        <v>29</v>
      </c>
    </row>
    <row r="85" spans="1:11" x14ac:dyDescent="0.25">
      <c r="A85" s="7">
        <v>45988</v>
      </c>
      <c r="B85" s="10" t="s">
        <v>53</v>
      </c>
      <c r="C85" s="15">
        <v>3</v>
      </c>
      <c r="D85" s="15">
        <v>2000</v>
      </c>
      <c r="E85" s="8">
        <v>1930</v>
      </c>
      <c r="F85" s="8">
        <f t="shared" si="5"/>
        <v>70</v>
      </c>
      <c r="G85" s="22">
        <f t="shared" si="6"/>
        <v>6000</v>
      </c>
      <c r="H85" s="23">
        <f t="shared" si="7"/>
        <v>5790</v>
      </c>
      <c r="I85" s="23">
        <f t="shared" si="8"/>
        <v>210</v>
      </c>
      <c r="J85" s="9">
        <f t="shared" si="9"/>
        <v>3.6269430051813469E-2</v>
      </c>
      <c r="K85" s="8" t="s">
        <v>29</v>
      </c>
    </row>
    <row r="86" spans="1:11" x14ac:dyDescent="0.25">
      <c r="A86" s="7">
        <v>45988</v>
      </c>
      <c r="B86" s="10" t="s">
        <v>91</v>
      </c>
      <c r="C86" s="15">
        <v>2</v>
      </c>
      <c r="D86" s="15">
        <v>2100</v>
      </c>
      <c r="E86" s="8">
        <v>2000</v>
      </c>
      <c r="F86" s="8">
        <f t="shared" si="5"/>
        <v>100</v>
      </c>
      <c r="G86" s="22">
        <f t="shared" si="6"/>
        <v>4200</v>
      </c>
      <c r="H86" s="23">
        <f t="shared" si="7"/>
        <v>4000</v>
      </c>
      <c r="I86" s="23">
        <f t="shared" si="8"/>
        <v>200</v>
      </c>
      <c r="J86" s="9">
        <f t="shared" si="9"/>
        <v>0.05</v>
      </c>
      <c r="K86" s="8" t="s">
        <v>29</v>
      </c>
    </row>
    <row r="87" spans="1:11" x14ac:dyDescent="0.25">
      <c r="A87" s="7">
        <v>45988</v>
      </c>
      <c r="B87" s="10" t="s">
        <v>28</v>
      </c>
      <c r="C87" s="15">
        <v>1</v>
      </c>
      <c r="D87" s="15">
        <v>2280</v>
      </c>
      <c r="E87" s="8">
        <v>2250</v>
      </c>
      <c r="F87" s="8">
        <f t="shared" si="5"/>
        <v>30</v>
      </c>
      <c r="G87" s="22">
        <f t="shared" si="6"/>
        <v>2280</v>
      </c>
      <c r="H87" s="23">
        <f t="shared" si="7"/>
        <v>2250</v>
      </c>
      <c r="I87" s="23">
        <f t="shared" si="8"/>
        <v>30</v>
      </c>
      <c r="J87" s="9">
        <f t="shared" si="9"/>
        <v>1.3333333333333334E-2</v>
      </c>
      <c r="K87" s="8" t="s">
        <v>29</v>
      </c>
    </row>
    <row r="88" spans="1:11" x14ac:dyDescent="0.25">
      <c r="A88" s="7">
        <v>45989</v>
      </c>
      <c r="B88" s="10" t="s">
        <v>12</v>
      </c>
      <c r="C88" s="15">
        <v>2</v>
      </c>
      <c r="D88" s="15">
        <v>2730</v>
      </c>
      <c r="E88" s="8">
        <v>2670</v>
      </c>
      <c r="F88" s="8">
        <f t="shared" si="5"/>
        <v>60</v>
      </c>
      <c r="G88" s="22">
        <f t="shared" si="6"/>
        <v>5460</v>
      </c>
      <c r="H88" s="23">
        <f t="shared" si="7"/>
        <v>5340</v>
      </c>
      <c r="I88" s="23">
        <f t="shared" si="8"/>
        <v>120</v>
      </c>
      <c r="J88" s="9">
        <f t="shared" si="9"/>
        <v>2.247191011235955E-2</v>
      </c>
      <c r="K88" s="8" t="s">
        <v>29</v>
      </c>
    </row>
    <row r="89" spans="1:11" x14ac:dyDescent="0.25">
      <c r="A89" s="7">
        <v>45989</v>
      </c>
      <c r="B89" s="10" t="s">
        <v>12</v>
      </c>
      <c r="C89" s="15">
        <v>2</v>
      </c>
      <c r="D89" s="15">
        <v>2600</v>
      </c>
      <c r="E89" s="8">
        <v>2580</v>
      </c>
      <c r="F89" s="8">
        <f t="shared" si="5"/>
        <v>20</v>
      </c>
      <c r="G89" s="22">
        <f t="shared" si="6"/>
        <v>5200</v>
      </c>
      <c r="H89" s="23">
        <f t="shared" si="7"/>
        <v>5160</v>
      </c>
      <c r="I89" s="23">
        <f t="shared" si="8"/>
        <v>40</v>
      </c>
      <c r="J89" s="9">
        <f t="shared" si="9"/>
        <v>7.7519379844961239E-3</v>
      </c>
      <c r="K89" s="8" t="s">
        <v>29</v>
      </c>
    </row>
    <row r="90" spans="1:11" x14ac:dyDescent="0.25">
      <c r="A90" s="7">
        <v>45989</v>
      </c>
      <c r="B90" s="10" t="s">
        <v>26</v>
      </c>
      <c r="C90" s="15">
        <v>3</v>
      </c>
      <c r="D90" s="15">
        <v>1980</v>
      </c>
      <c r="E90" s="8">
        <v>1930</v>
      </c>
      <c r="F90" s="8">
        <f t="shared" si="5"/>
        <v>50</v>
      </c>
      <c r="G90" s="22">
        <f t="shared" si="6"/>
        <v>5940</v>
      </c>
      <c r="H90" s="23">
        <f t="shared" si="7"/>
        <v>5790</v>
      </c>
      <c r="I90" s="23">
        <f t="shared" si="8"/>
        <v>150</v>
      </c>
      <c r="J90" s="9">
        <f t="shared" si="9"/>
        <v>2.5906735751295335E-2</v>
      </c>
      <c r="K90" s="8" t="s">
        <v>29</v>
      </c>
    </row>
    <row r="91" spans="1:11" x14ac:dyDescent="0.25">
      <c r="A91" s="7">
        <v>45990</v>
      </c>
      <c r="B91" s="10" t="s">
        <v>93</v>
      </c>
      <c r="C91" s="15">
        <v>1</v>
      </c>
      <c r="D91" s="15">
        <v>1220</v>
      </c>
      <c r="E91" s="8">
        <v>1200</v>
      </c>
      <c r="F91" s="8">
        <f t="shared" si="5"/>
        <v>20</v>
      </c>
      <c r="G91" s="22">
        <f t="shared" si="6"/>
        <v>1220</v>
      </c>
      <c r="H91" s="23">
        <f t="shared" si="7"/>
        <v>1200</v>
      </c>
      <c r="I91" s="23">
        <f t="shared" si="8"/>
        <v>20</v>
      </c>
      <c r="J91" s="9">
        <f t="shared" si="9"/>
        <v>1.6666666666666666E-2</v>
      </c>
      <c r="K91" s="8" t="s">
        <v>29</v>
      </c>
    </row>
    <row r="92" spans="1:11" x14ac:dyDescent="0.25">
      <c r="A92" s="11">
        <v>45990</v>
      </c>
      <c r="B92" s="12" t="s">
        <v>94</v>
      </c>
      <c r="C92" s="12">
        <v>1</v>
      </c>
      <c r="D92" s="12">
        <v>1220</v>
      </c>
      <c r="E92" s="12">
        <v>1250</v>
      </c>
      <c r="F92" s="12">
        <f t="shared" si="5"/>
        <v>-30</v>
      </c>
      <c r="G92" s="24">
        <f t="shared" si="6"/>
        <v>1220</v>
      </c>
      <c r="H92" s="24">
        <f t="shared" si="7"/>
        <v>1250</v>
      </c>
      <c r="I92" s="24">
        <f t="shared" si="8"/>
        <v>-30</v>
      </c>
      <c r="J92" s="13">
        <f t="shared" si="9"/>
        <v>-2.4E-2</v>
      </c>
      <c r="K92" s="12" t="s">
        <v>29</v>
      </c>
    </row>
    <row r="93" spans="1:11" x14ac:dyDescent="0.25">
      <c r="A93" s="11">
        <v>45973</v>
      </c>
      <c r="B93" s="12" t="s">
        <v>26</v>
      </c>
      <c r="C93" s="12">
        <v>2</v>
      </c>
      <c r="D93" s="12">
        <v>1950</v>
      </c>
      <c r="E93" s="12">
        <v>2150</v>
      </c>
      <c r="F93" s="12">
        <f t="shared" si="5"/>
        <v>-200</v>
      </c>
      <c r="G93" s="24">
        <f t="shared" si="6"/>
        <v>3900</v>
      </c>
      <c r="H93" s="24">
        <f t="shared" si="7"/>
        <v>4300</v>
      </c>
      <c r="I93" s="24">
        <f t="shared" si="8"/>
        <v>-400</v>
      </c>
      <c r="J93" s="13">
        <f t="shared" si="9"/>
        <v>-9.3023255813953487E-2</v>
      </c>
      <c r="K93" s="12" t="s">
        <v>105</v>
      </c>
    </row>
    <row r="94" spans="1:11" x14ac:dyDescent="0.25">
      <c r="A94" s="11">
        <v>45973</v>
      </c>
      <c r="B94" s="12" t="s">
        <v>26</v>
      </c>
      <c r="C94" s="12">
        <v>3</v>
      </c>
      <c r="D94" s="12">
        <v>1950</v>
      </c>
      <c r="E94" s="12">
        <v>2150</v>
      </c>
      <c r="F94" s="12">
        <f t="shared" si="5"/>
        <v>-200</v>
      </c>
      <c r="G94" s="24">
        <f t="shared" si="6"/>
        <v>5850</v>
      </c>
      <c r="H94" s="24">
        <f t="shared" si="7"/>
        <v>6450</v>
      </c>
      <c r="I94" s="24">
        <f t="shared" si="8"/>
        <v>-600</v>
      </c>
      <c r="J94" s="13">
        <f t="shared" si="9"/>
        <v>-9.3023255813953487E-2</v>
      </c>
      <c r="K94" s="12" t="s">
        <v>105</v>
      </c>
    </row>
    <row r="95" spans="1:11" x14ac:dyDescent="0.25">
      <c r="A95" s="7">
        <v>45962</v>
      </c>
      <c r="B95" s="10" t="s">
        <v>47</v>
      </c>
      <c r="C95" s="15">
        <v>12</v>
      </c>
      <c r="D95" s="15">
        <v>345</v>
      </c>
      <c r="E95" s="8">
        <v>341.05</v>
      </c>
      <c r="F95" s="8">
        <f t="shared" si="5"/>
        <v>3.9499999999999886</v>
      </c>
      <c r="G95" s="22">
        <f t="shared" si="6"/>
        <v>4140</v>
      </c>
      <c r="H95" s="23">
        <f t="shared" si="7"/>
        <v>4092.6000000000004</v>
      </c>
      <c r="I95" s="23">
        <f t="shared" si="8"/>
        <v>47.399999999999636</v>
      </c>
      <c r="J95" s="9">
        <f t="shared" si="9"/>
        <v>1.1581879489810844E-2</v>
      </c>
      <c r="K95" s="8" t="s">
        <v>22</v>
      </c>
    </row>
    <row r="96" spans="1:11" x14ac:dyDescent="0.25">
      <c r="A96" s="7">
        <v>45962</v>
      </c>
      <c r="B96" s="10" t="s">
        <v>48</v>
      </c>
      <c r="C96" s="15">
        <v>1</v>
      </c>
      <c r="D96" s="15">
        <v>500</v>
      </c>
      <c r="E96" s="8">
        <v>457.72</v>
      </c>
      <c r="F96" s="8">
        <f t="shared" si="5"/>
        <v>42.279999999999973</v>
      </c>
      <c r="G96" s="22">
        <f t="shared" si="6"/>
        <v>500</v>
      </c>
      <c r="H96" s="23">
        <f t="shared" si="7"/>
        <v>457.72</v>
      </c>
      <c r="I96" s="23">
        <f t="shared" si="8"/>
        <v>42.279999999999973</v>
      </c>
      <c r="J96" s="9">
        <f t="shared" si="9"/>
        <v>9.2370881761775686E-2</v>
      </c>
      <c r="K96" s="8" t="s">
        <v>22</v>
      </c>
    </row>
    <row r="97" spans="1:11" x14ac:dyDescent="0.25">
      <c r="A97" s="11">
        <v>45962</v>
      </c>
      <c r="B97" s="12" t="s">
        <v>65</v>
      </c>
      <c r="C97" s="12">
        <v>1</v>
      </c>
      <c r="D97" s="12">
        <v>2940</v>
      </c>
      <c r="E97" s="12">
        <v>3051.5</v>
      </c>
      <c r="F97" s="12">
        <f t="shared" si="5"/>
        <v>-111.5</v>
      </c>
      <c r="G97" s="24">
        <f t="shared" si="6"/>
        <v>2940</v>
      </c>
      <c r="H97" s="24">
        <f t="shared" si="7"/>
        <v>3051.5</v>
      </c>
      <c r="I97" s="24">
        <f t="shared" si="8"/>
        <v>-111.5</v>
      </c>
      <c r="J97" s="13">
        <f t="shared" si="9"/>
        <v>-3.6539406849090614E-2</v>
      </c>
      <c r="K97" s="12" t="s">
        <v>22</v>
      </c>
    </row>
    <row r="98" spans="1:11" x14ac:dyDescent="0.25">
      <c r="A98" s="7">
        <v>45962</v>
      </c>
      <c r="B98" s="10" t="s">
        <v>66</v>
      </c>
      <c r="C98" s="15">
        <v>5</v>
      </c>
      <c r="D98" s="15">
        <v>1450</v>
      </c>
      <c r="E98" s="8">
        <v>1436</v>
      </c>
      <c r="F98" s="8">
        <f t="shared" si="5"/>
        <v>14</v>
      </c>
      <c r="G98" s="22">
        <f t="shared" si="6"/>
        <v>7250</v>
      </c>
      <c r="H98" s="23">
        <f t="shared" si="7"/>
        <v>7180</v>
      </c>
      <c r="I98" s="23">
        <f t="shared" si="8"/>
        <v>70</v>
      </c>
      <c r="J98" s="9">
        <f t="shared" si="9"/>
        <v>9.7493036211699167E-3</v>
      </c>
      <c r="K98" s="8" t="s">
        <v>22</v>
      </c>
    </row>
    <row r="99" spans="1:11" x14ac:dyDescent="0.25">
      <c r="A99" s="7">
        <v>45964</v>
      </c>
      <c r="B99" s="10" t="s">
        <v>67</v>
      </c>
      <c r="C99" s="15">
        <v>1</v>
      </c>
      <c r="D99" s="15">
        <v>2500</v>
      </c>
      <c r="E99" s="8">
        <v>2223</v>
      </c>
      <c r="F99" s="8">
        <f t="shared" si="5"/>
        <v>277</v>
      </c>
      <c r="G99" s="22">
        <f t="shared" si="6"/>
        <v>2500</v>
      </c>
      <c r="H99" s="23">
        <f t="shared" si="7"/>
        <v>2223</v>
      </c>
      <c r="I99" s="23">
        <f t="shared" si="8"/>
        <v>277</v>
      </c>
      <c r="J99" s="9">
        <f t="shared" si="9"/>
        <v>0.1246063877642825</v>
      </c>
      <c r="K99" s="8" t="s">
        <v>22</v>
      </c>
    </row>
    <row r="100" spans="1:11" x14ac:dyDescent="0.25">
      <c r="A100" s="7">
        <v>45964</v>
      </c>
      <c r="B100" s="8" t="s">
        <v>62</v>
      </c>
      <c r="C100" s="15">
        <v>2</v>
      </c>
      <c r="D100" s="15">
        <v>3750</v>
      </c>
      <c r="E100" s="8">
        <v>3518.2</v>
      </c>
      <c r="F100" s="8">
        <f t="shared" si="5"/>
        <v>231.80000000000018</v>
      </c>
      <c r="G100" s="22">
        <f t="shared" si="6"/>
        <v>7500</v>
      </c>
      <c r="H100" s="23">
        <f t="shared" si="7"/>
        <v>7036.4</v>
      </c>
      <c r="I100" s="23">
        <f t="shared" si="8"/>
        <v>463.60000000000036</v>
      </c>
      <c r="J100" s="9">
        <f t="shared" si="9"/>
        <v>6.5885964413620657E-2</v>
      </c>
      <c r="K100" s="8" t="s">
        <v>22</v>
      </c>
    </row>
    <row r="101" spans="1:11" x14ac:dyDescent="0.25">
      <c r="A101" s="11">
        <v>45964</v>
      </c>
      <c r="B101" s="12" t="s">
        <v>68</v>
      </c>
      <c r="C101" s="12">
        <v>1</v>
      </c>
      <c r="D101" s="12">
        <v>3850</v>
      </c>
      <c r="E101" s="12">
        <v>3877</v>
      </c>
      <c r="F101" s="12">
        <f t="shared" si="5"/>
        <v>-27</v>
      </c>
      <c r="G101" s="24">
        <f t="shared" si="6"/>
        <v>3850</v>
      </c>
      <c r="H101" s="24">
        <f t="shared" si="7"/>
        <v>3877</v>
      </c>
      <c r="I101" s="24">
        <f t="shared" si="8"/>
        <v>-27</v>
      </c>
      <c r="J101" s="13">
        <f t="shared" si="9"/>
        <v>-6.9641475367552231E-3</v>
      </c>
      <c r="K101" s="12" t="s">
        <v>22</v>
      </c>
    </row>
    <row r="102" spans="1:11" x14ac:dyDescent="0.25">
      <c r="A102" s="11">
        <v>45964</v>
      </c>
      <c r="B102" s="12" t="s">
        <v>69</v>
      </c>
      <c r="C102" s="12">
        <v>2</v>
      </c>
      <c r="D102" s="12">
        <v>3100</v>
      </c>
      <c r="E102" s="12">
        <v>3141.25</v>
      </c>
      <c r="F102" s="12">
        <f t="shared" si="5"/>
        <v>-41.25</v>
      </c>
      <c r="G102" s="24">
        <f t="shared" si="6"/>
        <v>6200</v>
      </c>
      <c r="H102" s="24">
        <f t="shared" si="7"/>
        <v>6282.5</v>
      </c>
      <c r="I102" s="24">
        <f t="shared" si="8"/>
        <v>-82.5</v>
      </c>
      <c r="J102" s="13">
        <f t="shared" si="9"/>
        <v>-1.3131715081575806E-2</v>
      </c>
      <c r="K102" s="12" t="s">
        <v>22</v>
      </c>
    </row>
    <row r="103" spans="1:11" x14ac:dyDescent="0.25">
      <c r="A103" s="7">
        <v>45964</v>
      </c>
      <c r="B103" s="10" t="s">
        <v>13</v>
      </c>
      <c r="C103" s="15">
        <v>1</v>
      </c>
      <c r="D103" s="15">
        <v>3000</v>
      </c>
      <c r="E103" s="8">
        <v>2872</v>
      </c>
      <c r="F103" s="8">
        <f t="shared" si="5"/>
        <v>128</v>
      </c>
      <c r="G103" s="22">
        <f t="shared" si="6"/>
        <v>3000</v>
      </c>
      <c r="H103" s="23">
        <f t="shared" si="7"/>
        <v>2872</v>
      </c>
      <c r="I103" s="23">
        <f t="shared" si="8"/>
        <v>128</v>
      </c>
      <c r="J103" s="9">
        <f t="shared" si="9"/>
        <v>4.456824512534819E-2</v>
      </c>
      <c r="K103" s="8" t="s">
        <v>22</v>
      </c>
    </row>
    <row r="104" spans="1:11" x14ac:dyDescent="0.25">
      <c r="A104" s="7">
        <v>45964</v>
      </c>
      <c r="B104" s="10" t="s">
        <v>69</v>
      </c>
      <c r="C104" s="15">
        <v>1</v>
      </c>
      <c r="D104" s="15">
        <v>3200</v>
      </c>
      <c r="E104" s="8">
        <v>3141.25</v>
      </c>
      <c r="F104" s="8">
        <f t="shared" si="5"/>
        <v>58.75</v>
      </c>
      <c r="G104" s="22">
        <f t="shared" si="6"/>
        <v>3200</v>
      </c>
      <c r="H104" s="23">
        <f t="shared" si="7"/>
        <v>3141.25</v>
      </c>
      <c r="I104" s="23">
        <f t="shared" si="8"/>
        <v>58.75</v>
      </c>
      <c r="J104" s="9">
        <f t="shared" si="9"/>
        <v>1.870274572224433E-2</v>
      </c>
      <c r="K104" s="8" t="s">
        <v>22</v>
      </c>
    </row>
    <row r="105" spans="1:11" x14ac:dyDescent="0.25">
      <c r="A105" s="7">
        <v>45964</v>
      </c>
      <c r="B105" s="10" t="s">
        <v>27</v>
      </c>
      <c r="C105" s="15">
        <v>4</v>
      </c>
      <c r="D105" s="15">
        <v>2140</v>
      </c>
      <c r="E105" s="8">
        <v>2064.33</v>
      </c>
      <c r="F105" s="8">
        <f t="shared" si="5"/>
        <v>75.670000000000073</v>
      </c>
      <c r="G105" s="22">
        <f t="shared" si="6"/>
        <v>8560</v>
      </c>
      <c r="H105" s="23">
        <f t="shared" si="7"/>
        <v>8257.32</v>
      </c>
      <c r="I105" s="23">
        <f t="shared" si="8"/>
        <v>302.68000000000029</v>
      </c>
      <c r="J105" s="9">
        <f t="shared" si="9"/>
        <v>3.6655961013985203E-2</v>
      </c>
      <c r="K105" s="8" t="s">
        <v>22</v>
      </c>
    </row>
    <row r="106" spans="1:11" x14ac:dyDescent="0.25">
      <c r="A106" s="7">
        <v>45964</v>
      </c>
      <c r="B106" s="10" t="s">
        <v>13</v>
      </c>
      <c r="C106" s="15">
        <v>1</v>
      </c>
      <c r="D106" s="15">
        <v>2950</v>
      </c>
      <c r="E106" s="8">
        <v>2872</v>
      </c>
      <c r="F106" s="8">
        <f t="shared" si="5"/>
        <v>78</v>
      </c>
      <c r="G106" s="22">
        <f t="shared" si="6"/>
        <v>2950</v>
      </c>
      <c r="H106" s="23">
        <f t="shared" si="7"/>
        <v>2872</v>
      </c>
      <c r="I106" s="23">
        <f t="shared" si="8"/>
        <v>78</v>
      </c>
      <c r="J106" s="9">
        <f t="shared" si="9"/>
        <v>2.7158774373259052E-2</v>
      </c>
      <c r="K106" s="8" t="s">
        <v>22</v>
      </c>
    </row>
    <row r="107" spans="1:11" x14ac:dyDescent="0.25">
      <c r="A107" s="7">
        <v>45964</v>
      </c>
      <c r="B107" s="10" t="s">
        <v>30</v>
      </c>
      <c r="C107" s="15">
        <v>1</v>
      </c>
      <c r="D107" s="15">
        <v>2640</v>
      </c>
      <c r="E107" s="8">
        <v>2603</v>
      </c>
      <c r="F107" s="8">
        <f t="shared" si="5"/>
        <v>37</v>
      </c>
      <c r="G107" s="22">
        <f t="shared" si="6"/>
        <v>2640</v>
      </c>
      <c r="H107" s="23">
        <f t="shared" si="7"/>
        <v>2603</v>
      </c>
      <c r="I107" s="23">
        <f t="shared" si="8"/>
        <v>37</v>
      </c>
      <c r="J107" s="9">
        <f t="shared" si="9"/>
        <v>1.4214368036880523E-2</v>
      </c>
      <c r="K107" s="8" t="s">
        <v>22</v>
      </c>
    </row>
    <row r="108" spans="1:11" x14ac:dyDescent="0.25">
      <c r="A108" s="7">
        <v>45965</v>
      </c>
      <c r="B108" s="10" t="s">
        <v>24</v>
      </c>
      <c r="C108" s="15">
        <v>13</v>
      </c>
      <c r="D108" s="15">
        <v>862</v>
      </c>
      <c r="E108" s="8">
        <v>825.7</v>
      </c>
      <c r="F108" s="8">
        <f t="shared" si="5"/>
        <v>36.299999999999955</v>
      </c>
      <c r="G108" s="22">
        <f t="shared" si="6"/>
        <v>11206</v>
      </c>
      <c r="H108" s="23">
        <f t="shared" si="7"/>
        <v>10734.1</v>
      </c>
      <c r="I108" s="23">
        <f t="shared" si="8"/>
        <v>471.89999999999964</v>
      </c>
      <c r="J108" s="9">
        <f t="shared" si="9"/>
        <v>4.3962698316579812E-2</v>
      </c>
      <c r="K108" s="8" t="s">
        <v>22</v>
      </c>
    </row>
    <row r="109" spans="1:11" x14ac:dyDescent="0.25">
      <c r="A109" s="7">
        <v>45965</v>
      </c>
      <c r="B109" s="10" t="s">
        <v>12</v>
      </c>
      <c r="C109" s="15">
        <v>5</v>
      </c>
      <c r="D109" s="15">
        <v>2725</v>
      </c>
      <c r="E109" s="8">
        <v>2620.6999999999998</v>
      </c>
      <c r="F109" s="8">
        <f t="shared" si="5"/>
        <v>104.30000000000018</v>
      </c>
      <c r="G109" s="22">
        <f t="shared" si="6"/>
        <v>13625</v>
      </c>
      <c r="H109" s="23">
        <f t="shared" si="7"/>
        <v>13103.5</v>
      </c>
      <c r="I109" s="23">
        <f t="shared" si="8"/>
        <v>521.5</v>
      </c>
      <c r="J109" s="9">
        <f t="shared" si="9"/>
        <v>3.9798527111077266E-2</v>
      </c>
      <c r="K109" s="8" t="s">
        <v>22</v>
      </c>
    </row>
    <row r="110" spans="1:11" x14ac:dyDescent="0.25">
      <c r="A110" s="7">
        <v>45965</v>
      </c>
      <c r="B110" s="10" t="s">
        <v>71</v>
      </c>
      <c r="C110" s="15">
        <v>1</v>
      </c>
      <c r="D110" s="15">
        <v>10650</v>
      </c>
      <c r="E110" s="8">
        <v>9944</v>
      </c>
      <c r="F110" s="8">
        <f t="shared" si="5"/>
        <v>706</v>
      </c>
      <c r="G110" s="22">
        <f t="shared" si="6"/>
        <v>10650</v>
      </c>
      <c r="H110" s="23">
        <f t="shared" si="7"/>
        <v>9944</v>
      </c>
      <c r="I110" s="23">
        <f t="shared" si="8"/>
        <v>706</v>
      </c>
      <c r="J110" s="9">
        <f t="shared" si="9"/>
        <v>7.0997586484312147E-2</v>
      </c>
      <c r="K110" s="8" t="s">
        <v>22</v>
      </c>
    </row>
    <row r="111" spans="1:11" x14ac:dyDescent="0.25">
      <c r="A111" s="7">
        <v>45966</v>
      </c>
      <c r="B111" s="10" t="s">
        <v>55</v>
      </c>
      <c r="C111" s="15">
        <v>1</v>
      </c>
      <c r="D111" s="15">
        <v>4600</v>
      </c>
      <c r="E111" s="8">
        <v>4129</v>
      </c>
      <c r="F111" s="8">
        <f t="shared" si="5"/>
        <v>471</v>
      </c>
      <c r="G111" s="22">
        <f t="shared" si="6"/>
        <v>4600</v>
      </c>
      <c r="H111" s="23">
        <f t="shared" si="7"/>
        <v>4129</v>
      </c>
      <c r="I111" s="23">
        <f t="shared" si="8"/>
        <v>471</v>
      </c>
      <c r="J111" s="9">
        <f t="shared" si="9"/>
        <v>0.11407120368127877</v>
      </c>
      <c r="K111" s="8" t="s">
        <v>22</v>
      </c>
    </row>
    <row r="112" spans="1:11" x14ac:dyDescent="0.25">
      <c r="A112" s="7">
        <v>45966</v>
      </c>
      <c r="B112" s="10" t="s">
        <v>55</v>
      </c>
      <c r="C112" s="15">
        <v>1</v>
      </c>
      <c r="D112" s="15">
        <v>4600</v>
      </c>
      <c r="E112" s="8">
        <v>4308</v>
      </c>
      <c r="F112" s="8">
        <f t="shared" si="5"/>
        <v>292</v>
      </c>
      <c r="G112" s="22">
        <f t="shared" si="6"/>
        <v>4600</v>
      </c>
      <c r="H112" s="23">
        <f t="shared" si="7"/>
        <v>4308</v>
      </c>
      <c r="I112" s="23">
        <f t="shared" si="8"/>
        <v>292</v>
      </c>
      <c r="J112" s="9">
        <f t="shared" si="9"/>
        <v>6.778087279480037E-2</v>
      </c>
      <c r="K112" s="8" t="s">
        <v>22</v>
      </c>
    </row>
    <row r="113" spans="1:11" x14ac:dyDescent="0.25">
      <c r="A113" s="7">
        <v>45967</v>
      </c>
      <c r="B113" s="10" t="s">
        <v>59</v>
      </c>
      <c r="C113" s="15">
        <v>2</v>
      </c>
      <c r="D113" s="15">
        <v>1170</v>
      </c>
      <c r="E113" s="8">
        <v>1005.2</v>
      </c>
      <c r="F113" s="8">
        <f t="shared" si="5"/>
        <v>164.79999999999995</v>
      </c>
      <c r="G113" s="22">
        <f t="shared" si="6"/>
        <v>2340</v>
      </c>
      <c r="H113" s="23">
        <f t="shared" si="7"/>
        <v>2010.4</v>
      </c>
      <c r="I113" s="23">
        <f t="shared" si="8"/>
        <v>329.59999999999991</v>
      </c>
      <c r="J113" s="9">
        <f t="shared" si="9"/>
        <v>0.16394747313967364</v>
      </c>
      <c r="K113" s="8" t="s">
        <v>22</v>
      </c>
    </row>
    <row r="114" spans="1:11" x14ac:dyDescent="0.25">
      <c r="A114" s="16">
        <v>45967</v>
      </c>
      <c r="B114" s="17" t="s">
        <v>59</v>
      </c>
      <c r="C114" s="17">
        <v>1</v>
      </c>
      <c r="D114" s="17">
        <v>1170</v>
      </c>
      <c r="E114" s="17">
        <v>1005.2</v>
      </c>
      <c r="F114" s="17">
        <f t="shared" si="5"/>
        <v>164.79999999999995</v>
      </c>
      <c r="G114" s="25">
        <f t="shared" si="6"/>
        <v>1170</v>
      </c>
      <c r="H114" s="25">
        <f t="shared" si="7"/>
        <v>1005.2</v>
      </c>
      <c r="I114" s="25">
        <f t="shared" si="8"/>
        <v>164.79999999999995</v>
      </c>
      <c r="J114" s="18">
        <f t="shared" si="9"/>
        <v>0.16394747313967364</v>
      </c>
      <c r="K114" s="17" t="s">
        <v>22</v>
      </c>
    </row>
    <row r="115" spans="1:11" x14ac:dyDescent="0.25">
      <c r="A115" s="7">
        <v>45967</v>
      </c>
      <c r="B115" s="10" t="s">
        <v>76</v>
      </c>
      <c r="C115" s="15">
        <v>4</v>
      </c>
      <c r="D115" s="15">
        <v>950</v>
      </c>
      <c r="E115" s="8">
        <v>788.7</v>
      </c>
      <c r="F115" s="8">
        <f t="shared" si="5"/>
        <v>161.29999999999995</v>
      </c>
      <c r="G115" s="22">
        <f t="shared" si="6"/>
        <v>3800</v>
      </c>
      <c r="H115" s="23">
        <f t="shared" si="7"/>
        <v>3154.8</v>
      </c>
      <c r="I115" s="23">
        <f t="shared" si="8"/>
        <v>645.19999999999982</v>
      </c>
      <c r="J115" s="9">
        <f t="shared" si="9"/>
        <v>0.20451375681501197</v>
      </c>
      <c r="K115" s="8" t="s">
        <v>22</v>
      </c>
    </row>
    <row r="116" spans="1:11" x14ac:dyDescent="0.25">
      <c r="A116" s="7">
        <v>45967</v>
      </c>
      <c r="B116" s="10" t="s">
        <v>76</v>
      </c>
      <c r="C116" s="15">
        <v>2</v>
      </c>
      <c r="D116" s="15">
        <v>950</v>
      </c>
      <c r="E116" s="8">
        <v>807.75</v>
      </c>
      <c r="F116" s="8">
        <f t="shared" si="5"/>
        <v>142.25</v>
      </c>
      <c r="G116" s="22">
        <f t="shared" si="6"/>
        <v>1900</v>
      </c>
      <c r="H116" s="23">
        <f t="shared" si="7"/>
        <v>1615.5</v>
      </c>
      <c r="I116" s="23">
        <f t="shared" si="8"/>
        <v>284.5</v>
      </c>
      <c r="J116" s="9">
        <f t="shared" si="9"/>
        <v>0.17610646858557721</v>
      </c>
      <c r="K116" s="8" t="s">
        <v>22</v>
      </c>
    </row>
    <row r="117" spans="1:11" x14ac:dyDescent="0.25">
      <c r="A117" s="7">
        <v>45967</v>
      </c>
      <c r="B117" s="10" t="s">
        <v>16</v>
      </c>
      <c r="C117" s="15">
        <v>11</v>
      </c>
      <c r="D117" s="15">
        <v>1735</v>
      </c>
      <c r="E117" s="8">
        <v>1525.75</v>
      </c>
      <c r="F117" s="8">
        <f t="shared" si="5"/>
        <v>209.25</v>
      </c>
      <c r="G117" s="22">
        <f t="shared" si="6"/>
        <v>19085</v>
      </c>
      <c r="H117" s="23">
        <f t="shared" si="7"/>
        <v>16783.25</v>
      </c>
      <c r="I117" s="23">
        <f t="shared" si="8"/>
        <v>2301.75</v>
      </c>
      <c r="J117" s="9">
        <f t="shared" si="9"/>
        <v>0.13714566606586925</v>
      </c>
      <c r="K117" s="8" t="s">
        <v>22</v>
      </c>
    </row>
    <row r="118" spans="1:11" x14ac:dyDescent="0.25">
      <c r="A118" s="7">
        <v>45967</v>
      </c>
      <c r="B118" s="10" t="s">
        <v>16</v>
      </c>
      <c r="C118" s="15">
        <v>7</v>
      </c>
      <c r="D118" s="15">
        <v>1760</v>
      </c>
      <c r="E118" s="8">
        <v>1525.75</v>
      </c>
      <c r="F118" s="8">
        <f t="shared" si="5"/>
        <v>234.25</v>
      </c>
      <c r="G118" s="22">
        <f t="shared" si="6"/>
        <v>12320</v>
      </c>
      <c r="H118" s="23">
        <f t="shared" si="7"/>
        <v>10680.25</v>
      </c>
      <c r="I118" s="23">
        <f t="shared" si="8"/>
        <v>1639.75</v>
      </c>
      <c r="J118" s="9">
        <f t="shared" si="9"/>
        <v>0.15353105030312961</v>
      </c>
      <c r="K118" s="8" t="s">
        <v>22</v>
      </c>
    </row>
    <row r="119" spans="1:11" x14ac:dyDescent="0.25">
      <c r="A119" s="7">
        <v>45967</v>
      </c>
      <c r="B119" s="8" t="s">
        <v>11</v>
      </c>
      <c r="C119" s="15">
        <v>3</v>
      </c>
      <c r="D119" s="15">
        <v>3600</v>
      </c>
      <c r="E119" s="8">
        <v>3374.6</v>
      </c>
      <c r="F119" s="8">
        <f t="shared" si="5"/>
        <v>225.40000000000009</v>
      </c>
      <c r="G119" s="22">
        <f t="shared" si="6"/>
        <v>10800</v>
      </c>
      <c r="H119" s="23">
        <f t="shared" si="7"/>
        <v>10123.799999999999</v>
      </c>
      <c r="I119" s="23">
        <f t="shared" si="8"/>
        <v>676.20000000000073</v>
      </c>
      <c r="J119" s="9">
        <f t="shared" si="9"/>
        <v>6.6793101404610949E-2</v>
      </c>
      <c r="K119" s="8" t="s">
        <v>22</v>
      </c>
    </row>
    <row r="120" spans="1:11" x14ac:dyDescent="0.25">
      <c r="A120" s="11">
        <v>45967</v>
      </c>
      <c r="B120" s="12" t="s">
        <v>78</v>
      </c>
      <c r="C120" s="12">
        <v>1</v>
      </c>
      <c r="D120" s="12">
        <v>2250</v>
      </c>
      <c r="E120" s="12">
        <v>2334</v>
      </c>
      <c r="F120" s="12">
        <f t="shared" si="5"/>
        <v>-84</v>
      </c>
      <c r="G120" s="24">
        <f t="shared" si="6"/>
        <v>2250</v>
      </c>
      <c r="H120" s="24">
        <f t="shared" si="7"/>
        <v>2334</v>
      </c>
      <c r="I120" s="24">
        <f t="shared" si="8"/>
        <v>-84</v>
      </c>
      <c r="J120" s="13">
        <f t="shared" si="9"/>
        <v>-3.5989717223650387E-2</v>
      </c>
      <c r="K120" s="12" t="s">
        <v>22</v>
      </c>
    </row>
    <row r="121" spans="1:11" x14ac:dyDescent="0.25">
      <c r="A121" s="7">
        <v>45969</v>
      </c>
      <c r="B121" s="10" t="s">
        <v>24</v>
      </c>
      <c r="C121" s="15">
        <v>35</v>
      </c>
      <c r="D121" s="15">
        <v>830</v>
      </c>
      <c r="E121" s="8">
        <v>807.74</v>
      </c>
      <c r="F121" s="8">
        <f t="shared" si="5"/>
        <v>22.259999999999991</v>
      </c>
      <c r="G121" s="22">
        <f t="shared" si="6"/>
        <v>29050</v>
      </c>
      <c r="H121" s="23">
        <f t="shared" si="7"/>
        <v>28270.9</v>
      </c>
      <c r="I121" s="23">
        <f t="shared" si="8"/>
        <v>779.09999999999854</v>
      </c>
      <c r="J121" s="9">
        <f t="shared" si="9"/>
        <v>2.7558372743704648E-2</v>
      </c>
      <c r="K121" s="8" t="s">
        <v>22</v>
      </c>
    </row>
    <row r="122" spans="1:11" x14ac:dyDescent="0.25">
      <c r="A122" s="7">
        <v>45969</v>
      </c>
      <c r="B122" s="10" t="s">
        <v>12</v>
      </c>
      <c r="C122" s="15">
        <v>1</v>
      </c>
      <c r="D122" s="15">
        <v>2725</v>
      </c>
      <c r="E122" s="8">
        <v>2620.6999999999998</v>
      </c>
      <c r="F122" s="8">
        <f t="shared" si="5"/>
        <v>104.30000000000018</v>
      </c>
      <c r="G122" s="22">
        <f t="shared" si="6"/>
        <v>2725</v>
      </c>
      <c r="H122" s="23">
        <f t="shared" si="7"/>
        <v>2620.6999999999998</v>
      </c>
      <c r="I122" s="23">
        <f t="shared" si="8"/>
        <v>104.30000000000018</v>
      </c>
      <c r="J122" s="9">
        <f t="shared" si="9"/>
        <v>3.9798527111077266E-2</v>
      </c>
      <c r="K122" s="8" t="s">
        <v>22</v>
      </c>
    </row>
    <row r="123" spans="1:11" x14ac:dyDescent="0.25">
      <c r="A123" s="7">
        <v>45969</v>
      </c>
      <c r="B123" s="10" t="s">
        <v>12</v>
      </c>
      <c r="C123" s="15">
        <v>1</v>
      </c>
      <c r="D123" s="15">
        <v>2840</v>
      </c>
      <c r="E123" s="8">
        <v>2656.6</v>
      </c>
      <c r="F123" s="8">
        <f t="shared" si="5"/>
        <v>183.40000000000009</v>
      </c>
      <c r="G123" s="22">
        <f t="shared" si="6"/>
        <v>2840</v>
      </c>
      <c r="H123" s="23">
        <f t="shared" si="7"/>
        <v>2656.6</v>
      </c>
      <c r="I123" s="23">
        <f t="shared" si="8"/>
        <v>183.40000000000009</v>
      </c>
      <c r="J123" s="9">
        <f t="shared" si="9"/>
        <v>6.9035609425581609E-2</v>
      </c>
      <c r="K123" s="8" t="s">
        <v>22</v>
      </c>
    </row>
    <row r="124" spans="1:11" x14ac:dyDescent="0.25">
      <c r="A124" s="7">
        <v>45969</v>
      </c>
      <c r="B124" s="10" t="s">
        <v>21</v>
      </c>
      <c r="C124" s="15">
        <v>2</v>
      </c>
      <c r="D124" s="15">
        <v>2720</v>
      </c>
      <c r="E124" s="8">
        <v>2513</v>
      </c>
      <c r="F124" s="8">
        <f t="shared" si="5"/>
        <v>207</v>
      </c>
      <c r="G124" s="22">
        <f t="shared" si="6"/>
        <v>5440</v>
      </c>
      <c r="H124" s="23">
        <f t="shared" si="7"/>
        <v>5026</v>
      </c>
      <c r="I124" s="23">
        <f t="shared" si="8"/>
        <v>414</v>
      </c>
      <c r="J124" s="9">
        <f t="shared" si="9"/>
        <v>8.2371667329884601E-2</v>
      </c>
      <c r="K124" s="8" t="s">
        <v>22</v>
      </c>
    </row>
    <row r="125" spans="1:11" x14ac:dyDescent="0.25">
      <c r="A125" s="7">
        <v>45969</v>
      </c>
      <c r="B125" s="10" t="s">
        <v>12</v>
      </c>
      <c r="C125" s="15">
        <v>3</v>
      </c>
      <c r="D125" s="15">
        <v>2700</v>
      </c>
      <c r="E125" s="8">
        <v>2656.6</v>
      </c>
      <c r="F125" s="8">
        <f t="shared" si="5"/>
        <v>43.400000000000091</v>
      </c>
      <c r="G125" s="22">
        <f t="shared" si="6"/>
        <v>8100</v>
      </c>
      <c r="H125" s="23">
        <f t="shared" si="7"/>
        <v>7969.7999999999993</v>
      </c>
      <c r="I125" s="23">
        <f t="shared" si="8"/>
        <v>130.20000000000073</v>
      </c>
      <c r="J125" s="9">
        <f t="shared" si="9"/>
        <v>1.6336670932771247E-2</v>
      </c>
      <c r="K125" s="8" t="s">
        <v>22</v>
      </c>
    </row>
    <row r="126" spans="1:11" x14ac:dyDescent="0.25">
      <c r="A126" s="7">
        <v>45970</v>
      </c>
      <c r="B126" s="8" t="s">
        <v>11</v>
      </c>
      <c r="C126" s="15">
        <v>8</v>
      </c>
      <c r="D126" s="15">
        <v>3740</v>
      </c>
      <c r="E126" s="8">
        <v>3482.3</v>
      </c>
      <c r="F126" s="8">
        <f t="shared" si="5"/>
        <v>257.69999999999982</v>
      </c>
      <c r="G126" s="22">
        <f t="shared" si="6"/>
        <v>29920</v>
      </c>
      <c r="H126" s="23">
        <f t="shared" si="7"/>
        <v>27858.400000000001</v>
      </c>
      <c r="I126" s="23">
        <f t="shared" si="8"/>
        <v>2061.5999999999985</v>
      </c>
      <c r="J126" s="9">
        <f t="shared" si="9"/>
        <v>7.4002814231973066E-2</v>
      </c>
      <c r="K126" s="8" t="s">
        <v>22</v>
      </c>
    </row>
    <row r="127" spans="1:11" x14ac:dyDescent="0.25">
      <c r="A127" s="7">
        <v>45971</v>
      </c>
      <c r="B127" s="8" t="s">
        <v>11</v>
      </c>
      <c r="C127" s="8">
        <v>5</v>
      </c>
      <c r="D127" s="8">
        <v>3745</v>
      </c>
      <c r="E127" s="8">
        <v>3482.3</v>
      </c>
      <c r="F127" s="8">
        <f t="shared" si="5"/>
        <v>262.69999999999982</v>
      </c>
      <c r="G127" s="22">
        <f t="shared" si="6"/>
        <v>18725</v>
      </c>
      <c r="H127" s="23">
        <f t="shared" si="7"/>
        <v>17411.5</v>
      </c>
      <c r="I127" s="23">
        <f t="shared" si="8"/>
        <v>1313.5</v>
      </c>
      <c r="J127" s="9">
        <f t="shared" si="9"/>
        <v>7.5438646871320625E-2</v>
      </c>
      <c r="K127" s="8" t="s">
        <v>22</v>
      </c>
    </row>
    <row r="128" spans="1:11" x14ac:dyDescent="0.25">
      <c r="A128" s="7">
        <v>45971</v>
      </c>
      <c r="B128" s="8" t="s">
        <v>11</v>
      </c>
      <c r="C128" s="8">
        <v>1</v>
      </c>
      <c r="D128" s="8">
        <v>3750</v>
      </c>
      <c r="E128" s="8">
        <v>3482.3</v>
      </c>
      <c r="F128" s="8">
        <f t="shared" si="5"/>
        <v>267.69999999999982</v>
      </c>
      <c r="G128" s="22">
        <f t="shared" si="6"/>
        <v>3750</v>
      </c>
      <c r="H128" s="23">
        <f t="shared" si="7"/>
        <v>3482.3</v>
      </c>
      <c r="I128" s="23">
        <f t="shared" si="8"/>
        <v>267.69999999999982</v>
      </c>
      <c r="J128" s="9">
        <f t="shared" si="9"/>
        <v>7.6874479510668184E-2</v>
      </c>
      <c r="K128" s="8" t="s">
        <v>22</v>
      </c>
    </row>
    <row r="129" spans="1:11" x14ac:dyDescent="0.25">
      <c r="A129" s="7">
        <v>45971</v>
      </c>
      <c r="B129" s="8" t="s">
        <v>11</v>
      </c>
      <c r="C129" s="8">
        <v>2</v>
      </c>
      <c r="D129" s="8">
        <v>3710</v>
      </c>
      <c r="E129" s="8">
        <v>3482.3</v>
      </c>
      <c r="F129" s="8">
        <f t="shared" si="5"/>
        <v>227.69999999999982</v>
      </c>
      <c r="G129" s="22">
        <f t="shared" si="6"/>
        <v>7420</v>
      </c>
      <c r="H129" s="23">
        <f t="shared" si="7"/>
        <v>6964.6</v>
      </c>
      <c r="I129" s="23">
        <f t="shared" si="8"/>
        <v>455.39999999999964</v>
      </c>
      <c r="J129" s="9">
        <f t="shared" si="9"/>
        <v>6.5387818395887726E-2</v>
      </c>
      <c r="K129" s="8" t="s">
        <v>22</v>
      </c>
    </row>
    <row r="130" spans="1:11" x14ac:dyDescent="0.25">
      <c r="A130" s="7">
        <v>45971</v>
      </c>
      <c r="B130" s="8" t="s">
        <v>11</v>
      </c>
      <c r="C130" s="8">
        <v>1</v>
      </c>
      <c r="D130" s="8">
        <v>3750</v>
      </c>
      <c r="E130" s="8">
        <v>3482.3</v>
      </c>
      <c r="F130" s="8">
        <f t="shared" ref="F130:F193" si="10">D130-E130</f>
        <v>267.69999999999982</v>
      </c>
      <c r="G130" s="22">
        <f t="shared" ref="G130:G193" si="11">D130*C130</f>
        <v>3750</v>
      </c>
      <c r="H130" s="23">
        <f t="shared" ref="H130:H193" si="12">E130*C130</f>
        <v>3482.3</v>
      </c>
      <c r="I130" s="23">
        <f t="shared" ref="I130:I193" si="13">G130-H130</f>
        <v>267.69999999999982</v>
      </c>
      <c r="J130" s="9">
        <f t="shared" ref="J130:J193" si="14">(D130-E130)/E130</f>
        <v>7.6874479510668184E-2</v>
      </c>
      <c r="K130" s="8" t="s">
        <v>22</v>
      </c>
    </row>
    <row r="131" spans="1:11" x14ac:dyDescent="0.25">
      <c r="A131" s="7">
        <v>45971</v>
      </c>
      <c r="B131" s="8" t="s">
        <v>12</v>
      </c>
      <c r="C131" s="8">
        <v>1</v>
      </c>
      <c r="D131" s="8">
        <v>2800</v>
      </c>
      <c r="E131" s="8">
        <v>2656.6</v>
      </c>
      <c r="F131" s="8">
        <f t="shared" si="10"/>
        <v>143.40000000000009</v>
      </c>
      <c r="G131" s="22">
        <f t="shared" si="11"/>
        <v>2800</v>
      </c>
      <c r="H131" s="23">
        <f t="shared" si="12"/>
        <v>2656.6</v>
      </c>
      <c r="I131" s="23">
        <f t="shared" si="13"/>
        <v>143.40000000000009</v>
      </c>
      <c r="J131" s="9">
        <f t="shared" si="14"/>
        <v>5.3978769856207219E-2</v>
      </c>
      <c r="K131" s="8" t="s">
        <v>22</v>
      </c>
    </row>
    <row r="132" spans="1:11" x14ac:dyDescent="0.25">
      <c r="A132" s="7">
        <v>45971</v>
      </c>
      <c r="B132" s="8" t="s">
        <v>14</v>
      </c>
      <c r="C132" s="8">
        <v>1</v>
      </c>
      <c r="D132" s="8">
        <v>359</v>
      </c>
      <c r="E132" s="8">
        <v>359</v>
      </c>
      <c r="F132" s="8">
        <f t="shared" si="10"/>
        <v>0</v>
      </c>
      <c r="G132" s="22">
        <f t="shared" si="11"/>
        <v>359</v>
      </c>
      <c r="H132" s="23">
        <f t="shared" si="12"/>
        <v>359</v>
      </c>
      <c r="I132" s="23">
        <f t="shared" si="13"/>
        <v>0</v>
      </c>
      <c r="J132" s="9">
        <f t="shared" si="14"/>
        <v>0</v>
      </c>
      <c r="K132" s="8" t="s">
        <v>22</v>
      </c>
    </row>
    <row r="133" spans="1:11" x14ac:dyDescent="0.25">
      <c r="A133" s="7">
        <v>45971</v>
      </c>
      <c r="B133" s="8" t="s">
        <v>16</v>
      </c>
      <c r="C133" s="8">
        <v>2</v>
      </c>
      <c r="D133" s="8">
        <v>1735</v>
      </c>
      <c r="E133" s="8">
        <v>1525.66</v>
      </c>
      <c r="F133" s="8">
        <f t="shared" si="10"/>
        <v>209.33999999999992</v>
      </c>
      <c r="G133" s="22">
        <f t="shared" si="11"/>
        <v>3470</v>
      </c>
      <c r="H133" s="23">
        <f t="shared" si="12"/>
        <v>3051.32</v>
      </c>
      <c r="I133" s="23">
        <f t="shared" si="13"/>
        <v>418.67999999999984</v>
      </c>
      <c r="J133" s="9">
        <f t="shared" si="14"/>
        <v>0.13721274727003388</v>
      </c>
      <c r="K133" s="8" t="s">
        <v>22</v>
      </c>
    </row>
    <row r="134" spans="1:11" x14ac:dyDescent="0.25">
      <c r="A134" s="7">
        <v>45971</v>
      </c>
      <c r="B134" s="8" t="s">
        <v>17</v>
      </c>
      <c r="C134" s="8">
        <v>5</v>
      </c>
      <c r="D134" s="8">
        <v>1650</v>
      </c>
      <c r="E134" s="8">
        <v>1471.9</v>
      </c>
      <c r="F134" s="8">
        <f t="shared" si="10"/>
        <v>178.09999999999991</v>
      </c>
      <c r="G134" s="22">
        <f t="shared" si="11"/>
        <v>8250</v>
      </c>
      <c r="H134" s="23">
        <f t="shared" si="12"/>
        <v>7359.5</v>
      </c>
      <c r="I134" s="23">
        <f t="shared" si="13"/>
        <v>890.5</v>
      </c>
      <c r="J134" s="9">
        <f t="shared" si="14"/>
        <v>0.12100006793939799</v>
      </c>
      <c r="K134" s="8" t="s">
        <v>22</v>
      </c>
    </row>
    <row r="135" spans="1:11" x14ac:dyDescent="0.25">
      <c r="A135" s="7">
        <v>45971</v>
      </c>
      <c r="B135" s="8" t="s">
        <v>16</v>
      </c>
      <c r="C135" s="8">
        <v>1</v>
      </c>
      <c r="D135" s="8">
        <v>1760</v>
      </c>
      <c r="E135" s="8">
        <v>1525.66</v>
      </c>
      <c r="F135" s="8">
        <f t="shared" si="10"/>
        <v>234.33999999999992</v>
      </c>
      <c r="G135" s="22">
        <f t="shared" si="11"/>
        <v>1760</v>
      </c>
      <c r="H135" s="23">
        <f t="shared" si="12"/>
        <v>1525.66</v>
      </c>
      <c r="I135" s="23">
        <f t="shared" si="13"/>
        <v>234.33999999999992</v>
      </c>
      <c r="J135" s="9">
        <f t="shared" si="14"/>
        <v>0.15359909809525052</v>
      </c>
      <c r="K135" s="8" t="s">
        <v>22</v>
      </c>
    </row>
    <row r="136" spans="1:11" x14ac:dyDescent="0.25">
      <c r="A136" s="7">
        <v>45971</v>
      </c>
      <c r="B136" s="8" t="s">
        <v>18</v>
      </c>
      <c r="C136" s="8">
        <v>3</v>
      </c>
      <c r="D136" s="8">
        <v>3880</v>
      </c>
      <c r="E136" s="8">
        <v>3590</v>
      </c>
      <c r="F136" s="8">
        <f t="shared" si="10"/>
        <v>290</v>
      </c>
      <c r="G136" s="22">
        <f t="shared" si="11"/>
        <v>11640</v>
      </c>
      <c r="H136" s="23">
        <f t="shared" si="12"/>
        <v>10770</v>
      </c>
      <c r="I136" s="23">
        <f t="shared" si="13"/>
        <v>870</v>
      </c>
      <c r="J136" s="9">
        <f t="shared" si="14"/>
        <v>8.0779944289693595E-2</v>
      </c>
      <c r="K136" s="8" t="s">
        <v>22</v>
      </c>
    </row>
    <row r="137" spans="1:11" x14ac:dyDescent="0.25">
      <c r="A137" s="7">
        <v>45971</v>
      </c>
      <c r="B137" s="8" t="s">
        <v>18</v>
      </c>
      <c r="C137" s="8">
        <v>1</v>
      </c>
      <c r="D137" s="8">
        <v>3600</v>
      </c>
      <c r="E137" s="8">
        <v>3590</v>
      </c>
      <c r="F137" s="8">
        <f t="shared" si="10"/>
        <v>10</v>
      </c>
      <c r="G137" s="22">
        <f t="shared" si="11"/>
        <v>3600</v>
      </c>
      <c r="H137" s="23">
        <f t="shared" si="12"/>
        <v>3590</v>
      </c>
      <c r="I137" s="23">
        <f t="shared" si="13"/>
        <v>10</v>
      </c>
      <c r="J137" s="9">
        <f t="shared" si="14"/>
        <v>2.7855153203342618E-3</v>
      </c>
      <c r="K137" s="8" t="s">
        <v>22</v>
      </c>
    </row>
    <row r="138" spans="1:11" x14ac:dyDescent="0.25">
      <c r="A138" s="11">
        <v>45971</v>
      </c>
      <c r="B138" s="12" t="s">
        <v>21</v>
      </c>
      <c r="C138" s="12">
        <v>7</v>
      </c>
      <c r="D138" s="12">
        <v>2490</v>
      </c>
      <c r="E138" s="12">
        <v>2513</v>
      </c>
      <c r="F138" s="12">
        <f t="shared" si="10"/>
        <v>-23</v>
      </c>
      <c r="G138" s="24">
        <f t="shared" si="11"/>
        <v>17430</v>
      </c>
      <c r="H138" s="24">
        <f t="shared" si="12"/>
        <v>17591</v>
      </c>
      <c r="I138" s="24">
        <f t="shared" si="13"/>
        <v>-161</v>
      </c>
      <c r="J138" s="13">
        <f t="shared" si="14"/>
        <v>-9.1524074810982892E-3</v>
      </c>
      <c r="K138" s="12" t="s">
        <v>22</v>
      </c>
    </row>
    <row r="139" spans="1:11" x14ac:dyDescent="0.25">
      <c r="A139" s="7">
        <v>45971</v>
      </c>
      <c r="B139" s="8" t="s">
        <v>11</v>
      </c>
      <c r="C139" s="8">
        <v>7</v>
      </c>
      <c r="D139" s="8">
        <v>3755</v>
      </c>
      <c r="E139" s="8">
        <v>3482.3</v>
      </c>
      <c r="F139" s="8">
        <f t="shared" si="10"/>
        <v>272.69999999999982</v>
      </c>
      <c r="G139" s="22">
        <f t="shared" si="11"/>
        <v>26285</v>
      </c>
      <c r="H139" s="23">
        <f t="shared" si="12"/>
        <v>24376.100000000002</v>
      </c>
      <c r="I139" s="23">
        <f t="shared" si="13"/>
        <v>1908.8999999999978</v>
      </c>
      <c r="J139" s="9">
        <f t="shared" si="14"/>
        <v>7.8310312150015743E-2</v>
      </c>
      <c r="K139" s="8" t="s">
        <v>22</v>
      </c>
    </row>
    <row r="140" spans="1:11" x14ac:dyDescent="0.25">
      <c r="A140" s="7">
        <v>45971</v>
      </c>
      <c r="B140" s="8" t="s">
        <v>11</v>
      </c>
      <c r="C140" s="8">
        <v>6</v>
      </c>
      <c r="D140" s="8">
        <v>3715</v>
      </c>
      <c r="E140" s="8">
        <v>3482.3</v>
      </c>
      <c r="F140" s="8">
        <f t="shared" si="10"/>
        <v>232.69999999999982</v>
      </c>
      <c r="G140" s="22">
        <f t="shared" si="11"/>
        <v>22290</v>
      </c>
      <c r="H140" s="23">
        <f t="shared" si="12"/>
        <v>20893.800000000003</v>
      </c>
      <c r="I140" s="23">
        <f t="shared" si="13"/>
        <v>1396.1999999999971</v>
      </c>
      <c r="J140" s="9">
        <f t="shared" si="14"/>
        <v>6.6823651035235271E-2</v>
      </c>
      <c r="K140" s="8" t="s">
        <v>22</v>
      </c>
    </row>
    <row r="141" spans="1:11" x14ac:dyDescent="0.25">
      <c r="A141" s="11">
        <v>45972</v>
      </c>
      <c r="B141" s="12" t="s">
        <v>12</v>
      </c>
      <c r="C141" s="12">
        <v>4</v>
      </c>
      <c r="D141" s="12">
        <v>2590</v>
      </c>
      <c r="E141" s="12">
        <v>2620.6999999999998</v>
      </c>
      <c r="F141" s="12">
        <f t="shared" si="10"/>
        <v>-30.699999999999818</v>
      </c>
      <c r="G141" s="24">
        <f t="shared" si="11"/>
        <v>10360</v>
      </c>
      <c r="H141" s="24">
        <f t="shared" si="12"/>
        <v>10482.799999999999</v>
      </c>
      <c r="I141" s="24">
        <f t="shared" si="13"/>
        <v>-122.79999999999927</v>
      </c>
      <c r="J141" s="13">
        <f t="shared" si="14"/>
        <v>-1.1714427443049498E-2</v>
      </c>
      <c r="K141" s="12" t="s">
        <v>22</v>
      </c>
    </row>
    <row r="142" spans="1:11" x14ac:dyDescent="0.25">
      <c r="A142" s="7">
        <v>45972</v>
      </c>
      <c r="B142" s="10" t="s">
        <v>12</v>
      </c>
      <c r="C142" s="15">
        <v>2</v>
      </c>
      <c r="D142" s="15">
        <v>2680</v>
      </c>
      <c r="E142" s="8">
        <v>2656.6</v>
      </c>
      <c r="F142" s="8">
        <f t="shared" si="10"/>
        <v>23.400000000000091</v>
      </c>
      <c r="G142" s="22">
        <f t="shared" si="11"/>
        <v>5360</v>
      </c>
      <c r="H142" s="23">
        <f t="shared" si="12"/>
        <v>5313.2</v>
      </c>
      <c r="I142" s="23">
        <f t="shared" si="13"/>
        <v>46.800000000000182</v>
      </c>
      <c r="J142" s="9">
        <f t="shared" si="14"/>
        <v>8.8082511480840515E-3</v>
      </c>
      <c r="K142" s="8" t="s">
        <v>22</v>
      </c>
    </row>
    <row r="143" spans="1:11" x14ac:dyDescent="0.25">
      <c r="A143" s="11">
        <v>45972</v>
      </c>
      <c r="B143" s="12" t="s">
        <v>12</v>
      </c>
      <c r="C143" s="12">
        <v>3</v>
      </c>
      <c r="D143" s="12">
        <v>2650</v>
      </c>
      <c r="E143" s="12">
        <v>2656.6</v>
      </c>
      <c r="F143" s="12">
        <f t="shared" si="10"/>
        <v>-6.5999999999999091</v>
      </c>
      <c r="G143" s="24">
        <f t="shared" si="11"/>
        <v>7950</v>
      </c>
      <c r="H143" s="24">
        <f t="shared" si="12"/>
        <v>7969.7999999999993</v>
      </c>
      <c r="I143" s="24">
        <f t="shared" si="13"/>
        <v>-19.799999999999272</v>
      </c>
      <c r="J143" s="13">
        <f t="shared" si="14"/>
        <v>-2.4843785289467399E-3</v>
      </c>
      <c r="K143" s="12" t="s">
        <v>22</v>
      </c>
    </row>
    <row r="144" spans="1:11" x14ac:dyDescent="0.25">
      <c r="A144" s="7">
        <v>45972</v>
      </c>
      <c r="B144" s="10" t="s">
        <v>27</v>
      </c>
      <c r="C144" s="15">
        <v>2</v>
      </c>
      <c r="D144" s="15">
        <v>2100</v>
      </c>
      <c r="E144" s="8">
        <v>2064.33</v>
      </c>
      <c r="F144" s="8">
        <f t="shared" si="10"/>
        <v>35.670000000000073</v>
      </c>
      <c r="G144" s="22">
        <f t="shared" si="11"/>
        <v>4200</v>
      </c>
      <c r="H144" s="23">
        <f t="shared" si="12"/>
        <v>4128.66</v>
      </c>
      <c r="I144" s="23">
        <f t="shared" si="13"/>
        <v>71.340000000000146</v>
      </c>
      <c r="J144" s="9">
        <f t="shared" si="14"/>
        <v>1.7279214079144359E-2</v>
      </c>
      <c r="K144" s="8" t="s">
        <v>22</v>
      </c>
    </row>
    <row r="145" spans="1:11" x14ac:dyDescent="0.25">
      <c r="A145" s="7">
        <v>45972</v>
      </c>
      <c r="B145" s="8" t="s">
        <v>62</v>
      </c>
      <c r="C145" s="15">
        <v>2</v>
      </c>
      <c r="D145" s="15">
        <v>3850</v>
      </c>
      <c r="E145" s="8">
        <v>3733.5</v>
      </c>
      <c r="F145" s="8">
        <f t="shared" si="10"/>
        <v>116.5</v>
      </c>
      <c r="G145" s="22">
        <f t="shared" si="11"/>
        <v>7700</v>
      </c>
      <c r="H145" s="23">
        <f t="shared" si="12"/>
        <v>7467</v>
      </c>
      <c r="I145" s="23">
        <f t="shared" si="13"/>
        <v>233</v>
      </c>
      <c r="J145" s="9">
        <f t="shared" si="14"/>
        <v>3.1203964108745146E-2</v>
      </c>
      <c r="K145" s="8" t="s">
        <v>22</v>
      </c>
    </row>
    <row r="146" spans="1:11" x14ac:dyDescent="0.25">
      <c r="A146" s="7">
        <v>45972</v>
      </c>
      <c r="B146" s="10" t="s">
        <v>63</v>
      </c>
      <c r="C146" s="15">
        <v>1</v>
      </c>
      <c r="D146" s="15">
        <v>4250</v>
      </c>
      <c r="E146" s="8">
        <v>3949</v>
      </c>
      <c r="F146" s="8">
        <f t="shared" si="10"/>
        <v>301</v>
      </c>
      <c r="G146" s="22">
        <f t="shared" si="11"/>
        <v>4250</v>
      </c>
      <c r="H146" s="23">
        <f t="shared" si="12"/>
        <v>3949</v>
      </c>
      <c r="I146" s="23">
        <f t="shared" si="13"/>
        <v>301</v>
      </c>
      <c r="J146" s="9">
        <f t="shared" si="14"/>
        <v>7.6221828310964801E-2</v>
      </c>
      <c r="K146" s="8" t="s">
        <v>22</v>
      </c>
    </row>
    <row r="147" spans="1:11" x14ac:dyDescent="0.25">
      <c r="A147" s="11">
        <v>45972</v>
      </c>
      <c r="B147" s="12" t="s">
        <v>66</v>
      </c>
      <c r="C147" s="12">
        <v>2</v>
      </c>
      <c r="D147" s="12">
        <v>1450</v>
      </c>
      <c r="E147" s="12">
        <v>1471.9</v>
      </c>
      <c r="F147" s="12">
        <f t="shared" si="10"/>
        <v>-21.900000000000091</v>
      </c>
      <c r="G147" s="24">
        <f t="shared" si="11"/>
        <v>2900</v>
      </c>
      <c r="H147" s="24">
        <f t="shared" si="12"/>
        <v>2943.8</v>
      </c>
      <c r="I147" s="24">
        <f t="shared" si="13"/>
        <v>-43.800000000000182</v>
      </c>
      <c r="J147" s="13">
        <f t="shared" si="14"/>
        <v>-1.4878728174468435E-2</v>
      </c>
      <c r="K147" s="12" t="s">
        <v>22</v>
      </c>
    </row>
    <row r="148" spans="1:11" x14ac:dyDescent="0.25">
      <c r="A148" s="7">
        <v>45972</v>
      </c>
      <c r="B148" s="10" t="s">
        <v>12</v>
      </c>
      <c r="C148" s="15">
        <v>1</v>
      </c>
      <c r="D148" s="15">
        <v>2750</v>
      </c>
      <c r="E148" s="8">
        <v>2656.6</v>
      </c>
      <c r="F148" s="8">
        <f t="shared" si="10"/>
        <v>93.400000000000091</v>
      </c>
      <c r="G148" s="22">
        <f t="shared" si="11"/>
        <v>2750</v>
      </c>
      <c r="H148" s="23">
        <f t="shared" si="12"/>
        <v>2656.6</v>
      </c>
      <c r="I148" s="23">
        <f t="shared" si="13"/>
        <v>93.400000000000091</v>
      </c>
      <c r="J148" s="9">
        <f t="shared" si="14"/>
        <v>3.5157720394489229E-2</v>
      </c>
      <c r="K148" s="8" t="s">
        <v>22</v>
      </c>
    </row>
    <row r="149" spans="1:11" x14ac:dyDescent="0.25">
      <c r="A149" s="7">
        <v>45972</v>
      </c>
      <c r="B149" s="10" t="s">
        <v>12</v>
      </c>
      <c r="C149" s="15">
        <v>1</v>
      </c>
      <c r="D149" s="8">
        <v>2700</v>
      </c>
      <c r="E149" s="8">
        <v>2656.6</v>
      </c>
      <c r="F149" s="8">
        <f t="shared" si="10"/>
        <v>43.400000000000091</v>
      </c>
      <c r="G149" s="22">
        <f t="shared" si="11"/>
        <v>2700</v>
      </c>
      <c r="H149" s="23">
        <f t="shared" si="12"/>
        <v>2656.6</v>
      </c>
      <c r="I149" s="23">
        <f t="shared" si="13"/>
        <v>43.400000000000091</v>
      </c>
      <c r="J149" s="9">
        <f t="shared" si="14"/>
        <v>1.6336670932771247E-2</v>
      </c>
      <c r="K149" s="8" t="s">
        <v>22</v>
      </c>
    </row>
    <row r="150" spans="1:11" x14ac:dyDescent="0.25">
      <c r="A150" s="7">
        <v>45972</v>
      </c>
      <c r="B150" s="10" t="s">
        <v>55</v>
      </c>
      <c r="C150" s="15">
        <v>8</v>
      </c>
      <c r="D150" s="15">
        <v>4450</v>
      </c>
      <c r="E150" s="8">
        <v>4308</v>
      </c>
      <c r="F150" s="8">
        <f t="shared" si="10"/>
        <v>142</v>
      </c>
      <c r="G150" s="22">
        <f t="shared" si="11"/>
        <v>35600</v>
      </c>
      <c r="H150" s="23">
        <f t="shared" si="12"/>
        <v>34464</v>
      </c>
      <c r="I150" s="23">
        <f t="shared" si="13"/>
        <v>1136</v>
      </c>
      <c r="J150" s="9">
        <f t="shared" si="14"/>
        <v>3.2961931290622096E-2</v>
      </c>
      <c r="K150" s="8" t="s">
        <v>22</v>
      </c>
    </row>
    <row r="151" spans="1:11" x14ac:dyDescent="0.25">
      <c r="A151" s="11">
        <v>45972</v>
      </c>
      <c r="B151" s="12" t="s">
        <v>23</v>
      </c>
      <c r="C151" s="12">
        <v>1</v>
      </c>
      <c r="D151" s="12">
        <v>4500</v>
      </c>
      <c r="E151" s="12">
        <v>4846.66</v>
      </c>
      <c r="F151" s="12">
        <f t="shared" si="10"/>
        <v>-346.65999999999985</v>
      </c>
      <c r="G151" s="24">
        <f t="shared" si="11"/>
        <v>4500</v>
      </c>
      <c r="H151" s="24">
        <f t="shared" si="12"/>
        <v>4846.66</v>
      </c>
      <c r="I151" s="24">
        <f t="shared" si="13"/>
        <v>-346.65999999999985</v>
      </c>
      <c r="J151" s="13">
        <f t="shared" si="14"/>
        <v>-7.1525545427160123E-2</v>
      </c>
      <c r="K151" s="12" t="s">
        <v>22</v>
      </c>
    </row>
    <row r="152" spans="1:11" x14ac:dyDescent="0.25">
      <c r="A152" s="11">
        <v>45972</v>
      </c>
      <c r="B152" s="12" t="s">
        <v>104</v>
      </c>
      <c r="C152" s="12">
        <v>3</v>
      </c>
      <c r="D152" s="12">
        <v>4200</v>
      </c>
      <c r="E152" s="12">
        <v>4308</v>
      </c>
      <c r="F152" s="12">
        <f t="shared" si="10"/>
        <v>-108</v>
      </c>
      <c r="G152" s="24">
        <f t="shared" si="11"/>
        <v>12600</v>
      </c>
      <c r="H152" s="24">
        <f t="shared" si="12"/>
        <v>12924</v>
      </c>
      <c r="I152" s="24">
        <f t="shared" si="13"/>
        <v>-324</v>
      </c>
      <c r="J152" s="13">
        <f t="shared" si="14"/>
        <v>-2.5069637883008356E-2</v>
      </c>
      <c r="K152" s="12" t="s">
        <v>22</v>
      </c>
    </row>
    <row r="153" spans="1:11" x14ac:dyDescent="0.25">
      <c r="A153" s="7">
        <v>45972</v>
      </c>
      <c r="B153" s="10" t="s">
        <v>83</v>
      </c>
      <c r="C153" s="15">
        <v>2</v>
      </c>
      <c r="D153" s="15">
        <v>5700</v>
      </c>
      <c r="E153" s="8">
        <v>5564.5</v>
      </c>
      <c r="F153" s="8">
        <f t="shared" si="10"/>
        <v>135.5</v>
      </c>
      <c r="G153" s="22">
        <f t="shared" si="11"/>
        <v>11400</v>
      </c>
      <c r="H153" s="23">
        <f t="shared" si="12"/>
        <v>11129</v>
      </c>
      <c r="I153" s="23">
        <f t="shared" si="13"/>
        <v>271</v>
      </c>
      <c r="J153" s="9">
        <f t="shared" si="14"/>
        <v>2.435079521969629E-2</v>
      </c>
      <c r="K153" s="8" t="s">
        <v>22</v>
      </c>
    </row>
    <row r="154" spans="1:11" x14ac:dyDescent="0.25">
      <c r="A154" s="11">
        <v>45972</v>
      </c>
      <c r="B154" s="12" t="s">
        <v>55</v>
      </c>
      <c r="C154" s="12">
        <v>1</v>
      </c>
      <c r="D154" s="12">
        <v>4150</v>
      </c>
      <c r="E154" s="12">
        <v>4308</v>
      </c>
      <c r="F154" s="12">
        <f t="shared" si="10"/>
        <v>-158</v>
      </c>
      <c r="G154" s="24">
        <f t="shared" si="11"/>
        <v>4150</v>
      </c>
      <c r="H154" s="24">
        <f t="shared" si="12"/>
        <v>4308</v>
      </c>
      <c r="I154" s="24">
        <f t="shared" si="13"/>
        <v>-158</v>
      </c>
      <c r="J154" s="13">
        <f t="shared" si="14"/>
        <v>-3.6675951717734447E-2</v>
      </c>
      <c r="K154" s="12" t="s">
        <v>22</v>
      </c>
    </row>
    <row r="155" spans="1:11" x14ac:dyDescent="0.25">
      <c r="A155" s="7">
        <v>45972</v>
      </c>
      <c r="B155" s="10" t="s">
        <v>13</v>
      </c>
      <c r="C155" s="15">
        <v>1</v>
      </c>
      <c r="D155" s="15">
        <v>2950</v>
      </c>
      <c r="E155" s="8">
        <v>2872</v>
      </c>
      <c r="F155" s="8">
        <f t="shared" si="10"/>
        <v>78</v>
      </c>
      <c r="G155" s="22">
        <f t="shared" si="11"/>
        <v>2950</v>
      </c>
      <c r="H155" s="23">
        <f t="shared" si="12"/>
        <v>2872</v>
      </c>
      <c r="I155" s="23">
        <f t="shared" si="13"/>
        <v>78</v>
      </c>
      <c r="J155" s="9">
        <f t="shared" si="14"/>
        <v>2.7158774373259052E-2</v>
      </c>
      <c r="K155" s="8" t="s">
        <v>22</v>
      </c>
    </row>
    <row r="156" spans="1:11" x14ac:dyDescent="0.25">
      <c r="A156" s="11">
        <v>45972</v>
      </c>
      <c r="B156" s="12" t="s">
        <v>12</v>
      </c>
      <c r="C156" s="12">
        <v>3</v>
      </c>
      <c r="D156" s="12">
        <v>2630</v>
      </c>
      <c r="E156" s="12">
        <v>2656.6</v>
      </c>
      <c r="F156" s="12">
        <f t="shared" si="10"/>
        <v>-26.599999999999909</v>
      </c>
      <c r="G156" s="24">
        <f t="shared" si="11"/>
        <v>7890</v>
      </c>
      <c r="H156" s="24">
        <f t="shared" si="12"/>
        <v>7969.7999999999993</v>
      </c>
      <c r="I156" s="24">
        <f t="shared" si="13"/>
        <v>-79.799999999999272</v>
      </c>
      <c r="J156" s="13">
        <f t="shared" si="14"/>
        <v>-1.0012798313633935E-2</v>
      </c>
      <c r="K156" s="12" t="s">
        <v>22</v>
      </c>
    </row>
    <row r="157" spans="1:11" x14ac:dyDescent="0.25">
      <c r="A157" s="7">
        <v>45972</v>
      </c>
      <c r="B157" s="10" t="s">
        <v>12</v>
      </c>
      <c r="C157" s="15">
        <v>1</v>
      </c>
      <c r="D157" s="15">
        <v>2700</v>
      </c>
      <c r="E157" s="8">
        <v>2656.6</v>
      </c>
      <c r="F157" s="8">
        <f t="shared" si="10"/>
        <v>43.400000000000091</v>
      </c>
      <c r="G157" s="22">
        <f t="shared" si="11"/>
        <v>2700</v>
      </c>
      <c r="H157" s="23">
        <f t="shared" si="12"/>
        <v>2656.6</v>
      </c>
      <c r="I157" s="23">
        <f t="shared" si="13"/>
        <v>43.400000000000091</v>
      </c>
      <c r="J157" s="9">
        <f t="shared" si="14"/>
        <v>1.6336670932771247E-2</v>
      </c>
      <c r="K157" s="8" t="s">
        <v>22</v>
      </c>
    </row>
    <row r="158" spans="1:11" x14ac:dyDescent="0.25">
      <c r="A158" s="11">
        <v>45974</v>
      </c>
      <c r="B158" s="12" t="s">
        <v>21</v>
      </c>
      <c r="C158" s="12">
        <v>6</v>
      </c>
      <c r="D158" s="12">
        <v>2450</v>
      </c>
      <c r="E158" s="12">
        <v>2513</v>
      </c>
      <c r="F158" s="12">
        <f t="shared" si="10"/>
        <v>-63</v>
      </c>
      <c r="G158" s="24">
        <f t="shared" si="11"/>
        <v>14700</v>
      </c>
      <c r="H158" s="24">
        <f t="shared" si="12"/>
        <v>15078</v>
      </c>
      <c r="I158" s="24">
        <f t="shared" si="13"/>
        <v>-378</v>
      </c>
      <c r="J158" s="13">
        <f t="shared" si="14"/>
        <v>-2.5069637883008356E-2</v>
      </c>
      <c r="K158" s="12" t="s">
        <v>22</v>
      </c>
    </row>
    <row r="159" spans="1:11" x14ac:dyDescent="0.25">
      <c r="A159" s="7">
        <v>45974</v>
      </c>
      <c r="B159" s="10" t="s">
        <v>24</v>
      </c>
      <c r="C159" s="10">
        <v>15</v>
      </c>
      <c r="D159" s="8">
        <v>805</v>
      </c>
      <c r="E159" s="8">
        <v>780.8</v>
      </c>
      <c r="F159" s="8">
        <f t="shared" si="10"/>
        <v>24.200000000000045</v>
      </c>
      <c r="G159" s="22">
        <f t="shared" si="11"/>
        <v>12075</v>
      </c>
      <c r="H159" s="23">
        <f t="shared" si="12"/>
        <v>11712</v>
      </c>
      <c r="I159" s="23">
        <f t="shared" si="13"/>
        <v>363</v>
      </c>
      <c r="J159" s="9">
        <f t="shared" si="14"/>
        <v>3.0993852459016452E-2</v>
      </c>
      <c r="K159" s="8" t="s">
        <v>22</v>
      </c>
    </row>
    <row r="160" spans="1:11" x14ac:dyDescent="0.25">
      <c r="A160" s="7">
        <v>45974</v>
      </c>
      <c r="B160" s="8" t="s">
        <v>12</v>
      </c>
      <c r="C160" s="10">
        <v>7</v>
      </c>
      <c r="D160" s="8">
        <v>2760</v>
      </c>
      <c r="E160" s="8">
        <v>2656.6</v>
      </c>
      <c r="F160" s="8">
        <f t="shared" si="10"/>
        <v>103.40000000000009</v>
      </c>
      <c r="G160" s="22">
        <f t="shared" si="11"/>
        <v>19320</v>
      </c>
      <c r="H160" s="23">
        <f t="shared" si="12"/>
        <v>18596.2</v>
      </c>
      <c r="I160" s="23">
        <f t="shared" si="13"/>
        <v>723.79999999999927</v>
      </c>
      <c r="J160" s="9">
        <f t="shared" si="14"/>
        <v>3.8921930286832829E-2</v>
      </c>
      <c r="K160" s="8" t="s">
        <v>22</v>
      </c>
    </row>
    <row r="161" spans="1:11" x14ac:dyDescent="0.25">
      <c r="A161" s="7">
        <v>45974</v>
      </c>
      <c r="B161" s="8" t="s">
        <v>12</v>
      </c>
      <c r="C161" s="10">
        <v>2</v>
      </c>
      <c r="D161" s="8">
        <v>2610</v>
      </c>
      <c r="E161" s="8">
        <v>2584.8000000000002</v>
      </c>
      <c r="F161" s="8">
        <f t="shared" si="10"/>
        <v>25.199999999999818</v>
      </c>
      <c r="G161" s="22">
        <f t="shared" si="11"/>
        <v>5220</v>
      </c>
      <c r="H161" s="23">
        <f t="shared" si="12"/>
        <v>5169.6000000000004</v>
      </c>
      <c r="I161" s="23">
        <f t="shared" si="13"/>
        <v>50.399999999999636</v>
      </c>
      <c r="J161" s="9">
        <f t="shared" si="14"/>
        <v>9.7493036211698456E-3</v>
      </c>
      <c r="K161" s="8" t="s">
        <v>22</v>
      </c>
    </row>
    <row r="162" spans="1:11" x14ac:dyDescent="0.25">
      <c r="A162" s="7">
        <v>45974</v>
      </c>
      <c r="B162" s="8" t="s">
        <v>12</v>
      </c>
      <c r="C162" s="10">
        <v>2</v>
      </c>
      <c r="D162" s="8">
        <v>2620</v>
      </c>
      <c r="E162" s="8">
        <v>2584.8000000000002</v>
      </c>
      <c r="F162" s="8">
        <f t="shared" si="10"/>
        <v>35.199999999999818</v>
      </c>
      <c r="G162" s="22">
        <f t="shared" si="11"/>
        <v>5240</v>
      </c>
      <c r="H162" s="23">
        <f t="shared" si="12"/>
        <v>5169.6000000000004</v>
      </c>
      <c r="I162" s="23">
        <f t="shared" si="13"/>
        <v>70.399999999999636</v>
      </c>
      <c r="J162" s="9">
        <f t="shared" si="14"/>
        <v>1.3618074899411876E-2</v>
      </c>
      <c r="K162" s="8" t="s">
        <v>22</v>
      </c>
    </row>
    <row r="163" spans="1:11" x14ac:dyDescent="0.25">
      <c r="A163" s="7">
        <v>45974</v>
      </c>
      <c r="B163" s="8" t="s">
        <v>12</v>
      </c>
      <c r="C163" s="10">
        <v>2</v>
      </c>
      <c r="D163" s="8">
        <v>2770</v>
      </c>
      <c r="E163" s="8">
        <v>2656.6</v>
      </c>
      <c r="F163" s="8">
        <f t="shared" si="10"/>
        <v>113.40000000000009</v>
      </c>
      <c r="G163" s="22">
        <f t="shared" si="11"/>
        <v>5540</v>
      </c>
      <c r="H163" s="23">
        <f t="shared" si="12"/>
        <v>5313.2</v>
      </c>
      <c r="I163" s="23">
        <f t="shared" si="13"/>
        <v>226.80000000000018</v>
      </c>
      <c r="J163" s="9">
        <f t="shared" si="14"/>
        <v>4.2686140179176428E-2</v>
      </c>
      <c r="K163" s="8" t="s">
        <v>22</v>
      </c>
    </row>
    <row r="164" spans="1:11" x14ac:dyDescent="0.25">
      <c r="A164" s="16">
        <v>45974</v>
      </c>
      <c r="B164" s="17" t="s">
        <v>25</v>
      </c>
      <c r="C164" s="17">
        <v>1</v>
      </c>
      <c r="D164" s="17">
        <v>4325</v>
      </c>
      <c r="E164" s="17">
        <v>3950</v>
      </c>
      <c r="F164" s="17">
        <f t="shared" si="10"/>
        <v>375</v>
      </c>
      <c r="G164" s="25">
        <f t="shared" si="11"/>
        <v>4325</v>
      </c>
      <c r="H164" s="25">
        <f t="shared" si="12"/>
        <v>3950</v>
      </c>
      <c r="I164" s="25">
        <f t="shared" si="13"/>
        <v>375</v>
      </c>
      <c r="J164" s="18">
        <f t="shared" si="14"/>
        <v>9.49367088607595E-2</v>
      </c>
      <c r="K164" s="17" t="s">
        <v>22</v>
      </c>
    </row>
    <row r="165" spans="1:11" x14ac:dyDescent="0.25">
      <c r="A165" s="16">
        <v>45974</v>
      </c>
      <c r="B165" s="17" t="s">
        <v>25</v>
      </c>
      <c r="C165" s="17">
        <v>1</v>
      </c>
      <c r="D165" s="17">
        <v>4250</v>
      </c>
      <c r="E165" s="17">
        <v>3950</v>
      </c>
      <c r="F165" s="17">
        <f t="shared" si="10"/>
        <v>300</v>
      </c>
      <c r="G165" s="25">
        <f t="shared" si="11"/>
        <v>4250</v>
      </c>
      <c r="H165" s="25">
        <f t="shared" si="12"/>
        <v>3950</v>
      </c>
      <c r="I165" s="25">
        <f t="shared" si="13"/>
        <v>300</v>
      </c>
      <c r="J165" s="18">
        <f t="shared" si="14"/>
        <v>7.5949367088607597E-2</v>
      </c>
      <c r="K165" s="17" t="s">
        <v>22</v>
      </c>
    </row>
    <row r="166" spans="1:11" x14ac:dyDescent="0.25">
      <c r="A166" s="11">
        <v>45974</v>
      </c>
      <c r="B166" s="12" t="s">
        <v>13</v>
      </c>
      <c r="C166" s="12">
        <v>2</v>
      </c>
      <c r="D166" s="12">
        <v>2900</v>
      </c>
      <c r="E166" s="12">
        <v>2907.9</v>
      </c>
      <c r="F166" s="12">
        <f t="shared" si="10"/>
        <v>-7.9000000000000909</v>
      </c>
      <c r="G166" s="24">
        <f t="shared" si="11"/>
        <v>5800</v>
      </c>
      <c r="H166" s="24">
        <f t="shared" si="12"/>
        <v>5815.8</v>
      </c>
      <c r="I166" s="24">
        <f t="shared" si="13"/>
        <v>-15.800000000000182</v>
      </c>
      <c r="J166" s="13">
        <f t="shared" si="14"/>
        <v>-2.7167371642766568E-3</v>
      </c>
      <c r="K166" s="12" t="s">
        <v>22</v>
      </c>
    </row>
    <row r="167" spans="1:11" x14ac:dyDescent="0.25">
      <c r="A167" s="11">
        <v>45974</v>
      </c>
      <c r="B167" s="12" t="s">
        <v>12</v>
      </c>
      <c r="C167" s="12">
        <v>5</v>
      </c>
      <c r="D167" s="12">
        <v>2580</v>
      </c>
      <c r="E167" s="12">
        <v>2584.8000000000002</v>
      </c>
      <c r="F167" s="12">
        <f t="shared" si="10"/>
        <v>-4.8000000000001819</v>
      </c>
      <c r="G167" s="24">
        <f t="shared" si="11"/>
        <v>12900</v>
      </c>
      <c r="H167" s="24">
        <f t="shared" si="12"/>
        <v>12924</v>
      </c>
      <c r="I167" s="24">
        <f t="shared" si="13"/>
        <v>-24</v>
      </c>
      <c r="J167" s="13">
        <f t="shared" si="14"/>
        <v>-1.8570102135562448E-3</v>
      </c>
      <c r="K167" s="12" t="s">
        <v>22</v>
      </c>
    </row>
    <row r="168" spans="1:11" x14ac:dyDescent="0.25">
      <c r="A168" s="7">
        <v>45974</v>
      </c>
      <c r="B168" s="8" t="s">
        <v>13</v>
      </c>
      <c r="C168" s="10">
        <v>1</v>
      </c>
      <c r="D168" s="8">
        <v>2830</v>
      </c>
      <c r="E168" s="8">
        <v>2800.2</v>
      </c>
      <c r="F168" s="8">
        <f t="shared" si="10"/>
        <v>29.800000000000182</v>
      </c>
      <c r="G168" s="22">
        <f t="shared" si="11"/>
        <v>2830</v>
      </c>
      <c r="H168" s="23">
        <f t="shared" si="12"/>
        <v>2800.2</v>
      </c>
      <c r="I168" s="23">
        <f t="shared" si="13"/>
        <v>29.800000000000182</v>
      </c>
      <c r="J168" s="9">
        <f t="shared" si="14"/>
        <v>1.0642096993071989E-2</v>
      </c>
      <c r="K168" s="8" t="s">
        <v>22</v>
      </c>
    </row>
    <row r="169" spans="1:11" x14ac:dyDescent="0.25">
      <c r="A169" s="7">
        <v>45975</v>
      </c>
      <c r="B169" s="8" t="s">
        <v>17</v>
      </c>
      <c r="C169" s="10">
        <v>44</v>
      </c>
      <c r="D169" s="10">
        <v>1640</v>
      </c>
      <c r="E169" s="10">
        <v>1471.9</v>
      </c>
      <c r="F169" s="8">
        <f t="shared" si="10"/>
        <v>168.09999999999991</v>
      </c>
      <c r="G169" s="22">
        <f t="shared" si="11"/>
        <v>72160</v>
      </c>
      <c r="H169" s="23">
        <f t="shared" si="12"/>
        <v>64763.600000000006</v>
      </c>
      <c r="I169" s="23">
        <f t="shared" si="13"/>
        <v>7396.3999999999942</v>
      </c>
      <c r="J169" s="9">
        <f t="shared" si="14"/>
        <v>0.11420612813370466</v>
      </c>
      <c r="K169" s="8" t="s">
        <v>22</v>
      </c>
    </row>
    <row r="170" spans="1:11" x14ac:dyDescent="0.25">
      <c r="A170" s="7">
        <v>45975</v>
      </c>
      <c r="B170" s="10" t="s">
        <v>30</v>
      </c>
      <c r="C170" s="10">
        <v>2</v>
      </c>
      <c r="D170" s="10">
        <v>2650</v>
      </c>
      <c r="E170" s="10">
        <v>2602.75</v>
      </c>
      <c r="F170" s="8">
        <f t="shared" si="10"/>
        <v>47.25</v>
      </c>
      <c r="G170" s="22">
        <f t="shared" si="11"/>
        <v>5300</v>
      </c>
      <c r="H170" s="23">
        <f t="shared" si="12"/>
        <v>5205.5</v>
      </c>
      <c r="I170" s="23">
        <f t="shared" si="13"/>
        <v>94.5</v>
      </c>
      <c r="J170" s="9">
        <f t="shared" si="14"/>
        <v>1.8153875708385361E-2</v>
      </c>
      <c r="K170" s="8" t="s">
        <v>22</v>
      </c>
    </row>
    <row r="171" spans="1:11" x14ac:dyDescent="0.25">
      <c r="A171" s="11">
        <v>45975</v>
      </c>
      <c r="B171" s="12" t="s">
        <v>21</v>
      </c>
      <c r="C171" s="12">
        <v>1</v>
      </c>
      <c r="D171" s="12">
        <v>2480</v>
      </c>
      <c r="E171" s="12">
        <v>2513</v>
      </c>
      <c r="F171" s="12">
        <f t="shared" si="10"/>
        <v>-33</v>
      </c>
      <c r="G171" s="24">
        <f t="shared" si="11"/>
        <v>2480</v>
      </c>
      <c r="H171" s="24">
        <f t="shared" si="12"/>
        <v>2513</v>
      </c>
      <c r="I171" s="24">
        <f t="shared" si="13"/>
        <v>-33</v>
      </c>
      <c r="J171" s="13">
        <f t="shared" si="14"/>
        <v>-1.3131715081575806E-2</v>
      </c>
      <c r="K171" s="12" t="s">
        <v>22</v>
      </c>
    </row>
    <row r="172" spans="1:11" x14ac:dyDescent="0.25">
      <c r="A172" s="7">
        <v>45975</v>
      </c>
      <c r="B172" s="10" t="s">
        <v>24</v>
      </c>
      <c r="C172" s="10">
        <v>2</v>
      </c>
      <c r="D172" s="10">
        <v>795</v>
      </c>
      <c r="E172" s="10">
        <v>753.9</v>
      </c>
      <c r="F172" s="8">
        <f t="shared" si="10"/>
        <v>41.100000000000023</v>
      </c>
      <c r="G172" s="22">
        <f t="shared" si="11"/>
        <v>1590</v>
      </c>
      <c r="H172" s="23">
        <f t="shared" si="12"/>
        <v>1507.8</v>
      </c>
      <c r="I172" s="23">
        <f t="shared" si="13"/>
        <v>82.200000000000045</v>
      </c>
      <c r="J172" s="9">
        <f t="shared" si="14"/>
        <v>5.4516514126542015E-2</v>
      </c>
      <c r="K172" s="8" t="s">
        <v>22</v>
      </c>
    </row>
    <row r="173" spans="1:11" x14ac:dyDescent="0.25">
      <c r="A173" s="7">
        <v>45975</v>
      </c>
      <c r="B173" s="10" t="s">
        <v>24</v>
      </c>
      <c r="C173" s="10">
        <v>25</v>
      </c>
      <c r="D173" s="10">
        <v>780</v>
      </c>
      <c r="E173" s="10">
        <v>753.9</v>
      </c>
      <c r="F173" s="8">
        <f t="shared" si="10"/>
        <v>26.100000000000023</v>
      </c>
      <c r="G173" s="22">
        <f t="shared" si="11"/>
        <v>19500</v>
      </c>
      <c r="H173" s="23">
        <f t="shared" si="12"/>
        <v>18847.5</v>
      </c>
      <c r="I173" s="23">
        <f t="shared" si="13"/>
        <v>652.5</v>
      </c>
      <c r="J173" s="9">
        <f t="shared" si="14"/>
        <v>3.4619976124154427E-2</v>
      </c>
      <c r="K173" s="8" t="s">
        <v>22</v>
      </c>
    </row>
    <row r="174" spans="1:11" x14ac:dyDescent="0.25">
      <c r="A174" s="7">
        <v>45976</v>
      </c>
      <c r="B174" s="10" t="s">
        <v>23</v>
      </c>
      <c r="C174" s="10">
        <v>2</v>
      </c>
      <c r="D174" s="10">
        <v>4800</v>
      </c>
      <c r="E174" s="10">
        <v>4846.66</v>
      </c>
      <c r="F174" s="8">
        <f t="shared" si="10"/>
        <v>-46.659999999999854</v>
      </c>
      <c r="G174" s="22">
        <f t="shared" si="11"/>
        <v>9600</v>
      </c>
      <c r="H174" s="23">
        <f t="shared" si="12"/>
        <v>9693.32</v>
      </c>
      <c r="I174" s="23">
        <f t="shared" si="13"/>
        <v>-93.319999999999709</v>
      </c>
      <c r="J174" s="9">
        <f t="shared" si="14"/>
        <v>-9.6272484556374615E-3</v>
      </c>
      <c r="K174" s="8" t="s">
        <v>22</v>
      </c>
    </row>
    <row r="175" spans="1:11" x14ac:dyDescent="0.25">
      <c r="A175" s="11">
        <v>45976</v>
      </c>
      <c r="B175" s="12" t="s">
        <v>11</v>
      </c>
      <c r="C175" s="12">
        <v>2</v>
      </c>
      <c r="D175" s="12">
        <v>3300</v>
      </c>
      <c r="E175" s="12">
        <v>3338.7</v>
      </c>
      <c r="F175" s="12">
        <f t="shared" si="10"/>
        <v>-38.699999999999818</v>
      </c>
      <c r="G175" s="24">
        <f t="shared" si="11"/>
        <v>6600</v>
      </c>
      <c r="H175" s="24">
        <f t="shared" si="12"/>
        <v>6677.4</v>
      </c>
      <c r="I175" s="24">
        <f t="shared" si="13"/>
        <v>-77.399999999999636</v>
      </c>
      <c r="J175" s="13">
        <f t="shared" si="14"/>
        <v>-1.1591337945907035E-2</v>
      </c>
      <c r="K175" s="12" t="s">
        <v>22</v>
      </c>
    </row>
    <row r="176" spans="1:11" x14ac:dyDescent="0.25">
      <c r="A176" s="11">
        <v>45976</v>
      </c>
      <c r="B176" s="12" t="s">
        <v>12</v>
      </c>
      <c r="C176" s="12">
        <v>2</v>
      </c>
      <c r="D176" s="12">
        <v>2620</v>
      </c>
      <c r="E176" s="12">
        <v>2620.6999999999998</v>
      </c>
      <c r="F176" s="12">
        <f t="shared" si="10"/>
        <v>-0.6999999999998181</v>
      </c>
      <c r="G176" s="24">
        <f t="shared" si="11"/>
        <v>5240</v>
      </c>
      <c r="H176" s="24">
        <f t="shared" si="12"/>
        <v>5241.3999999999996</v>
      </c>
      <c r="I176" s="24">
        <f t="shared" si="13"/>
        <v>-1.3999999999996362</v>
      </c>
      <c r="J176" s="13">
        <f t="shared" si="14"/>
        <v>-2.6710420879910642E-4</v>
      </c>
      <c r="K176" s="12" t="s">
        <v>22</v>
      </c>
    </row>
    <row r="177" spans="1:11" x14ac:dyDescent="0.25">
      <c r="A177" s="11">
        <v>45977</v>
      </c>
      <c r="B177" s="12" t="s">
        <v>12</v>
      </c>
      <c r="C177" s="12">
        <v>1</v>
      </c>
      <c r="D177" s="12">
        <v>2580</v>
      </c>
      <c r="E177" s="12">
        <v>2584.8000000000002</v>
      </c>
      <c r="F177" s="12">
        <f t="shared" si="10"/>
        <v>-4.8000000000001819</v>
      </c>
      <c r="G177" s="24">
        <f t="shared" si="11"/>
        <v>2580</v>
      </c>
      <c r="H177" s="24">
        <f t="shared" si="12"/>
        <v>2584.8000000000002</v>
      </c>
      <c r="I177" s="24">
        <f t="shared" si="13"/>
        <v>-4.8000000000001819</v>
      </c>
      <c r="J177" s="13">
        <f t="shared" si="14"/>
        <v>-1.8570102135562448E-3</v>
      </c>
      <c r="K177" s="12" t="s">
        <v>22</v>
      </c>
    </row>
    <row r="178" spans="1:11" x14ac:dyDescent="0.25">
      <c r="A178" s="11">
        <v>45977</v>
      </c>
      <c r="B178" s="12" t="s">
        <v>12</v>
      </c>
      <c r="C178" s="12">
        <v>1</v>
      </c>
      <c r="D178" s="12">
        <v>2620</v>
      </c>
      <c r="E178" s="12">
        <v>2620.6999999999998</v>
      </c>
      <c r="F178" s="12">
        <f t="shared" si="10"/>
        <v>-0.6999999999998181</v>
      </c>
      <c r="G178" s="24">
        <f t="shared" si="11"/>
        <v>2620</v>
      </c>
      <c r="H178" s="24">
        <f t="shared" si="12"/>
        <v>2620.6999999999998</v>
      </c>
      <c r="I178" s="24">
        <f t="shared" si="13"/>
        <v>-0.6999999999998181</v>
      </c>
      <c r="J178" s="13">
        <f t="shared" si="14"/>
        <v>-2.6710420879910642E-4</v>
      </c>
      <c r="K178" s="12" t="s">
        <v>22</v>
      </c>
    </row>
    <row r="179" spans="1:11" x14ac:dyDescent="0.25">
      <c r="A179" s="7">
        <v>45978</v>
      </c>
      <c r="B179" s="8" t="s">
        <v>11</v>
      </c>
      <c r="C179" s="10">
        <v>2</v>
      </c>
      <c r="D179" s="15">
        <v>4320</v>
      </c>
      <c r="E179" s="15">
        <v>4236.2</v>
      </c>
      <c r="F179" s="8">
        <f t="shared" si="10"/>
        <v>83.800000000000182</v>
      </c>
      <c r="G179" s="22">
        <f t="shared" si="11"/>
        <v>8640</v>
      </c>
      <c r="H179" s="23">
        <f t="shared" si="12"/>
        <v>8472.4</v>
      </c>
      <c r="I179" s="23">
        <f t="shared" si="13"/>
        <v>167.60000000000036</v>
      </c>
      <c r="J179" s="9">
        <f t="shared" si="14"/>
        <v>1.9781879986780649E-2</v>
      </c>
      <c r="K179" s="15" t="s">
        <v>22</v>
      </c>
    </row>
    <row r="180" spans="1:11" x14ac:dyDescent="0.25">
      <c r="A180" s="7">
        <v>45978</v>
      </c>
      <c r="B180" s="8" t="s">
        <v>12</v>
      </c>
      <c r="C180" s="10">
        <v>4</v>
      </c>
      <c r="D180" s="15">
        <v>2600</v>
      </c>
      <c r="E180" s="15">
        <v>2584.8000000000002</v>
      </c>
      <c r="F180" s="8">
        <f t="shared" si="10"/>
        <v>15.199999999999818</v>
      </c>
      <c r="G180" s="22">
        <f t="shared" si="11"/>
        <v>10400</v>
      </c>
      <c r="H180" s="23">
        <f t="shared" si="12"/>
        <v>10339.200000000001</v>
      </c>
      <c r="I180" s="23">
        <f t="shared" si="13"/>
        <v>60.799999999999272</v>
      </c>
      <c r="J180" s="9">
        <f t="shared" si="14"/>
        <v>5.8805323429278154E-3</v>
      </c>
      <c r="K180" s="15" t="s">
        <v>22</v>
      </c>
    </row>
    <row r="181" spans="1:11" x14ac:dyDescent="0.25">
      <c r="A181" s="7">
        <v>45979</v>
      </c>
      <c r="B181" s="8" t="s">
        <v>13</v>
      </c>
      <c r="C181" s="10">
        <v>1</v>
      </c>
      <c r="D181" s="15">
        <v>3000</v>
      </c>
      <c r="E181" s="15">
        <v>2907.9</v>
      </c>
      <c r="F181" s="8">
        <f t="shared" si="10"/>
        <v>92.099999999999909</v>
      </c>
      <c r="G181" s="22">
        <f t="shared" si="11"/>
        <v>3000</v>
      </c>
      <c r="H181" s="23">
        <f t="shared" si="12"/>
        <v>2907.9</v>
      </c>
      <c r="I181" s="23">
        <f t="shared" si="13"/>
        <v>92.099999999999909</v>
      </c>
      <c r="J181" s="9">
        <f t="shared" si="14"/>
        <v>3.167234086454139E-2</v>
      </c>
      <c r="K181" s="15" t="s">
        <v>22</v>
      </c>
    </row>
    <row r="182" spans="1:11" x14ac:dyDescent="0.25">
      <c r="A182" s="11">
        <v>45979</v>
      </c>
      <c r="B182" s="12" t="s">
        <v>21</v>
      </c>
      <c r="C182" s="12">
        <v>10</v>
      </c>
      <c r="D182" s="12">
        <v>2420</v>
      </c>
      <c r="E182" s="12">
        <v>2513</v>
      </c>
      <c r="F182" s="12">
        <f t="shared" si="10"/>
        <v>-93</v>
      </c>
      <c r="G182" s="24">
        <f t="shared" si="11"/>
        <v>24200</v>
      </c>
      <c r="H182" s="24">
        <f t="shared" si="12"/>
        <v>25130</v>
      </c>
      <c r="I182" s="24">
        <f t="shared" si="13"/>
        <v>-930</v>
      </c>
      <c r="J182" s="13">
        <f t="shared" si="14"/>
        <v>-3.7007560684440909E-2</v>
      </c>
      <c r="K182" s="12" t="s">
        <v>22</v>
      </c>
    </row>
    <row r="183" spans="1:11" x14ac:dyDescent="0.25">
      <c r="A183" s="7">
        <v>45979</v>
      </c>
      <c r="B183" s="8" t="s">
        <v>13</v>
      </c>
      <c r="C183" s="10">
        <v>1</v>
      </c>
      <c r="D183" s="15">
        <v>3000</v>
      </c>
      <c r="E183" s="15">
        <v>2907.9</v>
      </c>
      <c r="F183" s="8">
        <f t="shared" si="10"/>
        <v>92.099999999999909</v>
      </c>
      <c r="G183" s="22">
        <f t="shared" si="11"/>
        <v>3000</v>
      </c>
      <c r="H183" s="23">
        <f t="shared" si="12"/>
        <v>2907.9</v>
      </c>
      <c r="I183" s="23">
        <f t="shared" si="13"/>
        <v>92.099999999999909</v>
      </c>
      <c r="J183" s="9">
        <f t="shared" si="14"/>
        <v>3.167234086454139E-2</v>
      </c>
      <c r="K183" s="15" t="s">
        <v>22</v>
      </c>
    </row>
    <row r="184" spans="1:11" x14ac:dyDescent="0.25">
      <c r="A184" s="7">
        <v>45979</v>
      </c>
      <c r="B184" s="8" t="s">
        <v>13</v>
      </c>
      <c r="C184" s="10">
        <v>1</v>
      </c>
      <c r="D184" s="15">
        <v>3000</v>
      </c>
      <c r="E184" s="15">
        <v>2800.2</v>
      </c>
      <c r="F184" s="8">
        <f t="shared" si="10"/>
        <v>199.80000000000018</v>
      </c>
      <c r="G184" s="22">
        <f t="shared" si="11"/>
        <v>3000</v>
      </c>
      <c r="H184" s="23">
        <f t="shared" si="12"/>
        <v>2800.2</v>
      </c>
      <c r="I184" s="23">
        <f t="shared" si="13"/>
        <v>199.80000000000018</v>
      </c>
      <c r="J184" s="9">
        <f t="shared" si="14"/>
        <v>7.1352046282408474E-2</v>
      </c>
      <c r="K184" s="15" t="s">
        <v>22</v>
      </c>
    </row>
    <row r="185" spans="1:11" x14ac:dyDescent="0.25">
      <c r="A185" s="11">
        <v>45980</v>
      </c>
      <c r="B185" s="12" t="s">
        <v>21</v>
      </c>
      <c r="C185" s="12">
        <v>2</v>
      </c>
      <c r="D185" s="12">
        <v>2400</v>
      </c>
      <c r="E185" s="12">
        <v>2513</v>
      </c>
      <c r="F185" s="12">
        <f t="shared" si="10"/>
        <v>-113</v>
      </c>
      <c r="G185" s="24">
        <f t="shared" si="11"/>
        <v>4800</v>
      </c>
      <c r="H185" s="24">
        <f t="shared" si="12"/>
        <v>5026</v>
      </c>
      <c r="I185" s="24">
        <f t="shared" si="13"/>
        <v>-226</v>
      </c>
      <c r="J185" s="13">
        <f t="shared" si="14"/>
        <v>-4.4966175885395941E-2</v>
      </c>
      <c r="K185" s="12" t="s">
        <v>22</v>
      </c>
    </row>
    <row r="186" spans="1:11" x14ac:dyDescent="0.25">
      <c r="A186" s="16">
        <v>45980</v>
      </c>
      <c r="B186" s="17" t="s">
        <v>43</v>
      </c>
      <c r="C186" s="17">
        <v>2</v>
      </c>
      <c r="D186" s="17">
        <v>1910</v>
      </c>
      <c r="E186" s="17">
        <v>1800</v>
      </c>
      <c r="F186" s="17">
        <f t="shared" si="10"/>
        <v>110</v>
      </c>
      <c r="G186" s="25">
        <f t="shared" si="11"/>
        <v>3820</v>
      </c>
      <c r="H186" s="25">
        <f t="shared" si="12"/>
        <v>3600</v>
      </c>
      <c r="I186" s="25">
        <f t="shared" si="13"/>
        <v>220</v>
      </c>
      <c r="J186" s="18">
        <f t="shared" si="14"/>
        <v>6.1111111111111109E-2</v>
      </c>
      <c r="K186" s="17" t="s">
        <v>22</v>
      </c>
    </row>
    <row r="187" spans="1:11" x14ac:dyDescent="0.25">
      <c r="A187" s="7">
        <v>45981</v>
      </c>
      <c r="B187" s="8" t="s">
        <v>24</v>
      </c>
      <c r="C187" s="8">
        <v>13</v>
      </c>
      <c r="D187" s="8">
        <v>780</v>
      </c>
      <c r="E187" s="8">
        <v>753.9</v>
      </c>
      <c r="F187" s="8">
        <f t="shared" si="10"/>
        <v>26.100000000000023</v>
      </c>
      <c r="G187" s="22">
        <f t="shared" si="11"/>
        <v>10140</v>
      </c>
      <c r="H187" s="23">
        <f t="shared" si="12"/>
        <v>9800.6999999999989</v>
      </c>
      <c r="I187" s="23">
        <f t="shared" si="13"/>
        <v>339.30000000000109</v>
      </c>
      <c r="J187" s="9">
        <f t="shared" si="14"/>
        <v>3.4619976124154427E-2</v>
      </c>
      <c r="K187" s="15" t="s">
        <v>22</v>
      </c>
    </row>
    <row r="188" spans="1:11" x14ac:dyDescent="0.25">
      <c r="A188" s="7">
        <v>45981</v>
      </c>
      <c r="B188" s="8" t="s">
        <v>47</v>
      </c>
      <c r="C188" s="8">
        <v>2</v>
      </c>
      <c r="D188" s="8">
        <v>345</v>
      </c>
      <c r="E188" s="8">
        <v>305.14999999999998</v>
      </c>
      <c r="F188" s="8">
        <f t="shared" si="10"/>
        <v>39.850000000000023</v>
      </c>
      <c r="G188" s="22">
        <f t="shared" si="11"/>
        <v>690</v>
      </c>
      <c r="H188" s="23">
        <f t="shared" si="12"/>
        <v>610.29999999999995</v>
      </c>
      <c r="I188" s="23">
        <f t="shared" si="13"/>
        <v>79.700000000000045</v>
      </c>
      <c r="J188" s="9">
        <f t="shared" si="14"/>
        <v>0.1305915123709652</v>
      </c>
      <c r="K188" s="15" t="s">
        <v>22</v>
      </c>
    </row>
    <row r="189" spans="1:11" x14ac:dyDescent="0.25">
      <c r="A189" s="7">
        <v>45981</v>
      </c>
      <c r="B189" s="8" t="s">
        <v>48</v>
      </c>
      <c r="C189" s="8">
        <v>1</v>
      </c>
      <c r="D189" s="8">
        <v>495</v>
      </c>
      <c r="E189" s="8">
        <v>448.75</v>
      </c>
      <c r="F189" s="8">
        <f t="shared" si="10"/>
        <v>46.25</v>
      </c>
      <c r="G189" s="22">
        <f t="shared" si="11"/>
        <v>495</v>
      </c>
      <c r="H189" s="23">
        <f t="shared" si="12"/>
        <v>448.75</v>
      </c>
      <c r="I189" s="23">
        <f t="shared" si="13"/>
        <v>46.25</v>
      </c>
      <c r="J189" s="9">
        <f t="shared" si="14"/>
        <v>0.10306406685236769</v>
      </c>
      <c r="K189" s="15" t="s">
        <v>22</v>
      </c>
    </row>
    <row r="190" spans="1:11" x14ac:dyDescent="0.25">
      <c r="A190" s="14">
        <v>45985</v>
      </c>
      <c r="B190" s="10" t="s">
        <v>17</v>
      </c>
      <c r="C190" s="15">
        <v>16</v>
      </c>
      <c r="D190" s="15">
        <v>1625</v>
      </c>
      <c r="E190" s="10">
        <v>1471.9</v>
      </c>
      <c r="F190" s="8">
        <f t="shared" si="10"/>
        <v>153.09999999999991</v>
      </c>
      <c r="G190" s="22">
        <f t="shared" si="11"/>
        <v>26000</v>
      </c>
      <c r="H190" s="23">
        <f t="shared" si="12"/>
        <v>23550.400000000001</v>
      </c>
      <c r="I190" s="23">
        <f t="shared" si="13"/>
        <v>2449.5999999999985</v>
      </c>
      <c r="J190" s="9">
        <f t="shared" si="14"/>
        <v>0.10401521842516469</v>
      </c>
      <c r="K190" s="10" t="s">
        <v>22</v>
      </c>
    </row>
    <row r="191" spans="1:11" x14ac:dyDescent="0.25">
      <c r="A191" s="11">
        <v>45985</v>
      </c>
      <c r="B191" s="12" t="s">
        <v>12</v>
      </c>
      <c r="C191" s="12">
        <v>1</v>
      </c>
      <c r="D191" s="12">
        <v>2620</v>
      </c>
      <c r="E191" s="12">
        <v>2656.6</v>
      </c>
      <c r="F191" s="12">
        <f t="shared" si="10"/>
        <v>-36.599999999999909</v>
      </c>
      <c r="G191" s="24">
        <f t="shared" si="11"/>
        <v>2620</v>
      </c>
      <c r="H191" s="24">
        <f t="shared" si="12"/>
        <v>2656.6</v>
      </c>
      <c r="I191" s="24">
        <f t="shared" si="13"/>
        <v>-36.599999999999909</v>
      </c>
      <c r="J191" s="13">
        <f t="shared" si="14"/>
        <v>-1.3777008205977532E-2</v>
      </c>
      <c r="K191" s="12" t="s">
        <v>22</v>
      </c>
    </row>
    <row r="192" spans="1:11" x14ac:dyDescent="0.25">
      <c r="A192" s="11">
        <v>45986</v>
      </c>
      <c r="B192" s="12" t="s">
        <v>62</v>
      </c>
      <c r="C192" s="12">
        <v>1</v>
      </c>
      <c r="D192" s="12">
        <v>3475</v>
      </c>
      <c r="E192" s="12">
        <v>3625.9</v>
      </c>
      <c r="F192" s="12">
        <f t="shared" si="10"/>
        <v>-150.90000000000009</v>
      </c>
      <c r="G192" s="24">
        <f t="shared" si="11"/>
        <v>3475</v>
      </c>
      <c r="H192" s="24">
        <f t="shared" si="12"/>
        <v>3625.9</v>
      </c>
      <c r="I192" s="24">
        <f t="shared" si="13"/>
        <v>-150.90000000000009</v>
      </c>
      <c r="J192" s="13">
        <f t="shared" si="14"/>
        <v>-4.1617253647370331E-2</v>
      </c>
      <c r="K192" s="12" t="s">
        <v>22</v>
      </c>
    </row>
    <row r="193" spans="1:11" x14ac:dyDescent="0.25">
      <c r="A193" s="14">
        <v>45986</v>
      </c>
      <c r="B193" s="8" t="s">
        <v>13</v>
      </c>
      <c r="C193" s="15">
        <v>1</v>
      </c>
      <c r="D193" s="15">
        <v>2800</v>
      </c>
      <c r="E193" s="8">
        <v>2800</v>
      </c>
      <c r="F193" s="8">
        <f t="shared" si="10"/>
        <v>0</v>
      </c>
      <c r="G193" s="22">
        <f t="shared" si="11"/>
        <v>2800</v>
      </c>
      <c r="H193" s="23">
        <f t="shared" si="12"/>
        <v>2800</v>
      </c>
      <c r="I193" s="23">
        <f t="shared" si="13"/>
        <v>0</v>
      </c>
      <c r="J193" s="9">
        <f t="shared" si="14"/>
        <v>0</v>
      </c>
      <c r="K193" s="10" t="s">
        <v>22</v>
      </c>
    </row>
    <row r="194" spans="1:11" x14ac:dyDescent="0.25">
      <c r="A194" s="11">
        <v>45986</v>
      </c>
      <c r="B194" s="12" t="s">
        <v>13</v>
      </c>
      <c r="C194" s="12">
        <v>1</v>
      </c>
      <c r="D194" s="12">
        <v>2850</v>
      </c>
      <c r="E194" s="12">
        <v>2907.9</v>
      </c>
      <c r="F194" s="12">
        <f t="shared" ref="F194:F207" si="15">D194-E194</f>
        <v>-57.900000000000091</v>
      </c>
      <c r="G194" s="24">
        <f t="shared" ref="G194:G207" si="16">D194*C194</f>
        <v>2850</v>
      </c>
      <c r="H194" s="24">
        <f t="shared" ref="H194:H207" si="17">E194*C194</f>
        <v>2907.9</v>
      </c>
      <c r="I194" s="24">
        <f t="shared" ref="I194:I207" si="18">G194-H194</f>
        <v>-57.900000000000091</v>
      </c>
      <c r="J194" s="13">
        <f t="shared" ref="J194:J207" si="19">(D194-E194)/E194</f>
        <v>-1.9911276178685679E-2</v>
      </c>
      <c r="K194" s="12" t="s">
        <v>22</v>
      </c>
    </row>
    <row r="195" spans="1:11" x14ac:dyDescent="0.25">
      <c r="A195" s="7">
        <v>45988</v>
      </c>
      <c r="B195" s="10" t="s">
        <v>88</v>
      </c>
      <c r="C195" s="15">
        <v>12</v>
      </c>
      <c r="D195" s="15">
        <v>2300</v>
      </c>
      <c r="E195" s="21">
        <v>2242.16</v>
      </c>
      <c r="F195" s="8">
        <f t="shared" si="15"/>
        <v>57.840000000000146</v>
      </c>
      <c r="G195" s="22">
        <f t="shared" si="16"/>
        <v>27600</v>
      </c>
      <c r="H195" s="23">
        <f t="shared" si="17"/>
        <v>26905.919999999998</v>
      </c>
      <c r="I195" s="23">
        <f t="shared" si="18"/>
        <v>694.08000000000175</v>
      </c>
      <c r="J195" s="9">
        <f t="shared" si="19"/>
        <v>2.5796553323580898E-2</v>
      </c>
      <c r="K195" s="8" t="s">
        <v>22</v>
      </c>
    </row>
    <row r="196" spans="1:11" x14ac:dyDescent="0.25">
      <c r="A196" s="11">
        <v>45988</v>
      </c>
      <c r="B196" s="12" t="s">
        <v>88</v>
      </c>
      <c r="C196" s="12">
        <v>1</v>
      </c>
      <c r="D196" s="12">
        <v>2300</v>
      </c>
      <c r="E196" s="12">
        <v>2685</v>
      </c>
      <c r="F196" s="12">
        <f t="shared" si="15"/>
        <v>-385</v>
      </c>
      <c r="G196" s="24">
        <f t="shared" si="16"/>
        <v>2300</v>
      </c>
      <c r="H196" s="24">
        <f t="shared" si="17"/>
        <v>2685</v>
      </c>
      <c r="I196" s="24">
        <f t="shared" si="18"/>
        <v>-385</v>
      </c>
      <c r="J196" s="13">
        <f t="shared" si="19"/>
        <v>-0.14338919925512103</v>
      </c>
      <c r="K196" s="12" t="s">
        <v>22</v>
      </c>
    </row>
    <row r="197" spans="1:11" x14ac:dyDescent="0.25">
      <c r="A197" s="11">
        <v>45989</v>
      </c>
      <c r="B197" s="12" t="s">
        <v>11</v>
      </c>
      <c r="C197" s="12">
        <v>2</v>
      </c>
      <c r="D197" s="12">
        <v>3200</v>
      </c>
      <c r="E197" s="12">
        <v>3338.7</v>
      </c>
      <c r="F197" s="12">
        <f t="shared" si="15"/>
        <v>-138.69999999999982</v>
      </c>
      <c r="G197" s="24">
        <f t="shared" si="16"/>
        <v>6400</v>
      </c>
      <c r="H197" s="24">
        <f t="shared" si="17"/>
        <v>6677.4</v>
      </c>
      <c r="I197" s="24">
        <f t="shared" si="18"/>
        <v>-277.39999999999964</v>
      </c>
      <c r="J197" s="13">
        <f t="shared" si="19"/>
        <v>-4.154311558390985E-2</v>
      </c>
      <c r="K197" s="12" t="s">
        <v>22</v>
      </c>
    </row>
    <row r="198" spans="1:11" x14ac:dyDescent="0.25">
      <c r="A198" s="7">
        <v>45990</v>
      </c>
      <c r="B198" s="10" t="s">
        <v>95</v>
      </c>
      <c r="C198" s="15">
        <v>1</v>
      </c>
      <c r="D198" s="15">
        <v>1</v>
      </c>
      <c r="E198" s="8">
        <v>1</v>
      </c>
      <c r="F198" s="8">
        <f t="shared" si="15"/>
        <v>0</v>
      </c>
      <c r="G198" s="22">
        <f t="shared" si="16"/>
        <v>1</v>
      </c>
      <c r="H198" s="23">
        <f t="shared" si="17"/>
        <v>1</v>
      </c>
      <c r="I198" s="23">
        <f t="shared" si="18"/>
        <v>0</v>
      </c>
      <c r="J198" s="9">
        <f t="shared" si="19"/>
        <v>0</v>
      </c>
      <c r="K198" s="8" t="s">
        <v>22</v>
      </c>
    </row>
    <row r="199" spans="1:11" x14ac:dyDescent="0.25">
      <c r="A199" s="7">
        <v>45990</v>
      </c>
      <c r="B199" s="10" t="s">
        <v>96</v>
      </c>
      <c r="C199" s="15">
        <v>1</v>
      </c>
      <c r="D199" s="15">
        <v>1</v>
      </c>
      <c r="E199" s="8">
        <v>1</v>
      </c>
      <c r="F199" s="8">
        <f t="shared" si="15"/>
        <v>0</v>
      </c>
      <c r="G199" s="22">
        <f t="shared" si="16"/>
        <v>1</v>
      </c>
      <c r="H199" s="23">
        <f t="shared" si="17"/>
        <v>1</v>
      </c>
      <c r="I199" s="23">
        <f t="shared" si="18"/>
        <v>0</v>
      </c>
      <c r="J199" s="9">
        <f t="shared" si="19"/>
        <v>0</v>
      </c>
      <c r="K199" s="8" t="s">
        <v>22</v>
      </c>
    </row>
    <row r="200" spans="1:11" x14ac:dyDescent="0.25">
      <c r="A200" s="7">
        <v>45990</v>
      </c>
      <c r="B200" s="10" t="s">
        <v>97</v>
      </c>
      <c r="C200" s="15">
        <v>1</v>
      </c>
      <c r="D200" s="15">
        <v>1</v>
      </c>
      <c r="E200" s="8">
        <v>1</v>
      </c>
      <c r="F200" s="8">
        <f t="shared" si="15"/>
        <v>0</v>
      </c>
      <c r="G200" s="22">
        <f t="shared" si="16"/>
        <v>1</v>
      </c>
      <c r="H200" s="23">
        <f t="shared" si="17"/>
        <v>1</v>
      </c>
      <c r="I200" s="23">
        <f t="shared" si="18"/>
        <v>0</v>
      </c>
      <c r="J200" s="9">
        <f t="shared" si="19"/>
        <v>0</v>
      </c>
      <c r="K200" s="8" t="s">
        <v>22</v>
      </c>
    </row>
    <row r="201" spans="1:11" x14ac:dyDescent="0.25">
      <c r="A201" s="7">
        <v>45990</v>
      </c>
      <c r="B201" s="10" t="s">
        <v>98</v>
      </c>
      <c r="C201" s="15">
        <v>1</v>
      </c>
      <c r="D201" s="15">
        <v>1</v>
      </c>
      <c r="E201" s="8">
        <v>1</v>
      </c>
      <c r="F201" s="8">
        <f t="shared" si="15"/>
        <v>0</v>
      </c>
      <c r="G201" s="22">
        <f t="shared" si="16"/>
        <v>1</v>
      </c>
      <c r="H201" s="23">
        <f t="shared" si="17"/>
        <v>1</v>
      </c>
      <c r="I201" s="23">
        <f t="shared" si="18"/>
        <v>0</v>
      </c>
      <c r="J201" s="9">
        <f t="shared" si="19"/>
        <v>0</v>
      </c>
      <c r="K201" s="8" t="s">
        <v>22</v>
      </c>
    </row>
    <row r="202" spans="1:11" x14ac:dyDescent="0.25">
      <c r="A202" s="7">
        <v>45991</v>
      </c>
      <c r="B202" s="20" t="s">
        <v>106</v>
      </c>
      <c r="C202" s="15">
        <v>1</v>
      </c>
      <c r="D202" s="15">
        <v>1</v>
      </c>
      <c r="E202" s="8">
        <v>1</v>
      </c>
      <c r="F202" s="8">
        <f t="shared" si="15"/>
        <v>0</v>
      </c>
      <c r="G202" s="22">
        <f t="shared" si="16"/>
        <v>1</v>
      </c>
      <c r="H202" s="23">
        <f t="shared" si="17"/>
        <v>1</v>
      </c>
      <c r="I202" s="23">
        <f t="shared" si="18"/>
        <v>0</v>
      </c>
      <c r="J202" s="9">
        <f t="shared" si="19"/>
        <v>0</v>
      </c>
      <c r="K202" s="8" t="s">
        <v>22</v>
      </c>
    </row>
    <row r="203" spans="1:11" x14ac:dyDescent="0.25">
      <c r="A203" s="7">
        <v>45991</v>
      </c>
      <c r="B203" s="19" t="s">
        <v>108</v>
      </c>
      <c r="C203" s="15">
        <v>1</v>
      </c>
      <c r="D203" s="15">
        <v>1</v>
      </c>
      <c r="E203" s="8">
        <v>1</v>
      </c>
      <c r="F203" s="8">
        <f t="shared" si="15"/>
        <v>0</v>
      </c>
      <c r="G203" s="22">
        <f t="shared" si="16"/>
        <v>1</v>
      </c>
      <c r="H203" s="23">
        <f t="shared" si="17"/>
        <v>1</v>
      </c>
      <c r="I203" s="23">
        <f t="shared" si="18"/>
        <v>0</v>
      </c>
      <c r="J203" s="9">
        <f t="shared" si="19"/>
        <v>0</v>
      </c>
      <c r="K203" s="8" t="s">
        <v>22</v>
      </c>
    </row>
    <row r="204" spans="1:11" x14ac:dyDescent="0.25">
      <c r="A204" s="7">
        <v>45991</v>
      </c>
      <c r="B204" s="19" t="s">
        <v>109</v>
      </c>
      <c r="C204" s="15">
        <v>4</v>
      </c>
      <c r="D204" s="15">
        <v>1</v>
      </c>
      <c r="E204" s="8">
        <v>1</v>
      </c>
      <c r="F204" s="8">
        <f t="shared" si="15"/>
        <v>0</v>
      </c>
      <c r="G204" s="22">
        <f t="shared" si="16"/>
        <v>4</v>
      </c>
      <c r="H204" s="23">
        <f t="shared" si="17"/>
        <v>4</v>
      </c>
      <c r="I204" s="23">
        <f t="shared" si="18"/>
        <v>0</v>
      </c>
      <c r="J204" s="9">
        <f t="shared" si="19"/>
        <v>0</v>
      </c>
      <c r="K204" s="8" t="s">
        <v>22</v>
      </c>
    </row>
    <row r="205" spans="1:11" x14ac:dyDescent="0.25">
      <c r="A205" s="7">
        <v>45991</v>
      </c>
      <c r="B205" s="19" t="s">
        <v>110</v>
      </c>
      <c r="C205" s="15">
        <v>2</v>
      </c>
      <c r="D205" s="15">
        <v>1</v>
      </c>
      <c r="E205" s="8">
        <v>1</v>
      </c>
      <c r="F205" s="8">
        <f t="shared" si="15"/>
        <v>0</v>
      </c>
      <c r="G205" s="22">
        <f t="shared" si="16"/>
        <v>2</v>
      </c>
      <c r="H205" s="23">
        <f t="shared" si="17"/>
        <v>2</v>
      </c>
      <c r="I205" s="23">
        <f t="shared" si="18"/>
        <v>0</v>
      </c>
      <c r="J205" s="9">
        <f t="shared" si="19"/>
        <v>0</v>
      </c>
      <c r="K205" s="8" t="s">
        <v>22</v>
      </c>
    </row>
    <row r="206" spans="1:11" x14ac:dyDescent="0.25">
      <c r="A206" s="7">
        <v>45972</v>
      </c>
      <c r="B206" s="8" t="s">
        <v>11</v>
      </c>
      <c r="C206" s="15">
        <v>1</v>
      </c>
      <c r="D206" s="15">
        <v>3550</v>
      </c>
      <c r="E206" s="8">
        <v>3266.9</v>
      </c>
      <c r="F206" s="8">
        <f t="shared" si="15"/>
        <v>283.09999999999991</v>
      </c>
      <c r="G206" s="22">
        <f t="shared" si="16"/>
        <v>3550</v>
      </c>
      <c r="H206" s="23">
        <f t="shared" si="17"/>
        <v>3266.9</v>
      </c>
      <c r="I206" s="23">
        <f t="shared" si="18"/>
        <v>283.09999999999991</v>
      </c>
      <c r="J206" s="9">
        <f t="shared" si="19"/>
        <v>8.6657075515014198E-2</v>
      </c>
      <c r="K206" s="8" t="s">
        <v>103</v>
      </c>
    </row>
    <row r="207" spans="1:11" x14ac:dyDescent="0.25">
      <c r="A207" s="7">
        <v>45967</v>
      </c>
      <c r="B207" s="10" t="s">
        <v>36</v>
      </c>
      <c r="C207" s="15">
        <v>4</v>
      </c>
      <c r="D207" s="15">
        <v>1500</v>
      </c>
      <c r="E207" s="8">
        <v>1400.2</v>
      </c>
      <c r="F207" s="8">
        <f t="shared" si="15"/>
        <v>99.799999999999955</v>
      </c>
      <c r="G207" s="22">
        <f t="shared" si="16"/>
        <v>6000</v>
      </c>
      <c r="H207" s="23">
        <f t="shared" si="17"/>
        <v>5600.8</v>
      </c>
      <c r="I207" s="23">
        <f t="shared" si="18"/>
        <v>399.19999999999982</v>
      </c>
      <c r="J207" s="9">
        <f t="shared" si="19"/>
        <v>7.1275532066847558E-2</v>
      </c>
      <c r="K207" s="8" t="s">
        <v>102</v>
      </c>
    </row>
    <row r="208" spans="1:11" x14ac:dyDescent="0.25">
      <c r="G208" s="27">
        <f t="shared" ref="G208:I208" si="20">SUM(G2:G207)</f>
        <v>1313012.02</v>
      </c>
      <c r="H208" s="27">
        <f t="shared" si="20"/>
        <v>1270591.4799999993</v>
      </c>
      <c r="I208" s="27">
        <f t="shared" si="20"/>
        <v>42420.539999999979</v>
      </c>
      <c r="J208" s="28">
        <f>AVERAGE(J2:J207)</f>
        <v>3.0393396090434732E-2</v>
      </c>
      <c r="K208" s="8"/>
    </row>
    <row r="213" spans="2:4" x14ac:dyDescent="0.25">
      <c r="B213" s="29" t="s">
        <v>125</v>
      </c>
      <c r="C213" s="30" t="s">
        <v>112</v>
      </c>
      <c r="D213" s="30" t="s">
        <v>127</v>
      </c>
    </row>
    <row r="214" spans="2:4" x14ac:dyDescent="0.25">
      <c r="B214" s="34">
        <v>885722026141</v>
      </c>
      <c r="C214" s="35">
        <v>235.85</v>
      </c>
      <c r="D214" s="37">
        <f>C214*3.59</f>
        <v>846.7014999999999</v>
      </c>
    </row>
    <row r="215" spans="2:4" x14ac:dyDescent="0.25">
      <c r="B215" s="34">
        <v>885724057268</v>
      </c>
      <c r="C215" s="35">
        <v>236.9</v>
      </c>
      <c r="D215" s="37">
        <f t="shared" ref="D215:D219" si="21">C215*3.59</f>
        <v>850.471</v>
      </c>
    </row>
    <row r="216" spans="2:4" x14ac:dyDescent="0.25">
      <c r="B216" s="34" t="s">
        <v>122</v>
      </c>
      <c r="C216" s="35">
        <v>228.98</v>
      </c>
      <c r="D216" s="37">
        <f t="shared" si="21"/>
        <v>822.03819999999996</v>
      </c>
    </row>
    <row r="217" spans="2:4" x14ac:dyDescent="0.25">
      <c r="B217" s="34" t="s">
        <v>123</v>
      </c>
      <c r="C217" s="35">
        <v>638</v>
      </c>
      <c r="D217" s="37">
        <f t="shared" si="21"/>
        <v>2290.42</v>
      </c>
    </row>
    <row r="218" spans="2:4" x14ac:dyDescent="0.25">
      <c r="B218" s="34" t="s">
        <v>124</v>
      </c>
      <c r="C218" s="35">
        <v>638</v>
      </c>
      <c r="D218" s="37">
        <f t="shared" si="21"/>
        <v>2290.42</v>
      </c>
    </row>
    <row r="219" spans="2:4" x14ac:dyDescent="0.25">
      <c r="B219" s="34">
        <v>886283512360</v>
      </c>
      <c r="C219" s="33">
        <v>428.28</v>
      </c>
      <c r="D219" s="37">
        <f t="shared" si="21"/>
        <v>1537.5251999999998</v>
      </c>
    </row>
    <row r="220" spans="2:4" x14ac:dyDescent="0.25">
      <c r="B220" s="36" t="s">
        <v>126</v>
      </c>
      <c r="C220" s="36"/>
      <c r="D220" s="37">
        <v>1835</v>
      </c>
    </row>
    <row r="221" spans="2:4" x14ac:dyDescent="0.25">
      <c r="B221" s="38" t="s">
        <v>120</v>
      </c>
      <c r="C221" s="31"/>
      <c r="D221" s="39">
        <f>SUM(D214:D220)</f>
        <v>10472.5759</v>
      </c>
    </row>
    <row r="222" spans="2:4" x14ac:dyDescent="0.25">
      <c r="B222" s="36"/>
      <c r="C222" s="36"/>
      <c r="D222" s="36"/>
    </row>
    <row r="223" spans="2:4" ht="18.75" x14ac:dyDescent="0.3">
      <c r="B223" s="5" t="s">
        <v>128</v>
      </c>
      <c r="C223" s="5"/>
      <c r="D223" s="40">
        <f>I208-D221</f>
        <v>31947.964099999979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E2C4A-705A-4F89-9382-9A8653FB1429}">
  <dimension ref="A1:K18"/>
  <sheetViews>
    <sheetView workbookViewId="0">
      <selection activeCell="C18" sqref="C18"/>
    </sheetView>
  </sheetViews>
  <sheetFormatPr defaultRowHeight="15" x14ac:dyDescent="0.25"/>
  <cols>
    <col min="1" max="1" width="15.85546875" customWidth="1"/>
    <col min="2" max="2" width="39.42578125" customWidth="1"/>
    <col min="3" max="3" width="22.42578125" customWidth="1"/>
    <col min="4" max="4" width="18" customWidth="1"/>
    <col min="5" max="5" width="22.85546875" customWidth="1"/>
    <col min="6" max="9" width="18" customWidth="1"/>
    <col min="10" max="10" width="14.28515625" customWidth="1"/>
    <col min="11" max="11" width="16.140625" customWidth="1"/>
  </cols>
  <sheetData>
    <row r="1" spans="1:11" ht="18.75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10</v>
      </c>
    </row>
    <row r="2" spans="1:11" x14ac:dyDescent="0.25">
      <c r="A2" s="7">
        <v>45967</v>
      </c>
      <c r="B2" s="10" t="s">
        <v>75</v>
      </c>
      <c r="C2" s="15">
        <v>23</v>
      </c>
      <c r="D2" s="15">
        <v>660</v>
      </c>
      <c r="E2" s="8">
        <v>623.98</v>
      </c>
      <c r="F2" s="8">
        <f t="shared" ref="F2:F7" si="0">D2-E2</f>
        <v>36.019999999999982</v>
      </c>
      <c r="G2" s="22">
        <f t="shared" ref="G2:G7" si="1">D2*C2</f>
        <v>15180</v>
      </c>
      <c r="H2" s="23">
        <f t="shared" ref="H2:H7" si="2">E2*C2</f>
        <v>14351.54</v>
      </c>
      <c r="I2" s="23">
        <f t="shared" ref="I2:I7" si="3">G2-H2</f>
        <v>828.45999999999913</v>
      </c>
      <c r="J2" s="9">
        <f t="shared" ref="J2:J7" si="4">(D2-E2)/E2</f>
        <v>5.7726209173370908E-2</v>
      </c>
      <c r="K2" s="8" t="s">
        <v>56</v>
      </c>
    </row>
    <row r="3" spans="1:11" x14ac:dyDescent="0.25">
      <c r="A3" s="7">
        <v>45968</v>
      </c>
      <c r="B3" s="10" t="s">
        <v>64</v>
      </c>
      <c r="C3" s="15">
        <v>2</v>
      </c>
      <c r="D3" s="15">
        <v>2030</v>
      </c>
      <c r="E3" s="8">
        <v>1426.36</v>
      </c>
      <c r="F3" s="8">
        <f t="shared" si="0"/>
        <v>603.6400000000001</v>
      </c>
      <c r="G3" s="22">
        <f t="shared" si="1"/>
        <v>4060</v>
      </c>
      <c r="H3" s="23">
        <f t="shared" si="2"/>
        <v>2852.72</v>
      </c>
      <c r="I3" s="23">
        <f t="shared" si="3"/>
        <v>1207.2800000000002</v>
      </c>
      <c r="J3" s="9">
        <f t="shared" si="4"/>
        <v>0.42320311842732561</v>
      </c>
      <c r="K3" s="8" t="s">
        <v>100</v>
      </c>
    </row>
    <row r="4" spans="1:11" x14ac:dyDescent="0.25">
      <c r="A4" s="14">
        <v>45983</v>
      </c>
      <c r="B4" s="15" t="s">
        <v>52</v>
      </c>
      <c r="C4" s="15">
        <v>5</v>
      </c>
      <c r="D4" s="15">
        <v>3700</v>
      </c>
      <c r="E4" s="10">
        <v>2671.55</v>
      </c>
      <c r="F4" s="8">
        <f t="shared" si="0"/>
        <v>1028.4499999999998</v>
      </c>
      <c r="G4" s="22">
        <f t="shared" si="1"/>
        <v>18500</v>
      </c>
      <c r="H4" s="23">
        <f t="shared" si="2"/>
        <v>13357.75</v>
      </c>
      <c r="I4" s="23">
        <f t="shared" si="3"/>
        <v>5142.25</v>
      </c>
      <c r="J4" s="9">
        <f t="shared" si="4"/>
        <v>0.38496378506859302</v>
      </c>
      <c r="K4" s="10" t="s">
        <v>56</v>
      </c>
    </row>
    <row r="5" spans="1:11" x14ac:dyDescent="0.25">
      <c r="A5" s="14">
        <v>45986</v>
      </c>
      <c r="B5" s="8" t="s">
        <v>52</v>
      </c>
      <c r="C5" s="15">
        <v>10</v>
      </c>
      <c r="D5" s="15">
        <v>3600</v>
      </c>
      <c r="E5" s="10">
        <v>2671.55</v>
      </c>
      <c r="F5" s="8">
        <f t="shared" si="0"/>
        <v>928.44999999999982</v>
      </c>
      <c r="G5" s="22">
        <f t="shared" si="1"/>
        <v>36000</v>
      </c>
      <c r="H5" s="23">
        <f t="shared" si="2"/>
        <v>26715.5</v>
      </c>
      <c r="I5" s="23">
        <f t="shared" si="3"/>
        <v>9284.5</v>
      </c>
      <c r="J5" s="9">
        <f t="shared" si="4"/>
        <v>0.34753233141809053</v>
      </c>
      <c r="K5" s="10" t="s">
        <v>56</v>
      </c>
    </row>
    <row r="6" spans="1:11" x14ac:dyDescent="0.25">
      <c r="A6" s="14">
        <v>45986</v>
      </c>
      <c r="B6" s="8" t="s">
        <v>64</v>
      </c>
      <c r="C6" s="15">
        <v>10</v>
      </c>
      <c r="D6" s="15">
        <v>1770</v>
      </c>
      <c r="E6" s="8">
        <v>1396.87</v>
      </c>
      <c r="F6" s="8">
        <f t="shared" si="0"/>
        <v>373.13000000000011</v>
      </c>
      <c r="G6" s="22">
        <f t="shared" si="1"/>
        <v>17700</v>
      </c>
      <c r="H6" s="23">
        <f t="shared" si="2"/>
        <v>13968.699999999999</v>
      </c>
      <c r="I6" s="23">
        <f t="shared" si="3"/>
        <v>3731.3000000000011</v>
      </c>
      <c r="J6" s="9">
        <f t="shared" si="4"/>
        <v>0.26711862950739879</v>
      </c>
      <c r="K6" s="10" t="s">
        <v>56</v>
      </c>
    </row>
    <row r="7" spans="1:11" x14ac:dyDescent="0.25">
      <c r="A7" s="7">
        <v>45988</v>
      </c>
      <c r="B7" s="10" t="s">
        <v>64</v>
      </c>
      <c r="C7" s="15">
        <v>12</v>
      </c>
      <c r="D7" s="15">
        <v>1750</v>
      </c>
      <c r="E7" s="8">
        <v>1431.75</v>
      </c>
      <c r="F7" s="8">
        <f t="shared" si="0"/>
        <v>318.25</v>
      </c>
      <c r="G7" s="22">
        <f t="shared" si="1"/>
        <v>21000</v>
      </c>
      <c r="H7" s="23">
        <f t="shared" si="2"/>
        <v>17181</v>
      </c>
      <c r="I7" s="23">
        <f t="shared" si="3"/>
        <v>3819</v>
      </c>
      <c r="J7" s="9">
        <f t="shared" si="4"/>
        <v>0.22228042605203421</v>
      </c>
      <c r="K7" s="8" t="s">
        <v>56</v>
      </c>
    </row>
    <row r="8" spans="1:11" x14ac:dyDescent="0.25">
      <c r="G8" s="27">
        <f t="shared" ref="G8:I8" si="5">SUM(G2:G7)</f>
        <v>112440</v>
      </c>
      <c r="H8" s="27">
        <f t="shared" si="5"/>
        <v>88427.21</v>
      </c>
      <c r="I8" s="27">
        <f t="shared" si="5"/>
        <v>24012.79</v>
      </c>
      <c r="J8" s="28">
        <f>AVERAGE(J2:J7)</f>
        <v>0.28380408327446882</v>
      </c>
      <c r="K8" s="8"/>
    </row>
    <row r="15" spans="1:11" x14ac:dyDescent="0.25">
      <c r="B15" s="29" t="s">
        <v>131</v>
      </c>
      <c r="C15" s="30" t="s">
        <v>112</v>
      </c>
    </row>
    <row r="16" spans="1:11" x14ac:dyDescent="0.25">
      <c r="B16" s="36" t="s">
        <v>129</v>
      </c>
      <c r="C16" s="36">
        <v>1290</v>
      </c>
    </row>
    <row r="17" spans="2:3" x14ac:dyDescent="0.25">
      <c r="B17" s="36"/>
      <c r="C17" s="36"/>
    </row>
    <row r="18" spans="2:3" ht="18.75" x14ac:dyDescent="0.3">
      <c r="B18" s="5" t="s">
        <v>130</v>
      </c>
      <c r="C18" s="40">
        <f>I8-C16</f>
        <v>22722.79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12C51-80B5-4723-82E3-49D39F1D8FFA}">
  <dimension ref="A1:K33"/>
  <sheetViews>
    <sheetView tabSelected="1" workbookViewId="0">
      <selection activeCell="E26" sqref="E26"/>
    </sheetView>
  </sheetViews>
  <sheetFormatPr defaultRowHeight="15" x14ac:dyDescent="0.25"/>
  <cols>
    <col min="1" max="1" width="14.28515625" customWidth="1"/>
    <col min="2" max="2" width="33" customWidth="1"/>
    <col min="3" max="3" width="21.85546875" customWidth="1"/>
    <col min="4" max="4" width="17.42578125" customWidth="1"/>
    <col min="5" max="5" width="20.5703125" customWidth="1"/>
    <col min="6" max="10" width="17.42578125" customWidth="1"/>
    <col min="11" max="11" width="11.7109375" customWidth="1"/>
  </cols>
  <sheetData>
    <row r="1" spans="1:11" ht="18.75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10</v>
      </c>
    </row>
    <row r="2" spans="1:11" x14ac:dyDescent="0.25">
      <c r="A2" s="7">
        <v>45987</v>
      </c>
      <c r="B2" s="10" t="s">
        <v>61</v>
      </c>
      <c r="C2" s="15">
        <v>10</v>
      </c>
      <c r="D2" s="15">
        <v>1735</v>
      </c>
      <c r="E2" s="8">
        <v>1720</v>
      </c>
      <c r="F2" s="8">
        <f t="shared" ref="F2:F17" si="0">D2-E2</f>
        <v>15</v>
      </c>
      <c r="G2" s="22">
        <f t="shared" ref="G2:G17" si="1">D2*C2</f>
        <v>17350</v>
      </c>
      <c r="H2" s="23">
        <f t="shared" ref="H2:H17" si="2">E2*C2</f>
        <v>17200</v>
      </c>
      <c r="I2" s="23">
        <f t="shared" ref="I2:I17" si="3">G2-H2</f>
        <v>150</v>
      </c>
      <c r="J2" s="9">
        <f t="shared" ref="J2:J17" si="4">(D2-E2)/E2</f>
        <v>8.7209302325581394E-3</v>
      </c>
      <c r="K2" s="8" t="s">
        <v>101</v>
      </c>
    </row>
    <row r="3" spans="1:11" x14ac:dyDescent="0.25">
      <c r="A3" s="11">
        <v>45988</v>
      </c>
      <c r="B3" s="12" t="s">
        <v>50</v>
      </c>
      <c r="C3" s="12">
        <v>30</v>
      </c>
      <c r="D3" s="12">
        <v>1000</v>
      </c>
      <c r="E3" s="12">
        <v>1010</v>
      </c>
      <c r="F3" s="12">
        <f t="shared" si="0"/>
        <v>-10</v>
      </c>
      <c r="G3" s="24">
        <f t="shared" si="1"/>
        <v>30000</v>
      </c>
      <c r="H3" s="24">
        <f t="shared" si="2"/>
        <v>30300</v>
      </c>
      <c r="I3" s="24">
        <f t="shared" si="3"/>
        <v>-300</v>
      </c>
      <c r="J3" s="13">
        <f t="shared" si="4"/>
        <v>-9.9009900990099011E-3</v>
      </c>
      <c r="K3" s="12" t="s">
        <v>101</v>
      </c>
    </row>
    <row r="4" spans="1:11" x14ac:dyDescent="0.25">
      <c r="A4" s="7">
        <v>45988</v>
      </c>
      <c r="B4" s="10" t="s">
        <v>61</v>
      </c>
      <c r="C4" s="15">
        <v>30</v>
      </c>
      <c r="D4" s="15">
        <v>1745</v>
      </c>
      <c r="E4" s="8">
        <v>1720</v>
      </c>
      <c r="F4" s="8">
        <f t="shared" si="0"/>
        <v>25</v>
      </c>
      <c r="G4" s="22">
        <f t="shared" si="1"/>
        <v>52350</v>
      </c>
      <c r="H4" s="23">
        <f t="shared" si="2"/>
        <v>51600</v>
      </c>
      <c r="I4" s="23">
        <f t="shared" si="3"/>
        <v>750</v>
      </c>
      <c r="J4" s="9">
        <f t="shared" si="4"/>
        <v>1.4534883720930232E-2</v>
      </c>
      <c r="K4" s="8" t="s">
        <v>101</v>
      </c>
    </row>
    <row r="5" spans="1:11" x14ac:dyDescent="0.25">
      <c r="A5" s="7">
        <v>45978</v>
      </c>
      <c r="B5" s="8" t="s">
        <v>11</v>
      </c>
      <c r="C5" s="10">
        <v>3</v>
      </c>
      <c r="D5" s="15">
        <v>4320</v>
      </c>
      <c r="E5" s="15">
        <v>4280</v>
      </c>
      <c r="F5" s="8">
        <f t="shared" si="0"/>
        <v>40</v>
      </c>
      <c r="G5" s="22">
        <f t="shared" si="1"/>
        <v>12960</v>
      </c>
      <c r="H5" s="23">
        <f t="shared" si="2"/>
        <v>12840</v>
      </c>
      <c r="I5" s="23">
        <f t="shared" si="3"/>
        <v>120</v>
      </c>
      <c r="J5" s="9">
        <f t="shared" si="4"/>
        <v>9.3457943925233638E-3</v>
      </c>
      <c r="K5" s="15" t="s">
        <v>38</v>
      </c>
    </row>
    <row r="6" spans="1:11" x14ac:dyDescent="0.25">
      <c r="A6" s="7">
        <v>45979</v>
      </c>
      <c r="B6" s="8" t="s">
        <v>11</v>
      </c>
      <c r="C6" s="10">
        <v>6</v>
      </c>
      <c r="D6" s="15">
        <v>3770</v>
      </c>
      <c r="E6" s="15">
        <v>3750</v>
      </c>
      <c r="F6" s="8">
        <f t="shared" si="0"/>
        <v>20</v>
      </c>
      <c r="G6" s="22">
        <f t="shared" si="1"/>
        <v>22620</v>
      </c>
      <c r="H6" s="23">
        <f t="shared" si="2"/>
        <v>22500</v>
      </c>
      <c r="I6" s="23">
        <f t="shared" si="3"/>
        <v>120</v>
      </c>
      <c r="J6" s="9">
        <f t="shared" si="4"/>
        <v>5.3333333333333332E-3</v>
      </c>
      <c r="K6" s="15" t="s">
        <v>38</v>
      </c>
    </row>
    <row r="7" spans="1:11" x14ac:dyDescent="0.25">
      <c r="A7" s="7">
        <v>45966</v>
      </c>
      <c r="B7" s="8" t="s">
        <v>11</v>
      </c>
      <c r="C7" s="15">
        <v>1</v>
      </c>
      <c r="D7" s="15">
        <v>4126.58</v>
      </c>
      <c r="E7" s="8">
        <v>3374.62</v>
      </c>
      <c r="F7" s="8">
        <f t="shared" si="0"/>
        <v>751.96</v>
      </c>
      <c r="G7" s="22">
        <f t="shared" si="1"/>
        <v>4126.58</v>
      </c>
      <c r="H7" s="23">
        <f t="shared" si="2"/>
        <v>3374.62</v>
      </c>
      <c r="I7" s="23">
        <f t="shared" si="3"/>
        <v>751.96</v>
      </c>
      <c r="J7" s="9">
        <f t="shared" si="4"/>
        <v>0.22282805175101197</v>
      </c>
      <c r="K7" s="8" t="s">
        <v>74</v>
      </c>
    </row>
    <row r="8" spans="1:11" x14ac:dyDescent="0.25">
      <c r="A8" s="16">
        <v>45988</v>
      </c>
      <c r="B8" s="17" t="s">
        <v>30</v>
      </c>
      <c r="C8" s="17">
        <v>1</v>
      </c>
      <c r="D8" s="17">
        <v>2594.9299999999998</v>
      </c>
      <c r="E8" s="17">
        <v>2400</v>
      </c>
      <c r="F8" s="17">
        <f t="shared" si="0"/>
        <v>194.92999999999984</v>
      </c>
      <c r="G8" s="25">
        <f t="shared" si="1"/>
        <v>2594.9299999999998</v>
      </c>
      <c r="H8" s="25">
        <f t="shared" si="2"/>
        <v>2400</v>
      </c>
      <c r="I8" s="25">
        <f t="shared" si="3"/>
        <v>194.92999999999984</v>
      </c>
      <c r="J8" s="18">
        <f t="shared" si="4"/>
        <v>8.122083333333327E-2</v>
      </c>
      <c r="K8" s="17" t="s">
        <v>74</v>
      </c>
    </row>
    <row r="9" spans="1:11" x14ac:dyDescent="0.25">
      <c r="A9" s="16">
        <v>45988</v>
      </c>
      <c r="B9" s="17" t="s">
        <v>89</v>
      </c>
      <c r="C9" s="17">
        <v>1</v>
      </c>
      <c r="D9" s="17">
        <v>1367.08</v>
      </c>
      <c r="E9" s="17">
        <v>1250</v>
      </c>
      <c r="F9" s="17">
        <f t="shared" si="0"/>
        <v>117.07999999999993</v>
      </c>
      <c r="G9" s="25">
        <f t="shared" si="1"/>
        <v>1367.08</v>
      </c>
      <c r="H9" s="25">
        <f t="shared" si="2"/>
        <v>1250</v>
      </c>
      <c r="I9" s="25">
        <f t="shared" si="3"/>
        <v>117.07999999999993</v>
      </c>
      <c r="J9" s="18">
        <f t="shared" si="4"/>
        <v>9.3663999999999942E-2</v>
      </c>
      <c r="K9" s="17" t="s">
        <v>74</v>
      </c>
    </row>
    <row r="10" spans="1:11" x14ac:dyDescent="0.25">
      <c r="A10" s="16">
        <v>45988</v>
      </c>
      <c r="B10" s="17" t="s">
        <v>70</v>
      </c>
      <c r="C10" s="17">
        <v>1</v>
      </c>
      <c r="D10" s="17">
        <v>886.07</v>
      </c>
      <c r="E10" s="17">
        <v>750</v>
      </c>
      <c r="F10" s="17">
        <f t="shared" si="0"/>
        <v>136.07000000000005</v>
      </c>
      <c r="G10" s="25">
        <f t="shared" si="1"/>
        <v>886.07</v>
      </c>
      <c r="H10" s="25">
        <f t="shared" si="2"/>
        <v>750</v>
      </c>
      <c r="I10" s="25">
        <f t="shared" si="3"/>
        <v>136.07000000000005</v>
      </c>
      <c r="J10" s="18">
        <f t="shared" si="4"/>
        <v>0.18142666666666674</v>
      </c>
      <c r="K10" s="17" t="s">
        <v>74</v>
      </c>
    </row>
    <row r="11" spans="1:11" x14ac:dyDescent="0.25">
      <c r="A11" s="16">
        <v>45988</v>
      </c>
      <c r="B11" s="17" t="s">
        <v>30</v>
      </c>
      <c r="C11" s="17">
        <v>1</v>
      </c>
      <c r="D11" s="17">
        <v>2632.91</v>
      </c>
      <c r="E11" s="17">
        <v>2400</v>
      </c>
      <c r="F11" s="17">
        <f t="shared" si="0"/>
        <v>232.90999999999985</v>
      </c>
      <c r="G11" s="25">
        <f t="shared" si="1"/>
        <v>2632.91</v>
      </c>
      <c r="H11" s="25">
        <f t="shared" si="2"/>
        <v>2400</v>
      </c>
      <c r="I11" s="25">
        <f t="shared" si="3"/>
        <v>232.90999999999985</v>
      </c>
      <c r="J11" s="18">
        <f t="shared" si="4"/>
        <v>9.7045833333333276E-2</v>
      </c>
      <c r="K11" s="17" t="s">
        <v>74</v>
      </c>
    </row>
    <row r="12" spans="1:11" x14ac:dyDescent="0.25">
      <c r="A12" s="16">
        <v>45990</v>
      </c>
      <c r="B12" s="17" t="s">
        <v>30</v>
      </c>
      <c r="C12" s="17">
        <v>1</v>
      </c>
      <c r="D12" s="17">
        <v>2430.37</v>
      </c>
      <c r="E12" s="17">
        <v>2350</v>
      </c>
      <c r="F12" s="17">
        <f t="shared" si="0"/>
        <v>80.369999999999891</v>
      </c>
      <c r="G12" s="25">
        <f t="shared" si="1"/>
        <v>2430.37</v>
      </c>
      <c r="H12" s="25">
        <f t="shared" si="2"/>
        <v>2350</v>
      </c>
      <c r="I12" s="25">
        <f t="shared" si="3"/>
        <v>80.369999999999891</v>
      </c>
      <c r="J12" s="18">
        <f t="shared" si="4"/>
        <v>3.4199999999999953E-2</v>
      </c>
      <c r="K12" s="17" t="s">
        <v>74</v>
      </c>
    </row>
    <row r="13" spans="1:11" x14ac:dyDescent="0.25">
      <c r="A13" s="16">
        <v>45990</v>
      </c>
      <c r="B13" s="17" t="s">
        <v>99</v>
      </c>
      <c r="C13" s="17">
        <v>1</v>
      </c>
      <c r="D13" s="17">
        <v>2025.31</v>
      </c>
      <c r="E13" s="17">
        <v>1950</v>
      </c>
      <c r="F13" s="17">
        <f t="shared" si="0"/>
        <v>75.309999999999945</v>
      </c>
      <c r="G13" s="25">
        <f t="shared" si="1"/>
        <v>2025.31</v>
      </c>
      <c r="H13" s="25">
        <f t="shared" si="2"/>
        <v>1950</v>
      </c>
      <c r="I13" s="25">
        <f t="shared" si="3"/>
        <v>75.309999999999945</v>
      </c>
      <c r="J13" s="18">
        <f t="shared" si="4"/>
        <v>3.8620512820512792E-2</v>
      </c>
      <c r="K13" s="17" t="s">
        <v>74</v>
      </c>
    </row>
    <row r="14" spans="1:11" x14ac:dyDescent="0.25">
      <c r="A14" s="16">
        <v>45978</v>
      </c>
      <c r="B14" s="17" t="s">
        <v>11</v>
      </c>
      <c r="C14" s="17">
        <v>1</v>
      </c>
      <c r="D14" s="17">
        <v>4025.31</v>
      </c>
      <c r="E14" s="17">
        <v>3075</v>
      </c>
      <c r="F14" s="17">
        <f t="shared" si="0"/>
        <v>950.31</v>
      </c>
      <c r="G14" s="25">
        <f t="shared" si="1"/>
        <v>4025.31</v>
      </c>
      <c r="H14" s="25">
        <f t="shared" si="2"/>
        <v>3075</v>
      </c>
      <c r="I14" s="25">
        <f t="shared" si="3"/>
        <v>950.31</v>
      </c>
      <c r="J14" s="18">
        <f t="shared" si="4"/>
        <v>0.30904390243902435</v>
      </c>
      <c r="K14" s="17" t="s">
        <v>40</v>
      </c>
    </row>
    <row r="15" spans="1:11" x14ac:dyDescent="0.25">
      <c r="A15" s="16">
        <v>45978</v>
      </c>
      <c r="B15" s="17" t="s">
        <v>12</v>
      </c>
      <c r="C15" s="17">
        <v>1</v>
      </c>
      <c r="D15" s="17">
        <v>2949.36</v>
      </c>
      <c r="E15" s="17">
        <v>2750</v>
      </c>
      <c r="F15" s="17">
        <f t="shared" si="0"/>
        <v>199.36000000000013</v>
      </c>
      <c r="G15" s="25">
        <f t="shared" si="1"/>
        <v>2949.36</v>
      </c>
      <c r="H15" s="25">
        <f t="shared" si="2"/>
        <v>2750</v>
      </c>
      <c r="I15" s="25">
        <f t="shared" si="3"/>
        <v>199.36000000000013</v>
      </c>
      <c r="J15" s="18">
        <f t="shared" si="4"/>
        <v>7.2494545454545506E-2</v>
      </c>
      <c r="K15" s="17" t="s">
        <v>40</v>
      </c>
    </row>
    <row r="16" spans="1:11" x14ac:dyDescent="0.25">
      <c r="A16" s="16">
        <v>45978</v>
      </c>
      <c r="B16" s="17" t="s">
        <v>39</v>
      </c>
      <c r="C16" s="17">
        <v>1</v>
      </c>
      <c r="D16" s="17">
        <v>2784.81</v>
      </c>
      <c r="E16" s="17">
        <v>2600</v>
      </c>
      <c r="F16" s="17">
        <f t="shared" si="0"/>
        <v>184.80999999999995</v>
      </c>
      <c r="G16" s="25">
        <f t="shared" si="1"/>
        <v>2784.81</v>
      </c>
      <c r="H16" s="25">
        <f t="shared" si="2"/>
        <v>2600</v>
      </c>
      <c r="I16" s="25">
        <f t="shared" si="3"/>
        <v>184.80999999999995</v>
      </c>
      <c r="J16" s="18">
        <f t="shared" si="4"/>
        <v>7.1080769230769211E-2</v>
      </c>
      <c r="K16" s="17" t="s">
        <v>40</v>
      </c>
    </row>
    <row r="17" spans="1:11" x14ac:dyDescent="0.25">
      <c r="A17" s="16">
        <v>45978</v>
      </c>
      <c r="B17" s="17" t="s">
        <v>30</v>
      </c>
      <c r="C17" s="17">
        <v>1</v>
      </c>
      <c r="D17" s="17">
        <v>2367.08</v>
      </c>
      <c r="E17" s="17">
        <v>2250</v>
      </c>
      <c r="F17" s="17">
        <f t="shared" si="0"/>
        <v>117.07999999999993</v>
      </c>
      <c r="G17" s="25">
        <f t="shared" si="1"/>
        <v>2367.08</v>
      </c>
      <c r="H17" s="25">
        <f t="shared" si="2"/>
        <v>2250</v>
      </c>
      <c r="I17" s="25">
        <f t="shared" si="3"/>
        <v>117.07999999999993</v>
      </c>
      <c r="J17" s="18">
        <f t="shared" si="4"/>
        <v>5.2035555555555522E-2</v>
      </c>
      <c r="K17" s="17" t="s">
        <v>40</v>
      </c>
    </row>
    <row r="18" spans="1:11" x14ac:dyDescent="0.25">
      <c r="G18" s="27">
        <f t="shared" ref="G18:I18" si="5">SUM(G2:G17)</f>
        <v>163469.80999999994</v>
      </c>
      <c r="H18" s="27">
        <f t="shared" si="5"/>
        <v>159589.62</v>
      </c>
      <c r="I18" s="27">
        <f t="shared" si="5"/>
        <v>3880.1899999999996</v>
      </c>
      <c r="J18" s="28">
        <f>AVERAGE(J2:J17)</f>
        <v>8.0105913885317986E-2</v>
      </c>
      <c r="K18" s="8"/>
    </row>
    <row r="23" spans="1:11" x14ac:dyDescent="0.25">
      <c r="B23" s="29" t="s">
        <v>132</v>
      </c>
      <c r="C23" s="30" t="s">
        <v>112</v>
      </c>
    </row>
    <row r="24" spans="1:11" x14ac:dyDescent="0.25">
      <c r="B24" s="36" t="s">
        <v>134</v>
      </c>
      <c r="C24" s="36">
        <v>791</v>
      </c>
    </row>
    <row r="25" spans="1:11" x14ac:dyDescent="0.25">
      <c r="B25" s="36" t="s">
        <v>133</v>
      </c>
      <c r="C25" s="36">
        <v>19000</v>
      </c>
    </row>
    <row r="26" spans="1:11" x14ac:dyDescent="0.25">
      <c r="B26" s="36" t="s">
        <v>135</v>
      </c>
      <c r="C26" s="36">
        <v>24156</v>
      </c>
    </row>
    <row r="27" spans="1:11" x14ac:dyDescent="0.25">
      <c r="B27" s="36" t="s">
        <v>136</v>
      </c>
      <c r="C27" s="36">
        <v>630</v>
      </c>
    </row>
    <row r="28" spans="1:11" x14ac:dyDescent="0.25">
      <c r="B28" s="36" t="s">
        <v>137</v>
      </c>
      <c r="C28" s="36">
        <v>144</v>
      </c>
    </row>
    <row r="29" spans="1:11" x14ac:dyDescent="0.25">
      <c r="B29" s="36" t="s">
        <v>138</v>
      </c>
      <c r="C29" s="36">
        <v>4734</v>
      </c>
    </row>
    <row r="30" spans="1:11" x14ac:dyDescent="0.25">
      <c r="B30" s="36" t="s">
        <v>139</v>
      </c>
      <c r="C30" s="36">
        <v>2409</v>
      </c>
    </row>
    <row r="31" spans="1:11" x14ac:dyDescent="0.25">
      <c r="B31" s="31" t="s">
        <v>120</v>
      </c>
      <c r="C31" s="32">
        <f>SUM(C24:C30)</f>
        <v>51864</v>
      </c>
    </row>
    <row r="32" spans="1:11" x14ac:dyDescent="0.25">
      <c r="B32" s="36"/>
      <c r="C32" s="36"/>
    </row>
    <row r="33" spans="2:3" ht="18.75" x14ac:dyDescent="0.3">
      <c r="B33" s="5" t="s">
        <v>140</v>
      </c>
      <c r="C33" s="40">
        <f>I18-C31</f>
        <v>-47983.81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Australia</vt:lpstr>
      <vt:lpstr>Usa</vt:lpstr>
      <vt:lpstr>Newzealand</vt:lpstr>
      <vt:lpstr>Khi &amp; Dxb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2025-11-11T18:30:25Z</dcterms:created>
  <dcterms:modified xsi:type="dcterms:W3CDTF">2026-05-09T15:50:50Z</dcterms:modified>
</cp:coreProperties>
</file>