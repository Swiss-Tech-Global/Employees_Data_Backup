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ales Reports 2025\"/>
    </mc:Choice>
  </mc:AlternateContent>
  <xr:revisionPtr revIDLastSave="0" documentId="13_ncr:1_{3AE71D71-ECE0-4EE9-9561-F0F62E0F851D}" xr6:coauthVersionLast="47" xr6:coauthVersionMax="47" xr10:uidLastSave="{00000000-0000-0000-0000-000000000000}"/>
  <bookViews>
    <workbookView xWindow="19090" yWindow="-110" windowWidth="19420" windowHeight="10300" xr2:uid="{42831E90-D75A-4D12-A40B-436A6738C9A3}"/>
  </bookViews>
  <sheets>
    <sheet name="Sales" sheetId="1" r:id="rId1"/>
    <sheet name="GS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2" i="1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3" i="2"/>
  <c r="K109" i="1"/>
  <c r="J109" i="1"/>
  <c r="L109" i="1"/>
  <c r="L99" i="1"/>
  <c r="L100" i="1"/>
  <c r="L101" i="1"/>
  <c r="L102" i="1"/>
  <c r="L103" i="1"/>
  <c r="L104" i="1"/>
  <c r="L105" i="1"/>
  <c r="L106" i="1"/>
  <c r="L107" i="1"/>
  <c r="K99" i="1"/>
  <c r="K100" i="1"/>
  <c r="K101" i="1"/>
  <c r="K102" i="1"/>
  <c r="K103" i="1"/>
  <c r="K104" i="1"/>
  <c r="K105" i="1"/>
  <c r="K106" i="1"/>
  <c r="K107" i="1"/>
  <c r="J98" i="1"/>
  <c r="J99" i="1"/>
  <c r="J100" i="1"/>
  <c r="J101" i="1"/>
  <c r="J102" i="1"/>
  <c r="J103" i="1"/>
  <c r="J104" i="1"/>
  <c r="J105" i="1"/>
  <c r="J106" i="1"/>
  <c r="J107" i="1"/>
  <c r="I98" i="1"/>
  <c r="I99" i="1"/>
  <c r="I100" i="1"/>
  <c r="I101" i="1"/>
  <c r="I102" i="1"/>
  <c r="I103" i="1"/>
  <c r="I104" i="1"/>
  <c r="I105" i="1"/>
  <c r="I106" i="1"/>
  <c r="I107" i="1"/>
  <c r="H99" i="1"/>
  <c r="H100" i="1"/>
  <c r="H101" i="1"/>
  <c r="H103" i="1"/>
  <c r="H104" i="1"/>
  <c r="H105" i="1"/>
  <c r="H106" i="1"/>
  <c r="H107" i="1"/>
  <c r="H98" i="1"/>
  <c r="H97" i="1"/>
  <c r="I97" i="1"/>
  <c r="K97" i="1"/>
  <c r="L97" i="1" s="1"/>
  <c r="J9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76" i="1"/>
  <c r="L77" i="1"/>
  <c r="L83" i="1"/>
  <c r="L84" i="1"/>
  <c r="L85" i="1"/>
  <c r="L91" i="1"/>
  <c r="L92" i="1"/>
  <c r="L93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J77" i="1"/>
  <c r="J78" i="1"/>
  <c r="L78" i="1" s="1"/>
  <c r="J79" i="1"/>
  <c r="L79" i="1" s="1"/>
  <c r="J80" i="1"/>
  <c r="L80" i="1" s="1"/>
  <c r="J81" i="1"/>
  <c r="L81" i="1" s="1"/>
  <c r="J82" i="1"/>
  <c r="L82" i="1" s="1"/>
  <c r="J83" i="1"/>
  <c r="J84" i="1"/>
  <c r="J85" i="1"/>
  <c r="J86" i="1"/>
  <c r="L86" i="1" s="1"/>
  <c r="J87" i="1"/>
  <c r="L87" i="1" s="1"/>
  <c r="J88" i="1"/>
  <c r="L88" i="1" s="1"/>
  <c r="J89" i="1"/>
  <c r="L89" i="1" s="1"/>
  <c r="J90" i="1"/>
  <c r="L90" i="1" s="1"/>
  <c r="J91" i="1"/>
  <c r="J92" i="1"/>
  <c r="J93" i="1"/>
  <c r="J94" i="1"/>
  <c r="L94" i="1" s="1"/>
  <c r="J95" i="1"/>
  <c r="L95" i="1" s="1"/>
  <c r="J96" i="1"/>
  <c r="L96" i="1" s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3" i="1"/>
  <c r="H109" i="2" l="1"/>
  <c r="K98" i="1"/>
  <c r="L98" i="1" s="1"/>
</calcChain>
</file>

<file path=xl/sharedStrings.xml><?xml version="1.0" encoding="utf-8"?>
<sst xmlns="http://schemas.openxmlformats.org/spreadsheetml/2006/main" count="232" uniqueCount="61">
  <si>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</si>
  <si>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</si>
  <si>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</si>
  <si>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</si>
  <si>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</si>
  <si>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</si>
  <si>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</si>
  <si>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</si>
  <si>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</si>
  <si>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Per Unit GST</t>
  </si>
  <si>
    <t>PS5</t>
  </si>
  <si>
    <t>Macbook M4</t>
  </si>
  <si>
    <t>Starlink V4</t>
  </si>
  <si>
    <t>INSTAX MINI 12</t>
  </si>
  <si>
    <t>INSTAX MINI 99 BUNDEL</t>
  </si>
  <si>
    <t>INSTAX MINI 99</t>
  </si>
  <si>
    <t xml:space="preserve"> INSTAX WIDE 400</t>
  </si>
  <si>
    <t>INSTAX MINI EVO</t>
  </si>
  <si>
    <t>CHROME CAST</t>
  </si>
  <si>
    <t>AIRPODS</t>
  </si>
  <si>
    <t>Macbook Air 24/512 GB</t>
  </si>
  <si>
    <t>Meta Quest 3 512</t>
  </si>
  <si>
    <t>CD PS5 DRAGON AGE</t>
  </si>
  <si>
    <t>PS5 Hard Drive</t>
  </si>
  <si>
    <t>Macbook Pro 16/512</t>
  </si>
  <si>
    <t>iPhone16 Pro Max 256</t>
  </si>
  <si>
    <t>APPLE I MAC</t>
  </si>
  <si>
    <t>Macbook Air 15 24/512 GB</t>
  </si>
  <si>
    <t>Ps5 Controller Dual sense</t>
  </si>
  <si>
    <t>PS5 SSD 2TB</t>
  </si>
  <si>
    <t>RAYBAN GLASSES</t>
  </si>
  <si>
    <t>PLAY STATION PORTAL</t>
  </si>
  <si>
    <t>MACBOOK M4</t>
  </si>
  <si>
    <t>iPhone16 Pro 256</t>
  </si>
  <si>
    <t>iPhone16 Pro 128</t>
  </si>
  <si>
    <t>Meta Quest 3s 256</t>
  </si>
  <si>
    <t>SONY BUDS</t>
  </si>
  <si>
    <t>APPLE AIRPODS PRO</t>
  </si>
  <si>
    <t>Starlink MINI</t>
  </si>
  <si>
    <t>Macbook Pro 16/1TB</t>
  </si>
  <si>
    <t>Instax mini Camers (Dubai Purchase)</t>
  </si>
  <si>
    <t>BREVILLE COFFEE MACHINE</t>
  </si>
  <si>
    <t>DELONGI COFFEE MACHINE</t>
  </si>
  <si>
    <t>DJI MAVIC PRO RC</t>
  </si>
  <si>
    <t>Macbook M4 new</t>
  </si>
  <si>
    <t>INSTAX MINI 40</t>
  </si>
  <si>
    <t>Meta Quest 3s 128</t>
  </si>
  <si>
    <t>INSTAX Li PLAY</t>
  </si>
  <si>
    <t>DJI OSMO POCKET 3</t>
  </si>
  <si>
    <t>INSTAX FLIM 20 PACK</t>
  </si>
  <si>
    <t>DJI MAVIC PRO RC COMBO</t>
  </si>
  <si>
    <t>iPhone 15 Pro 256</t>
  </si>
  <si>
    <t>iPhone 16 128</t>
  </si>
  <si>
    <t>iPhone 14 Pro Max 128</t>
  </si>
  <si>
    <t>Samsung Galaxy S25 Plus 256</t>
  </si>
  <si>
    <t>IPHONE 13 128</t>
  </si>
  <si>
    <t>Purchase After GST</t>
  </si>
  <si>
    <t>Total Purchase</t>
  </si>
  <si>
    <t>Profit</t>
  </si>
  <si>
    <t>Total GST</t>
  </si>
  <si>
    <t>Total GST as per sales for the month of April-2025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</si>
</sst>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0_ ;\-0\ 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0" fillId="3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42" fontId="3" fillId="2" borderId="0" xfId="0" applyNumberFormat="1" applyFont="1" applyFill="1" applyAlignment="1">
      <alignment horizontal="center"/>
    </xf>
    <xf numFmtId="44" fontId="0" fillId="5" borderId="1" xfId="0" applyNumberFormat="1" applyFill="1" applyBorder="1" applyAlignment="1">
      <alignment horizontal="center"/>
    </xf>
    <xf numFmtId="44" fontId="0" fillId="6" borderId="1" xfId="0" applyNumberFormat="1" applyFill="1" applyBorder="1" applyAlignment="1">
      <alignment horizontal="center"/>
    </xf>
    <xf numFmtId="44" fontId="0" fillId="4" borderId="1" xfId="0" applyNumberFormat="1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44" fontId="0" fillId="0" borderId="0" xfId="0" applyNumberFormat="1"/>
    <xf numFmtId="44" fontId="0" fillId="5" borderId="0" xfId="0" applyNumberFormat="1" applyFill="1" applyAlignment="1">
      <alignment horizontal="center"/>
    </xf>
    <xf numFmtId="44" fontId="0" fillId="6" borderId="0" xfId="0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4" fillId="9" borderId="1" xfId="0" applyNumberFormat="1" applyFont="1" applyFill="1" applyBorder="1"/>
    <xf numFmtId="164" fontId="2" fillId="2" borderId="0" xfId="0" applyNumberFormat="1" applyFont="1" applyFill="1" applyAlignment="1">
      <alignment horizontal="center"/>
    </xf>
    <xf numFmtId="44" fontId="3" fillId="2" borderId="0" xfId="0" applyNumberFormat="1" applyFont="1" applyFill="1" applyAlignment="1">
      <alignment horizontal="center"/>
    </xf>
    <xf numFmtId="44" fontId="0" fillId="0" borderId="0" xfId="0" applyNumberFormat="1" applyAlignment="1">
      <alignment horizontal="center"/>
    </xf>
    <xf numFmtId="0" fontId="4" fillId="10" borderId="0" xfId="0" applyFont="1" applyFill="1"/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D622-792B-4001-8F87-78D6C95902B2}">
  <dimension ref="B2:L109"/>
  <sheetViews>
    <sheetView tabSelected="1" topLeftCell="B1" zoomScale="72" zoomScaleNormal="72" workbookViewId="0">
      <pane ySplit="2" topLeftCell="A3" activePane="bottomLeft" state="frozen"/>
      <selection pane="bottomLeft" activeCell="I10" sqref="I10"/>
    </sheetView>
  </sheetViews>
  <sheetFormatPr defaultRowHeight="18" x14ac:dyDescent="0.35"/>
  <cols>
    <col min="1" max="1" width="4.33203125" customWidth="1"/>
    <col min="2" max="2" width="11.88671875" customWidth="1"/>
    <col min="3" max="3" width="35.5546875" customWidth="1"/>
    <col min="4" max="4" width="6.6640625" style="1" customWidth="1"/>
    <col min="5" max="5" width="23.109375" customWidth="1"/>
    <col min="6" max="6" width="29.6640625" customWidth="1"/>
    <col min="7" max="7" width="23" customWidth="1"/>
    <col min="8" max="8" width="34" customWidth="1"/>
    <col min="9" max="9" width="24.44140625" customWidth="1"/>
    <col min="10" max="10" width="20.21875" customWidth="1"/>
    <col min="11" max="11" width="25.21875" customWidth="1"/>
    <col min="12" max="12" width="18.109375" customWidth="1"/>
  </cols>
  <sheetData>
    <row r="2" spans="2:12" ht="23.4" x14ac:dyDescent="0.45">
      <c r="B2" s="21" t="s">
        <v>0</v>
      </c>
      <c r="C2" s="21" t="s">
        <v>1</v>
      </c>
      <c r="D2" s="22" t="s">
        <v>2</v>
      </c>
      <c r="E2" s="23" t="s">
        <v>3</v>
      </c>
      <c r="F2" s="21" t="s">
        <v>4</v>
      </c>
      <c r="G2" s="21" t="s">
        <v>9</v>
      </c>
      <c r="H2" s="21" t="s">
        <v>56</v>
      </c>
      <c r="I2" s="21" t="s">
        <v>5</v>
      </c>
      <c r="J2" s="21" t="s">
        <v>6</v>
      </c>
      <c r="K2" s="23" t="s">
        <v>7</v>
      </c>
      <c r="L2" s="24" t="s">
        <v>8</v>
      </c>
    </row>
    <row r="3" spans="2:12" x14ac:dyDescent="0.35">
      <c r="B3" s="16">
        <v>45755</v>
      </c>
      <c r="C3" s="2" t="s">
        <v>10</v>
      </c>
      <c r="D3" s="17">
        <v>10</v>
      </c>
      <c r="E3" s="11">
        <v>1655</v>
      </c>
      <c r="F3" s="12">
        <v>1590</v>
      </c>
      <c r="G3" s="13">
        <v>0</v>
      </c>
      <c r="H3" s="12">
        <f>F3-G3</f>
        <v>1590</v>
      </c>
      <c r="I3" s="14">
        <f>E3-H3</f>
        <v>65</v>
      </c>
      <c r="J3" s="25">
        <f>E3*D3</f>
        <v>16550</v>
      </c>
      <c r="K3" s="26">
        <f>H3*D3</f>
        <v>15900</v>
      </c>
      <c r="L3" s="27">
        <f>J3-K3</f>
        <v>650</v>
      </c>
    </row>
    <row r="4" spans="2:12" x14ac:dyDescent="0.35">
      <c r="B4" s="18">
        <v>45755</v>
      </c>
      <c r="C4" s="9" t="s">
        <v>11</v>
      </c>
      <c r="D4" s="19">
        <v>2</v>
      </c>
      <c r="E4" s="15">
        <v>4280</v>
      </c>
      <c r="F4" s="15">
        <v>5537.77</v>
      </c>
      <c r="G4" s="15">
        <v>503.43</v>
      </c>
      <c r="H4" s="15">
        <f t="shared" ref="H4:H67" si="0">F4-G4</f>
        <v>5034.34</v>
      </c>
      <c r="I4" s="15">
        <f t="shared" ref="I4:I67" si="1">E4-H4</f>
        <v>-754.34000000000015</v>
      </c>
      <c r="J4" s="28">
        <f t="shared" ref="J4:J67" si="2">E4*D4</f>
        <v>8560</v>
      </c>
      <c r="K4" s="28">
        <f t="shared" ref="K4:K67" si="3">H4*D4</f>
        <v>10068.68</v>
      </c>
      <c r="L4" s="28">
        <f t="shared" ref="L4:L67" si="4">J4-K4</f>
        <v>-1508.6800000000003</v>
      </c>
    </row>
    <row r="5" spans="2:12" x14ac:dyDescent="0.35">
      <c r="B5" s="16">
        <v>45756</v>
      </c>
      <c r="C5" s="2" t="s">
        <v>12</v>
      </c>
      <c r="D5" s="17">
        <v>50</v>
      </c>
      <c r="E5" s="11">
        <v>1125</v>
      </c>
      <c r="F5" s="12">
        <v>1112.8</v>
      </c>
      <c r="G5" s="13">
        <v>144.66</v>
      </c>
      <c r="H5" s="12">
        <f t="shared" si="0"/>
        <v>968.14</v>
      </c>
      <c r="I5" s="14">
        <f t="shared" si="1"/>
        <v>156.86000000000001</v>
      </c>
      <c r="J5" s="25">
        <f t="shared" si="2"/>
        <v>56250</v>
      </c>
      <c r="K5" s="26">
        <f t="shared" si="3"/>
        <v>48407</v>
      </c>
      <c r="L5" s="27">
        <f t="shared" si="4"/>
        <v>7843</v>
      </c>
    </row>
    <row r="6" spans="2:12" x14ac:dyDescent="0.35">
      <c r="B6" s="16">
        <v>45756</v>
      </c>
      <c r="C6" s="4" t="s">
        <v>13</v>
      </c>
      <c r="D6" s="17">
        <v>15</v>
      </c>
      <c r="E6" s="11">
        <v>245</v>
      </c>
      <c r="F6" s="12">
        <v>205.04</v>
      </c>
      <c r="G6" s="13">
        <v>18.64</v>
      </c>
      <c r="H6" s="12">
        <f t="shared" si="0"/>
        <v>186.39999999999998</v>
      </c>
      <c r="I6" s="14">
        <f t="shared" si="1"/>
        <v>58.600000000000023</v>
      </c>
      <c r="J6" s="25">
        <f t="shared" si="2"/>
        <v>3675</v>
      </c>
      <c r="K6" s="26">
        <f t="shared" si="3"/>
        <v>2795.9999999999995</v>
      </c>
      <c r="L6" s="27">
        <f t="shared" si="4"/>
        <v>879.00000000000045</v>
      </c>
    </row>
    <row r="7" spans="2:12" x14ac:dyDescent="0.35">
      <c r="B7" s="16">
        <v>45756</v>
      </c>
      <c r="C7" s="4" t="s">
        <v>14</v>
      </c>
      <c r="D7" s="17">
        <v>23</v>
      </c>
      <c r="E7" s="11">
        <v>635</v>
      </c>
      <c r="F7" s="12">
        <v>535.86</v>
      </c>
      <c r="G7" s="13">
        <v>48.7</v>
      </c>
      <c r="H7" s="12">
        <f t="shared" si="0"/>
        <v>487.16</v>
      </c>
      <c r="I7" s="14">
        <f t="shared" si="1"/>
        <v>147.83999999999997</v>
      </c>
      <c r="J7" s="25">
        <f t="shared" si="2"/>
        <v>14605</v>
      </c>
      <c r="K7" s="26">
        <f t="shared" si="3"/>
        <v>11204.68</v>
      </c>
      <c r="L7" s="27">
        <f t="shared" si="4"/>
        <v>3400.3199999999997</v>
      </c>
    </row>
    <row r="8" spans="2:12" x14ac:dyDescent="0.35">
      <c r="B8" s="16">
        <v>45756</v>
      </c>
      <c r="C8" s="4" t="s">
        <v>15</v>
      </c>
      <c r="D8" s="17">
        <v>1</v>
      </c>
      <c r="E8" s="11">
        <v>635</v>
      </c>
      <c r="F8" s="12">
        <v>535.86</v>
      </c>
      <c r="G8" s="13">
        <v>48.7</v>
      </c>
      <c r="H8" s="12">
        <f t="shared" si="0"/>
        <v>487.16</v>
      </c>
      <c r="I8" s="14">
        <f t="shared" si="1"/>
        <v>147.83999999999997</v>
      </c>
      <c r="J8" s="25">
        <f t="shared" si="2"/>
        <v>635</v>
      </c>
      <c r="K8" s="26">
        <f t="shared" si="3"/>
        <v>487.16</v>
      </c>
      <c r="L8" s="27">
        <f t="shared" si="4"/>
        <v>147.83999999999997</v>
      </c>
    </row>
    <row r="9" spans="2:12" x14ac:dyDescent="0.35">
      <c r="B9" s="16">
        <v>45756</v>
      </c>
      <c r="C9" s="4" t="s">
        <v>16</v>
      </c>
      <c r="D9" s="17">
        <v>1</v>
      </c>
      <c r="E9" s="11">
        <v>510</v>
      </c>
      <c r="F9" s="12">
        <v>446.5</v>
      </c>
      <c r="G9" s="13">
        <v>40.590000000000003</v>
      </c>
      <c r="H9" s="12">
        <f t="shared" si="0"/>
        <v>405.90999999999997</v>
      </c>
      <c r="I9" s="14">
        <f t="shared" si="1"/>
        <v>104.09000000000003</v>
      </c>
      <c r="J9" s="25">
        <f t="shared" si="2"/>
        <v>510</v>
      </c>
      <c r="K9" s="26">
        <f t="shared" si="3"/>
        <v>405.90999999999997</v>
      </c>
      <c r="L9" s="27">
        <f t="shared" si="4"/>
        <v>104.09000000000003</v>
      </c>
    </row>
    <row r="10" spans="2:12" x14ac:dyDescent="0.35">
      <c r="B10" s="16">
        <v>45756</v>
      </c>
      <c r="C10" s="4" t="s">
        <v>17</v>
      </c>
      <c r="D10" s="17">
        <v>7</v>
      </c>
      <c r="E10" s="11">
        <v>680</v>
      </c>
      <c r="F10" s="12">
        <v>521.6</v>
      </c>
      <c r="G10" s="13">
        <v>47.41</v>
      </c>
      <c r="H10" s="12">
        <f t="shared" si="0"/>
        <v>474.19000000000005</v>
      </c>
      <c r="I10" s="14">
        <f t="shared" si="1"/>
        <v>205.80999999999995</v>
      </c>
      <c r="J10" s="25">
        <f t="shared" si="2"/>
        <v>4760</v>
      </c>
      <c r="K10" s="26">
        <f t="shared" si="3"/>
        <v>3319.3300000000004</v>
      </c>
      <c r="L10" s="27">
        <f t="shared" si="4"/>
        <v>1440.6699999999996</v>
      </c>
    </row>
    <row r="11" spans="2:12" x14ac:dyDescent="0.35">
      <c r="B11" s="16">
        <v>45756</v>
      </c>
      <c r="C11" s="7" t="s">
        <v>18</v>
      </c>
      <c r="D11" s="17">
        <v>100</v>
      </c>
      <c r="E11" s="11">
        <v>305</v>
      </c>
      <c r="F11" s="12">
        <v>318.86</v>
      </c>
      <c r="G11" s="13">
        <v>41.45</v>
      </c>
      <c r="H11" s="12">
        <f t="shared" si="0"/>
        <v>277.41000000000003</v>
      </c>
      <c r="I11" s="14">
        <f t="shared" si="1"/>
        <v>27.589999999999975</v>
      </c>
      <c r="J11" s="25">
        <f t="shared" si="2"/>
        <v>30500</v>
      </c>
      <c r="K11" s="26">
        <f t="shared" si="3"/>
        <v>27741.000000000004</v>
      </c>
      <c r="L11" s="27">
        <f t="shared" si="4"/>
        <v>2758.9999999999964</v>
      </c>
    </row>
    <row r="12" spans="2:12" x14ac:dyDescent="0.35">
      <c r="B12" s="16">
        <v>45756</v>
      </c>
      <c r="C12" s="4" t="s">
        <v>19</v>
      </c>
      <c r="D12" s="17">
        <v>4</v>
      </c>
      <c r="E12" s="11">
        <v>545</v>
      </c>
      <c r="F12" s="12">
        <v>0</v>
      </c>
      <c r="G12" s="13">
        <v>0</v>
      </c>
      <c r="H12" s="12">
        <f t="shared" si="0"/>
        <v>0</v>
      </c>
      <c r="I12" s="14">
        <f t="shared" si="1"/>
        <v>545</v>
      </c>
      <c r="J12" s="25">
        <f t="shared" si="2"/>
        <v>2180</v>
      </c>
      <c r="K12" s="26">
        <f t="shared" si="3"/>
        <v>0</v>
      </c>
      <c r="L12" s="27">
        <f t="shared" si="4"/>
        <v>2180</v>
      </c>
    </row>
    <row r="13" spans="2:12" x14ac:dyDescent="0.35">
      <c r="B13" s="16">
        <v>45756</v>
      </c>
      <c r="C13" s="2" t="s">
        <v>20</v>
      </c>
      <c r="D13" s="17">
        <v>6</v>
      </c>
      <c r="E13" s="11">
        <v>5100</v>
      </c>
      <c r="F13" s="12">
        <v>4869.6767</v>
      </c>
      <c r="G13" s="13">
        <v>442.697</v>
      </c>
      <c r="H13" s="12">
        <f t="shared" si="0"/>
        <v>4426.9796999999999</v>
      </c>
      <c r="I13" s="14">
        <f t="shared" si="1"/>
        <v>673.02030000000013</v>
      </c>
      <c r="J13" s="25">
        <f t="shared" si="2"/>
        <v>30600</v>
      </c>
      <c r="K13" s="26">
        <f t="shared" si="3"/>
        <v>26561.878199999999</v>
      </c>
      <c r="L13" s="27">
        <f t="shared" si="4"/>
        <v>4038.1218000000008</v>
      </c>
    </row>
    <row r="14" spans="2:12" x14ac:dyDescent="0.35">
      <c r="B14" s="16">
        <v>45756</v>
      </c>
      <c r="C14" s="2" t="s">
        <v>10</v>
      </c>
      <c r="D14" s="17">
        <v>33</v>
      </c>
      <c r="E14" s="11">
        <v>1655</v>
      </c>
      <c r="F14" s="12">
        <v>1593.72</v>
      </c>
      <c r="G14" s="13">
        <v>144.88</v>
      </c>
      <c r="H14" s="12">
        <f t="shared" si="0"/>
        <v>1448.8400000000001</v>
      </c>
      <c r="I14" s="14">
        <f t="shared" si="1"/>
        <v>206.15999999999985</v>
      </c>
      <c r="J14" s="25">
        <f t="shared" si="2"/>
        <v>54615</v>
      </c>
      <c r="K14" s="26">
        <f t="shared" si="3"/>
        <v>47811.72</v>
      </c>
      <c r="L14" s="27">
        <f t="shared" si="4"/>
        <v>6803.2799999999988</v>
      </c>
    </row>
    <row r="15" spans="2:12" x14ac:dyDescent="0.35">
      <c r="B15" s="16">
        <v>45756</v>
      </c>
      <c r="C15" s="2" t="s">
        <v>10</v>
      </c>
      <c r="D15" s="17">
        <v>10</v>
      </c>
      <c r="E15" s="11">
        <v>1655</v>
      </c>
      <c r="F15" s="12">
        <v>1250.6400000000001</v>
      </c>
      <c r="G15" s="13">
        <v>162.58000000000001</v>
      </c>
      <c r="H15" s="12">
        <f t="shared" si="0"/>
        <v>1088.0600000000002</v>
      </c>
      <c r="I15" s="14">
        <f t="shared" si="1"/>
        <v>566.93999999999983</v>
      </c>
      <c r="J15" s="25">
        <f t="shared" si="2"/>
        <v>16550</v>
      </c>
      <c r="K15" s="26">
        <f t="shared" si="3"/>
        <v>10880.600000000002</v>
      </c>
      <c r="L15" s="27">
        <f t="shared" si="4"/>
        <v>5669.3999999999978</v>
      </c>
    </row>
    <row r="16" spans="2:12" x14ac:dyDescent="0.35">
      <c r="B16" s="16">
        <v>45756</v>
      </c>
      <c r="C16" s="2" t="s">
        <v>10</v>
      </c>
      <c r="D16" s="17">
        <v>2</v>
      </c>
      <c r="E16" s="11">
        <v>1540</v>
      </c>
      <c r="F16" s="12">
        <v>1593.72</v>
      </c>
      <c r="G16" s="13">
        <v>144.88</v>
      </c>
      <c r="H16" s="12">
        <f t="shared" si="0"/>
        <v>1448.8400000000001</v>
      </c>
      <c r="I16" s="14">
        <f t="shared" si="1"/>
        <v>91.159999999999854</v>
      </c>
      <c r="J16" s="25">
        <f t="shared" si="2"/>
        <v>3080</v>
      </c>
      <c r="K16" s="26">
        <f t="shared" si="3"/>
        <v>2897.6800000000003</v>
      </c>
      <c r="L16" s="27">
        <f t="shared" si="4"/>
        <v>182.31999999999971</v>
      </c>
    </row>
    <row r="17" spans="2:12" x14ac:dyDescent="0.35">
      <c r="B17" s="16">
        <v>45756</v>
      </c>
      <c r="C17" s="3" t="s">
        <v>21</v>
      </c>
      <c r="D17" s="17">
        <v>2</v>
      </c>
      <c r="E17" s="11">
        <v>1715</v>
      </c>
      <c r="F17" s="12">
        <v>1861.67</v>
      </c>
      <c r="G17" s="13">
        <v>169.24</v>
      </c>
      <c r="H17" s="12">
        <f t="shared" si="0"/>
        <v>1692.43</v>
      </c>
      <c r="I17" s="14">
        <f t="shared" si="1"/>
        <v>22.569999999999936</v>
      </c>
      <c r="J17" s="25">
        <f t="shared" si="2"/>
        <v>3430</v>
      </c>
      <c r="K17" s="26">
        <f t="shared" si="3"/>
        <v>3384.86</v>
      </c>
      <c r="L17" s="27">
        <f t="shared" si="4"/>
        <v>45.139999999999873</v>
      </c>
    </row>
    <row r="18" spans="2:12" x14ac:dyDescent="0.35">
      <c r="B18" s="16">
        <v>45756</v>
      </c>
      <c r="C18" s="4" t="s">
        <v>22</v>
      </c>
      <c r="D18" s="17">
        <v>7</v>
      </c>
      <c r="E18" s="11">
        <v>100</v>
      </c>
      <c r="F18" s="12">
        <v>0</v>
      </c>
      <c r="G18" s="13">
        <v>0</v>
      </c>
      <c r="H18" s="12">
        <f t="shared" si="0"/>
        <v>0</v>
      </c>
      <c r="I18" s="14">
        <f t="shared" si="1"/>
        <v>100</v>
      </c>
      <c r="J18" s="25">
        <f t="shared" si="2"/>
        <v>700</v>
      </c>
      <c r="K18" s="26">
        <f t="shared" si="3"/>
        <v>0</v>
      </c>
      <c r="L18" s="27">
        <f t="shared" si="4"/>
        <v>700</v>
      </c>
    </row>
    <row r="19" spans="2:12" x14ac:dyDescent="0.35">
      <c r="B19" s="16">
        <v>45756</v>
      </c>
      <c r="C19" s="4" t="s">
        <v>23</v>
      </c>
      <c r="D19" s="17">
        <v>1</v>
      </c>
      <c r="E19" s="11">
        <v>345</v>
      </c>
      <c r="F19" s="12">
        <v>347.17</v>
      </c>
      <c r="G19" s="13">
        <v>31.5</v>
      </c>
      <c r="H19" s="12">
        <f t="shared" si="0"/>
        <v>315.67</v>
      </c>
      <c r="I19" s="14">
        <f t="shared" si="1"/>
        <v>29.329999999999984</v>
      </c>
      <c r="J19" s="25">
        <f t="shared" si="2"/>
        <v>345</v>
      </c>
      <c r="K19" s="26">
        <f t="shared" si="3"/>
        <v>315.67</v>
      </c>
      <c r="L19" s="27">
        <f t="shared" si="4"/>
        <v>29.329999999999984</v>
      </c>
    </row>
    <row r="20" spans="2:12" x14ac:dyDescent="0.35">
      <c r="B20" s="16">
        <v>45756</v>
      </c>
      <c r="C20" s="4" t="s">
        <v>24</v>
      </c>
      <c r="D20" s="17">
        <v>2</v>
      </c>
      <c r="E20" s="11">
        <v>5050</v>
      </c>
      <c r="F20" s="12">
        <v>5135.32</v>
      </c>
      <c r="G20" s="13">
        <v>466.84</v>
      </c>
      <c r="H20" s="12">
        <f t="shared" si="0"/>
        <v>4668.4799999999996</v>
      </c>
      <c r="I20" s="14">
        <f t="shared" si="1"/>
        <v>381.52000000000044</v>
      </c>
      <c r="J20" s="25">
        <f t="shared" si="2"/>
        <v>10100</v>
      </c>
      <c r="K20" s="26">
        <f t="shared" si="3"/>
        <v>9336.9599999999991</v>
      </c>
      <c r="L20" s="27">
        <f t="shared" si="4"/>
        <v>763.04000000000087</v>
      </c>
    </row>
    <row r="21" spans="2:12" x14ac:dyDescent="0.35">
      <c r="B21" s="16">
        <v>45756</v>
      </c>
      <c r="C21" s="4" t="s">
        <v>24</v>
      </c>
      <c r="D21" s="17">
        <v>1</v>
      </c>
      <c r="E21" s="11">
        <v>5100</v>
      </c>
      <c r="F21" s="12">
        <v>5135.32</v>
      </c>
      <c r="G21" s="13">
        <v>466.84</v>
      </c>
      <c r="H21" s="12">
        <f t="shared" si="0"/>
        <v>4668.4799999999996</v>
      </c>
      <c r="I21" s="14">
        <f t="shared" si="1"/>
        <v>431.52000000000044</v>
      </c>
      <c r="J21" s="25">
        <f t="shared" si="2"/>
        <v>5100</v>
      </c>
      <c r="K21" s="26">
        <f t="shared" si="3"/>
        <v>4668.4799999999996</v>
      </c>
      <c r="L21" s="27">
        <f t="shared" si="4"/>
        <v>431.52000000000044</v>
      </c>
    </row>
    <row r="22" spans="2:12" x14ac:dyDescent="0.35">
      <c r="B22" s="16">
        <v>45756</v>
      </c>
      <c r="C22" s="2" t="s">
        <v>12</v>
      </c>
      <c r="D22" s="17">
        <v>25</v>
      </c>
      <c r="E22" s="11">
        <v>1085</v>
      </c>
      <c r="F22" s="12">
        <v>1112.8</v>
      </c>
      <c r="G22" s="13">
        <v>144.66</v>
      </c>
      <c r="H22" s="12">
        <f t="shared" si="0"/>
        <v>968.14</v>
      </c>
      <c r="I22" s="14">
        <f t="shared" si="1"/>
        <v>116.86000000000001</v>
      </c>
      <c r="J22" s="25">
        <f t="shared" si="2"/>
        <v>27125</v>
      </c>
      <c r="K22" s="26">
        <f t="shared" si="3"/>
        <v>24203.5</v>
      </c>
      <c r="L22" s="27">
        <f t="shared" si="4"/>
        <v>2921.5</v>
      </c>
    </row>
    <row r="23" spans="2:12" x14ac:dyDescent="0.35">
      <c r="B23" s="16">
        <v>45756</v>
      </c>
      <c r="C23" s="2" t="s">
        <v>12</v>
      </c>
      <c r="D23" s="17">
        <v>4</v>
      </c>
      <c r="E23" s="11">
        <v>1115</v>
      </c>
      <c r="F23" s="12">
        <v>1112.8</v>
      </c>
      <c r="G23" s="13">
        <v>144.66</v>
      </c>
      <c r="H23" s="12">
        <f t="shared" si="0"/>
        <v>968.14</v>
      </c>
      <c r="I23" s="14">
        <f t="shared" si="1"/>
        <v>146.86000000000001</v>
      </c>
      <c r="J23" s="25">
        <f t="shared" si="2"/>
        <v>4460</v>
      </c>
      <c r="K23" s="26">
        <f t="shared" si="3"/>
        <v>3872.56</v>
      </c>
      <c r="L23" s="27">
        <f t="shared" si="4"/>
        <v>587.44000000000005</v>
      </c>
    </row>
    <row r="24" spans="2:12" x14ac:dyDescent="0.35">
      <c r="B24" s="16">
        <v>45756</v>
      </c>
      <c r="C24" s="2" t="s">
        <v>20</v>
      </c>
      <c r="D24" s="17">
        <v>1</v>
      </c>
      <c r="E24" s="11">
        <v>4975</v>
      </c>
      <c r="F24" s="12">
        <v>4869.6767</v>
      </c>
      <c r="G24" s="13">
        <v>442.697</v>
      </c>
      <c r="H24" s="12">
        <f t="shared" si="0"/>
        <v>4426.9796999999999</v>
      </c>
      <c r="I24" s="14">
        <f t="shared" si="1"/>
        <v>548.02030000000013</v>
      </c>
      <c r="J24" s="25">
        <f t="shared" si="2"/>
        <v>4975</v>
      </c>
      <c r="K24" s="26">
        <f t="shared" si="3"/>
        <v>4426.9796999999999</v>
      </c>
      <c r="L24" s="27">
        <f t="shared" si="4"/>
        <v>548.02030000000013</v>
      </c>
    </row>
    <row r="25" spans="2:12" x14ac:dyDescent="0.35">
      <c r="B25" s="16">
        <v>45757</v>
      </c>
      <c r="C25" s="2" t="s">
        <v>20</v>
      </c>
      <c r="D25" s="17">
        <v>4</v>
      </c>
      <c r="E25" s="11">
        <v>5050</v>
      </c>
      <c r="F25" s="12">
        <v>4869.6767</v>
      </c>
      <c r="G25" s="13">
        <v>442.697</v>
      </c>
      <c r="H25" s="12">
        <f t="shared" si="0"/>
        <v>4426.9796999999999</v>
      </c>
      <c r="I25" s="14">
        <f t="shared" si="1"/>
        <v>623.02030000000013</v>
      </c>
      <c r="J25" s="25">
        <f t="shared" si="2"/>
        <v>20200</v>
      </c>
      <c r="K25" s="26">
        <f t="shared" si="3"/>
        <v>17707.918799999999</v>
      </c>
      <c r="L25" s="27">
        <f t="shared" si="4"/>
        <v>2492.0812000000005</v>
      </c>
    </row>
    <row r="26" spans="2:12" x14ac:dyDescent="0.35">
      <c r="B26" s="16">
        <v>45757</v>
      </c>
      <c r="C26" s="2" t="s">
        <v>20</v>
      </c>
      <c r="D26" s="17">
        <v>2</v>
      </c>
      <c r="E26" s="11">
        <v>4975</v>
      </c>
      <c r="F26" s="12">
        <v>4869.6767</v>
      </c>
      <c r="G26" s="13">
        <v>442.697</v>
      </c>
      <c r="H26" s="12">
        <f t="shared" si="0"/>
        <v>4426.9796999999999</v>
      </c>
      <c r="I26" s="14">
        <f t="shared" si="1"/>
        <v>548.02030000000013</v>
      </c>
      <c r="J26" s="25">
        <f t="shared" si="2"/>
        <v>9950</v>
      </c>
      <c r="K26" s="26">
        <f t="shared" si="3"/>
        <v>8853.9593999999997</v>
      </c>
      <c r="L26" s="27">
        <f t="shared" si="4"/>
        <v>1096.0406000000003</v>
      </c>
    </row>
    <row r="27" spans="2:12" x14ac:dyDescent="0.35">
      <c r="B27" s="16">
        <v>45757</v>
      </c>
      <c r="C27" s="4" t="s">
        <v>24</v>
      </c>
      <c r="D27" s="17">
        <v>2</v>
      </c>
      <c r="E27" s="11">
        <v>5025</v>
      </c>
      <c r="F27" s="12">
        <v>5135.32</v>
      </c>
      <c r="G27" s="13">
        <v>466.84</v>
      </c>
      <c r="H27" s="12">
        <f t="shared" si="0"/>
        <v>4668.4799999999996</v>
      </c>
      <c r="I27" s="14">
        <f t="shared" si="1"/>
        <v>356.52000000000044</v>
      </c>
      <c r="J27" s="25">
        <f t="shared" si="2"/>
        <v>10050</v>
      </c>
      <c r="K27" s="26">
        <f t="shared" si="3"/>
        <v>9336.9599999999991</v>
      </c>
      <c r="L27" s="27">
        <f t="shared" si="4"/>
        <v>713.04000000000087</v>
      </c>
    </row>
    <row r="28" spans="2:12" x14ac:dyDescent="0.35">
      <c r="B28" s="16">
        <v>45757</v>
      </c>
      <c r="C28" s="2" t="s">
        <v>12</v>
      </c>
      <c r="D28" s="17">
        <v>10</v>
      </c>
      <c r="E28" s="11">
        <v>1110</v>
      </c>
      <c r="F28" s="12">
        <v>1112.8</v>
      </c>
      <c r="G28" s="13">
        <v>144.66</v>
      </c>
      <c r="H28" s="12">
        <f t="shared" si="0"/>
        <v>968.14</v>
      </c>
      <c r="I28" s="14">
        <f t="shared" si="1"/>
        <v>141.86000000000001</v>
      </c>
      <c r="J28" s="25">
        <f t="shared" si="2"/>
        <v>11100</v>
      </c>
      <c r="K28" s="26">
        <f t="shared" si="3"/>
        <v>9681.4</v>
      </c>
      <c r="L28" s="27">
        <f t="shared" si="4"/>
        <v>1418.6000000000004</v>
      </c>
    </row>
    <row r="29" spans="2:12" x14ac:dyDescent="0.35">
      <c r="B29" s="16">
        <v>45757</v>
      </c>
      <c r="C29" s="5" t="s">
        <v>25</v>
      </c>
      <c r="D29" s="17">
        <v>2</v>
      </c>
      <c r="E29" s="11">
        <v>4140</v>
      </c>
      <c r="F29" s="12">
        <v>4382.7</v>
      </c>
      <c r="G29" s="13">
        <v>398.42</v>
      </c>
      <c r="H29" s="12">
        <f t="shared" si="0"/>
        <v>3984.2799999999997</v>
      </c>
      <c r="I29" s="14">
        <f t="shared" si="1"/>
        <v>155.72000000000025</v>
      </c>
      <c r="J29" s="25">
        <f t="shared" si="2"/>
        <v>8280</v>
      </c>
      <c r="K29" s="26">
        <f t="shared" si="3"/>
        <v>7968.5599999999995</v>
      </c>
      <c r="L29" s="27">
        <f t="shared" si="4"/>
        <v>311.44000000000051</v>
      </c>
    </row>
    <row r="30" spans="2:12" x14ac:dyDescent="0.35">
      <c r="B30" s="16">
        <v>45758</v>
      </c>
      <c r="C30" s="4" t="s">
        <v>20</v>
      </c>
      <c r="D30" s="17">
        <v>6</v>
      </c>
      <c r="E30" s="11">
        <v>5050</v>
      </c>
      <c r="F30" s="12">
        <v>4869.6767</v>
      </c>
      <c r="G30" s="13">
        <v>442.697</v>
      </c>
      <c r="H30" s="12">
        <f t="shared" si="0"/>
        <v>4426.9796999999999</v>
      </c>
      <c r="I30" s="14">
        <f t="shared" si="1"/>
        <v>623.02030000000013</v>
      </c>
      <c r="J30" s="25">
        <f t="shared" si="2"/>
        <v>30300</v>
      </c>
      <c r="K30" s="26">
        <f t="shared" si="3"/>
        <v>26561.878199999999</v>
      </c>
      <c r="L30" s="27">
        <f t="shared" si="4"/>
        <v>3738.1218000000008</v>
      </c>
    </row>
    <row r="31" spans="2:12" x14ac:dyDescent="0.35">
      <c r="B31" s="16">
        <v>45758</v>
      </c>
      <c r="C31" s="6" t="s">
        <v>26</v>
      </c>
      <c r="D31" s="17">
        <v>1</v>
      </c>
      <c r="E31" s="11">
        <v>4250</v>
      </c>
      <c r="F31" s="12">
        <v>4485.66</v>
      </c>
      <c r="G31" s="13">
        <v>407.78699999999998</v>
      </c>
      <c r="H31" s="12">
        <f t="shared" si="0"/>
        <v>4077.873</v>
      </c>
      <c r="I31" s="14">
        <f t="shared" si="1"/>
        <v>172.12699999999995</v>
      </c>
      <c r="J31" s="25">
        <f t="shared" si="2"/>
        <v>4250</v>
      </c>
      <c r="K31" s="26">
        <f t="shared" si="3"/>
        <v>4077.873</v>
      </c>
      <c r="L31" s="27">
        <f t="shared" si="4"/>
        <v>172.12699999999995</v>
      </c>
    </row>
    <row r="32" spans="2:12" x14ac:dyDescent="0.35">
      <c r="B32" s="16">
        <v>45758</v>
      </c>
      <c r="C32" s="4" t="s">
        <v>27</v>
      </c>
      <c r="D32" s="17">
        <v>1</v>
      </c>
      <c r="E32" s="11">
        <v>5900</v>
      </c>
      <c r="F32" s="12">
        <v>5939.17</v>
      </c>
      <c r="G32" s="13">
        <v>539.91999999999996</v>
      </c>
      <c r="H32" s="12">
        <f t="shared" si="0"/>
        <v>5399.25</v>
      </c>
      <c r="I32" s="14">
        <f t="shared" si="1"/>
        <v>500.75</v>
      </c>
      <c r="J32" s="25">
        <f t="shared" si="2"/>
        <v>5900</v>
      </c>
      <c r="K32" s="26">
        <f t="shared" si="3"/>
        <v>5399.25</v>
      </c>
      <c r="L32" s="27">
        <f t="shared" si="4"/>
        <v>500.75</v>
      </c>
    </row>
    <row r="33" spans="2:12" x14ac:dyDescent="0.35">
      <c r="B33" s="16">
        <v>45758</v>
      </c>
      <c r="C33" s="4" t="s">
        <v>28</v>
      </c>
      <c r="D33" s="17">
        <v>2</v>
      </c>
      <c r="E33" s="11">
        <v>190</v>
      </c>
      <c r="F33" s="12">
        <v>163.35</v>
      </c>
      <c r="G33" s="13">
        <v>0</v>
      </c>
      <c r="H33" s="12">
        <f t="shared" si="0"/>
        <v>163.35</v>
      </c>
      <c r="I33" s="14">
        <f t="shared" si="1"/>
        <v>26.650000000000006</v>
      </c>
      <c r="J33" s="25">
        <f t="shared" si="2"/>
        <v>380</v>
      </c>
      <c r="K33" s="26">
        <f t="shared" si="3"/>
        <v>326.7</v>
      </c>
      <c r="L33" s="27">
        <f t="shared" si="4"/>
        <v>53.300000000000011</v>
      </c>
    </row>
    <row r="34" spans="2:12" x14ac:dyDescent="0.35">
      <c r="B34" s="16">
        <v>45758</v>
      </c>
      <c r="C34" s="4" t="s">
        <v>29</v>
      </c>
      <c r="D34" s="17">
        <v>30</v>
      </c>
      <c r="E34" s="11">
        <v>650</v>
      </c>
      <c r="F34" s="12">
        <v>519.09</v>
      </c>
      <c r="G34" s="13">
        <v>0</v>
      </c>
      <c r="H34" s="12">
        <f t="shared" si="0"/>
        <v>519.09</v>
      </c>
      <c r="I34" s="14">
        <f t="shared" si="1"/>
        <v>130.90999999999997</v>
      </c>
      <c r="J34" s="25">
        <f t="shared" si="2"/>
        <v>19500</v>
      </c>
      <c r="K34" s="26">
        <f t="shared" si="3"/>
        <v>15572.7</v>
      </c>
      <c r="L34" s="27">
        <f t="shared" si="4"/>
        <v>3927.2999999999993</v>
      </c>
    </row>
    <row r="35" spans="2:12" x14ac:dyDescent="0.35">
      <c r="B35" s="16">
        <v>45758</v>
      </c>
      <c r="C35" s="4" t="s">
        <v>30</v>
      </c>
      <c r="D35" s="17">
        <v>37</v>
      </c>
      <c r="E35" s="11">
        <v>1180</v>
      </c>
      <c r="F35" s="12">
        <v>1160</v>
      </c>
      <c r="G35" s="13">
        <v>0</v>
      </c>
      <c r="H35" s="12">
        <f t="shared" si="0"/>
        <v>1160</v>
      </c>
      <c r="I35" s="14">
        <f t="shared" si="1"/>
        <v>20</v>
      </c>
      <c r="J35" s="25">
        <f t="shared" si="2"/>
        <v>43660</v>
      </c>
      <c r="K35" s="26">
        <f t="shared" si="3"/>
        <v>42920</v>
      </c>
      <c r="L35" s="27">
        <f t="shared" si="4"/>
        <v>740</v>
      </c>
    </row>
    <row r="36" spans="2:12" x14ac:dyDescent="0.35">
      <c r="B36" s="16">
        <v>45758</v>
      </c>
      <c r="C36" s="4" t="s">
        <v>31</v>
      </c>
      <c r="D36" s="17">
        <v>1</v>
      </c>
      <c r="E36" s="11">
        <v>650</v>
      </c>
      <c r="F36" s="12">
        <v>0</v>
      </c>
      <c r="G36" s="13">
        <v>0</v>
      </c>
      <c r="H36" s="12">
        <f t="shared" si="0"/>
        <v>0</v>
      </c>
      <c r="I36" s="14">
        <f t="shared" si="1"/>
        <v>650</v>
      </c>
      <c r="J36" s="25">
        <f t="shared" si="2"/>
        <v>650</v>
      </c>
      <c r="K36" s="26">
        <f t="shared" si="3"/>
        <v>0</v>
      </c>
      <c r="L36" s="27">
        <f t="shared" si="4"/>
        <v>650</v>
      </c>
    </row>
    <row r="37" spans="2:12" x14ac:dyDescent="0.35">
      <c r="B37" s="16">
        <v>45759</v>
      </c>
      <c r="C37" s="6" t="s">
        <v>26</v>
      </c>
      <c r="D37" s="17">
        <v>2</v>
      </c>
      <c r="E37" s="11">
        <v>4250</v>
      </c>
      <c r="F37" s="12">
        <v>4485.66</v>
      </c>
      <c r="G37" s="13">
        <v>407.78699999999998</v>
      </c>
      <c r="H37" s="12">
        <f t="shared" si="0"/>
        <v>4077.873</v>
      </c>
      <c r="I37" s="14">
        <f t="shared" si="1"/>
        <v>172.12699999999995</v>
      </c>
      <c r="J37" s="25">
        <f t="shared" si="2"/>
        <v>8500</v>
      </c>
      <c r="K37" s="26">
        <f t="shared" si="3"/>
        <v>8155.7460000000001</v>
      </c>
      <c r="L37" s="27">
        <f t="shared" si="4"/>
        <v>344.25399999999991</v>
      </c>
    </row>
    <row r="38" spans="2:12" x14ac:dyDescent="0.35">
      <c r="B38" s="16">
        <v>45759</v>
      </c>
      <c r="C38" s="4" t="s">
        <v>20</v>
      </c>
      <c r="D38" s="17">
        <v>10</v>
      </c>
      <c r="E38" s="11">
        <v>5000</v>
      </c>
      <c r="F38" s="12">
        <v>4869.6767</v>
      </c>
      <c r="G38" s="13">
        <v>442.697</v>
      </c>
      <c r="H38" s="12">
        <f t="shared" si="0"/>
        <v>4426.9796999999999</v>
      </c>
      <c r="I38" s="14">
        <f t="shared" si="1"/>
        <v>573.02030000000013</v>
      </c>
      <c r="J38" s="25">
        <f t="shared" si="2"/>
        <v>50000</v>
      </c>
      <c r="K38" s="26">
        <f t="shared" si="3"/>
        <v>44269.796999999999</v>
      </c>
      <c r="L38" s="27">
        <f t="shared" si="4"/>
        <v>5730.2030000000013</v>
      </c>
    </row>
    <row r="39" spans="2:12" x14ac:dyDescent="0.35">
      <c r="B39" s="18">
        <v>45759</v>
      </c>
      <c r="C39" s="8" t="s">
        <v>32</v>
      </c>
      <c r="D39" s="19">
        <v>9</v>
      </c>
      <c r="E39" s="15">
        <v>4750</v>
      </c>
      <c r="F39" s="15">
        <v>5537.77</v>
      </c>
      <c r="G39" s="15">
        <v>503.43</v>
      </c>
      <c r="H39" s="15">
        <f t="shared" si="0"/>
        <v>5034.34</v>
      </c>
      <c r="I39" s="15">
        <f t="shared" si="1"/>
        <v>-284.34000000000015</v>
      </c>
      <c r="J39" s="28">
        <f t="shared" si="2"/>
        <v>42750</v>
      </c>
      <c r="K39" s="28">
        <f t="shared" si="3"/>
        <v>45309.06</v>
      </c>
      <c r="L39" s="28">
        <f t="shared" si="4"/>
        <v>-2559.0599999999977</v>
      </c>
    </row>
    <row r="40" spans="2:12" x14ac:dyDescent="0.35">
      <c r="B40" s="16">
        <v>45761</v>
      </c>
      <c r="C40" s="3" t="s">
        <v>21</v>
      </c>
      <c r="D40" s="17">
        <v>5</v>
      </c>
      <c r="E40" s="11">
        <v>1710</v>
      </c>
      <c r="F40" s="12">
        <v>1542.75</v>
      </c>
      <c r="G40" s="13">
        <v>0</v>
      </c>
      <c r="H40" s="12">
        <f t="shared" si="0"/>
        <v>1542.75</v>
      </c>
      <c r="I40" s="14">
        <f t="shared" si="1"/>
        <v>167.25</v>
      </c>
      <c r="J40" s="25">
        <f t="shared" si="2"/>
        <v>8550</v>
      </c>
      <c r="K40" s="26">
        <f t="shared" si="3"/>
        <v>7713.75</v>
      </c>
      <c r="L40" s="27">
        <f t="shared" si="4"/>
        <v>836.25</v>
      </c>
    </row>
    <row r="41" spans="2:12" x14ac:dyDescent="0.35">
      <c r="B41" s="16">
        <v>45761</v>
      </c>
      <c r="C41" s="4" t="s">
        <v>33</v>
      </c>
      <c r="D41" s="17">
        <v>1</v>
      </c>
      <c r="E41" s="11">
        <v>2484</v>
      </c>
      <c r="F41" s="12">
        <v>2286.9</v>
      </c>
      <c r="G41" s="13">
        <v>0</v>
      </c>
      <c r="H41" s="12">
        <f t="shared" si="0"/>
        <v>2286.9</v>
      </c>
      <c r="I41" s="14">
        <f t="shared" si="1"/>
        <v>197.09999999999991</v>
      </c>
      <c r="J41" s="25">
        <f t="shared" si="2"/>
        <v>2484</v>
      </c>
      <c r="K41" s="26">
        <f t="shared" si="3"/>
        <v>2286.9</v>
      </c>
      <c r="L41" s="27">
        <f t="shared" si="4"/>
        <v>197.09999999999991</v>
      </c>
    </row>
    <row r="42" spans="2:12" x14ac:dyDescent="0.35">
      <c r="B42" s="16">
        <v>45761</v>
      </c>
      <c r="C42" s="4" t="s">
        <v>33</v>
      </c>
      <c r="D42" s="17">
        <v>1</v>
      </c>
      <c r="E42" s="11">
        <v>2738</v>
      </c>
      <c r="F42" s="12">
        <v>2286.9</v>
      </c>
      <c r="G42" s="13">
        <v>0</v>
      </c>
      <c r="H42" s="12">
        <f t="shared" si="0"/>
        <v>2286.9</v>
      </c>
      <c r="I42" s="14">
        <f t="shared" si="1"/>
        <v>451.09999999999991</v>
      </c>
      <c r="J42" s="25">
        <f t="shared" si="2"/>
        <v>2738</v>
      </c>
      <c r="K42" s="26">
        <f t="shared" si="3"/>
        <v>2286.9</v>
      </c>
      <c r="L42" s="27">
        <f t="shared" si="4"/>
        <v>451.09999999999991</v>
      </c>
    </row>
    <row r="43" spans="2:12" x14ac:dyDescent="0.35">
      <c r="B43" s="16">
        <v>45761</v>
      </c>
      <c r="C43" s="4" t="s">
        <v>34</v>
      </c>
      <c r="D43" s="17">
        <v>1</v>
      </c>
      <c r="E43" s="11">
        <v>2363</v>
      </c>
      <c r="F43" s="12">
        <v>1996.5</v>
      </c>
      <c r="G43" s="13">
        <v>0</v>
      </c>
      <c r="H43" s="12">
        <f t="shared" si="0"/>
        <v>1996.5</v>
      </c>
      <c r="I43" s="14">
        <f t="shared" si="1"/>
        <v>366.5</v>
      </c>
      <c r="J43" s="25">
        <f t="shared" si="2"/>
        <v>2363</v>
      </c>
      <c r="K43" s="26">
        <f t="shared" si="3"/>
        <v>1996.5</v>
      </c>
      <c r="L43" s="27">
        <f t="shared" si="4"/>
        <v>366.5</v>
      </c>
    </row>
    <row r="44" spans="2:12" x14ac:dyDescent="0.35">
      <c r="B44" s="16">
        <v>45761</v>
      </c>
      <c r="C44" s="5" t="s">
        <v>25</v>
      </c>
      <c r="D44" s="17">
        <v>1</v>
      </c>
      <c r="E44" s="11">
        <v>3287</v>
      </c>
      <c r="F44" s="12">
        <v>2305.0500000000002</v>
      </c>
      <c r="G44" s="13">
        <v>0</v>
      </c>
      <c r="H44" s="12">
        <f t="shared" si="0"/>
        <v>2305.0500000000002</v>
      </c>
      <c r="I44" s="14">
        <f t="shared" si="1"/>
        <v>981.94999999999982</v>
      </c>
      <c r="J44" s="25">
        <f t="shared" si="2"/>
        <v>3287</v>
      </c>
      <c r="K44" s="26">
        <f t="shared" si="3"/>
        <v>2305.0500000000002</v>
      </c>
      <c r="L44" s="27">
        <f t="shared" si="4"/>
        <v>981.94999999999982</v>
      </c>
    </row>
    <row r="45" spans="2:12" x14ac:dyDescent="0.35">
      <c r="B45" s="16">
        <v>45761</v>
      </c>
      <c r="C45" s="3" t="s">
        <v>21</v>
      </c>
      <c r="D45" s="17">
        <v>5</v>
      </c>
      <c r="E45" s="11">
        <v>1700</v>
      </c>
      <c r="F45" s="12">
        <v>1690</v>
      </c>
      <c r="G45" s="13">
        <v>0</v>
      </c>
      <c r="H45" s="12">
        <f t="shared" si="0"/>
        <v>1690</v>
      </c>
      <c r="I45" s="14">
        <f t="shared" si="1"/>
        <v>10</v>
      </c>
      <c r="J45" s="25">
        <f t="shared" si="2"/>
        <v>8500</v>
      </c>
      <c r="K45" s="26">
        <f t="shared" si="3"/>
        <v>8450</v>
      </c>
      <c r="L45" s="27">
        <f t="shared" si="4"/>
        <v>50</v>
      </c>
    </row>
    <row r="46" spans="2:12" x14ac:dyDescent="0.35">
      <c r="B46" s="16">
        <v>45761</v>
      </c>
      <c r="C46" s="3" t="s">
        <v>35</v>
      </c>
      <c r="D46" s="17">
        <v>3</v>
      </c>
      <c r="E46" s="11">
        <v>1180</v>
      </c>
      <c r="F46" s="12">
        <v>1180</v>
      </c>
      <c r="G46" s="13">
        <v>0</v>
      </c>
      <c r="H46" s="12">
        <f t="shared" si="0"/>
        <v>1180</v>
      </c>
      <c r="I46" s="14">
        <f t="shared" si="1"/>
        <v>0</v>
      </c>
      <c r="J46" s="25">
        <f t="shared" si="2"/>
        <v>3540</v>
      </c>
      <c r="K46" s="26">
        <f t="shared" si="3"/>
        <v>3540</v>
      </c>
      <c r="L46" s="27">
        <f t="shared" si="4"/>
        <v>0</v>
      </c>
    </row>
    <row r="47" spans="2:12" x14ac:dyDescent="0.35">
      <c r="B47" s="16">
        <v>45761</v>
      </c>
      <c r="C47" s="4" t="s">
        <v>36</v>
      </c>
      <c r="D47" s="17">
        <v>18</v>
      </c>
      <c r="E47" s="11">
        <v>560</v>
      </c>
      <c r="F47" s="12">
        <v>482.79</v>
      </c>
      <c r="G47" s="13">
        <v>0</v>
      </c>
      <c r="H47" s="12">
        <f t="shared" si="0"/>
        <v>482.79</v>
      </c>
      <c r="I47" s="14">
        <f t="shared" si="1"/>
        <v>77.20999999999998</v>
      </c>
      <c r="J47" s="25">
        <f t="shared" si="2"/>
        <v>10080</v>
      </c>
      <c r="K47" s="26">
        <f t="shared" si="3"/>
        <v>8690.2200000000012</v>
      </c>
      <c r="L47" s="27">
        <f t="shared" si="4"/>
        <v>1389.7799999999988</v>
      </c>
    </row>
    <row r="48" spans="2:12" x14ac:dyDescent="0.35">
      <c r="B48" s="16">
        <v>45761</v>
      </c>
      <c r="C48" s="4" t="s">
        <v>19</v>
      </c>
      <c r="D48" s="17">
        <v>19</v>
      </c>
      <c r="E48" s="11">
        <v>545</v>
      </c>
      <c r="F48" s="12">
        <v>522.70000000000005</v>
      </c>
      <c r="G48" s="13">
        <v>0</v>
      </c>
      <c r="H48" s="12">
        <f t="shared" si="0"/>
        <v>522.70000000000005</v>
      </c>
      <c r="I48" s="14">
        <f t="shared" si="1"/>
        <v>22.299999999999955</v>
      </c>
      <c r="J48" s="25">
        <f t="shared" si="2"/>
        <v>10355</v>
      </c>
      <c r="K48" s="26">
        <f t="shared" si="3"/>
        <v>9931.3000000000011</v>
      </c>
      <c r="L48" s="27">
        <f t="shared" si="4"/>
        <v>423.69999999999891</v>
      </c>
    </row>
    <row r="49" spans="2:12" x14ac:dyDescent="0.35">
      <c r="B49" s="16">
        <v>45761</v>
      </c>
      <c r="C49" s="4" t="s">
        <v>37</v>
      </c>
      <c r="D49" s="17">
        <v>12</v>
      </c>
      <c r="E49" s="11">
        <v>618</v>
      </c>
      <c r="F49" s="12">
        <v>580.79999999999995</v>
      </c>
      <c r="G49" s="13">
        <v>0</v>
      </c>
      <c r="H49" s="12">
        <f t="shared" si="0"/>
        <v>580.79999999999995</v>
      </c>
      <c r="I49" s="14">
        <f t="shared" si="1"/>
        <v>37.200000000000045</v>
      </c>
      <c r="J49" s="25">
        <f t="shared" si="2"/>
        <v>7416</v>
      </c>
      <c r="K49" s="26">
        <f t="shared" si="3"/>
        <v>6969.5999999999995</v>
      </c>
      <c r="L49" s="27">
        <f t="shared" si="4"/>
        <v>446.40000000000055</v>
      </c>
    </row>
    <row r="50" spans="2:12" x14ac:dyDescent="0.35">
      <c r="B50" s="16">
        <v>45761</v>
      </c>
      <c r="C50" s="4" t="s">
        <v>19</v>
      </c>
      <c r="D50" s="17">
        <v>3</v>
      </c>
      <c r="E50" s="11">
        <v>378</v>
      </c>
      <c r="F50" s="12">
        <v>363</v>
      </c>
      <c r="G50" s="13">
        <v>0</v>
      </c>
      <c r="H50" s="12">
        <f t="shared" si="0"/>
        <v>363</v>
      </c>
      <c r="I50" s="14">
        <f t="shared" si="1"/>
        <v>15</v>
      </c>
      <c r="J50" s="25">
        <f t="shared" si="2"/>
        <v>1134</v>
      </c>
      <c r="K50" s="26">
        <f t="shared" si="3"/>
        <v>1089</v>
      </c>
      <c r="L50" s="27">
        <f t="shared" si="4"/>
        <v>45</v>
      </c>
    </row>
    <row r="51" spans="2:12" x14ac:dyDescent="0.35">
      <c r="B51" s="16">
        <v>45762</v>
      </c>
      <c r="C51" s="6" t="s">
        <v>18</v>
      </c>
      <c r="D51" s="17">
        <v>152</v>
      </c>
      <c r="E51" s="11">
        <v>300</v>
      </c>
      <c r="F51" s="12">
        <v>318.86</v>
      </c>
      <c r="G51" s="13">
        <v>41.45</v>
      </c>
      <c r="H51" s="12">
        <f t="shared" si="0"/>
        <v>277.41000000000003</v>
      </c>
      <c r="I51" s="14">
        <f t="shared" si="1"/>
        <v>22.589999999999975</v>
      </c>
      <c r="J51" s="25">
        <f t="shared" si="2"/>
        <v>45600</v>
      </c>
      <c r="K51" s="26">
        <f t="shared" si="3"/>
        <v>42166.320000000007</v>
      </c>
      <c r="L51" s="27">
        <f t="shared" si="4"/>
        <v>3433.679999999993</v>
      </c>
    </row>
    <row r="52" spans="2:12" x14ac:dyDescent="0.35">
      <c r="B52" s="16">
        <v>45762</v>
      </c>
      <c r="C52" s="3" t="s">
        <v>21</v>
      </c>
      <c r="D52" s="17">
        <v>2</v>
      </c>
      <c r="E52" s="11">
        <v>1720</v>
      </c>
      <c r="F52" s="12">
        <v>1542.75</v>
      </c>
      <c r="G52" s="13">
        <v>0</v>
      </c>
      <c r="H52" s="12">
        <f t="shared" si="0"/>
        <v>1542.75</v>
      </c>
      <c r="I52" s="14">
        <f t="shared" si="1"/>
        <v>177.25</v>
      </c>
      <c r="J52" s="25">
        <f t="shared" si="2"/>
        <v>3440</v>
      </c>
      <c r="K52" s="26">
        <f t="shared" si="3"/>
        <v>3085.5</v>
      </c>
      <c r="L52" s="27">
        <f t="shared" si="4"/>
        <v>354.5</v>
      </c>
    </row>
    <row r="53" spans="2:12" x14ac:dyDescent="0.35">
      <c r="B53" s="18">
        <v>45762</v>
      </c>
      <c r="C53" s="9" t="s">
        <v>11</v>
      </c>
      <c r="D53" s="19">
        <v>1</v>
      </c>
      <c r="E53" s="15">
        <v>4950</v>
      </c>
      <c r="F53" s="15">
        <v>5537.77</v>
      </c>
      <c r="G53" s="15">
        <v>503.43</v>
      </c>
      <c r="H53" s="15">
        <f t="shared" si="0"/>
        <v>5034.34</v>
      </c>
      <c r="I53" s="15">
        <f t="shared" si="1"/>
        <v>-84.340000000000146</v>
      </c>
      <c r="J53" s="28">
        <f t="shared" si="2"/>
        <v>4950</v>
      </c>
      <c r="K53" s="28">
        <f t="shared" si="3"/>
        <v>5034.34</v>
      </c>
      <c r="L53" s="28">
        <f t="shared" si="4"/>
        <v>-84.340000000000146</v>
      </c>
    </row>
    <row r="54" spans="2:12" x14ac:dyDescent="0.35">
      <c r="B54" s="16">
        <v>45762</v>
      </c>
      <c r="C54" s="4" t="s">
        <v>20</v>
      </c>
      <c r="D54" s="17">
        <v>11</v>
      </c>
      <c r="E54" s="11">
        <v>5000</v>
      </c>
      <c r="F54" s="12">
        <v>4869.6767</v>
      </c>
      <c r="G54" s="13">
        <v>442.697</v>
      </c>
      <c r="H54" s="12">
        <f t="shared" si="0"/>
        <v>4426.9796999999999</v>
      </c>
      <c r="I54" s="14">
        <f t="shared" si="1"/>
        <v>573.02030000000013</v>
      </c>
      <c r="J54" s="25">
        <f t="shared" si="2"/>
        <v>55000</v>
      </c>
      <c r="K54" s="26">
        <f t="shared" si="3"/>
        <v>48696.776700000002</v>
      </c>
      <c r="L54" s="27">
        <f t="shared" si="4"/>
        <v>6303.2232999999978</v>
      </c>
    </row>
    <row r="55" spans="2:12" x14ac:dyDescent="0.35">
      <c r="B55" s="16">
        <v>45762</v>
      </c>
      <c r="C55" s="4" t="s">
        <v>20</v>
      </c>
      <c r="D55" s="17">
        <v>9</v>
      </c>
      <c r="E55" s="11">
        <v>5000</v>
      </c>
      <c r="F55" s="12">
        <v>4869.6767</v>
      </c>
      <c r="G55" s="13">
        <v>442.697</v>
      </c>
      <c r="H55" s="12">
        <f t="shared" si="0"/>
        <v>4426.9796999999999</v>
      </c>
      <c r="I55" s="14">
        <f t="shared" si="1"/>
        <v>573.02030000000013</v>
      </c>
      <c r="J55" s="25">
        <f t="shared" si="2"/>
        <v>45000</v>
      </c>
      <c r="K55" s="26">
        <f t="shared" si="3"/>
        <v>39842.817299999995</v>
      </c>
      <c r="L55" s="27">
        <f t="shared" si="4"/>
        <v>5157.1827000000048</v>
      </c>
    </row>
    <row r="56" spans="2:12" x14ac:dyDescent="0.35">
      <c r="B56" s="16">
        <v>45763</v>
      </c>
      <c r="C56" s="4" t="s">
        <v>20</v>
      </c>
      <c r="D56" s="17">
        <v>10</v>
      </c>
      <c r="E56" s="11">
        <v>4950</v>
      </c>
      <c r="F56" s="12">
        <v>4869.6767</v>
      </c>
      <c r="G56" s="13">
        <v>442.697</v>
      </c>
      <c r="H56" s="12">
        <f t="shared" si="0"/>
        <v>4426.9796999999999</v>
      </c>
      <c r="I56" s="14">
        <f t="shared" si="1"/>
        <v>523.02030000000013</v>
      </c>
      <c r="J56" s="25">
        <f t="shared" si="2"/>
        <v>49500</v>
      </c>
      <c r="K56" s="26">
        <f t="shared" si="3"/>
        <v>44269.796999999999</v>
      </c>
      <c r="L56" s="27">
        <f t="shared" si="4"/>
        <v>5230.2030000000013</v>
      </c>
    </row>
    <row r="57" spans="2:12" x14ac:dyDescent="0.35">
      <c r="B57" s="16">
        <v>45763</v>
      </c>
      <c r="C57" s="4" t="s">
        <v>38</v>
      </c>
      <c r="D57" s="17">
        <v>94</v>
      </c>
      <c r="E57" s="11">
        <v>1040</v>
      </c>
      <c r="F57" s="12">
        <v>1035</v>
      </c>
      <c r="G57" s="13">
        <v>0</v>
      </c>
      <c r="H57" s="12">
        <f t="shared" si="0"/>
        <v>1035</v>
      </c>
      <c r="I57" s="14">
        <f t="shared" si="1"/>
        <v>5</v>
      </c>
      <c r="J57" s="25">
        <f t="shared" si="2"/>
        <v>97760</v>
      </c>
      <c r="K57" s="26">
        <f t="shared" si="3"/>
        <v>97290</v>
      </c>
      <c r="L57" s="27">
        <f t="shared" si="4"/>
        <v>470</v>
      </c>
    </row>
    <row r="58" spans="2:12" x14ac:dyDescent="0.35">
      <c r="B58" s="16">
        <v>45764</v>
      </c>
      <c r="C58" s="2" t="s">
        <v>10</v>
      </c>
      <c r="D58" s="17">
        <v>5</v>
      </c>
      <c r="E58" s="11">
        <v>1675</v>
      </c>
      <c r="F58" s="12">
        <v>1590</v>
      </c>
      <c r="G58" s="13">
        <v>0</v>
      </c>
      <c r="H58" s="12">
        <f t="shared" si="0"/>
        <v>1590</v>
      </c>
      <c r="I58" s="14">
        <f t="shared" si="1"/>
        <v>85</v>
      </c>
      <c r="J58" s="25">
        <f t="shared" si="2"/>
        <v>8375</v>
      </c>
      <c r="K58" s="26">
        <f t="shared" si="3"/>
        <v>7950</v>
      </c>
      <c r="L58" s="27">
        <f t="shared" si="4"/>
        <v>425</v>
      </c>
    </row>
    <row r="59" spans="2:12" x14ac:dyDescent="0.35">
      <c r="B59" s="16">
        <v>45764</v>
      </c>
      <c r="C59" s="2" t="s">
        <v>12</v>
      </c>
      <c r="D59" s="17">
        <v>4</v>
      </c>
      <c r="E59" s="11">
        <v>1105</v>
      </c>
      <c r="F59" s="12">
        <v>1112.8</v>
      </c>
      <c r="G59" s="13">
        <v>144.66</v>
      </c>
      <c r="H59" s="12">
        <f t="shared" si="0"/>
        <v>968.14</v>
      </c>
      <c r="I59" s="14">
        <f t="shared" si="1"/>
        <v>136.86000000000001</v>
      </c>
      <c r="J59" s="25">
        <f t="shared" si="2"/>
        <v>4420</v>
      </c>
      <c r="K59" s="26">
        <f t="shared" si="3"/>
        <v>3872.56</v>
      </c>
      <c r="L59" s="27">
        <f t="shared" si="4"/>
        <v>547.44000000000005</v>
      </c>
    </row>
    <row r="60" spans="2:12" x14ac:dyDescent="0.35">
      <c r="B60" s="16">
        <v>45764</v>
      </c>
      <c r="C60" s="2" t="s">
        <v>39</v>
      </c>
      <c r="D60" s="17">
        <v>1</v>
      </c>
      <c r="E60" s="11">
        <v>5600</v>
      </c>
      <c r="F60" s="12">
        <v>5799.3459999999995</v>
      </c>
      <c r="G60" s="13">
        <v>527.21</v>
      </c>
      <c r="H60" s="12">
        <f t="shared" si="0"/>
        <v>5272.1359999999995</v>
      </c>
      <c r="I60" s="14">
        <f t="shared" si="1"/>
        <v>327.86400000000049</v>
      </c>
      <c r="J60" s="25">
        <f t="shared" si="2"/>
        <v>5600</v>
      </c>
      <c r="K60" s="26">
        <f t="shared" si="3"/>
        <v>5272.1359999999995</v>
      </c>
      <c r="L60" s="27">
        <f t="shared" si="4"/>
        <v>327.86400000000049</v>
      </c>
    </row>
    <row r="61" spans="2:12" x14ac:dyDescent="0.35">
      <c r="B61" s="16">
        <v>45764</v>
      </c>
      <c r="C61" s="2" t="s">
        <v>40</v>
      </c>
      <c r="D61" s="17">
        <v>68</v>
      </c>
      <c r="E61" s="11">
        <v>260</v>
      </c>
      <c r="F61" s="12">
        <v>257</v>
      </c>
      <c r="G61" s="13">
        <v>0</v>
      </c>
      <c r="H61" s="12">
        <f t="shared" si="0"/>
        <v>257</v>
      </c>
      <c r="I61" s="14">
        <f t="shared" si="1"/>
        <v>3</v>
      </c>
      <c r="J61" s="25">
        <f t="shared" si="2"/>
        <v>17680</v>
      </c>
      <c r="K61" s="26">
        <f t="shared" si="3"/>
        <v>17476</v>
      </c>
      <c r="L61" s="27">
        <f t="shared" si="4"/>
        <v>204</v>
      </c>
    </row>
    <row r="62" spans="2:12" x14ac:dyDescent="0.35">
      <c r="B62" s="16">
        <v>45764</v>
      </c>
      <c r="C62" s="2" t="s">
        <v>40</v>
      </c>
      <c r="D62" s="17">
        <v>1</v>
      </c>
      <c r="E62" s="11">
        <v>260</v>
      </c>
      <c r="F62" s="12">
        <v>257</v>
      </c>
      <c r="G62" s="13">
        <v>0</v>
      </c>
      <c r="H62" s="12">
        <f t="shared" si="0"/>
        <v>257</v>
      </c>
      <c r="I62" s="14">
        <f t="shared" si="1"/>
        <v>3</v>
      </c>
      <c r="J62" s="25">
        <f t="shared" si="2"/>
        <v>260</v>
      </c>
      <c r="K62" s="26">
        <f t="shared" si="3"/>
        <v>257</v>
      </c>
      <c r="L62" s="27">
        <f t="shared" si="4"/>
        <v>3</v>
      </c>
    </row>
    <row r="63" spans="2:12" x14ac:dyDescent="0.35">
      <c r="B63" s="16">
        <v>45765</v>
      </c>
      <c r="C63" s="7" t="s">
        <v>10</v>
      </c>
      <c r="D63" s="17">
        <v>57</v>
      </c>
      <c r="E63" s="11">
        <v>1675</v>
      </c>
      <c r="F63" s="12">
        <v>1560.9</v>
      </c>
      <c r="G63" s="13">
        <v>141.9</v>
      </c>
      <c r="H63" s="12">
        <f t="shared" si="0"/>
        <v>1419</v>
      </c>
      <c r="I63" s="14">
        <f t="shared" si="1"/>
        <v>256</v>
      </c>
      <c r="J63" s="25">
        <f t="shared" si="2"/>
        <v>95475</v>
      </c>
      <c r="K63" s="26">
        <f t="shared" si="3"/>
        <v>80883</v>
      </c>
      <c r="L63" s="27">
        <f t="shared" si="4"/>
        <v>14592</v>
      </c>
    </row>
    <row r="64" spans="2:12" x14ac:dyDescent="0.35">
      <c r="B64" s="16">
        <v>45765</v>
      </c>
      <c r="C64" s="6" t="s">
        <v>41</v>
      </c>
      <c r="D64" s="17">
        <v>1</v>
      </c>
      <c r="E64" s="11">
        <v>325</v>
      </c>
      <c r="F64" s="12">
        <v>276.8</v>
      </c>
      <c r="G64" s="13">
        <v>0</v>
      </c>
      <c r="H64" s="12">
        <f t="shared" si="0"/>
        <v>276.8</v>
      </c>
      <c r="I64" s="14">
        <f t="shared" si="1"/>
        <v>48.199999999999989</v>
      </c>
      <c r="J64" s="25">
        <f t="shared" si="2"/>
        <v>325</v>
      </c>
      <c r="K64" s="26">
        <f t="shared" si="3"/>
        <v>276.8</v>
      </c>
      <c r="L64" s="27">
        <f t="shared" si="4"/>
        <v>48.199999999999989</v>
      </c>
    </row>
    <row r="65" spans="2:12" x14ac:dyDescent="0.35">
      <c r="B65" s="16">
        <v>45765</v>
      </c>
      <c r="C65" s="6" t="s">
        <v>42</v>
      </c>
      <c r="D65" s="17">
        <v>1</v>
      </c>
      <c r="E65" s="11">
        <v>325</v>
      </c>
      <c r="F65" s="12">
        <v>268.41000000000003</v>
      </c>
      <c r="G65" s="13">
        <v>0</v>
      </c>
      <c r="H65" s="12">
        <f t="shared" si="0"/>
        <v>268.41000000000003</v>
      </c>
      <c r="I65" s="14">
        <f t="shared" si="1"/>
        <v>56.589999999999975</v>
      </c>
      <c r="J65" s="25">
        <f t="shared" si="2"/>
        <v>325</v>
      </c>
      <c r="K65" s="26">
        <f t="shared" si="3"/>
        <v>268.41000000000003</v>
      </c>
      <c r="L65" s="27">
        <f t="shared" si="4"/>
        <v>56.589999999999975</v>
      </c>
    </row>
    <row r="66" spans="2:12" x14ac:dyDescent="0.35">
      <c r="B66" s="16">
        <v>45766</v>
      </c>
      <c r="C66" s="3" t="s">
        <v>43</v>
      </c>
      <c r="D66" s="17">
        <v>4</v>
      </c>
      <c r="E66" s="11">
        <v>6500</v>
      </c>
      <c r="F66" s="12">
        <v>4910.9049999999997</v>
      </c>
      <c r="G66" s="13">
        <v>446.44</v>
      </c>
      <c r="H66" s="12">
        <f t="shared" si="0"/>
        <v>4464.4650000000001</v>
      </c>
      <c r="I66" s="14">
        <f t="shared" si="1"/>
        <v>2035.5349999999999</v>
      </c>
      <c r="J66" s="25">
        <f t="shared" si="2"/>
        <v>26000</v>
      </c>
      <c r="K66" s="26">
        <f t="shared" si="3"/>
        <v>17857.86</v>
      </c>
      <c r="L66" s="27">
        <f t="shared" si="4"/>
        <v>8142.1399999999994</v>
      </c>
    </row>
    <row r="67" spans="2:12" x14ac:dyDescent="0.35">
      <c r="B67" s="16">
        <v>45766</v>
      </c>
      <c r="C67" s="2" t="s">
        <v>27</v>
      </c>
      <c r="D67" s="17">
        <v>5</v>
      </c>
      <c r="E67" s="11">
        <v>5800</v>
      </c>
      <c r="F67" s="12">
        <v>5889.32</v>
      </c>
      <c r="G67" s="13">
        <v>535.39</v>
      </c>
      <c r="H67" s="12">
        <f t="shared" si="0"/>
        <v>5353.9299999999994</v>
      </c>
      <c r="I67" s="14">
        <f t="shared" si="1"/>
        <v>446.07000000000062</v>
      </c>
      <c r="J67" s="25">
        <f t="shared" si="2"/>
        <v>29000</v>
      </c>
      <c r="K67" s="26">
        <f t="shared" si="3"/>
        <v>26769.649999999998</v>
      </c>
      <c r="L67" s="27">
        <f t="shared" si="4"/>
        <v>2230.3500000000022</v>
      </c>
    </row>
    <row r="68" spans="2:12" x14ac:dyDescent="0.35">
      <c r="B68" s="16">
        <v>45766</v>
      </c>
      <c r="C68" s="4" t="s">
        <v>13</v>
      </c>
      <c r="D68" s="17">
        <v>1</v>
      </c>
      <c r="E68" s="11">
        <v>260</v>
      </c>
      <c r="F68" s="12">
        <v>200.97</v>
      </c>
      <c r="G68" s="13">
        <v>18.27</v>
      </c>
      <c r="H68" s="12">
        <f t="shared" ref="H68:H107" si="5">F68-G68</f>
        <v>182.7</v>
      </c>
      <c r="I68" s="14">
        <f t="shared" ref="I68:I107" si="6">E68-H68</f>
        <v>77.300000000000011</v>
      </c>
      <c r="J68" s="25">
        <f t="shared" ref="J68:J107" si="7">E68*D68</f>
        <v>260</v>
      </c>
      <c r="K68" s="26">
        <f t="shared" ref="K68:K107" si="8">H68*D68</f>
        <v>182.7</v>
      </c>
      <c r="L68" s="27">
        <f t="shared" ref="L68:L107" si="9">J68-K68</f>
        <v>77.300000000000011</v>
      </c>
    </row>
    <row r="69" spans="2:12" x14ac:dyDescent="0.35">
      <c r="B69" s="16">
        <v>45767</v>
      </c>
      <c r="C69" s="4" t="s">
        <v>13</v>
      </c>
      <c r="D69" s="17">
        <v>6</v>
      </c>
      <c r="E69" s="11">
        <v>265</v>
      </c>
      <c r="F69" s="12">
        <v>200.97</v>
      </c>
      <c r="G69" s="13">
        <v>18.27</v>
      </c>
      <c r="H69" s="12">
        <f t="shared" si="5"/>
        <v>182.7</v>
      </c>
      <c r="I69" s="14">
        <f t="shared" si="6"/>
        <v>82.300000000000011</v>
      </c>
      <c r="J69" s="25">
        <f t="shared" si="7"/>
        <v>1590</v>
      </c>
      <c r="K69" s="26">
        <f t="shared" si="8"/>
        <v>1096.1999999999998</v>
      </c>
      <c r="L69" s="27">
        <f t="shared" si="9"/>
        <v>493.80000000000018</v>
      </c>
    </row>
    <row r="70" spans="2:12" x14ac:dyDescent="0.35">
      <c r="B70" s="16">
        <v>45767</v>
      </c>
      <c r="C70" s="4" t="s">
        <v>31</v>
      </c>
      <c r="D70" s="17">
        <v>2</v>
      </c>
      <c r="E70" s="11">
        <v>670</v>
      </c>
      <c r="F70" s="12">
        <v>616.23900000000003</v>
      </c>
      <c r="G70" s="13">
        <v>56.02</v>
      </c>
      <c r="H70" s="12">
        <f t="shared" si="5"/>
        <v>560.21900000000005</v>
      </c>
      <c r="I70" s="14">
        <f t="shared" si="6"/>
        <v>109.78099999999995</v>
      </c>
      <c r="J70" s="25">
        <f t="shared" si="7"/>
        <v>1340</v>
      </c>
      <c r="K70" s="26">
        <f t="shared" si="8"/>
        <v>1120.4380000000001</v>
      </c>
      <c r="L70" s="27">
        <f t="shared" si="9"/>
        <v>219.5619999999999</v>
      </c>
    </row>
    <row r="71" spans="2:12" x14ac:dyDescent="0.35">
      <c r="B71" s="16">
        <v>45767</v>
      </c>
      <c r="C71" s="2" t="s">
        <v>30</v>
      </c>
      <c r="D71" s="17">
        <v>2</v>
      </c>
      <c r="E71" s="11">
        <v>1400</v>
      </c>
      <c r="F71" s="12">
        <v>1255.8699999999999</v>
      </c>
      <c r="G71" s="13">
        <v>114.17</v>
      </c>
      <c r="H71" s="12">
        <f t="shared" si="5"/>
        <v>1141.6999999999998</v>
      </c>
      <c r="I71" s="14">
        <f t="shared" si="6"/>
        <v>258.30000000000018</v>
      </c>
      <c r="J71" s="25">
        <f t="shared" si="7"/>
        <v>2800</v>
      </c>
      <c r="K71" s="26">
        <f t="shared" si="8"/>
        <v>2283.3999999999996</v>
      </c>
      <c r="L71" s="27">
        <f t="shared" si="9"/>
        <v>516.60000000000036</v>
      </c>
    </row>
    <row r="72" spans="2:12" x14ac:dyDescent="0.35">
      <c r="B72" s="16">
        <v>45767</v>
      </c>
      <c r="C72" s="2" t="s">
        <v>30</v>
      </c>
      <c r="D72" s="17">
        <v>9</v>
      </c>
      <c r="E72" s="11">
        <v>1160</v>
      </c>
      <c r="F72" s="12">
        <v>1115</v>
      </c>
      <c r="G72" s="13">
        <v>0</v>
      </c>
      <c r="H72" s="12">
        <f t="shared" si="5"/>
        <v>1115</v>
      </c>
      <c r="I72" s="14">
        <f t="shared" si="6"/>
        <v>45</v>
      </c>
      <c r="J72" s="25">
        <f t="shared" si="7"/>
        <v>10440</v>
      </c>
      <c r="K72" s="26">
        <f t="shared" si="8"/>
        <v>10035</v>
      </c>
      <c r="L72" s="27">
        <f t="shared" si="9"/>
        <v>405</v>
      </c>
    </row>
    <row r="73" spans="2:12" x14ac:dyDescent="0.35">
      <c r="B73" s="16">
        <v>45767</v>
      </c>
      <c r="C73" s="2" t="s">
        <v>44</v>
      </c>
      <c r="D73" s="17">
        <v>1</v>
      </c>
      <c r="E73" s="11">
        <v>6320</v>
      </c>
      <c r="F73" s="12">
        <v>5135.32</v>
      </c>
      <c r="G73" s="13">
        <v>466.84</v>
      </c>
      <c r="H73" s="12">
        <f t="shared" si="5"/>
        <v>4668.4799999999996</v>
      </c>
      <c r="I73" s="14">
        <f t="shared" si="6"/>
        <v>1651.5200000000004</v>
      </c>
      <c r="J73" s="25">
        <f t="shared" si="7"/>
        <v>6320</v>
      </c>
      <c r="K73" s="26">
        <f t="shared" si="8"/>
        <v>4668.4799999999996</v>
      </c>
      <c r="L73" s="27">
        <f t="shared" si="9"/>
        <v>1651.5200000000004</v>
      </c>
    </row>
    <row r="74" spans="2:12" x14ac:dyDescent="0.35">
      <c r="B74" s="16">
        <v>45767</v>
      </c>
      <c r="C74" s="4" t="s">
        <v>24</v>
      </c>
      <c r="D74" s="17">
        <v>1</v>
      </c>
      <c r="E74" s="11">
        <v>4820</v>
      </c>
      <c r="F74" s="12">
        <v>5135.32</v>
      </c>
      <c r="G74" s="13">
        <v>466.84</v>
      </c>
      <c r="H74" s="12">
        <f t="shared" si="5"/>
        <v>4668.4799999999996</v>
      </c>
      <c r="I74" s="14">
        <f t="shared" si="6"/>
        <v>151.52000000000044</v>
      </c>
      <c r="J74" s="25">
        <f t="shared" si="7"/>
        <v>4820</v>
      </c>
      <c r="K74" s="26">
        <f t="shared" si="8"/>
        <v>4668.4799999999996</v>
      </c>
      <c r="L74" s="27">
        <f t="shared" si="9"/>
        <v>151.52000000000044</v>
      </c>
    </row>
    <row r="75" spans="2:12" x14ac:dyDescent="0.35">
      <c r="B75" s="16">
        <v>45767</v>
      </c>
      <c r="C75" s="4" t="s">
        <v>45</v>
      </c>
      <c r="D75" s="17">
        <v>5</v>
      </c>
      <c r="E75" s="11">
        <v>330</v>
      </c>
      <c r="F75" s="12">
        <v>294.72300000000001</v>
      </c>
      <c r="G75" s="13">
        <v>26.792999999999999</v>
      </c>
      <c r="H75" s="12">
        <f t="shared" si="5"/>
        <v>267.93</v>
      </c>
      <c r="I75" s="14">
        <f t="shared" si="6"/>
        <v>62.069999999999993</v>
      </c>
      <c r="J75" s="25">
        <f t="shared" si="7"/>
        <v>1650</v>
      </c>
      <c r="K75" s="26">
        <f t="shared" si="8"/>
        <v>1339.65</v>
      </c>
      <c r="L75" s="27">
        <f t="shared" si="9"/>
        <v>310.34999999999991</v>
      </c>
    </row>
    <row r="76" spans="2:12" x14ac:dyDescent="0.35">
      <c r="B76" s="16">
        <v>45767</v>
      </c>
      <c r="C76" s="3" t="s">
        <v>46</v>
      </c>
      <c r="D76" s="17">
        <v>1</v>
      </c>
      <c r="E76" s="11">
        <v>1020</v>
      </c>
      <c r="F76" s="12">
        <v>1028.21</v>
      </c>
      <c r="G76" s="13">
        <v>93.47</v>
      </c>
      <c r="H76" s="12">
        <f t="shared" si="5"/>
        <v>934.74</v>
      </c>
      <c r="I76" s="14">
        <f t="shared" si="6"/>
        <v>85.259999999999991</v>
      </c>
      <c r="J76" s="25">
        <f t="shared" si="7"/>
        <v>1020</v>
      </c>
      <c r="K76" s="26">
        <f t="shared" si="8"/>
        <v>934.74</v>
      </c>
      <c r="L76" s="27">
        <f t="shared" si="9"/>
        <v>85.259999999999991</v>
      </c>
    </row>
    <row r="77" spans="2:12" x14ac:dyDescent="0.35">
      <c r="B77" s="16">
        <v>45767</v>
      </c>
      <c r="C77" s="3" t="s">
        <v>47</v>
      </c>
      <c r="D77" s="17">
        <v>9</v>
      </c>
      <c r="E77" s="11">
        <v>460</v>
      </c>
      <c r="F77" s="12">
        <v>416.32</v>
      </c>
      <c r="G77" s="13">
        <v>37.840000000000003</v>
      </c>
      <c r="H77" s="12">
        <f t="shared" si="5"/>
        <v>378.48</v>
      </c>
      <c r="I77" s="14">
        <f t="shared" si="6"/>
        <v>81.519999999999982</v>
      </c>
      <c r="J77" s="25">
        <f t="shared" si="7"/>
        <v>4140</v>
      </c>
      <c r="K77" s="26">
        <f t="shared" si="8"/>
        <v>3406.32</v>
      </c>
      <c r="L77" s="27">
        <f t="shared" si="9"/>
        <v>733.67999999999984</v>
      </c>
    </row>
    <row r="78" spans="2:12" x14ac:dyDescent="0.35">
      <c r="B78" s="16">
        <v>45767</v>
      </c>
      <c r="C78" s="3" t="s">
        <v>48</v>
      </c>
      <c r="D78" s="17">
        <v>1</v>
      </c>
      <c r="E78" s="11">
        <v>1850</v>
      </c>
      <c r="F78" s="12">
        <v>1632.77</v>
      </c>
      <c r="G78" s="13">
        <v>148.43299999999999</v>
      </c>
      <c r="H78" s="12">
        <f t="shared" si="5"/>
        <v>1484.337</v>
      </c>
      <c r="I78" s="14">
        <f t="shared" si="6"/>
        <v>365.66300000000001</v>
      </c>
      <c r="J78" s="25">
        <f t="shared" si="7"/>
        <v>1850</v>
      </c>
      <c r="K78" s="26">
        <f t="shared" si="8"/>
        <v>1484.337</v>
      </c>
      <c r="L78" s="27">
        <f t="shared" si="9"/>
        <v>365.66300000000001</v>
      </c>
    </row>
    <row r="79" spans="2:12" x14ac:dyDescent="0.35">
      <c r="B79" s="16">
        <v>45767</v>
      </c>
      <c r="C79" s="4" t="s">
        <v>49</v>
      </c>
      <c r="D79" s="17">
        <v>5</v>
      </c>
      <c r="E79" s="11">
        <v>62</v>
      </c>
      <c r="F79" s="12">
        <v>49.87</v>
      </c>
      <c r="G79" s="13">
        <v>4.5</v>
      </c>
      <c r="H79" s="12">
        <f t="shared" si="5"/>
        <v>45.37</v>
      </c>
      <c r="I79" s="14">
        <f t="shared" si="6"/>
        <v>16.630000000000003</v>
      </c>
      <c r="J79" s="25">
        <f t="shared" si="7"/>
        <v>310</v>
      </c>
      <c r="K79" s="26">
        <f t="shared" si="8"/>
        <v>226.85</v>
      </c>
      <c r="L79" s="27">
        <f t="shared" si="9"/>
        <v>83.15</v>
      </c>
    </row>
    <row r="80" spans="2:12" x14ac:dyDescent="0.35">
      <c r="B80" s="16">
        <v>45768</v>
      </c>
      <c r="C80" s="3" t="s">
        <v>50</v>
      </c>
      <c r="D80" s="17">
        <v>1</v>
      </c>
      <c r="E80" s="11">
        <v>9000</v>
      </c>
      <c r="F80" s="12">
        <v>6827.6350000000002</v>
      </c>
      <c r="G80" s="13">
        <v>620.69000000000005</v>
      </c>
      <c r="H80" s="12">
        <f t="shared" si="5"/>
        <v>6206.9449999999997</v>
      </c>
      <c r="I80" s="14">
        <f t="shared" si="6"/>
        <v>2793.0550000000003</v>
      </c>
      <c r="J80" s="25">
        <f t="shared" si="7"/>
        <v>9000</v>
      </c>
      <c r="K80" s="26">
        <f t="shared" si="8"/>
        <v>6206.9449999999997</v>
      </c>
      <c r="L80" s="27">
        <f t="shared" si="9"/>
        <v>2793.0550000000003</v>
      </c>
    </row>
    <row r="81" spans="2:12" x14ac:dyDescent="0.35">
      <c r="B81" s="16">
        <v>45768</v>
      </c>
      <c r="C81" s="3" t="s">
        <v>47</v>
      </c>
      <c r="D81" s="17">
        <v>10</v>
      </c>
      <c r="E81" s="11">
        <v>475</v>
      </c>
      <c r="F81" s="12">
        <v>465</v>
      </c>
      <c r="G81" s="13">
        <v>0</v>
      </c>
      <c r="H81" s="12">
        <f t="shared" si="5"/>
        <v>465</v>
      </c>
      <c r="I81" s="14">
        <f t="shared" si="6"/>
        <v>10</v>
      </c>
      <c r="J81" s="25">
        <f t="shared" si="7"/>
        <v>4750</v>
      </c>
      <c r="K81" s="26">
        <f t="shared" si="8"/>
        <v>4650</v>
      </c>
      <c r="L81" s="27">
        <f t="shared" si="9"/>
        <v>100</v>
      </c>
    </row>
    <row r="82" spans="2:12" x14ac:dyDescent="0.35">
      <c r="B82" s="16">
        <v>45768</v>
      </c>
      <c r="C82" s="4" t="s">
        <v>17</v>
      </c>
      <c r="D82" s="17">
        <v>14</v>
      </c>
      <c r="E82" s="11">
        <v>680</v>
      </c>
      <c r="F82" s="12">
        <v>492.03</v>
      </c>
      <c r="G82" s="13">
        <v>44.73</v>
      </c>
      <c r="H82" s="12">
        <f t="shared" si="5"/>
        <v>447.29999999999995</v>
      </c>
      <c r="I82" s="14">
        <f t="shared" si="6"/>
        <v>232.70000000000005</v>
      </c>
      <c r="J82" s="25">
        <f t="shared" si="7"/>
        <v>9520</v>
      </c>
      <c r="K82" s="26">
        <f t="shared" si="8"/>
        <v>6262.1999999999989</v>
      </c>
      <c r="L82" s="27">
        <f t="shared" si="9"/>
        <v>3257.8000000000011</v>
      </c>
    </row>
    <row r="83" spans="2:12" x14ac:dyDescent="0.35">
      <c r="B83" s="16">
        <v>45768</v>
      </c>
      <c r="C83" s="4" t="s">
        <v>13</v>
      </c>
      <c r="D83" s="17">
        <v>8</v>
      </c>
      <c r="E83" s="11">
        <v>260</v>
      </c>
      <c r="F83" s="12">
        <v>200.97</v>
      </c>
      <c r="G83" s="13">
        <v>18.27</v>
      </c>
      <c r="H83" s="12">
        <f t="shared" si="5"/>
        <v>182.7</v>
      </c>
      <c r="I83" s="14">
        <f t="shared" si="6"/>
        <v>77.300000000000011</v>
      </c>
      <c r="J83" s="25">
        <f t="shared" si="7"/>
        <v>2080</v>
      </c>
      <c r="K83" s="26">
        <f t="shared" si="8"/>
        <v>1461.6</v>
      </c>
      <c r="L83" s="27">
        <f t="shared" si="9"/>
        <v>618.40000000000009</v>
      </c>
    </row>
    <row r="84" spans="2:12" x14ac:dyDescent="0.35">
      <c r="B84" s="16">
        <v>45768</v>
      </c>
      <c r="C84" s="4" t="s">
        <v>49</v>
      </c>
      <c r="D84" s="17">
        <v>16</v>
      </c>
      <c r="E84" s="11">
        <v>62</v>
      </c>
      <c r="F84" s="12">
        <v>49.87</v>
      </c>
      <c r="G84" s="13">
        <v>4.5</v>
      </c>
      <c r="H84" s="12">
        <f t="shared" si="5"/>
        <v>45.37</v>
      </c>
      <c r="I84" s="14">
        <f t="shared" si="6"/>
        <v>16.630000000000003</v>
      </c>
      <c r="J84" s="25">
        <f t="shared" si="7"/>
        <v>992</v>
      </c>
      <c r="K84" s="26">
        <f t="shared" si="8"/>
        <v>725.92</v>
      </c>
      <c r="L84" s="27">
        <f t="shared" si="9"/>
        <v>266.08000000000004</v>
      </c>
    </row>
    <row r="85" spans="2:12" x14ac:dyDescent="0.35">
      <c r="B85" s="16">
        <v>45768</v>
      </c>
      <c r="C85" s="4" t="s">
        <v>49</v>
      </c>
      <c r="D85" s="17">
        <v>10</v>
      </c>
      <c r="E85" s="11">
        <v>61</v>
      </c>
      <c r="F85" s="12">
        <v>49.87</v>
      </c>
      <c r="G85" s="13">
        <v>4.5</v>
      </c>
      <c r="H85" s="12">
        <f t="shared" si="5"/>
        <v>45.37</v>
      </c>
      <c r="I85" s="14">
        <f t="shared" si="6"/>
        <v>15.630000000000003</v>
      </c>
      <c r="J85" s="25">
        <f t="shared" si="7"/>
        <v>610</v>
      </c>
      <c r="K85" s="26">
        <f t="shared" si="8"/>
        <v>453.7</v>
      </c>
      <c r="L85" s="27">
        <f t="shared" si="9"/>
        <v>156.30000000000001</v>
      </c>
    </row>
    <row r="86" spans="2:12" x14ac:dyDescent="0.35">
      <c r="B86" s="18">
        <v>45769</v>
      </c>
      <c r="C86" s="8" t="s">
        <v>51</v>
      </c>
      <c r="D86" s="19">
        <v>1</v>
      </c>
      <c r="E86" s="15">
        <v>1450</v>
      </c>
      <c r="F86" s="15">
        <v>1452</v>
      </c>
      <c r="G86" s="15">
        <v>0</v>
      </c>
      <c r="H86" s="15">
        <f t="shared" si="5"/>
        <v>1452</v>
      </c>
      <c r="I86" s="15">
        <f t="shared" si="6"/>
        <v>-2</v>
      </c>
      <c r="J86" s="28">
        <f t="shared" si="7"/>
        <v>1450</v>
      </c>
      <c r="K86" s="28">
        <f t="shared" si="8"/>
        <v>1452</v>
      </c>
      <c r="L86" s="28">
        <f t="shared" si="9"/>
        <v>-2</v>
      </c>
    </row>
    <row r="87" spans="2:12" x14ac:dyDescent="0.35">
      <c r="B87" s="16">
        <v>45769</v>
      </c>
      <c r="C87" s="4" t="s">
        <v>52</v>
      </c>
      <c r="D87" s="17">
        <v>1</v>
      </c>
      <c r="E87" s="11">
        <v>1450</v>
      </c>
      <c r="F87" s="12">
        <v>1070.8499999999999</v>
      </c>
      <c r="G87" s="13">
        <v>0</v>
      </c>
      <c r="H87" s="12">
        <f t="shared" si="5"/>
        <v>1070.8499999999999</v>
      </c>
      <c r="I87" s="14">
        <f t="shared" si="6"/>
        <v>379.15000000000009</v>
      </c>
      <c r="J87" s="25">
        <f t="shared" si="7"/>
        <v>1450</v>
      </c>
      <c r="K87" s="26">
        <f t="shared" si="8"/>
        <v>1070.8499999999999</v>
      </c>
      <c r="L87" s="27">
        <f t="shared" si="9"/>
        <v>379.15000000000009</v>
      </c>
    </row>
    <row r="88" spans="2:12" x14ac:dyDescent="0.35">
      <c r="B88" s="18">
        <v>45769</v>
      </c>
      <c r="C88" s="9" t="s">
        <v>53</v>
      </c>
      <c r="D88" s="19">
        <v>1</v>
      </c>
      <c r="E88" s="15">
        <v>1450</v>
      </c>
      <c r="F88" s="15">
        <v>1452</v>
      </c>
      <c r="G88" s="15">
        <v>0</v>
      </c>
      <c r="H88" s="15">
        <f t="shared" si="5"/>
        <v>1452</v>
      </c>
      <c r="I88" s="15">
        <f t="shared" si="6"/>
        <v>-2</v>
      </c>
      <c r="J88" s="28">
        <f t="shared" si="7"/>
        <v>1450</v>
      </c>
      <c r="K88" s="28">
        <f t="shared" si="8"/>
        <v>1452</v>
      </c>
      <c r="L88" s="28">
        <f t="shared" si="9"/>
        <v>-2</v>
      </c>
    </row>
    <row r="89" spans="2:12" x14ac:dyDescent="0.35">
      <c r="B89" s="16">
        <v>45769</v>
      </c>
      <c r="C89" s="2" t="s">
        <v>54</v>
      </c>
      <c r="D89" s="17">
        <v>1</v>
      </c>
      <c r="E89" s="11">
        <v>1450</v>
      </c>
      <c r="F89" s="12">
        <v>1161.5999999999999</v>
      </c>
      <c r="G89" s="13">
        <v>0</v>
      </c>
      <c r="H89" s="12">
        <f t="shared" si="5"/>
        <v>1161.5999999999999</v>
      </c>
      <c r="I89" s="14">
        <f t="shared" si="6"/>
        <v>288.40000000000009</v>
      </c>
      <c r="J89" s="25">
        <f t="shared" si="7"/>
        <v>1450</v>
      </c>
      <c r="K89" s="26">
        <f t="shared" si="8"/>
        <v>1161.5999999999999</v>
      </c>
      <c r="L89" s="27">
        <f t="shared" si="9"/>
        <v>288.40000000000009</v>
      </c>
    </row>
    <row r="90" spans="2:12" x14ac:dyDescent="0.35">
      <c r="B90" s="16">
        <v>45770</v>
      </c>
      <c r="C90" s="3" t="s">
        <v>55</v>
      </c>
      <c r="D90" s="17">
        <v>1</v>
      </c>
      <c r="E90" s="11">
        <v>1095</v>
      </c>
      <c r="F90" s="12">
        <v>865</v>
      </c>
      <c r="G90" s="13">
        <v>0</v>
      </c>
      <c r="H90" s="12">
        <f t="shared" si="5"/>
        <v>865</v>
      </c>
      <c r="I90" s="14">
        <f t="shared" si="6"/>
        <v>230</v>
      </c>
      <c r="J90" s="25">
        <f t="shared" si="7"/>
        <v>1095</v>
      </c>
      <c r="K90" s="26">
        <f t="shared" si="8"/>
        <v>865</v>
      </c>
      <c r="L90" s="27">
        <f t="shared" si="9"/>
        <v>230</v>
      </c>
    </row>
    <row r="91" spans="2:12" x14ac:dyDescent="0.35">
      <c r="B91" s="16">
        <v>45770</v>
      </c>
      <c r="C91" s="3" t="s">
        <v>55</v>
      </c>
      <c r="D91" s="17">
        <v>1</v>
      </c>
      <c r="E91" s="11">
        <v>1057</v>
      </c>
      <c r="F91" s="12">
        <v>865</v>
      </c>
      <c r="G91" s="13">
        <v>0</v>
      </c>
      <c r="H91" s="12">
        <f t="shared" si="5"/>
        <v>865</v>
      </c>
      <c r="I91" s="14">
        <f t="shared" si="6"/>
        <v>192</v>
      </c>
      <c r="J91" s="25">
        <f t="shared" si="7"/>
        <v>1057</v>
      </c>
      <c r="K91" s="26">
        <f t="shared" si="8"/>
        <v>865</v>
      </c>
      <c r="L91" s="27">
        <f t="shared" si="9"/>
        <v>192</v>
      </c>
    </row>
    <row r="92" spans="2:12" x14ac:dyDescent="0.35">
      <c r="B92" s="16">
        <v>45770</v>
      </c>
      <c r="C92" s="4" t="s">
        <v>52</v>
      </c>
      <c r="D92" s="17">
        <v>2</v>
      </c>
      <c r="E92" s="11">
        <v>1929</v>
      </c>
      <c r="F92" s="12">
        <v>1700</v>
      </c>
      <c r="G92" s="13">
        <v>0</v>
      </c>
      <c r="H92" s="12">
        <f t="shared" si="5"/>
        <v>1700</v>
      </c>
      <c r="I92" s="14">
        <f t="shared" si="6"/>
        <v>229</v>
      </c>
      <c r="J92" s="25">
        <f t="shared" si="7"/>
        <v>3858</v>
      </c>
      <c r="K92" s="26">
        <f t="shared" si="8"/>
        <v>3400</v>
      </c>
      <c r="L92" s="27">
        <f t="shared" si="9"/>
        <v>458</v>
      </c>
    </row>
    <row r="93" spans="2:12" x14ac:dyDescent="0.35">
      <c r="B93" s="16">
        <v>45770</v>
      </c>
      <c r="C93" s="3" t="s">
        <v>25</v>
      </c>
      <c r="D93" s="17">
        <v>1</v>
      </c>
      <c r="E93" s="11">
        <v>3171</v>
      </c>
      <c r="F93" s="12">
        <v>2900</v>
      </c>
      <c r="G93" s="13">
        <v>0</v>
      </c>
      <c r="H93" s="12">
        <f t="shared" si="5"/>
        <v>2900</v>
      </c>
      <c r="I93" s="14">
        <f t="shared" si="6"/>
        <v>271</v>
      </c>
      <c r="J93" s="25">
        <f t="shared" si="7"/>
        <v>3171</v>
      </c>
      <c r="K93" s="26">
        <f t="shared" si="8"/>
        <v>2900</v>
      </c>
      <c r="L93" s="27">
        <f t="shared" si="9"/>
        <v>271</v>
      </c>
    </row>
    <row r="94" spans="2:12" x14ac:dyDescent="0.35">
      <c r="B94" s="16">
        <v>45770</v>
      </c>
      <c r="C94" s="3" t="s">
        <v>25</v>
      </c>
      <c r="D94" s="17">
        <v>1</v>
      </c>
      <c r="E94" s="11">
        <v>3171</v>
      </c>
      <c r="F94" s="12">
        <v>2900</v>
      </c>
      <c r="G94" s="13">
        <v>0</v>
      </c>
      <c r="H94" s="12">
        <f t="shared" si="5"/>
        <v>2900</v>
      </c>
      <c r="I94" s="14">
        <f t="shared" si="6"/>
        <v>271</v>
      </c>
      <c r="J94" s="25">
        <f t="shared" si="7"/>
        <v>3171</v>
      </c>
      <c r="K94" s="26">
        <f t="shared" si="8"/>
        <v>2900</v>
      </c>
      <c r="L94" s="27">
        <f t="shared" si="9"/>
        <v>271</v>
      </c>
    </row>
    <row r="95" spans="2:12" x14ac:dyDescent="0.35">
      <c r="B95" s="16">
        <v>45770</v>
      </c>
      <c r="C95" s="2" t="s">
        <v>39</v>
      </c>
      <c r="D95" s="17">
        <v>8</v>
      </c>
      <c r="E95" s="11">
        <v>5600</v>
      </c>
      <c r="F95" s="12">
        <v>5799.3459999999995</v>
      </c>
      <c r="G95" s="13">
        <v>527.21</v>
      </c>
      <c r="H95" s="12">
        <f t="shared" si="5"/>
        <v>5272.1359999999995</v>
      </c>
      <c r="I95" s="14">
        <f t="shared" si="6"/>
        <v>327.86400000000049</v>
      </c>
      <c r="J95" s="25">
        <f t="shared" si="7"/>
        <v>44800</v>
      </c>
      <c r="K95" s="26">
        <f t="shared" si="8"/>
        <v>42177.087999999996</v>
      </c>
      <c r="L95" s="27">
        <f t="shared" si="9"/>
        <v>2622.9120000000039</v>
      </c>
    </row>
    <row r="96" spans="2:12" x14ac:dyDescent="0.35">
      <c r="B96" s="16">
        <v>45776</v>
      </c>
      <c r="C96" s="4" t="s">
        <v>19</v>
      </c>
      <c r="D96" s="17">
        <v>2</v>
      </c>
      <c r="E96" s="11">
        <v>550</v>
      </c>
      <c r="F96" s="12">
        <v>545</v>
      </c>
      <c r="G96" s="13">
        <v>0</v>
      </c>
      <c r="H96" s="12">
        <f t="shared" si="5"/>
        <v>545</v>
      </c>
      <c r="I96" s="14">
        <f t="shared" si="6"/>
        <v>5</v>
      </c>
      <c r="J96" s="25">
        <f t="shared" si="7"/>
        <v>1100</v>
      </c>
      <c r="K96" s="26">
        <f t="shared" si="8"/>
        <v>1090</v>
      </c>
      <c r="L96" s="27">
        <f t="shared" si="9"/>
        <v>10</v>
      </c>
    </row>
    <row r="97" spans="2:12" x14ac:dyDescent="0.35">
      <c r="B97" s="16">
        <v>45776</v>
      </c>
      <c r="C97" s="3" t="s">
        <v>21</v>
      </c>
      <c r="D97" s="17">
        <v>2</v>
      </c>
      <c r="E97" s="11">
        <v>1720</v>
      </c>
      <c r="F97" s="12">
        <v>1542.75</v>
      </c>
      <c r="G97" s="13">
        <v>0</v>
      </c>
      <c r="H97" s="12">
        <f t="shared" si="5"/>
        <v>1542.75</v>
      </c>
      <c r="I97" s="14">
        <f t="shared" si="6"/>
        <v>177.25</v>
      </c>
      <c r="J97" s="25">
        <f t="shared" si="7"/>
        <v>3440</v>
      </c>
      <c r="K97" s="26">
        <f t="shared" si="8"/>
        <v>3085.5</v>
      </c>
      <c r="L97" s="27">
        <f t="shared" si="9"/>
        <v>354.5</v>
      </c>
    </row>
    <row r="98" spans="2:12" x14ac:dyDescent="0.35">
      <c r="B98" s="10">
        <v>45777</v>
      </c>
      <c r="C98" s="2" t="s">
        <v>30</v>
      </c>
      <c r="D98" s="20">
        <v>4</v>
      </c>
      <c r="E98" s="11">
        <v>1450</v>
      </c>
      <c r="F98" s="12">
        <v>1201.8</v>
      </c>
      <c r="G98" s="13">
        <v>109.25</v>
      </c>
      <c r="H98" s="12">
        <f t="shared" si="5"/>
        <v>1092.55</v>
      </c>
      <c r="I98" s="14">
        <f t="shared" si="6"/>
        <v>357.45000000000005</v>
      </c>
      <c r="J98" s="25">
        <f t="shared" si="7"/>
        <v>5800</v>
      </c>
      <c r="K98" s="26">
        <f t="shared" si="8"/>
        <v>4370.2</v>
      </c>
      <c r="L98" s="27">
        <f t="shared" si="9"/>
        <v>1429.8000000000002</v>
      </c>
    </row>
    <row r="99" spans="2:12" x14ac:dyDescent="0.35">
      <c r="B99" s="10">
        <v>45777</v>
      </c>
      <c r="C99" s="4" t="s">
        <v>17</v>
      </c>
      <c r="D99" s="20">
        <v>6</v>
      </c>
      <c r="E99" s="11">
        <v>670</v>
      </c>
      <c r="F99" s="12">
        <v>492.03</v>
      </c>
      <c r="G99" s="13">
        <v>44.73</v>
      </c>
      <c r="H99" s="12">
        <f t="shared" si="5"/>
        <v>447.29999999999995</v>
      </c>
      <c r="I99" s="14">
        <f t="shared" si="6"/>
        <v>222.70000000000005</v>
      </c>
      <c r="J99" s="25">
        <f t="shared" si="7"/>
        <v>4020</v>
      </c>
      <c r="K99" s="26">
        <f t="shared" si="8"/>
        <v>2683.7999999999997</v>
      </c>
      <c r="L99" s="27">
        <f t="shared" si="9"/>
        <v>1336.2000000000003</v>
      </c>
    </row>
    <row r="100" spans="2:12" x14ac:dyDescent="0.3">
      <c r="B100" s="10">
        <v>45777</v>
      </c>
      <c r="C100" s="3" t="s">
        <v>47</v>
      </c>
      <c r="D100" s="20">
        <v>2</v>
      </c>
      <c r="E100" s="11">
        <v>470</v>
      </c>
      <c r="F100" s="12">
        <v>416.32</v>
      </c>
      <c r="G100" s="13">
        <v>37.840000000000003</v>
      </c>
      <c r="H100" s="12">
        <f t="shared" si="5"/>
        <v>378.48</v>
      </c>
      <c r="I100" s="14">
        <f t="shared" si="6"/>
        <v>91.519999999999982</v>
      </c>
      <c r="J100" s="25">
        <f t="shared" si="7"/>
        <v>940</v>
      </c>
      <c r="K100" s="26">
        <f t="shared" si="8"/>
        <v>756.96</v>
      </c>
      <c r="L100" s="27">
        <f t="shared" si="9"/>
        <v>183.03999999999996</v>
      </c>
    </row>
    <row r="101" spans="2:12" x14ac:dyDescent="0.35">
      <c r="B101" s="10">
        <v>45777</v>
      </c>
      <c r="C101" s="4" t="s">
        <v>20</v>
      </c>
      <c r="D101" s="20">
        <v>8</v>
      </c>
      <c r="E101" s="11">
        <v>4800</v>
      </c>
      <c r="F101" s="12">
        <v>4997.0200000000004</v>
      </c>
      <c r="G101" s="13">
        <v>454.27</v>
      </c>
      <c r="H101" s="12">
        <f t="shared" si="5"/>
        <v>4542.75</v>
      </c>
      <c r="I101" s="14">
        <f t="shared" si="6"/>
        <v>257.25</v>
      </c>
      <c r="J101" s="25">
        <f t="shared" si="7"/>
        <v>38400</v>
      </c>
      <c r="K101" s="26">
        <f t="shared" si="8"/>
        <v>36342</v>
      </c>
      <c r="L101" s="27">
        <f t="shared" si="9"/>
        <v>2058</v>
      </c>
    </row>
    <row r="102" spans="2:12" x14ac:dyDescent="0.35">
      <c r="B102" s="10">
        <v>45777</v>
      </c>
      <c r="C102" s="4" t="s">
        <v>20</v>
      </c>
      <c r="D102" s="20">
        <v>5</v>
      </c>
      <c r="E102" s="11">
        <v>4800</v>
      </c>
      <c r="F102" s="12">
        <v>4997.0200000000004</v>
      </c>
      <c r="G102" s="13">
        <v>454.27</v>
      </c>
      <c r="H102" s="12">
        <f>F102-G102</f>
        <v>4542.75</v>
      </c>
      <c r="I102" s="14">
        <f t="shared" si="6"/>
        <v>257.25</v>
      </c>
      <c r="J102" s="25">
        <f t="shared" si="7"/>
        <v>24000</v>
      </c>
      <c r="K102" s="26">
        <f t="shared" si="8"/>
        <v>22713.75</v>
      </c>
      <c r="L102" s="27">
        <f t="shared" si="9"/>
        <v>1286.25</v>
      </c>
    </row>
    <row r="103" spans="2:12" x14ac:dyDescent="0.3">
      <c r="B103" s="10">
        <v>45777</v>
      </c>
      <c r="C103" s="3" t="s">
        <v>43</v>
      </c>
      <c r="D103" s="20">
        <v>6</v>
      </c>
      <c r="E103" s="11">
        <v>6450</v>
      </c>
      <c r="F103" s="12">
        <v>5368.6379999999999</v>
      </c>
      <c r="G103" s="13">
        <v>488.05</v>
      </c>
      <c r="H103" s="12">
        <f t="shared" si="5"/>
        <v>4880.5879999999997</v>
      </c>
      <c r="I103" s="14">
        <f t="shared" si="6"/>
        <v>1569.4120000000003</v>
      </c>
      <c r="J103" s="25">
        <f t="shared" si="7"/>
        <v>38700</v>
      </c>
      <c r="K103" s="26">
        <f t="shared" si="8"/>
        <v>29283.527999999998</v>
      </c>
      <c r="L103" s="27">
        <f t="shared" si="9"/>
        <v>9416.4720000000016</v>
      </c>
    </row>
    <row r="104" spans="2:12" x14ac:dyDescent="0.3">
      <c r="B104" s="10">
        <v>45777</v>
      </c>
      <c r="C104" s="3" t="s">
        <v>50</v>
      </c>
      <c r="D104" s="20">
        <v>4</v>
      </c>
      <c r="E104" s="11">
        <v>8750</v>
      </c>
      <c r="F104" s="12">
        <v>7464.5349999999999</v>
      </c>
      <c r="G104" s="13">
        <v>678.59</v>
      </c>
      <c r="H104" s="12">
        <f t="shared" si="5"/>
        <v>6785.9449999999997</v>
      </c>
      <c r="I104" s="14">
        <f t="shared" si="6"/>
        <v>1964.0550000000003</v>
      </c>
      <c r="J104" s="25">
        <f t="shared" si="7"/>
        <v>35000</v>
      </c>
      <c r="K104" s="26">
        <f t="shared" si="8"/>
        <v>27143.78</v>
      </c>
      <c r="L104" s="27">
        <f t="shared" si="9"/>
        <v>7856.2200000000012</v>
      </c>
    </row>
    <row r="105" spans="2:12" x14ac:dyDescent="0.3">
      <c r="B105" s="10">
        <v>45777</v>
      </c>
      <c r="C105" s="3" t="s">
        <v>43</v>
      </c>
      <c r="D105" s="20">
        <v>1</v>
      </c>
      <c r="E105" s="11">
        <v>6500</v>
      </c>
      <c r="F105" s="12">
        <v>5368.6379999999999</v>
      </c>
      <c r="G105" s="13">
        <v>488.05</v>
      </c>
      <c r="H105" s="12">
        <f t="shared" si="5"/>
        <v>4880.5879999999997</v>
      </c>
      <c r="I105" s="14">
        <f t="shared" si="6"/>
        <v>1619.4120000000003</v>
      </c>
      <c r="J105" s="25">
        <f t="shared" si="7"/>
        <v>6500</v>
      </c>
      <c r="K105" s="26">
        <f t="shared" si="8"/>
        <v>4880.5879999999997</v>
      </c>
      <c r="L105" s="27">
        <f t="shared" si="9"/>
        <v>1619.4120000000003</v>
      </c>
    </row>
    <row r="106" spans="2:12" x14ac:dyDescent="0.35">
      <c r="B106" s="10">
        <v>45777</v>
      </c>
      <c r="C106" s="2" t="s">
        <v>27</v>
      </c>
      <c r="D106" s="20">
        <v>5</v>
      </c>
      <c r="E106" s="11">
        <v>5480</v>
      </c>
      <c r="F106" s="12">
        <v>5182.7700000000004</v>
      </c>
      <c r="G106" s="13">
        <v>471.16</v>
      </c>
      <c r="H106" s="12">
        <f t="shared" si="5"/>
        <v>4711.6100000000006</v>
      </c>
      <c r="I106" s="14">
        <f t="shared" si="6"/>
        <v>768.38999999999942</v>
      </c>
      <c r="J106" s="25">
        <f t="shared" si="7"/>
        <v>27400</v>
      </c>
      <c r="K106" s="26">
        <f t="shared" si="8"/>
        <v>23558.050000000003</v>
      </c>
      <c r="L106" s="27">
        <f t="shared" si="9"/>
        <v>3841.9499999999971</v>
      </c>
    </row>
    <row r="107" spans="2:12" x14ac:dyDescent="0.3">
      <c r="B107" s="10">
        <v>45777</v>
      </c>
      <c r="C107" s="3" t="s">
        <v>50</v>
      </c>
      <c r="D107" s="20">
        <v>5</v>
      </c>
      <c r="E107" s="11">
        <v>8775</v>
      </c>
      <c r="F107" s="12">
        <v>7464.5349999999999</v>
      </c>
      <c r="G107" s="13">
        <v>678.59</v>
      </c>
      <c r="H107" s="12">
        <f t="shared" si="5"/>
        <v>6785.9449999999997</v>
      </c>
      <c r="I107" s="14">
        <f t="shared" si="6"/>
        <v>1989.0550000000003</v>
      </c>
      <c r="J107" s="25">
        <f t="shared" si="7"/>
        <v>43875</v>
      </c>
      <c r="K107" s="26">
        <f t="shared" si="8"/>
        <v>33929.724999999999</v>
      </c>
      <c r="L107" s="27">
        <f t="shared" si="9"/>
        <v>9945.2750000000015</v>
      </c>
    </row>
    <row r="108" spans="2:12" ht="21" x14ac:dyDescent="0.4">
      <c r="J108" s="33" t="s">
        <v>6</v>
      </c>
      <c r="K108" s="33" t="s">
        <v>57</v>
      </c>
      <c r="L108" s="33" t="s">
        <v>58</v>
      </c>
    </row>
    <row r="109" spans="2:12" x14ac:dyDescent="0.35">
      <c r="J109" s="30">
        <f>SUM(J3:J108)</f>
        <v>1469551</v>
      </c>
      <c r="K109" s="31">
        <f>SUM(K3:K108)</f>
        <v>1300649.0163000003</v>
      </c>
      <c r="L109" s="32">
        <f>SUM(L3:L108)</f>
        <v>168901.98370000001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88E7-8480-43FD-81CB-754CCD519DFD}">
  <dimension ref="C1:H109"/>
  <sheetViews>
    <sheetView workbookViewId="0">
      <selection activeCell="G116" sqref="G116"/>
    </sheetView>
  </sheetViews>
  <sheetFormatPr defaultRowHeight="14.4" x14ac:dyDescent="0.3"/>
  <cols>
    <col min="3" max="3" width="16.109375" customWidth="1"/>
    <col min="4" max="4" width="38.109375" customWidth="1"/>
    <col min="6" max="7" width="27.6640625" customWidth="1"/>
    <col min="8" max="8" width="27.5546875" style="29" customWidth="1"/>
  </cols>
  <sheetData>
    <row r="1" spans="3:8" ht="33.6" x14ac:dyDescent="0.65">
      <c r="C1" s="38" t="s">
        <v>60</v>
      </c>
      <c r="D1" s="38"/>
      <c r="E1" s="38"/>
      <c r="F1" s="38"/>
      <c r="G1" s="38"/>
      <c r="H1" s="38"/>
    </row>
    <row r="2" spans="3:8" ht="23.4" x14ac:dyDescent="0.45">
      <c r="C2" s="21" t="s">
        <v>0</v>
      </c>
      <c r="D2" s="21" t="s">
        <v>1</v>
      </c>
      <c r="E2" s="34" t="s">
        <v>2</v>
      </c>
      <c r="F2" s="21" t="s">
        <v>4</v>
      </c>
      <c r="G2" s="21" t="s">
        <v>9</v>
      </c>
      <c r="H2" s="35" t="s">
        <v>59</v>
      </c>
    </row>
    <row r="3" spans="3:8" ht="18" x14ac:dyDescent="0.35">
      <c r="C3" s="16">
        <v>45755</v>
      </c>
      <c r="D3" s="2" t="s">
        <v>10</v>
      </c>
      <c r="E3" s="20">
        <v>10</v>
      </c>
      <c r="F3" s="12">
        <v>1590</v>
      </c>
      <c r="G3" s="13">
        <v>0</v>
      </c>
      <c r="H3" s="36">
        <f>G3*E3</f>
        <v>0</v>
      </c>
    </row>
    <row r="4" spans="3:8" ht="18" x14ac:dyDescent="0.35">
      <c r="C4" s="18">
        <v>45755</v>
      </c>
      <c r="D4" s="9" t="s">
        <v>11</v>
      </c>
      <c r="E4" s="15">
        <v>2</v>
      </c>
      <c r="F4" s="15">
        <v>5537.77</v>
      </c>
      <c r="G4" s="15">
        <v>503.43</v>
      </c>
      <c r="H4" s="36">
        <f t="shared" ref="H4:H67" si="0">G4*E4</f>
        <v>1006.86</v>
      </c>
    </row>
    <row r="5" spans="3:8" ht="18" x14ac:dyDescent="0.35">
      <c r="C5" s="16">
        <v>45756</v>
      </c>
      <c r="D5" s="2" t="s">
        <v>12</v>
      </c>
      <c r="E5" s="20">
        <v>50</v>
      </c>
      <c r="F5" s="12">
        <v>1112.8</v>
      </c>
      <c r="G5" s="13">
        <v>144.66</v>
      </c>
      <c r="H5" s="36">
        <f t="shared" si="0"/>
        <v>7233</v>
      </c>
    </row>
    <row r="6" spans="3:8" ht="18" x14ac:dyDescent="0.35">
      <c r="C6" s="16">
        <v>45756</v>
      </c>
      <c r="D6" s="4" t="s">
        <v>13</v>
      </c>
      <c r="E6" s="20">
        <v>15</v>
      </c>
      <c r="F6" s="12">
        <v>205.04</v>
      </c>
      <c r="G6" s="13">
        <v>18.64</v>
      </c>
      <c r="H6" s="36">
        <f t="shared" si="0"/>
        <v>279.60000000000002</v>
      </c>
    </row>
    <row r="7" spans="3:8" ht="18" x14ac:dyDescent="0.35">
      <c r="C7" s="16">
        <v>45756</v>
      </c>
      <c r="D7" s="4" t="s">
        <v>14</v>
      </c>
      <c r="E7" s="20">
        <v>23</v>
      </c>
      <c r="F7" s="12">
        <v>535.86</v>
      </c>
      <c r="G7" s="13">
        <v>48.7</v>
      </c>
      <c r="H7" s="36">
        <f t="shared" si="0"/>
        <v>1120.1000000000001</v>
      </c>
    </row>
    <row r="8" spans="3:8" ht="18" x14ac:dyDescent="0.35">
      <c r="C8" s="16">
        <v>45756</v>
      </c>
      <c r="D8" s="4" t="s">
        <v>15</v>
      </c>
      <c r="E8" s="20">
        <v>1</v>
      </c>
      <c r="F8" s="12">
        <v>535.86</v>
      </c>
      <c r="G8" s="13">
        <v>48.7</v>
      </c>
      <c r="H8" s="36">
        <f t="shared" si="0"/>
        <v>48.7</v>
      </c>
    </row>
    <row r="9" spans="3:8" ht="18" x14ac:dyDescent="0.35">
      <c r="C9" s="16">
        <v>45756</v>
      </c>
      <c r="D9" s="4" t="s">
        <v>16</v>
      </c>
      <c r="E9" s="20">
        <v>1</v>
      </c>
      <c r="F9" s="12">
        <v>446.5</v>
      </c>
      <c r="G9" s="13">
        <v>40.590000000000003</v>
      </c>
      <c r="H9" s="36">
        <f t="shared" si="0"/>
        <v>40.590000000000003</v>
      </c>
    </row>
    <row r="10" spans="3:8" ht="18" x14ac:dyDescent="0.35">
      <c r="C10" s="16">
        <v>45756</v>
      </c>
      <c r="D10" s="4" t="s">
        <v>17</v>
      </c>
      <c r="E10" s="20">
        <v>7</v>
      </c>
      <c r="F10" s="12">
        <v>521.6</v>
      </c>
      <c r="G10" s="13">
        <v>47.41</v>
      </c>
      <c r="H10" s="36">
        <f t="shared" si="0"/>
        <v>331.87</v>
      </c>
    </row>
    <row r="11" spans="3:8" ht="18" x14ac:dyDescent="0.3">
      <c r="C11" s="16">
        <v>45756</v>
      </c>
      <c r="D11" s="7" t="s">
        <v>18</v>
      </c>
      <c r="E11" s="20">
        <v>100</v>
      </c>
      <c r="F11" s="12">
        <v>318.86</v>
      </c>
      <c r="G11" s="13">
        <v>41.45</v>
      </c>
      <c r="H11" s="36">
        <f t="shared" si="0"/>
        <v>4145</v>
      </c>
    </row>
    <row r="12" spans="3:8" ht="18" x14ac:dyDescent="0.35">
      <c r="C12" s="16">
        <v>45756</v>
      </c>
      <c r="D12" s="4" t="s">
        <v>19</v>
      </c>
      <c r="E12" s="20">
        <v>4</v>
      </c>
      <c r="F12" s="12">
        <v>0</v>
      </c>
      <c r="G12" s="13">
        <v>0</v>
      </c>
      <c r="H12" s="36">
        <f t="shared" si="0"/>
        <v>0</v>
      </c>
    </row>
    <row r="13" spans="3:8" ht="18" x14ac:dyDescent="0.35">
      <c r="C13" s="16">
        <v>45756</v>
      </c>
      <c r="D13" s="2" t="s">
        <v>20</v>
      </c>
      <c r="E13" s="20">
        <v>6</v>
      </c>
      <c r="F13" s="12">
        <v>4869.6767</v>
      </c>
      <c r="G13" s="13">
        <v>442.697</v>
      </c>
      <c r="H13" s="36">
        <f t="shared" si="0"/>
        <v>2656.1819999999998</v>
      </c>
    </row>
    <row r="14" spans="3:8" ht="18" x14ac:dyDescent="0.35">
      <c r="C14" s="16">
        <v>45756</v>
      </c>
      <c r="D14" s="2" t="s">
        <v>10</v>
      </c>
      <c r="E14" s="20">
        <v>33</v>
      </c>
      <c r="F14" s="12">
        <v>1593.72</v>
      </c>
      <c r="G14" s="13">
        <v>144.88</v>
      </c>
      <c r="H14" s="36">
        <f t="shared" si="0"/>
        <v>4781.04</v>
      </c>
    </row>
    <row r="15" spans="3:8" ht="18" x14ac:dyDescent="0.35">
      <c r="C15" s="16">
        <v>45756</v>
      </c>
      <c r="D15" s="2" t="s">
        <v>10</v>
      </c>
      <c r="E15" s="20">
        <v>10</v>
      </c>
      <c r="F15" s="12">
        <v>1250.6400000000001</v>
      </c>
      <c r="G15" s="13">
        <v>162.58000000000001</v>
      </c>
      <c r="H15" s="36">
        <f t="shared" si="0"/>
        <v>1625.8000000000002</v>
      </c>
    </row>
    <row r="16" spans="3:8" ht="18" x14ac:dyDescent="0.35">
      <c r="C16" s="16">
        <v>45756</v>
      </c>
      <c r="D16" s="2" t="s">
        <v>10</v>
      </c>
      <c r="E16" s="20">
        <v>2</v>
      </c>
      <c r="F16" s="12">
        <v>1593.72</v>
      </c>
      <c r="G16" s="13">
        <v>144.88</v>
      </c>
      <c r="H16" s="36">
        <f t="shared" si="0"/>
        <v>289.76</v>
      </c>
    </row>
    <row r="17" spans="3:8" ht="18" x14ac:dyDescent="0.3">
      <c r="C17" s="16">
        <v>45756</v>
      </c>
      <c r="D17" s="3" t="s">
        <v>21</v>
      </c>
      <c r="E17" s="20">
        <v>2</v>
      </c>
      <c r="F17" s="12">
        <v>1861.67</v>
      </c>
      <c r="G17" s="13">
        <v>169.24</v>
      </c>
      <c r="H17" s="36">
        <f t="shared" si="0"/>
        <v>338.48</v>
      </c>
    </row>
    <row r="18" spans="3:8" ht="18" x14ac:dyDescent="0.35">
      <c r="C18" s="16">
        <v>45756</v>
      </c>
      <c r="D18" s="4" t="s">
        <v>22</v>
      </c>
      <c r="E18" s="20">
        <v>7</v>
      </c>
      <c r="F18" s="12">
        <v>0</v>
      </c>
      <c r="G18" s="13">
        <v>0</v>
      </c>
      <c r="H18" s="36">
        <f t="shared" si="0"/>
        <v>0</v>
      </c>
    </row>
    <row r="19" spans="3:8" ht="18" x14ac:dyDescent="0.35">
      <c r="C19" s="16">
        <v>45756</v>
      </c>
      <c r="D19" s="4" t="s">
        <v>23</v>
      </c>
      <c r="E19" s="20">
        <v>1</v>
      </c>
      <c r="F19" s="12">
        <v>347.17</v>
      </c>
      <c r="G19" s="13">
        <v>31.5</v>
      </c>
      <c r="H19" s="36">
        <f t="shared" si="0"/>
        <v>31.5</v>
      </c>
    </row>
    <row r="20" spans="3:8" ht="18" x14ac:dyDescent="0.35">
      <c r="C20" s="16">
        <v>45756</v>
      </c>
      <c r="D20" s="4" t="s">
        <v>24</v>
      </c>
      <c r="E20" s="20">
        <v>2</v>
      </c>
      <c r="F20" s="12">
        <v>5135.32</v>
      </c>
      <c r="G20" s="13">
        <v>466.84</v>
      </c>
      <c r="H20" s="36">
        <f t="shared" si="0"/>
        <v>933.68</v>
      </c>
    </row>
    <row r="21" spans="3:8" ht="18" x14ac:dyDescent="0.35">
      <c r="C21" s="16">
        <v>45756</v>
      </c>
      <c r="D21" s="4" t="s">
        <v>24</v>
      </c>
      <c r="E21" s="20">
        <v>1</v>
      </c>
      <c r="F21" s="12">
        <v>5135.32</v>
      </c>
      <c r="G21" s="13">
        <v>466.84</v>
      </c>
      <c r="H21" s="36">
        <f t="shared" si="0"/>
        <v>466.84</v>
      </c>
    </row>
    <row r="22" spans="3:8" ht="18" x14ac:dyDescent="0.35">
      <c r="C22" s="16">
        <v>45756</v>
      </c>
      <c r="D22" s="2" t="s">
        <v>12</v>
      </c>
      <c r="E22" s="20">
        <v>25</v>
      </c>
      <c r="F22" s="12">
        <v>1112.8</v>
      </c>
      <c r="G22" s="13">
        <v>144.66</v>
      </c>
      <c r="H22" s="36">
        <f t="shared" si="0"/>
        <v>3616.5</v>
      </c>
    </row>
    <row r="23" spans="3:8" ht="18" x14ac:dyDescent="0.35">
      <c r="C23" s="16">
        <v>45756</v>
      </c>
      <c r="D23" s="2" t="s">
        <v>12</v>
      </c>
      <c r="E23" s="20">
        <v>4</v>
      </c>
      <c r="F23" s="12">
        <v>1112.8</v>
      </c>
      <c r="G23" s="13">
        <v>144.66</v>
      </c>
      <c r="H23" s="36">
        <f t="shared" si="0"/>
        <v>578.64</v>
      </c>
    </row>
    <row r="24" spans="3:8" ht="18" x14ac:dyDescent="0.35">
      <c r="C24" s="16">
        <v>45756</v>
      </c>
      <c r="D24" s="2" t="s">
        <v>20</v>
      </c>
      <c r="E24" s="20">
        <v>1</v>
      </c>
      <c r="F24" s="12">
        <v>4869.6767</v>
      </c>
      <c r="G24" s="13">
        <v>442.697</v>
      </c>
      <c r="H24" s="36">
        <f t="shared" si="0"/>
        <v>442.697</v>
      </c>
    </row>
    <row r="25" spans="3:8" ht="18" x14ac:dyDescent="0.35">
      <c r="C25" s="16">
        <v>45757</v>
      </c>
      <c r="D25" s="2" t="s">
        <v>20</v>
      </c>
      <c r="E25" s="20">
        <v>4</v>
      </c>
      <c r="F25" s="12">
        <v>4869.6767</v>
      </c>
      <c r="G25" s="13">
        <v>442.697</v>
      </c>
      <c r="H25" s="36">
        <f t="shared" si="0"/>
        <v>1770.788</v>
      </c>
    </row>
    <row r="26" spans="3:8" ht="18" x14ac:dyDescent="0.35">
      <c r="C26" s="16">
        <v>45757</v>
      </c>
      <c r="D26" s="2" t="s">
        <v>20</v>
      </c>
      <c r="E26" s="20">
        <v>2</v>
      </c>
      <c r="F26" s="12">
        <v>4869.6767</v>
      </c>
      <c r="G26" s="13">
        <v>442.697</v>
      </c>
      <c r="H26" s="36">
        <f t="shared" si="0"/>
        <v>885.39400000000001</v>
      </c>
    </row>
    <row r="27" spans="3:8" ht="18" x14ac:dyDescent="0.35">
      <c r="C27" s="16">
        <v>45757</v>
      </c>
      <c r="D27" s="4" t="s">
        <v>24</v>
      </c>
      <c r="E27" s="20">
        <v>2</v>
      </c>
      <c r="F27" s="12">
        <v>5135.32</v>
      </c>
      <c r="G27" s="13">
        <v>466.84</v>
      </c>
      <c r="H27" s="36">
        <f t="shared" si="0"/>
        <v>933.68</v>
      </c>
    </row>
    <row r="28" spans="3:8" ht="18" x14ac:dyDescent="0.35">
      <c r="C28" s="16">
        <v>45757</v>
      </c>
      <c r="D28" s="2" t="s">
        <v>12</v>
      </c>
      <c r="E28" s="20">
        <v>10</v>
      </c>
      <c r="F28" s="12">
        <v>1112.8</v>
      </c>
      <c r="G28" s="13">
        <v>144.66</v>
      </c>
      <c r="H28" s="36">
        <f t="shared" si="0"/>
        <v>1446.6</v>
      </c>
    </row>
    <row r="29" spans="3:8" ht="18" x14ac:dyDescent="0.3">
      <c r="C29" s="16">
        <v>45757</v>
      </c>
      <c r="D29" s="5" t="s">
        <v>25</v>
      </c>
      <c r="E29" s="20">
        <v>2</v>
      </c>
      <c r="F29" s="12">
        <v>4382.7</v>
      </c>
      <c r="G29" s="13">
        <v>398.42</v>
      </c>
      <c r="H29" s="36">
        <f t="shared" si="0"/>
        <v>796.84</v>
      </c>
    </row>
    <row r="30" spans="3:8" ht="18" x14ac:dyDescent="0.35">
      <c r="C30" s="16">
        <v>45758</v>
      </c>
      <c r="D30" s="4" t="s">
        <v>20</v>
      </c>
      <c r="E30" s="20">
        <v>6</v>
      </c>
      <c r="F30" s="12">
        <v>4869.6767</v>
      </c>
      <c r="G30" s="13">
        <v>442.697</v>
      </c>
      <c r="H30" s="36">
        <f t="shared" si="0"/>
        <v>2656.1819999999998</v>
      </c>
    </row>
    <row r="31" spans="3:8" ht="18" x14ac:dyDescent="0.3">
      <c r="C31" s="16">
        <v>45758</v>
      </c>
      <c r="D31" s="6" t="s">
        <v>26</v>
      </c>
      <c r="E31" s="20">
        <v>1</v>
      </c>
      <c r="F31" s="12">
        <v>4485.66</v>
      </c>
      <c r="G31" s="13">
        <v>407.78699999999998</v>
      </c>
      <c r="H31" s="36">
        <f t="shared" si="0"/>
        <v>407.78699999999998</v>
      </c>
    </row>
    <row r="32" spans="3:8" ht="18" x14ac:dyDescent="0.35">
      <c r="C32" s="16">
        <v>45758</v>
      </c>
      <c r="D32" s="4" t="s">
        <v>27</v>
      </c>
      <c r="E32" s="20">
        <v>1</v>
      </c>
      <c r="F32" s="12">
        <v>5939.17</v>
      </c>
      <c r="G32" s="13">
        <v>539.91999999999996</v>
      </c>
      <c r="H32" s="36">
        <f t="shared" si="0"/>
        <v>539.91999999999996</v>
      </c>
    </row>
    <row r="33" spans="3:8" ht="18" x14ac:dyDescent="0.35">
      <c r="C33" s="16">
        <v>45758</v>
      </c>
      <c r="D33" s="4" t="s">
        <v>28</v>
      </c>
      <c r="E33" s="20">
        <v>2</v>
      </c>
      <c r="F33" s="12">
        <v>163.35</v>
      </c>
      <c r="G33" s="13">
        <v>0</v>
      </c>
      <c r="H33" s="36">
        <f t="shared" si="0"/>
        <v>0</v>
      </c>
    </row>
    <row r="34" spans="3:8" ht="18" x14ac:dyDescent="0.35">
      <c r="C34" s="16">
        <v>45758</v>
      </c>
      <c r="D34" s="4" t="s">
        <v>29</v>
      </c>
      <c r="E34" s="20">
        <v>30</v>
      </c>
      <c r="F34" s="12">
        <v>519.09</v>
      </c>
      <c r="G34" s="13">
        <v>0</v>
      </c>
      <c r="H34" s="36">
        <f t="shared" si="0"/>
        <v>0</v>
      </c>
    </row>
    <row r="35" spans="3:8" ht="18" x14ac:dyDescent="0.35">
      <c r="C35" s="16">
        <v>45758</v>
      </c>
      <c r="D35" s="4" t="s">
        <v>30</v>
      </c>
      <c r="E35" s="20">
        <v>37</v>
      </c>
      <c r="F35" s="12">
        <v>1160</v>
      </c>
      <c r="G35" s="13">
        <v>0</v>
      </c>
      <c r="H35" s="36">
        <f t="shared" si="0"/>
        <v>0</v>
      </c>
    </row>
    <row r="36" spans="3:8" ht="18" x14ac:dyDescent="0.35">
      <c r="C36" s="16">
        <v>45758</v>
      </c>
      <c r="D36" s="4" t="s">
        <v>31</v>
      </c>
      <c r="E36" s="20">
        <v>1</v>
      </c>
      <c r="F36" s="12">
        <v>0</v>
      </c>
      <c r="G36" s="13">
        <v>0</v>
      </c>
      <c r="H36" s="36">
        <f t="shared" si="0"/>
        <v>0</v>
      </c>
    </row>
    <row r="37" spans="3:8" ht="18" x14ac:dyDescent="0.3">
      <c r="C37" s="16">
        <v>45759</v>
      </c>
      <c r="D37" s="6" t="s">
        <v>26</v>
      </c>
      <c r="E37" s="20">
        <v>2</v>
      </c>
      <c r="F37" s="12">
        <v>4485.66</v>
      </c>
      <c r="G37" s="13">
        <v>407.78699999999998</v>
      </c>
      <c r="H37" s="36">
        <f t="shared" si="0"/>
        <v>815.57399999999996</v>
      </c>
    </row>
    <row r="38" spans="3:8" ht="18" x14ac:dyDescent="0.35">
      <c r="C38" s="16">
        <v>45759</v>
      </c>
      <c r="D38" s="4" t="s">
        <v>20</v>
      </c>
      <c r="E38" s="20">
        <v>10</v>
      </c>
      <c r="F38" s="12">
        <v>4869.6767</v>
      </c>
      <c r="G38" s="13">
        <v>442.697</v>
      </c>
      <c r="H38" s="36">
        <f t="shared" si="0"/>
        <v>4426.97</v>
      </c>
    </row>
    <row r="39" spans="3:8" ht="18" x14ac:dyDescent="0.35">
      <c r="C39" s="18">
        <v>45759</v>
      </c>
      <c r="D39" s="8" t="s">
        <v>32</v>
      </c>
      <c r="E39" s="15">
        <v>9</v>
      </c>
      <c r="F39" s="15">
        <v>5537.77</v>
      </c>
      <c r="G39" s="15">
        <v>503.43</v>
      </c>
      <c r="H39" s="36">
        <f t="shared" si="0"/>
        <v>4530.87</v>
      </c>
    </row>
    <row r="40" spans="3:8" ht="18" x14ac:dyDescent="0.3">
      <c r="C40" s="16">
        <v>45761</v>
      </c>
      <c r="D40" s="3" t="s">
        <v>21</v>
      </c>
      <c r="E40" s="20">
        <v>5</v>
      </c>
      <c r="F40" s="12">
        <v>1542.75</v>
      </c>
      <c r="G40" s="13">
        <v>0</v>
      </c>
      <c r="H40" s="36">
        <f t="shared" si="0"/>
        <v>0</v>
      </c>
    </row>
    <row r="41" spans="3:8" ht="18" x14ac:dyDescent="0.35">
      <c r="C41" s="16">
        <v>45761</v>
      </c>
      <c r="D41" s="4" t="s">
        <v>33</v>
      </c>
      <c r="E41" s="20">
        <v>1</v>
      </c>
      <c r="F41" s="12">
        <v>2286.9</v>
      </c>
      <c r="G41" s="13">
        <v>0</v>
      </c>
      <c r="H41" s="36">
        <f t="shared" si="0"/>
        <v>0</v>
      </c>
    </row>
    <row r="42" spans="3:8" ht="18" x14ac:dyDescent="0.35">
      <c r="C42" s="16">
        <v>45761</v>
      </c>
      <c r="D42" s="4" t="s">
        <v>33</v>
      </c>
      <c r="E42" s="20">
        <v>1</v>
      </c>
      <c r="F42" s="12">
        <v>2286.9</v>
      </c>
      <c r="G42" s="13">
        <v>0</v>
      </c>
      <c r="H42" s="36">
        <f t="shared" si="0"/>
        <v>0</v>
      </c>
    </row>
    <row r="43" spans="3:8" ht="18" x14ac:dyDescent="0.35">
      <c r="C43" s="16">
        <v>45761</v>
      </c>
      <c r="D43" s="4" t="s">
        <v>34</v>
      </c>
      <c r="E43" s="20">
        <v>1</v>
      </c>
      <c r="F43" s="12">
        <v>1996.5</v>
      </c>
      <c r="G43" s="13">
        <v>0</v>
      </c>
      <c r="H43" s="36">
        <f t="shared" si="0"/>
        <v>0</v>
      </c>
    </row>
    <row r="44" spans="3:8" ht="18" x14ac:dyDescent="0.3">
      <c r="C44" s="16">
        <v>45761</v>
      </c>
      <c r="D44" s="5" t="s">
        <v>25</v>
      </c>
      <c r="E44" s="20">
        <v>1</v>
      </c>
      <c r="F44" s="12">
        <v>2305.0500000000002</v>
      </c>
      <c r="G44" s="13">
        <v>0</v>
      </c>
      <c r="H44" s="36">
        <f t="shared" si="0"/>
        <v>0</v>
      </c>
    </row>
    <row r="45" spans="3:8" ht="18" x14ac:dyDescent="0.3">
      <c r="C45" s="16">
        <v>45761</v>
      </c>
      <c r="D45" s="3" t="s">
        <v>21</v>
      </c>
      <c r="E45" s="20">
        <v>5</v>
      </c>
      <c r="F45" s="12">
        <v>1690</v>
      </c>
      <c r="G45" s="13">
        <v>0</v>
      </c>
      <c r="H45" s="36">
        <f t="shared" si="0"/>
        <v>0</v>
      </c>
    </row>
    <row r="46" spans="3:8" ht="18" x14ac:dyDescent="0.3">
      <c r="C46" s="16">
        <v>45761</v>
      </c>
      <c r="D46" s="3" t="s">
        <v>35</v>
      </c>
      <c r="E46" s="20">
        <v>3</v>
      </c>
      <c r="F46" s="12">
        <v>1180</v>
      </c>
      <c r="G46" s="13">
        <v>0</v>
      </c>
      <c r="H46" s="36">
        <f t="shared" si="0"/>
        <v>0</v>
      </c>
    </row>
    <row r="47" spans="3:8" ht="18" x14ac:dyDescent="0.35">
      <c r="C47" s="16">
        <v>45761</v>
      </c>
      <c r="D47" s="4" t="s">
        <v>36</v>
      </c>
      <c r="E47" s="20">
        <v>18</v>
      </c>
      <c r="F47" s="12">
        <v>482.79</v>
      </c>
      <c r="G47" s="13">
        <v>0</v>
      </c>
      <c r="H47" s="36">
        <f t="shared" si="0"/>
        <v>0</v>
      </c>
    </row>
    <row r="48" spans="3:8" ht="18" x14ac:dyDescent="0.35">
      <c r="C48" s="16">
        <v>45761</v>
      </c>
      <c r="D48" s="4" t="s">
        <v>19</v>
      </c>
      <c r="E48" s="20">
        <v>19</v>
      </c>
      <c r="F48" s="12">
        <v>522.70000000000005</v>
      </c>
      <c r="G48" s="13">
        <v>0</v>
      </c>
      <c r="H48" s="36">
        <f t="shared" si="0"/>
        <v>0</v>
      </c>
    </row>
    <row r="49" spans="3:8" ht="18" x14ac:dyDescent="0.35">
      <c r="C49" s="16">
        <v>45761</v>
      </c>
      <c r="D49" s="4" t="s">
        <v>37</v>
      </c>
      <c r="E49" s="20">
        <v>12</v>
      </c>
      <c r="F49" s="12">
        <v>580.79999999999995</v>
      </c>
      <c r="G49" s="13">
        <v>0</v>
      </c>
      <c r="H49" s="36">
        <f t="shared" si="0"/>
        <v>0</v>
      </c>
    </row>
    <row r="50" spans="3:8" ht="18" x14ac:dyDescent="0.35">
      <c r="C50" s="16">
        <v>45761</v>
      </c>
      <c r="D50" s="4" t="s">
        <v>19</v>
      </c>
      <c r="E50" s="20">
        <v>3</v>
      </c>
      <c r="F50" s="12">
        <v>363</v>
      </c>
      <c r="G50" s="13">
        <v>0</v>
      </c>
      <c r="H50" s="36">
        <f t="shared" si="0"/>
        <v>0</v>
      </c>
    </row>
    <row r="51" spans="3:8" ht="18" x14ac:dyDescent="0.3">
      <c r="C51" s="16">
        <v>45762</v>
      </c>
      <c r="D51" s="6" t="s">
        <v>18</v>
      </c>
      <c r="E51" s="20">
        <v>152</v>
      </c>
      <c r="F51" s="12">
        <v>318.86</v>
      </c>
      <c r="G51" s="13">
        <v>41.45</v>
      </c>
      <c r="H51" s="36">
        <f t="shared" si="0"/>
        <v>6300.4000000000005</v>
      </c>
    </row>
    <row r="52" spans="3:8" ht="18" x14ac:dyDescent="0.3">
      <c r="C52" s="16">
        <v>45762</v>
      </c>
      <c r="D52" s="3" t="s">
        <v>21</v>
      </c>
      <c r="E52" s="20">
        <v>2</v>
      </c>
      <c r="F52" s="12">
        <v>1542.75</v>
      </c>
      <c r="G52" s="13">
        <v>0</v>
      </c>
      <c r="H52" s="36">
        <f t="shared" si="0"/>
        <v>0</v>
      </c>
    </row>
    <row r="53" spans="3:8" ht="18" x14ac:dyDescent="0.35">
      <c r="C53" s="18">
        <v>45762</v>
      </c>
      <c r="D53" s="9" t="s">
        <v>11</v>
      </c>
      <c r="E53" s="15">
        <v>1</v>
      </c>
      <c r="F53" s="15">
        <v>5537.77</v>
      </c>
      <c r="G53" s="15">
        <v>503.43</v>
      </c>
      <c r="H53" s="36">
        <f t="shared" si="0"/>
        <v>503.43</v>
      </c>
    </row>
    <row r="54" spans="3:8" ht="18" x14ac:dyDescent="0.35">
      <c r="C54" s="16">
        <v>45762</v>
      </c>
      <c r="D54" s="4" t="s">
        <v>20</v>
      </c>
      <c r="E54" s="20">
        <v>11</v>
      </c>
      <c r="F54" s="12">
        <v>4869.6767</v>
      </c>
      <c r="G54" s="13">
        <v>442.697</v>
      </c>
      <c r="H54" s="36">
        <f t="shared" si="0"/>
        <v>4869.6670000000004</v>
      </c>
    </row>
    <row r="55" spans="3:8" ht="18" x14ac:dyDescent="0.35">
      <c r="C55" s="16">
        <v>45762</v>
      </c>
      <c r="D55" s="4" t="s">
        <v>20</v>
      </c>
      <c r="E55" s="20">
        <v>9</v>
      </c>
      <c r="F55" s="12">
        <v>4869.6767</v>
      </c>
      <c r="G55" s="13">
        <v>442.697</v>
      </c>
      <c r="H55" s="36">
        <f t="shared" si="0"/>
        <v>3984.2730000000001</v>
      </c>
    </row>
    <row r="56" spans="3:8" ht="18" x14ac:dyDescent="0.35">
      <c r="C56" s="16">
        <v>45763</v>
      </c>
      <c r="D56" s="4" t="s">
        <v>20</v>
      </c>
      <c r="E56" s="20">
        <v>10</v>
      </c>
      <c r="F56" s="12">
        <v>4869.6767</v>
      </c>
      <c r="G56" s="13">
        <v>442.697</v>
      </c>
      <c r="H56" s="36">
        <f t="shared" si="0"/>
        <v>4426.97</v>
      </c>
    </row>
    <row r="57" spans="3:8" ht="18" x14ac:dyDescent="0.35">
      <c r="C57" s="16">
        <v>45763</v>
      </c>
      <c r="D57" s="4" t="s">
        <v>38</v>
      </c>
      <c r="E57" s="20">
        <v>94</v>
      </c>
      <c r="F57" s="12">
        <v>1035</v>
      </c>
      <c r="G57" s="13">
        <v>0</v>
      </c>
      <c r="H57" s="36">
        <f t="shared" si="0"/>
        <v>0</v>
      </c>
    </row>
    <row r="58" spans="3:8" ht="18" x14ac:dyDescent="0.35">
      <c r="C58" s="16">
        <v>45764</v>
      </c>
      <c r="D58" s="2" t="s">
        <v>10</v>
      </c>
      <c r="E58" s="20">
        <v>5</v>
      </c>
      <c r="F58" s="12">
        <v>1590</v>
      </c>
      <c r="G58" s="13">
        <v>0</v>
      </c>
      <c r="H58" s="36">
        <f t="shared" si="0"/>
        <v>0</v>
      </c>
    </row>
    <row r="59" spans="3:8" ht="18" x14ac:dyDescent="0.35">
      <c r="C59" s="16">
        <v>45764</v>
      </c>
      <c r="D59" s="2" t="s">
        <v>12</v>
      </c>
      <c r="E59" s="20">
        <v>4</v>
      </c>
      <c r="F59" s="12">
        <v>1112.8</v>
      </c>
      <c r="G59" s="13">
        <v>144.66</v>
      </c>
      <c r="H59" s="36">
        <f t="shared" si="0"/>
        <v>578.64</v>
      </c>
    </row>
    <row r="60" spans="3:8" ht="18" x14ac:dyDescent="0.35">
      <c r="C60" s="16">
        <v>45764</v>
      </c>
      <c r="D60" s="2" t="s">
        <v>39</v>
      </c>
      <c r="E60" s="20">
        <v>1</v>
      </c>
      <c r="F60" s="12">
        <v>5799.3459999999995</v>
      </c>
      <c r="G60" s="13">
        <v>527.21</v>
      </c>
      <c r="H60" s="36">
        <f t="shared" si="0"/>
        <v>527.21</v>
      </c>
    </row>
    <row r="61" spans="3:8" ht="18" x14ac:dyDescent="0.35">
      <c r="C61" s="16">
        <v>45764</v>
      </c>
      <c r="D61" s="2" t="s">
        <v>40</v>
      </c>
      <c r="E61" s="20">
        <v>68</v>
      </c>
      <c r="F61" s="12">
        <v>257</v>
      </c>
      <c r="G61" s="13">
        <v>0</v>
      </c>
      <c r="H61" s="36">
        <f t="shared" si="0"/>
        <v>0</v>
      </c>
    </row>
    <row r="62" spans="3:8" ht="18" x14ac:dyDescent="0.35">
      <c r="C62" s="16">
        <v>45764</v>
      </c>
      <c r="D62" s="2" t="s">
        <v>40</v>
      </c>
      <c r="E62" s="20">
        <v>1</v>
      </c>
      <c r="F62" s="12">
        <v>257</v>
      </c>
      <c r="G62" s="13">
        <v>0</v>
      </c>
      <c r="H62" s="36">
        <f t="shared" si="0"/>
        <v>0</v>
      </c>
    </row>
    <row r="63" spans="3:8" ht="18" x14ac:dyDescent="0.3">
      <c r="C63" s="16">
        <v>45765</v>
      </c>
      <c r="D63" s="7" t="s">
        <v>10</v>
      </c>
      <c r="E63" s="20">
        <v>57</v>
      </c>
      <c r="F63" s="12">
        <v>1560.9</v>
      </c>
      <c r="G63" s="13">
        <v>141.9</v>
      </c>
      <c r="H63" s="36">
        <f t="shared" si="0"/>
        <v>8088.3</v>
      </c>
    </row>
    <row r="64" spans="3:8" ht="18" x14ac:dyDescent="0.3">
      <c r="C64" s="16">
        <v>45765</v>
      </c>
      <c r="D64" s="6" t="s">
        <v>41</v>
      </c>
      <c r="E64" s="20">
        <v>1</v>
      </c>
      <c r="F64" s="12">
        <v>276.8</v>
      </c>
      <c r="G64" s="13">
        <v>0</v>
      </c>
      <c r="H64" s="36">
        <f t="shared" si="0"/>
        <v>0</v>
      </c>
    </row>
    <row r="65" spans="3:8" ht="18" x14ac:dyDescent="0.3">
      <c r="C65" s="16">
        <v>45765</v>
      </c>
      <c r="D65" s="6" t="s">
        <v>42</v>
      </c>
      <c r="E65" s="20">
        <v>1</v>
      </c>
      <c r="F65" s="12">
        <v>268.41000000000003</v>
      </c>
      <c r="G65" s="13">
        <v>0</v>
      </c>
      <c r="H65" s="36">
        <f t="shared" si="0"/>
        <v>0</v>
      </c>
    </row>
    <row r="66" spans="3:8" ht="18" x14ac:dyDescent="0.3">
      <c r="C66" s="16">
        <v>45766</v>
      </c>
      <c r="D66" s="3" t="s">
        <v>43</v>
      </c>
      <c r="E66" s="20">
        <v>4</v>
      </c>
      <c r="F66" s="12">
        <v>4910.9049999999997</v>
      </c>
      <c r="G66" s="13">
        <v>446.44</v>
      </c>
      <c r="H66" s="36">
        <f t="shared" si="0"/>
        <v>1785.76</v>
      </c>
    </row>
    <row r="67" spans="3:8" ht="18" x14ac:dyDescent="0.35">
      <c r="C67" s="16">
        <v>45766</v>
      </c>
      <c r="D67" s="2" t="s">
        <v>27</v>
      </c>
      <c r="E67" s="20">
        <v>5</v>
      </c>
      <c r="F67" s="12">
        <v>5889.32</v>
      </c>
      <c r="G67" s="13">
        <v>535.39</v>
      </c>
      <c r="H67" s="36">
        <f t="shared" si="0"/>
        <v>2676.95</v>
      </c>
    </row>
    <row r="68" spans="3:8" ht="18" x14ac:dyDescent="0.35">
      <c r="C68" s="16">
        <v>45766</v>
      </c>
      <c r="D68" s="4" t="s">
        <v>13</v>
      </c>
      <c r="E68" s="20">
        <v>1</v>
      </c>
      <c r="F68" s="12">
        <v>200.97</v>
      </c>
      <c r="G68" s="13">
        <v>18.27</v>
      </c>
      <c r="H68" s="36">
        <f t="shared" ref="H68:H107" si="1">G68*E68</f>
        <v>18.27</v>
      </c>
    </row>
    <row r="69" spans="3:8" ht="18" x14ac:dyDescent="0.35">
      <c r="C69" s="16">
        <v>45767</v>
      </c>
      <c r="D69" s="4" t="s">
        <v>13</v>
      </c>
      <c r="E69" s="20">
        <v>6</v>
      </c>
      <c r="F69" s="12">
        <v>200.97</v>
      </c>
      <c r="G69" s="13">
        <v>18.27</v>
      </c>
      <c r="H69" s="36">
        <f t="shared" si="1"/>
        <v>109.62</v>
      </c>
    </row>
    <row r="70" spans="3:8" ht="18" x14ac:dyDescent="0.35">
      <c r="C70" s="16">
        <v>45767</v>
      </c>
      <c r="D70" s="4" t="s">
        <v>31</v>
      </c>
      <c r="E70" s="20">
        <v>2</v>
      </c>
      <c r="F70" s="12">
        <v>616.23900000000003</v>
      </c>
      <c r="G70" s="13">
        <v>56.02</v>
      </c>
      <c r="H70" s="36">
        <f t="shared" si="1"/>
        <v>112.04</v>
      </c>
    </row>
    <row r="71" spans="3:8" ht="18" x14ac:dyDescent="0.35">
      <c r="C71" s="16">
        <v>45767</v>
      </c>
      <c r="D71" s="2" t="s">
        <v>30</v>
      </c>
      <c r="E71" s="20">
        <v>2</v>
      </c>
      <c r="F71" s="12">
        <v>1255.8699999999999</v>
      </c>
      <c r="G71" s="13">
        <v>114.17</v>
      </c>
      <c r="H71" s="36">
        <f t="shared" si="1"/>
        <v>228.34</v>
      </c>
    </row>
    <row r="72" spans="3:8" ht="18" x14ac:dyDescent="0.35">
      <c r="C72" s="16">
        <v>45767</v>
      </c>
      <c r="D72" s="2" t="s">
        <v>30</v>
      </c>
      <c r="E72" s="20">
        <v>9</v>
      </c>
      <c r="F72" s="12">
        <v>1115</v>
      </c>
      <c r="G72" s="13">
        <v>0</v>
      </c>
      <c r="H72" s="36">
        <f t="shared" si="1"/>
        <v>0</v>
      </c>
    </row>
    <row r="73" spans="3:8" ht="18" x14ac:dyDescent="0.35">
      <c r="C73" s="16">
        <v>45767</v>
      </c>
      <c r="D73" s="2" t="s">
        <v>44</v>
      </c>
      <c r="E73" s="20">
        <v>1</v>
      </c>
      <c r="F73" s="12">
        <v>5135.32</v>
      </c>
      <c r="G73" s="13">
        <v>466.84</v>
      </c>
      <c r="H73" s="36">
        <f t="shared" si="1"/>
        <v>466.84</v>
      </c>
    </row>
    <row r="74" spans="3:8" ht="18" x14ac:dyDescent="0.35">
      <c r="C74" s="16">
        <v>45767</v>
      </c>
      <c r="D74" s="4" t="s">
        <v>24</v>
      </c>
      <c r="E74" s="20">
        <v>1</v>
      </c>
      <c r="F74" s="12">
        <v>5135.32</v>
      </c>
      <c r="G74" s="13">
        <v>466.84</v>
      </c>
      <c r="H74" s="36">
        <f t="shared" si="1"/>
        <v>466.84</v>
      </c>
    </row>
    <row r="75" spans="3:8" ht="18" x14ac:dyDescent="0.35">
      <c r="C75" s="16">
        <v>45767</v>
      </c>
      <c r="D75" s="4" t="s">
        <v>45</v>
      </c>
      <c r="E75" s="20">
        <v>5</v>
      </c>
      <c r="F75" s="12">
        <v>294.72300000000001</v>
      </c>
      <c r="G75" s="13">
        <v>26.792999999999999</v>
      </c>
      <c r="H75" s="36">
        <f t="shared" si="1"/>
        <v>133.965</v>
      </c>
    </row>
    <row r="76" spans="3:8" ht="18" x14ac:dyDescent="0.3">
      <c r="C76" s="16">
        <v>45767</v>
      </c>
      <c r="D76" s="3" t="s">
        <v>46</v>
      </c>
      <c r="E76" s="20">
        <v>1</v>
      </c>
      <c r="F76" s="12">
        <v>1028.21</v>
      </c>
      <c r="G76" s="13">
        <v>93.47</v>
      </c>
      <c r="H76" s="36">
        <f t="shared" si="1"/>
        <v>93.47</v>
      </c>
    </row>
    <row r="77" spans="3:8" ht="18" x14ac:dyDescent="0.3">
      <c r="C77" s="16">
        <v>45767</v>
      </c>
      <c r="D77" s="3" t="s">
        <v>47</v>
      </c>
      <c r="E77" s="20">
        <v>9</v>
      </c>
      <c r="F77" s="12">
        <v>416.32</v>
      </c>
      <c r="G77" s="13">
        <v>37.840000000000003</v>
      </c>
      <c r="H77" s="36">
        <f t="shared" si="1"/>
        <v>340.56000000000006</v>
      </c>
    </row>
    <row r="78" spans="3:8" ht="18" x14ac:dyDescent="0.3">
      <c r="C78" s="16">
        <v>45767</v>
      </c>
      <c r="D78" s="3" t="s">
        <v>48</v>
      </c>
      <c r="E78" s="20">
        <v>1</v>
      </c>
      <c r="F78" s="12">
        <v>1632.77</v>
      </c>
      <c r="G78" s="13">
        <v>148.43299999999999</v>
      </c>
      <c r="H78" s="36">
        <f t="shared" si="1"/>
        <v>148.43299999999999</v>
      </c>
    </row>
    <row r="79" spans="3:8" ht="18" x14ac:dyDescent="0.35">
      <c r="C79" s="16">
        <v>45767</v>
      </c>
      <c r="D79" s="4" t="s">
        <v>49</v>
      </c>
      <c r="E79" s="20">
        <v>5</v>
      </c>
      <c r="F79" s="12">
        <v>49.87</v>
      </c>
      <c r="G79" s="13">
        <v>4.5</v>
      </c>
      <c r="H79" s="36">
        <f t="shared" si="1"/>
        <v>22.5</v>
      </c>
    </row>
    <row r="80" spans="3:8" ht="18" x14ac:dyDescent="0.3">
      <c r="C80" s="16">
        <v>45768</v>
      </c>
      <c r="D80" s="3" t="s">
        <v>50</v>
      </c>
      <c r="E80" s="20">
        <v>1</v>
      </c>
      <c r="F80" s="12">
        <v>6827.6350000000002</v>
      </c>
      <c r="G80" s="13">
        <v>620.69000000000005</v>
      </c>
      <c r="H80" s="36">
        <f t="shared" si="1"/>
        <v>620.69000000000005</v>
      </c>
    </row>
    <row r="81" spans="3:8" ht="18" x14ac:dyDescent="0.3">
      <c r="C81" s="16">
        <v>45768</v>
      </c>
      <c r="D81" s="3" t="s">
        <v>47</v>
      </c>
      <c r="E81" s="20">
        <v>10</v>
      </c>
      <c r="F81" s="12">
        <v>465</v>
      </c>
      <c r="G81" s="13">
        <v>0</v>
      </c>
      <c r="H81" s="36">
        <f t="shared" si="1"/>
        <v>0</v>
      </c>
    </row>
    <row r="82" spans="3:8" ht="18" x14ac:dyDescent="0.35">
      <c r="C82" s="16">
        <v>45768</v>
      </c>
      <c r="D82" s="4" t="s">
        <v>17</v>
      </c>
      <c r="E82" s="20">
        <v>14</v>
      </c>
      <c r="F82" s="12">
        <v>492.03</v>
      </c>
      <c r="G82" s="13">
        <v>44.73</v>
      </c>
      <c r="H82" s="36">
        <f t="shared" si="1"/>
        <v>626.21999999999991</v>
      </c>
    </row>
    <row r="83" spans="3:8" ht="18" x14ac:dyDescent="0.35">
      <c r="C83" s="16">
        <v>45768</v>
      </c>
      <c r="D83" s="4" t="s">
        <v>13</v>
      </c>
      <c r="E83" s="20">
        <v>8</v>
      </c>
      <c r="F83" s="12">
        <v>200.97</v>
      </c>
      <c r="G83" s="13">
        <v>18.27</v>
      </c>
      <c r="H83" s="36">
        <f t="shared" si="1"/>
        <v>146.16</v>
      </c>
    </row>
    <row r="84" spans="3:8" ht="18" x14ac:dyDescent="0.35">
      <c r="C84" s="16">
        <v>45768</v>
      </c>
      <c r="D84" s="4" t="s">
        <v>49</v>
      </c>
      <c r="E84" s="20">
        <v>16</v>
      </c>
      <c r="F84" s="12">
        <v>49.87</v>
      </c>
      <c r="G84" s="13">
        <v>4.5</v>
      </c>
      <c r="H84" s="36">
        <f t="shared" si="1"/>
        <v>72</v>
      </c>
    </row>
    <row r="85" spans="3:8" ht="18" x14ac:dyDescent="0.35">
      <c r="C85" s="16">
        <v>45768</v>
      </c>
      <c r="D85" s="4" t="s">
        <v>49</v>
      </c>
      <c r="E85" s="20">
        <v>10</v>
      </c>
      <c r="F85" s="12">
        <v>49.87</v>
      </c>
      <c r="G85" s="13">
        <v>4.5</v>
      </c>
      <c r="H85" s="36">
        <f t="shared" si="1"/>
        <v>45</v>
      </c>
    </row>
    <row r="86" spans="3:8" ht="18" x14ac:dyDescent="0.35">
      <c r="C86" s="18">
        <v>45769</v>
      </c>
      <c r="D86" s="8" t="s">
        <v>51</v>
      </c>
      <c r="E86" s="15">
        <v>1</v>
      </c>
      <c r="F86" s="15">
        <v>1452</v>
      </c>
      <c r="G86" s="15">
        <v>0</v>
      </c>
      <c r="H86" s="36">
        <f t="shared" si="1"/>
        <v>0</v>
      </c>
    </row>
    <row r="87" spans="3:8" ht="18" x14ac:dyDescent="0.35">
      <c r="C87" s="16">
        <v>45769</v>
      </c>
      <c r="D87" s="4" t="s">
        <v>52</v>
      </c>
      <c r="E87" s="20">
        <v>1</v>
      </c>
      <c r="F87" s="12">
        <v>1070.8499999999999</v>
      </c>
      <c r="G87" s="13">
        <v>0</v>
      </c>
      <c r="H87" s="36">
        <f t="shared" si="1"/>
        <v>0</v>
      </c>
    </row>
    <row r="88" spans="3:8" ht="18" x14ac:dyDescent="0.35">
      <c r="C88" s="18">
        <v>45769</v>
      </c>
      <c r="D88" s="9" t="s">
        <v>53</v>
      </c>
      <c r="E88" s="15">
        <v>1</v>
      </c>
      <c r="F88" s="15">
        <v>1452</v>
      </c>
      <c r="G88" s="15">
        <v>0</v>
      </c>
      <c r="H88" s="36">
        <f t="shared" si="1"/>
        <v>0</v>
      </c>
    </row>
    <row r="89" spans="3:8" ht="18" x14ac:dyDescent="0.35">
      <c r="C89" s="16">
        <v>45769</v>
      </c>
      <c r="D89" s="2" t="s">
        <v>54</v>
      </c>
      <c r="E89" s="20">
        <v>1</v>
      </c>
      <c r="F89" s="12">
        <v>1161.5999999999999</v>
      </c>
      <c r="G89" s="13">
        <v>0</v>
      </c>
      <c r="H89" s="36">
        <f t="shared" si="1"/>
        <v>0</v>
      </c>
    </row>
    <row r="90" spans="3:8" ht="18" x14ac:dyDescent="0.3">
      <c r="C90" s="16">
        <v>45770</v>
      </c>
      <c r="D90" s="3" t="s">
        <v>55</v>
      </c>
      <c r="E90" s="20">
        <v>1</v>
      </c>
      <c r="F90" s="12">
        <v>865</v>
      </c>
      <c r="G90" s="13">
        <v>0</v>
      </c>
      <c r="H90" s="36">
        <f t="shared" si="1"/>
        <v>0</v>
      </c>
    </row>
    <row r="91" spans="3:8" ht="18" x14ac:dyDescent="0.3">
      <c r="C91" s="16">
        <v>45770</v>
      </c>
      <c r="D91" s="3" t="s">
        <v>55</v>
      </c>
      <c r="E91" s="20">
        <v>1</v>
      </c>
      <c r="F91" s="12">
        <v>865</v>
      </c>
      <c r="G91" s="13">
        <v>0</v>
      </c>
      <c r="H91" s="36">
        <f t="shared" si="1"/>
        <v>0</v>
      </c>
    </row>
    <row r="92" spans="3:8" ht="18" x14ac:dyDescent="0.35">
      <c r="C92" s="16">
        <v>45770</v>
      </c>
      <c r="D92" s="4" t="s">
        <v>52</v>
      </c>
      <c r="E92" s="20">
        <v>2</v>
      </c>
      <c r="F92" s="12">
        <v>1700</v>
      </c>
      <c r="G92" s="13">
        <v>0</v>
      </c>
      <c r="H92" s="36">
        <f t="shared" si="1"/>
        <v>0</v>
      </c>
    </row>
    <row r="93" spans="3:8" ht="18" x14ac:dyDescent="0.3">
      <c r="C93" s="16">
        <v>45770</v>
      </c>
      <c r="D93" s="3" t="s">
        <v>25</v>
      </c>
      <c r="E93" s="20">
        <v>1</v>
      </c>
      <c r="F93" s="12">
        <v>2900</v>
      </c>
      <c r="G93" s="13">
        <v>0</v>
      </c>
      <c r="H93" s="36">
        <f t="shared" si="1"/>
        <v>0</v>
      </c>
    </row>
    <row r="94" spans="3:8" ht="18" x14ac:dyDescent="0.3">
      <c r="C94" s="16">
        <v>45770</v>
      </c>
      <c r="D94" s="3" t="s">
        <v>25</v>
      </c>
      <c r="E94" s="20">
        <v>1</v>
      </c>
      <c r="F94" s="12">
        <v>2900</v>
      </c>
      <c r="G94" s="13">
        <v>0</v>
      </c>
      <c r="H94" s="36">
        <f t="shared" si="1"/>
        <v>0</v>
      </c>
    </row>
    <row r="95" spans="3:8" ht="18" x14ac:dyDescent="0.35">
      <c r="C95" s="16">
        <v>45770</v>
      </c>
      <c r="D95" s="2" t="s">
        <v>39</v>
      </c>
      <c r="E95" s="20">
        <v>8</v>
      </c>
      <c r="F95" s="12">
        <v>5799.3459999999995</v>
      </c>
      <c r="G95" s="13">
        <v>527.21</v>
      </c>
      <c r="H95" s="36">
        <f t="shared" si="1"/>
        <v>4217.68</v>
      </c>
    </row>
    <row r="96" spans="3:8" ht="18" x14ac:dyDescent="0.35">
      <c r="C96" s="16">
        <v>45776</v>
      </c>
      <c r="D96" s="4" t="s">
        <v>19</v>
      </c>
      <c r="E96" s="20">
        <v>2</v>
      </c>
      <c r="F96" s="12">
        <v>545</v>
      </c>
      <c r="G96" s="13">
        <v>0</v>
      </c>
      <c r="H96" s="36">
        <f t="shared" si="1"/>
        <v>0</v>
      </c>
    </row>
    <row r="97" spans="3:8" ht="18" x14ac:dyDescent="0.3">
      <c r="C97" s="16">
        <v>45776</v>
      </c>
      <c r="D97" s="3" t="s">
        <v>21</v>
      </c>
      <c r="E97" s="20">
        <v>2</v>
      </c>
      <c r="F97" s="12">
        <v>1542.75</v>
      </c>
      <c r="G97" s="13">
        <v>0</v>
      </c>
      <c r="H97" s="36">
        <f t="shared" si="1"/>
        <v>0</v>
      </c>
    </row>
    <row r="98" spans="3:8" ht="18" x14ac:dyDescent="0.35">
      <c r="C98" s="10">
        <v>45777</v>
      </c>
      <c r="D98" s="2" t="s">
        <v>30</v>
      </c>
      <c r="E98" s="20">
        <v>4</v>
      </c>
      <c r="F98" s="12">
        <v>1201.8</v>
      </c>
      <c r="G98" s="13">
        <v>109.25</v>
      </c>
      <c r="H98" s="36">
        <f t="shared" si="1"/>
        <v>437</v>
      </c>
    </row>
    <row r="99" spans="3:8" ht="18" x14ac:dyDescent="0.35">
      <c r="C99" s="10">
        <v>45777</v>
      </c>
      <c r="D99" s="4" t="s">
        <v>17</v>
      </c>
      <c r="E99" s="20">
        <v>6</v>
      </c>
      <c r="F99" s="12">
        <v>492.03</v>
      </c>
      <c r="G99" s="13">
        <v>44.73</v>
      </c>
      <c r="H99" s="36">
        <f t="shared" si="1"/>
        <v>268.38</v>
      </c>
    </row>
    <row r="100" spans="3:8" ht="18" x14ac:dyDescent="0.3">
      <c r="C100" s="10">
        <v>45777</v>
      </c>
      <c r="D100" s="3" t="s">
        <v>47</v>
      </c>
      <c r="E100" s="20">
        <v>2</v>
      </c>
      <c r="F100" s="12">
        <v>416.32</v>
      </c>
      <c r="G100" s="13">
        <v>37.840000000000003</v>
      </c>
      <c r="H100" s="36">
        <f t="shared" si="1"/>
        <v>75.680000000000007</v>
      </c>
    </row>
    <row r="101" spans="3:8" ht="18" x14ac:dyDescent="0.35">
      <c r="C101" s="10">
        <v>45777</v>
      </c>
      <c r="D101" s="4" t="s">
        <v>20</v>
      </c>
      <c r="E101" s="20">
        <v>8</v>
      </c>
      <c r="F101" s="12">
        <v>4997.0200000000004</v>
      </c>
      <c r="G101" s="13">
        <v>454.27</v>
      </c>
      <c r="H101" s="36">
        <f t="shared" si="1"/>
        <v>3634.16</v>
      </c>
    </row>
    <row r="102" spans="3:8" ht="18" x14ac:dyDescent="0.35">
      <c r="C102" s="10">
        <v>45777</v>
      </c>
      <c r="D102" s="4" t="s">
        <v>20</v>
      </c>
      <c r="E102" s="20">
        <v>5</v>
      </c>
      <c r="F102" s="12">
        <v>4997.0200000000004</v>
      </c>
      <c r="G102" s="13">
        <v>454.27</v>
      </c>
      <c r="H102" s="36">
        <f t="shared" si="1"/>
        <v>2271.35</v>
      </c>
    </row>
    <row r="103" spans="3:8" ht="18" x14ac:dyDescent="0.3">
      <c r="C103" s="10">
        <v>45777</v>
      </c>
      <c r="D103" s="3" t="s">
        <v>43</v>
      </c>
      <c r="E103" s="20">
        <v>6</v>
      </c>
      <c r="F103" s="12">
        <v>5368.6379999999999</v>
      </c>
      <c r="G103" s="13">
        <v>488.05</v>
      </c>
      <c r="H103" s="36">
        <f t="shared" si="1"/>
        <v>2928.3</v>
      </c>
    </row>
    <row r="104" spans="3:8" ht="18" x14ac:dyDescent="0.3">
      <c r="C104" s="10">
        <v>45777</v>
      </c>
      <c r="D104" s="3" t="s">
        <v>50</v>
      </c>
      <c r="E104" s="20">
        <v>4</v>
      </c>
      <c r="F104" s="12">
        <v>7464.5349999999999</v>
      </c>
      <c r="G104" s="13">
        <v>678.59</v>
      </c>
      <c r="H104" s="36">
        <f t="shared" si="1"/>
        <v>2714.36</v>
      </c>
    </row>
    <row r="105" spans="3:8" ht="18" x14ac:dyDescent="0.3">
      <c r="C105" s="10">
        <v>45777</v>
      </c>
      <c r="D105" s="3" t="s">
        <v>43</v>
      </c>
      <c r="E105" s="20">
        <v>1</v>
      </c>
      <c r="F105" s="12">
        <v>5368.6379999999999</v>
      </c>
      <c r="G105" s="13">
        <v>488.05</v>
      </c>
      <c r="H105" s="36">
        <f t="shared" si="1"/>
        <v>488.05</v>
      </c>
    </row>
    <row r="106" spans="3:8" ht="18" x14ac:dyDescent="0.35">
      <c r="C106" s="10">
        <v>45777</v>
      </c>
      <c r="D106" s="2" t="s">
        <v>27</v>
      </c>
      <c r="E106" s="20">
        <v>5</v>
      </c>
      <c r="F106" s="12">
        <v>5182.7700000000004</v>
      </c>
      <c r="G106" s="13">
        <v>471.16</v>
      </c>
      <c r="H106" s="36">
        <f t="shared" si="1"/>
        <v>2355.8000000000002</v>
      </c>
    </row>
    <row r="107" spans="3:8" ht="18" x14ac:dyDescent="0.3">
      <c r="C107" s="10">
        <v>45777</v>
      </c>
      <c r="D107" s="3" t="s">
        <v>50</v>
      </c>
      <c r="E107" s="20">
        <v>5</v>
      </c>
      <c r="F107" s="12">
        <v>7464.5349999999999</v>
      </c>
      <c r="G107" s="13">
        <v>678.59</v>
      </c>
      <c r="H107" s="36">
        <f t="shared" si="1"/>
        <v>3392.9500000000003</v>
      </c>
    </row>
    <row r="109" spans="3:8" ht="21" x14ac:dyDescent="0.4">
      <c r="G109" s="37" t="s">
        <v>59</v>
      </c>
      <c r="H109" s="36">
        <f>SUM(H3:H108)</f>
        <v>109353.702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GST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2025-04-28T18:32:28Z</dcterms:created>
  <dcterms:modified xsi:type="dcterms:W3CDTF">2025-09-02T16:21:26Z</dcterms:modified>
</cp:coreProperties>
</file>